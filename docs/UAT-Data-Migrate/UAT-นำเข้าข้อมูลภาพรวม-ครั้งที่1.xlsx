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ภาพรวม" sheetId="1" state="visible" r:id="rId1"/>
    <sheet xmlns:r="http://schemas.openxmlformats.org/officeDocument/2006/relationships" name="รวมทุกประเภท" sheetId="2" state="visible" r:id="rId2"/>
    <sheet xmlns:r="http://schemas.openxmlformats.org/officeDocument/2006/relationships" name="สรุป-คลังสินค้า" sheetId="3" state="visible" r:id="rId3"/>
    <sheet xmlns:r="http://schemas.openxmlformats.org/officeDocument/2006/relationships" name="สรุป-งบประมาณ" sheetId="4" state="visible" r:id="rId4"/>
    <sheet xmlns:r="http://schemas.openxmlformats.org/officeDocument/2006/relationships" name="สรุป-จัดซื้อ" sheetId="5" state="visible" r:id="rId5"/>
    <sheet xmlns:r="http://schemas.openxmlformats.org/officeDocument/2006/relationships" name="สรุป-สินทรัพย์ถาวร" sheetId="6" state="visible" r:id="rId6"/>
    <sheet xmlns:r="http://schemas.openxmlformats.org/officeDocument/2006/relationships" name="สรุป-เจ้าหนี้การเงิน" sheetId="7" state="visible" r:id="rId7"/>
  </sheets>
  <definedNames>
    <definedName name="_xlnm._FilterDatabase" localSheetId="1" hidden="1">'รวมทุกประเภท'!$A$1:$V$60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Prompt"/>
      <b val="1"/>
      <color rgb="00FFFFFF"/>
      <sz val="11"/>
    </font>
    <font>
      <name val="Prompt"/>
      <color rgb="002F3A48"/>
      <sz val="11"/>
    </font>
    <font>
      <name val="Prompt"/>
      <b val="1"/>
      <color rgb="00FFFFFF"/>
      <sz val="12"/>
    </font>
    <font>
      <name val="Prompt"/>
      <b val="1"/>
      <color rgb="FFFFFFFF"/>
      <sz val="11"/>
    </font>
    <font>
      <name val="Prompt"/>
      <color rgb="FF2F3A48"/>
      <sz val="11"/>
    </font>
    <font>
      <name val="Prompt"/>
      <sz val="11"/>
    </font>
    <font>
      <name val="Prompt"/>
      <b val="1"/>
      <color rgb="FFFFFFFF"/>
      <sz val="12"/>
    </font>
    <font>
      <name val="Prompt"/>
      <i val="1"/>
      <color rgb="007F7F7F"/>
      <sz val="10"/>
    </font>
    <font>
      <name val="Prompt"/>
      <b val="1"/>
      <color rgb="00123A56"/>
      <sz val="16"/>
    </font>
    <font>
      <name val="Prompt"/>
      <b val="1"/>
      <sz val="12"/>
    </font>
    <font>
      <name val="Prompt"/>
      <color rgb="00595959"/>
      <sz val="10"/>
    </font>
    <font>
      <name val="Prompt"/>
      <color rgb="000563C1"/>
      <sz val="10"/>
      <u val="single"/>
    </font>
    <font>
      <name val="Prompt"/>
      <b val="1"/>
      <color rgb="00000000"/>
      <sz val="10"/>
    </font>
    <font>
      <name val="Prompt"/>
      <color rgb="00404040"/>
      <sz val="10"/>
    </font>
  </fonts>
  <fills count="17">
    <fill>
      <patternFill/>
    </fill>
    <fill>
      <patternFill patternType="gray125"/>
    </fill>
    <fill>
      <patternFill patternType="solid">
        <fgColor rgb="000F7A72"/>
      </patternFill>
    </fill>
    <fill>
      <patternFill patternType="solid">
        <fgColor rgb="00E5F5F3"/>
      </patternFill>
    </fill>
    <fill>
      <patternFill patternType="solid">
        <fgColor rgb="00E5F5EA"/>
      </patternFill>
    </fill>
    <fill>
      <patternFill patternType="solid">
        <fgColor rgb="00F4E4C8"/>
      </patternFill>
    </fill>
    <fill>
      <patternFill patternType="solid">
        <fgColor rgb="00123A56"/>
      </patternFill>
    </fill>
    <fill>
      <patternFill patternType="solid">
        <fgColor rgb="FF0F7A72"/>
      </patternFill>
    </fill>
    <fill>
      <patternFill patternType="solid">
        <fgColor rgb="FFE5F5F3"/>
      </patternFill>
    </fill>
    <fill>
      <patternFill patternType="solid">
        <fgColor rgb="FFE5F5EA"/>
      </patternFill>
    </fill>
    <fill>
      <patternFill patternType="solid">
        <fgColor rgb="FFF4E4C8"/>
      </patternFill>
    </fill>
    <fill>
      <patternFill patternType="solid">
        <fgColor rgb="FF123A56"/>
      </patternFill>
    </fill>
    <fill>
      <patternFill patternType="solid">
        <fgColor rgb="00FBECEA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DEDED"/>
      </patternFill>
    </fill>
  </fills>
  <borders count="3">
    <border>
      <left/>
      <right/>
      <top/>
      <bottom/>
      <diagonal/>
    </border>
    <border>
      <left style="thin">
        <color rgb="00D7DEE6"/>
      </left>
      <right style="thin">
        <color rgb="00D7DEE6"/>
      </right>
      <top style="thin">
        <color rgb="00D7DEE6"/>
      </top>
      <bottom style="thin">
        <color rgb="00D7DEE6"/>
      </bottom>
    </border>
    <border>
      <left style="thin">
        <color rgb="FFD7DEE6"/>
      </left>
      <right style="thin">
        <color rgb="FFD7DEE6"/>
      </right>
      <top style="thin">
        <color rgb="FFD7DEE6"/>
      </top>
      <bottom style="thin">
        <color rgb="FFD7DEE6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right" vertical="center" wrapText="1"/>
    </xf>
    <xf numFmtId="9" fontId="2" fillId="0" borderId="1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3" fontId="1" fillId="2" borderId="1" applyAlignment="1" pivotButton="0" quotePrefix="0" xfId="0">
      <alignment horizontal="right" vertical="center"/>
    </xf>
    <xf numFmtId="9" fontId="1" fillId="2" borderId="1" applyAlignment="1" pivotButton="0" quotePrefix="0" xfId="0">
      <alignment horizontal="right" vertical="center"/>
    </xf>
    <xf numFmtId="0" fontId="13" fillId="0" borderId="0" pivotButton="0" quotePrefix="0" xfId="0"/>
    <xf numFmtId="0" fontId="14" fillId="0" borderId="0" pivotButton="0" quotePrefix="0" xfId="0"/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3" fontId="2" fillId="0" borderId="1" applyAlignment="1" pivotButton="0" quotePrefix="0" xfId="0">
      <alignment horizontal="right" vertical="top" wrapText="1"/>
    </xf>
    <xf numFmtId="0" fontId="2" fillId="13" borderId="1" applyAlignment="1" pivotButton="0" quotePrefix="0" xfId="0">
      <alignment horizontal="left" vertical="top" wrapText="1"/>
    </xf>
    <xf numFmtId="0" fontId="2" fillId="14" borderId="1" applyAlignment="1" pivotButton="0" quotePrefix="0" xfId="0">
      <alignment horizontal="left" vertical="top" wrapText="1"/>
    </xf>
    <xf numFmtId="0" fontId="2" fillId="15" borderId="1" applyAlignment="1" pivotButton="0" quotePrefix="0" xfId="0">
      <alignment horizontal="left" vertical="top" wrapText="1"/>
    </xf>
    <xf numFmtId="0" fontId="8" fillId="16" borderId="1" applyAlignment="1" pivotButton="0" quotePrefix="0" xfId="0">
      <alignment horizontal="center" vertical="top" wrapText="1"/>
    </xf>
    <xf numFmtId="0" fontId="8" fillId="16" borderId="1" applyAlignment="1" pivotButton="0" quotePrefix="0" xfId="0">
      <alignment horizontal="left" vertical="top" wrapText="1"/>
    </xf>
    <xf numFmtId="3" fontId="8" fillId="16" borderId="1" applyAlignment="1" pivotButton="0" quotePrefix="0" xfId="0">
      <alignment horizontal="right" vertical="top" wrapText="1"/>
    </xf>
    <xf numFmtId="0" fontId="8" fillId="1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3" fontId="3" fillId="6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4" fillId="7" borderId="2" applyAlignment="1" pivotButton="0" quotePrefix="0" xfId="0">
      <alignment vertical="center" wrapText="1"/>
    </xf>
    <xf numFmtId="0" fontId="4" fillId="7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 wrapText="1"/>
    </xf>
    <xf numFmtId="3" fontId="5" fillId="0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left" vertical="center" wrapText="1"/>
    </xf>
    <xf numFmtId="0" fontId="5" fillId="11" borderId="2" applyAlignment="1" pivotButton="0" quotePrefix="0" xfId="0">
      <alignment horizontal="left" vertical="center" wrapText="1"/>
    </xf>
    <xf numFmtId="3" fontId="7" fillId="11" borderId="2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2" fillId="12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6">
    <dxf>
      <font>
        <name val="Prompt"/>
        <b val="1"/>
        <color rgb="002C7A45"/>
        <sz val="11"/>
      </font>
      <fill>
        <patternFill patternType="solid">
          <fgColor rgb="00E5F5EA"/>
        </patternFill>
      </fill>
    </dxf>
    <dxf>
      <font>
        <name val="Prompt"/>
        <b val="1"/>
        <color rgb="00B4433A"/>
        <sz val="11"/>
      </font>
      <fill>
        <patternFill patternType="solid">
          <fgColor rgb="00FBECEA"/>
        </patternFill>
      </fill>
    </dxf>
    <dxf>
      <font>
        <name val="Prompt"/>
        <b val="1"/>
        <color rgb="008A5A00"/>
        <sz val="11"/>
      </font>
      <fill>
        <patternFill patternType="solid">
          <fgColor rgb="00F4E4C8"/>
        </patternFill>
      </fill>
    </dxf>
    <dxf>
      <font>
        <name val="Prompt"/>
        <b val="1"/>
        <color rgb="FF2C7A45"/>
        <sz val="11"/>
      </font>
      <fill>
        <patternFill patternType="solid">
          <fgColor rgb="FFE5F5EA"/>
        </patternFill>
      </fill>
    </dxf>
    <dxf>
      <font>
        <name val="Prompt"/>
        <b val="1"/>
        <color rgb="FFB4433A"/>
        <sz val="11"/>
      </font>
      <fill>
        <patternFill patternType="solid">
          <fgColor rgb="FFFBECEA"/>
        </patternFill>
      </fill>
    </dxf>
    <dxf>
      <font>
        <name val="Prompt"/>
        <b val="1"/>
        <color rgb="FF8A5A00"/>
        <sz val="11"/>
      </font>
      <fill>
        <patternFill patternType="solid">
          <fgColor rgb="FFF4E4C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3626;&#3619;&#3640;&#3611;-&#3588;&#3621;&#3633;&#3591;&#3626;&#3636;&#3609;&#3588;&#3657;&#3634;'!A1" TargetMode="External" Id="rId1"/><Relationship Type="http://schemas.openxmlformats.org/officeDocument/2006/relationships/hyperlink" Target="#'&#3626;&#3619;&#3640;&#3611;-&#3591;&#3610;&#3611;&#3619;&#3632;&#3617;&#3634;&#3603;'!A1" TargetMode="External" Id="rId2"/><Relationship Type="http://schemas.openxmlformats.org/officeDocument/2006/relationships/hyperlink" Target="#'&#3626;&#3619;&#3640;&#3611;-&#3592;&#3633;&#3604;&#3595;&#3639;&#3657;&#3629;'!A1" TargetMode="External" Id="rId3"/><Relationship Type="http://schemas.openxmlformats.org/officeDocument/2006/relationships/hyperlink" Target="#'&#3626;&#3619;&#3640;&#3611;-&#3626;&#3636;&#3609;&#3607;&#3619;&#3633;&#3614;&#3618;&#3660;&#3606;&#3634;&#3623;&#3619;'!A1" TargetMode="External" Id="rId4"/><Relationship Type="http://schemas.openxmlformats.org/officeDocument/2006/relationships/hyperlink" Target="#'&#3626;&#3619;&#3640;&#3611;-&#3648;&#3592;&#3657;&#3634;&#3627;&#3609;&#3637;&#3657;&#3585;&#3634;&#3619;&#3648;&#3591;&#3636;&#3609;'!A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14" customWidth="1" min="4" max="4"/>
    <col width="18" customWidth="1" min="5" max="5"/>
    <col width="14" customWidth="1" min="6" max="6"/>
    <col width="14" customWidth="1" min="7" max="7"/>
    <col width="18" customWidth="1" min="8" max="8"/>
    <col width="16" customWidth="1" min="9" max="9"/>
    <col width="14" customWidth="1" min="10" max="10"/>
    <col width="16" customWidth="1" min="11" max="11"/>
    <col width="22" customWidth="1" min="12" max="12"/>
    <col width="22" customWidth="1" min="13" max="13"/>
    <col width="44" customWidth="1" min="14" max="14"/>
  </cols>
  <sheetData>
    <row r="1">
      <c r="A1" s="1" t="inlineStr">
        <is>
          <t>โรงพยาบาลวชิระภูเก็ต</t>
        </is>
      </c>
    </row>
    <row r="2">
      <c r="A2" s="2" t="inlineStr">
        <is>
          <t>สรุปสถานะการนำเข้าข้อมูล ภาพรวมทุกระบบ · UAT นำเข้าข้อมูล ครั้งที่ 1</t>
        </is>
      </c>
    </row>
    <row r="3">
      <c r="A3" s="3" t="inlineStr">
        <is>
          <t>รวมจากชีต “สรุปประเภทข้อมูล” ของไฟล์ คลังสินค้า · งบประมาณ · จัดซื้อจัดจ้าง · สินทรัพย์ถาวร · เจ้าหนี้บัญชีการเงิน  ตัวเลขในตารางด้านล่างคำนวณจากชีต “รวมทุกประเภท” (ผลยืนยันอัปเดตตามที่กรอกในชีตนี้)</t>
        </is>
      </c>
    </row>
    <row r="5" ht="44" customHeight="1">
      <c r="A5" s="4" t="inlineStr">
        <is>
          <t>ลำดับ</t>
        </is>
      </c>
      <c r="B5" s="4" t="inlineStr">
        <is>
          <t>ระบบ</t>
        </is>
      </c>
      <c r="C5" s="4" t="inlineStr">
        <is>
          <t>ประเภทข้อมูลทั้งหมด</t>
        </is>
      </c>
      <c r="D5" s="4" t="inlineStr">
        <is>
          <t>นำเข้าแล้ว</t>
        </is>
      </c>
      <c r="E5" s="4" t="inlineStr">
        <is>
          <t>มีข้อมูลในระบบ (ธุรกรรม)</t>
        </is>
      </c>
      <c r="F5" s="4" t="inlineStr">
        <is>
          <t>มีรายการคงค้าง</t>
        </is>
      </c>
      <c r="G5" s="4" t="inlineStr">
        <is>
          <t>ยังไม่นำเข้า</t>
        </is>
      </c>
      <c r="H5" s="4" t="inlineStr">
        <is>
          <t>จำนวน record ในระบบ</t>
        </is>
      </c>
      <c r="I5" s="4" t="inlineStr">
        <is>
          <t>% ประเภทที่นำเข้าแล้ว</t>
        </is>
      </c>
      <c r="J5" s="4" t="inlineStr">
        <is>
          <t>ยืนยันถูกต้อง</t>
        </is>
      </c>
      <c r="K5" s="4" t="inlineStr">
        <is>
          <t>ต้องแก้ไข / ยังไม่ครบ</t>
        </is>
      </c>
      <c r="L5" s="4" t="inlineStr">
        <is>
          <t>รอยืนยัน (นำเข้าแล้ว ยังไม่ระบุผล)</t>
        </is>
      </c>
      <c r="M5" s="4" t="inlineStr">
        <is>
          <t>ชีตสรุปต้นทาง</t>
        </is>
      </c>
      <c r="N5" s="4" t="inlineStr">
        <is>
          <t>ไฟล์ต้นทาง</t>
        </is>
      </c>
    </row>
    <row r="6">
      <c r="A6" s="5" t="n">
        <v>1</v>
      </c>
      <c r="B6" s="6" t="inlineStr">
        <is>
          <t>คลังสินค้า</t>
        </is>
      </c>
      <c r="C6" s="7">
        <f>COUNTIFS('รวมทุกประเภท'!$B$2:$B$60,$B6,'รวมทุกประเภท'!$V$2:$V$60,"&lt;&gt;ซ้ำกับสินทรัพย์ถาวร")</f>
        <v/>
      </c>
      <c r="D6" s="7">
        <f>COUNTIFS('รวมทุกประเภท'!$B$2:$B$60,$B6,'รวมทุกประเภท'!$V$2:$V$60,"&lt;&gt;ซ้ำกับสินทรัพย์ถาวร",'รวมทุกประเภท'!$K$2:$K$60,"นำเข้าแล้ว")</f>
        <v/>
      </c>
      <c r="E6" s="7">
        <f>COUNTIFS('รวมทุกประเภท'!$B$2:$B$60,$B6,'รวมทุกประเภท'!$V$2:$V$60,"&lt;&gt;ซ้ำกับสินทรัพย์ถาวร",'รวมทุกประเภท'!$K$2:$K$60,"มีข้อมูลในระบบ (ธุรกรรม)")</f>
        <v/>
      </c>
      <c r="F6" s="7">
        <f>COUNTIFS('รวมทุกประเภท'!$B$2:$B$60,$B6,'รวมทุกประเภท'!$V$2:$V$60,"&lt;&gt;ซ้ำกับสินทรัพย์ถาวร",'รวมทุกประเภท'!$K$2:$K$60,"มีรายการคงค้าง")</f>
        <v/>
      </c>
      <c r="G6" s="7">
        <f>COUNTIFS('รวมทุกประเภท'!$B$2:$B$60,$B6,'รวมทุกประเภท'!$V$2:$V$60,"&lt;&gt;ซ้ำกับสินทรัพย์ถาวร",'รวมทุกประเภท'!$K$2:$K$60,"ยังไม่นำเข้า")</f>
        <v/>
      </c>
      <c r="H6" s="7">
        <f>SUMIFS('รวมทุกประเภท'!$I$2:$I$60,'รวมทุกประเภท'!$B$2:$B$60,$B6,'รวมทุกประเภท'!$V$2:$V$60,"&lt;&gt;ซ้ำกับสินทรัพย์ถาวร")</f>
        <v/>
      </c>
      <c r="I6" s="8">
        <f>IF(C6=0,"",D6/C6)</f>
        <v/>
      </c>
      <c r="J6" s="7">
        <f>COUNTIFS('รวมทุกประเภท'!$B$2:$B$60,$B6,'รวมทุกประเภท'!$V$2:$V$60,"&lt;&gt;ซ้ำกับสินทรัพย์ถาวร",'รวมทุกประเภท'!$O$2:$O$60,"ถูกต้อง")</f>
        <v/>
      </c>
      <c r="K6" s="7">
        <f>COUNTIFS('รวมทุกประเภท'!$B$2:$B$60,$B6,'รวมทุกประเภท'!$V$2:$V$60,"&lt;&gt;ซ้ำกับสินทรัพย์ถาวร",'รวมทุกประเภท'!$O$2:$O$60,"ต้องแก้ไข")+COUNTIFS('รวมทุกประเภท'!$B$2:$B$60,$B6,'รวมทุกประเภท'!$V$2:$V$60,"&lt;&gt;ซ้ำกับสินทรัพย์ถาวร",'รวมทุกประเภท'!$O$2:$O$60,"ยังไม่ครบ")</f>
        <v/>
      </c>
      <c r="L6" s="7">
        <f>COUNTIFS('รวมทุกประเภท'!$B$2:$B$60,$B6,'รวมทุกประเภท'!$V$2:$V$60,"&lt;&gt;ซ้ำกับสินทรัพย์ถาวร",'รวมทุกประเภท'!$K$2:$K$60,"นำเข้าแล้ว")-COUNTIFS('รวมทุกประเภท'!$B$2:$B$60,$B6,'รวมทุกประเภท'!$V$2:$V$60,"&lt;&gt;ซ้ำกับสินทรัพย์ถาวร",'รวมทุกประเภท'!$K$2:$K$60,"นำเข้าแล้ว",'รวมทุกประเภท'!$O$2:$O$60,"ถูกต้อง")-COUNTIFS('รวมทุกประเภท'!$B$2:$B$60,$B6,'รวมทุกประเภท'!$V$2:$V$60,"&lt;&gt;ซ้ำกับสินทรัพย์ถาวร",'รวมทุกประเภท'!$K$2:$K$60,"นำเข้าแล้ว",'รวมทุกประเภท'!$O$2:$O$60,"ต้องแก้ไข")-COUNTIFS('รวมทุกประเภท'!$B$2:$B$60,$B6,'รวมทุกประเภท'!$V$2:$V$60,"&lt;&gt;ซ้ำกับสินทรัพย์ถาวร",'รวมทุกประเภท'!$K$2:$K$60,"นำเข้าแล้ว",'รวมทุกประเภท'!$O$2:$O$60,"ยังไม่ครบ")-COUNTIFS('รวมทุกประเภท'!$B$2:$B$60,$B6,'รวมทุกประเภท'!$V$2:$V$60,"&lt;&gt;ซ้ำกับสินทรัพย์ถาวร",'รวมทุกประเภท'!$K$2:$K$60,"นำเข้าแล้ว",'รวมทุกประเภท'!$O$2:$O$60,"ข้าม")</f>
        <v/>
      </c>
      <c r="M6" s="9" t="inlineStr">
        <is>
          <t>สรุป-คลังสินค้า</t>
        </is>
      </c>
      <c r="N6" s="6" t="inlineStr">
        <is>
          <t>UAT-นำเข้าข้อมูล-คลังสินค้า-ครั้งที่-1.xlsx</t>
        </is>
      </c>
    </row>
    <row r="7">
      <c r="A7" s="5" t="n">
        <v>2</v>
      </c>
      <c r="B7" s="6" t="inlineStr">
        <is>
          <t>งบประมาณ</t>
        </is>
      </c>
      <c r="C7" s="7">
        <f>COUNTIFS('รวมทุกประเภท'!$B$2:$B$60,$B7,'รวมทุกประเภท'!$V$2:$V$60,"&lt;&gt;ซ้ำกับสินทรัพย์ถาวร")</f>
        <v/>
      </c>
      <c r="D7" s="7">
        <f>COUNTIFS('รวมทุกประเภท'!$B$2:$B$60,$B7,'รวมทุกประเภท'!$V$2:$V$60,"&lt;&gt;ซ้ำกับสินทรัพย์ถาวร",'รวมทุกประเภท'!$K$2:$K$60,"นำเข้าแล้ว")</f>
        <v/>
      </c>
      <c r="E7" s="7">
        <f>COUNTIFS('รวมทุกประเภท'!$B$2:$B$60,$B7,'รวมทุกประเภท'!$V$2:$V$60,"&lt;&gt;ซ้ำกับสินทรัพย์ถาวร",'รวมทุกประเภท'!$K$2:$K$60,"มีข้อมูลในระบบ (ธุรกรรม)")</f>
        <v/>
      </c>
      <c r="F7" s="7">
        <f>COUNTIFS('รวมทุกประเภท'!$B$2:$B$60,$B7,'รวมทุกประเภท'!$V$2:$V$60,"&lt;&gt;ซ้ำกับสินทรัพย์ถาวร",'รวมทุกประเภท'!$K$2:$K$60,"มีรายการคงค้าง")</f>
        <v/>
      </c>
      <c r="G7" s="7">
        <f>COUNTIFS('รวมทุกประเภท'!$B$2:$B$60,$B7,'รวมทุกประเภท'!$V$2:$V$60,"&lt;&gt;ซ้ำกับสินทรัพย์ถาวร",'รวมทุกประเภท'!$K$2:$K$60,"ยังไม่นำเข้า")</f>
        <v/>
      </c>
      <c r="H7" s="7">
        <f>SUMIFS('รวมทุกประเภท'!$I$2:$I$60,'รวมทุกประเภท'!$B$2:$B$60,$B7,'รวมทุกประเภท'!$V$2:$V$60,"&lt;&gt;ซ้ำกับสินทรัพย์ถาวร")</f>
        <v/>
      </c>
      <c r="I7" s="8">
        <f>IF(C7=0,"",D7/C7)</f>
        <v/>
      </c>
      <c r="J7" s="7">
        <f>COUNTIFS('รวมทุกประเภท'!$B$2:$B$60,$B7,'รวมทุกประเภท'!$V$2:$V$60,"&lt;&gt;ซ้ำกับสินทรัพย์ถาวร",'รวมทุกประเภท'!$O$2:$O$60,"ถูกต้อง")</f>
        <v/>
      </c>
      <c r="K7" s="7">
        <f>COUNTIFS('รวมทุกประเภท'!$B$2:$B$60,$B7,'รวมทุกประเภท'!$V$2:$V$60,"&lt;&gt;ซ้ำกับสินทรัพย์ถาวร",'รวมทุกประเภท'!$O$2:$O$60,"ต้องแก้ไข")+COUNTIFS('รวมทุกประเภท'!$B$2:$B$60,$B7,'รวมทุกประเภท'!$V$2:$V$60,"&lt;&gt;ซ้ำกับสินทรัพย์ถาวร",'รวมทุกประเภท'!$O$2:$O$60,"ยังไม่ครบ")</f>
        <v/>
      </c>
      <c r="L7" s="7">
        <f>COUNTIFS('รวมทุกประเภท'!$B$2:$B$60,$B7,'รวมทุกประเภท'!$V$2:$V$60,"&lt;&gt;ซ้ำกับสินทรัพย์ถาวร",'รวมทุกประเภท'!$K$2:$K$60,"นำเข้าแล้ว")-COUNTIFS('รวมทุกประเภท'!$B$2:$B$60,$B7,'รวมทุกประเภท'!$V$2:$V$60,"&lt;&gt;ซ้ำกับสินทรัพย์ถาวร",'รวมทุกประเภท'!$K$2:$K$60,"นำเข้าแล้ว",'รวมทุกประเภท'!$O$2:$O$60,"ถูกต้อง")-COUNTIFS('รวมทุกประเภท'!$B$2:$B$60,$B7,'รวมทุกประเภท'!$V$2:$V$60,"&lt;&gt;ซ้ำกับสินทรัพย์ถาวร",'รวมทุกประเภท'!$K$2:$K$60,"นำเข้าแล้ว",'รวมทุกประเภท'!$O$2:$O$60,"ต้องแก้ไข")-COUNTIFS('รวมทุกประเภท'!$B$2:$B$60,$B7,'รวมทุกประเภท'!$V$2:$V$60,"&lt;&gt;ซ้ำกับสินทรัพย์ถาวร",'รวมทุกประเภท'!$K$2:$K$60,"นำเข้าแล้ว",'รวมทุกประเภท'!$O$2:$O$60,"ยังไม่ครบ")-COUNTIFS('รวมทุกประเภท'!$B$2:$B$60,$B7,'รวมทุกประเภท'!$V$2:$V$60,"&lt;&gt;ซ้ำกับสินทรัพย์ถาวร",'รวมทุกประเภท'!$K$2:$K$60,"นำเข้าแล้ว",'รวมทุกประเภท'!$O$2:$O$60,"ข้าม")</f>
        <v/>
      </c>
      <c r="M7" s="9" t="inlineStr">
        <is>
          <t>สรุป-งบประมาณ</t>
        </is>
      </c>
      <c r="N7" s="6" t="inlineStr">
        <is>
          <t>UAT-นำเข้าข้อมูล-งบประมาณ-ครั้งที่ 1.xlsx</t>
        </is>
      </c>
    </row>
    <row r="8">
      <c r="A8" s="5" t="n">
        <v>3</v>
      </c>
      <c r="B8" s="6" t="inlineStr">
        <is>
          <t>จัดซื้อจัดจ้าง</t>
        </is>
      </c>
      <c r="C8" s="7">
        <f>COUNTIFS('รวมทุกประเภท'!$B$2:$B$60,$B8,'รวมทุกประเภท'!$V$2:$V$60,"&lt;&gt;ซ้ำกับสินทรัพย์ถาวร")</f>
        <v/>
      </c>
      <c r="D8" s="7">
        <f>COUNTIFS('รวมทุกประเภท'!$B$2:$B$60,$B8,'รวมทุกประเภท'!$V$2:$V$60,"&lt;&gt;ซ้ำกับสินทรัพย์ถาวร",'รวมทุกประเภท'!$K$2:$K$60,"นำเข้าแล้ว")</f>
        <v/>
      </c>
      <c r="E8" s="7">
        <f>COUNTIFS('รวมทุกประเภท'!$B$2:$B$60,$B8,'รวมทุกประเภท'!$V$2:$V$60,"&lt;&gt;ซ้ำกับสินทรัพย์ถาวร",'รวมทุกประเภท'!$K$2:$K$60,"มีข้อมูลในระบบ (ธุรกรรม)")</f>
        <v/>
      </c>
      <c r="F8" s="7">
        <f>COUNTIFS('รวมทุกประเภท'!$B$2:$B$60,$B8,'รวมทุกประเภท'!$V$2:$V$60,"&lt;&gt;ซ้ำกับสินทรัพย์ถาวร",'รวมทุกประเภท'!$K$2:$K$60,"มีรายการคงค้าง")</f>
        <v/>
      </c>
      <c r="G8" s="7">
        <f>COUNTIFS('รวมทุกประเภท'!$B$2:$B$60,$B8,'รวมทุกประเภท'!$V$2:$V$60,"&lt;&gt;ซ้ำกับสินทรัพย์ถาวร",'รวมทุกประเภท'!$K$2:$K$60,"ยังไม่นำเข้า")</f>
        <v/>
      </c>
      <c r="H8" s="7">
        <f>SUMIFS('รวมทุกประเภท'!$I$2:$I$60,'รวมทุกประเภท'!$B$2:$B$60,$B8,'รวมทุกประเภท'!$V$2:$V$60,"&lt;&gt;ซ้ำกับสินทรัพย์ถาวร")</f>
        <v/>
      </c>
      <c r="I8" s="8">
        <f>IF(C8=0,"",D8/C8)</f>
        <v/>
      </c>
      <c r="J8" s="7">
        <f>COUNTIFS('รวมทุกประเภท'!$B$2:$B$60,$B8,'รวมทุกประเภท'!$V$2:$V$60,"&lt;&gt;ซ้ำกับสินทรัพย์ถาวร",'รวมทุกประเภท'!$O$2:$O$60,"ถูกต้อง")</f>
        <v/>
      </c>
      <c r="K8" s="7">
        <f>COUNTIFS('รวมทุกประเภท'!$B$2:$B$60,$B8,'รวมทุกประเภท'!$V$2:$V$60,"&lt;&gt;ซ้ำกับสินทรัพย์ถาวร",'รวมทุกประเภท'!$O$2:$O$60,"ต้องแก้ไข")+COUNTIFS('รวมทุกประเภท'!$B$2:$B$60,$B8,'รวมทุกประเภท'!$V$2:$V$60,"&lt;&gt;ซ้ำกับสินทรัพย์ถาวร",'รวมทุกประเภท'!$O$2:$O$60,"ยังไม่ครบ")</f>
        <v/>
      </c>
      <c r="L8" s="7">
        <f>COUNTIFS('รวมทุกประเภท'!$B$2:$B$60,$B8,'รวมทุกประเภท'!$V$2:$V$60,"&lt;&gt;ซ้ำกับสินทรัพย์ถาวร",'รวมทุกประเภท'!$K$2:$K$60,"นำเข้าแล้ว")-COUNTIFS('รวมทุกประเภท'!$B$2:$B$60,$B8,'รวมทุกประเภท'!$V$2:$V$60,"&lt;&gt;ซ้ำกับสินทรัพย์ถาวร",'รวมทุกประเภท'!$K$2:$K$60,"นำเข้าแล้ว",'รวมทุกประเภท'!$O$2:$O$60,"ถูกต้อง")-COUNTIFS('รวมทุกประเภท'!$B$2:$B$60,$B8,'รวมทุกประเภท'!$V$2:$V$60,"&lt;&gt;ซ้ำกับสินทรัพย์ถาวร",'รวมทุกประเภท'!$K$2:$K$60,"นำเข้าแล้ว",'รวมทุกประเภท'!$O$2:$O$60,"ต้องแก้ไข")-COUNTIFS('รวมทุกประเภท'!$B$2:$B$60,$B8,'รวมทุกประเภท'!$V$2:$V$60,"&lt;&gt;ซ้ำกับสินทรัพย์ถาวร",'รวมทุกประเภท'!$K$2:$K$60,"นำเข้าแล้ว",'รวมทุกประเภท'!$O$2:$O$60,"ยังไม่ครบ")-COUNTIFS('รวมทุกประเภท'!$B$2:$B$60,$B8,'รวมทุกประเภท'!$V$2:$V$60,"&lt;&gt;ซ้ำกับสินทรัพย์ถาวร",'รวมทุกประเภท'!$K$2:$K$60,"นำเข้าแล้ว",'รวมทุกประเภท'!$O$2:$O$60,"ข้าม")</f>
        <v/>
      </c>
      <c r="M8" s="9" t="inlineStr">
        <is>
          <t>สรุป-จัดซื้อ</t>
        </is>
      </c>
      <c r="N8" s="6" t="inlineStr">
        <is>
          <t>UAT-นำเข้าข้อมูล-จัดซื้อ-ครั้งที่ 1.xlsx</t>
        </is>
      </c>
    </row>
    <row r="9">
      <c r="A9" s="5" t="n">
        <v>4</v>
      </c>
      <c r="B9" s="6" t="inlineStr">
        <is>
          <t>สินทรัพย์ถาวร</t>
        </is>
      </c>
      <c r="C9" s="7">
        <f>COUNTIFS('รวมทุกประเภท'!$B$2:$B$60,$B9,'รวมทุกประเภท'!$V$2:$V$60,"&lt;&gt;ซ้ำกับสินทรัพย์ถาวร")</f>
        <v/>
      </c>
      <c r="D9" s="7">
        <f>COUNTIFS('รวมทุกประเภท'!$B$2:$B$60,$B9,'รวมทุกประเภท'!$V$2:$V$60,"&lt;&gt;ซ้ำกับสินทรัพย์ถาวร",'รวมทุกประเภท'!$K$2:$K$60,"นำเข้าแล้ว")</f>
        <v/>
      </c>
      <c r="E9" s="7">
        <f>COUNTIFS('รวมทุกประเภท'!$B$2:$B$60,$B9,'รวมทุกประเภท'!$V$2:$V$60,"&lt;&gt;ซ้ำกับสินทรัพย์ถาวร",'รวมทุกประเภท'!$K$2:$K$60,"มีข้อมูลในระบบ (ธุรกรรม)")</f>
        <v/>
      </c>
      <c r="F9" s="7">
        <f>COUNTIFS('รวมทุกประเภท'!$B$2:$B$60,$B9,'รวมทุกประเภท'!$V$2:$V$60,"&lt;&gt;ซ้ำกับสินทรัพย์ถาวร",'รวมทุกประเภท'!$K$2:$K$60,"มีรายการคงค้าง")</f>
        <v/>
      </c>
      <c r="G9" s="7">
        <f>COUNTIFS('รวมทุกประเภท'!$B$2:$B$60,$B9,'รวมทุกประเภท'!$V$2:$V$60,"&lt;&gt;ซ้ำกับสินทรัพย์ถาวร",'รวมทุกประเภท'!$K$2:$K$60,"ยังไม่นำเข้า")</f>
        <v/>
      </c>
      <c r="H9" s="7">
        <f>SUMIFS('รวมทุกประเภท'!$I$2:$I$60,'รวมทุกประเภท'!$B$2:$B$60,$B9,'รวมทุกประเภท'!$V$2:$V$60,"&lt;&gt;ซ้ำกับสินทรัพย์ถาวร")</f>
        <v/>
      </c>
      <c r="I9" s="8">
        <f>IF(C9=0,"",D9/C9)</f>
        <v/>
      </c>
      <c r="J9" s="7">
        <f>COUNTIFS('รวมทุกประเภท'!$B$2:$B$60,$B9,'รวมทุกประเภท'!$V$2:$V$60,"&lt;&gt;ซ้ำกับสินทรัพย์ถาวร",'รวมทุกประเภท'!$O$2:$O$60,"ถูกต้อง")</f>
        <v/>
      </c>
      <c r="K9" s="7">
        <f>COUNTIFS('รวมทุกประเภท'!$B$2:$B$60,$B9,'รวมทุกประเภท'!$V$2:$V$60,"&lt;&gt;ซ้ำกับสินทรัพย์ถาวร",'รวมทุกประเภท'!$O$2:$O$60,"ต้องแก้ไข")+COUNTIFS('รวมทุกประเภท'!$B$2:$B$60,$B9,'รวมทุกประเภท'!$V$2:$V$60,"&lt;&gt;ซ้ำกับสินทรัพย์ถาวร",'รวมทุกประเภท'!$O$2:$O$60,"ยังไม่ครบ")</f>
        <v/>
      </c>
      <c r="L9" s="7">
        <f>COUNTIFS('รวมทุกประเภท'!$B$2:$B$60,$B9,'รวมทุกประเภท'!$V$2:$V$60,"&lt;&gt;ซ้ำกับสินทรัพย์ถาวร",'รวมทุกประเภท'!$K$2:$K$60,"นำเข้าแล้ว")-COUNTIFS('รวมทุกประเภท'!$B$2:$B$60,$B9,'รวมทุกประเภท'!$V$2:$V$60,"&lt;&gt;ซ้ำกับสินทรัพย์ถาวร",'รวมทุกประเภท'!$K$2:$K$60,"นำเข้าแล้ว",'รวมทุกประเภท'!$O$2:$O$60,"ถูกต้อง")-COUNTIFS('รวมทุกประเภท'!$B$2:$B$60,$B9,'รวมทุกประเภท'!$V$2:$V$60,"&lt;&gt;ซ้ำกับสินทรัพย์ถาวร",'รวมทุกประเภท'!$K$2:$K$60,"นำเข้าแล้ว",'รวมทุกประเภท'!$O$2:$O$60,"ต้องแก้ไข")-COUNTIFS('รวมทุกประเภท'!$B$2:$B$60,$B9,'รวมทุกประเภท'!$V$2:$V$60,"&lt;&gt;ซ้ำกับสินทรัพย์ถาวร",'รวมทุกประเภท'!$K$2:$K$60,"นำเข้าแล้ว",'รวมทุกประเภท'!$O$2:$O$60,"ยังไม่ครบ")-COUNTIFS('รวมทุกประเภท'!$B$2:$B$60,$B9,'รวมทุกประเภท'!$V$2:$V$60,"&lt;&gt;ซ้ำกับสินทรัพย์ถาวร",'รวมทุกประเภท'!$K$2:$K$60,"นำเข้าแล้ว",'รวมทุกประเภท'!$O$2:$O$60,"ข้าม")</f>
        <v/>
      </c>
      <c r="M9" s="9" t="inlineStr">
        <is>
          <t>สรุป-สินทรัพย์ถาวร</t>
        </is>
      </c>
      <c r="N9" s="6" t="inlineStr">
        <is>
          <t>UAT-นำเข้าข้อมูล-สินทรัพย์ถาวร-ครั้งที่-1.xlsx</t>
        </is>
      </c>
    </row>
    <row r="10">
      <c r="A10" s="5" t="n">
        <v>5</v>
      </c>
      <c r="B10" s="6" t="inlineStr">
        <is>
          <t>เจ้าหนี้บัญชีการเงิน</t>
        </is>
      </c>
      <c r="C10" s="7">
        <f>COUNTIFS('รวมทุกประเภท'!$B$2:$B$60,$B10,'รวมทุกประเภท'!$V$2:$V$60,"&lt;&gt;ซ้ำกับสินทรัพย์ถาวร")</f>
        <v/>
      </c>
      <c r="D10" s="7">
        <f>COUNTIFS('รวมทุกประเภท'!$B$2:$B$60,$B10,'รวมทุกประเภท'!$V$2:$V$60,"&lt;&gt;ซ้ำกับสินทรัพย์ถาวร",'รวมทุกประเภท'!$K$2:$K$60,"นำเข้าแล้ว")</f>
        <v/>
      </c>
      <c r="E10" s="7">
        <f>COUNTIFS('รวมทุกประเภท'!$B$2:$B$60,$B10,'รวมทุกประเภท'!$V$2:$V$60,"&lt;&gt;ซ้ำกับสินทรัพย์ถาวร",'รวมทุกประเภท'!$K$2:$K$60,"มีข้อมูลในระบบ (ธุรกรรม)")</f>
        <v/>
      </c>
      <c r="F10" s="7">
        <f>COUNTIFS('รวมทุกประเภท'!$B$2:$B$60,$B10,'รวมทุกประเภท'!$V$2:$V$60,"&lt;&gt;ซ้ำกับสินทรัพย์ถาวร",'รวมทุกประเภท'!$K$2:$K$60,"มีรายการคงค้าง")</f>
        <v/>
      </c>
      <c r="G10" s="7">
        <f>COUNTIFS('รวมทุกประเภท'!$B$2:$B$60,$B10,'รวมทุกประเภท'!$V$2:$V$60,"&lt;&gt;ซ้ำกับสินทรัพย์ถาวร",'รวมทุกประเภท'!$K$2:$K$60,"ยังไม่นำเข้า")</f>
        <v/>
      </c>
      <c r="H10" s="7">
        <f>SUMIFS('รวมทุกประเภท'!$I$2:$I$60,'รวมทุกประเภท'!$B$2:$B$60,$B10,'รวมทุกประเภท'!$V$2:$V$60,"&lt;&gt;ซ้ำกับสินทรัพย์ถาวร")</f>
        <v/>
      </c>
      <c r="I10" s="8">
        <f>IF(C10=0,"",D10/C10)</f>
        <v/>
      </c>
      <c r="J10" s="7">
        <f>COUNTIFS('รวมทุกประเภท'!$B$2:$B$60,$B10,'รวมทุกประเภท'!$V$2:$V$60,"&lt;&gt;ซ้ำกับสินทรัพย์ถาวร",'รวมทุกประเภท'!$O$2:$O$60,"ถูกต้อง")</f>
        <v/>
      </c>
      <c r="K10" s="7">
        <f>COUNTIFS('รวมทุกประเภท'!$B$2:$B$60,$B10,'รวมทุกประเภท'!$V$2:$V$60,"&lt;&gt;ซ้ำกับสินทรัพย์ถาวร",'รวมทุกประเภท'!$O$2:$O$60,"ต้องแก้ไข")+COUNTIFS('รวมทุกประเภท'!$B$2:$B$60,$B10,'รวมทุกประเภท'!$V$2:$V$60,"&lt;&gt;ซ้ำกับสินทรัพย์ถาวร",'รวมทุกประเภท'!$O$2:$O$60,"ยังไม่ครบ")</f>
        <v/>
      </c>
      <c r="L10" s="7">
        <f>COUNTIFS('รวมทุกประเภท'!$B$2:$B$60,$B10,'รวมทุกประเภท'!$V$2:$V$60,"&lt;&gt;ซ้ำกับสินทรัพย์ถาวร",'รวมทุกประเภท'!$K$2:$K$60,"นำเข้าแล้ว")-COUNTIFS('รวมทุกประเภท'!$B$2:$B$60,$B10,'รวมทุกประเภท'!$V$2:$V$60,"&lt;&gt;ซ้ำกับสินทรัพย์ถาวร",'รวมทุกประเภท'!$K$2:$K$60,"นำเข้าแล้ว",'รวมทุกประเภท'!$O$2:$O$60,"ถูกต้อง")-COUNTIFS('รวมทุกประเภท'!$B$2:$B$60,$B10,'รวมทุกประเภท'!$V$2:$V$60,"&lt;&gt;ซ้ำกับสินทรัพย์ถาวร",'รวมทุกประเภท'!$K$2:$K$60,"นำเข้าแล้ว",'รวมทุกประเภท'!$O$2:$O$60,"ต้องแก้ไข")-COUNTIFS('รวมทุกประเภท'!$B$2:$B$60,$B10,'รวมทุกประเภท'!$V$2:$V$60,"&lt;&gt;ซ้ำกับสินทรัพย์ถาวร",'รวมทุกประเภท'!$K$2:$K$60,"นำเข้าแล้ว",'รวมทุกประเภท'!$O$2:$O$60,"ยังไม่ครบ")-COUNTIFS('รวมทุกประเภท'!$B$2:$B$60,$B10,'รวมทุกประเภท'!$V$2:$V$60,"&lt;&gt;ซ้ำกับสินทรัพย์ถาวร",'รวมทุกประเภท'!$K$2:$K$60,"นำเข้าแล้ว",'รวมทุกประเภท'!$O$2:$O$60,"ข้าม")</f>
        <v/>
      </c>
      <c r="M10" s="9" t="inlineStr">
        <is>
          <t>สรุป-เจ้าหนี้การเงิน</t>
        </is>
      </c>
      <c r="N10" s="6" t="inlineStr">
        <is>
          <t>UAT-นำเข้าข้อมูล-เจ้าหนี้บัญชีการเงิน-ครั้งที่ 1.xlsx</t>
        </is>
      </c>
    </row>
    <row r="11">
      <c r="A11" s="10" t="n"/>
      <c r="B11" s="11" t="inlineStr">
        <is>
          <t>รวมทุกระบบ</t>
        </is>
      </c>
      <c r="C11" s="12">
        <f>SUM(C6:C10)</f>
        <v/>
      </c>
      <c r="D11" s="12">
        <f>SUM(D6:D10)</f>
        <v/>
      </c>
      <c r="E11" s="12">
        <f>SUM(E6:E10)</f>
        <v/>
      </c>
      <c r="F11" s="12">
        <f>SUM(F6:F10)</f>
        <v/>
      </c>
      <c r="G11" s="12">
        <f>SUM(G6:G10)</f>
        <v/>
      </c>
      <c r="H11" s="12">
        <f>SUM(H6:H10)</f>
        <v/>
      </c>
      <c r="I11" s="13">
        <f>IF(C11=0,"",D11/C11)</f>
        <v/>
      </c>
      <c r="J11" s="12">
        <f>SUM(J6:J10)</f>
        <v/>
      </c>
      <c r="K11" s="12">
        <f>SUM(K6:K10)</f>
        <v/>
      </c>
      <c r="L11" s="12">
        <f>SUM(L6:L10)</f>
        <v/>
      </c>
      <c r="M11" s="10" t="n"/>
      <c r="N11" s="10" t="n"/>
    </row>
    <row r="13">
      <c r="A13" s="14" t="inlineStr">
        <is>
          <t>วิธีอ่าน</t>
        </is>
      </c>
    </row>
    <row r="14">
      <c r="A14" s="15" t="inlineStr">
        <is>
          <t>ไฟล์เจ้าหนี้บัญชีการเงินมี 3 ประเภทที่ซ้ำกับไฟล์สินทรัพย์ถาวร (โปรไฟล์สินทรัพย์, บัตรสินทรัพย์, ครุภัณฑ์ซ่อมบำรุง) ยังแสดงในชีต “รวมทุกประเภท” (แถวสีเทา) แต่ไม่นับรวมในภาพรวมเพื่อไม่ให้นับซ้ำ</t>
        </is>
      </c>
    </row>
    <row r="15">
      <c r="A15" s="15" t="inlineStr">
        <is>
          <t>นำเข้าแล้ว = ข้อมูลอยู่ในระบบและมีชีตยืนยันให้ตรวจ · มีข้อมูลในระบบ (ธุรกรรม) = เอกสารปฏิบัติงานที่มีในฐาน ไม่ใช่ข้อมูลนำเข้า · มีรายการคงค้าง = ข้อมูลคงค้าง เช่น งบทดลอง (TB) · ยังไม่นำเข้า = ยังไม่มีข้อมูล (จำนวน 0)</t>
        </is>
      </c>
    </row>
    <row r="16">
      <c r="A16" s="15" t="inlineStr">
        <is>
          <t>รอยืนยัน = ประเภทที่นำเข้าแล้วแต่เจ้าของข้อมูลยังไม่เลือกผลยืนยัน (ถูกต้อง / ต้องแก้ไข / ยังไม่ครบ / ข้าม) ผลยืนยันกรอกที่ชีต “รวมทุกประเภท” หรือชีตสรุปต้นทางของแต่ละระบบ</t>
        </is>
      </c>
    </row>
    <row r="17">
      <c r="A17" s="15" t="inlineStr">
        <is>
          <t>ไฟล์งบประมาณมีไฟล์รายการคำของบแยก 4 ไฟล์ (วัสดุ ครุภัณฑ์ ก่อสร้าง โครงการ) รายละเอียดอยู่ในช่องสถานะนำเข้าของแถวคำของบหน่วยงาน</t>
        </is>
      </c>
    </row>
    <row r="18">
      <c r="A18" s="15" t="inlineStr">
        <is>
          <t>ข้อมูลเป็นสำเนา ณ วันที่สร้างไฟล์นี้ ถ้าไฟล์ต้นทางเปลี่ยน ให้สร้างไฟล์ภาพรวมใหม่</t>
        </is>
      </c>
    </row>
  </sheetData>
  <hyperlinks>
    <hyperlink xmlns:r="http://schemas.openxmlformats.org/officeDocument/2006/relationships" ref="M6" r:id="rId1"/>
    <hyperlink xmlns:r="http://schemas.openxmlformats.org/officeDocument/2006/relationships" ref="M7" r:id="rId2"/>
    <hyperlink xmlns:r="http://schemas.openxmlformats.org/officeDocument/2006/relationships" ref="M8" r:id="rId3"/>
    <hyperlink xmlns:r="http://schemas.openxmlformats.org/officeDocument/2006/relationships" ref="M9" r:id="rId4"/>
    <hyperlink xmlns:r="http://schemas.openxmlformats.org/officeDocument/2006/relationships" ref="M10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50" customWidth="1" min="4" max="4"/>
    <col width="12" customWidth="1" min="5" max="5"/>
    <col width="26" customWidth="1" min="6" max="6"/>
    <col width="34" customWidth="1" min="7" max="7"/>
    <col width="22" customWidth="1" min="8" max="8"/>
    <col width="14" customWidth="1" min="9" max="9"/>
    <col width="30" customWidth="1" min="10" max="10"/>
    <col width="20" customWidth="1" min="11" max="11"/>
    <col width="24" customWidth="1" min="12" max="12"/>
    <col width="16" customWidth="1" min="13" max="13"/>
    <col width="12" customWidth="1" min="14" max="14"/>
    <col width="16" customWidth="1" min="15" max="15"/>
    <col width="16" customWidth="1" min="16" max="16"/>
    <col width="14" customWidth="1" min="17" max="17"/>
    <col width="14" customWidth="1" min="18" max="18"/>
    <col width="28" customWidth="1" min="19" max="19"/>
    <col width="50" customWidth="1" min="20" max="20"/>
    <col width="40" customWidth="1" min="21" max="21"/>
    <col width="26" customWidth="1" min="22" max="22"/>
  </cols>
  <sheetData>
    <row r="1" ht="32" customHeight="1">
      <c r="A1" s="4" t="inlineStr">
        <is>
          <t>ลำดับ</t>
        </is>
      </c>
      <c r="B1" s="4" t="inlineStr">
        <is>
          <t>ระบบ</t>
        </is>
      </c>
      <c r="C1" s="4" t="inlineStr">
        <is>
          <t>ประเภทข้อมูล</t>
        </is>
      </c>
      <c r="D1" s="4" t="inlineStr">
        <is>
          <t>ข้อมูลนี้คืออะไร / ใช้ทำอะไรในระบบ</t>
        </is>
      </c>
      <c r="E1" s="4" t="inlineStr">
        <is>
          <t>กลุ่ม</t>
        </is>
      </c>
      <c r="F1" s="4" t="inlineStr">
        <is>
          <t>โมดูลที่เกี่ยวข้อง</t>
        </is>
      </c>
      <c r="G1" s="4" t="inlineStr">
        <is>
          <t>โมเดลในระบบ</t>
        </is>
      </c>
      <c r="H1" s="4" t="inlineStr">
        <is>
          <t>คีย์จับคู่</t>
        </is>
      </c>
      <c r="I1" s="4" t="inlineStr">
        <is>
          <t>จำนวนในระบบ</t>
        </is>
      </c>
      <c r="J1" s="4" t="inlineStr">
        <is>
          <t>สถานะนำเข้า</t>
        </is>
      </c>
      <c r="K1" s="4" t="inlineStr">
        <is>
          <t>สถานะ (จัดกลุ่ม)</t>
        </is>
      </c>
      <c r="L1" s="4" t="inlineStr">
        <is>
          <t>ชีตรายการยืนยัน</t>
        </is>
      </c>
      <c r="M1" s="4" t="inlineStr">
        <is>
          <t>จำนวนต้นทาง (กรอก)</t>
        </is>
      </c>
      <c r="N1" s="4" t="inlineStr">
        <is>
          <t>ผลต่าง</t>
        </is>
      </c>
      <c r="O1" s="4" t="inlineStr">
        <is>
          <t>ผลยืนยัน</t>
        </is>
      </c>
      <c r="P1" s="4" t="inlineStr">
        <is>
          <t>ผู้ยืนยัน</t>
        </is>
      </c>
      <c r="Q1" s="4" t="inlineStr">
        <is>
          <t>ลงชื่อ</t>
        </is>
      </c>
      <c r="R1" s="4" t="inlineStr">
        <is>
          <t>วันที่</t>
        </is>
      </c>
      <c r="S1" s="4" t="inlineStr">
        <is>
          <t>หมายเหตุ</t>
        </is>
      </c>
      <c r="T1" s="4" t="inlineStr">
        <is>
          <t>อ้างอิงการได้มาของข้อมูล</t>
        </is>
      </c>
      <c r="U1" s="4" t="inlineStr">
        <is>
          <t>ไฟล์ต้นทาง</t>
        </is>
      </c>
      <c r="V1" s="4" t="inlineStr">
        <is>
          <t>ซ้ำกับระบบอื่น (ไม่นับรวมในภาพรวม)</t>
        </is>
      </c>
    </row>
    <row r="2">
      <c r="A2" s="16" t="n">
        <v>1</v>
      </c>
      <c r="B2" s="17" t="inlineStr">
        <is>
          <t>คลังสินค้า</t>
        </is>
      </c>
      <c r="C2" s="17" t="inlineStr">
        <is>
          <t>หมวดหน่วยนับ</t>
        </is>
      </c>
      <c r="D2" s="17" t="n"/>
      <c r="E2" s="16" t="inlineStr">
        <is>
          <t>Master</t>
        </is>
      </c>
      <c r="F2" s="17" t="inlineStr">
        <is>
          <t>คลัง, สินค้า</t>
        </is>
      </c>
      <c r="G2" s="17" t="inlineStr">
        <is>
          <t>uom.category</t>
        </is>
      </c>
      <c r="H2" s="17" t="inlineStr">
        <is>
          <t>name</t>
        </is>
      </c>
      <c r="I2" s="18" t="n">
        <v>89</v>
      </c>
      <c r="J2" s="16" t="inlineStr">
        <is>
          <t>นำเข้าแล้ว</t>
        </is>
      </c>
      <c r="K2" s="19" t="inlineStr">
        <is>
          <t>นำเข้าแล้ว</t>
        </is>
      </c>
      <c r="L2" s="17" t="inlineStr">
        <is>
          <t>ยืนยัน-หมวดหน่วยนับ</t>
        </is>
      </c>
      <c r="M2" s="18" t="n"/>
      <c r="N2" s="18">
        <f>IF(M2="","",I2-M2)</f>
        <v/>
      </c>
      <c r="O2" s="17" t="n"/>
      <c r="P2" s="17" t="n"/>
      <c r="Q2" s="17" t="n"/>
      <c r="R2" s="17" t="n"/>
      <c r="S2" s="17" t="n"/>
      <c r="T2" s="17" t="n"/>
      <c r="U2" s="17" t="inlineStr">
        <is>
          <t>UAT-นำเข้าข้อมูล-คลังสินค้า-ครั้งที่-1.xlsx</t>
        </is>
      </c>
      <c r="V2" s="17" t="n"/>
    </row>
    <row r="3">
      <c r="A3" s="16" t="n">
        <v>2</v>
      </c>
      <c r="B3" s="17" t="inlineStr">
        <is>
          <t>คลังสินค้า</t>
        </is>
      </c>
      <c r="C3" s="17" t="inlineStr">
        <is>
          <t>หน่วยนับ</t>
        </is>
      </c>
      <c r="D3" s="17" t="n"/>
      <c r="E3" s="16" t="inlineStr">
        <is>
          <t>Master</t>
        </is>
      </c>
      <c r="F3" s="17" t="inlineStr">
        <is>
          <t>คลัง, สินค้า, จัดซื้อ</t>
        </is>
      </c>
      <c r="G3" s="17" t="inlineStr">
        <is>
          <t>uom.uom</t>
        </is>
      </c>
      <c r="H3" s="17" t="inlineStr">
        <is>
          <t>name + หมวด</t>
        </is>
      </c>
      <c r="I3" s="18" t="n">
        <v>366</v>
      </c>
      <c r="J3" s="16" t="inlineStr">
        <is>
          <t>นำเข้าแล้ว</t>
        </is>
      </c>
      <c r="K3" s="19" t="inlineStr">
        <is>
          <t>นำเข้าแล้ว</t>
        </is>
      </c>
      <c r="L3" s="17" t="inlineStr">
        <is>
          <t>ยืนยัน-หน่วยนับ</t>
        </is>
      </c>
      <c r="M3" s="18" t="n"/>
      <c r="N3" s="18">
        <f>IF(M3="","",I3-M3)</f>
        <v/>
      </c>
      <c r="O3" s="17" t="n"/>
      <c r="P3" s="17" t="n"/>
      <c r="Q3" s="17" t="n"/>
      <c r="R3" s="17" t="n"/>
      <c r="S3" s="17" t="n"/>
      <c r="T3" s="17" t="n"/>
      <c r="U3" s="17" t="inlineStr">
        <is>
          <t>UAT-นำเข้าข้อมูล-คลังสินค้า-ครั้งที่-1.xlsx</t>
        </is>
      </c>
      <c r="V3" s="17" t="n"/>
    </row>
    <row r="4">
      <c r="A4" s="16" t="n">
        <v>3</v>
      </c>
      <c r="B4" s="17" t="inlineStr">
        <is>
          <t>คลังสินค้า</t>
        </is>
      </c>
      <c r="C4" s="17" t="inlineStr">
        <is>
          <t>หมวดหมู่สินค้า</t>
        </is>
      </c>
      <c r="D4" s="17" t="n"/>
      <c r="E4" s="16" t="inlineStr">
        <is>
          <t>Master</t>
        </is>
      </c>
      <c r="F4" s="17" t="inlineStr">
        <is>
          <t>คลัง, สินค้า</t>
        </is>
      </c>
      <c r="G4" s="17" t="inlineStr">
        <is>
          <t>product.category</t>
        </is>
      </c>
      <c r="H4" s="17" t="inlineStr">
        <is>
          <t>complete_name</t>
        </is>
      </c>
      <c r="I4" s="18" t="n">
        <v>115</v>
      </c>
      <c r="J4" s="16" t="inlineStr">
        <is>
          <t>นำเข้าแล้ว</t>
        </is>
      </c>
      <c r="K4" s="19" t="inlineStr">
        <is>
          <t>นำเข้าแล้ว</t>
        </is>
      </c>
      <c r="L4" s="17" t="inlineStr">
        <is>
          <t>ยืนยัน-หมวดสินค้า</t>
        </is>
      </c>
      <c r="M4" s="18" t="n"/>
      <c r="N4" s="18">
        <f>IF(M4="","",I4-M4)</f>
        <v/>
      </c>
      <c r="O4" s="17" t="n"/>
      <c r="P4" s="17" t="n"/>
      <c r="Q4" s="17" t="n"/>
      <c r="R4" s="17" t="n"/>
      <c r="S4" s="17" t="n"/>
      <c r="T4" s="17" t="n"/>
      <c r="U4" s="17" t="inlineStr">
        <is>
          <t>UAT-นำเข้าข้อมูล-คลังสินค้า-ครั้งที่-1.xlsx</t>
        </is>
      </c>
      <c r="V4" s="17" t="n"/>
    </row>
    <row r="5">
      <c r="A5" s="16" t="n">
        <v>4</v>
      </c>
      <c r="B5" s="17" t="inlineStr">
        <is>
          <t>คลังสินค้า</t>
        </is>
      </c>
      <c r="C5" s="17" t="inlineStr">
        <is>
          <t>สินค้า (Product Master)</t>
        </is>
      </c>
      <c r="D5" s="17" t="n"/>
      <c r="E5" s="16" t="inlineStr">
        <is>
          <t>Master</t>
        </is>
      </c>
      <c r="F5" s="17" t="inlineStr">
        <is>
          <t>คลัง, จัดซื้อ, งบประมาณ</t>
        </is>
      </c>
      <c r="G5" s="17" t="inlineStr">
        <is>
          <t>product.template</t>
        </is>
      </c>
      <c r="H5" s="17" t="inlineStr">
        <is>
          <t>default_code</t>
        </is>
      </c>
      <c r="I5" s="18" t="n">
        <v>5868</v>
      </c>
      <c r="J5" s="16" t="inlineStr">
        <is>
          <t>นำเข้าแล้ว</t>
        </is>
      </c>
      <c r="K5" s="19" t="inlineStr">
        <is>
          <t>นำเข้าแล้ว</t>
        </is>
      </c>
      <c r="L5" s="17" t="inlineStr">
        <is>
          <t>ยืนยัน-สินค้า</t>
        </is>
      </c>
      <c r="M5" s="18" t="n"/>
      <c r="N5" s="18">
        <f>IF(M5="","",I5-M5)</f>
        <v/>
      </c>
      <c r="O5" s="17" t="n"/>
      <c r="P5" s="17" t="n"/>
      <c r="Q5" s="17" t="n"/>
      <c r="R5" s="17" t="n"/>
      <c r="S5" s="17" t="n"/>
      <c r="T5" s="17" t="n"/>
      <c r="U5" s="17" t="inlineStr">
        <is>
          <t>UAT-นำเข้าข้อมูล-คลังสินค้า-ครั้งที่-1.xlsx</t>
        </is>
      </c>
      <c r="V5" s="17" t="n"/>
    </row>
    <row r="6">
      <c r="A6" s="16" t="n">
        <v>5</v>
      </c>
      <c r="B6" s="17" t="inlineStr">
        <is>
          <t>คลังสินค้า</t>
        </is>
      </c>
      <c r="C6" s="17" t="inlineStr">
        <is>
          <t>ยา (Drug Master) · alyssa</t>
        </is>
      </c>
      <c r="D6" s="17" t="n"/>
      <c r="E6" s="16" t="inlineStr">
        <is>
          <t>Master</t>
        </is>
      </c>
      <c r="F6" s="17" t="inlineStr">
        <is>
          <t>คลัง, จัดซื้อ, งบประมาณ</t>
        </is>
      </c>
      <c r="G6" s="17" t="inlineStr">
        <is>
          <t>product.template</t>
        </is>
      </c>
      <c r="H6" s="17" t="inlineStr">
        <is>
          <t>default_code</t>
        </is>
      </c>
      <c r="I6" s="18" t="n">
        <v>2622</v>
      </c>
      <c r="J6" s="16" t="inlineStr">
        <is>
          <t>นำเข้าแล้ว</t>
        </is>
      </c>
      <c r="K6" s="19" t="inlineStr">
        <is>
          <t>นำเข้าแล้ว</t>
        </is>
      </c>
      <c r="L6" s="17" t="inlineStr">
        <is>
          <t>ยืนยัน-ยา-alyssa</t>
        </is>
      </c>
      <c r="M6" s="18" t="n"/>
      <c r="N6" s="18">
        <f>IF(M6="","",I6-M6)</f>
        <v/>
      </c>
      <c r="O6" s="17" t="n"/>
      <c r="P6" s="17" t="n"/>
      <c r="Q6" s="17" t="n"/>
      <c r="R6" s="17" t="n"/>
      <c r="S6" s="17" t="inlineStr">
        <is>
          <t>ฐาน VPK-S3 · หมวด 01. เวชภัณฑ์ ยา · จากไฟล์ drug_master_alyssa</t>
        </is>
      </c>
      <c r="T6" s="17" t="n"/>
      <c r="U6" s="17" t="inlineStr">
        <is>
          <t>UAT-นำเข้าข้อมูล-คลังสินค้า-ครั้งที่-1.xlsx</t>
        </is>
      </c>
      <c r="V6" s="17" t="n"/>
    </row>
    <row r="7">
      <c r="A7" s="16" t="n">
        <v>6</v>
      </c>
      <c r="B7" s="17" t="inlineStr">
        <is>
          <t>คลังสินค้า</t>
        </is>
      </c>
      <c r="C7" s="17" t="inlineStr">
        <is>
          <t>คลังสินค้า (เปิดใช้ · รับเข้า 1 ขั้น)</t>
        </is>
      </c>
      <c r="D7" s="17" t="n"/>
      <c r="E7" s="16" t="inlineStr">
        <is>
          <t>Master</t>
        </is>
      </c>
      <c r="F7" s="17" t="inlineStr">
        <is>
          <t>คลัง</t>
        </is>
      </c>
      <c r="G7" s="17" t="inlineStr">
        <is>
          <t>stock.warehouse</t>
        </is>
      </c>
      <c r="H7" s="17" t="inlineStr">
        <is>
          <t>code</t>
        </is>
      </c>
      <c r="I7" s="18" t="n">
        <v>18</v>
      </c>
      <c r="J7" s="16" t="inlineStr">
        <is>
          <t>นำเข้าแล้ว</t>
        </is>
      </c>
      <c r="K7" s="19" t="inlineStr">
        <is>
          <t>นำเข้าแล้ว</t>
        </is>
      </c>
      <c r="L7" s="17" t="inlineStr">
        <is>
          <t>ยืนยัน-คลัง</t>
        </is>
      </c>
      <c r="M7" s="18" t="n"/>
      <c r="N7" s="18">
        <f>IF(M7="","",I7-M7)</f>
        <v/>
      </c>
      <c r="O7" s="17" t="n"/>
      <c r="P7" s="17" t="n"/>
      <c r="Q7" s="17" t="n"/>
      <c r="R7" s="17" t="n"/>
      <c r="S7" s="17" t="n"/>
      <c r="T7" s="17" t="n"/>
      <c r="U7" s="17" t="inlineStr">
        <is>
          <t>UAT-นำเข้าข้อมูล-คลังสินค้า-ครั้งที่-1.xlsx</t>
        </is>
      </c>
      <c r="V7" s="17" t="n"/>
    </row>
    <row r="8">
      <c r="A8" s="16" t="n">
        <v>7</v>
      </c>
      <c r="B8" s="17" t="inlineStr">
        <is>
          <t>คลังสินค้า</t>
        </is>
      </c>
      <c r="C8" s="17" t="inlineStr">
        <is>
          <t>ตำแหน่งจัดเก็บ (internal · เปิดใช้)</t>
        </is>
      </c>
      <c r="D8" s="17" t="n"/>
      <c r="E8" s="16" t="inlineStr">
        <is>
          <t>Master</t>
        </is>
      </c>
      <c r="F8" s="17" t="inlineStr">
        <is>
          <t>คลัง</t>
        </is>
      </c>
      <c r="G8" s="17" t="inlineStr">
        <is>
          <t>stock.location</t>
        </is>
      </c>
      <c r="H8" s="17" t="inlineStr">
        <is>
          <t>complete_name</t>
        </is>
      </c>
      <c r="I8" s="18" t="n">
        <v>554</v>
      </c>
      <c r="J8" s="16" t="inlineStr">
        <is>
          <t>นำเข้าแล้ว</t>
        </is>
      </c>
      <c r="K8" s="19" t="inlineStr">
        <is>
          <t>นำเข้าแล้ว</t>
        </is>
      </c>
      <c r="L8" s="17" t="inlineStr">
        <is>
          <t>ยืนยัน-ตำแหน่ง</t>
        </is>
      </c>
      <c r="M8" s="18" t="n"/>
      <c r="N8" s="18">
        <f>IF(M8="","",I8-M8)</f>
        <v/>
      </c>
      <c r="O8" s="17" t="n"/>
      <c r="P8" s="17" t="n"/>
      <c r="Q8" s="17" t="n"/>
      <c r="R8" s="17" t="n"/>
      <c r="S8" s="17" t="n"/>
      <c r="T8" s="17" t="n"/>
      <c r="U8" s="17" t="inlineStr">
        <is>
          <t>UAT-นำเข้าข้อมูล-คลังสินค้า-ครั้งที่-1.xlsx</t>
        </is>
      </c>
      <c r="V8" s="17" t="n"/>
    </row>
    <row r="9">
      <c r="A9" s="16" t="n">
        <v>8</v>
      </c>
      <c r="B9" s="17" t="inlineStr">
        <is>
          <t>คลังสินค้า</t>
        </is>
      </c>
      <c r="C9" s="17" t="inlineStr">
        <is>
          <t>ยกยอดสต็อก (On Hand ≠ 0)</t>
        </is>
      </c>
      <c r="D9" s="17" t="n"/>
      <c r="E9" s="16" t="inlineStr">
        <is>
          <t>ธุรกรรม</t>
        </is>
      </c>
      <c r="F9" s="17" t="inlineStr">
        <is>
          <t>คลัง</t>
        </is>
      </c>
      <c r="G9" s="17" t="inlineStr">
        <is>
          <t>stock.quant</t>
        </is>
      </c>
      <c r="H9" s="17" t="inlineStr">
        <is>
          <t>สินค้า + ตำแหน่ง + lot</t>
        </is>
      </c>
      <c r="I9" s="18" t="n">
        <v>9</v>
      </c>
      <c r="J9" s="16" t="inlineStr">
        <is>
          <t>มีข้อมูลในระบบ (ธุรกรรม)</t>
        </is>
      </c>
      <c r="K9" s="20" t="inlineStr">
        <is>
          <t>มีข้อมูลในระบบ (ธุรกรรม)</t>
        </is>
      </c>
      <c r="L9" s="17" t="inlineStr">
        <is>
          <t>—</t>
        </is>
      </c>
      <c r="M9" s="18" t="n"/>
      <c r="N9" s="18">
        <f>IF(M9="","",I9-M9)</f>
        <v/>
      </c>
      <c r="O9" s="17" t="n"/>
      <c r="P9" s="17" t="n"/>
      <c r="Q9" s="17" t="n"/>
      <c r="R9" s="17" t="n"/>
      <c r="S9" s="17" t="n"/>
      <c r="T9" s="17" t="n"/>
      <c r="U9" s="17" t="inlineStr">
        <is>
          <t>UAT-นำเข้าข้อมูล-คลังสินค้า-ครั้งที่-1.xlsx</t>
        </is>
      </c>
      <c r="V9" s="17" t="n"/>
    </row>
    <row r="10">
      <c r="A10" s="16" t="n">
        <v>9</v>
      </c>
      <c r="B10" s="17" t="inlineStr">
        <is>
          <t>คลังสินค้า</t>
        </is>
      </c>
      <c r="C10" s="17" t="inlineStr">
        <is>
          <t>Lot / Serial</t>
        </is>
      </c>
      <c r="D10" s="17" t="n"/>
      <c r="E10" s="16" t="inlineStr">
        <is>
          <t>ธุรกรรม</t>
        </is>
      </c>
      <c r="F10" s="17" t="inlineStr">
        <is>
          <t>คลัง</t>
        </is>
      </c>
      <c r="G10" s="17" t="inlineStr">
        <is>
          <t>stock.lot</t>
        </is>
      </c>
      <c r="H10" s="17" t="inlineStr">
        <is>
          <t>name + สินค้า</t>
        </is>
      </c>
      <c r="I10" s="18" t="n">
        <v>3</v>
      </c>
      <c r="J10" s="16" t="inlineStr">
        <is>
          <t>มีข้อมูลในระบบ (ธุรกรรม)</t>
        </is>
      </c>
      <c r="K10" s="20" t="inlineStr">
        <is>
          <t>มีข้อมูลในระบบ (ธุรกรรม)</t>
        </is>
      </c>
      <c r="L10" s="17" t="inlineStr">
        <is>
          <t>—</t>
        </is>
      </c>
      <c r="M10" s="18" t="n"/>
      <c r="N10" s="18">
        <f>IF(M10="","",I10-M10)</f>
        <v/>
      </c>
      <c r="O10" s="17" t="n"/>
      <c r="P10" s="17" t="n"/>
      <c r="Q10" s="17" t="n"/>
      <c r="R10" s="17" t="n"/>
      <c r="S10" s="17" t="n"/>
      <c r="T10" s="17" t="n"/>
      <c r="U10" s="17" t="inlineStr">
        <is>
          <t>UAT-นำเข้าข้อมูล-คลังสินค้า-ครั้งที่-1.xlsx</t>
        </is>
      </c>
      <c r="V10" s="17" t="n"/>
    </row>
    <row r="11">
      <c r="A11" s="16" t="n">
        <v>10</v>
      </c>
      <c r="B11" s="17" t="inlineStr">
        <is>
          <t>งบประมาณ</t>
        </is>
      </c>
      <c r="C11" s="17" t="inlineStr">
        <is>
          <t>แหล่งเงิน</t>
        </is>
      </c>
      <c r="D11" s="17" t="inlineStr">
        <is>
          <t>คือที่มาของเงิน เช่น เงินงบประมาณ เงินบำรุง เงิน UC เงินบริจาค ใช้เลือกตอนหน่วยงานขอตั้งงบและตอนขอซื้อ (PR) เพื่อให้ระบบจับคู่วงเงินถูกแหล่ง ใช้ข้ามแหล่งเงินไม่ได้</t>
        </is>
      </c>
      <c r="E11" s="16" t="inlineStr">
        <is>
          <t>Master</t>
        </is>
      </c>
      <c r="F11" s="17" t="inlineStr">
        <is>
          <t>งบประมาณ</t>
        </is>
      </c>
      <c r="G11" s="17" t="inlineStr">
        <is>
          <t>vpk.budget.fund.source</t>
        </is>
      </c>
      <c r="H11" s="17" t="inlineStr">
        <is>
          <t>code</t>
        </is>
      </c>
      <c r="I11" s="18" t="n">
        <v>20</v>
      </c>
      <c r="J11" s="16" t="inlineStr">
        <is>
          <t>นำเข้าแล้ว</t>
        </is>
      </c>
      <c r="K11" s="19" t="inlineStr">
        <is>
          <t>นำเข้าแล้ว</t>
        </is>
      </c>
      <c r="L11" s="17" t="inlineStr">
        <is>
          <t>ยืนยัน-แหล่งเงิน</t>
        </is>
      </c>
      <c r="M11" s="18" t="n">
        <v>20</v>
      </c>
      <c r="N11" s="18">
        <f>IF(M11="","",I11-M11)</f>
        <v/>
      </c>
      <c r="O11" s="17" t="n"/>
      <c r="P11" s="17" t="n"/>
      <c r="Q11" s="17" t="n"/>
      <c r="R11" s="17" t="n"/>
      <c r="S11" s="17" t="n"/>
      <c r="T11" s="17" t="inlineStr">
        <is>
          <t>ได้รับมาจาก บันทึกข้อมูลเข้า Template TAB ยืนยัน-แหล่งเงิน</t>
        </is>
      </c>
      <c r="U11" s="17" t="inlineStr">
        <is>
          <t>UAT-นำเข้าข้อมูล-งบประมาณ-ครั้งที่ 1.xlsx</t>
        </is>
      </c>
      <c r="V11" s="17" t="n"/>
    </row>
    <row r="12">
      <c r="A12" s="16" t="n">
        <v>11</v>
      </c>
      <c r="B12" s="17" t="inlineStr">
        <is>
          <t>งบประมาณ</t>
        </is>
      </c>
      <c r="C12" s="17" t="inlineStr">
        <is>
          <t>กลุ่มงบประมาณ-วัสดุ</t>
        </is>
      </c>
      <c r="D12" s="17" t="inlineStr">
        <is>
          <t>คือกลุ่มวัสดุสำหรับจัดซื้อ เช่น ยา เวชภัณฑ์มิใช่ยา วัสดุการแพทย์ วัสดุวิทยาศาสตร์ ใช้ตอนตั้งงบวัสดุและตอนขอซื้อวัสดุ เพื่อจับคู่บรรทัดวงเงินของกลุ่มนั้น</t>
        </is>
      </c>
      <c r="E12" s="16" t="inlineStr">
        <is>
          <t>Master</t>
        </is>
      </c>
      <c r="F12" s="17" t="inlineStr">
        <is>
          <t>งบประมาณ</t>
        </is>
      </c>
      <c r="G12" s="17" t="inlineStr">
        <is>
          <t>vpk.budget.group</t>
        </is>
      </c>
      <c r="H12" s="17" t="inlineStr">
        <is>
          <t>code</t>
        </is>
      </c>
      <c r="I12" s="18" t="n">
        <v>9</v>
      </c>
      <c r="J12" s="16" t="inlineStr">
        <is>
          <t>นำเข้าแล้ว</t>
        </is>
      </c>
      <c r="K12" s="19" t="inlineStr">
        <is>
          <t>นำเข้าแล้ว</t>
        </is>
      </c>
      <c r="L12" s="17" t="inlineStr">
        <is>
          <t>ยืนยัน-กลุ่มงบ</t>
        </is>
      </c>
      <c r="M12" s="18" t="n"/>
      <c r="N12" s="18">
        <f>IF(M12="","",I12-M12)</f>
        <v/>
      </c>
      <c r="O12" s="17" t="n"/>
      <c r="P12" s="17" t="n"/>
      <c r="Q12" s="17" t="n"/>
      <c r="R12" s="17" t="n"/>
      <c r="S12" s="17" t="n"/>
      <c r="T12" s="17" t="inlineStr">
        <is>
          <t>ได้รับจาก  File แบบฟอร์มหมวดวัสดุ-69.xlsx , โดยนำข้อมูลที่แยก TABมาใช้ เป็นประเภทวัสดุ</t>
        </is>
      </c>
      <c r="U12" s="17" t="inlineStr">
        <is>
          <t>UAT-นำเข้าข้อมูล-งบประมาณ-ครั้งที่ 1.xlsx</t>
        </is>
      </c>
      <c r="V12" s="17" t="n"/>
    </row>
    <row r="13">
      <c r="A13" s="16" t="n">
        <v>12</v>
      </c>
      <c r="B13" s="17" t="inlineStr">
        <is>
          <t>งบประมาณ</t>
        </is>
      </c>
      <c r="C13" s="17" t="inlineStr">
        <is>
          <t>ประเภทวัสดุย่อย</t>
        </is>
      </c>
      <c r="D13" s="17" t="inlineStr">
        <is>
          <t>คือรายละเอียดภายใต้กลุ่มงบวัสดุ เช่น ยา เฝือก เวชภัณฑ์การพยาบาล ใช้แยกรายการในแบบฟอร์มตั้งงบวัสดุ และผูกกับกลุ่มงบตอนขอซื้อ</t>
        </is>
      </c>
      <c r="E13" s="16" t="inlineStr">
        <is>
          <t>Master</t>
        </is>
      </c>
      <c r="F13" s="17" t="inlineStr">
        <is>
          <t>งบประมาณ</t>
        </is>
      </c>
      <c r="G13" s="17" t="inlineStr">
        <is>
          <t>vpk.budget.material.sub.type</t>
        </is>
      </c>
      <c r="H13" s="17" t="inlineStr">
        <is>
          <t>code + กลุ่มงบ</t>
        </is>
      </c>
      <c r="I13" s="18" t="n">
        <v>35</v>
      </c>
      <c r="J13" s="16" t="inlineStr">
        <is>
          <t>นำเข้าแล้ว</t>
        </is>
      </c>
      <c r="K13" s="19" t="inlineStr">
        <is>
          <t>นำเข้าแล้ว</t>
        </is>
      </c>
      <c r="L13" s="17" t="inlineStr">
        <is>
          <t>ยืนยัน-วัสดุย่อย</t>
        </is>
      </c>
      <c r="M13" s="18" t="n"/>
      <c r="N13" s="18">
        <f>IF(M13="","",I13-M13)</f>
        <v/>
      </c>
      <c r="O13" s="17" t="n"/>
      <c r="P13" s="17" t="n"/>
      <c r="Q13" s="17" t="n"/>
      <c r="R13" s="17" t="n"/>
      <c r="S13" s="17" t="n"/>
      <c r="T13" s="17" t="inlineStr">
        <is>
          <t>ได้รับจาก  File แบบฟอร์มหมวดวัสดุ-69.xlsx , โดยนำข้อมูลประเภทในแต่ละ TAB มาใช่เป็นวัสดุย่อย</t>
        </is>
      </c>
      <c r="U13" s="17" t="inlineStr">
        <is>
          <t>UAT-นำเข้าข้อมูล-งบประมาณ-ครั้งที่ 1.xlsx</t>
        </is>
      </c>
      <c r="V13" s="17" t="n"/>
    </row>
    <row r="14">
      <c r="A14" s="16" t="n">
        <v>13</v>
      </c>
      <c r="B14" s="17" t="inlineStr">
        <is>
          <t>งบประมาณ</t>
        </is>
      </c>
      <c r="C14" s="17" t="inlineStr">
        <is>
          <t>ประเภทงบประมาณ</t>
        </is>
      </c>
      <c r="D14" s="17" t="inlineStr">
        <is>
          <t>คือประเภทหลักของงบ ได้แก่ วัสดุ ครุภัณฑ์ ก่อสร้าง โครงการ ใช้กำหนดว่าคำของบและวงเงินอยู่กลุ่มใด และผูกกับแบบฟอร์มคำของบ</t>
        </is>
      </c>
      <c r="E14" s="16" t="inlineStr">
        <is>
          <t>Master</t>
        </is>
      </c>
      <c r="F14" s="17" t="inlineStr">
        <is>
          <t>งบประมาณ</t>
        </is>
      </c>
      <c r="G14" s="17" t="inlineStr">
        <is>
          <t>vpk.budget.type</t>
        </is>
      </c>
      <c r="H14" s="17" t="inlineStr">
        <is>
          <t>code</t>
        </is>
      </c>
      <c r="I14" s="18" t="n">
        <v>4</v>
      </c>
      <c r="J14" s="16" t="inlineStr">
        <is>
          <t>นำเข้าแล้ว</t>
        </is>
      </c>
      <c r="K14" s="19" t="inlineStr">
        <is>
          <t>นำเข้าแล้ว</t>
        </is>
      </c>
      <c r="L14" s="17" t="inlineStr">
        <is>
          <t>ยืนยัน-ประเภทงบ</t>
        </is>
      </c>
      <c r="M14" s="18" t="n"/>
      <c r="N14" s="18">
        <f>IF(M14="","",I14-M14)</f>
        <v/>
      </c>
      <c r="O14" s="17" t="n"/>
      <c r="P14" s="17" t="n"/>
      <c r="Q14" s="17" t="n"/>
      <c r="R14" s="17" t="n"/>
      <c r="S14" s="17" t="n"/>
      <c r="T14" s="17" t="inlineStr">
        <is>
          <t>ได้รับจาก File แบบฟอร์ม คำขอตั้งแผนเงินบำรุงโรงพยาบาลวชิระ.xlsx , และ File แบบฟอร์มหมวดวัสดุ-69.xlsx</t>
        </is>
      </c>
      <c r="U14" s="17" t="inlineStr">
        <is>
          <t>UAT-นำเข้าข้อมูล-งบประมาณ-ครั้งที่ 1.xlsx</t>
        </is>
      </c>
      <c r="V14" s="17" t="n"/>
    </row>
    <row r="15">
      <c r="A15" s="16" t="n">
        <v>14</v>
      </c>
      <c r="B15" s="17" t="inlineStr">
        <is>
          <t>งบประมาณ</t>
        </is>
      </c>
      <c r="C15" s="17" t="inlineStr">
        <is>
          <t>กลุ่มครุภัณฑ์</t>
        </is>
      </c>
      <c r="D15" s="17" t="inlineStr">
        <is>
          <t>คือกลุ่มครุภัณฑ์ เช่น ครุภัณฑ์การแพทย์ ครุภัณฑ์ไฟฟ้า ใช้ตอนตั้งงบครุภัณฑ์ และผูกกับหมวดสินค้าเพื่อให้ขอซื้อครุภัณฑ์เข้ากลุ่มที่ถูกต้อง</t>
        </is>
      </c>
      <c r="E15" s="16" t="inlineStr">
        <is>
          <t>Master</t>
        </is>
      </c>
      <c r="F15" s="17" t="inlineStr">
        <is>
          <t>งบประมาณ</t>
        </is>
      </c>
      <c r="G15" s="17" t="inlineStr">
        <is>
          <t>vpk.budget.asset.category</t>
        </is>
      </c>
      <c r="H15" s="17" t="inlineStr">
        <is>
          <t>code</t>
        </is>
      </c>
      <c r="I15" s="18" t="n">
        <v>15</v>
      </c>
      <c r="J15" s="16" t="inlineStr">
        <is>
          <t>นำเข้าแล้ว</t>
        </is>
      </c>
      <c r="K15" s="19" t="inlineStr">
        <is>
          <t>นำเข้าแล้ว</t>
        </is>
      </c>
      <c r="L15" s="17" t="inlineStr">
        <is>
          <t>ยืนยัน-กลุ่มครุภัณฑ์</t>
        </is>
      </c>
      <c r="M15" s="18" t="n"/>
      <c r="N15" s="18">
        <f>IF(M15="","",I15-M15)</f>
        <v/>
      </c>
      <c r="O15" s="17" t="n"/>
      <c r="P15" s="17" t="n"/>
      <c r="Q15" s="17" t="n"/>
      <c r="R15" s="17" t="n"/>
      <c r="S15" s="17" t="n"/>
      <c r="T15" s="17" t="inlineStr">
        <is>
          <t>จาก File บัญชีรายการครุภัณฑ์ สำนักงานปลัดกระทรวงส.xlsx / TAB บัญชีแจ้งหน่วยงาน</t>
        </is>
      </c>
      <c r="U15" s="17" t="inlineStr">
        <is>
          <t>UAT-นำเข้าข้อมูล-งบประมาณ-ครั้งที่ 1.xlsx</t>
        </is>
      </c>
      <c r="V15" s="17" t="n"/>
    </row>
    <row r="16">
      <c r="A16" s="16" t="n">
        <v>15</v>
      </c>
      <c r="B16" s="17" t="inlineStr">
        <is>
          <t>งบประมาณ</t>
        </is>
      </c>
      <c r="C16" s="17" t="inlineStr">
        <is>
          <t>แบบฟอร์มคำของบ</t>
        </is>
      </c>
      <c r="D16" s="17" t="inlineStr">
        <is>
          <t>คือชนิดแบบฟอร์มที่หน่วยงานใช้ขอตั้งงบ เช่น แบบฟอร์มตั้งงบวัสดุ แบบฟอร์มครุภัณฑ์ ใช้เปิดหน้าคำของบให้กรอกตามประเภทงาน</t>
        </is>
      </c>
      <c r="E16" s="16" t="inlineStr">
        <is>
          <t>Master</t>
        </is>
      </c>
      <c r="F16" s="17" t="inlineStr">
        <is>
          <t>งบประมาณ</t>
        </is>
      </c>
      <c r="G16" s="17" t="inlineStr">
        <is>
          <t>vpk.budget.request.form.type</t>
        </is>
      </c>
      <c r="H16" s="17" t="inlineStr">
        <is>
          <t>code</t>
        </is>
      </c>
      <c r="I16" s="18" t="n">
        <v>4</v>
      </c>
      <c r="J16" s="16" t="inlineStr">
        <is>
          <t>นำเข้าแล้ว</t>
        </is>
      </c>
      <c r="K16" s="19" t="inlineStr">
        <is>
          <t>นำเข้าแล้ว</t>
        </is>
      </c>
      <c r="L16" s="17" t="inlineStr">
        <is>
          <t>ยืนยัน-แบบฟอร์ม</t>
        </is>
      </c>
      <c r="M16" s="18" t="n"/>
      <c r="N16" s="18">
        <f>IF(M16="","",I16-M16)</f>
        <v/>
      </c>
      <c r="O16" s="17" t="n"/>
      <c r="P16" s="17" t="n"/>
      <c r="Q16" s="17" t="n"/>
      <c r="R16" s="17" t="n"/>
      <c r="S16" s="17" t="n"/>
      <c r="T16" s="17" t="inlineStr">
        <is>
          <t>ได้รับจาก File แบบฟอร์ม คำขอตั้งแผนเงินบำรุงโรงพยาบาลวชิระ.xlsx , และ File แบบฟอร์มหมวดวัสดุ-69.xlsx</t>
        </is>
      </c>
      <c r="U16" s="17" t="inlineStr">
        <is>
          <t>UAT-นำเข้าข้อมูล-งบประมาณ-ครั้งที่ 1.xlsx</t>
        </is>
      </c>
      <c r="V16" s="17" t="n"/>
    </row>
    <row r="17">
      <c r="A17" s="16" t="n">
        <v>16</v>
      </c>
      <c r="B17" s="17" t="inlineStr">
        <is>
          <t>งบประมาณ</t>
        </is>
      </c>
      <c r="C17" s="17" t="inlineStr">
        <is>
          <t>ประเภทงบในแบบฟอร์ม</t>
        </is>
      </c>
      <c r="D17" s="17" t="inlineStr">
        <is>
          <t>คือการผูกว่าแบบฟอร์มแต่ละใบใช้ประเภทงบใด ใช้ให้ระบบเปิดแท็บและตรวจวงเงินให้ตรงประเภทงบของแบบฟอร์มนั้น</t>
        </is>
      </c>
      <c r="E17" s="16" t="inlineStr">
        <is>
          <t>Master</t>
        </is>
      </c>
      <c r="F17" s="17" t="inlineStr">
        <is>
          <t>งบประมาณ</t>
        </is>
      </c>
      <c r="G17" s="17" t="inlineStr">
        <is>
          <t>vpk.budget.request.form.type.line</t>
        </is>
      </c>
      <c r="H17" s="17" t="inlineStr">
        <is>
          <t>form + ประเภทงบ</t>
        </is>
      </c>
      <c r="I17" s="18" t="n">
        <v>4</v>
      </c>
      <c r="J17" s="16" t="inlineStr">
        <is>
          <t>นำเข้าแล้ว</t>
        </is>
      </c>
      <c r="K17" s="19" t="inlineStr">
        <is>
          <t>นำเข้าแล้ว</t>
        </is>
      </c>
      <c r="L17" s="17" t="inlineStr">
        <is>
          <t>ยืนยัน-แท็บแบบฟอร์ม</t>
        </is>
      </c>
      <c r="M17" s="18" t="n"/>
      <c r="N17" s="18">
        <f>IF(M17="","",I17-M17)</f>
        <v/>
      </c>
      <c r="O17" s="17" t="n"/>
      <c r="P17" s="17" t="n"/>
      <c r="Q17" s="17" t="n"/>
      <c r="R17" s="17" t="n"/>
      <c r="S17" s="17" t="n"/>
      <c r="T17" s="17" t="inlineStr">
        <is>
          <t>ได้รับจาก File แบบฟอร์ม คำขอตั้งแผนเงินบำรุงโรงพยาบาลวชิระ.xlsx , และ File แบบฟอร์มหมวดวัสดุ-69.xlsx</t>
        </is>
      </c>
      <c r="U17" s="17" t="inlineStr">
        <is>
          <t>UAT-นำเข้าข้อมูล-งบประมาณ-ครั้งที่ 1.xlsx</t>
        </is>
      </c>
      <c r="V17" s="17" t="n"/>
    </row>
    <row r="18">
      <c r="A18" s="16" t="n">
        <v>17</v>
      </c>
      <c r="B18" s="17" t="inlineStr">
        <is>
          <t>งบประมาณ</t>
        </is>
      </c>
      <c r="C18" s="17" t="inlineStr">
        <is>
          <t>บัญชีวิเคราะห์ / หน่วยงาน</t>
        </is>
      </c>
      <c r="D18" s="17" t="inlineStr">
        <is>
          <t>คือหน่วยงานหรือโครงการที่ถือวงเงิน ใช้ใส่ในแผนงบ คำของบ และใบขอซื้อ เพื่อกันเงินและตัดงบรายหน่วยงาน</t>
        </is>
      </c>
      <c r="E18" s="16" t="inlineStr">
        <is>
          <t>Master</t>
        </is>
      </c>
      <c r="F18" s="17" t="inlineStr">
        <is>
          <t>งบประมาณ, จัดซื้อ, บัญชี</t>
        </is>
      </c>
      <c r="G18" s="17" t="inlineStr">
        <is>
          <t>account.analytic.account</t>
        </is>
      </c>
      <c r="H18" s="17" t="inlineStr">
        <is>
          <t>code</t>
        </is>
      </c>
      <c r="I18" s="18" t="n">
        <v>71</v>
      </c>
      <c r="J18" s="16" t="inlineStr">
        <is>
          <t>นำเข้าแล้ว</t>
        </is>
      </c>
      <c r="K18" s="19" t="inlineStr">
        <is>
          <t>นำเข้าแล้ว</t>
        </is>
      </c>
      <c r="L18" s="17" t="inlineStr">
        <is>
          <t>ยืนยัน-หน่วยงานวิเคราะห์</t>
        </is>
      </c>
      <c r="M18" s="18" t="n"/>
      <c r="N18" s="18">
        <f>IF(M18="","",I18-M18)</f>
        <v/>
      </c>
      <c r="O18" s="17" t="n"/>
      <c r="P18" s="17" t="n"/>
      <c r="Q18" s="17" t="n"/>
      <c r="R18" s="17" t="n"/>
      <c r="S18" s="17" t="n"/>
      <c r="T18" s="17" t="inlineStr">
        <is>
          <t>ได้รับจาก File รวมรายการคำขอตั้งแผนเงินบำรุงโรงพยาบาลวชิระภูเก็ต ปีงบประมาณ 2569.xlsx , ปะหน้า</t>
        </is>
      </c>
      <c r="U18" s="17" t="inlineStr">
        <is>
          <t>UAT-นำเข้าข้อมูล-งบประมาณ-ครั้งที่ 1.xlsx</t>
        </is>
      </c>
      <c r="V18" s="17" t="n"/>
    </row>
    <row r="19">
      <c r="A19" s="16" t="n">
        <v>18</v>
      </c>
      <c r="B19" s="17" t="inlineStr">
        <is>
          <t>งบประมาณ</t>
        </is>
      </c>
      <c r="C19" s="17" t="inlineStr">
        <is>
          <t>แผนงบประมาณประจำปี</t>
        </is>
      </c>
      <c r="D19" s="17" t="inlineStr">
        <is>
          <t>คือแผนวงเงินของปีงบประมาณ พร้อมวันเริ่มและวันสิ้นสุด ใช้เป็นกรอบที่บรรทัดวงเงินและคำของบของปีนั้นอ้างอิง</t>
        </is>
      </c>
      <c r="E19" s="16" t="inlineStr">
        <is>
          <t>Master</t>
        </is>
      </c>
      <c r="F19" s="17" t="inlineStr">
        <is>
          <t>งบประมาณ</t>
        </is>
      </c>
      <c r="G19" s="17" t="inlineStr">
        <is>
          <t>budget.budget</t>
        </is>
      </c>
      <c r="H19" s="17" t="inlineStr">
        <is>
          <t>name + ช่วงวันที่</t>
        </is>
      </c>
      <c r="I19" s="18" t="n">
        <v>1</v>
      </c>
      <c r="J19" s="16" t="inlineStr">
        <is>
          <t>นำเข้าแล้ว</t>
        </is>
      </c>
      <c r="K19" s="19" t="inlineStr">
        <is>
          <t>นำเข้าแล้ว</t>
        </is>
      </c>
      <c r="L19" s="17" t="inlineStr">
        <is>
          <t>ยืนยัน-แผนปี</t>
        </is>
      </c>
      <c r="M19" s="18" t="n"/>
      <c r="N19" s="18">
        <f>IF(M19="","",I19-M19)</f>
        <v/>
      </c>
      <c r="O19" s="17" t="n"/>
      <c r="P19" s="17" t="n"/>
      <c r="Q19" s="17" t="n"/>
      <c r="R19" s="17" t="n"/>
      <c r="S19" s="17" t="n"/>
      <c r="T19" s="17" t="inlineStr">
        <is>
          <t>บันทึกเข้าระบบตรงๆ Function การตั้งงบประมาณ</t>
        </is>
      </c>
      <c r="U19" s="17" t="inlineStr">
        <is>
          <t>UAT-นำเข้าข้อมูล-งบประมาณ-ครั้งที่ 1.xlsx</t>
        </is>
      </c>
      <c r="V19" s="17" t="n"/>
    </row>
    <row r="20">
      <c r="A20" s="16" t="n">
        <v>19</v>
      </c>
      <c r="B20" s="17" t="inlineStr">
        <is>
          <t>งบประมาณ</t>
        </is>
      </c>
      <c r="C20" s="17" t="inlineStr">
        <is>
          <t>หมวดงบประมาณ</t>
        </is>
      </c>
      <c r="D20" s="17" t="inlineStr">
        <is>
          <t>คือหมวดที่ใช้ควบคุมวงเงิน เช่น ครุภัณฑ์คอมพิวเตอร์ ครุภัณฑ์สำนักงาน ใช้จับคู่ตอนเช็คงบและกันเงินในใบขอซื้อกับบรรทัดวงเงิน</t>
        </is>
      </c>
      <c r="E20" s="16" t="inlineStr">
        <is>
          <t>Master</t>
        </is>
      </c>
      <c r="F20" s="17" t="inlineStr">
        <is>
          <t>งบประมาณ, จัดซื้อ</t>
        </is>
      </c>
      <c r="G20" s="17" t="inlineStr">
        <is>
          <t>account.budget.post</t>
        </is>
      </c>
      <c r="H20" s="17" t="inlineStr">
        <is>
          <t>name</t>
        </is>
      </c>
      <c r="I20" s="18" t="n">
        <v>46</v>
      </c>
      <c r="J20" s="16" t="inlineStr">
        <is>
          <t>นำเข้าแล้ว</t>
        </is>
      </c>
      <c r="K20" s="19" t="inlineStr">
        <is>
          <t>นำเข้าแล้ว</t>
        </is>
      </c>
      <c r="L20" s="17" t="inlineStr">
        <is>
          <t>ยืนยัน-หมวดงบ</t>
        </is>
      </c>
      <c r="M20" s="18" t="n"/>
      <c r="N20" s="18">
        <f>IF(M20="","",I20-M20)</f>
        <v/>
      </c>
      <c r="O20" s="17" t="n"/>
      <c r="P20" s="17" t="n"/>
      <c r="Q20" s="17" t="n"/>
      <c r="R20" s="17" t="n"/>
      <c r="S20" s="17" t="n"/>
      <c r="T20" s="17" t="inlineStr">
        <is>
          <t xml:space="preserve">จาก File บัญชีรายการครุภัณฑ์ สำนักงานปลัดกระทรวงส.xlsx แท็บ บัญชีแจ้งหน่วยงาน ฉบับตุลาคม 2569 จับคู่รหัสครุภัณฑ์กับสินค้าในระบบ , Chart of Account ของบัญชี , กลุ่มวัสดุของคลัง </t>
        </is>
      </c>
      <c r="U20" s="17" t="inlineStr">
        <is>
          <t>UAT-นำเข้าข้อมูล-งบประมาณ-ครั้งที่ 1.xlsx</t>
        </is>
      </c>
      <c r="V20" s="17" t="n"/>
    </row>
    <row r="21">
      <c r="A21" s="16" t="n">
        <v>20</v>
      </c>
      <c r="B21" s="17" t="inlineStr">
        <is>
          <t>งบประมาณ</t>
        </is>
      </c>
      <c r="C21" s="17" t="inlineStr">
        <is>
          <t>คำของบหน่วยงาน</t>
        </is>
      </c>
      <c r="D21" s="17" t="inlineStr">
        <is>
          <t>คือเอกสารที่หน่วยงานกรอกเพื่อขอตั้งงบประจำปี ใช้รวบรวมความต้องการก่อนจัดสรรวงเงินลงแผน เป็นเอกสารทำงาน ไม่ใช่ข้อมูลหลักสำหรับนำเข้า</t>
        </is>
      </c>
      <c r="E21" s="16" t="inlineStr">
        <is>
          <t>ธุรกรรม</t>
        </is>
      </c>
      <c r="F21" s="17" t="inlineStr">
        <is>
          <t>งบประมาณ</t>
        </is>
      </c>
      <c r="G21" s="17" t="inlineStr">
        <is>
          <t>departmental.budget.request</t>
        </is>
      </c>
      <c r="H21" s="17" t="inlineStr">
        <is>
          <t>เลขที่เอกสาร</t>
        </is>
      </c>
      <c r="I21" s="18" t="n">
        <v>35</v>
      </c>
      <c r="J21" s="16" t="inlineStr">
        <is>
          <t>นำเข้าแล้ว · รายการอยู่ในไฟล์แยก
1. UAT-นำเข้าข้อมูล-งบประมาณ-รายการคำขอวัสดุ-ครั้งที่ 1.xlsx
2. UAT-นำเข้าข้อมูล-งบประมาณ-รายการคำขอครุภัณฑ์-ครั้งที่ 1.xlsx
3. UAT-นำเข้าข้อมูล-งบประมาณ-รายการคำขอก่อสร้าง-ครั้งที่ 1.xlsx
4. UAT-นำเข้าข้อมูล-งบประมาณ-รายการคำขอโครงการ-ครั้งที่ 1.xlsx</t>
        </is>
      </c>
      <c r="K21" s="19" t="inlineStr">
        <is>
          <t>นำเข้าแล้ว</t>
        </is>
      </c>
      <c r="L21" s="17" t="inlineStr">
        <is>
          <t>ยืนยัน-คำของบ</t>
        </is>
      </c>
      <c r="M21" s="18" t="n"/>
      <c r="N21" s="18">
        <f>IF(M21="","",I21-M21)</f>
        <v/>
      </c>
      <c r="O21" s="17" t="n"/>
      <c r="P21" s="17" t="n"/>
      <c r="Q21" s="17" t="n"/>
      <c r="R21" s="17" t="n"/>
      <c r="S21" s="17" t="n"/>
      <c r="T21" s="17" t="inlineStr">
        <is>
          <t>ส่งออกจากฐาน VPK-S1 วันที่ 12 ต.ค. 2569 มีคำของบในระบบ 35 ใบ ในจำนวนนี้ 28 ใบนำเข้าจากไฟล์ แบบฟอร์มที่ 3 แผนปีงบประมาณ 2570 หมวดวัสดุ.xlsx แยกตามแท็บ ใส่ชื่อรายการในรายการสินค้า ยังไม่ผูกสินค้า DBR/2570/0004 วัสดุสำนักงาน 513 รายการ ยอด 8,614,565.05 บาท เท่ากับผลรวมวงเงินในแท็บ เพิ่มอีก 3 ใบในวันเดียวกัน: DBR/2570/0032 แบบฟอร์มก่อสร้าง กลุ่มงานโครงสร้างพื้นฐานฯ 27 รายการ 51,682,986.12 บาท จากไฟล์ 15.กลุ่มงานโครงสร้าง, DBR/2570/0033 แบบฟอร์มครุภัณฑ์ กลุ่มงานกุมารเวชกรรม 22 รายการ 14,162,390.00 บาท และ DBR/2570/0034 แบบฟอร์มโครงการ 3 รายการ 164,200.00 บาท จากไฟล์ 14.กลุ่มงานกุมารเวชกรรม รายละเอียดอยู่ใน UAT-นำเข้าข้อมูล-งบประมาณ-รายการคำขอครุภัณฑ์-ครั้งที่ 1.xlsx, UAT-นำเข้าข้อมูล-งบประมาณ-รายการคำขอก่อสร้าง-ครั้งที่ 1.xlsx และ UAT-นำเข้าข้อมูล-งบประมาณ-รายการคำขอโครงการ-ครั้งที่ 1.xlsx</t>
        </is>
      </c>
      <c r="U21" s="17" t="inlineStr">
        <is>
          <t>UAT-นำเข้าข้อมูล-งบประมาณ-ครั้งที่ 1.xlsx</t>
        </is>
      </c>
      <c r="V21" s="17" t="n"/>
    </row>
    <row r="22">
      <c r="A22" s="16" t="n">
        <v>21</v>
      </c>
      <c r="B22" s="17" t="inlineStr">
        <is>
          <t>งบประมาณ</t>
        </is>
      </c>
      <c r="C22" s="17" t="inlineStr">
        <is>
          <t>รายการสินค้าครุภัณฑ์</t>
        </is>
      </c>
      <c r="D22" s="17" t="inlineStr">
        <is>
          <t>คือรหัสรายการครุภัณฑ์ที่นำเข้าจากบัญชีสำนักงานปลัดกระทรวงสาธารณสุขแล้ว ใช้เลือกตอนตั้งงบครุภัณฑ์ รายการยืนยันอยู่ในแท็บ ข้อมูล-item-ครุภัณฑ์</t>
        </is>
      </c>
      <c r="E22" s="16" t="inlineStr">
        <is>
          <t>รายการ</t>
        </is>
      </c>
      <c r="F22" s="17" t="inlineStr">
        <is>
          <t>งบประมาณ</t>
        </is>
      </c>
      <c r="G22" s="17" t="inlineStr">
        <is>
          <t>product.template</t>
        </is>
      </c>
      <c r="H22" s="17" t="inlineStr">
        <is>
          <t>รหัสครุภัณฑ์</t>
        </is>
      </c>
      <c r="I22" s="18" t="n">
        <v>1374</v>
      </c>
      <c r="J22" s="16" t="inlineStr">
        <is>
          <t>นำเข้าแล้ว</t>
        </is>
      </c>
      <c r="K22" s="19" t="inlineStr">
        <is>
          <t>นำเข้าแล้ว</t>
        </is>
      </c>
      <c r="L22" s="17" t="inlineStr">
        <is>
          <t>ข้อมูล-item-ครุภัณฑ์</t>
        </is>
      </c>
      <c r="M22" s="18" t="n"/>
      <c r="N22" s="18">
        <f>IF(M22="","",I22-M22)</f>
        <v/>
      </c>
      <c r="O22" s="17" t="n"/>
      <c r="P22" s="17" t="n"/>
      <c r="Q22" s="17" t="n"/>
      <c r="R22" s="17" t="n"/>
      <c r="S22" s="17" t="n"/>
      <c r="T22" s="17" t="inlineStr">
        <is>
          <t>จาก File บัญชีรายการครุภัณฑ์ สำนักงานปลัดกระทรวงส.xlsx แท็บ บัญชีแจ้งหน่วยงาน ฉบับตุลาคม 2569 จับคู่รหัสครุภัณฑ์กับสินค้าในระบบ</t>
        </is>
      </c>
      <c r="U22" s="17" t="inlineStr">
        <is>
          <t>UAT-นำเข้าข้อมูล-งบประมาณ-ครั้งที่ 1.xlsx</t>
        </is>
      </c>
      <c r="V22" s="17" t="n"/>
    </row>
    <row r="23">
      <c r="A23" s="16" t="n">
        <v>22</v>
      </c>
      <c r="B23" s="17" t="inlineStr">
        <is>
          <t>จัดซื้อจัดจ้าง</t>
        </is>
      </c>
      <c r="C23" s="17" t="inlineStr">
        <is>
          <t>ผู้จำหน่าย / เจ้าหนี้</t>
        </is>
      </c>
      <c r="D23" s="17" t="inlineStr">
        <is>
          <t>คือรายชื่อผู้ขายและเจ้าหนี้ที่ใช้งานในระบบ ใช้เลือกผู้ขายตอนออกใบขอซื้อ (PR) และใบสั่งซื้อ (PO) และใช้ตั้งหนี้ในงานเจ้าหนี้ จับคู่ด้วยรหัสอ้างอิง เลขผู้เสียภาษี หรือชื่อ</t>
        </is>
      </c>
      <c r="E23" s="16" t="inlineStr">
        <is>
          <t>Master</t>
        </is>
      </c>
      <c r="F23" s="17" t="inlineStr">
        <is>
          <t>จัดซื้อ, เจ้าหนี้</t>
        </is>
      </c>
      <c r="G23" s="17" t="inlineStr">
        <is>
          <t>res.partner (ผู้ขายที่นำเข้า, ไม่รวมข้อมูลตัวอย่าง)</t>
        </is>
      </c>
      <c r="H23" s="17" t="inlineStr">
        <is>
          <t>ref / vat / ชื่อ</t>
        </is>
      </c>
      <c r="I23" s="18" t="n">
        <v>1154</v>
      </c>
      <c r="J23" s="16" t="inlineStr">
        <is>
          <t>นำเข้าแล้ว</t>
        </is>
      </c>
      <c r="K23" s="19" t="inlineStr">
        <is>
          <t>นำเข้าแล้ว</t>
        </is>
      </c>
      <c r="L23" s="17" t="inlineStr">
        <is>
          <t>ยืนยัน-ผู้จำหน่าย</t>
        </is>
      </c>
      <c r="M23" s="18" t="n"/>
      <c r="N23" s="18">
        <f>IF(M23="","",I23-M23)</f>
        <v/>
      </c>
      <c r="O23" s="17" t="n"/>
      <c r="P23" s="17" t="n"/>
      <c r="Q23" s="17" t="n"/>
      <c r="R23" s="17" t="n"/>
      <c r="S23" s="17" t="n"/>
      <c r="T23" s="17" t="inlineStr">
        <is>
          <t>ส่งออกจากฐาน VPK-S1 วันที่ 30 ส.ค. 2569</t>
        </is>
      </c>
      <c r="U23" s="17" t="inlineStr">
        <is>
          <t>UAT-นำเข้าข้อมูล-จัดซื้อ-ครั้งที่ 1.xlsx</t>
        </is>
      </c>
      <c r="V23" s="17" t="n"/>
    </row>
    <row r="24">
      <c r="A24" s="16" t="n">
        <v>23</v>
      </c>
      <c r="B24" s="17" t="inlineStr">
        <is>
          <t>จัดซื้อจัดจ้าง</t>
        </is>
      </c>
      <c r="C24" s="17" t="inlineStr">
        <is>
          <t>บัญชีธนาคารผู้ขาย</t>
        </is>
      </c>
      <c r="D24" s="17" t="inlineStr">
        <is>
          <t>คือเลขที่บัญชีธนาคารของแต่ละผู้ขาย ใช้ตอนจ่ายเงินให้ผู้ขายในงานการเงิน โดยผูกบัญชีกับผู้ขาย</t>
        </is>
      </c>
      <c r="E24" s="16" t="inlineStr">
        <is>
          <t>Master</t>
        </is>
      </c>
      <c r="F24" s="17" t="inlineStr">
        <is>
          <t>จัดซื้อ, การเงิน</t>
        </is>
      </c>
      <c r="G24" s="17" t="inlineStr">
        <is>
          <t>res.partner.bank</t>
        </is>
      </c>
      <c r="H24" s="17" t="inlineStr">
        <is>
          <t>partner + เลขบัญชี</t>
        </is>
      </c>
      <c r="I24" s="18" t="n">
        <v>0</v>
      </c>
      <c r="J24" s="16" t="inlineStr">
        <is>
          <t>ยังไม่นำเข้า</t>
        </is>
      </c>
      <c r="K24" s="21" t="inlineStr">
        <is>
          <t>ยังไม่นำเข้า</t>
        </is>
      </c>
      <c r="L24" s="17" t="inlineStr">
        <is>
          <t>ยืนยัน-บัญชีผู้ขาย</t>
        </is>
      </c>
      <c r="M24" s="18" t="n"/>
      <c r="N24" s="18">
        <f>IF(M24="","",I24-M24)</f>
        <v/>
      </c>
      <c r="O24" s="17" t="n"/>
      <c r="P24" s="17" t="n"/>
      <c r="Q24" s="17" t="n"/>
      <c r="R24" s="17" t="n"/>
      <c r="S24" s="17" t="n"/>
      <c r="T24" s="17" t="inlineStr">
        <is>
          <t>ยังไม่มีรายการในฐาน VPK-S1 ณ วันที่ 30 ส.ค. 2569</t>
        </is>
      </c>
      <c r="U24" s="17" t="inlineStr">
        <is>
          <t>UAT-นำเข้าข้อมูล-จัดซื้อ-ครั้งที่ 1.xlsx</t>
        </is>
      </c>
      <c r="V24" s="17" t="n"/>
    </row>
    <row r="25">
      <c r="A25" s="16" t="n">
        <v>24</v>
      </c>
      <c r="B25" s="17" t="inlineStr">
        <is>
          <t>จัดซื้อจัดจ้าง</t>
        </is>
      </c>
      <c r="C25" s="17" t="inlineStr">
        <is>
          <t>ราคา / MOQ ผู้ขาย</t>
        </is>
      </c>
      <c r="D25" s="17" t="inlineStr">
        <is>
          <t>คือราคาและจำนวนสั่งขั้นต่ำ (MOQ) ที่ผู้ขายกำหนดต่อสินค้า ใช้ดึงราคาตอนจัดซื้อ จับคู่ด้วยผู้ขายและสินค้า</t>
        </is>
      </c>
      <c r="E25" s="16" t="inlineStr">
        <is>
          <t>Master</t>
        </is>
      </c>
      <c r="F25" s="17" t="inlineStr">
        <is>
          <t>จัดซื้อ, สินค้า</t>
        </is>
      </c>
      <c r="G25" s="17" t="inlineStr">
        <is>
          <t>product.supplierinfo</t>
        </is>
      </c>
      <c r="H25" s="17" t="inlineStr">
        <is>
          <t>ผู้ขาย + สินค้า</t>
        </is>
      </c>
      <c r="I25" s="18" t="n">
        <v>1</v>
      </c>
      <c r="J25" s="16" t="inlineStr">
        <is>
          <t>นำเข้าแล้ว</t>
        </is>
      </c>
      <c r="K25" s="19" t="inlineStr">
        <is>
          <t>นำเข้าแล้ว</t>
        </is>
      </c>
      <c r="L25" s="17" t="inlineStr">
        <is>
          <t>ยืนยัน-ราคาผู้ขาย</t>
        </is>
      </c>
      <c r="M25" s="18" t="n"/>
      <c r="N25" s="18">
        <f>IF(M25="","",I25-M25)</f>
        <v/>
      </c>
      <c r="O25" s="17" t="n"/>
      <c r="P25" s="17" t="n"/>
      <c r="Q25" s="17" t="n"/>
      <c r="R25" s="17" t="n"/>
      <c r="S25" s="17" t="n"/>
      <c r="T25" s="17" t="inlineStr">
        <is>
          <t>ส่งออกจากฐาน VPK-S1 วันที่ 30 ส.ค. 2569</t>
        </is>
      </c>
      <c r="U25" s="17" t="inlineStr">
        <is>
          <t>UAT-นำเข้าข้อมูล-จัดซื้อ-ครั้งที่ 1.xlsx</t>
        </is>
      </c>
      <c r="V25" s="17" t="n"/>
    </row>
    <row r="26">
      <c r="A26" s="16" t="n">
        <v>25</v>
      </c>
      <c r="B26" s="17" t="inlineStr">
        <is>
          <t>จัดซื้อจัดจ้าง</t>
        </is>
      </c>
      <c r="C26" s="17" t="inlineStr">
        <is>
          <t>กลุ่มผู้จำหน่ายจัดซื้อ</t>
        </is>
      </c>
      <c r="D26" s="17" t="inlineStr">
        <is>
          <t>คือกลุ่มที่ใช้จัดประเภทผู้ขาย เช่น กลุ่มยา เจ้าหนี้ตรง ส่วนสาธารณูปโภค ใช้กรองผู้ขายและออกรายงานตามกลุ่ม จับคู่ด้วยรหัสกลุ่ม</t>
        </is>
      </c>
      <c r="E26" s="16" t="inlineStr">
        <is>
          <t>Master</t>
        </is>
      </c>
      <c r="F26" s="17" t="inlineStr">
        <is>
          <t>จัดซื้อ, เจ้าหนี้</t>
        </is>
      </c>
      <c r="G26" s="17" t="inlineStr">
        <is>
          <t>procurement.vendor.group</t>
        </is>
      </c>
      <c r="H26" s="17" t="inlineStr">
        <is>
          <t>code</t>
        </is>
      </c>
      <c r="I26" s="18" t="n">
        <v>7</v>
      </c>
      <c r="J26" s="16" t="inlineStr">
        <is>
          <t>นำเข้าแล้ว</t>
        </is>
      </c>
      <c r="K26" s="19" t="inlineStr">
        <is>
          <t>นำเข้าแล้ว</t>
        </is>
      </c>
      <c r="L26" s="17" t="inlineStr">
        <is>
          <t>ยืนยัน-กลุ่มผู้จำหน่าย</t>
        </is>
      </c>
      <c r="M26" s="18" t="n"/>
      <c r="N26" s="18">
        <f>IF(M26="","",I26-M26)</f>
        <v/>
      </c>
      <c r="O26" s="17" t="n"/>
      <c r="P26" s="17" t="n"/>
      <c r="Q26" s="17" t="n"/>
      <c r="R26" s="17" t="n"/>
      <c r="S26" s="17" t="n"/>
      <c r="T26" s="17" t="inlineStr">
        <is>
          <t>ส่งออกจากฐาน VPK-S1 วันที่ 30 ส.ค. 2569</t>
        </is>
      </c>
      <c r="U26" s="17" t="inlineStr">
        <is>
          <t>UAT-นำเข้าข้อมูล-จัดซื้อ-ครั้งที่ 1.xlsx</t>
        </is>
      </c>
      <c r="V26" s="17" t="n"/>
    </row>
    <row r="27">
      <c r="A27" s="16" t="n">
        <v>26</v>
      </c>
      <c r="B27" s="17" t="inlineStr">
        <is>
          <t>จัดซื้อจัดจ้าง</t>
        </is>
      </c>
      <c r="C27" s="17" t="inlineStr">
        <is>
          <t>ใบขอซื้อ (PR)</t>
        </is>
      </c>
      <c r="D27" s="17" t="inlineStr">
        <is>
          <t>คือเอกสารที่หน่วยงานขอให้พัสดุจัดซื้อ ใช้เริ่มกระบวนการก่อนออกใบสั่งซื้อ จับคู่ด้วยเลขที่ใบขอซื้อ</t>
        </is>
      </c>
      <c r="E27" s="16" t="inlineStr">
        <is>
          <t>ธุรกรรม</t>
        </is>
      </c>
      <c r="F27" s="17" t="inlineStr">
        <is>
          <t>จัดซื้อ</t>
        </is>
      </c>
      <c r="G27" s="17" t="inlineStr">
        <is>
          <t>purchase.request</t>
        </is>
      </c>
      <c r="H27" s="17" t="inlineStr">
        <is>
          <t>name</t>
        </is>
      </c>
      <c r="I27" s="18" t="n">
        <v>0</v>
      </c>
      <c r="J27" s="16" t="inlineStr">
        <is>
          <t>ยังไม่นำเข้า</t>
        </is>
      </c>
      <c r="K27" s="21" t="inlineStr">
        <is>
          <t>ยังไม่นำเข้า</t>
        </is>
      </c>
      <c r="L27" s="17" t="inlineStr">
        <is>
          <t>ยืนยัน-PR</t>
        </is>
      </c>
      <c r="M27" s="18" t="n"/>
      <c r="N27" s="18">
        <f>IF(M27="","",I27-M27)</f>
        <v/>
      </c>
      <c r="O27" s="17" t="n"/>
      <c r="P27" s="17" t="n"/>
      <c r="Q27" s="17" t="n"/>
      <c r="R27" s="17" t="n"/>
      <c r="S27" s="17" t="n"/>
      <c r="T27" s="17" t="inlineStr">
        <is>
          <t>ยังไม่มีรายการในฐาน VPK-S1 ณ วันที่ 30 ส.ค. 2569</t>
        </is>
      </c>
      <c r="U27" s="17" t="inlineStr">
        <is>
          <t>UAT-นำเข้าข้อมูล-จัดซื้อ-ครั้งที่ 1.xlsx</t>
        </is>
      </c>
      <c r="V27" s="17" t="n"/>
    </row>
    <row r="28">
      <c r="A28" s="16" t="n">
        <v>27</v>
      </c>
      <c r="B28" s="17" t="inlineStr">
        <is>
          <t>จัดซื้อจัดจ้าง</t>
        </is>
      </c>
      <c r="C28" s="17" t="inlineStr">
        <is>
          <t>ใบสั่งซื้อ (PO) ทั้งหมด</t>
        </is>
      </c>
      <c r="D28" s="17" t="inlineStr">
        <is>
          <t>คือใบสั่งซื้อที่ออกให้ผู้ขายแล้ว ใช้รับของเข้าคลังและตั้งหนี้เจ้าหนี้ จับคู่ด้วยเลขที่ใบสั่งซื้อ</t>
        </is>
      </c>
      <c r="E28" s="16" t="inlineStr">
        <is>
          <t>ธุรกรรม</t>
        </is>
      </c>
      <c r="F28" s="17" t="inlineStr">
        <is>
          <t>จัดซื้อ, คลัง, เจ้าหนี้</t>
        </is>
      </c>
      <c r="G28" s="17" t="inlineStr">
        <is>
          <t>purchase.order</t>
        </is>
      </c>
      <c r="H28" s="17" t="inlineStr">
        <is>
          <t>name</t>
        </is>
      </c>
      <c r="I28" s="18" t="n">
        <v>0</v>
      </c>
      <c r="J28" s="16" t="inlineStr">
        <is>
          <t>ยังไม่นำเข้า</t>
        </is>
      </c>
      <c r="K28" s="21" t="inlineStr">
        <is>
          <t>ยังไม่นำเข้า</t>
        </is>
      </c>
      <c r="L28" s="17" t="inlineStr">
        <is>
          <t>ยืนยัน-POทั้งหมด</t>
        </is>
      </c>
      <c r="M28" s="18" t="n"/>
      <c r="N28" s="18">
        <f>IF(M28="","",I28-M28)</f>
        <v/>
      </c>
      <c r="O28" s="17" t="n"/>
      <c r="P28" s="17" t="n"/>
      <c r="Q28" s="17" t="n"/>
      <c r="R28" s="17" t="n"/>
      <c r="S28" s="17" t="n"/>
      <c r="T28" s="17" t="inlineStr">
        <is>
          <t>ยังไม่มีรายการในฐาน VPK-S1 ณ วันที่ 30 ส.ค. 2569</t>
        </is>
      </c>
      <c r="U28" s="17" t="inlineStr">
        <is>
          <t>UAT-นำเข้าข้อมูล-จัดซื้อ-ครั้งที่ 1.xlsx</t>
        </is>
      </c>
      <c r="V28" s="17" t="n"/>
    </row>
    <row r="29">
      <c r="A29" s="16" t="n">
        <v>28</v>
      </c>
      <c r="B29" s="17" t="inlineStr">
        <is>
          <t>จัดซื้อจัดจ้าง</t>
        </is>
      </c>
      <c r="C29" s="17" t="inlineStr">
        <is>
          <t>PO คงค้าง (ค้างรับ / ค้างตั้งหนี้)</t>
        </is>
      </c>
      <c r="D29" s="17" t="inlineStr">
        <is>
          <t>คือใบสั่งซื้อที่ยังรับของไม่ครบหรือยังตั้งหนี้ไม่ครบ ใช้ติดตามงานค้างรับและค้างตั้งหนี้</t>
        </is>
      </c>
      <c r="E29" s="16" t="inlineStr">
        <is>
          <t>คงค้าง</t>
        </is>
      </c>
      <c r="F29" s="17" t="inlineStr">
        <is>
          <t>จัดซื้อ, คลัง, เจ้าหนี้</t>
        </is>
      </c>
      <c r="G29" s="17" t="inlineStr">
        <is>
          <t>purchase.order (คงค้าง)</t>
        </is>
      </c>
      <c r="H29" s="17" t="inlineStr">
        <is>
          <t>name</t>
        </is>
      </c>
      <c r="I29" s="18" t="n">
        <v>0</v>
      </c>
      <c r="J29" s="16" t="inlineStr">
        <is>
          <t>ยังไม่นำเข้า (คงค้าง)</t>
        </is>
      </c>
      <c r="K29" s="21" t="inlineStr">
        <is>
          <t>ยังไม่นำเข้า</t>
        </is>
      </c>
      <c r="L29" s="17" t="inlineStr">
        <is>
          <t>ยืนยัน-POคงค้าง</t>
        </is>
      </c>
      <c r="M29" s="18" t="n"/>
      <c r="N29" s="18">
        <f>IF(M29="","",I29-M29)</f>
        <v/>
      </c>
      <c r="O29" s="17" t="n"/>
      <c r="P29" s="17" t="n"/>
      <c r="Q29" s="17" t="n"/>
      <c r="R29" s="17" t="n"/>
      <c r="S29" s="17" t="n"/>
      <c r="T29" s="17" t="inlineStr">
        <is>
          <t>ยังไม่มีรายการในฐาน VPK-S1 ณ วันที่ 30 ส.ค. 2569</t>
        </is>
      </c>
      <c r="U29" s="17" t="inlineStr">
        <is>
          <t>UAT-นำเข้าข้อมูล-จัดซื้อ-ครั้งที่ 1.xlsx</t>
        </is>
      </c>
      <c r="V29" s="17" t="n"/>
    </row>
    <row r="30">
      <c r="A30" s="16" t="n">
        <v>29</v>
      </c>
      <c r="B30" s="17" t="inlineStr">
        <is>
          <t>สินทรัพย์ถาวร</t>
        </is>
      </c>
      <c r="C30" s="17" t="inlineStr">
        <is>
          <t>กลุ่มสินทรัพย์</t>
        </is>
      </c>
      <c r="D30" s="17" t="n"/>
      <c r="E30" s="16" t="inlineStr">
        <is>
          <t>Master</t>
        </is>
      </c>
      <c r="F30" s="17" t="inlineStr">
        <is>
          <t>บัญชี, ครุภัณฑ์</t>
        </is>
      </c>
      <c r="G30" s="17" t="inlineStr">
        <is>
          <t>account.asset.group</t>
        </is>
      </c>
      <c r="H30" s="17" t="inlineStr">
        <is>
          <t>code</t>
        </is>
      </c>
      <c r="I30" s="18" t="n">
        <v>1</v>
      </c>
      <c r="J30" s="16" t="inlineStr">
        <is>
          <t>นำเข้าแล้ว</t>
        </is>
      </c>
      <c r="K30" s="19" t="inlineStr">
        <is>
          <t>นำเข้าแล้ว</t>
        </is>
      </c>
      <c r="L30" s="17" t="inlineStr">
        <is>
          <t>ยืนยัน-กลุ่มสินทรัพย์</t>
        </is>
      </c>
      <c r="M30" s="18" t="n"/>
      <c r="N30" s="18">
        <f>IF(M30="","",I30-M30)</f>
        <v/>
      </c>
      <c r="O30" s="17" t="n"/>
      <c r="P30" s="17" t="n"/>
      <c r="Q30" s="17" t="n"/>
      <c r="R30" s="17" t="n"/>
      <c r="S30" s="17" t="n"/>
      <c r="T30" s="17" t="n"/>
      <c r="U30" s="17" t="inlineStr">
        <is>
          <t>UAT-นำเข้าข้อมูล-สินทรัพย์ถาวร-ครั้งที่-1.xlsx</t>
        </is>
      </c>
      <c r="V30" s="17" t="n"/>
    </row>
    <row r="31">
      <c r="A31" s="16" t="n">
        <v>30</v>
      </c>
      <c r="B31" s="17" t="inlineStr">
        <is>
          <t>สินทรัพย์ถาวร</t>
        </is>
      </c>
      <c r="C31" s="17" t="inlineStr">
        <is>
          <t>โปรไฟล์สินทรัพย์ถาวร</t>
        </is>
      </c>
      <c r="D31" s="17" t="n"/>
      <c r="E31" s="16" t="inlineStr">
        <is>
          <t>Master</t>
        </is>
      </c>
      <c r="F31" s="17" t="inlineStr">
        <is>
          <t>บัญชี, ครุภัณฑ์</t>
        </is>
      </c>
      <c r="G31" s="17" t="inlineStr">
        <is>
          <t>account.asset.profile</t>
        </is>
      </c>
      <c r="H31" s="17" t="inlineStr">
        <is>
          <t>name</t>
        </is>
      </c>
      <c r="I31" s="18" t="n">
        <v>14</v>
      </c>
      <c r="J31" s="16" t="inlineStr">
        <is>
          <t>นำเข้าแล้ว</t>
        </is>
      </c>
      <c r="K31" s="19" t="inlineStr">
        <is>
          <t>นำเข้าแล้ว</t>
        </is>
      </c>
      <c r="L31" s="17" t="inlineStr">
        <is>
          <t>ยืนยัน-โปรไฟล์สินทรัพย์</t>
        </is>
      </c>
      <c r="M31" s="18" t="n"/>
      <c r="N31" s="18">
        <f>IF(M31="","",I31-M31)</f>
        <v/>
      </c>
      <c r="O31" s="17" t="n"/>
      <c r="P31" s="17" t="n"/>
      <c r="Q31" s="17" t="n"/>
      <c r="R31" s="17" t="n"/>
      <c r="S31" s="17" t="n"/>
      <c r="T31" s="17" t="n"/>
      <c r="U31" s="17" t="inlineStr">
        <is>
          <t>UAT-นำเข้าข้อมูล-สินทรัพย์ถาวร-ครั้งที่-1.xlsx</t>
        </is>
      </c>
      <c r="V31" s="17" t="n"/>
    </row>
    <row r="32">
      <c r="A32" s="16" t="n">
        <v>31</v>
      </c>
      <c r="B32" s="17" t="inlineStr">
        <is>
          <t>สินทรัพย์ถาวร</t>
        </is>
      </c>
      <c r="C32" s="17" t="inlineStr">
        <is>
          <t>สถานะย่อยสินทรัพย์</t>
        </is>
      </c>
      <c r="D32" s="17" t="n"/>
      <c r="E32" s="16" t="inlineStr">
        <is>
          <t>Master</t>
        </is>
      </c>
      <c r="F32" s="17" t="inlineStr">
        <is>
          <t>บัญชี, ครุภัณฑ์</t>
        </is>
      </c>
      <c r="G32" s="17" t="inlineStr">
        <is>
          <t>account.asset.sub.state</t>
        </is>
      </c>
      <c r="H32" s="17" t="inlineStr">
        <is>
          <t>name</t>
        </is>
      </c>
      <c r="I32" s="18" t="n">
        <v>8</v>
      </c>
      <c r="J32" s="16" t="inlineStr">
        <is>
          <t>นำเข้าแล้ว</t>
        </is>
      </c>
      <c r="K32" s="19" t="inlineStr">
        <is>
          <t>นำเข้าแล้ว</t>
        </is>
      </c>
      <c r="L32" s="17" t="inlineStr">
        <is>
          <t>ยืนยัน-สถานะย่อย</t>
        </is>
      </c>
      <c r="M32" s="18" t="n"/>
      <c r="N32" s="18">
        <f>IF(M32="","",I32-M32)</f>
        <v/>
      </c>
      <c r="O32" s="17" t="n"/>
      <c r="P32" s="17" t="n"/>
      <c r="Q32" s="17" t="n"/>
      <c r="R32" s="17" t="n"/>
      <c r="S32" s="17" t="n"/>
      <c r="T32" s="17" t="n"/>
      <c r="U32" s="17" t="inlineStr">
        <is>
          <t>UAT-นำเข้าข้อมูล-สินทรัพย์ถาวร-ครั้งที่-1.xlsx</t>
        </is>
      </c>
      <c r="V32" s="17" t="n"/>
    </row>
    <row r="33">
      <c r="A33" s="16" t="n">
        <v>32</v>
      </c>
      <c r="B33" s="17" t="inlineStr">
        <is>
          <t>สินทรัพย์ถาวร</t>
        </is>
      </c>
      <c r="C33" s="17" t="inlineStr">
        <is>
          <t>ชุดสินทรัพย์ (Asset Set)</t>
        </is>
      </c>
      <c r="D33" s="17" t="n"/>
      <c r="E33" s="16" t="inlineStr">
        <is>
          <t>Master</t>
        </is>
      </c>
      <c r="F33" s="17" t="inlineStr">
        <is>
          <t>บัญชี, ครุภัณฑ์</t>
        </is>
      </c>
      <c r="G33" s="17" t="inlineStr">
        <is>
          <t>account.asset.parent</t>
        </is>
      </c>
      <c r="H33" s="17" t="inlineStr">
        <is>
          <t>code</t>
        </is>
      </c>
      <c r="I33" s="18" t="n">
        <v>3</v>
      </c>
      <c r="J33" s="16" t="inlineStr">
        <is>
          <t>นำเข้าแล้ว</t>
        </is>
      </c>
      <c r="K33" s="19" t="inlineStr">
        <is>
          <t>นำเข้าแล้ว</t>
        </is>
      </c>
      <c r="L33" s="17" t="inlineStr">
        <is>
          <t>ยืนยัน-ชุดสินทรัพย์</t>
        </is>
      </c>
      <c r="M33" s="18" t="n"/>
      <c r="N33" s="18">
        <f>IF(M33="","",I33-M33)</f>
        <v/>
      </c>
      <c r="O33" s="17" t="n"/>
      <c r="P33" s="17" t="n"/>
      <c r="Q33" s="17" t="n"/>
      <c r="R33" s="17" t="n"/>
      <c r="S33" s="17" t="n"/>
      <c r="T33" s="17" t="n"/>
      <c r="U33" s="17" t="inlineStr">
        <is>
          <t>UAT-นำเข้าข้อมูล-สินทรัพย์ถาวร-ครั้งที่-1.xlsx</t>
        </is>
      </c>
      <c r="V33" s="17" t="n"/>
    </row>
    <row r="34">
      <c r="A34" s="16" t="n">
        <v>33</v>
      </c>
      <c r="B34" s="17" t="inlineStr">
        <is>
          <t>สินทรัพย์ถาวร</t>
        </is>
      </c>
      <c r="C34" s="17" t="inlineStr">
        <is>
          <t>บัตรสินทรัพย์ / ครุภัณฑ์</t>
        </is>
      </c>
      <c r="D34" s="17" t="n"/>
      <c r="E34" s="16" t="inlineStr">
        <is>
          <t>Master</t>
        </is>
      </c>
      <c r="F34" s="17" t="inlineStr">
        <is>
          <t>บัญชี, งบประมาณ, ซ่อมบำรุง</t>
        </is>
      </c>
      <c r="G34" s="17" t="inlineStr">
        <is>
          <t>account.asset</t>
        </is>
      </c>
      <c r="H34" s="17" t="inlineStr">
        <is>
          <t>number / code</t>
        </is>
      </c>
      <c r="I34" s="18" t="n">
        <v>22039</v>
      </c>
      <c r="J34" s="16" t="inlineStr">
        <is>
          <t>นำเข้าแล้ว</t>
        </is>
      </c>
      <c r="K34" s="19" t="inlineStr">
        <is>
          <t>นำเข้าแล้ว</t>
        </is>
      </c>
      <c r="L34" s="17" t="inlineStr">
        <is>
          <t>ยืนยัน-บัตรสินทรัพย์</t>
        </is>
      </c>
      <c r="M34" s="18" t="n"/>
      <c r="N34" s="18">
        <f>IF(M34="","",I34-M34)</f>
        <v/>
      </c>
      <c r="O34" s="17" t="n"/>
      <c r="P34" s="17" t="n"/>
      <c r="Q34" s="17" t="n"/>
      <c r="R34" s="17" t="n"/>
      <c r="S34" s="17" t="n"/>
      <c r="T34" s="17" t="n"/>
      <c r="U34" s="17" t="inlineStr">
        <is>
          <t>UAT-นำเข้าข้อมูล-สินทรัพย์ถาวร-ครั้งที่-1.xlsx</t>
        </is>
      </c>
      <c r="V34" s="17" t="n"/>
    </row>
    <row r="35">
      <c r="A35" s="16" t="n">
        <v>34</v>
      </c>
      <c r="B35" s="17" t="inlineStr">
        <is>
          <t>สินทรัพย์ถาวร</t>
        </is>
      </c>
      <c r="C35" s="17" t="inlineStr">
        <is>
          <t>ตารางค่าเสื่อม</t>
        </is>
      </c>
      <c r="D35" s="17" t="n"/>
      <c r="E35" s="16" t="inlineStr">
        <is>
          <t>ตั้งค่า</t>
        </is>
      </c>
      <c r="F35" s="17" t="inlineStr">
        <is>
          <t>บัญชี</t>
        </is>
      </c>
      <c r="G35" s="17" t="inlineStr">
        <is>
          <t>account.asset.line</t>
        </is>
      </c>
      <c r="H35" s="17" t="inlineStr">
        <is>
          <t>สินทรัพย์ + วันที่ + ประเภท</t>
        </is>
      </c>
      <c r="I35" s="18" t="n">
        <v>20116</v>
      </c>
      <c r="J35" s="16" t="inlineStr">
        <is>
          <t>นำเข้าแล้ว</t>
        </is>
      </c>
      <c r="K35" s="19" t="inlineStr">
        <is>
          <t>นำเข้าแล้ว</t>
        </is>
      </c>
      <c r="L35" s="17" t="inlineStr">
        <is>
          <t>ยืนยัน-ตารางค่าเสื่อม</t>
        </is>
      </c>
      <c r="M35" s="18" t="n"/>
      <c r="N35" s="18">
        <f>IF(M35="","",I35-M35)</f>
        <v/>
      </c>
      <c r="O35" s="17" t="n"/>
      <c r="P35" s="17" t="n"/>
      <c r="Q35" s="17" t="n"/>
      <c r="R35" s="17" t="n"/>
      <c r="S35" s="17" t="n"/>
      <c r="T35" s="17" t="n"/>
      <c r="U35" s="17" t="inlineStr">
        <is>
          <t>UAT-นำเข้าข้อมูล-สินทรัพย์ถาวร-ครั้งที่-1.xlsx</t>
        </is>
      </c>
      <c r="V35" s="17" t="n"/>
    </row>
    <row r="36">
      <c r="A36" s="16" t="n">
        <v>35</v>
      </c>
      <c r="B36" s="17" t="inlineStr">
        <is>
          <t>สินทรัพย์ถาวร</t>
        </is>
      </c>
      <c r="C36" s="17" t="inlineStr">
        <is>
          <t>หมวดครุภัณฑ์ซ่อมบำรุง</t>
        </is>
      </c>
      <c r="D36" s="17" t="n"/>
      <c r="E36" s="16" t="inlineStr">
        <is>
          <t>Master</t>
        </is>
      </c>
      <c r="F36" s="17" t="inlineStr">
        <is>
          <t>ซ่อมบำรุง, สินทรัพย์</t>
        </is>
      </c>
      <c r="G36" s="17" t="inlineStr">
        <is>
          <t>maintenance.equipment.category</t>
        </is>
      </c>
      <c r="H36" s="17" t="inlineStr">
        <is>
          <t>name</t>
        </is>
      </c>
      <c r="I36" s="18" t="n">
        <v>1</v>
      </c>
      <c r="J36" s="16" t="inlineStr">
        <is>
          <t>นำเข้าแล้ว</t>
        </is>
      </c>
      <c r="K36" s="19" t="inlineStr">
        <is>
          <t>นำเข้าแล้ว</t>
        </is>
      </c>
      <c r="L36" s="17" t="inlineStr">
        <is>
          <t>ยืนยัน-หมวดครุภัณฑ์ซ่อม</t>
        </is>
      </c>
      <c r="M36" s="18" t="n"/>
      <c r="N36" s="18">
        <f>IF(M36="","",I36-M36)</f>
        <v/>
      </c>
      <c r="O36" s="17" t="n"/>
      <c r="P36" s="17" t="n"/>
      <c r="Q36" s="17" t="n"/>
      <c r="R36" s="17" t="n"/>
      <c r="S36" s="17" t="n"/>
      <c r="T36" s="17" t="n"/>
      <c r="U36" s="17" t="inlineStr">
        <is>
          <t>UAT-นำเข้าข้อมูล-สินทรัพย์ถาวร-ครั้งที่-1.xlsx</t>
        </is>
      </c>
      <c r="V36" s="17" t="n"/>
    </row>
    <row r="37">
      <c r="A37" s="16" t="n">
        <v>36</v>
      </c>
      <c r="B37" s="17" t="inlineStr">
        <is>
          <t>สินทรัพย์ถาวร</t>
        </is>
      </c>
      <c r="C37" s="17" t="inlineStr">
        <is>
          <t>ครุภัณฑ์ซ่อมบำรุง (Equipment)</t>
        </is>
      </c>
      <c r="D37" s="17" t="n"/>
      <c r="E37" s="16" t="inlineStr">
        <is>
          <t>Master</t>
        </is>
      </c>
      <c r="F37" s="17" t="inlineStr">
        <is>
          <t>ซ่อมบำรุง, สินทรัพย์</t>
        </is>
      </c>
      <c r="G37" s="17" t="inlineStr">
        <is>
          <t>maintenance.equipment</t>
        </is>
      </c>
      <c r="H37" s="17" t="inlineStr">
        <is>
          <t>asset_number / serial_no / ชื่อ</t>
        </is>
      </c>
      <c r="I37" s="18" t="n">
        <v>5</v>
      </c>
      <c r="J37" s="16" t="inlineStr">
        <is>
          <t>นำเข้าแล้ว</t>
        </is>
      </c>
      <c r="K37" s="19" t="inlineStr">
        <is>
          <t>นำเข้าแล้ว</t>
        </is>
      </c>
      <c r="L37" s="17" t="inlineStr">
        <is>
          <t>ยืนยัน-ครุภัณฑ์ซ่อม</t>
        </is>
      </c>
      <c r="M37" s="18" t="n"/>
      <c r="N37" s="18">
        <f>IF(M37="","",I37-M37)</f>
        <v/>
      </c>
      <c r="O37" s="17" t="n"/>
      <c r="P37" s="17" t="n"/>
      <c r="Q37" s="17" t="n"/>
      <c r="R37" s="17" t="n"/>
      <c r="S37" s="17" t="n"/>
      <c r="T37" s="17" t="n"/>
      <c r="U37" s="17" t="inlineStr">
        <is>
          <t>UAT-นำเข้าข้อมูล-สินทรัพย์ถาวร-ครั้งที่-1.xlsx</t>
        </is>
      </c>
      <c r="V37" s="17" t="n"/>
    </row>
    <row r="38">
      <c r="A38" s="16" t="n">
        <v>37</v>
      </c>
      <c r="B38" s="17" t="inlineStr">
        <is>
          <t>เจ้าหนี้บัญชีการเงิน</t>
        </is>
      </c>
      <c r="C38" s="17" t="inlineStr">
        <is>
          <t>ผังบัญชี</t>
        </is>
      </c>
      <c r="D38" s="17" t="n"/>
      <c r="E38" s="16" t="inlineStr">
        <is>
          <t>Master</t>
        </is>
      </c>
      <c r="F38" s="17" t="inlineStr">
        <is>
          <t>บัญชี</t>
        </is>
      </c>
      <c r="G38" s="17" t="inlineStr">
        <is>
          <t>account.account</t>
        </is>
      </c>
      <c r="H38" s="17" t="inlineStr">
        <is>
          <t>code</t>
        </is>
      </c>
      <c r="I38" s="18" t="n">
        <v>878</v>
      </c>
      <c r="J38" s="16" t="inlineStr">
        <is>
          <t>นำเข้าแล้ว</t>
        </is>
      </c>
      <c r="K38" s="19" t="inlineStr">
        <is>
          <t>นำเข้าแล้ว</t>
        </is>
      </c>
      <c r="L38" s="17" t="inlineStr">
        <is>
          <t>ยืนยัน-ผังบัญชี</t>
        </is>
      </c>
      <c r="M38" s="18" t="n"/>
      <c r="N38" s="18">
        <f>IF(M38="","",I38-M38)</f>
        <v/>
      </c>
      <c r="O38" s="17" t="n"/>
      <c r="P38" s="17" t="n"/>
      <c r="Q38" s="17" t="n"/>
      <c r="R38" s="17" t="n"/>
      <c r="S38" s="17" t="n"/>
      <c r="T38" s="17" t="n"/>
      <c r="U38" s="17" t="inlineStr">
        <is>
          <t>UAT-นำเข้าข้อมูล-เจ้าหนี้บัญชีการเงิน-ครั้งที่ 1.xlsx</t>
        </is>
      </c>
      <c r="V38" s="17" t="n"/>
    </row>
    <row r="39">
      <c r="A39" s="16" t="n">
        <v>38</v>
      </c>
      <c r="B39" s="17" t="inlineStr">
        <is>
          <t>เจ้าหนี้บัญชีการเงิน</t>
        </is>
      </c>
      <c r="C39" s="17" t="inlineStr">
        <is>
          <t>สมุดรายวัน</t>
        </is>
      </c>
      <c r="D39" s="17" t="n"/>
      <c r="E39" s="16" t="inlineStr">
        <is>
          <t>Master</t>
        </is>
      </c>
      <c r="F39" s="17" t="inlineStr">
        <is>
          <t>บัญชี, การเงิน</t>
        </is>
      </c>
      <c r="G39" s="17" t="inlineStr">
        <is>
          <t>account.journal</t>
        </is>
      </c>
      <c r="H39" s="17" t="inlineStr">
        <is>
          <t>code</t>
        </is>
      </c>
      <c r="I39" s="18" t="n">
        <v>57</v>
      </c>
      <c r="J39" s="16" t="inlineStr">
        <is>
          <t>นำเข้าแล้ว</t>
        </is>
      </c>
      <c r="K39" s="19" t="inlineStr">
        <is>
          <t>นำเข้าแล้ว</t>
        </is>
      </c>
      <c r="L39" s="17" t="inlineStr">
        <is>
          <t>ยืนยัน-สมุดรายวัน</t>
        </is>
      </c>
      <c r="M39" s="18" t="n"/>
      <c r="N39" s="18">
        <f>IF(M39="","",I39-M39)</f>
        <v/>
      </c>
      <c r="O39" s="17" t="n"/>
      <c r="P39" s="17" t="n"/>
      <c r="Q39" s="17" t="n"/>
      <c r="R39" s="17" t="n"/>
      <c r="S39" s="17" t="n"/>
      <c r="T39" s="17" t="n"/>
      <c r="U39" s="17" t="inlineStr">
        <is>
          <t>UAT-นำเข้าข้อมูล-เจ้าหนี้บัญชีการเงิน-ครั้งที่ 1.xlsx</t>
        </is>
      </c>
      <c r="V39" s="17" t="n"/>
    </row>
    <row r="40">
      <c r="A40" s="16" t="n">
        <v>39</v>
      </c>
      <c r="B40" s="17" t="inlineStr">
        <is>
          <t>เจ้าหนี้บัญชีการเงิน</t>
        </is>
      </c>
      <c r="C40" s="17" t="inlineStr">
        <is>
          <t>บัญชีธนาคารของโรงพยาบาล</t>
        </is>
      </c>
      <c r="D40" s="17" t="n"/>
      <c r="E40" s="16" t="inlineStr">
        <is>
          <t>Master</t>
        </is>
      </c>
      <c r="F40" s="17" t="inlineStr">
        <is>
          <t>การเงิน, บัญชี</t>
        </is>
      </c>
      <c r="G40" s="17" t="inlineStr">
        <is>
          <t>res.partner.bank (บริษัท) + account.journal</t>
        </is>
      </c>
      <c r="H40" s="17" t="inlineStr">
        <is>
          <t>เลขบัญชี / รหัสสมุดรายวัน</t>
        </is>
      </c>
      <c r="I40" s="18" t="n">
        <v>45</v>
      </c>
      <c r="J40" s="16" t="inlineStr">
        <is>
          <t>นำเข้าแล้ว</t>
        </is>
      </c>
      <c r="K40" s="19" t="inlineStr">
        <is>
          <t>นำเข้าแล้ว</t>
        </is>
      </c>
      <c r="L40" s="17" t="inlineStr">
        <is>
          <t>ยืนยัน-บัญชีธนาคารรพ</t>
        </is>
      </c>
      <c r="M40" s="18" t="n"/>
      <c r="N40" s="18">
        <f>IF(M40="","",I40-M40)</f>
        <v/>
      </c>
      <c r="O40" s="17" t="n"/>
      <c r="P40" s="17" t="n"/>
      <c r="Q40" s="17" t="n"/>
      <c r="R40" s="17" t="n"/>
      <c r="S40" s="17" t="n"/>
      <c r="T40" s="17" t="n"/>
      <c r="U40" s="17" t="inlineStr">
        <is>
          <t>UAT-นำเข้าข้อมูล-เจ้าหนี้บัญชีการเงิน-ครั้งที่ 1.xlsx</t>
        </is>
      </c>
      <c r="V40" s="17" t="n"/>
    </row>
    <row r="41">
      <c r="A41" s="16" t="n">
        <v>40</v>
      </c>
      <c r="B41" s="17" t="inlineStr">
        <is>
          <t>เจ้าหนี้บัญชีการเงิน</t>
        </is>
      </c>
      <c r="C41" s="17" t="inlineStr">
        <is>
          <t>ภาษี (VAT)</t>
        </is>
      </c>
      <c r="D41" s="17" t="n"/>
      <c r="E41" s="16" t="inlineStr">
        <is>
          <t>Master</t>
        </is>
      </c>
      <c r="F41" s="17" t="inlineStr">
        <is>
          <t>บัญชี, เจ้าหนี้</t>
        </is>
      </c>
      <c r="G41" s="17" t="inlineStr">
        <is>
          <t>account.tax</t>
        </is>
      </c>
      <c r="H41" s="17" t="inlineStr">
        <is>
          <t>name</t>
        </is>
      </c>
      <c r="I41" s="18" t="n">
        <v>18</v>
      </c>
      <c r="J41" s="16" t="inlineStr">
        <is>
          <t>นำเข้าแล้ว</t>
        </is>
      </c>
      <c r="K41" s="19" t="inlineStr">
        <is>
          <t>นำเข้าแล้ว</t>
        </is>
      </c>
      <c r="L41" s="17" t="inlineStr">
        <is>
          <t>ยืนยัน-ภาษี</t>
        </is>
      </c>
      <c r="M41" s="18" t="n"/>
      <c r="N41" s="18">
        <f>IF(M41="","",I41-M41)</f>
        <v/>
      </c>
      <c r="O41" s="17" t="n"/>
      <c r="P41" s="17" t="n"/>
      <c r="Q41" s="17" t="n"/>
      <c r="R41" s="17" t="n"/>
      <c r="S41" s="17" t="n"/>
      <c r="T41" s="17" t="n"/>
      <c r="U41" s="17" t="inlineStr">
        <is>
          <t>UAT-นำเข้าข้อมูล-เจ้าหนี้บัญชีการเงิน-ครั้งที่ 1.xlsx</t>
        </is>
      </c>
      <c r="V41" s="17" t="n"/>
    </row>
    <row r="42">
      <c r="A42" s="16" t="n">
        <v>41</v>
      </c>
      <c r="B42" s="17" t="inlineStr">
        <is>
          <t>เจ้าหนี้บัญชีการเงิน</t>
        </is>
      </c>
      <c r="C42" s="17" t="inlineStr">
        <is>
          <t>ภาษีหัก ณ ที่จ่าย (WHT)</t>
        </is>
      </c>
      <c r="D42" s="17" t="n"/>
      <c r="E42" s="16" t="inlineStr">
        <is>
          <t>Master</t>
        </is>
      </c>
      <c r="F42" s="17" t="inlineStr">
        <is>
          <t>บัญชี, การเงิน</t>
        </is>
      </c>
      <c r="G42" s="17" t="inlineStr">
        <is>
          <t>account.withholding.tax</t>
        </is>
      </c>
      <c r="H42" s="17" t="inlineStr">
        <is>
          <t>name</t>
        </is>
      </c>
      <c r="I42" s="18" t="n">
        <v>0</v>
      </c>
      <c r="J42" s="16" t="inlineStr">
        <is>
          <t>ยังไม่นำเข้า</t>
        </is>
      </c>
      <c r="K42" s="21" t="inlineStr">
        <is>
          <t>ยังไม่นำเข้า</t>
        </is>
      </c>
      <c r="L42" s="17" t="inlineStr">
        <is>
          <t>—</t>
        </is>
      </c>
      <c r="M42" s="18" t="n"/>
      <c r="N42" s="18">
        <f>IF(M42="","",I42-M42)</f>
        <v/>
      </c>
      <c r="O42" s="17" t="n"/>
      <c r="P42" s="17" t="n"/>
      <c r="Q42" s="17" t="n"/>
      <c r="R42" s="17" t="n"/>
      <c r="S42" s="17" t="n"/>
      <c r="T42" s="17" t="n"/>
      <c r="U42" s="17" t="inlineStr">
        <is>
          <t>UAT-นำเข้าข้อมูล-เจ้าหนี้บัญชีการเงิน-ครั้งที่ 1.xlsx</t>
        </is>
      </c>
      <c r="V42" s="17" t="n"/>
    </row>
    <row r="43">
      <c r="A43" s="16" t="n">
        <v>42</v>
      </c>
      <c r="B43" s="17" t="inlineStr">
        <is>
          <t>เจ้าหนี้บัญชีการเงิน</t>
        </is>
      </c>
      <c r="C43" s="17" t="inlineStr">
        <is>
          <t>เงื่อนไขการชำระ</t>
        </is>
      </c>
      <c r="D43" s="17" t="n"/>
      <c r="E43" s="16" t="inlineStr">
        <is>
          <t>Master</t>
        </is>
      </c>
      <c r="F43" s="17" t="inlineStr">
        <is>
          <t>เจ้าหนี้, การเงิน</t>
        </is>
      </c>
      <c r="G43" s="17" t="inlineStr">
        <is>
          <t>account.payment.term</t>
        </is>
      </c>
      <c r="H43" s="17" t="inlineStr">
        <is>
          <t>name</t>
        </is>
      </c>
      <c r="I43" s="18" t="n">
        <v>10</v>
      </c>
      <c r="J43" s="16" t="inlineStr">
        <is>
          <t>นำเข้าแล้ว</t>
        </is>
      </c>
      <c r="K43" s="19" t="inlineStr">
        <is>
          <t>นำเข้าแล้ว</t>
        </is>
      </c>
      <c r="L43" s="17" t="inlineStr">
        <is>
          <t>ยืนยัน-เงื่อนไขชำระ</t>
        </is>
      </c>
      <c r="M43" s="18" t="n"/>
      <c r="N43" s="18">
        <f>IF(M43="","",I43-M43)</f>
        <v/>
      </c>
      <c r="O43" s="17" t="n"/>
      <c r="P43" s="17" t="n"/>
      <c r="Q43" s="17" t="n"/>
      <c r="R43" s="17" t="n"/>
      <c r="S43" s="17" t="n"/>
      <c r="T43" s="17" t="n"/>
      <c r="U43" s="17" t="inlineStr">
        <is>
          <t>UAT-นำเข้าข้อมูล-เจ้าหนี้บัญชีการเงิน-ครั้งที่ 1.xlsx</t>
        </is>
      </c>
      <c r="V43" s="17" t="n"/>
    </row>
    <row r="44">
      <c r="A44" s="16" t="n">
        <v>43</v>
      </c>
      <c r="B44" s="17" t="inlineStr">
        <is>
          <t>เจ้าหนี้บัญชีการเงิน</t>
        </is>
      </c>
      <c r="C44" s="17" t="inlineStr">
        <is>
          <t>ลูกหนี้สิทธิ HIS</t>
        </is>
      </c>
      <c r="D44" s="17" t="n"/>
      <c r="E44" s="16" t="inlineStr">
        <is>
          <t>Master</t>
        </is>
      </c>
      <c r="F44" s="17" t="inlineStr">
        <is>
          <t>ลูกหนี้, บัญชี</t>
        </is>
      </c>
      <c r="G44" s="17" t="inlineStr">
        <is>
          <t>res.partner + res.partner.category</t>
        </is>
      </c>
      <c r="H44" s="17" t="inlineStr">
        <is>
          <t>ref / ชื่อ + แท็ก</t>
        </is>
      </c>
      <c r="I44" s="18" t="n">
        <v>6</v>
      </c>
      <c r="J44" s="16" t="inlineStr">
        <is>
          <t>นำเข้าแล้ว</t>
        </is>
      </c>
      <c r="K44" s="19" t="inlineStr">
        <is>
          <t>นำเข้าแล้ว</t>
        </is>
      </c>
      <c r="L44" s="17" t="inlineStr">
        <is>
          <t>ยืนยัน-ลูกหนี้สิทธิHIS</t>
        </is>
      </c>
      <c r="M44" s="18" t="n"/>
      <c r="N44" s="18">
        <f>IF(M44="","",I44-M44)</f>
        <v/>
      </c>
      <c r="O44" s="17" t="n"/>
      <c r="P44" s="17" t="n"/>
      <c r="Q44" s="17" t="n"/>
      <c r="R44" s="17" t="n"/>
      <c r="S44" s="17" t="n"/>
      <c r="T44" s="17" t="n"/>
      <c r="U44" s="17" t="inlineStr">
        <is>
          <t>UAT-นำเข้าข้อมูล-เจ้าหนี้บัญชีการเงิน-ครั้งที่ 1.xlsx</t>
        </is>
      </c>
      <c r="V44" s="17" t="n"/>
    </row>
    <row r="45">
      <c r="A45" s="16" t="n">
        <v>44</v>
      </c>
      <c r="B45" s="17" t="inlineStr">
        <is>
          <t>เจ้าหนี้บัญชีการเงิน</t>
        </is>
      </c>
      <c r="C45" s="17" t="inlineStr">
        <is>
          <t>ลูกหนี้คนไข้ IPD HIS</t>
        </is>
      </c>
      <c r="D45" s="17" t="n"/>
      <c r="E45" s="16" t="inlineStr">
        <is>
          <t>Master</t>
        </is>
      </c>
      <c r="F45" s="17" t="inlineStr">
        <is>
          <t>ลูกหนี้, บัญชี</t>
        </is>
      </c>
      <c r="G45" s="17" t="inlineStr">
        <is>
          <t>res.partner + res.partner.category</t>
        </is>
      </c>
      <c r="H45" s="17" t="inlineStr">
        <is>
          <t>ref / ชื่อ + แท็ก</t>
        </is>
      </c>
      <c r="I45" s="18" t="n">
        <v>1</v>
      </c>
      <c r="J45" s="16" t="inlineStr">
        <is>
          <t>นำเข้าแล้ว</t>
        </is>
      </c>
      <c r="K45" s="19" t="inlineStr">
        <is>
          <t>นำเข้าแล้ว</t>
        </is>
      </c>
      <c r="L45" s="17" t="inlineStr">
        <is>
          <t>ยืนยัน-ลูกหนี้IPD HIS</t>
        </is>
      </c>
      <c r="M45" s="18" t="n"/>
      <c r="N45" s="18">
        <f>IF(M45="","",I45-M45)</f>
        <v/>
      </c>
      <c r="O45" s="17" t="n"/>
      <c r="P45" s="17" t="n"/>
      <c r="Q45" s="17" t="n"/>
      <c r="R45" s="17" t="n"/>
      <c r="S45" s="17" t="n"/>
      <c r="T45" s="17" t="n"/>
      <c r="U45" s="17" t="inlineStr">
        <is>
          <t>UAT-นำเข้าข้อมูล-เจ้าหนี้บัญชีการเงิน-ครั้งที่ 1.xlsx</t>
        </is>
      </c>
      <c r="V45" s="17" t="n"/>
    </row>
    <row r="46">
      <c r="A46" s="16" t="n">
        <v>45</v>
      </c>
      <c r="B46" s="17" t="inlineStr">
        <is>
          <t>เจ้าหนี้บัญชีการเงิน</t>
        </is>
      </c>
      <c r="C46" s="17" t="inlineStr">
        <is>
          <t>ลูกหนี้ พรบ</t>
        </is>
      </c>
      <c r="D46" s="17" t="n"/>
      <c r="E46" s="16" t="inlineStr">
        <is>
          <t>Master</t>
        </is>
      </c>
      <c r="F46" s="17" t="inlineStr">
        <is>
          <t>ลูกหนี้, บัญชี</t>
        </is>
      </c>
      <c r="G46" s="17" t="inlineStr">
        <is>
          <t>res.partner + res.partner.category</t>
        </is>
      </c>
      <c r="H46" s="17" t="inlineStr">
        <is>
          <t>ref / ชื่อ + แท็ก</t>
        </is>
      </c>
      <c r="I46" s="18" t="n">
        <v>27</v>
      </c>
      <c r="J46" s="16" t="inlineStr">
        <is>
          <t>นำเข้าแล้ว</t>
        </is>
      </c>
      <c r="K46" s="19" t="inlineStr">
        <is>
          <t>นำเข้าแล้ว</t>
        </is>
      </c>
      <c r="L46" s="17" t="inlineStr">
        <is>
          <t>ยืนยัน-ลูกหนี้พรบ</t>
        </is>
      </c>
      <c r="M46" s="18" t="n"/>
      <c r="N46" s="18">
        <f>IF(M46="","",I46-M46)</f>
        <v/>
      </c>
      <c r="O46" s="17" t="n"/>
      <c r="P46" s="17" t="n"/>
      <c r="Q46" s="17" t="n"/>
      <c r="R46" s="17" t="n"/>
      <c r="S46" s="17" t="n"/>
      <c r="T46" s="17" t="n"/>
      <c r="U46" s="17" t="inlineStr">
        <is>
          <t>UAT-นำเข้าข้อมูล-เจ้าหนี้บัญชีการเงิน-ครั้งที่ 1.xlsx</t>
        </is>
      </c>
      <c r="V46" s="17" t="n"/>
    </row>
    <row r="47">
      <c r="A47" s="16" t="n">
        <v>46</v>
      </c>
      <c r="B47" s="17" t="inlineStr">
        <is>
          <t>เจ้าหนี้บัญชีการเงิน</t>
        </is>
      </c>
      <c r="C47" s="17" t="inlineStr">
        <is>
          <t>ลูกหนี้ บริษัท</t>
        </is>
      </c>
      <c r="D47" s="17" t="n"/>
      <c r="E47" s="16" t="inlineStr">
        <is>
          <t>Master</t>
        </is>
      </c>
      <c r="F47" s="17" t="inlineStr">
        <is>
          <t>ลูกหนี้, บัญชี</t>
        </is>
      </c>
      <c r="G47" s="17" t="inlineStr">
        <is>
          <t>res.partner + res.partner.category</t>
        </is>
      </c>
      <c r="H47" s="17" t="inlineStr">
        <is>
          <t>ref / ชื่อ + แท็ก</t>
        </is>
      </c>
      <c r="I47" s="18" t="n">
        <v>69</v>
      </c>
      <c r="J47" s="16" t="inlineStr">
        <is>
          <t>นำเข้าแล้ว</t>
        </is>
      </c>
      <c r="K47" s="19" t="inlineStr">
        <is>
          <t>นำเข้าแล้ว</t>
        </is>
      </c>
      <c r="L47" s="17" t="inlineStr">
        <is>
          <t>ยืนยัน-ลูกหนี้บริษัท</t>
        </is>
      </c>
      <c r="M47" s="18" t="n"/>
      <c r="N47" s="18">
        <f>IF(M47="","",I47-M47)</f>
        <v/>
      </c>
      <c r="O47" s="17" t="n"/>
      <c r="P47" s="17" t="n"/>
      <c r="Q47" s="17" t="n"/>
      <c r="R47" s="17" t="n"/>
      <c r="S47" s="17" t="n"/>
      <c r="T47" s="17" t="n"/>
      <c r="U47" s="17" t="inlineStr">
        <is>
          <t>UAT-นำเข้าข้อมูล-เจ้าหนี้บัญชีการเงิน-ครั้งที่ 1.xlsx</t>
        </is>
      </c>
      <c r="V47" s="17" t="n"/>
    </row>
    <row r="48">
      <c r="A48" s="16" t="n">
        <v>47</v>
      </c>
      <c r="B48" s="17" t="inlineStr">
        <is>
          <t>เจ้าหนี้บัญชีการเงิน</t>
        </is>
      </c>
      <c r="C48" s="17" t="inlineStr">
        <is>
          <t>ลูกหนี้ ประกัน</t>
        </is>
      </c>
      <c r="D48" s="17" t="n"/>
      <c r="E48" s="16" t="inlineStr">
        <is>
          <t>Master</t>
        </is>
      </c>
      <c r="F48" s="17" t="inlineStr">
        <is>
          <t>ลูกหนี้, บัญชี</t>
        </is>
      </c>
      <c r="G48" s="17" t="inlineStr">
        <is>
          <t>res.partner + res.partner.category</t>
        </is>
      </c>
      <c r="H48" s="17" t="inlineStr">
        <is>
          <t>ref / ชื่อ + แท็ก</t>
        </is>
      </c>
      <c r="I48" s="18" t="n">
        <v>69</v>
      </c>
      <c r="J48" s="16" t="inlineStr">
        <is>
          <t>นำเข้าแล้ว</t>
        </is>
      </c>
      <c r="K48" s="19" t="inlineStr">
        <is>
          <t>นำเข้าแล้ว</t>
        </is>
      </c>
      <c r="L48" s="17" t="inlineStr">
        <is>
          <t>ยืนยัน-ลูกหนี้ประกัน</t>
        </is>
      </c>
      <c r="M48" s="18" t="n"/>
      <c r="N48" s="18">
        <f>IF(M48="","",I48-M48)</f>
        <v/>
      </c>
      <c r="O48" s="17" t="n"/>
      <c r="P48" s="17" t="n"/>
      <c r="Q48" s="17" t="n"/>
      <c r="R48" s="17" t="n"/>
      <c r="S48" s="17" t="n"/>
      <c r="T48" s="17" t="n"/>
      <c r="U48" s="17" t="inlineStr">
        <is>
          <t>UAT-นำเข้าข้อมูล-เจ้าหนี้บัญชีการเงิน-ครั้งที่ 1.xlsx</t>
        </is>
      </c>
      <c r="V48" s="17" t="n"/>
    </row>
    <row r="49">
      <c r="A49" s="16" t="n">
        <v>48</v>
      </c>
      <c r="B49" s="17" t="inlineStr">
        <is>
          <t>เจ้าหนี้บัญชีการเงิน</t>
        </is>
      </c>
      <c r="C49" s="17" t="inlineStr">
        <is>
          <t>ลูกหนี้ ประกันสังคม</t>
        </is>
      </c>
      <c r="D49" s="17" t="n"/>
      <c r="E49" s="16" t="inlineStr">
        <is>
          <t>Master</t>
        </is>
      </c>
      <c r="F49" s="17" t="inlineStr">
        <is>
          <t>ลูกหนี้, บัญชี</t>
        </is>
      </c>
      <c r="G49" s="17" t="inlineStr">
        <is>
          <t>res.partner + res.partner.category</t>
        </is>
      </c>
      <c r="H49" s="17" t="inlineStr">
        <is>
          <t>ref / ชื่อ + แท็ก</t>
        </is>
      </c>
      <c r="I49" s="18" t="n">
        <v>75</v>
      </c>
      <c r="J49" s="16" t="inlineStr">
        <is>
          <t>นำเข้าแล้ว</t>
        </is>
      </c>
      <c r="K49" s="19" t="inlineStr">
        <is>
          <t>นำเข้าแล้ว</t>
        </is>
      </c>
      <c r="L49" s="17" t="inlineStr">
        <is>
          <t>ยืนยัน-ลูกหนี้ประกันสังคม</t>
        </is>
      </c>
      <c r="M49" s="18" t="n"/>
      <c r="N49" s="18">
        <f>IF(M49="","",I49-M49)</f>
        <v/>
      </c>
      <c r="O49" s="17" t="n"/>
      <c r="P49" s="17" t="n"/>
      <c r="Q49" s="17" t="n"/>
      <c r="R49" s="17" t="n"/>
      <c r="S49" s="17" t="n"/>
      <c r="T49" s="17" t="n"/>
      <c r="U49" s="17" t="inlineStr">
        <is>
          <t>UAT-นำเข้าข้อมูล-เจ้าหนี้บัญชีการเงิน-ครั้งที่ 1.xlsx</t>
        </is>
      </c>
      <c r="V49" s="17" t="n"/>
    </row>
    <row r="50">
      <c r="A50" s="22" t="n">
        <v>49</v>
      </c>
      <c r="B50" s="23" t="inlineStr">
        <is>
          <t>เจ้าหนี้บัญชีการเงิน</t>
        </is>
      </c>
      <c r="C50" s="23" t="inlineStr">
        <is>
          <t>โปรไฟล์สินทรัพย์ถาวร</t>
        </is>
      </c>
      <c r="D50" s="23" t="n"/>
      <c r="E50" s="22" t="inlineStr">
        <is>
          <t>Master</t>
        </is>
      </c>
      <c r="F50" s="23" t="inlineStr">
        <is>
          <t>บัญชี, ครุภัณฑ์</t>
        </is>
      </c>
      <c r="G50" s="23" t="inlineStr">
        <is>
          <t>account.asset.profile</t>
        </is>
      </c>
      <c r="H50" s="23" t="inlineStr">
        <is>
          <t>name</t>
        </is>
      </c>
      <c r="I50" s="24" t="n">
        <v>14</v>
      </c>
      <c r="J50" s="22" t="inlineStr">
        <is>
          <t>นำเข้าแล้ว</t>
        </is>
      </c>
      <c r="K50" s="25" t="inlineStr">
        <is>
          <t>นำเข้าแล้ว</t>
        </is>
      </c>
      <c r="L50" s="23" t="inlineStr">
        <is>
          <t>ยืนยัน-โปรไฟล์สินทรัพย์</t>
        </is>
      </c>
      <c r="M50" s="24" t="n"/>
      <c r="N50" s="24">
        <f>IF(M50="","",I50-M50)</f>
        <v/>
      </c>
      <c r="O50" s="23" t="n"/>
      <c r="P50" s="23" t="n"/>
      <c r="Q50" s="23" t="n"/>
      <c r="R50" s="23" t="n"/>
      <c r="S50" s="23" t="n"/>
      <c r="T50" s="23" t="n"/>
      <c r="U50" s="23" t="inlineStr">
        <is>
          <t>UAT-นำเข้าข้อมูล-เจ้าหนี้บัญชีการเงิน-ครั้งที่ 1.xlsx</t>
        </is>
      </c>
      <c r="V50" s="23" t="inlineStr">
        <is>
          <t>ซ้ำกับสินทรัพย์ถาวร</t>
        </is>
      </c>
    </row>
    <row r="51">
      <c r="A51" s="22" t="n">
        <v>50</v>
      </c>
      <c r="B51" s="23" t="inlineStr">
        <is>
          <t>เจ้าหนี้บัญชีการเงิน</t>
        </is>
      </c>
      <c r="C51" s="23" t="inlineStr">
        <is>
          <t>บัตรสินทรัพย์ / ครุภัณฑ์</t>
        </is>
      </c>
      <c r="D51" s="23" t="n"/>
      <c r="E51" s="22" t="inlineStr">
        <is>
          <t>Master</t>
        </is>
      </c>
      <c r="F51" s="23" t="inlineStr">
        <is>
          <t>บัญชี, งบประมาณ</t>
        </is>
      </c>
      <c r="G51" s="23" t="inlineStr">
        <is>
          <t>account.asset</t>
        </is>
      </c>
      <c r="H51" s="23" t="inlineStr">
        <is>
          <t>code</t>
        </is>
      </c>
      <c r="I51" s="24" t="n">
        <v>22039</v>
      </c>
      <c r="J51" s="22" t="inlineStr">
        <is>
          <t>นำเข้าแล้ว</t>
        </is>
      </c>
      <c r="K51" s="25" t="inlineStr">
        <is>
          <t>นำเข้าแล้ว</t>
        </is>
      </c>
      <c r="L51" s="23" t="inlineStr">
        <is>
          <t>ยืนยัน-บัตรสินทรัพย์</t>
        </is>
      </c>
      <c r="M51" s="24" t="n"/>
      <c r="N51" s="24">
        <f>IF(M51="","",I51-M51)</f>
        <v/>
      </c>
      <c r="O51" s="23" t="n"/>
      <c r="P51" s="23" t="n"/>
      <c r="Q51" s="23" t="n"/>
      <c r="R51" s="23" t="n"/>
      <c r="S51" s="23" t="n"/>
      <c r="T51" s="23" t="n"/>
      <c r="U51" s="23" t="inlineStr">
        <is>
          <t>UAT-นำเข้าข้อมูล-เจ้าหนี้บัญชีการเงิน-ครั้งที่ 1.xlsx</t>
        </is>
      </c>
      <c r="V51" s="23" t="inlineStr">
        <is>
          <t>ซ้ำกับสินทรัพย์ถาวร</t>
        </is>
      </c>
    </row>
    <row r="52">
      <c r="A52" s="22" t="n">
        <v>51</v>
      </c>
      <c r="B52" s="23" t="inlineStr">
        <is>
          <t>เจ้าหนี้บัญชีการเงิน</t>
        </is>
      </c>
      <c r="C52" s="23" t="inlineStr">
        <is>
          <t>ครุภัณฑ์ซ่อมบำรุง (Equipment)</t>
        </is>
      </c>
      <c r="D52" s="23" t="n"/>
      <c r="E52" s="22" t="inlineStr">
        <is>
          <t>Master</t>
        </is>
      </c>
      <c r="F52" s="23" t="inlineStr">
        <is>
          <t>ซ่อมบำรุง, สินทรัพย์</t>
        </is>
      </c>
      <c r="G52" s="23" t="inlineStr">
        <is>
          <t>maintenance.equipment</t>
        </is>
      </c>
      <c r="H52" s="23" t="inlineStr">
        <is>
          <t>name</t>
        </is>
      </c>
      <c r="I52" s="24" t="n">
        <v>5</v>
      </c>
      <c r="J52" s="22" t="inlineStr">
        <is>
          <t>นำเข้าแล้ว</t>
        </is>
      </c>
      <c r="K52" s="25" t="inlineStr">
        <is>
          <t>นำเข้าแล้ว</t>
        </is>
      </c>
      <c r="L52" s="23" t="inlineStr">
        <is>
          <t>ยืนยัน-ครุภัณฑ์ซ่อม</t>
        </is>
      </c>
      <c r="M52" s="24" t="n"/>
      <c r="N52" s="24">
        <f>IF(M52="","",I52-M52)</f>
        <v/>
      </c>
      <c r="O52" s="23" t="n"/>
      <c r="P52" s="23" t="n"/>
      <c r="Q52" s="23" t="n"/>
      <c r="R52" s="23" t="n"/>
      <c r="S52" s="23" t="n"/>
      <c r="T52" s="23" t="n"/>
      <c r="U52" s="23" t="inlineStr">
        <is>
          <t>UAT-นำเข้าข้อมูล-เจ้าหนี้บัญชีการเงิน-ครั้งที่ 1.xlsx</t>
        </is>
      </c>
      <c r="V52" s="23" t="inlineStr">
        <is>
          <t>ซ้ำกับสินทรัพย์ถาวร</t>
        </is>
      </c>
    </row>
    <row r="53">
      <c r="A53" s="16" t="n">
        <v>52</v>
      </c>
      <c r="B53" s="17" t="inlineStr">
        <is>
          <t>เจ้าหนี้บัญชีการเงิน</t>
        </is>
      </c>
      <c r="C53" s="17" t="inlineStr">
        <is>
          <t>ใบตรวจรับงาน (WA)</t>
        </is>
      </c>
      <c r="D53" s="17" t="n"/>
      <c r="E53" s="16" t="inlineStr">
        <is>
          <t>ธุรกรรม</t>
        </is>
      </c>
      <c r="F53" s="17" t="inlineStr">
        <is>
          <t>จัดซื้อ, เจ้าหนี้</t>
        </is>
      </c>
      <c r="G53" s="17" t="inlineStr">
        <is>
          <t>work.acceptance</t>
        </is>
      </c>
      <c r="H53" s="17" t="inlineStr">
        <is>
          <t>name</t>
        </is>
      </c>
      <c r="I53" s="18" t="n">
        <v>0</v>
      </c>
      <c r="J53" s="16" t="inlineStr">
        <is>
          <t>ยังไม่นำเข้า</t>
        </is>
      </c>
      <c r="K53" s="21" t="inlineStr">
        <is>
          <t>ยังไม่นำเข้า</t>
        </is>
      </c>
      <c r="L53" s="17" t="inlineStr">
        <is>
          <t>—</t>
        </is>
      </c>
      <c r="M53" s="18" t="n"/>
      <c r="N53" s="18">
        <f>IF(M53="","",I53-M53)</f>
        <v/>
      </c>
      <c r="O53" s="17" t="n"/>
      <c r="P53" s="17" t="n"/>
      <c r="Q53" s="17" t="n"/>
      <c r="R53" s="17" t="n"/>
      <c r="S53" s="17" t="n"/>
      <c r="T53" s="17" t="n"/>
      <c r="U53" s="17" t="inlineStr">
        <is>
          <t>UAT-นำเข้าข้อมูล-เจ้าหนี้บัญชีการเงิน-ครั้งที่ 1.xlsx</t>
        </is>
      </c>
      <c r="V53" s="17" t="n"/>
    </row>
    <row r="54">
      <c r="A54" s="16" t="n">
        <v>53</v>
      </c>
      <c r="B54" s="17" t="inlineStr">
        <is>
          <t>เจ้าหนี้บัญชีการเงิน</t>
        </is>
      </c>
      <c r="C54" s="17" t="inlineStr">
        <is>
          <t>ใบแจ้งหนี้ผู้ขาย / ใบลดหนี้ ทั้งหมด</t>
        </is>
      </c>
      <c r="D54" s="17" t="n"/>
      <c r="E54" s="16" t="inlineStr">
        <is>
          <t>ธุรกรรม</t>
        </is>
      </c>
      <c r="F54" s="17" t="inlineStr">
        <is>
          <t>เจ้าหนี้</t>
        </is>
      </c>
      <c r="G54" s="17" t="inlineStr">
        <is>
          <t>account.move (in_invoice / in_refund)</t>
        </is>
      </c>
      <c r="H54" s="17" t="inlineStr">
        <is>
          <t>name / ref</t>
        </is>
      </c>
      <c r="I54" s="18" t="n">
        <v>0</v>
      </c>
      <c r="J54" s="16" t="inlineStr">
        <is>
          <t>ยังไม่นำเข้า</t>
        </is>
      </c>
      <c r="K54" s="21" t="inlineStr">
        <is>
          <t>ยังไม่นำเข้า</t>
        </is>
      </c>
      <c r="L54" s="17" t="inlineStr">
        <is>
          <t>ยืนยัน-บิลผู้ขาย</t>
        </is>
      </c>
      <c r="M54" s="18" t="n"/>
      <c r="N54" s="18">
        <f>IF(M54="","",I54-M54)</f>
        <v/>
      </c>
      <c r="O54" s="17" t="n"/>
      <c r="P54" s="17" t="n"/>
      <c r="Q54" s="17" t="n"/>
      <c r="R54" s="17" t="n"/>
      <c r="S54" s="17" t="n"/>
      <c r="T54" s="17" t="n"/>
      <c r="U54" s="17" t="inlineStr">
        <is>
          <t>UAT-นำเข้าข้อมูล-เจ้าหนี้บัญชีการเงิน-ครั้งที่ 1.xlsx</t>
        </is>
      </c>
      <c r="V54" s="17" t="n"/>
    </row>
    <row r="55">
      <c r="A55" s="16" t="n">
        <v>54</v>
      </c>
      <c r="B55" s="17" t="inlineStr">
        <is>
          <t>เจ้าหนี้บัญชีการเงิน</t>
        </is>
      </c>
      <c r="C55" s="17" t="inlineStr">
        <is>
          <t>เจ้าหนี้คงค้าง (บิลที่ยังไม่จ่ายครบ)</t>
        </is>
      </c>
      <c r="D55" s="17" t="n"/>
      <c r="E55" s="16" t="inlineStr">
        <is>
          <t>คงค้าง</t>
        </is>
      </c>
      <c r="F55" s="17" t="inlineStr">
        <is>
          <t>เจ้าหนี้, การเงิน</t>
        </is>
      </c>
      <c r="G55" s="17" t="inlineStr">
        <is>
          <t>account.move (posted, amount_residual ≠ 0)</t>
        </is>
      </c>
      <c r="H55" s="17" t="inlineStr">
        <is>
          <t>name / เจ้าหนี้</t>
        </is>
      </c>
      <c r="I55" s="18" t="n">
        <v>0</v>
      </c>
      <c r="J55" s="16" t="inlineStr">
        <is>
          <t>ยังไม่นำเข้า (คงค้าง)</t>
        </is>
      </c>
      <c r="K55" s="21" t="inlineStr">
        <is>
          <t>ยังไม่นำเข้า</t>
        </is>
      </c>
      <c r="L55" s="17" t="inlineStr">
        <is>
          <t>ยืนยัน-เจ้าหนี้คงค้าง</t>
        </is>
      </c>
      <c r="M55" s="18" t="n"/>
      <c r="N55" s="18">
        <f>IF(M55="","",I55-M55)</f>
        <v/>
      </c>
      <c r="O55" s="17" t="n"/>
      <c r="P55" s="17" t="n"/>
      <c r="Q55" s="17" t="n"/>
      <c r="R55" s="17" t="n"/>
      <c r="S55" s="17" t="n"/>
      <c r="T55" s="17" t="n"/>
      <c r="U55" s="17" t="inlineStr">
        <is>
          <t>UAT-นำเข้าข้อมูล-เจ้าหนี้บัญชีการเงิน-ครั้งที่ 1.xlsx</t>
        </is>
      </c>
      <c r="V55" s="17" t="n"/>
    </row>
    <row r="56">
      <c r="A56" s="16" t="n">
        <v>55</v>
      </c>
      <c r="B56" s="17" t="inlineStr">
        <is>
          <t>เจ้าหนี้บัญชีการเงิน</t>
        </is>
      </c>
      <c r="C56" s="17" t="inlineStr">
        <is>
          <t>การจ่ายชำระ</t>
        </is>
      </c>
      <c r="D56" s="17" t="n"/>
      <c r="E56" s="16" t="inlineStr">
        <is>
          <t>ธุรกรรม</t>
        </is>
      </c>
      <c r="F56" s="17" t="inlineStr">
        <is>
          <t>การเงิน</t>
        </is>
      </c>
      <c r="G56" s="17" t="inlineStr">
        <is>
          <t>account.payment</t>
        </is>
      </c>
      <c r="H56" s="17" t="inlineStr">
        <is>
          <t>name</t>
        </is>
      </c>
      <c r="I56" s="18" t="n">
        <v>0</v>
      </c>
      <c r="J56" s="16" t="inlineStr">
        <is>
          <t>ยังไม่นำเข้า</t>
        </is>
      </c>
      <c r="K56" s="21" t="inlineStr">
        <is>
          <t>ยังไม่นำเข้า</t>
        </is>
      </c>
      <c r="L56" s="17" t="inlineStr">
        <is>
          <t>—</t>
        </is>
      </c>
      <c r="M56" s="18" t="n"/>
      <c r="N56" s="18">
        <f>IF(M56="","",I56-M56)</f>
        <v/>
      </c>
      <c r="O56" s="17" t="n"/>
      <c r="P56" s="17" t="n"/>
      <c r="Q56" s="17" t="n"/>
      <c r="R56" s="17" t="n"/>
      <c r="S56" s="17" t="n"/>
      <c r="T56" s="17" t="n"/>
      <c r="U56" s="17" t="inlineStr">
        <is>
          <t>UAT-นำเข้าข้อมูล-เจ้าหนี้บัญชีการเงิน-ครั้งที่ 1.xlsx</t>
        </is>
      </c>
      <c r="V56" s="17" t="n"/>
    </row>
    <row r="57">
      <c r="A57" s="16" t="n">
        <v>56</v>
      </c>
      <c r="B57" s="17" t="inlineStr">
        <is>
          <t>เจ้าหนี้บัญชีการเงิน</t>
        </is>
      </c>
      <c r="C57" s="17" t="inlineStr">
        <is>
          <t>Bank Statement</t>
        </is>
      </c>
      <c r="D57" s="17" t="n"/>
      <c r="E57" s="16" t="inlineStr">
        <is>
          <t>ธุรกรรม</t>
        </is>
      </c>
      <c r="F57" s="17" t="inlineStr">
        <is>
          <t>การเงิน</t>
        </is>
      </c>
      <c r="G57" s="17" t="inlineStr">
        <is>
          <t>account.bank.statement</t>
        </is>
      </c>
      <c r="H57" s="17" t="inlineStr">
        <is>
          <t>name</t>
        </is>
      </c>
      <c r="I57" s="18" t="n">
        <v>0</v>
      </c>
      <c r="J57" s="16" t="inlineStr">
        <is>
          <t>ยังไม่นำเข้า</t>
        </is>
      </c>
      <c r="K57" s="21" t="inlineStr">
        <is>
          <t>ยังไม่นำเข้า</t>
        </is>
      </c>
      <c r="L57" s="17" t="inlineStr">
        <is>
          <t>—</t>
        </is>
      </c>
      <c r="M57" s="18" t="n"/>
      <c r="N57" s="18">
        <f>IF(M57="","",I57-M57)</f>
        <v/>
      </c>
      <c r="O57" s="17" t="n"/>
      <c r="P57" s="17" t="n"/>
      <c r="Q57" s="17" t="n"/>
      <c r="R57" s="17" t="n"/>
      <c r="S57" s="17" t="n"/>
      <c r="T57" s="17" t="n"/>
      <c r="U57" s="17" t="inlineStr">
        <is>
          <t>UAT-นำเข้าข้อมูล-เจ้าหนี้บัญชีการเงิน-ครั้งที่ 1.xlsx</t>
        </is>
      </c>
      <c r="V57" s="17" t="n"/>
    </row>
    <row r="58">
      <c r="A58" s="16" t="n">
        <v>57</v>
      </c>
      <c r="B58" s="17" t="inlineStr">
        <is>
          <t>เจ้าหนี้บัญชีการเงิน</t>
        </is>
      </c>
      <c r="C58" s="17" t="inlineStr">
        <is>
          <t>รายการบัญชีทั่วไป / ยกยอด GL</t>
        </is>
      </c>
      <c r="D58" s="17" t="n"/>
      <c r="E58" s="16" t="inlineStr">
        <is>
          <t>ธุรกรรม</t>
        </is>
      </c>
      <c r="F58" s="17" t="inlineStr">
        <is>
          <t>บัญชี</t>
        </is>
      </c>
      <c r="G58" s="17" t="inlineStr">
        <is>
          <t>account.move (entry)</t>
        </is>
      </c>
      <c r="H58" s="17" t="inlineStr">
        <is>
          <t>name + วันที่</t>
        </is>
      </c>
      <c r="I58" s="18" t="n">
        <v>1</v>
      </c>
      <c r="J58" s="16" t="inlineStr">
        <is>
          <t>นำเข้าแล้ว</t>
        </is>
      </c>
      <c r="K58" s="19" t="inlineStr">
        <is>
          <t>นำเข้าแล้ว</t>
        </is>
      </c>
      <c r="L58" s="17" t="inlineStr">
        <is>
          <t>ยืนยัน-รายการบัญชีทั่วไป</t>
        </is>
      </c>
      <c r="M58" s="18" t="n"/>
      <c r="N58" s="18">
        <f>IF(M58="","",I58-M58)</f>
        <v/>
      </c>
      <c r="O58" s="17" t="n"/>
      <c r="P58" s="17" t="n"/>
      <c r="Q58" s="17" t="n"/>
      <c r="R58" s="17" t="n"/>
      <c r="S58" s="17" t="inlineStr">
        <is>
          <t>ยกยอด ณ 31 ส.ค. 2569 จากไฟล์ งบการเงิน รพ.วชิระภูเก็ต ส.ค.69 ชีท สค.69 · JV MISC/2026/08/0001 (JV-ยกยอด-31082569) · เดบิต = เครดิต 12,566,477,193.75 บาท</t>
        </is>
      </c>
      <c r="T58" s="17" t="n"/>
      <c r="U58" s="17" t="inlineStr">
        <is>
          <t>UAT-นำเข้าข้อมูล-เจ้าหนี้บัญชีการเงิน-ครั้งที่ 1.xlsx</t>
        </is>
      </c>
      <c r="V58" s="17" t="n"/>
    </row>
    <row r="59">
      <c r="A59" s="16" t="n">
        <v>58</v>
      </c>
      <c r="B59" s="17" t="inlineStr">
        <is>
          <t>เจ้าหนี้บัญชีการเงิน</t>
        </is>
      </c>
      <c r="C59" s="17" t="inlineStr">
        <is>
          <t>งบทดลอง (TB) ปีงบประมาณ 2569</t>
        </is>
      </c>
      <c r="D59" s="17" t="n"/>
      <c r="E59" s="16" t="inlineStr">
        <is>
          <t>คงค้าง</t>
        </is>
      </c>
      <c r="F59" s="17" t="inlineStr">
        <is>
          <t>บัญชี</t>
        </is>
      </c>
      <c r="G59" s="17" t="inlineStr">
        <is>
          <t>account.move.line (posted) 1 ต.ค. 2568 – 30 ก.ย. 2569</t>
        </is>
      </c>
      <c r="H59" s="17" t="inlineStr">
        <is>
          <t>รหัสบัญชี</t>
        </is>
      </c>
      <c r="I59" s="18" t="n">
        <v>371</v>
      </c>
      <c r="J59" s="16" t="inlineStr">
        <is>
          <t>นำเข้าแล้ว · ยกยอด ณ 31 ส.ค. 2569</t>
        </is>
      </c>
      <c r="K59" s="19" t="inlineStr">
        <is>
          <t>นำเข้าแล้ว</t>
        </is>
      </c>
      <c r="L59" s="17" t="inlineStr">
        <is>
          <t>ยืนยัน-TB2569</t>
        </is>
      </c>
      <c r="M59" s="18" t="n"/>
      <c r="N59" s="18">
        <f>IF(M59="","",I59-M59)</f>
        <v/>
      </c>
      <c r="O59" s="17" t="n"/>
      <c r="P59" s="17" t="n"/>
      <c r="Q59" s="17" t="n"/>
      <c r="R59" s="17" t="n"/>
      <c r="S59" s="17" t="inlineStr">
        <is>
          <t>ยกยอด ณ 31 ส.ค. 2569 จากไฟล์ งบการเงิน รพ.วชิระภูเก็ต ส.ค.69 ชีท สค.69 · JV MISC/2026/08/0001 (JV-ยกยอด-31082569) · เดบิต = เครดิต 12,566,477,193.75 บาท · จำนวนในระบบ = จำนวนบัญชี</t>
        </is>
      </c>
      <c r="T59" s="17" t="n"/>
      <c r="U59" s="17" t="inlineStr">
        <is>
          <t>UAT-นำเข้าข้อมูล-เจ้าหนี้บัญชีการเงิน-ครั้งที่ 1.xlsx</t>
        </is>
      </c>
      <c r="V59" s="17" t="n"/>
    </row>
    <row r="60">
      <c r="A60" s="16" t="n">
        <v>59</v>
      </c>
      <c r="B60" s="17" t="inlineStr">
        <is>
          <t>เจ้าหนี้บัญชีการเงิน</t>
        </is>
      </c>
      <c r="C60" s="17" t="inlineStr">
        <is>
          <t>หนังสือรับรองหัก ณ ที่จ่าย</t>
        </is>
      </c>
      <c r="D60" s="17" t="n"/>
      <c r="E60" s="16" t="inlineStr">
        <is>
          <t>ธุรกรรม</t>
        </is>
      </c>
      <c r="F60" s="17" t="inlineStr">
        <is>
          <t>การเงิน, บัญชี</t>
        </is>
      </c>
      <c r="G60" s="17" t="inlineStr">
        <is>
          <t>withholding.tax.cert</t>
        </is>
      </c>
      <c r="H60" s="17" t="inlineStr">
        <is>
          <t>number</t>
        </is>
      </c>
      <c r="I60" s="18" t="n">
        <v>0</v>
      </c>
      <c r="J60" s="16" t="inlineStr">
        <is>
          <t>ยังไม่นำเข้า</t>
        </is>
      </c>
      <c r="K60" s="21" t="inlineStr">
        <is>
          <t>ยังไม่นำเข้า</t>
        </is>
      </c>
      <c r="L60" s="17" t="inlineStr">
        <is>
          <t>—</t>
        </is>
      </c>
      <c r="M60" s="18" t="n"/>
      <c r="N60" s="18">
        <f>IF(M60="","",I60-M60)</f>
        <v/>
      </c>
      <c r="O60" s="17" t="n"/>
      <c r="P60" s="17" t="n"/>
      <c r="Q60" s="17" t="n"/>
      <c r="R60" s="17" t="n"/>
      <c r="S60" s="17" t="n"/>
      <c r="T60" s="17" t="n"/>
      <c r="U60" s="17" t="inlineStr">
        <is>
          <t>UAT-นำเข้าข้อมูล-เจ้าหนี้บัญชีการเงิน-ครั้งที่ 1.xlsx</t>
        </is>
      </c>
      <c r="V60" s="17" t="n"/>
    </row>
  </sheetData>
  <autoFilter ref="A1:V60"/>
  <dataValidations count="1">
    <dataValidation sqref="O2:O60" showDropDown="0" showInputMessage="0" showErrorMessage="0" allowBlank="1" type="list">
      <formula1>"ถูกต้อง,ต้องแก้ไข,ยังไม่ครบ,ข้าม"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23A56"/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2" customWidth="1" min="3" max="3"/>
    <col width="28" customWidth="1" min="4" max="4"/>
    <col width="36" customWidth="1" min="5" max="5"/>
    <col width="22" customWidth="1" min="6" max="6"/>
    <col width="14" customWidth="1" min="7" max="7"/>
    <col width="22" customWidth="1" min="8" max="8"/>
    <col width="24" customWidth="1" min="9" max="9"/>
    <col width="16" customWidth="1" min="10" max="10"/>
    <col width="12" customWidth="1" min="11" max="11"/>
    <col width="16" customWidth="1" min="12" max="12"/>
    <col width="16" customWidth="1" min="13" max="13"/>
    <col width="14" customWidth="1" min="14" max="14"/>
    <col width="14" customWidth="1" min="15" max="15"/>
    <col width="28" customWidth="1" min="16" max="16"/>
  </cols>
  <sheetData>
    <row r="1" ht="28" customHeight="1">
      <c r="A1" s="4" t="inlineStr">
        <is>
          <t>ลำดับ</t>
        </is>
      </c>
      <c r="B1" s="4" t="inlineStr">
        <is>
          <t>ประเภทข้อมูล</t>
        </is>
      </c>
      <c r="C1" s="4" t="inlineStr">
        <is>
          <t>กลุ่ม</t>
        </is>
      </c>
      <c r="D1" s="4" t="inlineStr">
        <is>
          <t>โมดูลที่เกี่ยวข้อง</t>
        </is>
      </c>
      <c r="E1" s="4" t="inlineStr">
        <is>
          <t>โมเดลในระบบ</t>
        </is>
      </c>
      <c r="F1" s="4" t="inlineStr">
        <is>
          <t>คีย์จับคู่</t>
        </is>
      </c>
      <c r="G1" s="4" t="inlineStr">
        <is>
          <t>จำนวนในระบบ</t>
        </is>
      </c>
      <c r="H1" s="4" t="inlineStr">
        <is>
          <t>สถานะนำเข้า</t>
        </is>
      </c>
      <c r="I1" s="4" t="inlineStr">
        <is>
          <t>ชีตรายการยืนยัน</t>
        </is>
      </c>
      <c r="J1" s="4" t="inlineStr">
        <is>
          <t>จำนวนต้นทาง (กรอก)</t>
        </is>
      </c>
      <c r="K1" s="4" t="inlineStr">
        <is>
          <t>ผลต่าง</t>
        </is>
      </c>
      <c r="L1" s="4" t="inlineStr">
        <is>
          <t>ผลยืนยัน</t>
        </is>
      </c>
      <c r="M1" s="4" t="inlineStr">
        <is>
          <t>ผู้ยืนยัน</t>
        </is>
      </c>
      <c r="N1" s="4" t="inlineStr">
        <is>
          <t>ลงชื่อ</t>
        </is>
      </c>
      <c r="O1" s="4" t="inlineStr">
        <is>
          <t>วันที่</t>
        </is>
      </c>
      <c r="P1" s="4" t="inlineStr">
        <is>
          <t>หมายเหตุ</t>
        </is>
      </c>
    </row>
    <row r="2" ht="32" customHeight="1">
      <c r="A2" s="5" t="n">
        <v>1</v>
      </c>
      <c r="B2" s="6" t="inlineStr">
        <is>
          <t>หมวดหน่วยนับ</t>
        </is>
      </c>
      <c r="C2" s="26" t="inlineStr">
        <is>
          <t>Master</t>
        </is>
      </c>
      <c r="D2" s="6" t="inlineStr">
        <is>
          <t>คลัง, สินค้า</t>
        </is>
      </c>
      <c r="E2" s="6" t="inlineStr">
        <is>
          <t>uom.category</t>
        </is>
      </c>
      <c r="F2" s="6" t="inlineStr">
        <is>
          <t>name</t>
        </is>
      </c>
      <c r="G2" s="27" t="n">
        <v>89</v>
      </c>
      <c r="H2" s="28" t="inlineStr">
        <is>
          <t>นำเข้าแล้ว</t>
        </is>
      </c>
      <c r="I2" s="6" t="inlineStr">
        <is>
          <t>ยืนยัน-หมวดหน่วยนับ</t>
        </is>
      </c>
      <c r="J2" s="27" t="n"/>
      <c r="K2" s="27">
        <f>IF(J2="","",G2-J2)</f>
        <v/>
      </c>
      <c r="L2" s="5" t="n"/>
      <c r="M2" s="6" t="n"/>
      <c r="N2" s="6" t="n"/>
      <c r="O2" s="5" t="n"/>
      <c r="P2" s="6" t="n"/>
    </row>
    <row r="3" ht="32" customHeight="1">
      <c r="A3" s="5" t="n">
        <v>2</v>
      </c>
      <c r="B3" s="6" t="inlineStr">
        <is>
          <t>หน่วยนับ</t>
        </is>
      </c>
      <c r="C3" s="26" t="inlineStr">
        <is>
          <t>Master</t>
        </is>
      </c>
      <c r="D3" s="6" t="inlineStr">
        <is>
          <t>คลัง, สินค้า, จัดซื้อ</t>
        </is>
      </c>
      <c r="E3" s="6" t="inlineStr">
        <is>
          <t>uom.uom</t>
        </is>
      </c>
      <c r="F3" s="6" t="inlineStr">
        <is>
          <t>name + หมวด</t>
        </is>
      </c>
      <c r="G3" s="27" t="n">
        <v>366</v>
      </c>
      <c r="H3" s="28" t="inlineStr">
        <is>
          <t>นำเข้าแล้ว</t>
        </is>
      </c>
      <c r="I3" s="6" t="inlineStr">
        <is>
          <t>ยืนยัน-หน่วยนับ</t>
        </is>
      </c>
      <c r="J3" s="27" t="n"/>
      <c r="K3" s="27">
        <f>IF(J3="","",G3-J3)</f>
        <v/>
      </c>
      <c r="L3" s="5" t="n"/>
      <c r="M3" s="6" t="n"/>
      <c r="N3" s="6" t="n"/>
      <c r="O3" s="5" t="n"/>
      <c r="P3" s="6" t="n"/>
    </row>
    <row r="4" ht="32" customHeight="1">
      <c r="A4" s="5" t="n">
        <v>3</v>
      </c>
      <c r="B4" s="6" t="inlineStr">
        <is>
          <t>หมวดหมู่สินค้า</t>
        </is>
      </c>
      <c r="C4" s="26" t="inlineStr">
        <is>
          <t>Master</t>
        </is>
      </c>
      <c r="D4" s="6" t="inlineStr">
        <is>
          <t>คลัง, สินค้า</t>
        </is>
      </c>
      <c r="E4" s="6" t="inlineStr">
        <is>
          <t>product.category</t>
        </is>
      </c>
      <c r="F4" s="6" t="inlineStr">
        <is>
          <t>complete_name</t>
        </is>
      </c>
      <c r="G4" s="27" t="n">
        <v>115</v>
      </c>
      <c r="H4" s="28" t="inlineStr">
        <is>
          <t>นำเข้าแล้ว</t>
        </is>
      </c>
      <c r="I4" s="6" t="inlineStr">
        <is>
          <t>ยืนยัน-หมวดสินค้า</t>
        </is>
      </c>
      <c r="J4" s="27" t="n"/>
      <c r="K4" s="27">
        <f>IF(J4="","",G4-J4)</f>
        <v/>
      </c>
      <c r="L4" s="5" t="n"/>
      <c r="M4" s="6" t="n"/>
      <c r="N4" s="6" t="n"/>
      <c r="O4" s="5" t="n"/>
      <c r="P4" s="6" t="n"/>
    </row>
    <row r="5" ht="32" customHeight="1">
      <c r="A5" s="5" t="n">
        <v>4</v>
      </c>
      <c r="B5" s="6" t="inlineStr">
        <is>
          <t>สินค้า (Product Master)</t>
        </is>
      </c>
      <c r="C5" s="26" t="inlineStr">
        <is>
          <t>Master</t>
        </is>
      </c>
      <c r="D5" s="6" t="inlineStr">
        <is>
          <t>คลัง, จัดซื้อ, งบประมาณ</t>
        </is>
      </c>
      <c r="E5" s="6" t="inlineStr">
        <is>
          <t>product.template</t>
        </is>
      </c>
      <c r="F5" s="6" t="inlineStr">
        <is>
          <t>default_code</t>
        </is>
      </c>
      <c r="G5" s="27" t="n">
        <v>5868</v>
      </c>
      <c r="H5" s="28" t="inlineStr">
        <is>
          <t>นำเข้าแล้ว</t>
        </is>
      </c>
      <c r="I5" s="6" t="inlineStr">
        <is>
          <t>ยืนยัน-สินค้า</t>
        </is>
      </c>
      <c r="J5" s="27" t="n"/>
      <c r="K5" s="27">
        <f>IF(J5="","",G5-J5)</f>
        <v/>
      </c>
      <c r="L5" s="5" t="n"/>
      <c r="M5" s="6" t="n"/>
      <c r="N5" s="6" t="n"/>
      <c r="O5" s="5" t="n"/>
      <c r="P5" s="6" t="n"/>
    </row>
    <row r="6" ht="32" customHeight="1">
      <c r="A6" s="5" t="n">
        <v>5</v>
      </c>
      <c r="B6" s="6" t="inlineStr">
        <is>
          <t>ยา (Drug Master) · alyssa</t>
        </is>
      </c>
      <c r="C6" s="26" t="inlineStr">
        <is>
          <t>Master</t>
        </is>
      </c>
      <c r="D6" s="6" t="inlineStr">
        <is>
          <t>คลัง, จัดซื้อ, งบประมาณ</t>
        </is>
      </c>
      <c r="E6" s="6" t="inlineStr">
        <is>
          <t>product.template</t>
        </is>
      </c>
      <c r="F6" s="6" t="inlineStr">
        <is>
          <t>default_code</t>
        </is>
      </c>
      <c r="G6" s="27" t="n">
        <v>2622</v>
      </c>
      <c r="H6" s="28" t="inlineStr">
        <is>
          <t>นำเข้าแล้ว</t>
        </is>
      </c>
      <c r="I6" s="6" t="inlineStr">
        <is>
          <t>ยืนยัน-ยา-alyssa</t>
        </is>
      </c>
      <c r="J6" s="27" t="n"/>
      <c r="K6" s="27">
        <f>IF(J6="","",G6-J6)</f>
        <v/>
      </c>
      <c r="L6" s="5" t="n"/>
      <c r="M6" s="6" t="n"/>
      <c r="N6" s="6" t="n"/>
      <c r="O6" s="5" t="n"/>
      <c r="P6" s="6" t="inlineStr">
        <is>
          <t>ฐาน VPK-S3 · หมวด 01. เวชภัณฑ์ ยา · จากไฟล์ drug_master_alyssa</t>
        </is>
      </c>
    </row>
    <row r="7" ht="32" customHeight="1">
      <c r="A7" s="5" t="n">
        <v>6</v>
      </c>
      <c r="B7" s="6" t="inlineStr">
        <is>
          <t>คลังสินค้า (เปิดใช้ · รับเข้า 1 ขั้น)</t>
        </is>
      </c>
      <c r="C7" s="26" t="inlineStr">
        <is>
          <t>Master</t>
        </is>
      </c>
      <c r="D7" s="6" t="inlineStr">
        <is>
          <t>คลัง</t>
        </is>
      </c>
      <c r="E7" s="6" t="inlineStr">
        <is>
          <t>stock.warehouse</t>
        </is>
      </c>
      <c r="F7" s="6" t="inlineStr">
        <is>
          <t>code</t>
        </is>
      </c>
      <c r="G7" s="27" t="n">
        <v>18</v>
      </c>
      <c r="H7" s="28" t="inlineStr">
        <is>
          <t>นำเข้าแล้ว</t>
        </is>
      </c>
      <c r="I7" s="6" t="inlineStr">
        <is>
          <t>ยืนยัน-คลัง</t>
        </is>
      </c>
      <c r="J7" s="27" t="n"/>
      <c r="K7" s="27">
        <f>IF(J7="","",G7-J7)</f>
        <v/>
      </c>
      <c r="L7" s="5" t="n"/>
      <c r="M7" s="6" t="n"/>
      <c r="N7" s="6" t="n"/>
      <c r="O7" s="5" t="n"/>
      <c r="P7" s="6" t="n"/>
    </row>
    <row r="8" ht="32" customHeight="1">
      <c r="A8" s="5" t="n">
        <v>7</v>
      </c>
      <c r="B8" s="6" t="inlineStr">
        <is>
          <t>ตำแหน่งจัดเก็บ (internal · เปิดใช้)</t>
        </is>
      </c>
      <c r="C8" s="26" t="inlineStr">
        <is>
          <t>Master</t>
        </is>
      </c>
      <c r="D8" s="6" t="inlineStr">
        <is>
          <t>คลัง</t>
        </is>
      </c>
      <c r="E8" s="6" t="inlineStr">
        <is>
          <t>stock.location</t>
        </is>
      </c>
      <c r="F8" s="6" t="inlineStr">
        <is>
          <t>complete_name</t>
        </is>
      </c>
      <c r="G8" s="27" t="n">
        <v>554</v>
      </c>
      <c r="H8" s="28" t="inlineStr">
        <is>
          <t>นำเข้าแล้ว</t>
        </is>
      </c>
      <c r="I8" s="6" t="inlineStr">
        <is>
          <t>ยืนยัน-ตำแหน่ง</t>
        </is>
      </c>
      <c r="J8" s="27" t="n"/>
      <c r="K8" s="27">
        <f>IF(J8="","",G8-J8)</f>
        <v/>
      </c>
      <c r="L8" s="5" t="n"/>
      <c r="M8" s="6" t="n"/>
      <c r="N8" s="6" t="n"/>
      <c r="O8" s="5" t="n"/>
      <c r="P8" s="6" t="n"/>
    </row>
    <row r="9" ht="32" customHeight="1">
      <c r="A9" s="5" t="n">
        <v>8</v>
      </c>
      <c r="B9" s="6" t="inlineStr">
        <is>
          <t>ยกยอดสต็อก (On Hand ≠ 0)</t>
        </is>
      </c>
      <c r="C9" s="5" t="inlineStr">
        <is>
          <t>ธุรกรรม</t>
        </is>
      </c>
      <c r="D9" s="6" t="inlineStr">
        <is>
          <t>คลัง</t>
        </is>
      </c>
      <c r="E9" s="6" t="inlineStr">
        <is>
          <t>stock.quant</t>
        </is>
      </c>
      <c r="F9" s="6" t="inlineStr">
        <is>
          <t>สินค้า + ตำแหน่ง + lot</t>
        </is>
      </c>
      <c r="G9" s="27" t="n">
        <v>9</v>
      </c>
      <c r="H9" s="29" t="inlineStr">
        <is>
          <t>มีข้อมูลในระบบ (ธุรกรรม)</t>
        </is>
      </c>
      <c r="I9" s="6" t="inlineStr">
        <is>
          <t>—</t>
        </is>
      </c>
      <c r="J9" s="27" t="n"/>
      <c r="K9" s="27">
        <f>IF(J9="","",G9-J9)</f>
        <v/>
      </c>
      <c r="L9" s="5" t="n"/>
      <c r="M9" s="6" t="n"/>
      <c r="N9" s="6" t="n"/>
      <c r="O9" s="5" t="n"/>
      <c r="P9" s="6" t="n"/>
    </row>
    <row r="10">
      <c r="A10" s="5" t="n">
        <v>9</v>
      </c>
      <c r="B10" s="6" t="inlineStr">
        <is>
          <t>Lot / Serial</t>
        </is>
      </c>
      <c r="C10" s="5" t="inlineStr">
        <is>
          <t>ธุรกรรม</t>
        </is>
      </c>
      <c r="D10" s="6" t="inlineStr">
        <is>
          <t>คลัง</t>
        </is>
      </c>
      <c r="E10" s="6" t="inlineStr">
        <is>
          <t>stock.lot</t>
        </is>
      </c>
      <c r="F10" s="6" t="inlineStr">
        <is>
          <t>name + สินค้า</t>
        </is>
      </c>
      <c r="G10" s="27" t="n">
        <v>3</v>
      </c>
      <c r="H10" s="29" t="inlineStr">
        <is>
          <t>มีข้อมูลในระบบ (ธุรกรรม)</t>
        </is>
      </c>
      <c r="I10" s="6" t="inlineStr">
        <is>
          <t>—</t>
        </is>
      </c>
      <c r="J10" s="27" t="n"/>
      <c r="K10" s="27">
        <f>IF(J10="","",G10-J10)</f>
        <v/>
      </c>
      <c r="L10" s="5" t="n"/>
      <c r="M10" s="6" t="n"/>
      <c r="N10" s="6" t="n"/>
      <c r="O10" s="5" t="n"/>
      <c r="P10" s="6" t="n"/>
    </row>
    <row r="11">
      <c r="B11" s="30" t="inlineStr">
        <is>
          <t>รวมจำนวนทุกประเภทในชีตนี้</t>
        </is>
      </c>
      <c r="C11" s="31" t="n"/>
      <c r="D11" s="31" t="n"/>
      <c r="E11" s="31" t="n"/>
      <c r="F11" s="31" t="n"/>
      <c r="G11" s="32">
        <f>SUM(G2:G10)</f>
        <v/>
      </c>
      <c r="H11" s="31" t="n"/>
      <c r="I11" s="31" t="n"/>
      <c r="J11" s="31" t="n"/>
      <c r="K11" s="31" t="n"/>
      <c r="L11" s="31" t="n"/>
      <c r="M11" s="31" t="n"/>
      <c r="N11" s="31" t="n"/>
      <c r="O11" s="31" t="n"/>
      <c r="P11" s="31" t="n"/>
    </row>
    <row r="12">
      <c r="A12" s="33" t="inlineStr">
        <is>
          <t>ข้อมูล ณ 30 ส.ค. 2569  23:24 จากฐาน VPK-S1  คอลัมน์ “จำนวนต้นทาง” ให้เจ้าของข้อมูลกรอกจากไฟล์ที่ส่งมา ถ้าผลต่าง ≠ 0 ให้เลือกผลยืนยันเป็น ต้องแก้ไข หรือ ยังไม่ครบ  กลุ่ม Master = ข้อมูลหลักที่ใช้ทั้งระบบ · ตั้งค่า = วงเงิน/ค่าคงที่ · ธุรกรรม = เอกสารปฏิบัติงาน · คงค้าง = PO ค้างรับ/ค้างตั้งหนี้, เจ้าหนี้ค้างจ่าย, งบทดลอง TB ปี 2569 (ปีงบประมาณ 1 ต.ค. 2568 – 30 ก.ย. 2569)</t>
        </is>
      </c>
    </row>
    <row r="13"/>
    <row r="14"/>
  </sheetData>
  <mergeCells count="1">
    <mergeCell ref="A12:P14"/>
  </mergeCells>
  <conditionalFormatting sqref="L2:L10">
    <cfRule type="cellIs" priority="1" operator="equal" dxfId="0">
      <formula>"ถูกต้อง"</formula>
    </cfRule>
    <cfRule type="cellIs" priority="2" operator="equal" dxfId="1">
      <formula>"ต้องแก้ไข"</formula>
    </cfRule>
    <cfRule type="cellIs" priority="3" operator="equal" dxfId="2">
      <formula>"ยังไม่ครบ"</formula>
    </cfRule>
  </conditionalFormatting>
  <dataValidations count="1">
    <dataValidation sqref="L2:L10" showDropDown="0" showInputMessage="0" showErrorMessage="0" allowBlank="1" type="list">
      <formula1>"ถูกต้อง,ต้องแก้ไข,ยังไม่ครบ,ข้าม"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23A56"/>
    <outlinePr summaryBelow="1" summaryRight="1"/>
    <pageSetUpPr/>
  </sheetPr>
  <dimension ref="A1:R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62" customWidth="1" min="3" max="3"/>
    <col width="28" customWidth="1" min="4" max="4"/>
    <col width="36" customWidth="1" min="5" max="5"/>
    <col width="25" customWidth="1" min="6" max="6"/>
    <col width="14" customWidth="1" min="7" max="7"/>
    <col width="22" customWidth="1" min="8" max="8"/>
    <col width="58" customWidth="1" min="9" max="9"/>
    <col width="16" customWidth="1" min="10" max="10"/>
    <col width="12" customWidth="1" min="11" max="11"/>
    <col width="16" customWidth="1" min="12" max="12"/>
    <col width="14" customWidth="1" min="14" max="14"/>
    <col width="28" customWidth="1" min="16" max="16"/>
    <col width="62" customWidth="1" min="18" max="18"/>
  </cols>
  <sheetData>
    <row r="1" ht="40" customHeight="1">
      <c r="A1" s="34" t="inlineStr">
        <is>
          <t>ลำดับ</t>
        </is>
      </c>
      <c r="B1" s="35" t="inlineStr">
        <is>
          <t>ประเภทข้อมูล</t>
        </is>
      </c>
      <c r="C1" s="35" t="inlineStr">
        <is>
          <t>ข้อมูลนี้คืออะไร / ใช้ทำอะไรในระบบ</t>
        </is>
      </c>
      <c r="D1" s="35" t="inlineStr">
        <is>
          <t>กลุ่ม</t>
        </is>
      </c>
      <c r="E1" s="35" t="inlineStr">
        <is>
          <t>โมดูลที่เกี่ยวข้อง</t>
        </is>
      </c>
      <c r="F1" s="35" t="inlineStr">
        <is>
          <t>โมเดลในระบบ</t>
        </is>
      </c>
      <c r="G1" s="35" t="inlineStr">
        <is>
          <t>คีย์จับคู่</t>
        </is>
      </c>
      <c r="H1" s="35" t="inlineStr">
        <is>
          <t>จำนวนในระบบ</t>
        </is>
      </c>
      <c r="I1" s="35" t="inlineStr">
        <is>
          <t>สถานะนำเข้า</t>
        </is>
      </c>
      <c r="J1" s="35" t="inlineStr">
        <is>
          <t>ชีตรายการยืนยัน</t>
        </is>
      </c>
      <c r="K1" s="35" t="inlineStr">
        <is>
          <t>จำนวนต้นทาง (กรอก)</t>
        </is>
      </c>
      <c r="L1" s="35" t="inlineStr">
        <is>
          <t>ผลต่าง</t>
        </is>
      </c>
      <c r="M1" s="35" t="inlineStr">
        <is>
          <t>ผลยืนยัน</t>
        </is>
      </c>
      <c r="N1" s="35" t="inlineStr">
        <is>
          <t>ผู้ยืนยัน</t>
        </is>
      </c>
      <c r="O1" s="35" t="inlineStr">
        <is>
          <t>ลงชื่อ</t>
        </is>
      </c>
      <c r="P1" s="35" t="inlineStr">
        <is>
          <t>วันที่</t>
        </is>
      </c>
      <c r="Q1" s="35" t="inlineStr">
        <is>
          <t>หมายเหตุ</t>
        </is>
      </c>
      <c r="R1" s="35" t="inlineStr">
        <is>
          <t>อ้างอิงการได้มาของข้อมูล</t>
        </is>
      </c>
    </row>
    <row r="2" ht="60" customHeight="1">
      <c r="A2" s="36" t="inlineStr">
        <is>
          <t>1</t>
        </is>
      </c>
      <c r="B2" s="37" t="inlineStr">
        <is>
          <t>แหล่งเงิน</t>
        </is>
      </c>
      <c r="C2" s="38" t="inlineStr">
        <is>
          <t>คือที่มาของเงิน เช่น เงินงบประมาณ เงินบำรุง เงิน UC เงินบริจาค ใช้เลือกตอนหน่วยงานขอตั้งงบและตอนขอซื้อ (PR) เพื่อให้ระบบจับคู่วงเงินถูกแหล่ง ใช้ข้ามแหล่งเงินไม่ได้</t>
        </is>
      </c>
      <c r="D2" s="39" t="inlineStr">
        <is>
          <t>Master</t>
        </is>
      </c>
      <c r="E2" s="37" t="inlineStr">
        <is>
          <t>งบประมาณ</t>
        </is>
      </c>
      <c r="F2" s="37" t="inlineStr">
        <is>
          <t>vpk.budget.fund.source</t>
        </is>
      </c>
      <c r="G2" s="37" t="inlineStr">
        <is>
          <t>code</t>
        </is>
      </c>
      <c r="H2" s="40" t="n">
        <v>20</v>
      </c>
      <c r="I2" s="41" t="inlineStr">
        <is>
          <t>นำเข้าแล้ว</t>
        </is>
      </c>
      <c r="J2" s="37" t="inlineStr">
        <is>
          <t>ยืนยัน-แหล่งเงิน</t>
        </is>
      </c>
      <c r="K2" s="40" t="n">
        <v>20</v>
      </c>
      <c r="L2" s="40">
        <f>IF(K2="","",H2-K2)</f>
        <v/>
      </c>
      <c r="M2" s="36" t="n"/>
      <c r="N2" s="37" t="n"/>
      <c r="O2" s="37" t="n"/>
      <c r="P2" s="36" t="n"/>
      <c r="Q2" s="37" t="n"/>
      <c r="R2" s="37" t="inlineStr">
        <is>
          <t>ได้รับมาจาก บันทึกข้อมูลเข้า Template TAB ยืนยัน-แหล่งเงิน</t>
        </is>
      </c>
    </row>
    <row r="3" ht="60" customHeight="1">
      <c r="A3" s="36" t="inlineStr">
        <is>
          <t>2</t>
        </is>
      </c>
      <c r="B3" s="37" t="inlineStr">
        <is>
          <t>กลุ่มงบประมาณ-วัสดุ</t>
        </is>
      </c>
      <c r="C3" s="38" t="inlineStr">
        <is>
          <t>คือกลุ่มวัสดุสำหรับจัดซื้อ เช่น ยา เวชภัณฑ์มิใช่ยา วัสดุการแพทย์ วัสดุวิทยาศาสตร์ ใช้ตอนตั้งงบวัสดุและตอนขอซื้อวัสดุ เพื่อจับคู่บรรทัดวงเงินของกลุ่มนั้น</t>
        </is>
      </c>
      <c r="D3" s="39" t="inlineStr">
        <is>
          <t>Master</t>
        </is>
      </c>
      <c r="E3" s="37" t="inlineStr">
        <is>
          <t>งบประมาณ</t>
        </is>
      </c>
      <c r="F3" s="37" t="inlineStr">
        <is>
          <t>vpk.budget.group</t>
        </is>
      </c>
      <c r="G3" s="37" t="inlineStr">
        <is>
          <t>code</t>
        </is>
      </c>
      <c r="H3" s="40" t="n">
        <v>9</v>
      </c>
      <c r="I3" s="41" t="inlineStr">
        <is>
          <t>นำเข้าแล้ว</t>
        </is>
      </c>
      <c r="J3" s="37" t="inlineStr">
        <is>
          <t>ยืนยัน-กลุ่มงบ</t>
        </is>
      </c>
      <c r="K3" s="40" t="n"/>
      <c r="L3" s="40">
        <f>IF(K3="","",H3-K3)</f>
        <v/>
      </c>
      <c r="M3" s="36" t="n"/>
      <c r="N3" s="37" t="n"/>
      <c r="O3" s="37" t="n"/>
      <c r="P3" s="36" t="n"/>
      <c r="Q3" s="37" t="n"/>
      <c r="R3" s="37" t="inlineStr">
        <is>
          <t>ได้รับจาก  File แบบฟอร์มหมวดวัสดุ-69.xlsx , โดยนำข้อมูลที่แยก TABมาใช้ เป็นประเภทวัสดุ</t>
        </is>
      </c>
    </row>
    <row r="4" ht="40" customHeight="1">
      <c r="A4" s="36" t="inlineStr">
        <is>
          <t>3</t>
        </is>
      </c>
      <c r="B4" s="37" t="inlineStr">
        <is>
          <t>ประเภทวัสดุย่อย</t>
        </is>
      </c>
      <c r="C4" s="38" t="inlineStr">
        <is>
          <t>คือรายละเอียดภายใต้กลุ่มงบวัสดุ เช่น ยา เฝือก เวชภัณฑ์การพยาบาล ใช้แยกรายการในแบบฟอร์มตั้งงบวัสดุ และผูกกับกลุ่มงบตอนขอซื้อ</t>
        </is>
      </c>
      <c r="D4" s="39" t="inlineStr">
        <is>
          <t>Master</t>
        </is>
      </c>
      <c r="E4" s="37" t="inlineStr">
        <is>
          <t>งบประมาณ</t>
        </is>
      </c>
      <c r="F4" s="37" t="inlineStr">
        <is>
          <t>vpk.budget.material.sub.type</t>
        </is>
      </c>
      <c r="G4" s="37" t="inlineStr">
        <is>
          <t>code + กลุ่มงบ</t>
        </is>
      </c>
      <c r="H4" s="40" t="n">
        <v>35</v>
      </c>
      <c r="I4" s="41" t="inlineStr">
        <is>
          <t>นำเข้าแล้ว</t>
        </is>
      </c>
      <c r="J4" s="37" t="inlineStr">
        <is>
          <t>ยืนยัน-วัสดุย่อย</t>
        </is>
      </c>
      <c r="K4" s="40" t="n"/>
      <c r="L4" s="40">
        <f>IF(K4="","",H4-K4)</f>
        <v/>
      </c>
      <c r="M4" s="36" t="n"/>
      <c r="N4" s="37" t="n"/>
      <c r="O4" s="37" t="n"/>
      <c r="P4" s="36" t="n"/>
      <c r="Q4" s="37" t="n"/>
      <c r="R4" s="37" t="inlineStr">
        <is>
          <t>ได้รับจาก  File แบบฟอร์มหมวดวัสดุ-69.xlsx , โดยนำข้อมูลประเภทในแต่ละ TAB มาใช่เป็นวัสดุย่อย</t>
        </is>
      </c>
    </row>
    <row r="5" ht="40" customHeight="1">
      <c r="A5" s="36" t="inlineStr">
        <is>
          <t>4</t>
        </is>
      </c>
      <c r="B5" s="37" t="inlineStr">
        <is>
          <t>ประเภทงบประมาณ</t>
        </is>
      </c>
      <c r="C5" s="38" t="inlineStr">
        <is>
          <t>คือประเภทหลักของงบ ได้แก่ วัสดุ ครุภัณฑ์ ก่อสร้าง โครงการ ใช้กำหนดว่าคำของบและวงเงินอยู่กลุ่มใด และผูกกับแบบฟอร์มคำของบ</t>
        </is>
      </c>
      <c r="D5" s="39" t="inlineStr">
        <is>
          <t>Master</t>
        </is>
      </c>
      <c r="E5" s="37" t="inlineStr">
        <is>
          <t>งบประมาณ</t>
        </is>
      </c>
      <c r="F5" s="37" t="inlineStr">
        <is>
          <t>vpk.budget.type</t>
        </is>
      </c>
      <c r="G5" s="37" t="inlineStr">
        <is>
          <t>code</t>
        </is>
      </c>
      <c r="H5" s="40" t="n">
        <v>4</v>
      </c>
      <c r="I5" s="41" t="inlineStr">
        <is>
          <t>นำเข้าแล้ว</t>
        </is>
      </c>
      <c r="J5" s="37" t="inlineStr">
        <is>
          <t>ยืนยัน-ประเภทงบ</t>
        </is>
      </c>
      <c r="K5" s="40" t="n"/>
      <c r="L5" s="40">
        <f>IF(K5="","",H5-K5)</f>
        <v/>
      </c>
      <c r="M5" s="36" t="n"/>
      <c r="N5" s="37" t="n"/>
      <c r="O5" s="37" t="n"/>
      <c r="P5" s="36" t="n"/>
      <c r="Q5" s="37" t="n"/>
      <c r="R5" s="37" t="inlineStr">
        <is>
          <t>ได้รับจาก File แบบฟอร์ม คำขอตั้งแผนเงินบำรุงโรงพยาบาลวชิระ.xlsx , และ File แบบฟอร์มหมวดวัสดุ-69.xlsx</t>
        </is>
      </c>
    </row>
    <row r="6" ht="40" customHeight="1">
      <c r="A6" s="36" t="inlineStr">
        <is>
          <t>5</t>
        </is>
      </c>
      <c r="B6" s="37" t="inlineStr">
        <is>
          <t>กลุ่มครุภัณฑ์</t>
        </is>
      </c>
      <c r="C6" s="38" t="inlineStr">
        <is>
          <t>คือกลุ่มครุภัณฑ์ เช่น ครุภัณฑ์การแพทย์ ครุภัณฑ์ไฟฟ้า ใช้ตอนตั้งงบครุภัณฑ์ และผูกกับหมวดสินค้าเพื่อให้ขอซื้อครุภัณฑ์เข้ากลุ่มที่ถูกต้อง</t>
        </is>
      </c>
      <c r="D6" s="39" t="inlineStr">
        <is>
          <t>Master</t>
        </is>
      </c>
      <c r="E6" s="37" t="inlineStr">
        <is>
          <t>งบประมาณ</t>
        </is>
      </c>
      <c r="F6" s="37" t="inlineStr">
        <is>
          <t>vpk.budget.asset.category</t>
        </is>
      </c>
      <c r="G6" s="37" t="inlineStr">
        <is>
          <t>code</t>
        </is>
      </c>
      <c r="H6" s="40" t="n">
        <v>15</v>
      </c>
      <c r="I6" s="41" t="inlineStr">
        <is>
          <t>นำเข้าแล้ว</t>
        </is>
      </c>
      <c r="J6" s="37" t="inlineStr">
        <is>
          <t>ยืนยัน-กลุ่มครุภัณฑ์</t>
        </is>
      </c>
      <c r="K6" s="40" t="n"/>
      <c r="L6" s="40">
        <f>IF(K6="","",H6-K6)</f>
        <v/>
      </c>
      <c r="M6" s="36" t="n"/>
      <c r="N6" s="37" t="n"/>
      <c r="O6" s="37" t="n"/>
      <c r="P6" s="36" t="n"/>
      <c r="Q6" s="37" t="n"/>
      <c r="R6" s="37" t="inlineStr">
        <is>
          <t>จาก File บัญชีรายการครุภัณฑ์ สำนักงานปลัดกระทรวงส.xlsx / TAB บัญชีแจ้งหน่วยงาน</t>
        </is>
      </c>
    </row>
    <row r="7" ht="40" customHeight="1">
      <c r="A7" s="36" t="inlineStr">
        <is>
          <t>6</t>
        </is>
      </c>
      <c r="B7" s="37" t="inlineStr">
        <is>
          <t>แบบฟอร์มคำของบ</t>
        </is>
      </c>
      <c r="C7" s="38" t="inlineStr">
        <is>
          <t>คือชนิดแบบฟอร์มที่หน่วยงานใช้ขอตั้งงบ เช่น แบบฟอร์มตั้งงบวัสดุ แบบฟอร์มครุภัณฑ์ ใช้เปิดหน้าคำของบให้กรอกตามประเภทงาน</t>
        </is>
      </c>
      <c r="D7" s="39" t="inlineStr">
        <is>
          <t>Master</t>
        </is>
      </c>
      <c r="E7" s="37" t="inlineStr">
        <is>
          <t>งบประมาณ</t>
        </is>
      </c>
      <c r="F7" s="37" t="inlineStr">
        <is>
          <t>vpk.budget.request.form.type</t>
        </is>
      </c>
      <c r="G7" s="37" t="inlineStr">
        <is>
          <t>code</t>
        </is>
      </c>
      <c r="H7" s="40" t="n">
        <v>4</v>
      </c>
      <c r="I7" s="41" t="inlineStr">
        <is>
          <t>นำเข้าแล้ว</t>
        </is>
      </c>
      <c r="J7" s="37" t="inlineStr">
        <is>
          <t>ยืนยัน-แบบฟอร์ม</t>
        </is>
      </c>
      <c r="K7" s="40" t="n"/>
      <c r="L7" s="40">
        <f>IF(K7="","",H7-K7)</f>
        <v/>
      </c>
      <c r="M7" s="36" t="n"/>
      <c r="N7" s="37" t="n"/>
      <c r="O7" s="37" t="n"/>
      <c r="P7" s="36" t="n"/>
      <c r="Q7" s="37" t="n"/>
      <c r="R7" s="37" t="inlineStr">
        <is>
          <t>ได้รับจาก File แบบฟอร์ม คำขอตั้งแผนเงินบำรุงโรงพยาบาลวชิระ.xlsx , และ File แบบฟอร์มหมวดวัสดุ-69.xlsx</t>
        </is>
      </c>
    </row>
    <row r="8" ht="40" customHeight="1">
      <c r="A8" s="36" t="inlineStr">
        <is>
          <t>7</t>
        </is>
      </c>
      <c r="B8" s="37" t="inlineStr">
        <is>
          <t>ประเภทงบในแบบฟอร์ม</t>
        </is>
      </c>
      <c r="C8" s="38" t="inlineStr">
        <is>
          <t>คือการผูกว่าแบบฟอร์มแต่ละใบใช้ประเภทงบใด ใช้ให้ระบบเปิดแท็บและตรวจวงเงินให้ตรงประเภทงบของแบบฟอร์มนั้น</t>
        </is>
      </c>
      <c r="D8" s="39" t="inlineStr">
        <is>
          <t>Master</t>
        </is>
      </c>
      <c r="E8" s="37" t="inlineStr">
        <is>
          <t>งบประมาณ</t>
        </is>
      </c>
      <c r="F8" s="37" t="inlineStr">
        <is>
          <t>vpk.budget.request.form.type.line</t>
        </is>
      </c>
      <c r="G8" s="37" t="inlineStr">
        <is>
          <t>form + ประเภทงบ</t>
        </is>
      </c>
      <c r="H8" s="40" t="n">
        <v>4</v>
      </c>
      <c r="I8" s="41" t="inlineStr">
        <is>
          <t>นำเข้าแล้ว</t>
        </is>
      </c>
      <c r="J8" s="37" t="inlineStr">
        <is>
          <t>ยืนยัน-แท็บแบบฟอร์ม</t>
        </is>
      </c>
      <c r="K8" s="40" t="n"/>
      <c r="L8" s="40">
        <f>IF(K8="","",H8-K8)</f>
        <v/>
      </c>
      <c r="M8" s="36" t="n"/>
      <c r="N8" s="37" t="n"/>
      <c r="O8" s="37" t="n"/>
      <c r="P8" s="36" t="n"/>
      <c r="Q8" s="37" t="n"/>
      <c r="R8" s="37" t="inlineStr">
        <is>
          <t>ได้รับจาก File แบบฟอร์ม คำขอตั้งแผนเงินบำรุงโรงพยาบาลวชิระ.xlsx , และ File แบบฟอร์มหมวดวัสดุ-69.xlsx</t>
        </is>
      </c>
    </row>
    <row r="9" ht="40" customHeight="1">
      <c r="A9" s="36" t="inlineStr">
        <is>
          <t>8</t>
        </is>
      </c>
      <c r="B9" s="37" t="inlineStr">
        <is>
          <t>บัญชีวิเคราะห์ / หน่วยงาน</t>
        </is>
      </c>
      <c r="C9" s="38" t="inlineStr">
        <is>
          <t>คือหน่วยงานหรือโครงการที่ถือวงเงิน ใช้ใส่ในแผนงบ คำของบ และใบขอซื้อ เพื่อกันเงินและตัดงบรายหน่วยงาน</t>
        </is>
      </c>
      <c r="D9" s="39" t="inlineStr">
        <is>
          <t>Master</t>
        </is>
      </c>
      <c r="E9" s="37" t="inlineStr">
        <is>
          <t>งบประมาณ, จัดซื้อ, บัญชี</t>
        </is>
      </c>
      <c r="F9" s="37" t="inlineStr">
        <is>
          <t>account.analytic.account</t>
        </is>
      </c>
      <c r="G9" s="37" t="inlineStr">
        <is>
          <t>code</t>
        </is>
      </c>
      <c r="H9" s="40" t="n">
        <v>71</v>
      </c>
      <c r="I9" s="41" t="inlineStr">
        <is>
          <t>นำเข้าแล้ว</t>
        </is>
      </c>
      <c r="J9" s="37" t="inlineStr">
        <is>
          <t>ยืนยัน-หน่วยงานวิเคราะห์</t>
        </is>
      </c>
      <c r="K9" s="40" t="n"/>
      <c r="L9" s="40">
        <f>IF(K9="","",H9-K9)</f>
        <v/>
      </c>
      <c r="M9" s="36" t="n"/>
      <c r="N9" s="37" t="n"/>
      <c r="O9" s="37" t="n"/>
      <c r="P9" s="36" t="n"/>
      <c r="Q9" s="37" t="n"/>
      <c r="R9" s="37" t="inlineStr">
        <is>
          <t>ได้รับจาก File รวมรายการคำขอตั้งแผนเงินบำรุงโรงพยาบาลวชิระภูเก็ต ปีงบประมาณ 2569.xlsx , ปะหน้า</t>
        </is>
      </c>
    </row>
    <row r="10" ht="40" customHeight="1">
      <c r="A10" s="36" t="inlineStr">
        <is>
          <t>9</t>
        </is>
      </c>
      <c r="B10" s="37" t="inlineStr">
        <is>
          <t>แผนงบประมาณประจำปี</t>
        </is>
      </c>
      <c r="C10" s="38" t="inlineStr">
        <is>
          <t>คือแผนวงเงินของปีงบประมาณ พร้อมวันเริ่มและวันสิ้นสุด ใช้เป็นกรอบที่บรรทัดวงเงินและคำของบของปีนั้นอ้างอิง</t>
        </is>
      </c>
      <c r="D10" s="39" t="inlineStr">
        <is>
          <t>Master</t>
        </is>
      </c>
      <c r="E10" s="37" t="inlineStr">
        <is>
          <t>งบประมาณ</t>
        </is>
      </c>
      <c r="F10" s="37" t="inlineStr">
        <is>
          <t>budget.budget</t>
        </is>
      </c>
      <c r="G10" s="37" t="inlineStr">
        <is>
          <t>name + ช่วงวันที่</t>
        </is>
      </c>
      <c r="H10" s="40" t="n">
        <v>1</v>
      </c>
      <c r="I10" s="41" t="inlineStr">
        <is>
          <t>นำเข้าแล้ว</t>
        </is>
      </c>
      <c r="J10" s="37" t="inlineStr">
        <is>
          <t>ยืนยัน-แผนปี</t>
        </is>
      </c>
      <c r="K10" s="40" t="n"/>
      <c r="L10" s="40">
        <f>IF(K10="","",H10-K10)</f>
        <v/>
      </c>
      <c r="M10" s="36" t="n"/>
      <c r="N10" s="37" t="n"/>
      <c r="O10" s="37" t="n"/>
      <c r="P10" s="36" t="n"/>
      <c r="Q10" s="37" t="n"/>
      <c r="R10" s="37" t="inlineStr">
        <is>
          <t>บันทึกเข้าระบบตรงๆ Function การตั้งงบประมาณ</t>
        </is>
      </c>
    </row>
    <row r="11" ht="60" customHeight="1">
      <c r="A11" s="36" t="inlineStr">
        <is>
          <t>10</t>
        </is>
      </c>
      <c r="B11" s="37" t="inlineStr">
        <is>
          <t>หมวดงบประมาณ</t>
        </is>
      </c>
      <c r="C11" s="38" t="inlineStr">
        <is>
          <t>คือหมวดที่ใช้ควบคุมวงเงิน เช่น ครุภัณฑ์คอมพิวเตอร์ ครุภัณฑ์สำนักงาน ใช้จับคู่ตอนเช็คงบและกันเงินในใบขอซื้อกับบรรทัดวงเงิน</t>
        </is>
      </c>
      <c r="D11" s="39" t="inlineStr">
        <is>
          <t>Master</t>
        </is>
      </c>
      <c r="E11" s="37" t="inlineStr">
        <is>
          <t>งบประมาณ, จัดซื้อ</t>
        </is>
      </c>
      <c r="F11" s="37" t="inlineStr">
        <is>
          <t>account.budget.post</t>
        </is>
      </c>
      <c r="G11" s="37" t="inlineStr">
        <is>
          <t>name</t>
        </is>
      </c>
      <c r="H11" s="40" t="n">
        <v>46</v>
      </c>
      <c r="I11" s="41" t="inlineStr">
        <is>
          <t>นำเข้าแล้ว</t>
        </is>
      </c>
      <c r="J11" s="37" t="inlineStr">
        <is>
          <t>ยืนยัน-หมวดงบ</t>
        </is>
      </c>
      <c r="K11" s="40" t="n"/>
      <c r="L11" s="40">
        <f>IF(K11="","",H11-K11)</f>
        <v/>
      </c>
      <c r="M11" s="36" t="n"/>
      <c r="N11" s="37" t="n"/>
      <c r="O11" s="37" t="n"/>
      <c r="P11" s="36" t="n"/>
      <c r="Q11" s="37" t="n"/>
      <c r="R11" s="37" t="inlineStr">
        <is>
          <t xml:space="preserve">จาก File บัญชีรายการครุภัณฑ์ สำนักงานปลัดกระทรวงส.xlsx แท็บ บัญชีแจ้งหน่วยงาน ฉบับตุลาคม 2569 จับคู่รหัสครุภัณฑ์กับสินค้าในระบบ , Chart of Account ของบัญชี , กลุ่มวัสดุของคลัง </t>
        </is>
      </c>
    </row>
    <row r="12" ht="120" customHeight="1">
      <c r="A12" s="36" t="inlineStr">
        <is>
          <t>11</t>
        </is>
      </c>
      <c r="B12" s="37" t="inlineStr">
        <is>
          <t>คำของบหน่วยงาน</t>
        </is>
      </c>
      <c r="C12" s="38" t="inlineStr">
        <is>
          <t>คือเอกสารที่หน่วยงานกรอกเพื่อขอตั้งงบประจำปี ใช้รวบรวมความต้องการก่อนจัดสรรวงเงินลงแผน เป็นเอกสารทำงาน ไม่ใช่ข้อมูลหลักสำหรับนำเข้า</t>
        </is>
      </c>
      <c r="D12" s="36" t="inlineStr">
        <is>
          <t>ธุรกรรม</t>
        </is>
      </c>
      <c r="E12" s="37" t="inlineStr">
        <is>
          <t>งบประมาณ</t>
        </is>
      </c>
      <c r="F12" s="37" t="inlineStr">
        <is>
          <t>departmental.budget.request</t>
        </is>
      </c>
      <c r="G12" s="37" t="inlineStr">
        <is>
          <t>เลขที่เอกสาร</t>
        </is>
      </c>
      <c r="H12" s="40" t="n">
        <v>35</v>
      </c>
      <c r="I12" s="42" t="inlineStr">
        <is>
          <t>นำเข้าแล้ว · รายการอยู่ในไฟล์แยก
1. UAT-นำเข้าข้อมูล-งบประมาณ-รายการคำขอวัสดุ-ครั้งที่ 1.xlsx
2. UAT-นำเข้าข้อมูล-งบประมาณ-รายการคำขอครุภัณฑ์-ครั้งที่ 1.xlsx
3. UAT-นำเข้าข้อมูล-งบประมาณ-รายการคำขอก่อสร้าง-ครั้งที่ 1.xlsx
4. UAT-นำเข้าข้อมูล-งบประมาณ-รายการคำขอโครงการ-ครั้งที่ 1.xlsx</t>
        </is>
      </c>
      <c r="J12" s="37" t="inlineStr">
        <is>
          <t>ยืนยัน-คำของบ</t>
        </is>
      </c>
      <c r="K12" s="40" t="n"/>
      <c r="L12" s="40">
        <f>IF(K12="","",H12-K12)</f>
        <v/>
      </c>
      <c r="M12" s="36" t="n"/>
      <c r="N12" s="37" t="n"/>
      <c r="O12" s="37" t="n"/>
      <c r="P12" s="36" t="n"/>
      <c r="Q12" s="37" t="n"/>
      <c r="R12" s="37" t="inlineStr">
        <is>
          <t>ส่งออกจากฐาน VPK-S1 วันที่ 12 ต.ค. 2569 มีคำของบในระบบ 35 ใบ ในจำนวนนี้ 28 ใบนำเข้าจากไฟล์ แบบฟอร์มที่ 3 แผนปีงบประมาณ 2570 หมวดวัสดุ.xlsx แยกตามแท็บ ใส่ชื่อรายการในรายการสินค้า ยังไม่ผูกสินค้า DBR/2570/0004 วัสดุสำนักงาน 513 รายการ ยอด 8,614,565.05 บาท เท่ากับผลรวมวงเงินในแท็บ เพิ่มอีก 3 ใบในวันเดียวกัน: DBR/2570/0032 แบบฟอร์มก่อสร้าง กลุ่มงานโครงสร้างพื้นฐานฯ 27 รายการ 51,682,986.12 บาท จากไฟล์ 15.กลุ่มงานโครงสร้าง, DBR/2570/0033 แบบฟอร์มครุภัณฑ์ กลุ่มงานกุมารเวชกรรม 22 รายการ 14,162,390.00 บาท และ DBR/2570/0034 แบบฟอร์มโครงการ 3 รายการ 164,200.00 บาท จากไฟล์ 14.กลุ่มงานกุมารเวชกรรม รายละเอียดอยู่ใน UAT-นำเข้าข้อมูล-งบประมาณ-รายการคำขอครุภัณฑ์-ครั้งที่ 1.xlsx, UAT-นำเข้าข้อมูล-งบประมาณ-รายการคำขอก่อสร้าง-ครั้งที่ 1.xlsx และ UAT-นำเข้าข้อมูล-งบประมาณ-รายการคำขอโครงการ-ครั้งที่ 1.xlsx</t>
        </is>
      </c>
    </row>
    <row r="13" ht="40" customHeight="1">
      <c r="A13" s="36" t="inlineStr">
        <is>
          <t>12</t>
        </is>
      </c>
      <c r="B13" s="37" t="inlineStr">
        <is>
          <t>รายการสินค้าครุภัณฑ์</t>
        </is>
      </c>
      <c r="C13" s="38" t="inlineStr">
        <is>
          <t>คือรหัสรายการครุภัณฑ์ที่นำเข้าจากบัญชีสำนักงานปลัดกระทรวงสาธารณสุขแล้ว ใช้เลือกตอนตั้งงบครุภัณฑ์ รายการยืนยันอยู่ในแท็บ ข้อมูล-item-ครุภัณฑ์</t>
        </is>
      </c>
      <c r="D13" s="36" t="inlineStr">
        <is>
          <t>รายการ</t>
        </is>
      </c>
      <c r="E13" s="37" t="inlineStr">
        <is>
          <t>งบประมาณ</t>
        </is>
      </c>
      <c r="F13" s="37" t="inlineStr">
        <is>
          <t>product.template</t>
        </is>
      </c>
      <c r="G13" s="37" t="inlineStr">
        <is>
          <t>รหัสครุภัณฑ์</t>
        </is>
      </c>
      <c r="H13" s="40" t="n">
        <v>1374</v>
      </c>
      <c r="I13" s="42" t="inlineStr">
        <is>
          <t>นำเข้าแล้ว</t>
        </is>
      </c>
      <c r="J13" s="37" t="inlineStr">
        <is>
          <t>ข้อมูล-item-ครุภัณฑ์</t>
        </is>
      </c>
      <c r="K13" s="40" t="n"/>
      <c r="L13" s="40">
        <f>IF(K13="","",H13-K13)</f>
        <v/>
      </c>
      <c r="M13" s="36" t="n"/>
      <c r="N13" s="37" t="n"/>
      <c r="O13" s="37" t="n"/>
      <c r="P13" s="36" t="n"/>
      <c r="Q13" s="37" t="n"/>
      <c r="R13" s="37" t="inlineStr">
        <is>
          <t>จาก File บัญชีรายการครุภัณฑ์ สำนักงานปลัดกระทรวงส.xlsx แท็บ บัญชีแจ้งหน่วยงาน ฉบับตุลาคม 2569 จับคู่รหัสครุภัณฑ์กับสินค้าในระบบ</t>
        </is>
      </c>
    </row>
    <row r="14" ht="21" customHeight="1">
      <c r="B14" s="43" t="inlineStr">
        <is>
          <t>รวมจำนวนทุกประเภทในชีตนี้</t>
        </is>
      </c>
      <c r="D14" s="44" t="n"/>
      <c r="E14" s="44" t="n"/>
      <c r="F14" s="44" t="n"/>
      <c r="G14" s="44" t="n"/>
      <c r="H14" s="45">
        <f>SUM(H2:H13)</f>
        <v/>
      </c>
      <c r="I14" s="44" t="n"/>
      <c r="J14" s="44" t="n"/>
      <c r="K14" s="44" t="n"/>
      <c r="L14" s="44" t="n"/>
      <c r="M14" s="44" t="n"/>
      <c r="N14" s="44" t="n"/>
      <c r="O14" s="44" t="n"/>
      <c r="P14" s="44" t="n"/>
      <c r="Q14" s="44" t="n"/>
      <c r="R14" s="46" t="n"/>
    </row>
    <row r="15">
      <c r="A15" s="47" t="inlineStr">
        <is>
          <t>ข้อมูล ณ 30 ส.ค. 2569  23:24 จากฐาน VPK-S1  คอลัมน์ “จำนวนต้นทาง” ให้เจ้าของข้อมูลกรอกจากไฟล์ที่ส่งมา ถ้าผลต่าง ≠ 0 ให้เลือกผลยืนยันเป็น ต้องแก้ไข หรือ ยังไม่ครบ  กลุ่ม Master = ข้อมูลหลักที่ใช้ทั้งระบบ · ตั้งค่า = วงเงิน/ค่าคงที่ · ธุรกรรม = เอกสารปฏิบัติงาน · คงค้าง = PO ค้างรับ/ค้างตั้งหนี้, เจ้าหนี้ค้างจ่าย, งบทดลอง TB ปี 2569 (ปีงบประมาณ 1 ต.ค. 2568 – 30 ก.ย. 2569)  คอลัมน์ “อ้างอิงการได้มาของข้อมูล” บันทึกว่าแต่ละประเภทได้มาจากข้อมูลตั้งต้นของโมดูล ไฟล์แม่แบบที่นำเข้า หรือสร้างในระบบ</t>
        </is>
      </c>
    </row>
    <row r="16"/>
    <row r="17"/>
  </sheetData>
  <mergeCells count="1">
    <mergeCell ref="A15:R17"/>
  </mergeCells>
  <conditionalFormatting sqref="L2:L13">
    <cfRule type="cellIs" priority="1" operator="equal" dxfId="3">
      <formula>"ถูกต้อง"</formula>
    </cfRule>
    <cfRule type="cellIs" priority="2" operator="equal" dxfId="4">
      <formula>"ต้องแก้ไข"</formula>
    </cfRule>
    <cfRule type="cellIs" priority="3" operator="equal" dxfId="5">
      <formula>"ยังไม่ครบ"</formula>
    </cfRule>
  </conditionalFormatting>
  <dataValidations count="1">
    <dataValidation sqref="L2:L13" showDropDown="0" showInputMessage="0" showErrorMessage="0" allowBlank="1" type="list">
      <formula1>"ถูกต้อง,ต้องแก้ไข,ยังไม่ครบ,ข้าม"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23A56"/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62" customWidth="1" min="3" max="3"/>
    <col width="12" customWidth="1" min="4" max="4"/>
    <col width="28" customWidth="1" min="5" max="5"/>
    <col width="36" customWidth="1" min="6" max="6"/>
    <col width="22" customWidth="1" min="7" max="7"/>
    <col width="14" customWidth="1" min="8" max="8"/>
    <col width="22" customWidth="1" min="9" max="9"/>
    <col width="24" customWidth="1" min="10" max="10"/>
    <col width="16" customWidth="1" min="11" max="11"/>
    <col width="12" customWidth="1" min="12" max="12"/>
    <col width="16" customWidth="1" min="13" max="13"/>
    <col width="16" customWidth="1" min="14" max="14"/>
    <col width="14" customWidth="1" min="15" max="15"/>
    <col width="14" customWidth="1" min="16" max="16"/>
    <col width="28" customWidth="1" min="17" max="17"/>
    <col width="62" customWidth="1" min="18" max="18"/>
  </cols>
  <sheetData>
    <row r="1" ht="40" customHeight="1">
      <c r="A1" s="4" t="inlineStr">
        <is>
          <t>ลำดับ</t>
        </is>
      </c>
      <c r="B1" s="4" t="inlineStr">
        <is>
          <t>ประเภทข้อมูล</t>
        </is>
      </c>
      <c r="C1" s="4" t="inlineStr">
        <is>
          <t>ข้อมูลนี้คืออะไร / ใช้ทำอะไรในระบบ</t>
        </is>
      </c>
      <c r="D1" s="4" t="inlineStr">
        <is>
          <t>กลุ่ม</t>
        </is>
      </c>
      <c r="E1" s="4" t="inlineStr">
        <is>
          <t>โมดูลที่เกี่ยวข้อง</t>
        </is>
      </c>
      <c r="F1" s="4" t="inlineStr">
        <is>
          <t>โมเดลในระบบ</t>
        </is>
      </c>
      <c r="G1" s="4" t="inlineStr">
        <is>
          <t>คีย์จับคู่</t>
        </is>
      </c>
      <c r="H1" s="4" t="inlineStr">
        <is>
          <t>จำนวนในระบบ</t>
        </is>
      </c>
      <c r="I1" s="4" t="inlineStr">
        <is>
          <t>สถานะนำเข้า</t>
        </is>
      </c>
      <c r="J1" s="4" t="inlineStr">
        <is>
          <t>ชีตรายการยืนยัน</t>
        </is>
      </c>
      <c r="K1" s="4" t="inlineStr">
        <is>
          <t>จำนวนต้นทาง (กรอก)</t>
        </is>
      </c>
      <c r="L1" s="4" t="inlineStr">
        <is>
          <t>ผลต่าง</t>
        </is>
      </c>
      <c r="M1" s="4" t="inlineStr">
        <is>
          <t>ผลยืนยัน</t>
        </is>
      </c>
      <c r="N1" s="4" t="inlineStr">
        <is>
          <t>ผู้ยืนยัน</t>
        </is>
      </c>
      <c r="O1" s="4" t="inlineStr">
        <is>
          <t>ลงชื่อ</t>
        </is>
      </c>
      <c r="P1" s="4" t="inlineStr">
        <is>
          <t>วันที่</t>
        </is>
      </c>
      <c r="Q1" s="4" t="inlineStr">
        <is>
          <t>หมายเหตุ</t>
        </is>
      </c>
      <c r="R1" s="4" t="inlineStr">
        <is>
          <t>อ้างอิงการได้มาของข้อมูล</t>
        </is>
      </c>
    </row>
    <row r="2" ht="56" customHeight="1">
      <c r="A2" s="5" t="n">
        <v>1</v>
      </c>
      <c r="B2" s="6" t="inlineStr">
        <is>
          <t>ผู้จำหน่าย / เจ้าหนี้</t>
        </is>
      </c>
      <c r="C2" s="6" t="inlineStr">
        <is>
          <t>คือรายชื่อผู้ขายและเจ้าหนี้ที่ใช้งานในระบบ ใช้เลือกผู้ขายตอนออกใบขอซื้อ (PR) และใบสั่งซื้อ (PO) และใช้ตั้งหนี้ในงานเจ้าหนี้ จับคู่ด้วยรหัสอ้างอิง เลขผู้เสียภาษี หรือชื่อ</t>
        </is>
      </c>
      <c r="D2" s="26" t="inlineStr">
        <is>
          <t>Master</t>
        </is>
      </c>
      <c r="E2" s="6" t="inlineStr">
        <is>
          <t>จัดซื้อ, เจ้าหนี้</t>
        </is>
      </c>
      <c r="F2" s="6" t="inlineStr">
        <is>
          <t>res.partner (ผู้ขายที่นำเข้า, ไม่รวมข้อมูลตัวอย่าง)</t>
        </is>
      </c>
      <c r="G2" s="6" t="inlineStr">
        <is>
          <t>ref / vat / ชื่อ</t>
        </is>
      </c>
      <c r="H2" s="27" t="n">
        <v>1154</v>
      </c>
      <c r="I2" s="28" t="inlineStr">
        <is>
          <t>นำเข้าแล้ว</t>
        </is>
      </c>
      <c r="J2" s="6" t="inlineStr">
        <is>
          <t>ยืนยัน-ผู้จำหน่าย</t>
        </is>
      </c>
      <c r="K2" s="27" t="n"/>
      <c r="L2" s="27">
        <f>IF(K2="","",H2-K2)</f>
        <v/>
      </c>
      <c r="M2" s="5" t="n"/>
      <c r="N2" s="6" t="n"/>
      <c r="O2" s="6" t="n"/>
      <c r="P2" s="5" t="n"/>
      <c r="Q2" s="6" t="n"/>
      <c r="R2" s="6" t="inlineStr">
        <is>
          <t>ส่งออกจากฐาน VPK-S1 วันที่ 30 ส.ค. 2569</t>
        </is>
      </c>
    </row>
    <row r="3" ht="56" customHeight="1">
      <c r="A3" s="5" t="n">
        <v>2</v>
      </c>
      <c r="B3" s="6" t="inlineStr">
        <is>
          <t>บัญชีธนาคารผู้ขาย</t>
        </is>
      </c>
      <c r="C3" s="6" t="inlineStr">
        <is>
          <t>คือเลขที่บัญชีธนาคารของแต่ละผู้ขาย ใช้ตอนจ่ายเงินให้ผู้ขายในงานการเงิน โดยผูกบัญชีกับผู้ขาย</t>
        </is>
      </c>
      <c r="D3" s="26" t="inlineStr">
        <is>
          <t>Master</t>
        </is>
      </c>
      <c r="E3" s="6" t="inlineStr">
        <is>
          <t>จัดซื้อ, การเงิน</t>
        </is>
      </c>
      <c r="F3" s="6" t="inlineStr">
        <is>
          <t>res.partner.bank</t>
        </is>
      </c>
      <c r="G3" s="6" t="inlineStr">
        <is>
          <t>partner + เลขบัญชี</t>
        </is>
      </c>
      <c r="H3" s="27" t="n">
        <v>0</v>
      </c>
      <c r="I3" s="48" t="inlineStr">
        <is>
          <t>ยังไม่นำเข้า</t>
        </is>
      </c>
      <c r="J3" s="6" t="inlineStr">
        <is>
          <t>ยืนยัน-บัญชีผู้ขาย</t>
        </is>
      </c>
      <c r="K3" s="27" t="n"/>
      <c r="L3" s="27">
        <f>IF(K3="","",H3-K3)</f>
        <v/>
      </c>
      <c r="M3" s="5" t="n"/>
      <c r="N3" s="6" t="n"/>
      <c r="O3" s="6" t="n"/>
      <c r="P3" s="5" t="n"/>
      <c r="Q3" s="6" t="n"/>
      <c r="R3" s="6" t="inlineStr">
        <is>
          <t>ยังไม่มีรายการในฐาน VPK-S1 ณ วันที่ 30 ส.ค. 2569</t>
        </is>
      </c>
    </row>
    <row r="4" ht="56" customHeight="1">
      <c r="A4" s="5" t="n">
        <v>3</v>
      </c>
      <c r="B4" s="6" t="inlineStr">
        <is>
          <t>ราคา / MOQ ผู้ขาย</t>
        </is>
      </c>
      <c r="C4" s="6" t="inlineStr">
        <is>
          <t>คือราคาและจำนวนสั่งขั้นต่ำ (MOQ) ที่ผู้ขายกำหนดต่อสินค้า ใช้ดึงราคาตอนจัดซื้อ จับคู่ด้วยผู้ขายและสินค้า</t>
        </is>
      </c>
      <c r="D4" s="26" t="inlineStr">
        <is>
          <t>Master</t>
        </is>
      </c>
      <c r="E4" s="6" t="inlineStr">
        <is>
          <t>จัดซื้อ, สินค้า</t>
        </is>
      </c>
      <c r="F4" s="6" t="inlineStr">
        <is>
          <t>product.supplierinfo</t>
        </is>
      </c>
      <c r="G4" s="6" t="inlineStr">
        <is>
          <t>ผู้ขาย + สินค้า</t>
        </is>
      </c>
      <c r="H4" s="27" t="n">
        <v>1</v>
      </c>
      <c r="I4" s="28" t="inlineStr">
        <is>
          <t>นำเข้าแล้ว</t>
        </is>
      </c>
      <c r="J4" s="6" t="inlineStr">
        <is>
          <t>ยืนยัน-ราคาผู้ขาย</t>
        </is>
      </c>
      <c r="K4" s="27" t="n"/>
      <c r="L4" s="27">
        <f>IF(K4="","",H4-K4)</f>
        <v/>
      </c>
      <c r="M4" s="5" t="n"/>
      <c r="N4" s="6" t="n"/>
      <c r="O4" s="6" t="n"/>
      <c r="P4" s="5" t="n"/>
      <c r="Q4" s="6" t="n"/>
      <c r="R4" s="6" t="inlineStr">
        <is>
          <t>ส่งออกจากฐาน VPK-S1 วันที่ 30 ส.ค. 2569</t>
        </is>
      </c>
    </row>
    <row r="5" ht="56" customHeight="1">
      <c r="A5" s="5" t="n">
        <v>4</v>
      </c>
      <c r="B5" s="6" t="inlineStr">
        <is>
          <t>กลุ่มผู้จำหน่ายจัดซื้อ</t>
        </is>
      </c>
      <c r="C5" s="6" t="inlineStr">
        <is>
          <t>คือกลุ่มที่ใช้จัดประเภทผู้ขาย เช่น กลุ่มยา เจ้าหนี้ตรง ส่วนสาธารณูปโภค ใช้กรองผู้ขายและออกรายงานตามกลุ่ม จับคู่ด้วยรหัสกลุ่ม</t>
        </is>
      </c>
      <c r="D5" s="26" t="inlineStr">
        <is>
          <t>Master</t>
        </is>
      </c>
      <c r="E5" s="6" t="inlineStr">
        <is>
          <t>จัดซื้อ, เจ้าหนี้</t>
        </is>
      </c>
      <c r="F5" s="6" t="inlineStr">
        <is>
          <t>procurement.vendor.group</t>
        </is>
      </c>
      <c r="G5" s="6" t="inlineStr">
        <is>
          <t>code</t>
        </is>
      </c>
      <c r="H5" s="27" t="n">
        <v>7</v>
      </c>
      <c r="I5" s="28" t="inlineStr">
        <is>
          <t>นำเข้าแล้ว</t>
        </is>
      </c>
      <c r="J5" s="6" t="inlineStr">
        <is>
          <t>ยืนยัน-กลุ่มผู้จำหน่าย</t>
        </is>
      </c>
      <c r="K5" s="27" t="n"/>
      <c r="L5" s="27">
        <f>IF(K5="","",H5-K5)</f>
        <v/>
      </c>
      <c r="M5" s="5" t="n"/>
      <c r="N5" s="6" t="n"/>
      <c r="O5" s="6" t="n"/>
      <c r="P5" s="5" t="n"/>
      <c r="Q5" s="6" t="n"/>
      <c r="R5" s="6" t="inlineStr">
        <is>
          <t>ส่งออกจากฐาน VPK-S1 วันที่ 30 ส.ค. 2569</t>
        </is>
      </c>
    </row>
    <row r="6" ht="56" customHeight="1">
      <c r="A6" s="5" t="n">
        <v>5</v>
      </c>
      <c r="B6" s="6" t="inlineStr">
        <is>
          <t>ใบขอซื้อ (PR)</t>
        </is>
      </c>
      <c r="C6" s="6" t="inlineStr">
        <is>
          <t>คือเอกสารที่หน่วยงานขอให้พัสดุจัดซื้อ ใช้เริ่มกระบวนการก่อนออกใบสั่งซื้อ จับคู่ด้วยเลขที่ใบขอซื้อ</t>
        </is>
      </c>
      <c r="D6" s="5" t="inlineStr">
        <is>
          <t>ธุรกรรม</t>
        </is>
      </c>
      <c r="E6" s="6" t="inlineStr">
        <is>
          <t>จัดซื้อ</t>
        </is>
      </c>
      <c r="F6" s="6" t="inlineStr">
        <is>
          <t>purchase.request</t>
        </is>
      </c>
      <c r="G6" s="6" t="inlineStr">
        <is>
          <t>name</t>
        </is>
      </c>
      <c r="H6" s="27" t="n">
        <v>0</v>
      </c>
      <c r="I6" s="48" t="inlineStr">
        <is>
          <t>ยังไม่นำเข้า</t>
        </is>
      </c>
      <c r="J6" s="6" t="inlineStr">
        <is>
          <t>ยืนยัน-PR</t>
        </is>
      </c>
      <c r="K6" s="27" t="n"/>
      <c r="L6" s="27">
        <f>IF(K6="","",H6-K6)</f>
        <v/>
      </c>
      <c r="M6" s="5" t="n"/>
      <c r="N6" s="6" t="n"/>
      <c r="O6" s="6" t="n"/>
      <c r="P6" s="5" t="n"/>
      <c r="Q6" s="6" t="n"/>
      <c r="R6" s="6" t="inlineStr">
        <is>
          <t>ยังไม่มีรายการในฐาน VPK-S1 ณ วันที่ 30 ส.ค. 2569</t>
        </is>
      </c>
    </row>
    <row r="7" ht="56" customHeight="1">
      <c r="A7" s="5" t="n">
        <v>6</v>
      </c>
      <c r="B7" s="6" t="inlineStr">
        <is>
          <t>ใบสั่งซื้อ (PO) ทั้งหมด</t>
        </is>
      </c>
      <c r="C7" s="6" t="inlineStr">
        <is>
          <t>คือใบสั่งซื้อที่ออกให้ผู้ขายแล้ว ใช้รับของเข้าคลังและตั้งหนี้เจ้าหนี้ จับคู่ด้วยเลขที่ใบสั่งซื้อ</t>
        </is>
      </c>
      <c r="D7" s="5" t="inlineStr">
        <is>
          <t>ธุรกรรม</t>
        </is>
      </c>
      <c r="E7" s="6" t="inlineStr">
        <is>
          <t>จัดซื้อ, คลัง, เจ้าหนี้</t>
        </is>
      </c>
      <c r="F7" s="6" t="inlineStr">
        <is>
          <t>purchase.order</t>
        </is>
      </c>
      <c r="G7" s="6" t="inlineStr">
        <is>
          <t>name</t>
        </is>
      </c>
      <c r="H7" s="27" t="n">
        <v>0</v>
      </c>
      <c r="I7" s="48" t="inlineStr">
        <is>
          <t>ยังไม่นำเข้า</t>
        </is>
      </c>
      <c r="J7" s="6" t="inlineStr">
        <is>
          <t>ยืนยัน-POทั้งหมด</t>
        </is>
      </c>
      <c r="K7" s="27" t="n"/>
      <c r="L7" s="27">
        <f>IF(K7="","",H7-K7)</f>
        <v/>
      </c>
      <c r="M7" s="5" t="n"/>
      <c r="N7" s="6" t="n"/>
      <c r="O7" s="6" t="n"/>
      <c r="P7" s="5" t="n"/>
      <c r="Q7" s="6" t="n"/>
      <c r="R7" s="6" t="inlineStr">
        <is>
          <t>ยังไม่มีรายการในฐาน VPK-S1 ณ วันที่ 30 ส.ค. 2569</t>
        </is>
      </c>
    </row>
    <row r="8" ht="56" customHeight="1">
      <c r="A8" s="5" t="n">
        <v>7</v>
      </c>
      <c r="B8" s="6" t="inlineStr">
        <is>
          <t>PO คงค้าง (ค้างรับ / ค้างตั้งหนี้)</t>
        </is>
      </c>
      <c r="C8" s="6" t="inlineStr">
        <is>
          <t>คือใบสั่งซื้อที่ยังรับของไม่ครบหรือยังตั้งหนี้ไม่ครบ ใช้ติดตามงานค้างรับและค้างตั้งหนี้</t>
        </is>
      </c>
      <c r="D8" s="29" t="inlineStr">
        <is>
          <t>คงค้าง</t>
        </is>
      </c>
      <c r="E8" s="6" t="inlineStr">
        <is>
          <t>จัดซื้อ, คลัง, เจ้าหนี้</t>
        </is>
      </c>
      <c r="F8" s="6" t="inlineStr">
        <is>
          <t>purchase.order (คงค้าง)</t>
        </is>
      </c>
      <c r="G8" s="6" t="inlineStr">
        <is>
          <t>name</t>
        </is>
      </c>
      <c r="H8" s="27" t="n">
        <v>0</v>
      </c>
      <c r="I8" s="48" t="inlineStr">
        <is>
          <t>ยังไม่นำเข้า (คงค้าง)</t>
        </is>
      </c>
      <c r="J8" s="6" t="inlineStr">
        <is>
          <t>ยืนยัน-POคงค้าง</t>
        </is>
      </c>
      <c r="K8" s="27" t="n"/>
      <c r="L8" s="27">
        <f>IF(K8="","",H8-K8)</f>
        <v/>
      </c>
      <c r="M8" s="5" t="n"/>
      <c r="N8" s="6" t="n"/>
      <c r="O8" s="6" t="n"/>
      <c r="P8" s="5" t="n"/>
      <c r="Q8" s="6" t="n"/>
      <c r="R8" s="6" t="inlineStr">
        <is>
          <t>ยังไม่มีรายการในฐาน VPK-S1 ณ วันที่ 30 ส.ค. 2569</t>
        </is>
      </c>
    </row>
    <row r="9">
      <c r="B9" s="30" t="inlineStr">
        <is>
          <t>รวมจำนวนทุกประเภทในชีตนี้</t>
        </is>
      </c>
      <c r="C9" s="49" t="n"/>
      <c r="D9" s="31" t="n"/>
      <c r="E9" s="31" t="n"/>
      <c r="F9" s="31" t="n"/>
      <c r="G9" s="31" t="n"/>
      <c r="H9" s="32">
        <f>SUM(H2:H8)</f>
        <v/>
      </c>
      <c r="I9" s="31" t="n"/>
      <c r="J9" s="31" t="n"/>
      <c r="K9" s="31" t="n"/>
      <c r="L9" s="31" t="n"/>
      <c r="M9" s="31" t="n"/>
      <c r="N9" s="31" t="n"/>
      <c r="O9" s="31" t="n"/>
      <c r="P9" s="31" t="n"/>
      <c r="Q9" s="31" t="n"/>
      <c r="R9" s="49" t="n"/>
    </row>
    <row r="10"/>
    <row r="11">
      <c r="A11" s="33" t="inlineStr">
        <is>
          <t>ข้อมูล ณ 30 ส.ค. 2569  23:24 จากฐาน VPK-S1  คอลัมน์ “จำนวนต้นทาง” ให้เจ้าของข้อมูลกรอกจากไฟล์ที่ส่งมา ถ้าผลต่าง ≠ 0 ให้เลือกผลยืนยันเป็น ต้องแก้ไข หรือ ยังไม่ครบ  กลุ่ม Master = ข้อมูลหลักที่ใช้ทั้งระบบ · ตั้งค่า = วงเงิน/ค่าคงที่ · ธุรกรรม = เอกสารปฏิบัติงาน · คงค้าง = PO ค้างรับ/ค้างตั้งหนี้, เจ้าหนี้ค้างจ่าย, งบทดลอง TB ปี 2569 (ปีงบประมาณ 1 ต.ค. 2568 – 30 ก.ย. 2569)  คอลัมน์ “อ้างอิงการได้มาของข้อมูล” บันทึกว่าแต่ละประเภทได้มาจากข้อมูลตั้งต้นของโมดูล ไฟล์แม่แบบที่นำเข้า หรือสร้างในระบบ</t>
        </is>
      </c>
    </row>
    <row r="12"/>
    <row r="13"/>
  </sheetData>
  <mergeCells count="1">
    <mergeCell ref="A11:R13"/>
  </mergeCells>
  <conditionalFormatting sqref="M2:M8">
    <cfRule type="cellIs" priority="4" operator="equal" dxfId="0">
      <formula>"ถูกต้อง"</formula>
    </cfRule>
    <cfRule type="cellIs" priority="5" operator="equal" dxfId="1">
      <formula>"ต้องแก้ไข"</formula>
    </cfRule>
    <cfRule type="cellIs" priority="6" operator="equal" dxfId="2">
      <formula>"ยังไม่ครบ"</formula>
    </cfRule>
  </conditionalFormatting>
  <dataValidations count="1">
    <dataValidation sqref="M2:M8" showDropDown="0" showInputMessage="0" showErrorMessage="0" allowBlank="1" type="list">
      <formula1>"ถูกต้อง,ต้องแก้ไข,ยังไม่ครบ,ข้าม"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23A56"/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2" customWidth="1" min="3" max="3"/>
    <col width="28" customWidth="1" min="4" max="4"/>
    <col width="36" customWidth="1" min="5" max="5"/>
    <col width="22" customWidth="1" min="6" max="6"/>
    <col width="14" customWidth="1" min="7" max="7"/>
    <col width="22" customWidth="1" min="8" max="8"/>
    <col width="24" customWidth="1" min="9" max="9"/>
    <col width="16" customWidth="1" min="10" max="10"/>
    <col width="12" customWidth="1" min="11" max="11"/>
    <col width="16" customWidth="1" min="12" max="12"/>
    <col width="16" customWidth="1" min="13" max="13"/>
    <col width="14" customWidth="1" min="14" max="14"/>
    <col width="14" customWidth="1" min="15" max="15"/>
    <col width="28" customWidth="1" min="16" max="16"/>
  </cols>
  <sheetData>
    <row r="1" ht="28" customHeight="1">
      <c r="A1" s="4" t="inlineStr">
        <is>
          <t>ลำดับ</t>
        </is>
      </c>
      <c r="B1" s="4" t="inlineStr">
        <is>
          <t>ประเภทข้อมูล</t>
        </is>
      </c>
      <c r="C1" s="4" t="inlineStr">
        <is>
          <t>กลุ่ม</t>
        </is>
      </c>
      <c r="D1" s="4" t="inlineStr">
        <is>
          <t>โมดูลที่เกี่ยวข้อง</t>
        </is>
      </c>
      <c r="E1" s="4" t="inlineStr">
        <is>
          <t>โมเดลในระบบ</t>
        </is>
      </c>
      <c r="F1" s="4" t="inlineStr">
        <is>
          <t>คีย์จับคู่</t>
        </is>
      </c>
      <c r="G1" s="4" t="inlineStr">
        <is>
          <t>จำนวนในระบบ</t>
        </is>
      </c>
      <c r="H1" s="4" t="inlineStr">
        <is>
          <t>สถานะนำเข้า</t>
        </is>
      </c>
      <c r="I1" s="4" t="inlineStr">
        <is>
          <t>ชีตรายการยืนยัน</t>
        </is>
      </c>
      <c r="J1" s="4" t="inlineStr">
        <is>
          <t>จำนวนต้นทาง (กรอก)</t>
        </is>
      </c>
      <c r="K1" s="4" t="inlineStr">
        <is>
          <t>ผลต่าง</t>
        </is>
      </c>
      <c r="L1" s="4" t="inlineStr">
        <is>
          <t>ผลยืนยัน</t>
        </is>
      </c>
      <c r="M1" s="4" t="inlineStr">
        <is>
          <t>ผู้ยืนยัน</t>
        </is>
      </c>
      <c r="N1" s="4" t="inlineStr">
        <is>
          <t>ลงชื่อ</t>
        </is>
      </c>
      <c r="O1" s="4" t="inlineStr">
        <is>
          <t>วันที่</t>
        </is>
      </c>
      <c r="P1" s="4" t="inlineStr">
        <is>
          <t>หมายเหตุ</t>
        </is>
      </c>
    </row>
    <row r="2" ht="32" customHeight="1">
      <c r="A2" s="5" t="n">
        <v>1</v>
      </c>
      <c r="B2" s="6" t="inlineStr">
        <is>
          <t>กลุ่มสินทรัพย์</t>
        </is>
      </c>
      <c r="C2" s="26" t="inlineStr">
        <is>
          <t>Master</t>
        </is>
      </c>
      <c r="D2" s="6" t="inlineStr">
        <is>
          <t>บัญชี, ครุภัณฑ์</t>
        </is>
      </c>
      <c r="E2" s="6" t="inlineStr">
        <is>
          <t>account.asset.group</t>
        </is>
      </c>
      <c r="F2" s="6" t="inlineStr">
        <is>
          <t>code</t>
        </is>
      </c>
      <c r="G2" s="27" t="n">
        <v>1</v>
      </c>
      <c r="H2" s="28" t="inlineStr">
        <is>
          <t>นำเข้าแล้ว</t>
        </is>
      </c>
      <c r="I2" s="6" t="inlineStr">
        <is>
          <t>ยืนยัน-กลุ่มสินทรัพย์</t>
        </is>
      </c>
      <c r="J2" s="27" t="n"/>
      <c r="K2" s="27">
        <f>IF(J2="","",G2-J2)</f>
        <v/>
      </c>
      <c r="L2" s="5" t="n"/>
      <c r="M2" s="6" t="n"/>
      <c r="N2" s="6" t="n"/>
      <c r="O2" s="5" t="n"/>
      <c r="P2" s="6" t="n"/>
    </row>
    <row r="3" ht="32" customHeight="1">
      <c r="A3" s="5" t="n">
        <v>2</v>
      </c>
      <c r="B3" s="6" t="inlineStr">
        <is>
          <t>โปรไฟล์สินทรัพย์ถาวร</t>
        </is>
      </c>
      <c r="C3" s="26" t="inlineStr">
        <is>
          <t>Master</t>
        </is>
      </c>
      <c r="D3" s="6" t="inlineStr">
        <is>
          <t>บัญชี, ครุภัณฑ์</t>
        </is>
      </c>
      <c r="E3" s="6" t="inlineStr">
        <is>
          <t>account.asset.profile</t>
        </is>
      </c>
      <c r="F3" s="6" t="inlineStr">
        <is>
          <t>name</t>
        </is>
      </c>
      <c r="G3" s="27" t="n">
        <v>14</v>
      </c>
      <c r="H3" s="28" t="inlineStr">
        <is>
          <t>นำเข้าแล้ว</t>
        </is>
      </c>
      <c r="I3" s="6" t="inlineStr">
        <is>
          <t>ยืนยัน-โปรไฟล์สินทรัพย์</t>
        </is>
      </c>
      <c r="J3" s="27" t="n"/>
      <c r="K3" s="27">
        <f>IF(J3="","",G3-J3)</f>
        <v/>
      </c>
      <c r="L3" s="5" t="n"/>
      <c r="M3" s="6" t="n"/>
      <c r="N3" s="6" t="n"/>
      <c r="O3" s="5" t="n"/>
      <c r="P3" s="6" t="n"/>
    </row>
    <row r="4" ht="32" customHeight="1">
      <c r="A4" s="5" t="n">
        <v>3</v>
      </c>
      <c r="B4" s="6" t="inlineStr">
        <is>
          <t>สถานะย่อยสินทรัพย์</t>
        </is>
      </c>
      <c r="C4" s="26" t="inlineStr">
        <is>
          <t>Master</t>
        </is>
      </c>
      <c r="D4" s="6" t="inlineStr">
        <is>
          <t>บัญชี, ครุภัณฑ์</t>
        </is>
      </c>
      <c r="E4" s="6" t="inlineStr">
        <is>
          <t>account.asset.sub.state</t>
        </is>
      </c>
      <c r="F4" s="6" t="inlineStr">
        <is>
          <t>name</t>
        </is>
      </c>
      <c r="G4" s="27" t="n">
        <v>8</v>
      </c>
      <c r="H4" s="28" t="inlineStr">
        <is>
          <t>นำเข้าแล้ว</t>
        </is>
      </c>
      <c r="I4" s="6" t="inlineStr">
        <is>
          <t>ยืนยัน-สถานะย่อย</t>
        </is>
      </c>
      <c r="J4" s="27" t="n"/>
      <c r="K4" s="27">
        <f>IF(J4="","",G4-J4)</f>
        <v/>
      </c>
      <c r="L4" s="5" t="n"/>
      <c r="M4" s="6" t="n"/>
      <c r="N4" s="6" t="n"/>
      <c r="O4" s="5" t="n"/>
      <c r="P4" s="6" t="n"/>
    </row>
    <row r="5" ht="32" customHeight="1">
      <c r="A5" s="5" t="n">
        <v>4</v>
      </c>
      <c r="B5" s="6" t="inlineStr">
        <is>
          <t>ชุดสินทรัพย์ (Asset Set)</t>
        </is>
      </c>
      <c r="C5" s="26" t="inlineStr">
        <is>
          <t>Master</t>
        </is>
      </c>
      <c r="D5" s="6" t="inlineStr">
        <is>
          <t>บัญชี, ครุภัณฑ์</t>
        </is>
      </c>
      <c r="E5" s="6" t="inlineStr">
        <is>
          <t>account.asset.parent</t>
        </is>
      </c>
      <c r="F5" s="6" t="inlineStr">
        <is>
          <t>code</t>
        </is>
      </c>
      <c r="G5" s="27" t="n">
        <v>3</v>
      </c>
      <c r="H5" s="28" t="inlineStr">
        <is>
          <t>นำเข้าแล้ว</t>
        </is>
      </c>
      <c r="I5" s="6" t="inlineStr">
        <is>
          <t>ยืนยัน-ชุดสินทรัพย์</t>
        </is>
      </c>
      <c r="J5" s="27" t="n"/>
      <c r="K5" s="27">
        <f>IF(J5="","",G5-J5)</f>
        <v/>
      </c>
      <c r="L5" s="5" t="n"/>
      <c r="M5" s="6" t="n"/>
      <c r="N5" s="6" t="n"/>
      <c r="O5" s="5" t="n"/>
      <c r="P5" s="6" t="n"/>
    </row>
    <row r="6" ht="32" customHeight="1">
      <c r="A6" s="5" t="n">
        <v>5</v>
      </c>
      <c r="B6" s="6" t="inlineStr">
        <is>
          <t>บัตรสินทรัพย์ / ครุภัณฑ์</t>
        </is>
      </c>
      <c r="C6" s="26" t="inlineStr">
        <is>
          <t>Master</t>
        </is>
      </c>
      <c r="D6" s="6" t="inlineStr">
        <is>
          <t>บัญชี, งบประมาณ, ซ่อมบำรุง</t>
        </is>
      </c>
      <c r="E6" s="6" t="inlineStr">
        <is>
          <t>account.asset</t>
        </is>
      </c>
      <c r="F6" s="6" t="inlineStr">
        <is>
          <t>number / code</t>
        </is>
      </c>
      <c r="G6" s="27" t="n">
        <v>22039</v>
      </c>
      <c r="H6" s="28" t="inlineStr">
        <is>
          <t>นำเข้าแล้ว</t>
        </is>
      </c>
      <c r="I6" s="6" t="inlineStr">
        <is>
          <t>ยืนยัน-บัตรสินทรัพย์</t>
        </is>
      </c>
      <c r="J6" s="27" t="n"/>
      <c r="K6" s="27">
        <f>IF(J6="","",G6-J6)</f>
        <v/>
      </c>
      <c r="L6" s="5" t="n"/>
      <c r="M6" s="6" t="n"/>
      <c r="N6" s="6" t="n"/>
      <c r="O6" s="5" t="n"/>
      <c r="P6" s="6" t="n"/>
    </row>
    <row r="7" ht="32" customHeight="1">
      <c r="A7" s="5" t="n">
        <v>6</v>
      </c>
      <c r="B7" s="6" t="inlineStr">
        <is>
          <t>ตารางค่าเสื่อม</t>
        </is>
      </c>
      <c r="C7" s="5" t="inlineStr">
        <is>
          <t>ตั้งค่า</t>
        </is>
      </c>
      <c r="D7" s="6" t="inlineStr">
        <is>
          <t>บัญชี</t>
        </is>
      </c>
      <c r="E7" s="6" t="inlineStr">
        <is>
          <t>account.asset.line</t>
        </is>
      </c>
      <c r="F7" s="6" t="inlineStr">
        <is>
          <t>สินทรัพย์ + วันที่ + ประเภท</t>
        </is>
      </c>
      <c r="G7" s="27" t="n">
        <v>20116</v>
      </c>
      <c r="H7" s="28" t="inlineStr">
        <is>
          <t>นำเข้าแล้ว</t>
        </is>
      </c>
      <c r="I7" s="6" t="inlineStr">
        <is>
          <t>ยืนยัน-ตารางค่าเสื่อม</t>
        </is>
      </c>
      <c r="J7" s="27" t="n"/>
      <c r="K7" s="27">
        <f>IF(J7="","",G7-J7)</f>
        <v/>
      </c>
      <c r="L7" s="5" t="n"/>
      <c r="M7" s="6" t="n"/>
      <c r="N7" s="6" t="n"/>
      <c r="O7" s="5" t="n"/>
      <c r="P7" s="6" t="n"/>
    </row>
    <row r="8" ht="32" customHeight="1">
      <c r="A8" s="5" t="n">
        <v>7</v>
      </c>
      <c r="B8" s="6" t="inlineStr">
        <is>
          <t>หมวดครุภัณฑ์ซ่อมบำรุง</t>
        </is>
      </c>
      <c r="C8" s="26" t="inlineStr">
        <is>
          <t>Master</t>
        </is>
      </c>
      <c r="D8" s="6" t="inlineStr">
        <is>
          <t>ซ่อมบำรุง, สินทรัพย์</t>
        </is>
      </c>
      <c r="E8" s="6" t="inlineStr">
        <is>
          <t>maintenance.equipment.category</t>
        </is>
      </c>
      <c r="F8" s="6" t="inlineStr">
        <is>
          <t>name</t>
        </is>
      </c>
      <c r="G8" s="27" t="n">
        <v>1</v>
      </c>
      <c r="H8" s="28" t="inlineStr">
        <is>
          <t>นำเข้าแล้ว</t>
        </is>
      </c>
      <c r="I8" s="6" t="inlineStr">
        <is>
          <t>ยืนยัน-หมวดครุภัณฑ์ซ่อม</t>
        </is>
      </c>
      <c r="J8" s="27" t="n"/>
      <c r="K8" s="27">
        <f>IF(J8="","",G8-J8)</f>
        <v/>
      </c>
      <c r="L8" s="5" t="n"/>
      <c r="M8" s="6" t="n"/>
      <c r="N8" s="6" t="n"/>
      <c r="O8" s="5" t="n"/>
      <c r="P8" s="6" t="n"/>
    </row>
    <row r="9" ht="32" customHeight="1">
      <c r="A9" s="5" t="n">
        <v>8</v>
      </c>
      <c r="B9" s="6" t="inlineStr">
        <is>
          <t>ครุภัณฑ์ซ่อมบำรุง (Equipment)</t>
        </is>
      </c>
      <c r="C9" s="26" t="inlineStr">
        <is>
          <t>Master</t>
        </is>
      </c>
      <c r="D9" s="6" t="inlineStr">
        <is>
          <t>ซ่อมบำรุง, สินทรัพย์</t>
        </is>
      </c>
      <c r="E9" s="6" t="inlineStr">
        <is>
          <t>maintenance.equipment</t>
        </is>
      </c>
      <c r="F9" s="6" t="inlineStr">
        <is>
          <t>asset_number / serial_no / ชื่อ</t>
        </is>
      </c>
      <c r="G9" s="27" t="n">
        <v>5</v>
      </c>
      <c r="H9" s="28" t="inlineStr">
        <is>
          <t>นำเข้าแล้ว</t>
        </is>
      </c>
      <c r="I9" s="6" t="inlineStr">
        <is>
          <t>ยืนยัน-ครุภัณฑ์ซ่อม</t>
        </is>
      </c>
      <c r="J9" s="27" t="n"/>
      <c r="K9" s="27">
        <f>IF(J9="","",G9-J9)</f>
        <v/>
      </c>
      <c r="L9" s="5" t="n"/>
      <c r="M9" s="6" t="n"/>
      <c r="N9" s="6" t="n"/>
      <c r="O9" s="5" t="n"/>
      <c r="P9" s="6" t="n"/>
    </row>
    <row r="10">
      <c r="B10" s="30" t="inlineStr">
        <is>
          <t>รวมจำนวนทุกประเภทในชีตนี้</t>
        </is>
      </c>
      <c r="C10" s="31" t="n"/>
      <c r="D10" s="31" t="n"/>
      <c r="E10" s="31" t="n"/>
      <c r="F10" s="31" t="n"/>
      <c r="G10" s="32">
        <f>SUM(G2:G9)</f>
        <v/>
      </c>
      <c r="H10" s="31" t="n"/>
      <c r="I10" s="31" t="n"/>
      <c r="J10" s="31" t="n"/>
      <c r="K10" s="31" t="n"/>
      <c r="L10" s="31" t="n"/>
      <c r="M10" s="31" t="n"/>
      <c r="N10" s="31" t="n"/>
      <c r="O10" s="31" t="n"/>
      <c r="P10" s="31" t="n"/>
    </row>
    <row r="11"/>
    <row r="12">
      <c r="A12" s="33" t="inlineStr">
        <is>
          <t>ข้อมูล ณ 30 ส.ค. 2569  23:24 จากฐาน VPK-S1  คอลัมน์ “จำนวนต้นทาง” ให้เจ้าของข้อมูลกรอกจากไฟล์ที่ส่งมา ถ้าผลต่าง ≠ 0 ให้เลือกผลยืนยันเป็น ต้องแก้ไข หรือ ยังไม่ครบ  กลุ่ม Master = ข้อมูลหลักที่ใช้ทั้งระบบ · ตั้งค่า = วงเงิน/ค่าคงที่ · ธุรกรรม = เอกสารปฏิบัติงาน · คงค้าง = PO ค้างรับ/ค้างตั้งหนี้, เจ้าหนี้ค้างจ่าย, งบทดลอง TB ปี 2569 (ปีงบประมาณ 1 ต.ค. 2568 – 30 ก.ย. 2569)</t>
        </is>
      </c>
    </row>
    <row r="13"/>
    <row r="14"/>
  </sheetData>
  <mergeCells count="1">
    <mergeCell ref="A12:P14"/>
  </mergeCells>
  <conditionalFormatting sqref="L2:L9">
    <cfRule type="cellIs" priority="1" operator="equal" dxfId="0">
      <formula>"ถูกต้อง"</formula>
    </cfRule>
    <cfRule type="cellIs" priority="2" operator="equal" dxfId="1">
      <formula>"ต้องแก้ไข"</formula>
    </cfRule>
    <cfRule type="cellIs" priority="3" operator="equal" dxfId="2">
      <formula>"ยังไม่ครบ"</formula>
    </cfRule>
  </conditionalFormatting>
  <dataValidations count="1">
    <dataValidation sqref="L2 L3 L4 L5 L6 L7 L8 L9" showDropDown="0" showInputMessage="0" showErrorMessage="0" allowBlank="1" type="list">
      <formula1>"ถูกต้อง,ต้องแก้ไข,ยังไม่ครบ,ข้าม"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23A56"/>
    <outlinePr summaryBelow="1" summaryRight="1"/>
    <pageSetUpPr/>
  </sheetPr>
  <dimension ref="A1:P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2" customWidth="1" min="3" max="3"/>
    <col width="28" customWidth="1" min="4" max="4"/>
    <col width="36" customWidth="1" min="5" max="5"/>
    <col width="22" customWidth="1" min="6" max="6"/>
    <col width="14" customWidth="1" min="7" max="7"/>
    <col width="22" customWidth="1" min="8" max="8"/>
    <col width="24" customWidth="1" min="9" max="9"/>
    <col width="16" customWidth="1" min="10" max="10"/>
    <col width="12" customWidth="1" min="11" max="11"/>
    <col width="16" customWidth="1" min="12" max="12"/>
    <col width="16" customWidth="1" min="13" max="13"/>
    <col width="14" customWidth="1" min="14" max="14"/>
    <col width="14" customWidth="1" min="15" max="15"/>
    <col width="28" customWidth="1" min="16" max="16"/>
  </cols>
  <sheetData>
    <row r="1" ht="28" customHeight="1">
      <c r="A1" s="4" t="inlineStr">
        <is>
          <t>ลำดับ</t>
        </is>
      </c>
      <c r="B1" s="4" t="inlineStr">
        <is>
          <t>ประเภทข้อมูล</t>
        </is>
      </c>
      <c r="C1" s="4" t="inlineStr">
        <is>
          <t>กลุ่ม</t>
        </is>
      </c>
      <c r="D1" s="4" t="inlineStr">
        <is>
          <t>โมดูลที่เกี่ยวข้อง</t>
        </is>
      </c>
      <c r="E1" s="4" t="inlineStr">
        <is>
          <t>โมเดลในระบบ</t>
        </is>
      </c>
      <c r="F1" s="4" t="inlineStr">
        <is>
          <t>คีย์จับคู่</t>
        </is>
      </c>
      <c r="G1" s="4" t="inlineStr">
        <is>
          <t>จำนวนในระบบ</t>
        </is>
      </c>
      <c r="H1" s="4" t="inlineStr">
        <is>
          <t>สถานะนำเข้า</t>
        </is>
      </c>
      <c r="I1" s="4" t="inlineStr">
        <is>
          <t>ชีตรายการยืนยัน</t>
        </is>
      </c>
      <c r="J1" s="4" t="inlineStr">
        <is>
          <t>จำนวนต้นทาง (กรอก)</t>
        </is>
      </c>
      <c r="K1" s="4" t="inlineStr">
        <is>
          <t>ผลต่าง</t>
        </is>
      </c>
      <c r="L1" s="4" t="inlineStr">
        <is>
          <t>ผลยืนยัน</t>
        </is>
      </c>
      <c r="M1" s="4" t="inlineStr">
        <is>
          <t>ผู้ยืนยัน</t>
        </is>
      </c>
      <c r="N1" s="4" t="inlineStr">
        <is>
          <t>ลงชื่อ</t>
        </is>
      </c>
      <c r="O1" s="4" t="inlineStr">
        <is>
          <t>วันที่</t>
        </is>
      </c>
      <c r="P1" s="4" t="inlineStr">
        <is>
          <t>หมายเหตุ</t>
        </is>
      </c>
    </row>
    <row r="2" ht="32" customHeight="1">
      <c r="A2" s="5" t="n">
        <v>1</v>
      </c>
      <c r="B2" s="6" t="inlineStr">
        <is>
          <t>ผังบัญชี</t>
        </is>
      </c>
      <c r="C2" s="26" t="inlineStr">
        <is>
          <t>Master</t>
        </is>
      </c>
      <c r="D2" s="6" t="inlineStr">
        <is>
          <t>บัญชี</t>
        </is>
      </c>
      <c r="E2" s="6" t="inlineStr">
        <is>
          <t>account.account</t>
        </is>
      </c>
      <c r="F2" s="6" t="inlineStr">
        <is>
          <t>code</t>
        </is>
      </c>
      <c r="G2" s="27" t="n">
        <v>878</v>
      </c>
      <c r="H2" s="28" t="inlineStr">
        <is>
          <t>นำเข้าแล้ว</t>
        </is>
      </c>
      <c r="I2" s="6" t="inlineStr">
        <is>
          <t>ยืนยัน-ผังบัญชี</t>
        </is>
      </c>
      <c r="J2" s="27" t="n"/>
      <c r="K2" s="27">
        <f>IF(J2="","",G2-J2)</f>
        <v/>
      </c>
      <c r="L2" s="5" t="n"/>
      <c r="M2" s="6" t="n"/>
      <c r="N2" s="6" t="n"/>
      <c r="O2" s="5" t="n"/>
      <c r="P2" s="6" t="n"/>
    </row>
    <row r="3" ht="32" customHeight="1">
      <c r="A3" s="5" t="n">
        <v>2</v>
      </c>
      <c r="B3" s="6" t="inlineStr">
        <is>
          <t>สมุดรายวัน</t>
        </is>
      </c>
      <c r="C3" s="26" t="inlineStr">
        <is>
          <t>Master</t>
        </is>
      </c>
      <c r="D3" s="6" t="inlineStr">
        <is>
          <t>บัญชี, การเงิน</t>
        </is>
      </c>
      <c r="E3" s="6" t="inlineStr">
        <is>
          <t>account.journal</t>
        </is>
      </c>
      <c r="F3" s="6" t="inlineStr">
        <is>
          <t>code</t>
        </is>
      </c>
      <c r="G3" s="27" t="n">
        <v>57</v>
      </c>
      <c r="H3" s="28" t="inlineStr">
        <is>
          <t>นำเข้าแล้ว</t>
        </is>
      </c>
      <c r="I3" s="6" t="inlineStr">
        <is>
          <t>ยืนยัน-สมุดรายวัน</t>
        </is>
      </c>
      <c r="J3" s="27" t="n"/>
      <c r="K3" s="27">
        <f>IF(J3="","",G3-J3)</f>
        <v/>
      </c>
      <c r="L3" s="5" t="n"/>
      <c r="M3" s="6" t="n"/>
      <c r="N3" s="6" t="n"/>
      <c r="O3" s="5" t="n"/>
      <c r="P3" s="6" t="n"/>
    </row>
    <row r="4" ht="32" customHeight="1">
      <c r="A4" s="5" t="n">
        <v>3</v>
      </c>
      <c r="B4" s="6" t="inlineStr">
        <is>
          <t>บัญชีธนาคารของโรงพยาบาล</t>
        </is>
      </c>
      <c r="C4" s="26" t="inlineStr">
        <is>
          <t>Master</t>
        </is>
      </c>
      <c r="D4" s="6" t="inlineStr">
        <is>
          <t>การเงิน, บัญชี</t>
        </is>
      </c>
      <c r="E4" s="6" t="inlineStr">
        <is>
          <t>res.partner.bank (บริษัท) + account.journal</t>
        </is>
      </c>
      <c r="F4" s="6" t="inlineStr">
        <is>
          <t>เลขบัญชี / รหัสสมุดรายวัน</t>
        </is>
      </c>
      <c r="G4" s="27" t="n">
        <v>45</v>
      </c>
      <c r="H4" s="28" t="inlineStr">
        <is>
          <t>นำเข้าแล้ว</t>
        </is>
      </c>
      <c r="I4" s="6" t="inlineStr">
        <is>
          <t>ยืนยัน-บัญชีธนาคารรพ</t>
        </is>
      </c>
      <c r="J4" s="27" t="n"/>
      <c r="K4" s="27">
        <f>IF(J4="","",G4-J4)</f>
        <v/>
      </c>
      <c r="L4" s="5" t="n"/>
      <c r="M4" s="6" t="n"/>
      <c r="N4" s="6" t="n"/>
      <c r="O4" s="5" t="n"/>
      <c r="P4" s="6" t="n"/>
    </row>
    <row r="5" ht="32" customHeight="1">
      <c r="A5" s="5" t="n">
        <v>4</v>
      </c>
      <c r="B5" s="6" t="inlineStr">
        <is>
          <t>ภาษี (VAT)</t>
        </is>
      </c>
      <c r="C5" s="26" t="inlineStr">
        <is>
          <t>Master</t>
        </is>
      </c>
      <c r="D5" s="6" t="inlineStr">
        <is>
          <t>บัญชี, เจ้าหนี้</t>
        </is>
      </c>
      <c r="E5" s="6" t="inlineStr">
        <is>
          <t>account.tax</t>
        </is>
      </c>
      <c r="F5" s="6" t="inlineStr">
        <is>
          <t>name</t>
        </is>
      </c>
      <c r="G5" s="27" t="n">
        <v>18</v>
      </c>
      <c r="H5" s="28" t="inlineStr">
        <is>
          <t>นำเข้าแล้ว</t>
        </is>
      </c>
      <c r="I5" s="6" t="inlineStr">
        <is>
          <t>ยืนยัน-ภาษี</t>
        </is>
      </c>
      <c r="J5" s="27" t="n"/>
      <c r="K5" s="27">
        <f>IF(J5="","",G5-J5)</f>
        <v/>
      </c>
      <c r="L5" s="5" t="n"/>
      <c r="M5" s="6" t="n"/>
      <c r="N5" s="6" t="n"/>
      <c r="O5" s="5" t="n"/>
      <c r="P5" s="6" t="n"/>
    </row>
    <row r="6" ht="32" customHeight="1">
      <c r="A6" s="5" t="n">
        <v>5</v>
      </c>
      <c r="B6" s="6" t="inlineStr">
        <is>
          <t>ภาษีหัก ณ ที่จ่าย (WHT)</t>
        </is>
      </c>
      <c r="C6" s="26" t="inlineStr">
        <is>
          <t>Master</t>
        </is>
      </c>
      <c r="D6" s="6" t="inlineStr">
        <is>
          <t>บัญชี, การเงิน</t>
        </is>
      </c>
      <c r="E6" s="6" t="inlineStr">
        <is>
          <t>account.withholding.tax</t>
        </is>
      </c>
      <c r="F6" s="6" t="inlineStr">
        <is>
          <t>name</t>
        </is>
      </c>
      <c r="G6" s="27" t="n">
        <v>0</v>
      </c>
      <c r="H6" s="48" t="inlineStr">
        <is>
          <t>ยังไม่นำเข้า</t>
        </is>
      </c>
      <c r="I6" s="6" t="inlineStr">
        <is>
          <t>—</t>
        </is>
      </c>
      <c r="J6" s="27" t="n"/>
      <c r="K6" s="27">
        <f>IF(J6="","",G6-J6)</f>
        <v/>
      </c>
      <c r="L6" s="5" t="n"/>
      <c r="M6" s="6" t="n"/>
      <c r="N6" s="6" t="n"/>
      <c r="O6" s="5" t="n"/>
      <c r="P6" s="6" t="n"/>
    </row>
    <row r="7" ht="32" customHeight="1">
      <c r="A7" s="5" t="n">
        <v>6</v>
      </c>
      <c r="B7" s="6" t="inlineStr">
        <is>
          <t>เงื่อนไขการชำระ</t>
        </is>
      </c>
      <c r="C7" s="26" t="inlineStr">
        <is>
          <t>Master</t>
        </is>
      </c>
      <c r="D7" s="6" t="inlineStr">
        <is>
          <t>เจ้าหนี้, การเงิน</t>
        </is>
      </c>
      <c r="E7" s="6" t="inlineStr">
        <is>
          <t>account.payment.term</t>
        </is>
      </c>
      <c r="F7" s="6" t="inlineStr">
        <is>
          <t>name</t>
        </is>
      </c>
      <c r="G7" s="27" t="n">
        <v>10</v>
      </c>
      <c r="H7" s="28" t="inlineStr">
        <is>
          <t>นำเข้าแล้ว</t>
        </is>
      </c>
      <c r="I7" s="6" t="inlineStr">
        <is>
          <t>ยืนยัน-เงื่อนไขชำระ</t>
        </is>
      </c>
      <c r="J7" s="27" t="n"/>
      <c r="K7" s="27">
        <f>IF(J7="","",G7-J7)</f>
        <v/>
      </c>
      <c r="L7" s="5" t="n"/>
      <c r="M7" s="6" t="n"/>
      <c r="N7" s="6" t="n"/>
      <c r="O7" s="5" t="n"/>
      <c r="P7" s="6" t="n"/>
    </row>
    <row r="8" ht="32" customHeight="1">
      <c r="A8" s="5" t="n">
        <v>7</v>
      </c>
      <c r="B8" s="6" t="inlineStr">
        <is>
          <t>ลูกหนี้สิทธิ HIS</t>
        </is>
      </c>
      <c r="C8" s="26" t="inlineStr">
        <is>
          <t>Master</t>
        </is>
      </c>
      <c r="D8" s="6" t="inlineStr">
        <is>
          <t>ลูกหนี้, บัญชี</t>
        </is>
      </c>
      <c r="E8" s="6" t="inlineStr">
        <is>
          <t>res.partner + res.partner.category</t>
        </is>
      </c>
      <c r="F8" s="6" t="inlineStr">
        <is>
          <t>ref / ชื่อ + แท็ก</t>
        </is>
      </c>
      <c r="G8" s="27" t="n">
        <v>6</v>
      </c>
      <c r="H8" s="28" t="inlineStr">
        <is>
          <t>นำเข้าแล้ว</t>
        </is>
      </c>
      <c r="I8" s="6" t="inlineStr">
        <is>
          <t>ยืนยัน-ลูกหนี้สิทธิHIS</t>
        </is>
      </c>
      <c r="J8" s="27" t="n"/>
      <c r="K8" s="27">
        <f>IF(J8="","",G8-J8)</f>
        <v/>
      </c>
      <c r="L8" s="5" t="n"/>
      <c r="M8" s="6" t="n"/>
      <c r="N8" s="6" t="n"/>
      <c r="O8" s="5" t="n"/>
      <c r="P8" s="6" t="n"/>
    </row>
    <row r="9" ht="32" customHeight="1">
      <c r="A9" s="5" t="n">
        <v>8</v>
      </c>
      <c r="B9" s="6" t="inlineStr">
        <is>
          <t>ลูกหนี้คนไข้ IPD HIS</t>
        </is>
      </c>
      <c r="C9" s="26" t="inlineStr">
        <is>
          <t>Master</t>
        </is>
      </c>
      <c r="D9" s="6" t="inlineStr">
        <is>
          <t>ลูกหนี้, บัญชี</t>
        </is>
      </c>
      <c r="E9" s="6" t="inlineStr">
        <is>
          <t>res.partner + res.partner.category</t>
        </is>
      </c>
      <c r="F9" s="6" t="inlineStr">
        <is>
          <t>ref / ชื่อ + แท็ก</t>
        </is>
      </c>
      <c r="G9" s="27" t="n">
        <v>1</v>
      </c>
      <c r="H9" s="28" t="inlineStr">
        <is>
          <t>นำเข้าแล้ว</t>
        </is>
      </c>
      <c r="I9" s="6" t="inlineStr">
        <is>
          <t>ยืนยัน-ลูกหนี้IPD HIS</t>
        </is>
      </c>
      <c r="J9" s="27" t="n"/>
      <c r="K9" s="27">
        <f>IF(J9="","",G9-J9)</f>
        <v/>
      </c>
      <c r="L9" s="5" t="n"/>
      <c r="M9" s="6" t="n"/>
      <c r="N9" s="6" t="n"/>
      <c r="O9" s="5" t="n"/>
      <c r="P9" s="6" t="n"/>
    </row>
    <row r="10" ht="32" customHeight="1">
      <c r="A10" s="5" t="n">
        <v>9</v>
      </c>
      <c r="B10" s="6" t="inlineStr">
        <is>
          <t>ลูกหนี้ พรบ</t>
        </is>
      </c>
      <c r="C10" s="26" t="inlineStr">
        <is>
          <t>Master</t>
        </is>
      </c>
      <c r="D10" s="6" t="inlineStr">
        <is>
          <t>ลูกหนี้, บัญชี</t>
        </is>
      </c>
      <c r="E10" s="6" t="inlineStr">
        <is>
          <t>res.partner + res.partner.category</t>
        </is>
      </c>
      <c r="F10" s="6" t="inlineStr">
        <is>
          <t>ref / ชื่อ + แท็ก</t>
        </is>
      </c>
      <c r="G10" s="27" t="n">
        <v>27</v>
      </c>
      <c r="H10" s="28" t="inlineStr">
        <is>
          <t>นำเข้าแล้ว</t>
        </is>
      </c>
      <c r="I10" s="6" t="inlineStr">
        <is>
          <t>ยืนยัน-ลูกหนี้พรบ</t>
        </is>
      </c>
      <c r="J10" s="27" t="n"/>
      <c r="K10" s="27">
        <f>IF(J10="","",G10-J10)</f>
        <v/>
      </c>
      <c r="L10" s="5" t="n"/>
      <c r="M10" s="6" t="n"/>
      <c r="N10" s="6" t="n"/>
      <c r="O10" s="5" t="n"/>
      <c r="P10" s="6" t="n"/>
    </row>
    <row r="11" ht="32" customHeight="1">
      <c r="A11" s="5" t="n">
        <v>10</v>
      </c>
      <c r="B11" s="6" t="inlineStr">
        <is>
          <t>ลูกหนี้ บริษัท</t>
        </is>
      </c>
      <c r="C11" s="26" t="inlineStr">
        <is>
          <t>Master</t>
        </is>
      </c>
      <c r="D11" s="6" t="inlineStr">
        <is>
          <t>ลูกหนี้, บัญชี</t>
        </is>
      </c>
      <c r="E11" s="6" t="inlineStr">
        <is>
          <t>res.partner + res.partner.category</t>
        </is>
      </c>
      <c r="F11" s="6" t="inlineStr">
        <is>
          <t>ref / ชื่อ + แท็ก</t>
        </is>
      </c>
      <c r="G11" s="27" t="n">
        <v>69</v>
      </c>
      <c r="H11" s="28" t="inlineStr">
        <is>
          <t>นำเข้าแล้ว</t>
        </is>
      </c>
      <c r="I11" s="6" t="inlineStr">
        <is>
          <t>ยืนยัน-ลูกหนี้บริษัท</t>
        </is>
      </c>
      <c r="J11" s="27" t="n"/>
      <c r="K11" s="27">
        <f>IF(J11="","",G11-J11)</f>
        <v/>
      </c>
      <c r="L11" s="5" t="n"/>
      <c r="M11" s="6" t="n"/>
      <c r="N11" s="6" t="n"/>
      <c r="O11" s="5" t="n"/>
      <c r="P11" s="6" t="n"/>
    </row>
    <row r="12" ht="32" customHeight="1">
      <c r="A12" s="5" t="n">
        <v>11</v>
      </c>
      <c r="B12" s="6" t="inlineStr">
        <is>
          <t>ลูกหนี้ ประกัน</t>
        </is>
      </c>
      <c r="C12" s="26" t="inlineStr">
        <is>
          <t>Master</t>
        </is>
      </c>
      <c r="D12" s="6" t="inlineStr">
        <is>
          <t>ลูกหนี้, บัญชี</t>
        </is>
      </c>
      <c r="E12" s="6" t="inlineStr">
        <is>
          <t>res.partner + res.partner.category</t>
        </is>
      </c>
      <c r="F12" s="6" t="inlineStr">
        <is>
          <t>ref / ชื่อ + แท็ก</t>
        </is>
      </c>
      <c r="G12" s="27" t="n">
        <v>69</v>
      </c>
      <c r="H12" s="28" t="inlineStr">
        <is>
          <t>นำเข้าแล้ว</t>
        </is>
      </c>
      <c r="I12" s="6" t="inlineStr">
        <is>
          <t>ยืนยัน-ลูกหนี้ประกัน</t>
        </is>
      </c>
      <c r="J12" s="27" t="n"/>
      <c r="K12" s="27">
        <f>IF(J12="","",G12-J12)</f>
        <v/>
      </c>
      <c r="L12" s="5" t="n"/>
      <c r="M12" s="6" t="n"/>
      <c r="N12" s="6" t="n"/>
      <c r="O12" s="5" t="n"/>
      <c r="P12" s="6" t="n"/>
    </row>
    <row r="13" ht="32" customHeight="1">
      <c r="A13" s="5" t="n">
        <v>12</v>
      </c>
      <c r="B13" s="6" t="inlineStr">
        <is>
          <t>ลูกหนี้ ประกันสังคม</t>
        </is>
      </c>
      <c r="C13" s="26" t="inlineStr">
        <is>
          <t>Master</t>
        </is>
      </c>
      <c r="D13" s="6" t="inlineStr">
        <is>
          <t>ลูกหนี้, บัญชี</t>
        </is>
      </c>
      <c r="E13" s="6" t="inlineStr">
        <is>
          <t>res.partner + res.partner.category</t>
        </is>
      </c>
      <c r="F13" s="6" t="inlineStr">
        <is>
          <t>ref / ชื่อ + แท็ก</t>
        </is>
      </c>
      <c r="G13" s="27" t="n">
        <v>75</v>
      </c>
      <c r="H13" s="28" t="inlineStr">
        <is>
          <t>นำเข้าแล้ว</t>
        </is>
      </c>
      <c r="I13" s="6" t="inlineStr">
        <is>
          <t>ยืนยัน-ลูกหนี้ประกันสังคม</t>
        </is>
      </c>
      <c r="J13" s="27" t="n"/>
      <c r="K13" s="27">
        <f>IF(J13="","",G13-J13)</f>
        <v/>
      </c>
      <c r="L13" s="5" t="n"/>
      <c r="M13" s="6" t="n"/>
      <c r="N13" s="6" t="n"/>
      <c r="O13" s="5" t="n"/>
      <c r="P13" s="6" t="n"/>
    </row>
    <row r="14" ht="32" customHeight="1">
      <c r="A14" s="5" t="n">
        <v>13</v>
      </c>
      <c r="B14" s="6" t="inlineStr">
        <is>
          <t>โปรไฟล์สินทรัพย์ถาวร</t>
        </is>
      </c>
      <c r="C14" s="26" t="inlineStr">
        <is>
          <t>Master</t>
        </is>
      </c>
      <c r="D14" s="6" t="inlineStr">
        <is>
          <t>บัญชี, ครุภัณฑ์</t>
        </is>
      </c>
      <c r="E14" s="6" t="inlineStr">
        <is>
          <t>account.asset.profile</t>
        </is>
      </c>
      <c r="F14" s="6" t="inlineStr">
        <is>
          <t>name</t>
        </is>
      </c>
      <c r="G14" s="27" t="n">
        <v>14</v>
      </c>
      <c r="H14" s="28" t="inlineStr">
        <is>
          <t>นำเข้าแล้ว</t>
        </is>
      </c>
      <c r="I14" s="6" t="inlineStr">
        <is>
          <t>ยืนยัน-โปรไฟล์สินทรัพย์</t>
        </is>
      </c>
      <c r="J14" s="27" t="n"/>
      <c r="K14" s="27">
        <f>IF(J14="","",G14-J14)</f>
        <v/>
      </c>
      <c r="L14" s="5" t="n"/>
      <c r="M14" s="6" t="n"/>
      <c r="N14" s="6" t="n"/>
      <c r="O14" s="5" t="n"/>
      <c r="P14" s="6" t="n"/>
    </row>
    <row r="15" ht="32" customHeight="1">
      <c r="A15" s="5" t="n">
        <v>14</v>
      </c>
      <c r="B15" s="6" t="inlineStr">
        <is>
          <t>บัตรสินทรัพย์ / ครุภัณฑ์</t>
        </is>
      </c>
      <c r="C15" s="26" t="inlineStr">
        <is>
          <t>Master</t>
        </is>
      </c>
      <c r="D15" s="6" t="inlineStr">
        <is>
          <t>บัญชี, งบประมาณ</t>
        </is>
      </c>
      <c r="E15" s="6" t="inlineStr">
        <is>
          <t>account.asset</t>
        </is>
      </c>
      <c r="F15" s="6" t="inlineStr">
        <is>
          <t>code</t>
        </is>
      </c>
      <c r="G15" s="27" t="n">
        <v>22039</v>
      </c>
      <c r="H15" s="28" t="inlineStr">
        <is>
          <t>นำเข้าแล้ว</t>
        </is>
      </c>
      <c r="I15" s="6" t="inlineStr">
        <is>
          <t>ยืนยัน-บัตรสินทรัพย์</t>
        </is>
      </c>
      <c r="J15" s="27" t="n"/>
      <c r="K15" s="27">
        <f>IF(J15="","",G15-J15)</f>
        <v/>
      </c>
      <c r="L15" s="5" t="n"/>
      <c r="M15" s="6" t="n"/>
      <c r="N15" s="6" t="n"/>
      <c r="O15" s="5" t="n"/>
      <c r="P15" s="6" t="n"/>
    </row>
    <row r="16" ht="32" customHeight="1">
      <c r="A16" s="5" t="n">
        <v>15</v>
      </c>
      <c r="B16" s="6" t="inlineStr">
        <is>
          <t>ครุภัณฑ์ซ่อมบำรุง (Equipment)</t>
        </is>
      </c>
      <c r="C16" s="26" t="inlineStr">
        <is>
          <t>Master</t>
        </is>
      </c>
      <c r="D16" s="6" t="inlineStr">
        <is>
          <t>ซ่อมบำรุง, สินทรัพย์</t>
        </is>
      </c>
      <c r="E16" s="6" t="inlineStr">
        <is>
          <t>maintenance.equipment</t>
        </is>
      </c>
      <c r="F16" s="6" t="inlineStr">
        <is>
          <t>name</t>
        </is>
      </c>
      <c r="G16" s="27" t="n">
        <v>5</v>
      </c>
      <c r="H16" s="28" t="inlineStr">
        <is>
          <t>นำเข้าแล้ว</t>
        </is>
      </c>
      <c r="I16" s="6" t="inlineStr">
        <is>
          <t>ยืนยัน-ครุภัณฑ์ซ่อม</t>
        </is>
      </c>
      <c r="J16" s="27" t="n"/>
      <c r="K16" s="27">
        <f>IF(J16="","",G16-J16)</f>
        <v/>
      </c>
      <c r="L16" s="5" t="n"/>
      <c r="M16" s="6" t="n"/>
      <c r="N16" s="6" t="n"/>
      <c r="O16" s="5" t="n"/>
      <c r="P16" s="6" t="n"/>
    </row>
    <row r="17" ht="32" customHeight="1">
      <c r="A17" s="5" t="n">
        <v>16</v>
      </c>
      <c r="B17" s="6" t="inlineStr">
        <is>
          <t>ใบตรวจรับงาน (WA)</t>
        </is>
      </c>
      <c r="C17" s="5" t="inlineStr">
        <is>
          <t>ธุรกรรม</t>
        </is>
      </c>
      <c r="D17" s="6" t="inlineStr">
        <is>
          <t>จัดซื้อ, เจ้าหนี้</t>
        </is>
      </c>
      <c r="E17" s="6" t="inlineStr">
        <is>
          <t>work.acceptance</t>
        </is>
      </c>
      <c r="F17" s="6" t="inlineStr">
        <is>
          <t>name</t>
        </is>
      </c>
      <c r="G17" s="27" t="n">
        <v>0</v>
      </c>
      <c r="H17" s="48" t="inlineStr">
        <is>
          <t>ยังไม่นำเข้า</t>
        </is>
      </c>
      <c r="I17" s="6" t="inlineStr">
        <is>
          <t>—</t>
        </is>
      </c>
      <c r="J17" s="27" t="n"/>
      <c r="K17" s="27">
        <f>IF(J17="","",G17-J17)</f>
        <v/>
      </c>
      <c r="L17" s="5" t="n"/>
      <c r="M17" s="6" t="n"/>
      <c r="N17" s="6" t="n"/>
      <c r="O17" s="5" t="n"/>
      <c r="P17" s="6" t="n"/>
    </row>
    <row r="18" ht="32" customHeight="1">
      <c r="A18" s="5" t="n">
        <v>17</v>
      </c>
      <c r="B18" s="6" t="inlineStr">
        <is>
          <t>ใบแจ้งหนี้ผู้ขาย / ใบลดหนี้ ทั้งหมด</t>
        </is>
      </c>
      <c r="C18" s="5" t="inlineStr">
        <is>
          <t>ธุรกรรม</t>
        </is>
      </c>
      <c r="D18" s="6" t="inlineStr">
        <is>
          <t>เจ้าหนี้</t>
        </is>
      </c>
      <c r="E18" s="6" t="inlineStr">
        <is>
          <t>account.move (in_invoice / in_refund)</t>
        </is>
      </c>
      <c r="F18" s="6" t="inlineStr">
        <is>
          <t>name / ref</t>
        </is>
      </c>
      <c r="G18" s="27" t="n">
        <v>0</v>
      </c>
      <c r="H18" s="48" t="inlineStr">
        <is>
          <t>ยังไม่นำเข้า</t>
        </is>
      </c>
      <c r="I18" s="6" t="inlineStr">
        <is>
          <t>ยืนยัน-บิลผู้ขาย</t>
        </is>
      </c>
      <c r="J18" s="27" t="n"/>
      <c r="K18" s="27">
        <f>IF(J18="","",G18-J18)</f>
        <v/>
      </c>
      <c r="L18" s="5" t="n"/>
      <c r="M18" s="6" t="n"/>
      <c r="N18" s="6" t="n"/>
      <c r="O18" s="5" t="n"/>
      <c r="P18" s="6" t="n"/>
    </row>
    <row r="19" ht="32" customHeight="1">
      <c r="A19" s="5" t="n">
        <v>18</v>
      </c>
      <c r="B19" s="6" t="inlineStr">
        <is>
          <t>เจ้าหนี้คงค้าง (บิลที่ยังไม่จ่ายครบ)</t>
        </is>
      </c>
      <c r="C19" s="29" t="inlineStr">
        <is>
          <t>คงค้าง</t>
        </is>
      </c>
      <c r="D19" s="6" t="inlineStr">
        <is>
          <t>เจ้าหนี้, การเงิน</t>
        </is>
      </c>
      <c r="E19" s="6" t="inlineStr">
        <is>
          <t>account.move (posted, amount_residual ≠ 0)</t>
        </is>
      </c>
      <c r="F19" s="6" t="inlineStr">
        <is>
          <t>name / เจ้าหนี้</t>
        </is>
      </c>
      <c r="G19" s="27" t="n">
        <v>0</v>
      </c>
      <c r="H19" s="48" t="inlineStr">
        <is>
          <t>ยังไม่นำเข้า (คงค้าง)</t>
        </is>
      </c>
      <c r="I19" s="6" t="inlineStr">
        <is>
          <t>ยืนยัน-เจ้าหนี้คงค้าง</t>
        </is>
      </c>
      <c r="J19" s="27" t="n"/>
      <c r="K19" s="27">
        <f>IF(J19="","",G19-J19)</f>
        <v/>
      </c>
      <c r="L19" s="5" t="n"/>
      <c r="M19" s="6" t="n"/>
      <c r="N19" s="6" t="n"/>
      <c r="O19" s="5" t="n"/>
      <c r="P19" s="6" t="n"/>
    </row>
    <row r="20" ht="32" customHeight="1">
      <c r="A20" s="5" t="n">
        <v>19</v>
      </c>
      <c r="B20" s="6" t="inlineStr">
        <is>
          <t>การจ่ายชำระ</t>
        </is>
      </c>
      <c r="C20" s="5" t="inlineStr">
        <is>
          <t>ธุรกรรม</t>
        </is>
      </c>
      <c r="D20" s="6" t="inlineStr">
        <is>
          <t>การเงิน</t>
        </is>
      </c>
      <c r="E20" s="6" t="inlineStr">
        <is>
          <t>account.payment</t>
        </is>
      </c>
      <c r="F20" s="6" t="inlineStr">
        <is>
          <t>name</t>
        </is>
      </c>
      <c r="G20" s="27" t="n">
        <v>0</v>
      </c>
      <c r="H20" s="48" t="inlineStr">
        <is>
          <t>ยังไม่นำเข้า</t>
        </is>
      </c>
      <c r="I20" s="6" t="inlineStr">
        <is>
          <t>—</t>
        </is>
      </c>
      <c r="J20" s="27" t="n"/>
      <c r="K20" s="27">
        <f>IF(J20="","",G20-J20)</f>
        <v/>
      </c>
      <c r="L20" s="5" t="n"/>
      <c r="M20" s="6" t="n"/>
      <c r="N20" s="6" t="n"/>
      <c r="O20" s="5" t="n"/>
      <c r="P20" s="6" t="n"/>
    </row>
    <row r="21" ht="32" customHeight="1">
      <c r="A21" s="5" t="n">
        <v>20</v>
      </c>
      <c r="B21" s="6" t="inlineStr">
        <is>
          <t>Bank Statement</t>
        </is>
      </c>
      <c r="C21" s="5" t="inlineStr">
        <is>
          <t>ธุรกรรม</t>
        </is>
      </c>
      <c r="D21" s="6" t="inlineStr">
        <is>
          <t>การเงิน</t>
        </is>
      </c>
      <c r="E21" s="6" t="inlineStr">
        <is>
          <t>account.bank.statement</t>
        </is>
      </c>
      <c r="F21" s="6" t="inlineStr">
        <is>
          <t>name</t>
        </is>
      </c>
      <c r="G21" s="27" t="n">
        <v>0</v>
      </c>
      <c r="H21" s="48" t="inlineStr">
        <is>
          <t>ยังไม่นำเข้า</t>
        </is>
      </c>
      <c r="I21" s="6" t="inlineStr">
        <is>
          <t>—</t>
        </is>
      </c>
      <c r="J21" s="27" t="n"/>
      <c r="K21" s="27">
        <f>IF(J21="","",G21-J21)</f>
        <v/>
      </c>
      <c r="L21" s="5" t="n"/>
      <c r="M21" s="6" t="n"/>
      <c r="N21" s="6" t="n"/>
      <c r="O21" s="5" t="n"/>
      <c r="P21" s="6" t="n"/>
    </row>
    <row r="22" ht="32" customHeight="1">
      <c r="A22" s="5" t="n">
        <v>21</v>
      </c>
      <c r="B22" s="6" t="inlineStr">
        <is>
          <t>รายการบัญชีทั่วไป / ยกยอด GL</t>
        </is>
      </c>
      <c r="C22" s="5" t="inlineStr">
        <is>
          <t>ธุรกรรม</t>
        </is>
      </c>
      <c r="D22" s="6" t="inlineStr">
        <is>
          <t>บัญชี</t>
        </is>
      </c>
      <c r="E22" s="6" t="inlineStr">
        <is>
          <t>account.move (entry)</t>
        </is>
      </c>
      <c r="F22" s="6" t="inlineStr">
        <is>
          <t>name + วันที่</t>
        </is>
      </c>
      <c r="G22" s="27" t="n">
        <v>1</v>
      </c>
      <c r="H22" s="28" t="inlineStr">
        <is>
          <t>นำเข้าแล้ว</t>
        </is>
      </c>
      <c r="I22" s="6" t="inlineStr">
        <is>
          <t>ยืนยัน-รายการบัญชีทั่วไป</t>
        </is>
      </c>
      <c r="J22" s="27" t="n"/>
      <c r="K22" s="27">
        <f>IF(J22="","",G22-J22)</f>
        <v/>
      </c>
      <c r="L22" s="5" t="n"/>
      <c r="M22" s="6" t="n"/>
      <c r="N22" s="6" t="n"/>
      <c r="O22" s="5" t="n"/>
      <c r="P22" s="6" t="inlineStr">
        <is>
          <t>ยกยอด ณ 31 ส.ค. 2569 จากไฟล์ งบการเงิน รพ.วชิระภูเก็ต ส.ค.69 ชีท สค.69 · JV MISC/2026/08/0001 (JV-ยกยอด-31082569) · เดบิต = เครดิต 12,566,477,193.75 บาท</t>
        </is>
      </c>
    </row>
    <row r="23" ht="32" customHeight="1">
      <c r="A23" s="5" t="n">
        <v>22</v>
      </c>
      <c r="B23" s="6" t="inlineStr">
        <is>
          <t>งบทดลอง (TB) ปีงบประมาณ 2569</t>
        </is>
      </c>
      <c r="C23" s="29" t="inlineStr">
        <is>
          <t>คงค้าง</t>
        </is>
      </c>
      <c r="D23" s="6" t="inlineStr">
        <is>
          <t>บัญชี</t>
        </is>
      </c>
      <c r="E23" s="6" t="inlineStr">
        <is>
          <t>account.move.line (posted) 1 ต.ค. 2568 – 30 ก.ย. 2569</t>
        </is>
      </c>
      <c r="F23" s="6" t="inlineStr">
        <is>
          <t>รหัสบัญชี</t>
        </is>
      </c>
      <c r="G23" s="27" t="n">
        <v>371</v>
      </c>
      <c r="H23" s="28" t="inlineStr">
        <is>
          <t>นำเข้าแล้ว · ยกยอด ณ 31 ส.ค. 2569</t>
        </is>
      </c>
      <c r="I23" s="6" t="inlineStr">
        <is>
          <t>ยืนยัน-TB2569</t>
        </is>
      </c>
      <c r="J23" s="27" t="n"/>
      <c r="K23" s="27">
        <f>IF(J23="","",G23-J23)</f>
        <v/>
      </c>
      <c r="L23" s="5" t="n"/>
      <c r="M23" s="6" t="n"/>
      <c r="N23" s="6" t="n"/>
      <c r="O23" s="5" t="n"/>
      <c r="P23" s="6" t="inlineStr">
        <is>
          <t>ยกยอด ณ 31 ส.ค. 2569 จากไฟล์ งบการเงิน รพ.วชิระภูเก็ต ส.ค.69 ชีท สค.69 · JV MISC/2026/08/0001 (JV-ยกยอด-31082569) · เดบิต = เครดิต 12,566,477,193.75 บาท · จำนวนในระบบ = จำนวนบัญชี</t>
        </is>
      </c>
    </row>
    <row r="24" ht="32" customHeight="1">
      <c r="A24" s="5" t="n">
        <v>23</v>
      </c>
      <c r="B24" s="6" t="inlineStr">
        <is>
          <t>หนังสือรับรองหัก ณ ที่จ่าย</t>
        </is>
      </c>
      <c r="C24" s="5" t="inlineStr">
        <is>
          <t>ธุรกรรม</t>
        </is>
      </c>
      <c r="D24" s="6" t="inlineStr">
        <is>
          <t>การเงิน, บัญชี</t>
        </is>
      </c>
      <c r="E24" s="6" t="inlineStr">
        <is>
          <t>withholding.tax.cert</t>
        </is>
      </c>
      <c r="F24" s="6" t="inlineStr">
        <is>
          <t>number</t>
        </is>
      </c>
      <c r="G24" s="27" t="n">
        <v>0</v>
      </c>
      <c r="H24" s="48" t="inlineStr">
        <is>
          <t>ยังไม่นำเข้า</t>
        </is>
      </c>
      <c r="I24" s="6" t="inlineStr">
        <is>
          <t>—</t>
        </is>
      </c>
      <c r="J24" s="27" t="n"/>
      <c r="K24" s="27">
        <f>IF(J24="","",G24-J24)</f>
        <v/>
      </c>
      <c r="L24" s="5" t="n"/>
      <c r="M24" s="6" t="n"/>
      <c r="N24" s="6" t="n"/>
      <c r="O24" s="5" t="n"/>
      <c r="P24" s="6" t="n"/>
    </row>
    <row r="25">
      <c r="B25" s="30" t="inlineStr">
        <is>
          <t>รวมจำนวนทุกประเภทในชีตนี้</t>
        </is>
      </c>
      <c r="C25" s="31" t="n"/>
      <c r="D25" s="31" t="n"/>
      <c r="E25" s="31" t="n"/>
      <c r="F25" s="31" t="n"/>
      <c r="G25" s="32">
        <f>SUM(G2:G24)</f>
        <v/>
      </c>
      <c r="H25" s="31" t="n"/>
      <c r="I25" s="31" t="n"/>
      <c r="J25" s="31" t="n"/>
      <c r="K25" s="31" t="n"/>
      <c r="L25" s="31" t="n"/>
      <c r="M25" s="31" t="n"/>
      <c r="N25" s="31" t="n"/>
      <c r="O25" s="31" t="n"/>
      <c r="P25" s="31" t="n"/>
    </row>
    <row r="26"/>
    <row r="27">
      <c r="A27" s="33" t="inlineStr">
        <is>
          <t>ข้อมูล ณ 19 ก.ย. 2569  03:56 จากฐาน VPK-S1  คอลัมน์ “จำนวนต้นทาง” ให้เจ้าของข้อมูลกรอกจากไฟล์ที่ส่งมา ถ้าผลต่าง ≠ 0 ให้เลือกผลยืนยันเป็น ต้องแก้ไข หรือ ยังไม่ครบ  กลุ่ม Master = ข้อมูลหลักที่ใช้ทั้งระบบ · ตั้งค่า = วงเงิน/ค่าคงที่ · ธุรกรรม = เอกสารปฏิบัติงาน · คงค้าง = PO ค้างรับ/ค้างตั้งหนี้, เจ้าหนี้ค้างจ่าย, งบทดลอง TB ปี 2569 (ปีงบประมาณ 1 ต.ค. 2568 – 30 ก.ย. 2569)  อัปเดต: JV ยกยอด/งบทดลอง ณ 31 ส.ค. 2569 นำเข้าเมื่อ 10 ต.ค. 2569 (รายการบัญชีทั่วไป 1 รายการ · TB 371 บัญชี)</t>
        </is>
      </c>
    </row>
    <row r="28"/>
    <row r="29"/>
  </sheetData>
  <mergeCells count="1">
    <mergeCell ref="A27:P29"/>
  </mergeCells>
  <conditionalFormatting sqref="L2:L24">
    <cfRule type="cellIs" priority="1" operator="equal" dxfId="0">
      <formula>"ถูกต้อง"</formula>
    </cfRule>
    <cfRule type="cellIs" priority="2" operator="equal" dxfId="1">
      <formula>"ต้องแก้ไข"</formula>
    </cfRule>
    <cfRule type="cellIs" priority="3" operator="equal" dxfId="2">
      <formula>"ยังไม่ครบ"</formula>
    </cfRule>
  </conditionalFormatting>
  <dataValidations count="1">
    <dataValidation sqref="L2 L3 L4 L5 L6 L7 L8 L9 L10 L11 L12 L13 L14 L15 L16 L17 L18 L19 L20 L21 L22 L23 L24" showDropDown="0" showInputMessage="0" showErrorMessage="0" allowBlank="1" type="list">
      <formula1>"ถูกต้อง,ต้องแก้ไข,ยังไม่ครบ,ข้าม"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2026-10-15T23:15:33Z</dcterms:created>
  <dcterms:modified xmlns:dcterms="http://purl.org/dc/terms/" xmlns:xsi="http://www.w3.org/2001/XMLSchema-instance" xsi:type="dcterms:W3CDTF">2026-10-15T23:16:01Z</dcterms:modified>
</cp:coreProperties>
</file>