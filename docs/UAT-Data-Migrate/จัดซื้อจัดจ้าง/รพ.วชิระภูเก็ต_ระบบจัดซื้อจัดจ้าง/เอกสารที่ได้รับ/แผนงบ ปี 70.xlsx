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4"/>
  <workbookPr/>
  <mc:AlternateContent xmlns:mc="http://schemas.openxmlformats.org/markup-compatibility/2006">
    <mc:Choice Requires="x15">
      <x15ac:absPath xmlns:x15ac="http://schemas.microsoft.com/office/spreadsheetml/2010/11/ac" url="/Users/mchedtha/odoo18vpk/docs/UAT-Data-Migrate/จัดซื้อจัดจ้าง/รพ.วชิระภูเก็ต_ระบบจัดซื้อจัดจ้าง/เอกสารที่ได้รับ/"/>
    </mc:Choice>
  </mc:AlternateContent>
  <xr:revisionPtr revIDLastSave="0" documentId="8_{F6FC3DED-03B8-4B43-A2C7-1087DB285874}" xr6:coauthVersionLast="47" xr6:coauthVersionMax="47" xr10:uidLastSave="{00000000-0000-0000-0000-000000000000}"/>
  <bookViews>
    <workbookView xWindow="0" yWindow="500" windowWidth="28800" windowHeight="11200" activeTab="2" xr2:uid="{00000000-000D-0000-FFFF-FFFF00000000}"/>
  </bookViews>
  <sheets>
    <sheet name="ไฟฟ้า" sheetId="2" r:id="rId1"/>
    <sheet name="ก่อสร้าง" sheetId="3" r:id="rId2"/>
    <sheet name="สรุปก่อสร้าง" sheetId="4" r:id="rId3"/>
  </sheets>
  <definedNames>
    <definedName name="_xlnm.Print_Titles" localSheetId="0">ไฟฟ้า!$1:$3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4" l="1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4" i="4"/>
  <c r="R212" i="4" s="1"/>
  <c r="W70" i="3"/>
  <c r="P4" i="2"/>
  <c r="W6" i="3" l="1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5" i="3"/>
  <c r="W215" i="3" s="1"/>
  <c r="P5" i="3" l="1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O214" i="3" l="1"/>
  <c r="O213" i="3"/>
  <c r="O212" i="3"/>
  <c r="O211" i="3"/>
  <c r="O210" i="3"/>
  <c r="O209" i="3"/>
  <c r="O208" i="3"/>
  <c r="O207" i="3"/>
  <c r="O206" i="3"/>
  <c r="Q206" i="3" s="1"/>
  <c r="R206" i="3" s="1"/>
  <c r="O205" i="3"/>
  <c r="O204" i="3"/>
  <c r="O203" i="3"/>
  <c r="O202" i="3"/>
  <c r="O201" i="3"/>
  <c r="O200" i="3"/>
  <c r="O199" i="3"/>
  <c r="O198" i="3"/>
  <c r="O197" i="3"/>
  <c r="Q197" i="3" s="1"/>
  <c r="R197" i="3" s="1"/>
  <c r="O196" i="3"/>
  <c r="O195" i="3"/>
  <c r="O194" i="3"/>
  <c r="Q194" i="3" s="1"/>
  <c r="R194" i="3" s="1"/>
  <c r="O193" i="3"/>
  <c r="O192" i="3"/>
  <c r="O191" i="3"/>
  <c r="Q191" i="3" s="1"/>
  <c r="R191" i="3" s="1"/>
  <c r="O190" i="3"/>
  <c r="O189" i="3"/>
  <c r="O188" i="3"/>
  <c r="Q188" i="3" s="1"/>
  <c r="R188" i="3" s="1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Q164" i="3" s="1"/>
  <c r="R164" i="3" s="1"/>
  <c r="O163" i="3"/>
  <c r="O162" i="3"/>
  <c r="O161" i="3"/>
  <c r="Q161" i="3" s="1"/>
  <c r="R161" i="3" s="1"/>
  <c r="O160" i="3"/>
  <c r="O159" i="3"/>
  <c r="O158" i="3"/>
  <c r="Q158" i="3" s="1"/>
  <c r="R158" i="3" s="1"/>
  <c r="O157" i="3"/>
  <c r="O156" i="3"/>
  <c r="O155" i="3"/>
  <c r="Q155" i="3" s="1"/>
  <c r="R155" i="3" s="1"/>
  <c r="O154" i="3"/>
  <c r="O153" i="3"/>
  <c r="O152" i="3"/>
  <c r="Q152" i="3" s="1"/>
  <c r="R152" i="3" s="1"/>
  <c r="O151" i="3"/>
  <c r="O150" i="3"/>
  <c r="O149" i="3"/>
  <c r="O148" i="3"/>
  <c r="O147" i="3"/>
  <c r="O146" i="3"/>
  <c r="Q146" i="3" s="1"/>
  <c r="R146" i="3" s="1"/>
  <c r="O145" i="3"/>
  <c r="O144" i="3"/>
  <c r="Q144" i="3" s="1"/>
  <c r="R144" i="3" s="1"/>
  <c r="O143" i="3"/>
  <c r="Q143" i="3" s="1"/>
  <c r="R143" i="3" s="1"/>
  <c r="O142" i="3"/>
  <c r="O141" i="3"/>
  <c r="O140" i="3"/>
  <c r="Q140" i="3" s="1"/>
  <c r="R140" i="3" s="1"/>
  <c r="O139" i="3"/>
  <c r="O138" i="3"/>
  <c r="O137" i="3"/>
  <c r="O136" i="3"/>
  <c r="O135" i="3"/>
  <c r="Q135" i="3" s="1"/>
  <c r="R135" i="3" s="1"/>
  <c r="O134" i="3"/>
  <c r="Q134" i="3" s="1"/>
  <c r="R134" i="3" s="1"/>
  <c r="O133" i="3"/>
  <c r="O132" i="3"/>
  <c r="O131" i="3"/>
  <c r="O130" i="3"/>
  <c r="O129" i="3"/>
  <c r="O128" i="3"/>
  <c r="Q128" i="3" s="1"/>
  <c r="R128" i="3" s="1"/>
  <c r="O127" i="3"/>
  <c r="O126" i="3"/>
  <c r="O125" i="3"/>
  <c r="O124" i="3"/>
  <c r="O123" i="3"/>
  <c r="Q123" i="3" s="1"/>
  <c r="R123" i="3" s="1"/>
  <c r="O122" i="3"/>
  <c r="O121" i="3"/>
  <c r="O120" i="3"/>
  <c r="Q120" i="3" s="1"/>
  <c r="R120" i="3" s="1"/>
  <c r="O119" i="3"/>
  <c r="O118" i="3"/>
  <c r="O117" i="3"/>
  <c r="O116" i="3"/>
  <c r="O115" i="3"/>
  <c r="O114" i="3"/>
  <c r="O113" i="3"/>
  <c r="O112" i="3"/>
  <c r="O111" i="3"/>
  <c r="O110" i="3"/>
  <c r="O109" i="3"/>
  <c r="O108" i="3"/>
  <c r="Q108" i="3" s="1"/>
  <c r="R108" i="3" s="1"/>
  <c r="O107" i="3"/>
  <c r="O106" i="3"/>
  <c r="O105" i="3"/>
  <c r="O104" i="3"/>
  <c r="O103" i="3"/>
  <c r="O102" i="3"/>
  <c r="O101" i="3"/>
  <c r="O100" i="3"/>
  <c r="O99" i="3"/>
  <c r="Q99" i="3" s="1"/>
  <c r="R99" i="3" s="1"/>
  <c r="O98" i="3"/>
  <c r="O97" i="3"/>
  <c r="O96" i="3"/>
  <c r="O95" i="3"/>
  <c r="O94" i="3"/>
  <c r="O93" i="3"/>
  <c r="O92" i="3"/>
  <c r="O91" i="3"/>
  <c r="O90" i="3"/>
  <c r="O89" i="3"/>
  <c r="O88" i="3"/>
  <c r="O87" i="3"/>
  <c r="Q87" i="3" s="1"/>
  <c r="R87" i="3" s="1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Q63" i="3" s="1"/>
  <c r="R63" i="3" s="1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Q39" i="3" s="1"/>
  <c r="R39" i="3" s="1"/>
  <c r="O38" i="3"/>
  <c r="O37" i="3"/>
  <c r="O36" i="3"/>
  <c r="Q36" i="3" s="1"/>
  <c r="R36" i="3" s="1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Q15" i="3" s="1"/>
  <c r="R15" i="3" s="1"/>
  <c r="O14" i="3"/>
  <c r="O13" i="3"/>
  <c r="O12" i="3"/>
  <c r="Q12" i="3" s="1"/>
  <c r="R12" i="3" s="1"/>
  <c r="O11" i="3"/>
  <c r="O10" i="3"/>
  <c r="O9" i="3"/>
  <c r="O8" i="3"/>
  <c r="O7" i="3"/>
  <c r="O6" i="3"/>
  <c r="O5" i="3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4" i="2"/>
  <c r="P5" i="2"/>
  <c r="P168" i="2" s="1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Q73" i="3" l="1"/>
  <c r="R73" i="3" s="1"/>
  <c r="Q171" i="3"/>
  <c r="R171" i="3" s="1"/>
  <c r="T171" i="3"/>
  <c r="Q10" i="3"/>
  <c r="R10" i="3" s="1"/>
  <c r="Q181" i="3"/>
  <c r="R181" i="3" s="1"/>
  <c r="T181" i="3"/>
  <c r="Q19" i="3"/>
  <c r="R19" i="3" s="1"/>
  <c r="T19" i="3"/>
  <c r="Q8" i="3"/>
  <c r="R8" i="3" s="1"/>
  <c r="Q16" i="3"/>
  <c r="R16" i="3" s="1"/>
  <c r="Q32" i="3"/>
  <c r="R32" i="3" s="1"/>
  <c r="Q40" i="3"/>
  <c r="R40" i="3" s="1"/>
  <c r="Q56" i="3"/>
  <c r="R56" i="3" s="1"/>
  <c r="Q80" i="3"/>
  <c r="R80" i="3" s="1"/>
  <c r="T80" i="3"/>
  <c r="Q104" i="3"/>
  <c r="R104" i="3" s="1"/>
  <c r="Q112" i="3"/>
  <c r="R112" i="3" s="1"/>
  <c r="Q138" i="3"/>
  <c r="R138" i="3" s="1"/>
  <c r="Q151" i="3"/>
  <c r="R151" i="3" s="1"/>
  <c r="Q157" i="3"/>
  <c r="R157" i="3" s="1"/>
  <c r="Q186" i="3"/>
  <c r="R186" i="3" s="1"/>
  <c r="Q201" i="3"/>
  <c r="R201" i="3" s="1"/>
  <c r="Q26" i="3"/>
  <c r="R26" i="3" s="1"/>
  <c r="T26" i="3"/>
  <c r="Q172" i="3"/>
  <c r="R172" i="3" s="1"/>
  <c r="Q11" i="3"/>
  <c r="R11" i="3" s="1"/>
  <c r="Q64" i="3"/>
  <c r="R64" i="3" s="1"/>
  <c r="Q88" i="3"/>
  <c r="R88" i="3" s="1"/>
  <c r="Q24" i="3"/>
  <c r="R24" i="3" s="1"/>
  <c r="Q48" i="3"/>
  <c r="R48" i="3" s="1"/>
  <c r="Q72" i="3"/>
  <c r="R72" i="3" s="1"/>
  <c r="Q96" i="3"/>
  <c r="R96" i="3" s="1"/>
  <c r="T120" i="3"/>
  <c r="Q126" i="3"/>
  <c r="R126" i="3" s="1"/>
  <c r="Q132" i="3"/>
  <c r="Q139" i="3"/>
  <c r="R139" i="3" s="1"/>
  <c r="Q145" i="3"/>
  <c r="R145" i="3" s="1"/>
  <c r="T158" i="3"/>
  <c r="T164" i="3"/>
  <c r="Q170" i="3"/>
  <c r="R170" i="3" s="1"/>
  <c r="Q179" i="3"/>
  <c r="R179" i="3" s="1"/>
  <c r="Q209" i="3"/>
  <c r="R209" i="3" s="1"/>
  <c r="Q17" i="3"/>
  <c r="R17" i="3" s="1"/>
  <c r="Q41" i="3"/>
  <c r="R41" i="3" s="1"/>
  <c r="Q89" i="3"/>
  <c r="R89" i="3" s="1"/>
  <c r="Q113" i="3"/>
  <c r="R113" i="3" s="1"/>
  <c r="Q133" i="3"/>
  <c r="R133" i="3" s="1"/>
  <c r="Q50" i="3"/>
  <c r="R50" i="3" s="1"/>
  <c r="Q82" i="3"/>
  <c r="R82" i="3" s="1"/>
  <c r="Q114" i="3"/>
  <c r="R114" i="3" s="1"/>
  <c r="Q67" i="3"/>
  <c r="R67" i="3" s="1"/>
  <c r="Q91" i="3"/>
  <c r="R91" i="3" s="1"/>
  <c r="Q115" i="3"/>
  <c r="R115" i="3" s="1"/>
  <c r="Q27" i="3"/>
  <c r="Q122" i="3"/>
  <c r="R122" i="3" s="1"/>
  <c r="Q160" i="3"/>
  <c r="Q182" i="3"/>
  <c r="R182" i="3" s="1"/>
  <c r="Q20" i="3"/>
  <c r="R20" i="3" s="1"/>
  <c r="Q76" i="3"/>
  <c r="R76" i="3" s="1"/>
  <c r="Q92" i="3"/>
  <c r="R92" i="3" s="1"/>
  <c r="Q116" i="3"/>
  <c r="R116" i="3" s="1"/>
  <c r="T116" i="3"/>
  <c r="Q141" i="3"/>
  <c r="Q148" i="3"/>
  <c r="R148" i="3" s="1"/>
  <c r="Q154" i="3"/>
  <c r="R154" i="3" s="1"/>
  <c r="Q190" i="3"/>
  <c r="R190" i="3" s="1"/>
  <c r="Q60" i="3"/>
  <c r="R60" i="3" s="1"/>
  <c r="Q84" i="3"/>
  <c r="R84" i="3" s="1"/>
  <c r="Q129" i="3"/>
  <c r="R129" i="3" s="1"/>
  <c r="Q136" i="3"/>
  <c r="R136" i="3" s="1"/>
  <c r="Q142" i="3"/>
  <c r="R142" i="3" s="1"/>
  <c r="T155" i="3"/>
  <c r="T161" i="3"/>
  <c r="Q167" i="3"/>
  <c r="R167" i="3" s="1"/>
  <c r="Q175" i="3"/>
  <c r="R175" i="3" s="1"/>
  <c r="Q183" i="3"/>
  <c r="R183" i="3" s="1"/>
  <c r="T191" i="3"/>
  <c r="Q198" i="3"/>
  <c r="R198" i="3" s="1"/>
  <c r="T206" i="3"/>
  <c r="Q212" i="3"/>
  <c r="R212" i="3" s="1"/>
  <c r="Q49" i="3"/>
  <c r="R49" i="3" s="1"/>
  <c r="Q180" i="3"/>
  <c r="R180" i="3" s="1"/>
  <c r="T180" i="3"/>
  <c r="Q58" i="3"/>
  <c r="R58" i="3" s="1"/>
  <c r="Q165" i="3"/>
  <c r="R165" i="3" s="1"/>
  <c r="T135" i="3"/>
  <c r="Q28" i="3"/>
  <c r="R28" i="3" s="1"/>
  <c r="Q45" i="3"/>
  <c r="R45" i="3" s="1"/>
  <c r="Q117" i="3"/>
  <c r="R117" i="3" s="1"/>
  <c r="T146" i="3"/>
  <c r="T188" i="3"/>
  <c r="Q18" i="3"/>
  <c r="R18" i="3" s="1"/>
  <c r="Q74" i="3"/>
  <c r="R74" i="3" s="1"/>
  <c r="Q98" i="3"/>
  <c r="R98" i="3" s="1"/>
  <c r="Q121" i="3"/>
  <c r="R121" i="3" s="1"/>
  <c r="Q210" i="3"/>
  <c r="R210" i="3" s="1"/>
  <c r="Q35" i="3"/>
  <c r="R35" i="3" s="1"/>
  <c r="Q107" i="3"/>
  <c r="R107" i="3" s="1"/>
  <c r="Q75" i="3"/>
  <c r="R75" i="3" s="1"/>
  <c r="Q147" i="3"/>
  <c r="R147" i="3" s="1"/>
  <c r="Q173" i="3"/>
  <c r="R173" i="3" s="1"/>
  <c r="Q189" i="3"/>
  <c r="R189" i="3" s="1"/>
  <c r="T36" i="3"/>
  <c r="Q68" i="3"/>
  <c r="R68" i="3" s="1"/>
  <c r="Q100" i="3"/>
  <c r="R100" i="3" s="1"/>
  <c r="Q21" i="3"/>
  <c r="R21" i="3" s="1"/>
  <c r="Q85" i="3"/>
  <c r="R85" i="3" s="1"/>
  <c r="Q6" i="3"/>
  <c r="R6" i="3" s="1"/>
  <c r="Q14" i="3"/>
  <c r="R14" i="3" s="1"/>
  <c r="T14" i="3"/>
  <c r="Q22" i="3"/>
  <c r="R22" i="3" s="1"/>
  <c r="T22" i="3"/>
  <c r="Q30" i="3"/>
  <c r="R30" i="3" s="1"/>
  <c r="Q38" i="3"/>
  <c r="R38" i="3" s="1"/>
  <c r="Q46" i="3"/>
  <c r="R46" i="3" s="1"/>
  <c r="T46" i="3"/>
  <c r="Q54" i="3"/>
  <c r="Q62" i="3"/>
  <c r="R62" i="3" s="1"/>
  <c r="Q70" i="3"/>
  <c r="R70" i="3" s="1"/>
  <c r="T70" i="3"/>
  <c r="Q78" i="3"/>
  <c r="R78" i="3" s="1"/>
  <c r="Q86" i="3"/>
  <c r="R86" i="3" s="1"/>
  <c r="Q94" i="3"/>
  <c r="R94" i="3" s="1"/>
  <c r="Q102" i="3"/>
  <c r="R102" i="3" s="1"/>
  <c r="T102" i="3"/>
  <c r="Q110" i="3"/>
  <c r="R110" i="3" s="1"/>
  <c r="T110" i="3"/>
  <c r="Q118" i="3"/>
  <c r="R118" i="3" s="1"/>
  <c r="Q149" i="3"/>
  <c r="R149" i="3" s="1"/>
  <c r="Q176" i="3"/>
  <c r="R176" i="3" s="1"/>
  <c r="Q192" i="3"/>
  <c r="R192" i="3" s="1"/>
  <c r="Q213" i="3"/>
  <c r="R213" i="3" s="1"/>
  <c r="Q9" i="3"/>
  <c r="R9" i="3" s="1"/>
  <c r="Q33" i="3"/>
  <c r="R33" i="3" s="1"/>
  <c r="Q65" i="3"/>
  <c r="R65" i="3" s="1"/>
  <c r="Q81" i="3"/>
  <c r="R81" i="3" s="1"/>
  <c r="T81" i="3"/>
  <c r="Q105" i="3"/>
  <c r="R105" i="3" s="1"/>
  <c r="T105" i="3"/>
  <c r="T152" i="3"/>
  <c r="Q42" i="3"/>
  <c r="R42" i="3" s="1"/>
  <c r="Q66" i="3"/>
  <c r="R66" i="3" s="1"/>
  <c r="Q106" i="3"/>
  <c r="R106" i="3" s="1"/>
  <c r="T140" i="3"/>
  <c r="Q196" i="3"/>
  <c r="R196" i="3" s="1"/>
  <c r="Q43" i="3"/>
  <c r="R43" i="3" s="1"/>
  <c r="T43" i="3"/>
  <c r="Q83" i="3"/>
  <c r="R83" i="3" s="1"/>
  <c r="T83" i="3"/>
  <c r="T197" i="3"/>
  <c r="Q166" i="3"/>
  <c r="R166" i="3" s="1"/>
  <c r="Q204" i="3"/>
  <c r="R204" i="3" s="1"/>
  <c r="T12" i="3"/>
  <c r="Q52" i="3"/>
  <c r="R52" i="3" s="1"/>
  <c r="T52" i="3"/>
  <c r="T123" i="3"/>
  <c r="Q5" i="3"/>
  <c r="R5" i="3" s="1"/>
  <c r="Q13" i="3"/>
  <c r="R13" i="3" s="1"/>
  <c r="Q29" i="3"/>
  <c r="R29" i="3" s="1"/>
  <c r="Q53" i="3"/>
  <c r="R53" i="3" s="1"/>
  <c r="Q61" i="3"/>
  <c r="R61" i="3" s="1"/>
  <c r="Q69" i="3"/>
  <c r="R69" i="3" s="1"/>
  <c r="Q93" i="3"/>
  <c r="R93" i="3" s="1"/>
  <c r="Q101" i="3"/>
  <c r="R101" i="3" s="1"/>
  <c r="Q124" i="3"/>
  <c r="R124" i="3" s="1"/>
  <c r="Q130" i="3"/>
  <c r="R130" i="3" s="1"/>
  <c r="T143" i="3"/>
  <c r="Q184" i="3"/>
  <c r="R184" i="3" s="1"/>
  <c r="Q7" i="3"/>
  <c r="R7" i="3" s="1"/>
  <c r="T15" i="3"/>
  <c r="Q23" i="3"/>
  <c r="R23" i="3" s="1"/>
  <c r="Q31" i="3"/>
  <c r="R31" i="3" s="1"/>
  <c r="T39" i="3"/>
  <c r="Q47" i="3"/>
  <c r="R47" i="3" s="1"/>
  <c r="Q55" i="3"/>
  <c r="R55" i="3" s="1"/>
  <c r="T63" i="3"/>
  <c r="Q71" i="3"/>
  <c r="R71" i="3" s="1"/>
  <c r="Q79" i="3"/>
  <c r="R79" i="3" s="1"/>
  <c r="T87" i="3"/>
  <c r="Q95" i="3"/>
  <c r="R95" i="3" s="1"/>
  <c r="Q103" i="3"/>
  <c r="R103" i="3" s="1"/>
  <c r="Q131" i="3"/>
  <c r="R131" i="3" s="1"/>
  <c r="Q137" i="3"/>
  <c r="R137" i="3" s="1"/>
  <c r="Q162" i="3"/>
  <c r="R162" i="3" s="1"/>
  <c r="Q168" i="3"/>
  <c r="R168" i="3" s="1"/>
  <c r="Q185" i="3"/>
  <c r="R185" i="3" s="1"/>
  <c r="Q200" i="3"/>
  <c r="R200" i="3" s="1"/>
  <c r="Q214" i="3"/>
  <c r="R214" i="3" s="1"/>
  <c r="T214" i="3"/>
  <c r="Q25" i="3"/>
  <c r="R25" i="3" s="1"/>
  <c r="T25" i="3"/>
  <c r="Q57" i="3"/>
  <c r="R57" i="3" s="1"/>
  <c r="T57" i="3"/>
  <c r="Q97" i="3"/>
  <c r="Q127" i="3"/>
  <c r="R127" i="3" s="1"/>
  <c r="Q34" i="3"/>
  <c r="R34" i="3" s="1"/>
  <c r="Q90" i="3"/>
  <c r="R90" i="3" s="1"/>
  <c r="T134" i="3"/>
  <c r="Q203" i="3"/>
  <c r="R203" i="3" s="1"/>
  <c r="Q59" i="3"/>
  <c r="R59" i="3" s="1"/>
  <c r="T99" i="3"/>
  <c r="T128" i="3"/>
  <c r="Q159" i="3"/>
  <c r="R159" i="3" s="1"/>
  <c r="Q211" i="3"/>
  <c r="R211" i="3" s="1"/>
  <c r="Q51" i="3"/>
  <c r="R51" i="3" s="1"/>
  <c r="Q153" i="3"/>
  <c r="R153" i="3" s="1"/>
  <c r="Q44" i="3"/>
  <c r="R44" i="3" s="1"/>
  <c r="T108" i="3"/>
  <c r="Q37" i="3"/>
  <c r="R37" i="3" s="1"/>
  <c r="Q77" i="3"/>
  <c r="R77" i="3" s="1"/>
  <c r="Q109" i="3"/>
  <c r="R109" i="3" s="1"/>
  <c r="Q111" i="3"/>
  <c r="R111" i="3" s="1"/>
  <c r="Q119" i="3"/>
  <c r="R119" i="3" s="1"/>
  <c r="Q125" i="3"/>
  <c r="R125" i="3" s="1"/>
  <c r="T144" i="3"/>
  <c r="Q150" i="3"/>
  <c r="R150" i="3" s="1"/>
  <c r="T150" i="3"/>
  <c r="Q156" i="3"/>
  <c r="R156" i="3" s="1"/>
  <c r="Q163" i="3"/>
  <c r="R163" i="3" s="1"/>
  <c r="Q169" i="3"/>
  <c r="R169" i="3" s="1"/>
  <c r="Q178" i="3"/>
  <c r="R178" i="3" s="1"/>
  <c r="T194" i="3"/>
  <c r="Q208" i="3"/>
  <c r="R208" i="3" s="1"/>
  <c r="Q199" i="3"/>
  <c r="R199" i="3" s="1"/>
  <c r="Q174" i="3"/>
  <c r="R174" i="3" s="1"/>
  <c r="Q187" i="3"/>
  <c r="R187" i="3" s="1"/>
  <c r="Q195" i="3"/>
  <c r="R195" i="3" s="1"/>
  <c r="Q207" i="3"/>
  <c r="R207" i="3" s="1"/>
  <c r="Q193" i="3"/>
  <c r="R193" i="3" s="1"/>
  <c r="Q205" i="3"/>
  <c r="R205" i="3" s="1"/>
  <c r="Q177" i="3"/>
  <c r="R177" i="3" s="1"/>
  <c r="Q202" i="3"/>
  <c r="R202" i="3" s="1"/>
  <c r="R132" i="3" l="1"/>
  <c r="T132" i="3"/>
  <c r="R27" i="3"/>
  <c r="T27" i="3"/>
  <c r="R160" i="3"/>
  <c r="T160" i="3"/>
  <c r="R141" i="3"/>
  <c r="T141" i="3"/>
  <c r="R54" i="3"/>
  <c r="T54" i="3"/>
  <c r="R97" i="3"/>
  <c r="T97" i="3"/>
  <c r="T62" i="3"/>
  <c r="T6" i="3"/>
  <c r="T183" i="3"/>
  <c r="T162" i="3"/>
  <c r="T118" i="3"/>
  <c r="T165" i="3"/>
  <c r="T208" i="3"/>
  <c r="T184" i="3"/>
  <c r="T196" i="3"/>
  <c r="T145" i="3"/>
  <c r="T73" i="3"/>
  <c r="T51" i="3"/>
  <c r="T34" i="3"/>
  <c r="T55" i="3"/>
  <c r="T107" i="3"/>
  <c r="T201" i="3"/>
  <c r="T200" i="3"/>
  <c r="T94" i="3"/>
  <c r="T175" i="3"/>
  <c r="T139" i="3"/>
  <c r="T37" i="3"/>
  <c r="T95" i="3"/>
  <c r="T61" i="3"/>
  <c r="T42" i="3"/>
  <c r="T192" i="3"/>
  <c r="T189" i="3"/>
  <c r="T58" i="3"/>
  <c r="T89" i="3"/>
  <c r="T168" i="3"/>
  <c r="T10" i="3"/>
  <c r="T156" i="3"/>
  <c r="T82" i="3"/>
  <c r="T186" i="3"/>
  <c r="T56" i="3"/>
  <c r="T178" i="3"/>
  <c r="T109" i="3"/>
  <c r="T47" i="3"/>
  <c r="T106" i="3"/>
  <c r="T210" i="3"/>
  <c r="T50" i="3"/>
  <c r="T88" i="3"/>
  <c r="T157" i="3"/>
  <c r="T40" i="3"/>
  <c r="T125" i="3"/>
  <c r="T212" i="3"/>
  <c r="T169" i="3"/>
  <c r="T77" i="3"/>
  <c r="T103" i="3"/>
  <c r="T69" i="3"/>
  <c r="T66" i="3"/>
  <c r="T121" i="3"/>
  <c r="T64" i="3"/>
  <c r="T151" i="3"/>
  <c r="T78" i="3"/>
  <c r="T30" i="3"/>
  <c r="T76" i="3"/>
  <c r="T114" i="3"/>
  <c r="T203" i="3"/>
  <c r="T176" i="3"/>
  <c r="T199" i="3"/>
  <c r="T207" i="3"/>
  <c r="T211" i="3"/>
  <c r="T127" i="3"/>
  <c r="T7" i="3"/>
  <c r="T75" i="3"/>
  <c r="T149" i="3"/>
  <c r="T209" i="3"/>
  <c r="T72" i="3"/>
  <c r="T185" i="3"/>
  <c r="T86" i="3"/>
  <c r="T38" i="3"/>
  <c r="T117" i="3"/>
  <c r="T41" i="3"/>
  <c r="T138" i="3"/>
  <c r="T60" i="3"/>
  <c r="T119" i="3"/>
  <c r="T153" i="3"/>
  <c r="T90" i="3"/>
  <c r="T71" i="3"/>
  <c r="T93" i="3"/>
  <c r="T5" i="3"/>
  <c r="T213" i="3"/>
  <c r="T68" i="3"/>
  <c r="T35" i="3"/>
  <c r="T129" i="3"/>
  <c r="T148" i="3"/>
  <c r="T20" i="3"/>
  <c r="T67" i="3"/>
  <c r="T113" i="3"/>
  <c r="T172" i="3"/>
  <c r="T182" i="3"/>
  <c r="T205" i="3"/>
  <c r="T163" i="3"/>
  <c r="T130" i="3"/>
  <c r="T53" i="3"/>
  <c r="T204" i="3"/>
  <c r="T65" i="3"/>
  <c r="T85" i="3"/>
  <c r="T98" i="3"/>
  <c r="T45" i="3"/>
  <c r="T49" i="3"/>
  <c r="T190" i="3"/>
  <c r="T92" i="3"/>
  <c r="T17" i="3"/>
  <c r="T112" i="3"/>
  <c r="T32" i="3"/>
  <c r="T111" i="3"/>
  <c r="T122" i="3"/>
  <c r="T48" i="3"/>
  <c r="T59" i="3"/>
  <c r="T31" i="3"/>
  <c r="T124" i="3"/>
  <c r="T29" i="3"/>
  <c r="T166" i="3"/>
  <c r="T33" i="3"/>
  <c r="T21" i="3"/>
  <c r="T147" i="3"/>
  <c r="T74" i="3"/>
  <c r="T28" i="3"/>
  <c r="T142" i="3"/>
  <c r="T174" i="3"/>
  <c r="T84" i="3"/>
  <c r="T115" i="3"/>
  <c r="T126" i="3"/>
  <c r="T24" i="3"/>
  <c r="T104" i="3"/>
  <c r="T16" i="3"/>
  <c r="T159" i="3"/>
  <c r="T177" i="3"/>
  <c r="T137" i="3"/>
  <c r="T167" i="3"/>
  <c r="T195" i="3"/>
  <c r="T202" i="3"/>
  <c r="T173" i="3"/>
  <c r="T179" i="3"/>
  <c r="T193" i="3"/>
  <c r="T44" i="3"/>
  <c r="T79" i="3"/>
  <c r="T23" i="3"/>
  <c r="T101" i="3"/>
  <c r="T13" i="3"/>
  <c r="T9" i="3"/>
  <c r="T131" i="3"/>
  <c r="T100" i="3"/>
  <c r="T18" i="3"/>
  <c r="T198" i="3"/>
  <c r="T136" i="3"/>
  <c r="T154" i="3"/>
  <c r="T91" i="3"/>
  <c r="T133" i="3"/>
  <c r="T187" i="3"/>
  <c r="T11" i="3"/>
  <c r="T170" i="3"/>
  <c r="T96" i="3"/>
  <c r="T8" i="3"/>
</calcChain>
</file>

<file path=xl/sharedStrings.xml><?xml version="1.0" encoding="utf-8"?>
<sst xmlns="http://schemas.openxmlformats.org/spreadsheetml/2006/main" count="1633" uniqueCount="523">
  <si>
    <t>รายการ</t>
  </si>
  <si>
    <t>ปริมาณการใช้ย้อนหลัง 3 ปี</t>
  </si>
  <si>
    <t>ปริมาณคงคลังยกมา</t>
  </si>
  <si>
    <t>ประมาณการ</t>
  </si>
  <si>
    <t>ประมาณมูลค่าการจัดซื้อรายไตรมาส ปีงบประมาณ พ.ศ. 2570 (บาท)</t>
  </si>
  <si>
    <t>ปี 2567</t>
  </si>
  <si>
    <t>ปี 2568</t>
  </si>
  <si>
    <t>ปริมาณซื้อในปี 2569 (9 ด.)</t>
  </si>
  <si>
    <t>ปริมาณซื้อในปี 2569 (3 ด.)</t>
  </si>
  <si>
    <t>ปริมาณซื้อในปี 2569</t>
  </si>
  <si>
    <t>รวม</t>
  </si>
  <si>
    <t>ราคา/หน่วยนับ (บาท)</t>
  </si>
  <si>
    <t>มูลค่าจัดซื้อในปี 2569 (บาท)</t>
  </si>
  <si>
    <t>มูลค่าการจัดซื้อในปี 2568 (บาท)</t>
  </si>
  <si>
    <t>อัน</t>
  </si>
  <si>
    <t>กล่อง</t>
  </si>
  <si>
    <t>ม้วน</t>
  </si>
  <si>
    <t>ใบ</t>
  </si>
  <si>
    <t>ชุด</t>
  </si>
  <si>
    <t>ตัว</t>
  </si>
  <si>
    <t>ขวด</t>
  </si>
  <si>
    <t>แกลลอน</t>
  </si>
  <si>
    <t>แผ่น</t>
  </si>
  <si>
    <t>ก้อน</t>
  </si>
  <si>
    <t>หลอด</t>
  </si>
  <si>
    <t>เส้น</t>
  </si>
  <si>
    <t xml:space="preserve"> </t>
  </si>
  <si>
    <t>หน่วย</t>
  </si>
  <si>
    <t>สินค้า</t>
  </si>
  <si>
    <t>นับ</t>
  </si>
  <si>
    <t>กาวซิลิโคลนสีขาว</t>
  </si>
  <si>
    <t>กาวซิลิโคลนสีใส</t>
  </si>
  <si>
    <t>กระป๋อง</t>
  </si>
  <si>
    <t>กระดาษทรายขัดไม้ เบอร์ 0</t>
  </si>
  <si>
    <t>กระดาษทรายขัดไม้ เบอร์ 1</t>
  </si>
  <si>
    <t>ทินเนอร์</t>
  </si>
  <si>
    <t>กระดาษทรายขัดไม้ เบอร์ 2</t>
  </si>
  <si>
    <t>กระดาษทรายขัดไม้ เบอร์ 3</t>
  </si>
  <si>
    <t>ตัวหนอน เบอร์ 7</t>
  </si>
  <si>
    <t>กระดาษทรายขัดไม้ เบอร์ 4</t>
  </si>
  <si>
    <t>ด้ายขาว เบอร์ 210</t>
  </si>
  <si>
    <t>ด้ายดำ เบอร์ 30</t>
  </si>
  <si>
    <t>กาวทาท่อ PVC 500G มีแปรง</t>
  </si>
  <si>
    <t>แม็กยิงไม้  # F-10</t>
  </si>
  <si>
    <t>เทปพันเกลียว</t>
  </si>
  <si>
    <t>แม็กยิงไม้  # F-15</t>
  </si>
  <si>
    <t>แม็กยิงไม้  # F-20</t>
  </si>
  <si>
    <t>แม็กยิงไม้  # F-30</t>
  </si>
  <si>
    <t>แม็กยิงไม้  # F-25</t>
  </si>
  <si>
    <t>แม็กยิงไม้  # F-40</t>
  </si>
  <si>
    <t>แม็กยิงไม้  # F-45</t>
  </si>
  <si>
    <t>แม็กยิงไม้  # F-50</t>
  </si>
  <si>
    <t>กุญแจลูกบิดห้องน้ำ</t>
  </si>
  <si>
    <t>กุญแจลูกบิดประตูห้อง</t>
  </si>
  <si>
    <t>กุญแจลิ้นชัก 801</t>
  </si>
  <si>
    <t>กุญแจลิ้นชัก 808</t>
  </si>
  <si>
    <t>ข้องอ PVC 45x1/2"</t>
  </si>
  <si>
    <t>ก๊อกน้ำเย็นเกลียวใน 1/2" CL300</t>
  </si>
  <si>
    <t>กันชนประตูแม่เหล็ก</t>
  </si>
  <si>
    <t>สายชำระ(ฝักบัวชำระ CT992H#WH(HM))</t>
  </si>
  <si>
    <t>นกกระจาบ</t>
  </si>
  <si>
    <t>ท่อ PVC 2" x 13.5</t>
  </si>
  <si>
    <t>ท่อ PVC 2" x 8.5</t>
  </si>
  <si>
    <t>ท่อ PVC 1/2 x 13.5</t>
  </si>
  <si>
    <t>ท่อ PVC 1 1/2 x 8.5</t>
  </si>
  <si>
    <t>ท่อ PVC 1 1/2 x 13.5</t>
  </si>
  <si>
    <t>ท่อ PVC 1" x 13.5</t>
  </si>
  <si>
    <t>ฝาครอบ PVC 1/2"</t>
  </si>
  <si>
    <t>ฝาครอบ PVC 1"</t>
  </si>
  <si>
    <t>ฝาครอบ PVC 3/4"</t>
  </si>
  <si>
    <t>ข้อต่อตรงเกลียวนอก PVC 1"</t>
  </si>
  <si>
    <t>ข้อต่อตรงเกลียวนอก PVC 1/2"</t>
  </si>
  <si>
    <t>ข้อต่อตรงเกลียวนอก PVC 3/4"</t>
  </si>
  <si>
    <t>ข้อต่อตรงเกลียวนอก PVC 1 1/4"</t>
  </si>
  <si>
    <t>ข้อต่อตรงเกลียวนอก PVC 1 1/2"</t>
  </si>
  <si>
    <t>ข้อต่อตรงขนาด 3/4"</t>
  </si>
  <si>
    <t>ข้อต่อตรง 2"x8.5</t>
  </si>
  <si>
    <t>ข้อต่อตรง PVC 1/2"</t>
  </si>
  <si>
    <t>ข้องอเกลียวในทองเหลือง PVC 1"</t>
  </si>
  <si>
    <t>ข้อต่อตรง PVC 1"</t>
  </si>
  <si>
    <t>ก๊อกน้ำอ่างล้างจาน(ก๊อกซิงค์#CT180C11(HM))</t>
  </si>
  <si>
    <t>ก๊อกซิงค์ออกจากผนัง CT134C10</t>
  </si>
  <si>
    <t>วาล์วคุม Hang(สต๊อปวาล์ว #SV114/Hang)</t>
  </si>
  <si>
    <t>วาล์วเปิด-ปิด ผังผนัง CT 191C8N</t>
  </si>
  <si>
    <t>กระดาษขัดเหล็ก เบอร์ 500</t>
  </si>
  <si>
    <t>กระดาษทรายขัดเหล็ก เบอร์ 150</t>
  </si>
  <si>
    <t>ก๊อกหางปลา ติดผนัง TS131B15</t>
  </si>
  <si>
    <t>กระดาษทรายเรียง เบอร์ 60</t>
  </si>
  <si>
    <t>กระดาษทรายเรียง เบอร์ 80</t>
  </si>
  <si>
    <t>ข้องอเกลียวใน PVC 90x1"</t>
  </si>
  <si>
    <t>กระดาษทรายเรียง เบอร์ 120</t>
  </si>
  <si>
    <t>ข้องอ PVC 90x3/4"</t>
  </si>
  <si>
    <t>กระดาษทรายเรียง เบอร์ 240</t>
  </si>
  <si>
    <t>ข้อต่อตรงเกลียวใน PVC 3/4"</t>
  </si>
  <si>
    <t>กระดาษทรายเรียง เบอร์ 320</t>
  </si>
  <si>
    <t>ข้อต่อตรงเกลียวใน PVC 1 1/2"</t>
  </si>
  <si>
    <t>กระดาษทรายเรียง เบอร์ 400</t>
  </si>
  <si>
    <t>ลวดเชื่อมไฟฟ้า 2.6 * 300</t>
  </si>
  <si>
    <t>ข้อต่อตรงเกลียวใน PVC 2"</t>
  </si>
  <si>
    <t>ล้อบอลแกนเกลียว 2"</t>
  </si>
  <si>
    <t>ข้อตรงเกลียวนอก PVC 2"</t>
  </si>
  <si>
    <t>ลวดเชื่อมไฟฟ้า 2.6 * 350(S-13)</t>
  </si>
  <si>
    <t>ล้อแป้น  2"</t>
  </si>
  <si>
    <t>ล้อ</t>
  </si>
  <si>
    <t>ล้อแม็ก 8"</t>
  </si>
  <si>
    <t>ปะเก็นรูปตัว U  S.306</t>
  </si>
  <si>
    <t>ใบตัดเหล็ก  16"</t>
  </si>
  <si>
    <t>นิบเบิ้ล STL 1/2"</t>
  </si>
  <si>
    <t>ใบตัดเหล็ก  14"</t>
  </si>
  <si>
    <t>มือกดชักโครก(ชุดมือบิด PC73900010ทางน้ำออก/Aner)</t>
  </si>
  <si>
    <t>ใบตัดเหล็ก   4"</t>
  </si>
  <si>
    <t>แปรงทาสี 1"</t>
  </si>
  <si>
    <t>แปรงทาสี 2"</t>
  </si>
  <si>
    <t>ใบเจียร 4"</t>
  </si>
  <si>
    <t>ลวดเชื่อมอาร์กอน</t>
  </si>
  <si>
    <t>แปรงทาสี 2 1/2"</t>
  </si>
  <si>
    <t>แปรงทาสี 3"</t>
  </si>
  <si>
    <t>ล้อเดือยละเอียด ไม่มีเบรค 4"</t>
  </si>
  <si>
    <t>ล้อเดือยละเอียด มีเบรค 4"</t>
  </si>
  <si>
    <t>ดอกเดวิด  4-6</t>
  </si>
  <si>
    <t>แม๊กยิง 1010J</t>
  </si>
  <si>
    <t>ดอกเดวิด  4-4</t>
  </si>
  <si>
    <t>ด้ายไนล่อนสีน้ำตาลแดง</t>
  </si>
  <si>
    <t>ดอกเดวิด  4-2</t>
  </si>
  <si>
    <t>มือกดหม้อน้ำชักโครก (หน้า)</t>
  </si>
  <si>
    <t>ลูกปืน No.6205 ZZ</t>
  </si>
  <si>
    <t>ลูกปืน No.6304 ZZ</t>
  </si>
  <si>
    <t>ข้อต่อตรงเกลียวในทองเหลือง PVC 3/4"</t>
  </si>
  <si>
    <t>ข้อต่อตรงเกลียวใน PVC 1 1/4"</t>
  </si>
  <si>
    <t>น้ำยาปรับความเย็น</t>
  </si>
  <si>
    <t>ข้องอ PVC 90x1 1/4"</t>
  </si>
  <si>
    <t>ลูกกลิ้ง 10 นิ้ว</t>
  </si>
  <si>
    <t>ลูกกลิ้ง 7 นิ้ว</t>
  </si>
  <si>
    <t>น๊อต 1/4 * 1 1/2 STL</t>
  </si>
  <si>
    <t>น๊อต 1/4 * 2  STL</t>
  </si>
  <si>
    <t>สามทางลด 1"x1/2"</t>
  </si>
  <si>
    <t>ท่อ PVC 3 x 8.5</t>
  </si>
  <si>
    <t>ตะปูเกลียวปล่อย 7*3/4 P</t>
  </si>
  <si>
    <t>ตะปูเกลียวปล่อย 7* 1 P</t>
  </si>
  <si>
    <t>ตะปูเกลียวปล่อย #7x1 1/4" F</t>
  </si>
  <si>
    <t>ตะปูเกลียวปล่อย #7x2" F</t>
  </si>
  <si>
    <t>ตะปูเกลียวปล่อย P#7x1 1/2"</t>
  </si>
  <si>
    <t>ตะปูเกลียวปล่อย P#7x2"</t>
  </si>
  <si>
    <t>ตะปูเกลียวปล่อย P#8x3"</t>
  </si>
  <si>
    <t>แปรงทาสี 4 นิ้ว</t>
  </si>
  <si>
    <t>แหวนตาย 5/16</t>
  </si>
  <si>
    <t>ตะปูเกลียวปล่อย #7x3/4" F</t>
  </si>
  <si>
    <t>กระจกเชื่อมดำ</t>
  </si>
  <si>
    <t>ฟุกตะกั่ว 1/4</t>
  </si>
  <si>
    <t>แหวน 3/8</t>
  </si>
  <si>
    <t>ตะปูเกลียวปล่อย #7x1 1/2" F</t>
  </si>
  <si>
    <t>ใบเลื่อยโค้ง 24"</t>
  </si>
  <si>
    <t>ท่อ  PVC  1 x 8.5</t>
  </si>
  <si>
    <t>สะดืออ่างสองตอน สแตนเลส</t>
  </si>
  <si>
    <t>น้ำมันเครื่องอัดอากาศแบบลูกสูบ</t>
  </si>
  <si>
    <t>น๊อต 3/8"x3"</t>
  </si>
  <si>
    <t>ตะปูเกลียวปล่อย #8x2 1/2" F</t>
  </si>
  <si>
    <t>น๊อต 1/4* 1 1/2</t>
  </si>
  <si>
    <t>น๊อต 1/4 * 1</t>
  </si>
  <si>
    <t>น๊อต 5/16x1 1/2"</t>
  </si>
  <si>
    <t>หางปลากลมเหลือง 4-6</t>
  </si>
  <si>
    <t>หางปลาเสียบแดงเมีย 1.5</t>
  </si>
  <si>
    <t>ตะปูเกลียวปล่อย #8x3" F</t>
  </si>
  <si>
    <t>น๊อต 1/4*2</t>
  </si>
  <si>
    <t>น๊อต 3/8*1 1/2</t>
  </si>
  <si>
    <t>น๊อต 3/8*2</t>
  </si>
  <si>
    <t>น๊อต 5/16x2"</t>
  </si>
  <si>
    <t>ตะปูเกลียวปล่อย #7x1" F</t>
  </si>
  <si>
    <t>ฟุกตะกั่ว 5/16</t>
  </si>
  <si>
    <t>แหวนตาย 1/4"</t>
  </si>
  <si>
    <t>ชุดก้านกระทุ้ง TS401</t>
  </si>
  <si>
    <t>หนังสูบปั้มปืนยิงส้วม</t>
  </si>
  <si>
    <t>ชุดก้านโยก TS401(S341)</t>
  </si>
  <si>
    <t>ปี 2569</t>
  </si>
  <si>
    <t>ก๊อกน้ำเย็นเกลียวนอก</t>
  </si>
  <si>
    <t>ถ่านชาร์จ AAA Panasonic BK-4MCCE/2NT</t>
  </si>
  <si>
    <t>ลวดเชื่อมทองแดง 5%</t>
  </si>
  <si>
    <t>ถ่านโทรศัพท์ไร้สาย HHR-P107A/1B</t>
  </si>
  <si>
    <t>ท่อแป๊บทองแดง  3/4  แบบหนา</t>
  </si>
  <si>
    <t>เทปเทามีกาว  (หนังไก่)</t>
  </si>
  <si>
    <t>เทปเทาไม่มีกาว</t>
  </si>
  <si>
    <t>เทปอลูมิเนียม</t>
  </si>
  <si>
    <t>โฟมเทป</t>
  </si>
  <si>
    <t>ทามเมอร์  3  นาที</t>
  </si>
  <si>
    <t>ฮันนี่เวล    T6373A</t>
  </si>
  <si>
    <t>ศรวาล์ว</t>
  </si>
  <si>
    <t>ไส้ศรวาล์ว</t>
  </si>
  <si>
    <t>แม็กเนติก  254  1 P</t>
  </si>
  <si>
    <t>โฟเทสเซียลรีเลย์  A3  A3</t>
  </si>
  <si>
    <t>โฟเทสเซียลรีเลย์  A3  A4</t>
  </si>
  <si>
    <t>เฟสโปรเทคชัน W 0P4  380 V</t>
  </si>
  <si>
    <t>ใบคัตเตอร์ตัดท่อทองแดงเล็ก</t>
  </si>
  <si>
    <t>โลเพรสเซอร์</t>
  </si>
  <si>
    <t>ไฮเพรสเซอร์</t>
  </si>
  <si>
    <t>ดาปาซิเตอร์  25 UF</t>
  </si>
  <si>
    <t>หัวฉีดน้ำยา  12,000 - 16,000   BTU</t>
  </si>
  <si>
    <t>เชอร์วิสวาล์วทองเหลืองขนาด 3/8</t>
  </si>
  <si>
    <t>เชอร์วิสวาล์วทองเหลืองขนาด 5/8</t>
  </si>
  <si>
    <t xml:space="preserve">ไดเออร์ 053 แบบเชื่อม ALCO </t>
  </si>
  <si>
    <t>ไดเออร์ 164 แบบเชื่อม ALCO ขนาด ½ No.164</t>
  </si>
  <si>
    <t>เซอร์วิสวาล์วทองเหลืองขนาด ½</t>
  </si>
  <si>
    <t>เซอร์วิสวาล์วทองเหลืองขนาด 7/8</t>
  </si>
  <si>
    <t>เซอร์วิสวาล์วทองเหลืองขนาด 3/4</t>
  </si>
  <si>
    <t>ใบคัตเตอร์ตัดท่อทองแดงใหญ่</t>
  </si>
  <si>
    <t>ข้อต่อเกลียวนอกทองแดง 7/8 x 3/4</t>
  </si>
  <si>
    <t>ข้อลดทองแดง 7/8 x 5/8</t>
  </si>
  <si>
    <t>ข้อลดทองแดง 3/4 x 5/8</t>
  </si>
  <si>
    <t>สามทางทองแดง 7/8</t>
  </si>
  <si>
    <t>ข้องอ 90 x 7/8 ทองแดง</t>
  </si>
  <si>
    <t>ข้อต่อตรงทองแดง  7/8</t>
  </si>
  <si>
    <t>ข้อต่อตรงทองแดง 3/4</t>
  </si>
  <si>
    <t>ข้องอ  90 x 3/4  ทองแดง</t>
  </si>
  <si>
    <t>สามทองทองแดง 5/8</t>
  </si>
  <si>
    <t>ข้องอ 45 x 1/2 ทองแดง</t>
  </si>
  <si>
    <t>ข้อต่อตรงทอง 1/2</t>
  </si>
  <si>
    <t>สามทางทองแดง 1/2</t>
  </si>
  <si>
    <t>ข้องอ 90 x 3/8 ทองแดง</t>
  </si>
  <si>
    <t>แม็กเนติก 30A 3P</t>
  </si>
  <si>
    <t>ข้องอทองแดง 90x5/8"</t>
  </si>
  <si>
    <t>ข้อต่อตรงทองแดง 3/8"</t>
  </si>
  <si>
    <t>สามทางทองแดง 3/8</t>
  </si>
  <si>
    <t>เทปพันสายไฟ</t>
  </si>
  <si>
    <t>หน้ากาก 3  ช่อง # 6803</t>
  </si>
  <si>
    <t>หน้ากาก 1  ช่อง  WNG  6801 W</t>
  </si>
  <si>
    <t>หน้ากาก 2  ช่อง  WNG  6802 W</t>
  </si>
  <si>
    <t>หน้ากาก 4  ช่อง  WNG  6804 W</t>
  </si>
  <si>
    <t>หน้ากาก 6  ช่อง  WNG  6806 W</t>
  </si>
  <si>
    <t>หน้ากาก bticino  M 906/14 P</t>
  </si>
  <si>
    <t>หน้ากาก bticino  M 903/30 P</t>
  </si>
  <si>
    <t>หน้ากาก bticino  M 903/13 P</t>
  </si>
  <si>
    <t>หน้ากาก bticino  M 903/16 P</t>
  </si>
  <si>
    <t>หน้ากาก bticino  M 903/11 P</t>
  </si>
  <si>
    <t>หน้ากาก bticino  M 903/12 P</t>
  </si>
  <si>
    <t>บาลาท  40w  Bovo (36W)</t>
  </si>
  <si>
    <t>บาลาท  20w  Bovo (18W)</t>
  </si>
  <si>
    <t>สตาร์ทเตอร์ S-10 ฟิลลิปป์</t>
  </si>
  <si>
    <t>หลอดจีนี่ 20w. คลูไลด์</t>
  </si>
  <si>
    <t>หลอดนิออน TLD 18w/54  ฟิลลิปป์</t>
  </si>
  <si>
    <t>สวิทซ์โยก 10A 250V</t>
  </si>
  <si>
    <t xml:space="preserve">หลอดนิออน TLD 36w/54  ฟิลลิปป์  </t>
  </si>
  <si>
    <t>สวิทซ์ลูกลอย LC 12</t>
  </si>
  <si>
    <t>หลอดนิออน  30 w.</t>
  </si>
  <si>
    <t>หลอด จีนี 5W Cool Day Li</t>
  </si>
  <si>
    <t>หลอดนิออน  15 w.</t>
  </si>
  <si>
    <t>หลอด จีนี 5W วอร์มไวท์</t>
  </si>
  <si>
    <t>ปลั๊กผู้ยางดำ</t>
  </si>
  <si>
    <t>แป้นพลาสติก  4x6</t>
  </si>
  <si>
    <t>ปลั๊กอี้เกิ้ล  3 ขา</t>
  </si>
  <si>
    <t>ปลั๊กมีกราวด์  bticino  M 9025 G</t>
  </si>
  <si>
    <t>สวิทซ์ WNG 5001-701</t>
  </si>
  <si>
    <t>สวิทซ์  bticino  M 9001</t>
  </si>
  <si>
    <t>หลอดนีออน LED T8 10W/D แสงขาว</t>
  </si>
  <si>
    <t>หลอดนีออน LED T8 8W/D แสงขาว</t>
  </si>
  <si>
    <t>หลอดนีออน LED T8 16W/D แสงขาว</t>
  </si>
  <si>
    <t>หลอดนีออน LED Panel 60x60 lm</t>
  </si>
  <si>
    <t>หลอดนีออน LED Panel 30x120 lm</t>
  </si>
  <si>
    <t>หลอดนีออน LED กลม 9w</t>
  </si>
  <si>
    <t>ฝาครอบเบรกเกอร์</t>
  </si>
  <si>
    <t>หลอดซุปเปอร์คุ้ม ES  8w  เคไลน์</t>
  </si>
  <si>
    <t>หลอดตะเกียบครอบแก้ว 20w ซุปเปอร์คุ้ม</t>
  </si>
  <si>
    <t>หลอดตะเกียบเสียบ 7W</t>
  </si>
  <si>
    <t>หลอดซุปเปอร์คุ้ม  14w คูลเดย์ไลท์</t>
  </si>
  <si>
    <t>ปลั๊กต่อสายไฟ 5 สวิทซ์ 5 เมตร</t>
  </si>
  <si>
    <t>หลอดนีออน LED กลม 14.5W</t>
  </si>
  <si>
    <t>ฮีตเตอร์ 9KW 220</t>
  </si>
  <si>
    <t>ปลั๊ก M9025</t>
  </si>
  <si>
    <t>เบรกเกอร์  10A</t>
  </si>
  <si>
    <t>บาลาทอิเลค  18 w</t>
  </si>
  <si>
    <t>เบรกเกอร์  2P 20A</t>
  </si>
  <si>
    <t>บาลาทอิเลค  36 w</t>
  </si>
  <si>
    <t>เบรกเกอร์  2P 30A</t>
  </si>
  <si>
    <t>บ็อกฝังล้ม  4 * 4</t>
  </si>
  <si>
    <t>เต้ารับเสียบขากลมแบน WEG15929</t>
  </si>
  <si>
    <t>บ็อกลอย  2 * 4</t>
  </si>
  <si>
    <t>บ็อกลอย  4 * 4</t>
  </si>
  <si>
    <t>หลอดนีออนกลม TLE 32W</t>
  </si>
  <si>
    <t>หลอดซุปเปอร์คุ้ม  11w (หลอดตะเกียบ 11 W)</t>
  </si>
  <si>
    <t>คอนเนตเตอร์ เหล็ก 1/2</t>
  </si>
  <si>
    <t>มอเตอร์ไดร์ Fo4301 B01</t>
  </si>
  <si>
    <t>หลอดไฮโดเจน 50W 220V</t>
  </si>
  <si>
    <t>ข้อต่อตรงทองแดง 5/8"</t>
  </si>
  <si>
    <t>หลอดฟูลออเรสเซนต์ Day Light 22w</t>
  </si>
  <si>
    <t>คลิปก้ามปูเหลือง 3/4 "</t>
  </si>
  <si>
    <t>คอนเนตเตอร์ เหล็ก 3/4</t>
  </si>
  <si>
    <t>ข้อต่อตรงเหลือง PVC 3/8  (15 มม.) ฉีด</t>
  </si>
  <si>
    <t>ท่อเหลือง  PVC 1</t>
  </si>
  <si>
    <t>รีโมท NORCA รุ่น N.211</t>
  </si>
  <si>
    <t>ข้องอทองแดง 90 * 1/2</t>
  </si>
  <si>
    <t>ฟิวส์หลอดแก้วสั้น 5A</t>
  </si>
  <si>
    <t>ข้อต่อตรงเหลือง PVC 1</t>
  </si>
  <si>
    <t>คอนแทคเตอร์ LG 1D 25MM</t>
  </si>
  <si>
    <t>หลอดตู้เย็น E17 15W</t>
  </si>
  <si>
    <t>หลอดไฟไฮโอดีน 500W 230V</t>
  </si>
  <si>
    <t>บล็อคล่อฟ้าโทรศัพท์</t>
  </si>
  <si>
    <t>กิ๊กตอกสายโทรศัพท์</t>
  </si>
  <si>
    <t>พัดลมระบายอากาศ 8"</t>
  </si>
  <si>
    <t>พัดลมระบายอากาศ 10"</t>
  </si>
  <si>
    <t>น้ำยาล้างคอย</t>
  </si>
  <si>
    <t>ฟิวส์หลอดแก้วสั้น 0.5A</t>
  </si>
  <si>
    <t>ฟิวส์หลอดแก้วสั้น 1A</t>
  </si>
  <si>
    <t>ฟิวส์หลอดแก้วสั้น 2A</t>
  </si>
  <si>
    <t>ฟิวส์หลอดแก้วสั้น 3A</t>
  </si>
  <si>
    <t>ฟิวส์หลอดแก้วสั้น 10A</t>
  </si>
  <si>
    <t>สายไฟ THW 2.5 สีฟ้า</t>
  </si>
  <si>
    <t>สายไฟ THW 2.5 สีน้ำตาล</t>
  </si>
  <si>
    <t>สายไฟ THW 2.5 สีขาว</t>
  </si>
  <si>
    <t>สายไฟ THW 2.5 สีแดง</t>
  </si>
  <si>
    <t>สายไฟ VAF 2 x  1.5 สีขาว</t>
  </si>
  <si>
    <t>สายไฟ VAF-G 2 x 2.5/2.5 สีขาว</t>
  </si>
  <si>
    <t>ฟิวส์หลอดแก้วยาว 2A</t>
  </si>
  <si>
    <t>หางปลาก้ามปูเหลือง 4.6</t>
  </si>
  <si>
    <t>หางปลากลม น้ำเงิน 2.5</t>
  </si>
  <si>
    <t>หางปลากลม แดง 1.5</t>
  </si>
  <si>
    <t>หางปลาก้ามปู แดง 1.5</t>
  </si>
  <si>
    <t>หางปลาก้ามปู น้ำเงิน 1.5</t>
  </si>
  <si>
    <t>หางปลาเสียบตัวเมีย 2.5 น้ำเงิน</t>
  </si>
  <si>
    <t>หางปลาเปือยคอมฯ</t>
  </si>
  <si>
    <t>ฮีตเตอร์ STL 4500W</t>
  </si>
  <si>
    <t>ตัวล๊อคใบพัดลม</t>
  </si>
  <si>
    <t>ตัวล๊อคฝาครอบพัดลม</t>
  </si>
  <si>
    <t>ข้อต่อตรงขาว 1/2</t>
  </si>
  <si>
    <t>ปริมาณซื้อในปี 2568</t>
  </si>
  <si>
    <t>รหัส</t>
  </si>
  <si>
    <t>จำนวน</t>
  </si>
  <si>
    <t>ราคา</t>
  </si>
  <si>
    <t>คงเหลือ 
2569</t>
  </si>
  <si>
    <t>ราคา
จำนวนเงิน</t>
  </si>
  <si>
    <t>ยอดยกมา</t>
  </si>
  <si>
    <t>รับเข้า</t>
  </si>
  <si>
    <t>จ่ายออก</t>
  </si>
  <si>
    <t>ตค.67</t>
  </si>
  <si>
    <t>พย.67</t>
  </si>
  <si>
    <t>ธค.67</t>
  </si>
  <si>
    <t>มค.68</t>
  </si>
  <si>
    <t>กาวดันลบ</t>
  </si>
  <si>
    <t>ข้องอ PVC 90x1 นิ้ว</t>
  </si>
  <si>
    <t>ข้องอ PVC 90x1/2 นิ้ว</t>
  </si>
  <si>
    <t>ข้องอ PVC 45x3/4 นิ้ว</t>
  </si>
  <si>
    <t>ข้องอ PVC  45x1 นิ้ว</t>
  </si>
  <si>
    <t>ชุดก๊อกน้ำร้อนเกลียวนอก HC235</t>
  </si>
  <si>
    <t>ชุดก๊อกน้ำเย็นเกลียวใน CL300</t>
  </si>
  <si>
    <t>สายน้ำดีชักโครก สายถักสแตนเลส 18 นิ้ว</t>
  </si>
  <si>
    <t>ชุดฝักบัวสายอ่อน 1 ระบบ ชุบโครเมียม #S17(HM)</t>
  </si>
  <si>
    <t>สามทาง PVC 3/4 นิ้ว</t>
  </si>
  <si>
    <t>ข้อต่อตรง PVC 1 1/2 นิ้วx8.5</t>
  </si>
  <si>
    <t>สามทาง PVC 1/2 นิ้ว</t>
  </si>
  <si>
    <t>สามทาง PVC 1 นิ้ว</t>
  </si>
  <si>
    <t>ฝารองนั่งชักโครก พลาสติก ทรงกลม สีขาว #TF3900000-WT</t>
  </si>
  <si>
    <t>บอลวาล์ว  Fs 1/2 นิ้ว</t>
  </si>
  <si>
    <t>บอลวาล์ว  Fs 1 นิ้ว</t>
  </si>
  <si>
    <t>วาล์วเปิด-ปิดน้ำ โครเมี่ยม #CT190C11(HM)</t>
  </si>
  <si>
    <t>รังผึ้ง 2 นิ้ว</t>
  </si>
  <si>
    <t>ข้อต่อตรงเกลียวในทองเหลือง PVC 1/2 นิ้ว</t>
  </si>
  <si>
    <t>สามทางเกลียวในทองเหลือง PVC 1/2 นิ้ว</t>
  </si>
  <si>
    <t>ข้อต่อตรงเกลียวใน-นอก ทองเหลือง 1/2 นิ้ว</t>
  </si>
  <si>
    <t>ข้อต่อตรงเกลียวในทองเหลือง 1 นิ้ว</t>
  </si>
  <si>
    <t>ข้องอเกลียวในทองเหลือง PVC 1/2 นิ้ว</t>
  </si>
  <si>
    <t>สายท่อน้ำทิ้ง พลาสติก สีขาว #K-180</t>
  </si>
  <si>
    <t>สะดืออ่างล้างหน้าแบบดึงล็อค #CT673(HM)</t>
  </si>
  <si>
    <t>ก๊อกเดี่ยวติดผนังคอสั้น #PM105Q9(HM)</t>
  </si>
  <si>
    <t>ก๊อกเดี่ยวอ่างล้างจาน แบบติดเคาน์เตอร์ A-4050-980-590</t>
  </si>
  <si>
    <t>ล้อบอลแกนเกลียวแบบผ่าข้าง ขนาด 2 นิ้ว</t>
  </si>
  <si>
    <t>ล้อแกนเกลียวหมุนรอบยางเทาระบบลูกปืน ขนาด 3 นิ้ว</t>
  </si>
  <si>
    <t>น็อตล้อเตียง 1/2 นิ้ว</t>
  </si>
  <si>
    <t>ลูกปืน เบอร์ 6204ZZ</t>
  </si>
  <si>
    <t>น้ำมันไฮดรอริกส์</t>
  </si>
  <si>
    <t>ท่อน้ำทิ้งอ่างล้างหน้าแบบกระปุกยาว 24 ซม. #CT680(HM)</t>
  </si>
  <si>
    <t>ล้อแป้นหมุนรอบระบบลูกปืนตลับคู่ ขนาด 8 นิ้ว</t>
  </si>
  <si>
    <t>ข้องอ PVC 90x2 นิ้วx8.5</t>
  </si>
  <si>
    <t>ข้องอ PVC 45x2 นิ้วx8.5</t>
  </si>
  <si>
    <t>ข้องอ PVC 45x2 นิ้วx13.5</t>
  </si>
  <si>
    <t>น้ำมันเครื่องเทรน</t>
  </si>
  <si>
    <t>ล้อยางตันพร้อมวงล้อซี่ลวดลูกปืน 6204 ขนาด 24 นิ้ว</t>
  </si>
  <si>
    <t>ล้อรถเข็นแป้นตายระบบลูกปืนคู่ ขนาด 8 นิ้ว</t>
  </si>
  <si>
    <t>ล้อยางเทาแกนเกลียวมีเบรค ขนาด 5 นิ้ว</t>
  </si>
  <si>
    <t>ล้อรถเข็นยางเทาแกนเกลียวระบบลูกปืน ขนาด 5 นิ้ว</t>
  </si>
  <si>
    <t>ก๊อกเดี่ยวอ่างล้างหน้า #CT160C11(HM)</t>
  </si>
  <si>
    <t>ชุดก้านกระทุ้ง พร้อมชุดก้านโยก</t>
  </si>
  <si>
    <t xml:space="preserve">วัสดุก่อสร้าง </t>
  </si>
  <si>
    <t>ยอดซื้อ 2568</t>
  </si>
  <si>
    <t>ยอดซื้อ 2569</t>
  </si>
  <si>
    <t>ปริมาณคงคลัง 2569</t>
  </si>
  <si>
    <t>ยอดใช้2568</t>
  </si>
  <si>
    <t>ยอดใช้
2568</t>
  </si>
  <si>
    <t>ยอดใช้
2569</t>
  </si>
  <si>
    <t>มูลค่าจัดซื้อ 
ปี 2569</t>
  </si>
  <si>
    <t>ประมาณมูลค่าการจัดซื้อ ปีงบประมาณ พ.ศ. 2570 (บาท)</t>
  </si>
  <si>
    <t>กาวดันลอป</t>
  </si>
  <si>
    <t>ข้องอ PVC 90x1"</t>
  </si>
  <si>
    <t>ข้องอ PVC 90x1/2"</t>
  </si>
  <si>
    <t>ข้องอ PVC 45x3/4"</t>
  </si>
  <si>
    <t>ข้องอ PVC  45x1"</t>
  </si>
  <si>
    <t>ก๊อกน้ำร้อน HC235</t>
  </si>
  <si>
    <t>สายถัก 18"(สายน้ำดี STL)</t>
  </si>
  <si>
    <t>ฝักบัวอาบน้ำ #S17 พร้อมสาย</t>
  </si>
  <si>
    <t>กาวดำ</t>
  </si>
  <si>
    <t>คลิปรัดท่อยาง 3/4"</t>
  </si>
  <si>
    <t>คลิปรัดท่อยาง  1"</t>
  </si>
  <si>
    <t>สามทาง PVC 3/4"</t>
  </si>
  <si>
    <t>ข้อต่อตรง PVC 1 1/2"x8.5</t>
  </si>
  <si>
    <t>สามทาง PVC 1/2"</t>
  </si>
  <si>
    <t>สามทาง PVC 1"</t>
  </si>
  <si>
    <t>ฝารองนั่งชักโครก #39 ขาว</t>
  </si>
  <si>
    <t>บอลวาล์ว  Fs 1/2"</t>
  </si>
  <si>
    <t>บอลวาล์ว  Fs 1"</t>
  </si>
  <si>
    <t>วาล์ว#CT190C11(HM)เปิด-ปิด</t>
  </si>
  <si>
    <t>รังผึ้ง 2"</t>
  </si>
  <si>
    <t>ข้อต่อตรงเกลียวในทองเหลือง PVC 1/2"</t>
  </si>
  <si>
    <t>สามทางเกลียวในทองเหลือง PVC 1/2"</t>
  </si>
  <si>
    <t>ข้อต่อตรงเกลียวใน-นอก ทองเหลือง 1/2"</t>
  </si>
  <si>
    <t>ข้อต่อตรงเกลียวในทองเหลือง 1"</t>
  </si>
  <si>
    <t>ข้องอเกลียวในทองเหลือง PVC 1/2"</t>
  </si>
  <si>
    <t>ท่อน้ำล้น k180</t>
  </si>
  <si>
    <t>สะดืออ่างล้างหน้า CT 673</t>
  </si>
  <si>
    <t>ก๊อกลงพื้น(ก๊อก#PM105Q4(HM)เดี่ยวติดผนัง)</t>
  </si>
  <si>
    <t>ก๊อกซิงค์ขึ้นจากอ่าง A 4050 980 590C</t>
  </si>
  <si>
    <t>ล้อเดือย  2"(ล้อบอลแกนเกลียว)</t>
  </si>
  <si>
    <t>ล้อเดือยตราม้า 3 นิ้ว(ล้อยางแกนเกลียวหมุนไม่มีเบรค)</t>
  </si>
  <si>
    <t>น๊อตล้อเตียง 1/2</t>
  </si>
  <si>
    <t>ลูกปืน No.6204 ZZ</t>
  </si>
  <si>
    <t>น้ำมันไฮดรอริกส์ (ย้ายไปยาน)</t>
  </si>
  <si>
    <t>ท่อน้ำทิ้ง #CT680HM อ่างล้างกระปุก</t>
  </si>
  <si>
    <t>ล้อแป้นหมุนรอบ 8"</t>
  </si>
  <si>
    <t>ข้องอ PVC 90x2"x8.5</t>
  </si>
  <si>
    <t>ข้องอ PVC 45x2"x8.6</t>
  </si>
  <si>
    <t>ข้องอ PVC 45x2"</t>
  </si>
  <si>
    <t>น้ำมันเครื่องเทรน (ย้ายไปยาน)</t>
  </si>
  <si>
    <t xml:space="preserve">ล้อซี่ลวด 24 นิ้ว </t>
  </si>
  <si>
    <t>ล้อแป้นตาย 8 นิ้ว</t>
  </si>
  <si>
    <t>ล้อเดือย มีเบรค 5 นิ้ว(ล้อยางแกนเกลียวหมุนมีเบรค)</t>
  </si>
  <si>
    <t>ล้อเดือยไม่มีเบรค 5 นิ้ว(ล้อยางแกนเกลียวหมุนไม่มีเบรค)</t>
  </si>
  <si>
    <t>ก๊อกเดี่ยวอ่างล้างหน้า(ก๊อก#CT160C11(HM))</t>
  </si>
  <si>
    <t>ปริมาณหารใช้ย้อนหลัง 3 ปี</t>
  </si>
  <si>
    <t>ปริมาณคงคลัง
2569</t>
  </si>
  <si>
    <t xml:space="preserve">ประมาณมูลค่าการจัดซื้อ 
ปีงบประมาณ พ.ศ. 2570 </t>
  </si>
  <si>
    <t>หมายเหตุ</t>
  </si>
  <si>
    <t>เพิ่ม 100 อัน</t>
  </si>
  <si>
    <t>ยกเลิก</t>
  </si>
  <si>
    <t>สต๊อค 300 ม้วน</t>
  </si>
  <si>
    <t>สต๊อค 30 อัน</t>
  </si>
  <si>
    <t>เพิ่ม 50</t>
  </si>
  <si>
    <t>เพิ่ม 60 ตัว</t>
  </si>
  <si>
    <t>เพิ่ม 100 ตัว</t>
  </si>
  <si>
    <t>เพิ่ม 50 หลอด</t>
  </si>
  <si>
    <t>เพิ่ม 500 หลอด</t>
  </si>
  <si>
    <t>รายการเพิ่ม</t>
  </si>
  <si>
    <t>ข้อลด PVC 3/4"x1/2"</t>
  </si>
  <si>
    <t>ข้อลด PVC 3/4"x1"</t>
  </si>
  <si>
    <t>ข้องอ PVC 3/4"</t>
  </si>
  <si>
    <t>ข้องอ PVC 1"</t>
  </si>
  <si>
    <t>ฟิวส์หลอดแก้ว สั้น ขนาด 3A</t>
  </si>
  <si>
    <t>ฟิวส์หลอดแก้ว สั้น ขนาด 5A</t>
  </si>
  <si>
    <t>โคมไฟ LED 24W 2400lm LED Surface Mounting</t>
  </si>
  <si>
    <t>โคม</t>
  </si>
  <si>
    <t>โคมไฟ LED 12W 1320lm Blade 111-0 Downlight</t>
  </si>
  <si>
    <t>โคมไฟ LED 6W 480lm Blade 111-0 Downlight</t>
  </si>
  <si>
    <t>แม็กเนติก 25A 220V 3P</t>
  </si>
  <si>
    <t>แม็กเนติก 32A 220V 3P</t>
  </si>
  <si>
    <t>โคมไฟสปอร์ตไลท์ 200W แสงขาว</t>
  </si>
  <si>
    <t>โคมไฟขาสปริง 36W</t>
  </si>
  <si>
    <t>โคมไฟขาสปริง 18W</t>
  </si>
  <si>
    <t>สายไฟ THW 2.5 เขียว หรือเขียว/เหลือง</t>
  </si>
  <si>
    <t>รางเดินสายโทรศัพท์ T4</t>
  </si>
  <si>
    <t>ลัง</t>
  </si>
  <si>
    <t>ปลั๊กกราวด์ WEG 1191K</t>
  </si>
  <si>
    <t>ปลั๊กกราวด์คู่ WEG 15929</t>
  </si>
  <si>
    <t>หน้ากาก WEG 68029WK</t>
  </si>
  <si>
    <t>เพิ่ม 50 อัน</t>
  </si>
  <si>
    <t>เพิ่ม 20</t>
  </si>
  <si>
    <t>ใส่ซ้ำกับงานก่อสร้าง</t>
  </si>
  <si>
    <t>เพิ่ม50</t>
  </si>
  <si>
    <t>ท่อPVC 6"</t>
  </si>
  <si>
    <t>ข้อต่อตรง PVC 6"</t>
  </si>
  <si>
    <t>ข้องอ 90 PVC 6"</t>
  </si>
  <si>
    <t>น้ำมันเครื่อง PUMA อัดอากาศแบบลูกสูบ ขนาด1ลิตร</t>
  </si>
  <si>
    <t>งานไฟฟ้า</t>
  </si>
  <si>
    <t>เพิ่ม20</t>
  </si>
  <si>
    <t>เพิ่ม40</t>
  </si>
  <si>
    <t>เพิ่ม30</t>
  </si>
  <si>
    <t>เพิ่ม 30</t>
  </si>
  <si>
    <t>เพิ่ม 25</t>
  </si>
  <si>
    <t>เพิ่ม 10</t>
  </si>
  <si>
    <t>เพิ่ม 100</t>
  </si>
  <si>
    <t>เพิ่ม 40</t>
  </si>
  <si>
    <t>เพิ่ม200</t>
  </si>
  <si>
    <t>เพิ่ม100</t>
  </si>
  <si>
    <t>เพิ่ม 200</t>
  </si>
  <si>
    <t>เพื่ม20</t>
  </si>
  <si>
    <t>เพิ่ม150</t>
  </si>
  <si>
    <t>ไฟฟ้า</t>
  </si>
  <si>
    <t>เพิ่ม 150</t>
  </si>
  <si>
    <t>เพิ่ม 20 กล่อง</t>
  </si>
  <si>
    <t>เพิ่ม 20กล่อง</t>
  </si>
  <si>
    <t>เพิ่ม20กล่อง</t>
  </si>
  <si>
    <t>เพิ่ม 10กล่อง</t>
  </si>
  <si>
    <t>เพิ่ม 10 กล่อง</t>
  </si>
  <si>
    <t>ยกเลิก ก่อสร้าง</t>
  </si>
  <si>
    <t>ไฟฟ้า(ไม่เพิ่ม)</t>
  </si>
  <si>
    <t>ไฟฟ้า(ยกเลิก)</t>
  </si>
  <si>
    <t>ตะปูเกลียวปลายสว่าน 1 1/2"</t>
  </si>
  <si>
    <t>ตะปูเกลียวปลายสว่าน 1 "</t>
  </si>
  <si>
    <t>ตะปูเกลียวปลายสว่าน 2"</t>
  </si>
  <si>
    <t>น๊อตหกเหลี่ยมยิงหลังคา 2 1/2"</t>
  </si>
  <si>
    <t>น๊อตหกเหลี่ยมยิงหลังคา 3"</t>
  </si>
  <si>
    <t>ดอกเดวิด 1 1/2" 4x4</t>
  </si>
  <si>
    <t>ตะปูเกลียวปลายสว่าน หัวร่ม 1/2"</t>
  </si>
  <si>
    <t>ตะปูเกลียวปลายสว่าน หัวร่ม 3/4"</t>
  </si>
  <si>
    <t>ตะปูเกลียวยิงฝ้า 1"</t>
  </si>
  <si>
    <t>สายขั้วคอมเพรสเซอร์แอร์ ขนาดใหญ่</t>
  </si>
  <si>
    <t>สายขั้วคอมเพรสเซอร์แอร์ ขนาดกลาง</t>
  </si>
  <si>
    <t>คาปาซิสเตอร์ของมอเตอร์พัดลม ขนาด 3.5 ไมโคร มีสาย</t>
  </si>
  <si>
    <t>คาปาซิสเตอร์ของมอเตอร์พัดลม ขนาด 5 ไมโคร มีสาย</t>
  </si>
  <si>
    <t>คาปาซิสเตอร์ของมอเตอร์พัดลม ขนาด 6 ไมโคร มีสาย</t>
  </si>
  <si>
    <t>คาปาซิสเตอร์ของมอเตอร์พัดลม ขนาด 7.5 ไมโคร มีสาย</t>
  </si>
  <si>
    <t>คาปาซิสเตอร์ของคอยล์ร้อนแอร์ ขนาด 35 ไมโคร มีสาย</t>
  </si>
  <si>
    <t>คาปาซิสเตอร์ของคอยล์ร้อนแอร์ ขนาด 45 ไมโคร มีสาย</t>
  </si>
  <si>
    <t>คาปาซิสเตอร์ของคอยล์ร้อนแอร์ ขนาด 55 ไมโคร มีสาย</t>
  </si>
  <si>
    <t>คาปาซิสเตอร์ของคอยล์ร้อนแอร์ ขนาด 60 ไมโคร มีสาย</t>
  </si>
  <si>
    <t>คาปาซิสเตอร์ของคอยล์ร้อนแอร์ ขนาด 80 ไมโคร มีสาย</t>
  </si>
  <si>
    <t>2 Way ทองเหลือง ขนาด 1/21"</t>
  </si>
  <si>
    <t>3 Way ทองเหลือง ขนาด 3/4"</t>
  </si>
  <si>
    <t>มอเตอร์ไดร์วาล์ว จอร์นสัน</t>
  </si>
  <si>
    <t>ตัววัดอุณหภูมิตู้เย็น แบบมีสาย รุ่นHTC2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</si>
</sst>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-* #,##0_-;\-* #,##0_-;_-* &quot;-&quot;??_-;_-@_-"/>
    <numFmt numFmtId="166" formatCode="_-* #,##0.00000_-;\-* #,##0.00000_-;_-* &quot;-&quot;??_-;_-@_-"/>
    <numFmt numFmtId="167" formatCode="_-* #,##0.00_-;\-* #,##0.00_-;_-* &quot;-&quot;?????_-;_-@_-"/>
    <numFmt numFmtId="168" formatCode="0.0000"/>
  </numFmts>
  <fonts count="1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6"/>
      <name val="Angsana New"/>
      <family val="1"/>
    </font>
    <font>
      <sz val="16"/>
      <name val="Angsana New"/>
      <family val="1"/>
    </font>
    <font>
      <b/>
      <sz val="16"/>
      <color theme="1"/>
      <name val="Angsana New"/>
      <family val="1"/>
    </font>
    <font>
      <sz val="10"/>
      <color indexed="8"/>
      <name val="Arial"/>
      <family val="2"/>
    </font>
    <font>
      <b/>
      <sz val="18"/>
      <name val="Angsana New"/>
      <family val="1"/>
    </font>
    <font>
      <sz val="14"/>
      <name val="Cordia New"/>
      <family val="2"/>
    </font>
    <font>
      <sz val="18"/>
      <name val="Angsana New"/>
      <family val="1"/>
    </font>
    <font>
      <sz val="10"/>
      <name val="Arial"/>
      <family val="2"/>
    </font>
    <font>
      <b/>
      <sz val="22"/>
      <color theme="1"/>
      <name val="Calibri"/>
      <family val="2"/>
      <scheme val="minor"/>
    </font>
    <font>
      <sz val="18"/>
      <color rgb="FFFF0000"/>
      <name val="Angsana New"/>
      <family val="1"/>
    </font>
    <font>
      <sz val="18"/>
      <color rgb="FFC00000"/>
      <name val="Angsana New"/>
      <family val="1"/>
    </font>
    <font>
      <b/>
      <sz val="18"/>
      <color rgb="FFC00000"/>
      <name val="Angsana New"/>
      <family val="1"/>
    </font>
    <font>
      <b/>
      <sz val="18"/>
      <color rgb="FFFF0000"/>
      <name val="Angsana New"/>
      <family val="1"/>
    </font>
    <font>
      <b/>
      <sz val="18"/>
      <color theme="1"/>
      <name val="TH Sarabun New"/>
      <family val="2"/>
    </font>
    <font>
      <b/>
      <sz val="16"/>
      <color theme="1"/>
      <name val="TH Sarabun New"/>
      <family val="2"/>
    </font>
    <font>
      <sz val="18"/>
      <color theme="1"/>
      <name val="Angsana New"/>
      <family val="1"/>
    </font>
    <font>
      <b/>
      <sz val="18"/>
      <color theme="1"/>
      <name val="Angsana New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rgb="FFF3F3F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FEFE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164" fontId="1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</cellStyleXfs>
  <cellXfs count="209">
    <xf numFmtId="0" fontId="0" fillId="0" borderId="0" xfId="0"/>
    <xf numFmtId="0" fontId="8" fillId="0" borderId="1" xfId="7" applyFont="1" applyBorder="1" applyAlignment="1">
      <alignment horizontal="center" vertical="center" shrinkToFit="1"/>
    </xf>
    <xf numFmtId="0" fontId="8" fillId="0" borderId="1" xfId="4" applyFont="1" applyBorder="1" applyAlignment="1">
      <alignment horizontal="center" vertical="center" shrinkToFit="1"/>
    </xf>
    <xf numFmtId="0" fontId="8" fillId="0" borderId="1" xfId="11" applyFont="1" applyBorder="1" applyAlignment="1">
      <alignment horizontal="center" vertical="center" shrinkToFit="1"/>
    </xf>
    <xf numFmtId="165" fontId="0" fillId="0" borderId="1" xfId="0" applyNumberFormat="1" applyBorder="1"/>
    <xf numFmtId="0" fontId="0" fillId="0" borderId="1" xfId="0" applyBorder="1"/>
    <xf numFmtId="0" fontId="8" fillId="0" borderId="1" xfId="12" applyFont="1" applyBorder="1" applyAlignment="1">
      <alignment horizontal="center" vertical="center" shrinkToFit="1"/>
    </xf>
    <xf numFmtId="0" fontId="8" fillId="0" borderId="1" xfId="12" applyFont="1" applyBorder="1" applyAlignment="1">
      <alignment vertical="center" wrapText="1" shrinkToFit="1"/>
    </xf>
    <xf numFmtId="0" fontId="8" fillId="6" borderId="1" xfId="12" applyFont="1" applyFill="1" applyBorder="1" applyAlignment="1">
      <alignment horizontal="center" vertical="center" shrinkToFit="1"/>
    </xf>
    <xf numFmtId="0" fontId="8" fillId="0" borderId="1" xfId="12" applyFont="1" applyBorder="1" applyAlignment="1">
      <alignment vertical="center" shrinkToFit="1"/>
    </xf>
    <xf numFmtId="0" fontId="8" fillId="0" borderId="1" xfId="13" applyFont="1" applyBorder="1" applyAlignment="1">
      <alignment horizontal="center" vertical="center" shrinkToFit="1"/>
    </xf>
    <xf numFmtId="0" fontId="8" fillId="0" borderId="1" xfId="13" applyFont="1" applyBorder="1" applyAlignment="1">
      <alignment vertical="center" wrapText="1" shrinkToFit="1"/>
    </xf>
    <xf numFmtId="0" fontId="8" fillId="6" borderId="1" xfId="13" applyFont="1" applyFill="1" applyBorder="1" applyAlignment="1">
      <alignment horizontal="center" vertical="center" shrinkToFit="1"/>
    </xf>
    <xf numFmtId="0" fontId="8" fillId="0" borderId="1" xfId="4" applyFont="1" applyBorder="1" applyAlignment="1">
      <alignment vertical="center" wrapText="1" shrinkToFit="1"/>
    </xf>
    <xf numFmtId="0" fontId="8" fillId="6" borderId="1" xfId="11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top" shrinkToFit="1"/>
    </xf>
    <xf numFmtId="165" fontId="6" fillId="0" borderId="6" xfId="1" applyNumberFormat="1" applyFont="1" applyFill="1" applyBorder="1" applyAlignment="1">
      <alignment horizontal="center" vertical="top" shrinkToFit="1"/>
    </xf>
    <xf numFmtId="165" fontId="6" fillId="0" borderId="8" xfId="1" applyNumberFormat="1" applyFont="1" applyFill="1" applyBorder="1" applyAlignment="1">
      <alignment horizontal="center" vertical="top" shrinkToFit="1"/>
    </xf>
    <xf numFmtId="165" fontId="6" fillId="0" borderId="9" xfId="1" applyNumberFormat="1" applyFont="1" applyFill="1" applyBorder="1" applyAlignment="1">
      <alignment horizontal="center" vertical="top" shrinkToFit="1"/>
    </xf>
    <xf numFmtId="0" fontId="6" fillId="0" borderId="4" xfId="0" applyFont="1" applyBorder="1" applyAlignment="1">
      <alignment horizontal="center" vertical="top" shrinkToFit="1"/>
    </xf>
    <xf numFmtId="165" fontId="6" fillId="0" borderId="7" xfId="1" applyNumberFormat="1" applyFont="1" applyFill="1" applyBorder="1" applyAlignment="1">
      <alignment horizontal="center" vertical="top" shrinkToFit="1"/>
    </xf>
    <xf numFmtId="165" fontId="6" fillId="0" borderId="11" xfId="1" applyNumberFormat="1" applyFont="1" applyFill="1" applyBorder="1" applyAlignment="1">
      <alignment horizontal="center" vertical="top" shrinkToFit="1"/>
    </xf>
    <xf numFmtId="165" fontId="6" fillId="0" borderId="12" xfId="1" applyNumberFormat="1" applyFont="1" applyFill="1" applyBorder="1" applyAlignment="1">
      <alignment horizontal="center" vertical="top" shrinkToFit="1"/>
    </xf>
    <xf numFmtId="0" fontId="6" fillId="0" borderId="3" xfId="0" applyFont="1" applyBorder="1" applyAlignment="1">
      <alignment horizontal="center" vertical="top" shrinkToFit="1"/>
    </xf>
    <xf numFmtId="165" fontId="6" fillId="0" borderId="5" xfId="1" applyNumberFormat="1" applyFont="1" applyFill="1" applyBorder="1" applyAlignment="1">
      <alignment horizontal="center" vertical="top" shrinkToFit="1"/>
    </xf>
    <xf numFmtId="165" fontId="6" fillId="0" borderId="13" xfId="1" applyNumberFormat="1" applyFont="1" applyFill="1" applyBorder="1" applyAlignment="1">
      <alignment horizontal="center" vertical="top" shrinkToFit="1"/>
    </xf>
    <xf numFmtId="165" fontId="6" fillId="0" borderId="14" xfId="1" applyNumberFormat="1" applyFont="1" applyFill="1" applyBorder="1" applyAlignment="1">
      <alignment horizontal="center" vertical="top" shrinkToFit="1"/>
    </xf>
    <xf numFmtId="0" fontId="8" fillId="0" borderId="1" xfId="5" applyFont="1" applyBorder="1" applyAlignment="1">
      <alignment horizontal="center" vertical="top" shrinkToFit="1"/>
    </xf>
    <xf numFmtId="164" fontId="8" fillId="0" borderId="1" xfId="1" applyFont="1" applyFill="1" applyBorder="1" applyAlignment="1">
      <alignment vertical="top" shrinkToFit="1"/>
    </xf>
    <xf numFmtId="164" fontId="8" fillId="0" borderId="1" xfId="1" applyFont="1" applyFill="1" applyBorder="1" applyAlignment="1">
      <alignment horizontal="center" vertical="top" shrinkToFit="1"/>
    </xf>
    <xf numFmtId="165" fontId="8" fillId="0" borderId="1" xfId="1" applyNumberFormat="1" applyFont="1" applyFill="1" applyBorder="1" applyAlignment="1">
      <alignment vertical="top" shrinkToFit="1"/>
    </xf>
    <xf numFmtId="166" fontId="8" fillId="0" borderId="1" xfId="1" applyNumberFormat="1" applyFont="1" applyFill="1" applyBorder="1" applyAlignment="1">
      <alignment vertical="top" shrinkToFit="1"/>
    </xf>
    <xf numFmtId="165" fontId="11" fillId="0" borderId="1" xfId="1" applyNumberFormat="1" applyFont="1" applyFill="1" applyBorder="1" applyAlignment="1">
      <alignment vertical="top" shrinkToFit="1"/>
    </xf>
    <xf numFmtId="165" fontId="12" fillId="0" borderId="1" xfId="1" applyNumberFormat="1" applyFont="1" applyFill="1" applyBorder="1" applyAlignment="1">
      <alignment vertical="top" shrinkToFit="1"/>
    </xf>
    <xf numFmtId="0" fontId="8" fillId="0" borderId="1" xfId="6" applyFont="1" applyBorder="1" applyAlignment="1">
      <alignment horizontal="center" vertical="top" shrinkToFit="1"/>
    </xf>
    <xf numFmtId="0" fontId="8" fillId="0" borderId="1" xfId="7" applyFont="1" applyBorder="1" applyAlignment="1">
      <alignment horizontal="center" vertical="top" shrinkToFit="1"/>
    </xf>
    <xf numFmtId="165" fontId="13" fillId="0" borderId="1" xfId="1" applyNumberFormat="1" applyFont="1" applyFill="1" applyBorder="1" applyAlignment="1">
      <alignment vertical="top" shrinkToFit="1"/>
    </xf>
    <xf numFmtId="165" fontId="8" fillId="0" borderId="1" xfId="1" applyNumberFormat="1" applyFont="1" applyFill="1" applyBorder="1" applyAlignment="1">
      <alignment horizontal="center" vertical="top" shrinkToFit="1"/>
    </xf>
    <xf numFmtId="0" fontId="8" fillId="0" borderId="1" xfId="4" applyFont="1" applyBorder="1" applyAlignment="1">
      <alignment horizontal="center" vertical="top" shrinkToFit="1"/>
    </xf>
    <xf numFmtId="0" fontId="8" fillId="0" borderId="1" xfId="8" applyFont="1" applyBorder="1" applyAlignment="1">
      <alignment horizontal="center" vertical="top" shrinkToFit="1"/>
    </xf>
    <xf numFmtId="165" fontId="14" fillId="0" borderId="1" xfId="1" applyNumberFormat="1" applyFont="1" applyFill="1" applyBorder="1" applyAlignment="1">
      <alignment vertical="top" shrinkToFit="1"/>
    </xf>
    <xf numFmtId="164" fontId="8" fillId="0" borderId="1" xfId="1" applyFont="1" applyFill="1" applyBorder="1" applyAlignment="1">
      <alignment vertical="top" wrapText="1" shrinkToFit="1"/>
    </xf>
    <xf numFmtId="0" fontId="8" fillId="0" borderId="1" xfId="9" applyFont="1" applyBorder="1" applyAlignment="1">
      <alignment horizontal="center" vertical="top" shrinkToFit="1"/>
    </xf>
    <xf numFmtId="0" fontId="8" fillId="0" borderId="1" xfId="10" applyFont="1" applyBorder="1" applyAlignment="1">
      <alignment horizontal="center" vertical="top" shrinkToFit="1"/>
    </xf>
    <xf numFmtId="0" fontId="8" fillId="0" borderId="1" xfId="11" applyFont="1" applyBorder="1" applyAlignment="1">
      <alignment horizontal="center" vertical="top" shrinkToFit="1"/>
    </xf>
    <xf numFmtId="164" fontId="8" fillId="0" borderId="1" xfId="1" applyFont="1" applyFill="1" applyBorder="1" applyAlignment="1">
      <alignment horizontal="left" vertical="top" shrinkToFit="1"/>
    </xf>
    <xf numFmtId="2" fontId="8" fillId="0" borderId="1" xfId="1" applyNumberFormat="1" applyFont="1" applyFill="1" applyBorder="1" applyAlignment="1">
      <alignment vertical="top" shrinkToFit="1"/>
    </xf>
    <xf numFmtId="2" fontId="8" fillId="0" borderId="1" xfId="1" applyNumberFormat="1" applyFont="1" applyFill="1" applyBorder="1" applyAlignment="1">
      <alignment horizontal="center" vertical="top" shrinkToFit="1"/>
    </xf>
    <xf numFmtId="1" fontId="8" fillId="0" borderId="1" xfId="1" applyNumberFormat="1" applyFont="1" applyFill="1" applyBorder="1" applyAlignment="1">
      <alignment vertical="top" shrinkToFit="1"/>
    </xf>
    <xf numFmtId="168" fontId="8" fillId="0" borderId="1" xfId="1" applyNumberFormat="1" applyFont="1" applyFill="1" applyBorder="1" applyAlignment="1">
      <alignment vertical="top" shrinkToFit="1"/>
    </xf>
    <xf numFmtId="164" fontId="0" fillId="0" borderId="1" xfId="0" applyNumberFormat="1" applyBorder="1"/>
    <xf numFmtId="167" fontId="0" fillId="0" borderId="18" xfId="0" applyNumberFormat="1" applyBorder="1"/>
    <xf numFmtId="165" fontId="6" fillId="0" borderId="19" xfId="1" applyNumberFormat="1" applyFont="1" applyFill="1" applyBorder="1" applyAlignment="1">
      <alignment horizontal="center" vertical="top" shrinkToFit="1"/>
    </xf>
    <xf numFmtId="165" fontId="6" fillId="0" borderId="20" xfId="1" applyNumberFormat="1" applyFont="1" applyFill="1" applyBorder="1" applyAlignment="1">
      <alignment horizontal="center" vertical="top" shrinkToFit="1"/>
    </xf>
    <xf numFmtId="165" fontId="6" fillId="0" borderId="21" xfId="1" applyNumberFormat="1" applyFont="1" applyFill="1" applyBorder="1" applyAlignment="1">
      <alignment horizontal="center" vertical="top" shrinkToFit="1"/>
    </xf>
    <xf numFmtId="0" fontId="0" fillId="0" borderId="23" xfId="0" applyBorder="1"/>
    <xf numFmtId="0" fontId="0" fillId="0" borderId="24" xfId="0" applyBorder="1"/>
    <xf numFmtId="0" fontId="0" fillId="0" borderId="3" xfId="0" applyBorder="1"/>
    <xf numFmtId="0" fontId="0" fillId="0" borderId="22" xfId="0" applyBorder="1"/>
    <xf numFmtId="0" fontId="0" fillId="0" borderId="25" xfId="0" applyBorder="1"/>
    <xf numFmtId="165" fontId="8" fillId="0" borderId="3" xfId="1" applyNumberFormat="1" applyFont="1" applyFill="1" applyBorder="1" applyAlignment="1">
      <alignment vertical="top" shrinkToFit="1"/>
    </xf>
    <xf numFmtId="167" fontId="0" fillId="0" borderId="25" xfId="0" applyNumberFormat="1" applyBorder="1"/>
    <xf numFmtId="0" fontId="6" fillId="0" borderId="2" xfId="0" applyFont="1" applyBorder="1" applyAlignment="1">
      <alignment horizontal="center" vertical="center" shrinkToFit="1"/>
    </xf>
    <xf numFmtId="165" fontId="6" fillId="0" borderId="2" xfId="1" applyNumberFormat="1" applyFont="1" applyFill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165" fontId="6" fillId="0" borderId="4" xfId="1" applyNumberFormat="1" applyFont="1" applyFill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165" fontId="6" fillId="0" borderId="3" xfId="1" applyNumberFormat="1" applyFont="1" applyFill="1" applyBorder="1" applyAlignment="1">
      <alignment horizontal="center" vertical="center" shrinkToFit="1"/>
    </xf>
    <xf numFmtId="0" fontId="8" fillId="0" borderId="1" xfId="5" applyFont="1" applyBorder="1" applyAlignment="1">
      <alignment horizontal="center" vertical="center" shrinkToFit="1"/>
    </xf>
    <xf numFmtId="164" fontId="8" fillId="0" borderId="1" xfId="1" applyFont="1" applyFill="1" applyBorder="1" applyAlignment="1">
      <alignment vertical="center" shrinkToFit="1"/>
    </xf>
    <xf numFmtId="164" fontId="8" fillId="0" borderId="1" xfId="1" applyFont="1" applyFill="1" applyBorder="1" applyAlignment="1">
      <alignment horizontal="center" vertical="center" shrinkToFit="1"/>
    </xf>
    <xf numFmtId="165" fontId="8" fillId="0" borderId="1" xfId="1" applyNumberFormat="1" applyFont="1" applyFill="1" applyBorder="1" applyAlignment="1">
      <alignment horizontal="center" vertical="center" shrinkToFit="1"/>
    </xf>
    <xf numFmtId="165" fontId="8" fillId="0" borderId="1" xfId="1" applyNumberFormat="1" applyFont="1" applyFill="1" applyBorder="1" applyAlignment="1">
      <alignment shrinkToFit="1"/>
    </xf>
    <xf numFmtId="0" fontId="8" fillId="0" borderId="1" xfId="6" applyFont="1" applyBorder="1" applyAlignment="1">
      <alignment horizontal="center" vertical="center" shrinkToFit="1"/>
    </xf>
    <xf numFmtId="165" fontId="8" fillId="3" borderId="1" xfId="1" applyNumberFormat="1" applyFont="1" applyFill="1" applyBorder="1" applyAlignment="1">
      <alignment shrinkToFit="1"/>
    </xf>
    <xf numFmtId="165" fontId="8" fillId="7" borderId="1" xfId="1" applyNumberFormat="1" applyFont="1" applyFill="1" applyBorder="1" applyAlignment="1">
      <alignment shrinkToFit="1"/>
    </xf>
    <xf numFmtId="0" fontId="8" fillId="0" borderId="1" xfId="8" applyFont="1" applyBorder="1" applyAlignment="1">
      <alignment horizontal="center" vertical="center" shrinkToFit="1"/>
    </xf>
    <xf numFmtId="0" fontId="8" fillId="0" borderId="1" xfId="9" applyFont="1" applyBorder="1" applyAlignment="1">
      <alignment horizontal="center" vertical="center" shrinkToFit="1"/>
    </xf>
    <xf numFmtId="0" fontId="8" fillId="0" borderId="1" xfId="10" applyFont="1" applyBorder="1" applyAlignment="1">
      <alignment horizontal="center" vertical="center" shrinkToFit="1"/>
    </xf>
    <xf numFmtId="0" fontId="8" fillId="9" borderId="1" xfId="10" applyFont="1" applyFill="1" applyBorder="1" applyAlignment="1">
      <alignment horizontal="center" vertical="center" shrinkToFit="1"/>
    </xf>
    <xf numFmtId="164" fontId="8" fillId="9" borderId="1" xfId="1" applyFont="1" applyFill="1" applyBorder="1" applyAlignment="1">
      <alignment vertical="center" shrinkToFit="1"/>
    </xf>
    <xf numFmtId="164" fontId="8" fillId="9" borderId="1" xfId="1" applyFont="1" applyFill="1" applyBorder="1" applyAlignment="1">
      <alignment horizontal="center" vertical="center" shrinkToFit="1"/>
    </xf>
    <xf numFmtId="165" fontId="8" fillId="9" borderId="1" xfId="1" applyNumberFormat="1" applyFont="1" applyFill="1" applyBorder="1" applyAlignment="1">
      <alignment shrinkToFit="1"/>
    </xf>
    <xf numFmtId="0" fontId="8" fillId="9" borderId="1" xfId="4" applyFont="1" applyFill="1" applyBorder="1" applyAlignment="1">
      <alignment horizontal="center" vertical="center" shrinkToFit="1"/>
    </xf>
    <xf numFmtId="164" fontId="8" fillId="0" borderId="1" xfId="1" applyFont="1" applyFill="1" applyBorder="1" applyAlignment="1">
      <alignment horizontal="left" vertical="center" shrinkToFit="1"/>
    </xf>
    <xf numFmtId="164" fontId="8" fillId="3" borderId="1" xfId="1" applyFont="1" applyFill="1" applyBorder="1" applyAlignment="1">
      <alignment horizontal="center" vertical="center" shrinkToFit="1"/>
    </xf>
    <xf numFmtId="164" fontId="8" fillId="3" borderId="1" xfId="1" applyFont="1" applyFill="1" applyBorder="1" applyAlignment="1">
      <alignment shrinkToFit="1"/>
    </xf>
    <xf numFmtId="164" fontId="8" fillId="10" borderId="1" xfId="1" applyFont="1" applyFill="1" applyBorder="1" applyAlignment="1">
      <alignment shrinkToFit="1"/>
    </xf>
    <xf numFmtId="0" fontId="0" fillId="0" borderId="18" xfId="0" applyBorder="1"/>
    <xf numFmtId="0" fontId="0" fillId="0" borderId="1" xfId="0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4" fontId="0" fillId="0" borderId="25" xfId="1" applyFont="1" applyBorder="1"/>
    <xf numFmtId="164" fontId="0" fillId="11" borderId="1" xfId="1" applyFont="1" applyFill="1" applyBorder="1"/>
    <xf numFmtId="0" fontId="8" fillId="12" borderId="1" xfId="13" applyFont="1" applyFill="1" applyBorder="1" applyAlignment="1">
      <alignment horizontal="center" vertical="center" shrinkToFit="1"/>
    </xf>
    <xf numFmtId="0" fontId="8" fillId="12" borderId="1" xfId="13" applyFont="1" applyFill="1" applyBorder="1" applyAlignment="1">
      <alignment vertical="center" wrapText="1" shrinkToFit="1"/>
    </xf>
    <xf numFmtId="0" fontId="0" fillId="12" borderId="1" xfId="0" applyFill="1" applyBorder="1"/>
    <xf numFmtId="0" fontId="8" fillId="13" borderId="1" xfId="13" applyFont="1" applyFill="1" applyBorder="1" applyAlignment="1">
      <alignment horizontal="center" vertical="center" shrinkToFit="1"/>
    </xf>
    <xf numFmtId="0" fontId="8" fillId="13" borderId="1" xfId="13" applyFont="1" applyFill="1" applyBorder="1" applyAlignment="1">
      <alignment vertical="center" wrapText="1" shrinkToFit="1"/>
    </xf>
    <xf numFmtId="0" fontId="0" fillId="13" borderId="1" xfId="0" applyFill="1" applyBorder="1"/>
    <xf numFmtId="0" fontId="8" fillId="13" borderId="1" xfId="12" applyFont="1" applyFill="1" applyBorder="1" applyAlignment="1">
      <alignment horizontal="center" vertical="center" shrinkToFit="1"/>
    </xf>
    <xf numFmtId="0" fontId="8" fillId="13" borderId="1" xfId="12" applyFont="1" applyFill="1" applyBorder="1" applyAlignment="1">
      <alignment vertical="center" wrapText="1" shrinkToFit="1"/>
    </xf>
    <xf numFmtId="0" fontId="8" fillId="13" borderId="1" xfId="4" applyFont="1" applyFill="1" applyBorder="1" applyAlignment="1">
      <alignment horizontal="center" vertical="center" shrinkToFit="1"/>
    </xf>
    <xf numFmtId="0" fontId="8" fillId="13" borderId="1" xfId="4" applyFont="1" applyFill="1" applyBorder="1" applyAlignment="1">
      <alignment vertical="center" wrapText="1" shrinkToFit="1"/>
    </xf>
    <xf numFmtId="0" fontId="8" fillId="13" borderId="1" xfId="11" applyFont="1" applyFill="1" applyBorder="1" applyAlignment="1">
      <alignment horizontal="center" vertical="center" shrinkToFit="1"/>
    </xf>
    <xf numFmtId="0" fontId="8" fillId="13" borderId="1" xfId="13" applyFont="1" applyFill="1" applyBorder="1" applyAlignment="1">
      <alignment vertical="center" shrinkToFit="1"/>
    </xf>
    <xf numFmtId="0" fontId="8" fillId="13" borderId="1" xfId="7" applyFont="1" applyFill="1" applyBorder="1" applyAlignment="1">
      <alignment horizontal="center" vertical="center" shrinkToFit="1"/>
    </xf>
    <xf numFmtId="0" fontId="8" fillId="13" borderId="1" xfId="7" applyFont="1" applyFill="1" applyBorder="1" applyAlignment="1">
      <alignment vertical="center" wrapText="1" shrinkToFit="1"/>
    </xf>
    <xf numFmtId="0" fontId="8" fillId="13" borderId="1" xfId="10" applyFont="1" applyFill="1" applyBorder="1" applyAlignment="1">
      <alignment vertical="center" wrapText="1" shrinkToFit="1"/>
    </xf>
    <xf numFmtId="0" fontId="8" fillId="13" borderId="1" xfId="11" applyFont="1" applyFill="1" applyBorder="1" applyAlignment="1">
      <alignment horizontal="left" vertical="center" wrapText="1" shrinkToFit="1"/>
    </xf>
    <xf numFmtId="164" fontId="8" fillId="13" borderId="1" xfId="1" applyFont="1" applyFill="1" applyBorder="1" applyAlignment="1">
      <alignment horizontal="center" vertical="center" shrinkToFit="1"/>
    </xf>
    <xf numFmtId="164" fontId="8" fillId="13" borderId="1" xfId="1" applyFont="1" applyFill="1" applyBorder="1" applyAlignment="1">
      <alignment vertical="center" wrapText="1" shrinkToFit="1"/>
    </xf>
    <xf numFmtId="0" fontId="6" fillId="4" borderId="1" xfId="0" applyFont="1" applyFill="1" applyBorder="1" applyAlignment="1">
      <alignment vertical="center"/>
    </xf>
    <xf numFmtId="0" fontId="14" fillId="4" borderId="1" xfId="0" applyFont="1" applyFill="1" applyBorder="1" applyAlignment="1">
      <alignment horizontal="center" vertical="center"/>
    </xf>
    <xf numFmtId="0" fontId="17" fillId="0" borderId="1" xfId="0" applyFont="1" applyBorder="1"/>
    <xf numFmtId="0" fontId="11" fillId="13" borderId="1" xfId="0" applyFont="1" applyFill="1" applyBorder="1"/>
    <xf numFmtId="0" fontId="17" fillId="12" borderId="1" xfId="0" applyFont="1" applyFill="1" applyBorder="1"/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1" fillId="0" borderId="1" xfId="0" applyFont="1" applyBorder="1"/>
    <xf numFmtId="0" fontId="8" fillId="13" borderId="1" xfId="6" applyFont="1" applyFill="1" applyBorder="1" applyAlignment="1">
      <alignment horizontal="center" vertical="top" shrinkToFit="1"/>
    </xf>
    <xf numFmtId="164" fontId="8" fillId="13" borderId="1" xfId="1" applyFont="1" applyFill="1" applyBorder="1" applyAlignment="1">
      <alignment vertical="top" shrinkToFit="1"/>
    </xf>
    <xf numFmtId="164" fontId="8" fillId="13" borderId="1" xfId="1" applyFont="1" applyFill="1" applyBorder="1" applyAlignment="1">
      <alignment horizontal="center" vertical="top" shrinkToFit="1"/>
    </xf>
    <xf numFmtId="164" fontId="8" fillId="0" borderId="0" xfId="1" applyFont="1" applyFill="1" applyBorder="1" applyAlignment="1">
      <alignment vertical="top" shrinkToFit="1"/>
    </xf>
    <xf numFmtId="0" fontId="8" fillId="13" borderId="1" xfId="4" applyFont="1" applyFill="1" applyBorder="1" applyAlignment="1">
      <alignment horizontal="center" vertical="top" shrinkToFit="1"/>
    </xf>
    <xf numFmtId="165" fontId="8" fillId="13" borderId="1" xfId="1" applyNumberFormat="1" applyFont="1" applyFill="1" applyBorder="1" applyAlignment="1">
      <alignment vertical="top" shrinkToFit="1"/>
    </xf>
    <xf numFmtId="166" fontId="8" fillId="13" borderId="1" xfId="1" applyNumberFormat="1" applyFont="1" applyFill="1" applyBorder="1" applyAlignment="1">
      <alignment vertical="top" shrinkToFit="1"/>
    </xf>
    <xf numFmtId="0" fontId="0" fillId="13" borderId="0" xfId="0" applyFill="1"/>
    <xf numFmtId="165" fontId="0" fillId="13" borderId="1" xfId="0" applyNumberFormat="1" applyFill="1" applyBorder="1"/>
    <xf numFmtId="167" fontId="0" fillId="13" borderId="18" xfId="0" applyNumberFormat="1" applyFill="1" applyBorder="1"/>
    <xf numFmtId="164" fontId="0" fillId="13" borderId="1" xfId="0" applyNumberFormat="1" applyFill="1" applyBorder="1"/>
    <xf numFmtId="0" fontId="8" fillId="13" borderId="1" xfId="8" applyFont="1" applyFill="1" applyBorder="1" applyAlignment="1">
      <alignment horizontal="center" vertical="top" shrinkToFit="1"/>
    </xf>
    <xf numFmtId="0" fontId="8" fillId="14" borderId="1" xfId="6" applyFont="1" applyFill="1" applyBorder="1" applyAlignment="1">
      <alignment horizontal="center" vertical="top" shrinkToFit="1"/>
    </xf>
    <xf numFmtId="164" fontId="8" fillId="14" borderId="1" xfId="1" applyFont="1" applyFill="1" applyBorder="1" applyAlignment="1">
      <alignment vertical="top" shrinkToFit="1"/>
    </xf>
    <xf numFmtId="0" fontId="8" fillId="14" borderId="1" xfId="5" applyFont="1" applyFill="1" applyBorder="1" applyAlignment="1">
      <alignment horizontal="center" vertical="top" shrinkToFit="1"/>
    </xf>
    <xf numFmtId="0" fontId="8" fillId="14" borderId="1" xfId="7" applyFont="1" applyFill="1" applyBorder="1" applyAlignment="1">
      <alignment horizontal="center" vertical="top" shrinkToFit="1"/>
    </xf>
    <xf numFmtId="0" fontId="8" fillId="13" borderId="1" xfId="7" applyFont="1" applyFill="1" applyBorder="1" applyAlignment="1">
      <alignment horizontal="center" vertical="top" shrinkToFit="1"/>
    </xf>
    <xf numFmtId="0" fontId="8" fillId="14" borderId="1" xfId="4" applyFont="1" applyFill="1" applyBorder="1" applyAlignment="1">
      <alignment horizontal="center" vertical="top" shrinkToFit="1"/>
    </xf>
    <xf numFmtId="0" fontId="8" fillId="14" borderId="1" xfId="8" applyFont="1" applyFill="1" applyBorder="1" applyAlignment="1">
      <alignment horizontal="center" vertical="top" shrinkToFit="1"/>
    </xf>
    <xf numFmtId="165" fontId="11" fillId="13" borderId="1" xfId="1" applyNumberFormat="1" applyFont="1" applyFill="1" applyBorder="1" applyAlignment="1">
      <alignment vertical="top" shrinkToFit="1"/>
    </xf>
    <xf numFmtId="165" fontId="14" fillId="13" borderId="1" xfId="1" applyNumberFormat="1" applyFont="1" applyFill="1" applyBorder="1" applyAlignment="1">
      <alignment vertical="top" shrinkToFit="1"/>
    </xf>
    <xf numFmtId="0" fontId="8" fillId="14" borderId="1" xfId="10" applyFont="1" applyFill="1" applyBorder="1" applyAlignment="1">
      <alignment horizontal="center" vertical="top" shrinkToFit="1"/>
    </xf>
    <xf numFmtId="0" fontId="8" fillId="13" borderId="1" xfId="9" applyFont="1" applyFill="1" applyBorder="1" applyAlignment="1">
      <alignment horizontal="center" vertical="top" shrinkToFit="1"/>
    </xf>
    <xf numFmtId="0" fontId="8" fillId="14" borderId="1" xfId="11" applyFont="1" applyFill="1" applyBorder="1" applyAlignment="1">
      <alignment horizontal="center" vertical="top" shrinkToFit="1"/>
    </xf>
    <xf numFmtId="164" fontId="8" fillId="14" borderId="1" xfId="1" applyFont="1" applyFill="1" applyBorder="1" applyAlignment="1">
      <alignment horizontal="left" vertical="top" shrinkToFit="1"/>
    </xf>
    <xf numFmtId="2" fontId="8" fillId="13" borderId="1" xfId="1" applyNumberFormat="1" applyFont="1" applyFill="1" applyBorder="1" applyAlignment="1">
      <alignment vertical="top" shrinkToFit="1"/>
    </xf>
    <xf numFmtId="1" fontId="8" fillId="13" borderId="1" xfId="1" applyNumberFormat="1" applyFont="1" applyFill="1" applyBorder="1" applyAlignment="1">
      <alignment vertical="top" shrinkToFit="1"/>
    </xf>
    <xf numFmtId="165" fontId="0" fillId="13" borderId="2" xfId="0" applyNumberFormat="1" applyFill="1" applyBorder="1"/>
    <xf numFmtId="167" fontId="0" fillId="13" borderId="6" xfId="0" applyNumberFormat="1" applyFill="1" applyBorder="1"/>
    <xf numFmtId="0" fontId="0" fillId="13" borderId="2" xfId="0" applyFill="1" applyBorder="1"/>
    <xf numFmtId="0" fontId="8" fillId="13" borderId="2" xfId="4" applyFont="1" applyFill="1" applyBorder="1" applyAlignment="1">
      <alignment horizontal="center" vertical="top" shrinkToFit="1"/>
    </xf>
    <xf numFmtId="164" fontId="8" fillId="13" borderId="2" xfId="1" applyFont="1" applyFill="1" applyBorder="1" applyAlignment="1">
      <alignment vertical="top" shrinkToFit="1"/>
    </xf>
    <xf numFmtId="164" fontId="8" fillId="13" borderId="2" xfId="1" applyFont="1" applyFill="1" applyBorder="1" applyAlignment="1">
      <alignment horizontal="center" vertical="top" shrinkToFit="1"/>
    </xf>
    <xf numFmtId="165" fontId="8" fillId="13" borderId="2" xfId="1" applyNumberFormat="1" applyFont="1" applyFill="1" applyBorder="1" applyAlignment="1">
      <alignment vertical="top" shrinkToFit="1"/>
    </xf>
    <xf numFmtId="166" fontId="8" fillId="13" borderId="2" xfId="1" applyNumberFormat="1" applyFont="1" applyFill="1" applyBorder="1" applyAlignment="1">
      <alignment vertical="top" shrinkToFit="1"/>
    </xf>
    <xf numFmtId="167" fontId="0" fillId="13" borderId="2" xfId="0" applyNumberFormat="1" applyFill="1" applyBorder="1"/>
    <xf numFmtId="0" fontId="0" fillId="0" borderId="1" xfId="0" applyBorder="1" applyAlignment="1">
      <alignment horizontal="center"/>
    </xf>
    <xf numFmtId="0" fontId="17" fillId="13" borderId="1" xfId="0" applyFont="1" applyFill="1" applyBorder="1"/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164" fontId="2" fillId="2" borderId="1" xfId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shrinkToFit="1"/>
    </xf>
    <xf numFmtId="0" fontId="2" fillId="4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 wrapText="1"/>
    </xf>
    <xf numFmtId="0" fontId="15" fillId="5" borderId="16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top" shrinkToFit="1"/>
    </xf>
    <xf numFmtId="0" fontId="6" fillId="0" borderId="4" xfId="0" applyFont="1" applyBorder="1" applyAlignment="1">
      <alignment horizontal="center" vertical="top" shrinkToFit="1"/>
    </xf>
    <xf numFmtId="0" fontId="6" fillId="0" borderId="3" xfId="0" applyFont="1" applyBorder="1" applyAlignment="1">
      <alignment horizontal="center" vertical="top" shrinkToFit="1"/>
    </xf>
    <xf numFmtId="166" fontId="6" fillId="0" borderId="2" xfId="1" applyNumberFormat="1" applyFont="1" applyFill="1" applyBorder="1" applyAlignment="1">
      <alignment horizontal="center" vertical="center" shrinkToFit="1"/>
    </xf>
    <xf numFmtId="166" fontId="6" fillId="0" borderId="4" xfId="1" applyNumberFormat="1" applyFont="1" applyFill="1" applyBorder="1" applyAlignment="1">
      <alignment horizontal="center" vertical="center" shrinkToFit="1"/>
    </xf>
    <xf numFmtId="166" fontId="6" fillId="0" borderId="3" xfId="1" applyNumberFormat="1" applyFont="1" applyFill="1" applyBorder="1" applyAlignment="1">
      <alignment horizontal="center" vertical="center" shrinkToFit="1"/>
    </xf>
    <xf numFmtId="0" fontId="15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5" fontId="8" fillId="0" borderId="18" xfId="1" applyNumberFormat="1" applyFont="1" applyFill="1" applyBorder="1" applyAlignment="1">
      <alignment horizontal="center" vertical="top" shrinkToFit="1"/>
    </xf>
    <xf numFmtId="165" fontId="8" fillId="0" borderId="26" xfId="1" applyNumberFormat="1" applyFont="1" applyFill="1" applyBorder="1" applyAlignment="1">
      <alignment horizontal="center" vertical="top" shrinkToFit="1"/>
    </xf>
    <xf numFmtId="165" fontId="8" fillId="0" borderId="27" xfId="1" applyNumberFormat="1" applyFont="1" applyFill="1" applyBorder="1" applyAlignment="1">
      <alignment horizontal="center" vertical="top" shrinkToFi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164" fontId="6" fillId="3" borderId="2" xfId="1" applyFont="1" applyFill="1" applyBorder="1" applyAlignment="1">
      <alignment horizontal="center" vertical="center" shrinkToFit="1"/>
    </xf>
    <xf numFmtId="164" fontId="6" fillId="3" borderId="4" xfId="1" applyFont="1" applyFill="1" applyBorder="1" applyAlignment="1">
      <alignment horizontal="center" vertical="center" shrinkToFit="1"/>
    </xf>
    <xf numFmtId="164" fontId="6" fillId="3" borderId="3" xfId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4">
    <cellStyle name="Comma" xfId="1" builtinId="3"/>
    <cellStyle name="Normal" xfId="0" builtinId="0"/>
    <cellStyle name="ปกติ 2" xfId="4" xr:uid="{00000000-0005-0000-0000-000002000000}"/>
    <cellStyle name="ปกติ 3" xfId="2" xr:uid="{00000000-0005-0000-0000-000003000000}"/>
    <cellStyle name="ปกติ 4" xfId="3" xr:uid="{00000000-0005-0000-0000-000004000000}"/>
    <cellStyle name="ปกติ_Sheet1" xfId="11" xr:uid="{00000000-0005-0000-0000-000005000000}"/>
    <cellStyle name="ปกติ_ช่างกล" xfId="10" xr:uid="{00000000-0005-0000-0000-000006000000}"/>
    <cellStyle name="ปกติ_ช่างเชื่อม" xfId="8" xr:uid="{00000000-0005-0000-0000-000007000000}"/>
    <cellStyle name="ปกติ_ช่างเบาะ" xfId="9" xr:uid="{00000000-0005-0000-0000-000008000000}"/>
    <cellStyle name="ปกติ_ช่างประปา" xfId="7" xr:uid="{00000000-0005-0000-0000-000009000000}"/>
    <cellStyle name="ปกติ_ช่างไฟฟ้า" xfId="13" xr:uid="{00000000-0005-0000-0000-00000A000000}"/>
    <cellStyle name="ปกติ_ช่างไม้" xfId="6" xr:uid="{00000000-0005-0000-0000-00000B000000}"/>
    <cellStyle name="ปกติ_ช่างแอร์" xfId="12" xr:uid="{00000000-0005-0000-0000-00000C000000}"/>
    <cellStyle name="ปกติ_ทั่วไป" xfId="5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05"/>
  <sheetViews>
    <sheetView workbookViewId="0">
      <pane ySplit="3" topLeftCell="A82" activePane="bottomLeft" state="frozen"/>
      <selection pane="bottomLeft" activeCell="F202" sqref="F202"/>
    </sheetView>
  </sheetViews>
  <sheetFormatPr baseColWidth="10" defaultColWidth="9" defaultRowHeight="26"/>
  <cols>
    <col min="1" max="1" width="9" style="5" customWidth="1"/>
    <col min="2" max="2" width="45.33203125" style="5" bestFit="1" customWidth="1"/>
    <col min="3" max="3" width="8.83203125" style="5" customWidth="1"/>
    <col min="4" max="6" width="9" style="5"/>
    <col min="7" max="7" width="9.1640625" style="5" customWidth="1"/>
    <col min="8" max="8" width="0" style="5" hidden="1" customWidth="1"/>
    <col min="9" max="9" width="11.1640625" style="5" hidden="1" customWidth="1"/>
    <col min="10" max="10" width="12.83203125" style="5" customWidth="1"/>
    <col min="11" max="11" width="13" style="5" customWidth="1"/>
    <col min="12" max="12" width="22.5" style="5" hidden="1" customWidth="1"/>
    <col min="13" max="13" width="9" style="5" hidden="1" customWidth="1"/>
    <col min="14" max="14" width="11.5" style="5" customWidth="1"/>
    <col min="15" max="15" width="9" style="5"/>
    <col min="16" max="16" width="18.33203125" style="5" customWidth="1"/>
    <col min="17" max="17" width="23.83203125" style="5" customWidth="1"/>
    <col min="18" max="18" width="15.83203125" style="115" customWidth="1"/>
    <col min="19" max="19" width="15.83203125" style="5" customWidth="1"/>
    <col min="20" max="20" width="16.6640625" style="5" customWidth="1"/>
    <col min="21" max="16384" width="9" style="5"/>
  </cols>
  <sheetData>
    <row r="1" spans="1:20" ht="26.25" customHeight="1">
      <c r="A1" s="16" t="s">
        <v>26</v>
      </c>
      <c r="B1" s="168" t="s">
        <v>0</v>
      </c>
      <c r="C1" s="168" t="s">
        <v>27</v>
      </c>
      <c r="D1" s="170" t="s">
        <v>1</v>
      </c>
      <c r="E1" s="171"/>
      <c r="F1" s="171"/>
      <c r="G1" s="172" t="s">
        <v>2</v>
      </c>
      <c r="H1" s="15"/>
      <c r="I1" s="15"/>
      <c r="J1" s="172" t="s">
        <v>3</v>
      </c>
      <c r="K1" s="171"/>
      <c r="L1" s="171"/>
      <c r="M1" s="171"/>
      <c r="N1" s="171"/>
      <c r="O1" s="171"/>
      <c r="P1" s="171"/>
      <c r="Q1" s="161" t="s">
        <v>4</v>
      </c>
      <c r="R1" s="113"/>
      <c r="S1" s="92"/>
      <c r="T1" s="92"/>
    </row>
    <row r="2" spans="1:20" ht="33.75" customHeight="1">
      <c r="A2" s="16" t="s">
        <v>28</v>
      </c>
      <c r="B2" s="168"/>
      <c r="C2" s="168"/>
      <c r="D2" s="170" t="s">
        <v>5</v>
      </c>
      <c r="E2" s="170" t="s">
        <v>6</v>
      </c>
      <c r="F2" s="170" t="s">
        <v>173</v>
      </c>
      <c r="G2" s="172"/>
      <c r="H2" s="172" t="s">
        <v>7</v>
      </c>
      <c r="I2" s="172" t="s">
        <v>8</v>
      </c>
      <c r="J2" s="173" t="s">
        <v>321</v>
      </c>
      <c r="K2" s="172" t="s">
        <v>9</v>
      </c>
      <c r="L2" s="174">
        <v>0.1</v>
      </c>
      <c r="M2" s="174" t="s">
        <v>10</v>
      </c>
      <c r="N2" s="167" t="s">
        <v>11</v>
      </c>
      <c r="O2" s="169" t="s">
        <v>13</v>
      </c>
      <c r="P2" s="167" t="s">
        <v>12</v>
      </c>
      <c r="Q2" s="162"/>
      <c r="R2" s="114" t="s">
        <v>435</v>
      </c>
      <c r="S2" s="92"/>
      <c r="T2" s="92"/>
    </row>
    <row r="3" spans="1:20" ht="53.25" customHeight="1">
      <c r="A3" s="16"/>
      <c r="B3" s="168"/>
      <c r="C3" s="168"/>
      <c r="D3" s="170"/>
      <c r="E3" s="170"/>
      <c r="F3" s="170"/>
      <c r="G3" s="172"/>
      <c r="H3" s="172"/>
      <c r="I3" s="172"/>
      <c r="J3" s="173"/>
      <c r="K3" s="172"/>
      <c r="L3" s="174"/>
      <c r="M3" s="174"/>
      <c r="N3" s="167"/>
      <c r="O3" s="169"/>
      <c r="P3" s="167"/>
      <c r="Q3" s="163"/>
      <c r="R3" s="113"/>
      <c r="S3" s="92"/>
      <c r="T3" s="92"/>
    </row>
    <row r="4" spans="1:20" ht="27">
      <c r="A4" s="101">
        <v>3030045</v>
      </c>
      <c r="B4" s="102" t="s">
        <v>57</v>
      </c>
      <c r="C4" s="101" t="s">
        <v>14</v>
      </c>
      <c r="D4" s="100">
        <v>0</v>
      </c>
      <c r="E4" s="100">
        <v>0</v>
      </c>
      <c r="F4" s="100">
        <v>0</v>
      </c>
      <c r="G4" s="100">
        <v>0</v>
      </c>
      <c r="H4" s="100"/>
      <c r="I4" s="100"/>
      <c r="J4" s="100">
        <v>0</v>
      </c>
      <c r="K4" s="100">
        <v>0</v>
      </c>
      <c r="L4" s="100"/>
      <c r="M4" s="100"/>
      <c r="N4" s="100">
        <v>8</v>
      </c>
      <c r="O4" s="100">
        <f>+J4*N4</f>
        <v>0</v>
      </c>
      <c r="P4" s="100">
        <f>+K4*N4</f>
        <v>0</v>
      </c>
      <c r="Q4" s="100"/>
      <c r="R4" s="160" t="s">
        <v>496</v>
      </c>
    </row>
    <row r="5" spans="1:20" ht="27">
      <c r="A5" s="101">
        <v>3030047</v>
      </c>
      <c r="B5" s="102" t="s">
        <v>174</v>
      </c>
      <c r="C5" s="101" t="s">
        <v>19</v>
      </c>
      <c r="D5" s="100">
        <v>0</v>
      </c>
      <c r="E5" s="100">
        <v>0</v>
      </c>
      <c r="F5" s="100">
        <v>0</v>
      </c>
      <c r="G5" s="100">
        <v>0</v>
      </c>
      <c r="H5" s="100"/>
      <c r="I5" s="100"/>
      <c r="J5" s="100">
        <v>0</v>
      </c>
      <c r="K5" s="100">
        <v>0</v>
      </c>
      <c r="L5" s="100"/>
      <c r="M5" s="100"/>
      <c r="N5" s="100">
        <v>15</v>
      </c>
      <c r="O5" s="100">
        <f t="shared" ref="O5:O68" si="0">+J5*N5</f>
        <v>0</v>
      </c>
      <c r="P5" s="100">
        <f t="shared" ref="P5:P68" si="1">+K5*N5</f>
        <v>0</v>
      </c>
      <c r="Q5" s="100"/>
      <c r="R5" s="160" t="s">
        <v>496</v>
      </c>
    </row>
    <row r="6" spans="1:20" ht="27">
      <c r="A6" s="6">
        <v>3030058</v>
      </c>
      <c r="B6" s="7" t="s">
        <v>395</v>
      </c>
      <c r="C6" s="8" t="s">
        <v>32</v>
      </c>
      <c r="D6" s="5">
        <v>2</v>
      </c>
      <c r="E6" s="5">
        <v>9</v>
      </c>
      <c r="F6" s="5">
        <v>0</v>
      </c>
      <c r="G6" s="5">
        <v>0</v>
      </c>
      <c r="J6" s="5">
        <v>0</v>
      </c>
      <c r="K6" s="5">
        <v>0</v>
      </c>
      <c r="N6" s="5">
        <v>4</v>
      </c>
      <c r="O6" s="5">
        <f t="shared" si="0"/>
        <v>0</v>
      </c>
      <c r="P6" s="5">
        <f t="shared" si="1"/>
        <v>0</v>
      </c>
    </row>
    <row r="7" spans="1:20">
      <c r="A7" s="6">
        <v>3030059</v>
      </c>
      <c r="B7" s="9" t="s">
        <v>175</v>
      </c>
      <c r="C7" s="8" t="s">
        <v>18</v>
      </c>
      <c r="D7" s="5">
        <v>13</v>
      </c>
      <c r="E7" s="5">
        <v>5</v>
      </c>
      <c r="F7" s="5">
        <v>108</v>
      </c>
      <c r="G7" s="5">
        <v>0</v>
      </c>
      <c r="J7" s="5">
        <v>0</v>
      </c>
      <c r="K7" s="5">
        <v>0</v>
      </c>
      <c r="N7" s="5">
        <v>11</v>
      </c>
      <c r="O7" s="5">
        <f t="shared" si="0"/>
        <v>0</v>
      </c>
      <c r="P7" s="5">
        <f t="shared" si="1"/>
        <v>0</v>
      </c>
    </row>
    <row r="8" spans="1:20" ht="27">
      <c r="A8" s="6">
        <v>3030060</v>
      </c>
      <c r="B8" s="7" t="s">
        <v>176</v>
      </c>
      <c r="C8" s="8" t="s">
        <v>25</v>
      </c>
      <c r="D8" s="5">
        <v>81</v>
      </c>
      <c r="E8" s="5">
        <v>0</v>
      </c>
      <c r="F8" s="5">
        <v>70</v>
      </c>
      <c r="G8" s="5">
        <v>145</v>
      </c>
      <c r="J8" s="5">
        <v>0</v>
      </c>
      <c r="K8" s="5">
        <v>0</v>
      </c>
      <c r="N8" s="5">
        <v>47</v>
      </c>
      <c r="O8" s="5">
        <f t="shared" si="0"/>
        <v>0</v>
      </c>
      <c r="P8" s="5">
        <f t="shared" si="1"/>
        <v>0</v>
      </c>
    </row>
    <row r="9" spans="1:20" ht="27">
      <c r="A9" s="6">
        <v>3030062</v>
      </c>
      <c r="B9" s="7" t="s">
        <v>177</v>
      </c>
      <c r="C9" s="8" t="s">
        <v>23</v>
      </c>
      <c r="D9" s="5">
        <v>60</v>
      </c>
      <c r="E9" s="5">
        <v>0</v>
      </c>
      <c r="F9" s="5">
        <v>0</v>
      </c>
      <c r="G9" s="5">
        <v>19</v>
      </c>
      <c r="J9" s="5">
        <v>0</v>
      </c>
      <c r="K9" s="5">
        <v>0</v>
      </c>
      <c r="N9" s="5">
        <v>0</v>
      </c>
      <c r="O9" s="5">
        <f t="shared" si="0"/>
        <v>0</v>
      </c>
      <c r="P9" s="5">
        <f t="shared" si="1"/>
        <v>0</v>
      </c>
    </row>
    <row r="10" spans="1:20" ht="27">
      <c r="A10" s="6">
        <v>3030064</v>
      </c>
      <c r="B10" s="7" t="s">
        <v>178</v>
      </c>
      <c r="C10" s="8" t="s">
        <v>25</v>
      </c>
      <c r="D10" s="5">
        <v>0</v>
      </c>
      <c r="E10" s="5">
        <v>0</v>
      </c>
      <c r="F10" s="5">
        <v>0</v>
      </c>
      <c r="G10" s="5">
        <v>0</v>
      </c>
      <c r="J10" s="5">
        <v>0</v>
      </c>
      <c r="K10" s="5">
        <v>0</v>
      </c>
      <c r="N10" s="5">
        <v>39</v>
      </c>
      <c r="O10" s="5">
        <f t="shared" si="0"/>
        <v>0</v>
      </c>
      <c r="P10" s="5">
        <f t="shared" si="1"/>
        <v>0</v>
      </c>
    </row>
    <row r="11" spans="1:20" ht="27">
      <c r="A11" s="6">
        <v>3030072</v>
      </c>
      <c r="B11" s="7" t="s">
        <v>179</v>
      </c>
      <c r="C11" s="8" t="s">
        <v>16</v>
      </c>
      <c r="D11" s="5">
        <v>2</v>
      </c>
      <c r="E11" s="5">
        <v>0</v>
      </c>
      <c r="F11" s="5">
        <v>1</v>
      </c>
      <c r="G11" s="5">
        <v>9</v>
      </c>
      <c r="J11" s="5">
        <v>10</v>
      </c>
      <c r="K11" s="5">
        <v>0</v>
      </c>
      <c r="N11" s="5">
        <v>0</v>
      </c>
      <c r="O11" s="5">
        <f t="shared" si="0"/>
        <v>0</v>
      </c>
      <c r="P11" s="5">
        <f t="shared" si="1"/>
        <v>0</v>
      </c>
    </row>
    <row r="12" spans="1:20" ht="27">
      <c r="A12" s="6">
        <v>3030074</v>
      </c>
      <c r="B12" s="7" t="s">
        <v>180</v>
      </c>
      <c r="C12" s="8" t="s">
        <v>16</v>
      </c>
      <c r="D12" s="5">
        <v>8</v>
      </c>
      <c r="E12" s="5">
        <v>0</v>
      </c>
      <c r="F12" s="5">
        <v>9</v>
      </c>
      <c r="G12" s="5">
        <v>29</v>
      </c>
      <c r="J12" s="5">
        <v>0</v>
      </c>
      <c r="K12" s="5">
        <v>0</v>
      </c>
      <c r="N12" s="5">
        <v>0</v>
      </c>
      <c r="O12" s="5">
        <f t="shared" si="0"/>
        <v>0</v>
      </c>
      <c r="P12" s="5">
        <f t="shared" si="1"/>
        <v>0</v>
      </c>
    </row>
    <row r="13" spans="1:20" ht="27">
      <c r="A13" s="6">
        <v>3030076</v>
      </c>
      <c r="B13" s="7" t="s">
        <v>181</v>
      </c>
      <c r="C13" s="8" t="s">
        <v>16</v>
      </c>
      <c r="D13" s="5">
        <v>8</v>
      </c>
      <c r="E13" s="5">
        <v>0</v>
      </c>
      <c r="F13" s="5">
        <v>0</v>
      </c>
      <c r="G13" s="5">
        <v>8</v>
      </c>
      <c r="J13" s="5">
        <v>0</v>
      </c>
      <c r="K13" s="5">
        <v>0</v>
      </c>
      <c r="N13" s="5">
        <v>0</v>
      </c>
      <c r="O13" s="5">
        <f t="shared" si="0"/>
        <v>0</v>
      </c>
      <c r="P13" s="5">
        <f t="shared" si="1"/>
        <v>0</v>
      </c>
    </row>
    <row r="14" spans="1:20" ht="27">
      <c r="A14" s="6">
        <v>3030078</v>
      </c>
      <c r="B14" s="7" t="s">
        <v>182</v>
      </c>
      <c r="C14" s="8" t="s">
        <v>16</v>
      </c>
      <c r="D14" s="5">
        <v>2</v>
      </c>
      <c r="E14" s="5">
        <v>1</v>
      </c>
      <c r="F14" s="5">
        <v>18</v>
      </c>
      <c r="G14" s="5">
        <v>14</v>
      </c>
      <c r="J14" s="5">
        <v>0</v>
      </c>
      <c r="K14" s="5">
        <v>0</v>
      </c>
      <c r="N14" s="5">
        <v>6</v>
      </c>
      <c r="O14" s="5">
        <f t="shared" si="0"/>
        <v>0</v>
      </c>
      <c r="P14" s="5">
        <f t="shared" si="1"/>
        <v>0</v>
      </c>
    </row>
    <row r="15" spans="1:20" ht="27">
      <c r="A15" s="6">
        <v>3030080</v>
      </c>
      <c r="B15" s="7" t="s">
        <v>183</v>
      </c>
      <c r="C15" s="8" t="s">
        <v>19</v>
      </c>
      <c r="D15" s="5">
        <v>5</v>
      </c>
      <c r="E15" s="5">
        <v>3</v>
      </c>
      <c r="F15" s="5">
        <v>0</v>
      </c>
      <c r="G15" s="5">
        <v>4</v>
      </c>
      <c r="J15" s="5">
        <v>0</v>
      </c>
      <c r="K15" s="5">
        <v>0</v>
      </c>
      <c r="N15" s="5">
        <v>3</v>
      </c>
      <c r="O15" s="5">
        <f t="shared" si="0"/>
        <v>0</v>
      </c>
      <c r="P15" s="5">
        <f t="shared" si="1"/>
        <v>0</v>
      </c>
    </row>
    <row r="16" spans="1:20" ht="27">
      <c r="A16" s="6">
        <v>3030084</v>
      </c>
      <c r="B16" s="7" t="s">
        <v>184</v>
      </c>
      <c r="C16" s="8" t="s">
        <v>16</v>
      </c>
      <c r="D16" s="5">
        <v>4</v>
      </c>
      <c r="E16" s="5">
        <v>0</v>
      </c>
      <c r="F16" s="5">
        <v>5</v>
      </c>
      <c r="G16" s="5">
        <v>8</v>
      </c>
      <c r="J16" s="5">
        <v>0</v>
      </c>
      <c r="K16" s="5">
        <v>0</v>
      </c>
      <c r="N16" s="5">
        <v>3</v>
      </c>
      <c r="O16" s="5">
        <f t="shared" si="0"/>
        <v>0</v>
      </c>
      <c r="P16" s="5">
        <f t="shared" si="1"/>
        <v>0</v>
      </c>
    </row>
    <row r="17" spans="1:18" ht="27">
      <c r="A17" s="6">
        <v>3030118</v>
      </c>
      <c r="B17" s="7" t="s">
        <v>185</v>
      </c>
      <c r="C17" s="8" t="s">
        <v>14</v>
      </c>
      <c r="D17" s="5">
        <v>5</v>
      </c>
      <c r="E17" s="5">
        <v>5</v>
      </c>
      <c r="F17" s="5">
        <v>15</v>
      </c>
      <c r="G17" s="5">
        <v>45</v>
      </c>
      <c r="J17" s="5">
        <v>0</v>
      </c>
      <c r="K17" s="5">
        <v>0</v>
      </c>
      <c r="N17" s="5">
        <v>0</v>
      </c>
      <c r="O17" s="5">
        <f t="shared" si="0"/>
        <v>0</v>
      </c>
      <c r="P17" s="5">
        <f t="shared" si="1"/>
        <v>0</v>
      </c>
      <c r="R17" s="115" t="s">
        <v>436</v>
      </c>
    </row>
    <row r="18" spans="1:18" ht="27">
      <c r="A18" s="6">
        <v>3030120</v>
      </c>
      <c r="B18" s="7" t="s">
        <v>186</v>
      </c>
      <c r="C18" s="8" t="s">
        <v>14</v>
      </c>
      <c r="D18" s="5">
        <v>0</v>
      </c>
      <c r="E18" s="5">
        <v>6</v>
      </c>
      <c r="F18" s="5">
        <v>0</v>
      </c>
      <c r="G18" s="5">
        <v>0</v>
      </c>
      <c r="J18" s="5">
        <v>0</v>
      </c>
      <c r="K18" s="5">
        <v>0</v>
      </c>
      <c r="N18" s="5">
        <v>0</v>
      </c>
      <c r="O18" s="5">
        <f t="shared" si="0"/>
        <v>0</v>
      </c>
      <c r="P18" s="5">
        <f t="shared" si="1"/>
        <v>0</v>
      </c>
      <c r="R18" s="115" t="s">
        <v>436</v>
      </c>
    </row>
    <row r="19" spans="1:18" ht="27">
      <c r="A19" s="6">
        <v>3030124</v>
      </c>
      <c r="B19" s="7" t="s">
        <v>187</v>
      </c>
      <c r="C19" s="8" t="s">
        <v>14</v>
      </c>
      <c r="D19" s="5">
        <v>5</v>
      </c>
      <c r="E19" s="5">
        <v>0</v>
      </c>
      <c r="F19" s="5">
        <v>18</v>
      </c>
      <c r="G19" s="5">
        <v>38</v>
      </c>
      <c r="J19" s="5">
        <v>0</v>
      </c>
      <c r="K19" s="5">
        <v>40</v>
      </c>
      <c r="N19" s="5">
        <v>0</v>
      </c>
      <c r="O19" s="5">
        <f t="shared" si="0"/>
        <v>0</v>
      </c>
      <c r="P19" s="5">
        <f t="shared" si="1"/>
        <v>0</v>
      </c>
      <c r="R19" s="115" t="s">
        <v>467</v>
      </c>
    </row>
    <row r="20" spans="1:18" ht="27">
      <c r="A20" s="101">
        <v>3030126</v>
      </c>
      <c r="B20" s="102" t="s">
        <v>188</v>
      </c>
      <c r="C20" s="101" t="s">
        <v>14</v>
      </c>
      <c r="D20" s="100">
        <v>3</v>
      </c>
      <c r="E20" s="100">
        <v>5</v>
      </c>
      <c r="F20" s="100">
        <v>0</v>
      </c>
      <c r="G20" s="100">
        <v>0</v>
      </c>
      <c r="H20" s="100"/>
      <c r="I20" s="100"/>
      <c r="J20" s="100">
        <v>20</v>
      </c>
      <c r="K20" s="100">
        <v>0</v>
      </c>
      <c r="L20" s="100"/>
      <c r="M20" s="100"/>
      <c r="N20" s="100">
        <v>5</v>
      </c>
      <c r="O20" s="100">
        <f t="shared" si="0"/>
        <v>100</v>
      </c>
      <c r="P20" s="100">
        <f t="shared" si="1"/>
        <v>0</v>
      </c>
      <c r="Q20" s="100"/>
      <c r="R20" s="116" t="s">
        <v>437</v>
      </c>
    </row>
    <row r="21" spans="1:18" ht="27">
      <c r="A21" s="101">
        <v>3030128</v>
      </c>
      <c r="B21" s="102" t="s">
        <v>189</v>
      </c>
      <c r="C21" s="101" t="s">
        <v>14</v>
      </c>
      <c r="D21" s="100">
        <v>4</v>
      </c>
      <c r="E21" s="100">
        <v>5</v>
      </c>
      <c r="F21" s="100">
        <v>0</v>
      </c>
      <c r="G21" s="100">
        <v>0</v>
      </c>
      <c r="H21" s="100"/>
      <c r="I21" s="100"/>
      <c r="J21" s="100">
        <v>0</v>
      </c>
      <c r="K21" s="100">
        <v>0</v>
      </c>
      <c r="L21" s="100"/>
      <c r="M21" s="100"/>
      <c r="N21" s="100">
        <v>10</v>
      </c>
      <c r="O21" s="100">
        <f t="shared" si="0"/>
        <v>0</v>
      </c>
      <c r="P21" s="100">
        <f t="shared" si="1"/>
        <v>0</v>
      </c>
      <c r="Q21" s="100"/>
      <c r="R21" s="116" t="s">
        <v>437</v>
      </c>
    </row>
    <row r="22" spans="1:18" ht="27">
      <c r="A22" s="101">
        <v>3030130</v>
      </c>
      <c r="B22" s="102" t="s">
        <v>190</v>
      </c>
      <c r="C22" s="101" t="s">
        <v>14</v>
      </c>
      <c r="D22" s="100">
        <v>0</v>
      </c>
      <c r="E22" s="100">
        <v>4</v>
      </c>
      <c r="F22" s="100">
        <v>5</v>
      </c>
      <c r="G22" s="100">
        <v>0</v>
      </c>
      <c r="H22" s="100"/>
      <c r="I22" s="100"/>
      <c r="J22" s="100">
        <v>0</v>
      </c>
      <c r="K22" s="100">
        <v>0</v>
      </c>
      <c r="L22" s="100"/>
      <c r="M22" s="100"/>
      <c r="N22" s="100">
        <v>0</v>
      </c>
      <c r="O22" s="100">
        <f t="shared" si="0"/>
        <v>0</v>
      </c>
      <c r="P22" s="100">
        <f t="shared" si="1"/>
        <v>0</v>
      </c>
      <c r="Q22" s="100"/>
      <c r="R22" s="116" t="s">
        <v>437</v>
      </c>
    </row>
    <row r="23" spans="1:18" ht="27">
      <c r="A23" s="6">
        <v>3030134</v>
      </c>
      <c r="B23" s="7" t="s">
        <v>191</v>
      </c>
      <c r="C23" s="8" t="s">
        <v>14</v>
      </c>
      <c r="D23" s="5">
        <v>3</v>
      </c>
      <c r="E23" s="5">
        <v>0</v>
      </c>
      <c r="F23" s="5">
        <v>0</v>
      </c>
      <c r="G23" s="5">
        <v>6</v>
      </c>
      <c r="J23" s="5">
        <v>0</v>
      </c>
      <c r="K23" s="5">
        <v>0</v>
      </c>
      <c r="N23" s="5">
        <v>13</v>
      </c>
      <c r="O23" s="5">
        <f t="shared" si="0"/>
        <v>0</v>
      </c>
      <c r="P23" s="5">
        <f t="shared" si="1"/>
        <v>0</v>
      </c>
    </row>
    <row r="24" spans="1:18" ht="27">
      <c r="A24" s="101">
        <v>3030136</v>
      </c>
      <c r="B24" s="102" t="s">
        <v>192</v>
      </c>
      <c r="C24" s="101" t="s">
        <v>14</v>
      </c>
      <c r="D24" s="100">
        <v>10</v>
      </c>
      <c r="E24" s="100">
        <v>0</v>
      </c>
      <c r="F24" s="100">
        <v>0</v>
      </c>
      <c r="G24" s="100">
        <v>3</v>
      </c>
      <c r="H24" s="100"/>
      <c r="I24" s="100"/>
      <c r="J24" s="100">
        <v>0</v>
      </c>
      <c r="K24" s="100">
        <v>0</v>
      </c>
      <c r="L24" s="100"/>
      <c r="M24" s="100"/>
      <c r="N24" s="100">
        <v>3</v>
      </c>
      <c r="O24" s="100">
        <f t="shared" si="0"/>
        <v>0</v>
      </c>
      <c r="P24" s="100">
        <f t="shared" si="1"/>
        <v>0</v>
      </c>
      <c r="Q24" s="100"/>
      <c r="R24" s="116" t="s">
        <v>437</v>
      </c>
    </row>
    <row r="25" spans="1:18" ht="27">
      <c r="A25" s="101">
        <v>3030138</v>
      </c>
      <c r="B25" s="102" t="s">
        <v>193</v>
      </c>
      <c r="C25" s="101" t="s">
        <v>19</v>
      </c>
      <c r="D25" s="100">
        <v>0</v>
      </c>
      <c r="E25" s="100">
        <v>0</v>
      </c>
      <c r="F25" s="100">
        <v>0</v>
      </c>
      <c r="G25" s="100">
        <v>3</v>
      </c>
      <c r="H25" s="100"/>
      <c r="I25" s="100"/>
      <c r="J25" s="100">
        <v>0</v>
      </c>
      <c r="K25" s="100">
        <v>0</v>
      </c>
      <c r="L25" s="100"/>
      <c r="M25" s="100"/>
      <c r="N25" s="100">
        <v>1</v>
      </c>
      <c r="O25" s="100">
        <f t="shared" si="0"/>
        <v>0</v>
      </c>
      <c r="P25" s="100">
        <f t="shared" si="1"/>
        <v>0</v>
      </c>
      <c r="Q25" s="100"/>
      <c r="R25" s="116" t="s">
        <v>437</v>
      </c>
    </row>
    <row r="26" spans="1:18" ht="27">
      <c r="A26" s="101">
        <v>3030146</v>
      </c>
      <c r="B26" s="102" t="s">
        <v>194</v>
      </c>
      <c r="C26" s="101" t="s">
        <v>19</v>
      </c>
      <c r="D26" s="100">
        <v>0</v>
      </c>
      <c r="E26" s="100">
        <v>0</v>
      </c>
      <c r="F26" s="100">
        <v>0</v>
      </c>
      <c r="G26" s="100">
        <v>0</v>
      </c>
      <c r="H26" s="100"/>
      <c r="I26" s="100"/>
      <c r="J26" s="100">
        <v>0</v>
      </c>
      <c r="K26" s="100">
        <v>0</v>
      </c>
      <c r="L26" s="100"/>
      <c r="M26" s="100"/>
      <c r="N26" s="100">
        <v>3</v>
      </c>
      <c r="O26" s="100">
        <f t="shared" si="0"/>
        <v>0</v>
      </c>
      <c r="P26" s="100">
        <f t="shared" si="1"/>
        <v>0</v>
      </c>
      <c r="Q26" s="100"/>
      <c r="R26" s="116" t="s">
        <v>437</v>
      </c>
    </row>
    <row r="27" spans="1:18" ht="27">
      <c r="A27" s="101">
        <v>3030154</v>
      </c>
      <c r="B27" s="102" t="s">
        <v>195</v>
      </c>
      <c r="C27" s="101" t="s">
        <v>18</v>
      </c>
      <c r="D27" s="100">
        <v>0</v>
      </c>
      <c r="E27" s="100">
        <v>1</v>
      </c>
      <c r="F27" s="100">
        <v>0</v>
      </c>
      <c r="G27" s="100">
        <v>0</v>
      </c>
      <c r="H27" s="100"/>
      <c r="I27" s="100"/>
      <c r="J27" s="100">
        <v>0</v>
      </c>
      <c r="K27" s="100">
        <v>0</v>
      </c>
      <c r="L27" s="100"/>
      <c r="M27" s="100"/>
      <c r="N27" s="100">
        <v>3</v>
      </c>
      <c r="O27" s="100">
        <f t="shared" si="0"/>
        <v>0</v>
      </c>
      <c r="P27" s="100">
        <f t="shared" si="1"/>
        <v>0</v>
      </c>
      <c r="Q27" s="100"/>
      <c r="R27" s="116" t="s">
        <v>437</v>
      </c>
    </row>
    <row r="28" spans="1:18" ht="27">
      <c r="A28" s="101">
        <v>3030156</v>
      </c>
      <c r="B28" s="102" t="s">
        <v>196</v>
      </c>
      <c r="C28" s="101" t="s">
        <v>19</v>
      </c>
      <c r="D28" s="100">
        <v>0</v>
      </c>
      <c r="E28" s="100">
        <v>2</v>
      </c>
      <c r="F28" s="100">
        <v>0</v>
      </c>
      <c r="G28" s="100">
        <v>0</v>
      </c>
      <c r="H28" s="100"/>
      <c r="I28" s="100"/>
      <c r="J28" s="100">
        <v>0</v>
      </c>
      <c r="K28" s="100">
        <v>0</v>
      </c>
      <c r="L28" s="100"/>
      <c r="M28" s="100"/>
      <c r="N28" s="100">
        <v>2</v>
      </c>
      <c r="O28" s="100">
        <f t="shared" si="0"/>
        <v>0</v>
      </c>
      <c r="P28" s="100">
        <f t="shared" si="1"/>
        <v>0</v>
      </c>
      <c r="Q28" s="100"/>
      <c r="R28" s="116" t="s">
        <v>437</v>
      </c>
    </row>
    <row r="29" spans="1:18" ht="27">
      <c r="A29" s="101">
        <v>3030158</v>
      </c>
      <c r="B29" s="102" t="s">
        <v>197</v>
      </c>
      <c r="C29" s="101" t="s">
        <v>19</v>
      </c>
      <c r="D29" s="100">
        <v>0</v>
      </c>
      <c r="E29" s="100">
        <v>0</v>
      </c>
      <c r="F29" s="100">
        <v>0</v>
      </c>
      <c r="G29" s="100">
        <v>5</v>
      </c>
      <c r="H29" s="100"/>
      <c r="I29" s="100"/>
      <c r="J29" s="100">
        <v>0</v>
      </c>
      <c r="K29" s="100">
        <v>0</v>
      </c>
      <c r="L29" s="100"/>
      <c r="M29" s="100"/>
      <c r="N29" s="100">
        <v>21</v>
      </c>
      <c r="O29" s="100">
        <f t="shared" si="0"/>
        <v>0</v>
      </c>
      <c r="P29" s="100">
        <f t="shared" si="1"/>
        <v>0</v>
      </c>
      <c r="Q29" s="100"/>
      <c r="R29" s="116" t="s">
        <v>437</v>
      </c>
    </row>
    <row r="30" spans="1:18" ht="27">
      <c r="A30" s="6">
        <v>3030160</v>
      </c>
      <c r="B30" s="7" t="s">
        <v>198</v>
      </c>
      <c r="C30" s="8" t="s">
        <v>19</v>
      </c>
      <c r="D30" s="5">
        <v>4</v>
      </c>
      <c r="E30" s="5">
        <v>1</v>
      </c>
      <c r="F30" s="5">
        <v>15</v>
      </c>
      <c r="G30" s="5">
        <v>8</v>
      </c>
      <c r="J30" s="5">
        <v>0</v>
      </c>
      <c r="K30" s="5">
        <v>0</v>
      </c>
      <c r="N30" s="5">
        <v>3</v>
      </c>
      <c r="O30" s="5">
        <f t="shared" si="0"/>
        <v>0</v>
      </c>
      <c r="P30" s="5">
        <f t="shared" si="1"/>
        <v>0</v>
      </c>
    </row>
    <row r="31" spans="1:18">
      <c r="A31" s="6">
        <v>3030162</v>
      </c>
      <c r="B31" s="9" t="s">
        <v>199</v>
      </c>
      <c r="C31" s="8" t="s">
        <v>19</v>
      </c>
      <c r="D31" s="5">
        <v>1</v>
      </c>
      <c r="E31" s="5">
        <v>2</v>
      </c>
      <c r="F31" s="5">
        <v>0</v>
      </c>
      <c r="G31" s="5">
        <v>0</v>
      </c>
      <c r="J31" s="5">
        <v>0</v>
      </c>
      <c r="K31" s="5">
        <v>0</v>
      </c>
      <c r="N31" s="5">
        <v>15</v>
      </c>
      <c r="O31" s="5">
        <f t="shared" si="0"/>
        <v>0</v>
      </c>
      <c r="P31" s="5">
        <f t="shared" si="1"/>
        <v>0</v>
      </c>
    </row>
    <row r="32" spans="1:18">
      <c r="A32" s="6">
        <v>3030162</v>
      </c>
      <c r="B32" s="9" t="s">
        <v>199</v>
      </c>
      <c r="C32" s="8" t="s">
        <v>19</v>
      </c>
      <c r="D32" s="5">
        <v>2</v>
      </c>
      <c r="E32" s="5">
        <v>2</v>
      </c>
      <c r="F32" s="5">
        <v>2</v>
      </c>
      <c r="G32" s="5">
        <v>13</v>
      </c>
      <c r="J32" s="5">
        <v>0</v>
      </c>
      <c r="K32" s="5">
        <v>0</v>
      </c>
      <c r="N32" s="5">
        <v>11</v>
      </c>
      <c r="O32" s="5">
        <f t="shared" si="0"/>
        <v>0</v>
      </c>
      <c r="P32" s="5">
        <f t="shared" si="1"/>
        <v>0</v>
      </c>
    </row>
    <row r="33" spans="1:18" ht="27">
      <c r="A33" s="101">
        <v>3030164</v>
      </c>
      <c r="B33" s="102" t="s">
        <v>200</v>
      </c>
      <c r="C33" s="101" t="s">
        <v>19</v>
      </c>
      <c r="D33" s="100">
        <v>8</v>
      </c>
      <c r="E33" s="100">
        <v>0</v>
      </c>
      <c r="F33" s="100">
        <v>0</v>
      </c>
      <c r="G33" s="100">
        <v>3</v>
      </c>
      <c r="H33" s="100"/>
      <c r="I33" s="100"/>
      <c r="J33" s="100">
        <v>0</v>
      </c>
      <c r="K33" s="100">
        <v>0</v>
      </c>
      <c r="L33" s="100"/>
      <c r="M33" s="100"/>
      <c r="N33" s="100">
        <v>12</v>
      </c>
      <c r="O33" s="100">
        <f t="shared" si="0"/>
        <v>0</v>
      </c>
      <c r="P33" s="100">
        <f t="shared" si="1"/>
        <v>0</v>
      </c>
      <c r="Q33" s="100"/>
      <c r="R33" s="116" t="s">
        <v>437</v>
      </c>
    </row>
    <row r="34" spans="1:18" ht="27">
      <c r="A34" s="101">
        <v>3030166</v>
      </c>
      <c r="B34" s="102" t="s">
        <v>201</v>
      </c>
      <c r="C34" s="101" t="s">
        <v>19</v>
      </c>
      <c r="D34" s="100">
        <v>0</v>
      </c>
      <c r="E34" s="100">
        <v>0</v>
      </c>
      <c r="F34" s="100">
        <v>0</v>
      </c>
      <c r="G34" s="100">
        <v>1</v>
      </c>
      <c r="H34" s="100"/>
      <c r="I34" s="100"/>
      <c r="J34" s="100">
        <v>0</v>
      </c>
      <c r="K34" s="100">
        <v>0</v>
      </c>
      <c r="L34" s="100"/>
      <c r="M34" s="100"/>
      <c r="N34" s="100">
        <v>12</v>
      </c>
      <c r="O34" s="100">
        <f t="shared" si="0"/>
        <v>0</v>
      </c>
      <c r="P34" s="100">
        <f t="shared" si="1"/>
        <v>0</v>
      </c>
      <c r="Q34" s="100"/>
      <c r="R34" s="116" t="s">
        <v>437</v>
      </c>
    </row>
    <row r="35" spans="1:18" ht="27">
      <c r="A35" s="101">
        <v>3030168</v>
      </c>
      <c r="B35" s="102" t="s">
        <v>202</v>
      </c>
      <c r="C35" s="101" t="s">
        <v>19</v>
      </c>
      <c r="D35" s="100">
        <v>0</v>
      </c>
      <c r="E35" s="100">
        <v>0</v>
      </c>
      <c r="F35" s="100">
        <v>0</v>
      </c>
      <c r="G35" s="100">
        <v>3</v>
      </c>
      <c r="H35" s="100"/>
      <c r="I35" s="100"/>
      <c r="J35" s="100">
        <v>0</v>
      </c>
      <c r="K35" s="100">
        <v>0</v>
      </c>
      <c r="L35" s="100"/>
      <c r="M35" s="100"/>
      <c r="N35" s="100">
        <v>10</v>
      </c>
      <c r="O35" s="100">
        <f t="shared" si="0"/>
        <v>0</v>
      </c>
      <c r="P35" s="100">
        <f t="shared" si="1"/>
        <v>0</v>
      </c>
      <c r="Q35" s="100"/>
      <c r="R35" s="116" t="s">
        <v>437</v>
      </c>
    </row>
    <row r="36" spans="1:18" ht="27">
      <c r="A36" s="101">
        <v>3030170</v>
      </c>
      <c r="B36" s="102" t="s">
        <v>203</v>
      </c>
      <c r="C36" s="101" t="s">
        <v>17</v>
      </c>
      <c r="D36" s="100">
        <v>7</v>
      </c>
      <c r="E36" s="100">
        <v>0</v>
      </c>
      <c r="F36" s="100">
        <v>0</v>
      </c>
      <c r="G36" s="100">
        <v>3</v>
      </c>
      <c r="H36" s="100"/>
      <c r="I36" s="100"/>
      <c r="J36" s="100">
        <v>0</v>
      </c>
      <c r="K36" s="100">
        <v>0</v>
      </c>
      <c r="L36" s="100"/>
      <c r="M36" s="100"/>
      <c r="N36" s="100">
        <v>4</v>
      </c>
      <c r="O36" s="100">
        <f t="shared" si="0"/>
        <v>0</v>
      </c>
      <c r="P36" s="100">
        <f t="shared" si="1"/>
        <v>0</v>
      </c>
      <c r="Q36" s="100"/>
      <c r="R36" s="116" t="s">
        <v>437</v>
      </c>
    </row>
    <row r="37" spans="1:18" ht="27">
      <c r="A37" s="101">
        <v>3030174</v>
      </c>
      <c r="B37" s="102" t="s">
        <v>204</v>
      </c>
      <c r="C37" s="101" t="s">
        <v>14</v>
      </c>
      <c r="D37" s="100">
        <v>0</v>
      </c>
      <c r="E37" s="100">
        <v>0</v>
      </c>
      <c r="F37" s="100">
        <v>0</v>
      </c>
      <c r="G37" s="100">
        <v>2</v>
      </c>
      <c r="H37" s="100"/>
      <c r="I37" s="100"/>
      <c r="J37" s="100">
        <v>0</v>
      </c>
      <c r="K37" s="100">
        <v>0</v>
      </c>
      <c r="L37" s="100"/>
      <c r="M37" s="100"/>
      <c r="N37" s="100">
        <v>20</v>
      </c>
      <c r="O37" s="100">
        <f t="shared" si="0"/>
        <v>0</v>
      </c>
      <c r="P37" s="100">
        <f t="shared" si="1"/>
        <v>0</v>
      </c>
      <c r="Q37" s="100"/>
      <c r="R37" s="116" t="s">
        <v>437</v>
      </c>
    </row>
    <row r="38" spans="1:18" ht="27">
      <c r="A38" s="101">
        <v>3030176</v>
      </c>
      <c r="B38" s="102" t="s">
        <v>205</v>
      </c>
      <c r="C38" s="101" t="s">
        <v>14</v>
      </c>
      <c r="D38" s="100">
        <v>0</v>
      </c>
      <c r="E38" s="100">
        <v>0</v>
      </c>
      <c r="F38" s="100">
        <v>0</v>
      </c>
      <c r="G38" s="100">
        <v>21</v>
      </c>
      <c r="H38" s="100"/>
      <c r="I38" s="100"/>
      <c r="J38" s="100">
        <v>0</v>
      </c>
      <c r="K38" s="100">
        <v>0</v>
      </c>
      <c r="L38" s="100"/>
      <c r="M38" s="100"/>
      <c r="N38" s="100">
        <v>18</v>
      </c>
      <c r="O38" s="100">
        <f t="shared" si="0"/>
        <v>0</v>
      </c>
      <c r="P38" s="100">
        <f t="shared" si="1"/>
        <v>0</v>
      </c>
      <c r="Q38" s="100"/>
      <c r="R38" s="116" t="s">
        <v>437</v>
      </c>
    </row>
    <row r="39" spans="1:18" ht="27">
      <c r="A39" s="101">
        <v>3030178</v>
      </c>
      <c r="B39" s="102" t="s">
        <v>206</v>
      </c>
      <c r="C39" s="101" t="s">
        <v>14</v>
      </c>
      <c r="D39" s="100">
        <v>0</v>
      </c>
      <c r="E39" s="100">
        <v>0</v>
      </c>
      <c r="F39" s="100">
        <v>0</v>
      </c>
      <c r="G39" s="100">
        <v>3</v>
      </c>
      <c r="H39" s="100"/>
      <c r="I39" s="100"/>
      <c r="J39" s="100">
        <v>0</v>
      </c>
      <c r="K39" s="100">
        <v>0</v>
      </c>
      <c r="L39" s="100"/>
      <c r="M39" s="100"/>
      <c r="N39" s="100">
        <v>13</v>
      </c>
      <c r="O39" s="100">
        <f t="shared" si="0"/>
        <v>0</v>
      </c>
      <c r="P39" s="100">
        <f t="shared" si="1"/>
        <v>0</v>
      </c>
      <c r="Q39" s="100"/>
      <c r="R39" s="116" t="s">
        <v>437</v>
      </c>
    </row>
    <row r="40" spans="1:18" ht="27">
      <c r="A40" s="101">
        <v>3030180</v>
      </c>
      <c r="B40" s="102" t="s">
        <v>207</v>
      </c>
      <c r="C40" s="101" t="s">
        <v>14</v>
      </c>
      <c r="D40" s="100">
        <v>0</v>
      </c>
      <c r="E40" s="100">
        <v>0</v>
      </c>
      <c r="F40" s="100">
        <v>0</v>
      </c>
      <c r="G40" s="100">
        <v>15</v>
      </c>
      <c r="H40" s="100"/>
      <c r="I40" s="100"/>
      <c r="J40" s="100">
        <v>0</v>
      </c>
      <c r="K40" s="100">
        <v>0</v>
      </c>
      <c r="L40" s="100"/>
      <c r="M40" s="100"/>
      <c r="N40" s="100">
        <v>5</v>
      </c>
      <c r="O40" s="100">
        <f t="shared" si="0"/>
        <v>0</v>
      </c>
      <c r="P40" s="100">
        <f t="shared" si="1"/>
        <v>0</v>
      </c>
      <c r="Q40" s="100"/>
      <c r="R40" s="116" t="s">
        <v>437</v>
      </c>
    </row>
    <row r="41" spans="1:18" ht="27">
      <c r="A41" s="101">
        <v>3030182</v>
      </c>
      <c r="B41" s="102" t="s">
        <v>208</v>
      </c>
      <c r="C41" s="101" t="s">
        <v>14</v>
      </c>
      <c r="D41" s="100">
        <v>0</v>
      </c>
      <c r="E41" s="100">
        <v>0</v>
      </c>
      <c r="F41" s="100">
        <v>0</v>
      </c>
      <c r="G41" s="100">
        <v>11</v>
      </c>
      <c r="H41" s="100"/>
      <c r="I41" s="100"/>
      <c r="J41" s="100">
        <v>0</v>
      </c>
      <c r="K41" s="100">
        <v>0</v>
      </c>
      <c r="L41" s="100"/>
      <c r="M41" s="100"/>
      <c r="N41" s="100">
        <v>15</v>
      </c>
      <c r="O41" s="100">
        <f t="shared" si="0"/>
        <v>0</v>
      </c>
      <c r="P41" s="100">
        <f t="shared" si="1"/>
        <v>0</v>
      </c>
      <c r="Q41" s="100"/>
      <c r="R41" s="116" t="s">
        <v>437</v>
      </c>
    </row>
    <row r="42" spans="1:18" ht="27">
      <c r="A42" s="101">
        <v>3030184</v>
      </c>
      <c r="B42" s="102" t="s">
        <v>209</v>
      </c>
      <c r="C42" s="101" t="s">
        <v>14</v>
      </c>
      <c r="D42" s="100">
        <v>0</v>
      </c>
      <c r="E42" s="100">
        <v>0</v>
      </c>
      <c r="F42" s="100">
        <v>0</v>
      </c>
      <c r="G42" s="100">
        <v>12</v>
      </c>
      <c r="H42" s="100"/>
      <c r="I42" s="100"/>
      <c r="J42" s="100">
        <v>0</v>
      </c>
      <c r="K42" s="100">
        <v>0</v>
      </c>
      <c r="L42" s="100"/>
      <c r="M42" s="100"/>
      <c r="N42" s="100">
        <v>0</v>
      </c>
      <c r="O42" s="100">
        <f t="shared" si="0"/>
        <v>0</v>
      </c>
      <c r="P42" s="100">
        <f t="shared" si="1"/>
        <v>0</v>
      </c>
      <c r="Q42" s="100"/>
      <c r="R42" s="116" t="s">
        <v>437</v>
      </c>
    </row>
    <row r="43" spans="1:18" ht="27">
      <c r="A43" s="101">
        <v>3030188</v>
      </c>
      <c r="B43" s="102" t="s">
        <v>210</v>
      </c>
      <c r="C43" s="101" t="s">
        <v>14</v>
      </c>
      <c r="D43" s="100">
        <v>0</v>
      </c>
      <c r="E43" s="100">
        <v>0</v>
      </c>
      <c r="F43" s="100">
        <v>0</v>
      </c>
      <c r="G43" s="100">
        <v>12</v>
      </c>
      <c r="H43" s="100"/>
      <c r="I43" s="100"/>
      <c r="J43" s="100">
        <v>0</v>
      </c>
      <c r="K43" s="100">
        <v>0</v>
      </c>
      <c r="L43" s="100"/>
      <c r="M43" s="100"/>
      <c r="N43" s="100">
        <v>20</v>
      </c>
      <c r="O43" s="100">
        <f t="shared" si="0"/>
        <v>0</v>
      </c>
      <c r="P43" s="100">
        <f t="shared" si="1"/>
        <v>0</v>
      </c>
      <c r="Q43" s="100"/>
      <c r="R43" s="116" t="s">
        <v>437</v>
      </c>
    </row>
    <row r="44" spans="1:18" ht="27">
      <c r="A44" s="101">
        <v>3030190</v>
      </c>
      <c r="B44" s="102" t="s">
        <v>211</v>
      </c>
      <c r="C44" s="101" t="s">
        <v>14</v>
      </c>
      <c r="D44" s="100">
        <v>0</v>
      </c>
      <c r="E44" s="100">
        <v>0</v>
      </c>
      <c r="F44" s="100">
        <v>1</v>
      </c>
      <c r="G44" s="100">
        <v>9</v>
      </c>
      <c r="H44" s="100"/>
      <c r="I44" s="100"/>
      <c r="J44" s="100">
        <v>0</v>
      </c>
      <c r="K44" s="100">
        <v>0</v>
      </c>
      <c r="L44" s="100"/>
      <c r="M44" s="100"/>
      <c r="N44" s="100">
        <v>2</v>
      </c>
      <c r="O44" s="100">
        <f t="shared" si="0"/>
        <v>0</v>
      </c>
      <c r="P44" s="100">
        <f t="shared" si="1"/>
        <v>0</v>
      </c>
      <c r="Q44" s="100"/>
      <c r="R44" s="116" t="s">
        <v>437</v>
      </c>
    </row>
    <row r="45" spans="1:18" ht="27">
      <c r="A45" s="101">
        <v>3030194</v>
      </c>
      <c r="B45" s="102" t="s">
        <v>212</v>
      </c>
      <c r="C45" s="101" t="s">
        <v>14</v>
      </c>
      <c r="D45" s="100">
        <v>0</v>
      </c>
      <c r="E45" s="100">
        <v>0</v>
      </c>
      <c r="F45" s="100">
        <v>0</v>
      </c>
      <c r="G45" s="100">
        <v>4</v>
      </c>
      <c r="H45" s="100"/>
      <c r="I45" s="100"/>
      <c r="J45" s="100">
        <v>0</v>
      </c>
      <c r="K45" s="100">
        <v>0</v>
      </c>
      <c r="L45" s="100"/>
      <c r="M45" s="100"/>
      <c r="N45" s="100">
        <v>9</v>
      </c>
      <c r="O45" s="100">
        <f t="shared" si="0"/>
        <v>0</v>
      </c>
      <c r="P45" s="100">
        <f t="shared" si="1"/>
        <v>0</v>
      </c>
      <c r="Q45" s="100"/>
      <c r="R45" s="116" t="s">
        <v>437</v>
      </c>
    </row>
    <row r="46" spans="1:18" ht="27">
      <c r="A46" s="101">
        <v>3030198</v>
      </c>
      <c r="B46" s="102" t="s">
        <v>213</v>
      </c>
      <c r="C46" s="101" t="s">
        <v>14</v>
      </c>
      <c r="D46" s="100">
        <v>0</v>
      </c>
      <c r="E46" s="100">
        <v>0</v>
      </c>
      <c r="F46" s="100">
        <v>0</v>
      </c>
      <c r="G46" s="100">
        <v>20</v>
      </c>
      <c r="H46" s="100"/>
      <c r="I46" s="100"/>
      <c r="J46" s="100">
        <v>0</v>
      </c>
      <c r="K46" s="100">
        <v>0</v>
      </c>
      <c r="L46" s="100"/>
      <c r="M46" s="100"/>
      <c r="N46" s="100">
        <v>60</v>
      </c>
      <c r="O46" s="100">
        <f t="shared" si="0"/>
        <v>0</v>
      </c>
      <c r="P46" s="100">
        <f t="shared" si="1"/>
        <v>0</v>
      </c>
      <c r="Q46" s="100"/>
      <c r="R46" s="116" t="s">
        <v>437</v>
      </c>
    </row>
    <row r="47" spans="1:18" ht="27">
      <c r="A47" s="101">
        <v>3030200</v>
      </c>
      <c r="B47" s="102" t="s">
        <v>214</v>
      </c>
      <c r="C47" s="101" t="s">
        <v>14</v>
      </c>
      <c r="D47" s="100">
        <v>0</v>
      </c>
      <c r="E47" s="100">
        <v>0</v>
      </c>
      <c r="F47" s="100">
        <v>0</v>
      </c>
      <c r="G47" s="100">
        <v>18</v>
      </c>
      <c r="H47" s="100"/>
      <c r="I47" s="100"/>
      <c r="J47" s="100">
        <v>0</v>
      </c>
      <c r="K47" s="100">
        <v>0</v>
      </c>
      <c r="L47" s="100"/>
      <c r="M47" s="100"/>
      <c r="N47" s="100">
        <v>0</v>
      </c>
      <c r="O47" s="100">
        <f t="shared" si="0"/>
        <v>0</v>
      </c>
      <c r="P47" s="100">
        <f t="shared" si="1"/>
        <v>0</v>
      </c>
      <c r="Q47" s="100"/>
      <c r="R47" s="116" t="s">
        <v>437</v>
      </c>
    </row>
    <row r="48" spans="1:18" ht="27">
      <c r="A48" s="101">
        <v>3030202</v>
      </c>
      <c r="B48" s="102" t="s">
        <v>215</v>
      </c>
      <c r="C48" s="101" t="s">
        <v>14</v>
      </c>
      <c r="D48" s="100">
        <v>0</v>
      </c>
      <c r="E48" s="100">
        <v>0</v>
      </c>
      <c r="F48" s="100">
        <v>0</v>
      </c>
      <c r="G48" s="100">
        <v>13</v>
      </c>
      <c r="H48" s="100"/>
      <c r="I48" s="100"/>
      <c r="J48" s="100">
        <v>0</v>
      </c>
      <c r="K48" s="100">
        <v>0</v>
      </c>
      <c r="L48" s="100"/>
      <c r="M48" s="100"/>
      <c r="N48" s="100">
        <v>378</v>
      </c>
      <c r="O48" s="100">
        <f t="shared" si="0"/>
        <v>0</v>
      </c>
      <c r="P48" s="100">
        <f t="shared" si="1"/>
        <v>0</v>
      </c>
      <c r="Q48" s="100"/>
      <c r="R48" s="116" t="s">
        <v>437</v>
      </c>
    </row>
    <row r="49" spans="1:18" ht="27">
      <c r="A49" s="101">
        <v>3030204</v>
      </c>
      <c r="B49" s="102" t="s">
        <v>216</v>
      </c>
      <c r="C49" s="101" t="s">
        <v>14</v>
      </c>
      <c r="D49" s="100">
        <v>0</v>
      </c>
      <c r="E49" s="100">
        <v>0</v>
      </c>
      <c r="F49" s="100">
        <v>0</v>
      </c>
      <c r="G49" s="100">
        <v>5</v>
      </c>
      <c r="H49" s="100"/>
      <c r="I49" s="100"/>
      <c r="J49" s="100">
        <v>0</v>
      </c>
      <c r="K49" s="100">
        <v>0</v>
      </c>
      <c r="L49" s="100"/>
      <c r="M49" s="100"/>
      <c r="N49" s="100">
        <v>0</v>
      </c>
      <c r="O49" s="100">
        <f t="shared" si="0"/>
        <v>0</v>
      </c>
      <c r="P49" s="100">
        <f t="shared" si="1"/>
        <v>0</v>
      </c>
      <c r="Q49" s="100"/>
      <c r="R49" s="116" t="s">
        <v>437</v>
      </c>
    </row>
    <row r="50" spans="1:18" ht="27">
      <c r="A50" s="101">
        <v>3030206</v>
      </c>
      <c r="B50" s="102" t="s">
        <v>217</v>
      </c>
      <c r="C50" s="101" t="s">
        <v>14</v>
      </c>
      <c r="D50" s="100">
        <v>1</v>
      </c>
      <c r="E50" s="100">
        <v>0</v>
      </c>
      <c r="F50" s="100">
        <v>1</v>
      </c>
      <c r="G50" s="100">
        <v>15</v>
      </c>
      <c r="H50" s="100"/>
      <c r="I50" s="100"/>
      <c r="J50" s="100">
        <v>0</v>
      </c>
      <c r="K50" s="100">
        <v>0</v>
      </c>
      <c r="L50" s="100"/>
      <c r="M50" s="100"/>
      <c r="N50" s="100">
        <v>7</v>
      </c>
      <c r="O50" s="100">
        <f t="shared" si="0"/>
        <v>0</v>
      </c>
      <c r="P50" s="100">
        <f t="shared" si="1"/>
        <v>0</v>
      </c>
      <c r="Q50" s="100"/>
      <c r="R50" s="116" t="s">
        <v>437</v>
      </c>
    </row>
    <row r="51" spans="1:18" ht="27">
      <c r="A51" s="101">
        <v>3030206</v>
      </c>
      <c r="B51" s="102" t="s">
        <v>217</v>
      </c>
      <c r="C51" s="101" t="s">
        <v>14</v>
      </c>
      <c r="D51" s="100">
        <v>0</v>
      </c>
      <c r="E51" s="100">
        <v>0</v>
      </c>
      <c r="F51" s="100">
        <v>0</v>
      </c>
      <c r="G51" s="100">
        <v>0</v>
      </c>
      <c r="H51" s="100"/>
      <c r="I51" s="100"/>
      <c r="J51" s="100">
        <v>0</v>
      </c>
      <c r="K51" s="100">
        <v>0</v>
      </c>
      <c r="L51" s="100"/>
      <c r="M51" s="100"/>
      <c r="N51" s="100">
        <v>27</v>
      </c>
      <c r="O51" s="100">
        <f t="shared" si="0"/>
        <v>0</v>
      </c>
      <c r="P51" s="100">
        <f t="shared" si="1"/>
        <v>0</v>
      </c>
      <c r="Q51" s="100"/>
      <c r="R51" s="116" t="s">
        <v>437</v>
      </c>
    </row>
    <row r="52" spans="1:18" ht="27">
      <c r="A52" s="101">
        <v>3030208</v>
      </c>
      <c r="B52" s="102" t="s">
        <v>218</v>
      </c>
      <c r="C52" s="101" t="s">
        <v>14</v>
      </c>
      <c r="D52" s="100">
        <v>0</v>
      </c>
      <c r="E52" s="100">
        <v>0</v>
      </c>
      <c r="F52" s="100">
        <v>0</v>
      </c>
      <c r="G52" s="100">
        <v>20</v>
      </c>
      <c r="H52" s="100"/>
      <c r="I52" s="100"/>
      <c r="J52" s="100">
        <v>0</v>
      </c>
      <c r="K52" s="100">
        <v>0</v>
      </c>
      <c r="L52" s="100"/>
      <c r="M52" s="100"/>
      <c r="N52" s="100">
        <v>396</v>
      </c>
      <c r="O52" s="100">
        <f t="shared" si="0"/>
        <v>0</v>
      </c>
      <c r="P52" s="100">
        <f t="shared" si="1"/>
        <v>0</v>
      </c>
      <c r="Q52" s="100"/>
      <c r="R52" s="116" t="s">
        <v>437</v>
      </c>
    </row>
    <row r="53" spans="1:18" ht="27">
      <c r="A53" s="101">
        <v>3030210</v>
      </c>
      <c r="B53" s="102" t="s">
        <v>219</v>
      </c>
      <c r="C53" s="101" t="s">
        <v>14</v>
      </c>
      <c r="D53" s="100">
        <v>1</v>
      </c>
      <c r="E53" s="100">
        <v>0</v>
      </c>
      <c r="F53" s="100">
        <v>0</v>
      </c>
      <c r="G53" s="100">
        <v>2</v>
      </c>
      <c r="H53" s="100"/>
      <c r="I53" s="100"/>
      <c r="J53" s="100">
        <v>0</v>
      </c>
      <c r="K53" s="100">
        <v>0</v>
      </c>
      <c r="L53" s="100"/>
      <c r="M53" s="100"/>
      <c r="N53" s="100">
        <v>0</v>
      </c>
      <c r="O53" s="100">
        <f t="shared" si="0"/>
        <v>0</v>
      </c>
      <c r="P53" s="100">
        <f t="shared" si="1"/>
        <v>0</v>
      </c>
      <c r="Q53" s="100"/>
      <c r="R53" s="116" t="s">
        <v>437</v>
      </c>
    </row>
    <row r="54" spans="1:18" ht="27">
      <c r="A54" s="101">
        <v>3030212</v>
      </c>
      <c r="B54" s="102" t="s">
        <v>220</v>
      </c>
      <c r="C54" s="101" t="s">
        <v>14</v>
      </c>
      <c r="D54" s="100">
        <v>1</v>
      </c>
      <c r="E54" s="100">
        <v>22</v>
      </c>
      <c r="F54" s="100">
        <v>0</v>
      </c>
      <c r="G54" s="100">
        <v>9</v>
      </c>
      <c r="H54" s="100"/>
      <c r="I54" s="100"/>
      <c r="J54" s="100">
        <v>0</v>
      </c>
      <c r="K54" s="100">
        <v>0</v>
      </c>
      <c r="L54" s="100"/>
      <c r="M54" s="100"/>
      <c r="N54" s="100">
        <v>23</v>
      </c>
      <c r="O54" s="100">
        <f t="shared" si="0"/>
        <v>0</v>
      </c>
      <c r="P54" s="100">
        <f t="shared" si="1"/>
        <v>0</v>
      </c>
      <c r="Q54" s="100"/>
      <c r="R54" s="116" t="s">
        <v>437</v>
      </c>
    </row>
    <row r="55" spans="1:18" ht="27">
      <c r="A55" s="10">
        <v>3030229</v>
      </c>
      <c r="B55" s="11" t="s">
        <v>221</v>
      </c>
      <c r="C55" s="12" t="s">
        <v>16</v>
      </c>
      <c r="D55" s="5">
        <v>45</v>
      </c>
      <c r="E55" s="5">
        <v>49</v>
      </c>
      <c r="F55" s="5">
        <v>329</v>
      </c>
      <c r="G55" s="5">
        <v>235</v>
      </c>
      <c r="J55" s="5">
        <v>0</v>
      </c>
      <c r="K55" s="5">
        <v>200</v>
      </c>
      <c r="N55" s="5">
        <v>10</v>
      </c>
      <c r="O55" s="5">
        <f t="shared" si="0"/>
        <v>0</v>
      </c>
      <c r="P55" s="5">
        <f t="shared" si="1"/>
        <v>2000</v>
      </c>
      <c r="R55" s="115" t="s">
        <v>438</v>
      </c>
    </row>
    <row r="56" spans="1:18" ht="27">
      <c r="A56" s="95">
        <v>3030229</v>
      </c>
      <c r="B56" s="96" t="s">
        <v>221</v>
      </c>
      <c r="C56" s="95" t="s">
        <v>16</v>
      </c>
      <c r="D56" s="97">
        <v>0</v>
      </c>
      <c r="E56" s="97">
        <v>14</v>
      </c>
      <c r="F56" s="97">
        <v>0</v>
      </c>
      <c r="G56" s="97">
        <v>0</v>
      </c>
      <c r="H56" s="97"/>
      <c r="I56" s="97"/>
      <c r="J56" s="97">
        <v>0</v>
      </c>
      <c r="K56" s="97">
        <v>0</v>
      </c>
      <c r="L56" s="97"/>
      <c r="M56" s="97"/>
      <c r="N56" s="97">
        <v>20</v>
      </c>
      <c r="O56" s="97">
        <f t="shared" si="0"/>
        <v>0</v>
      </c>
      <c r="P56" s="97">
        <f t="shared" si="1"/>
        <v>0</v>
      </c>
      <c r="Q56" s="97"/>
      <c r="R56" s="117"/>
    </row>
    <row r="57" spans="1:18" ht="27">
      <c r="A57" s="10">
        <v>3030235</v>
      </c>
      <c r="B57" s="11" t="s">
        <v>222</v>
      </c>
      <c r="C57" s="12" t="s">
        <v>14</v>
      </c>
      <c r="D57" s="5">
        <v>39</v>
      </c>
      <c r="E57" s="5">
        <v>0</v>
      </c>
      <c r="F57" s="5">
        <v>494</v>
      </c>
      <c r="G57" s="5">
        <v>346</v>
      </c>
      <c r="J57" s="5">
        <v>0</v>
      </c>
      <c r="K57" s="5">
        <v>400</v>
      </c>
      <c r="N57" s="5">
        <v>17</v>
      </c>
      <c r="O57" s="5">
        <f t="shared" si="0"/>
        <v>0</v>
      </c>
      <c r="P57" s="5">
        <f t="shared" si="1"/>
        <v>6800</v>
      </c>
    </row>
    <row r="58" spans="1:18" ht="27">
      <c r="A58" s="10">
        <v>3030237</v>
      </c>
      <c r="B58" s="11" t="s">
        <v>223</v>
      </c>
      <c r="C58" s="12" t="s">
        <v>14</v>
      </c>
      <c r="D58" s="5">
        <v>24</v>
      </c>
      <c r="E58" s="5">
        <v>0</v>
      </c>
      <c r="F58" s="5">
        <v>0</v>
      </c>
      <c r="G58" s="5">
        <v>0</v>
      </c>
      <c r="J58" s="5">
        <v>0</v>
      </c>
      <c r="K58" s="5">
        <v>0</v>
      </c>
      <c r="N58" s="5">
        <v>29</v>
      </c>
      <c r="O58" s="5">
        <f t="shared" si="0"/>
        <v>0</v>
      </c>
      <c r="P58" s="5">
        <f t="shared" si="1"/>
        <v>0</v>
      </c>
      <c r="R58" s="115" t="s">
        <v>439</v>
      </c>
    </row>
    <row r="59" spans="1:18" ht="27">
      <c r="A59" s="10">
        <v>3030241</v>
      </c>
      <c r="B59" s="11" t="s">
        <v>224</v>
      </c>
      <c r="C59" s="12" t="s">
        <v>14</v>
      </c>
      <c r="D59" s="5">
        <v>88</v>
      </c>
      <c r="E59" s="5">
        <v>11</v>
      </c>
      <c r="F59" s="5">
        <v>0</v>
      </c>
      <c r="G59" s="5">
        <v>7</v>
      </c>
      <c r="J59" s="5">
        <v>0</v>
      </c>
      <c r="K59" s="5">
        <v>0</v>
      </c>
      <c r="N59" s="5">
        <v>0</v>
      </c>
      <c r="O59" s="5">
        <f t="shared" si="0"/>
        <v>0</v>
      </c>
      <c r="P59" s="5">
        <f t="shared" si="1"/>
        <v>0</v>
      </c>
    </row>
    <row r="60" spans="1:18" ht="27">
      <c r="A60" s="10">
        <v>3030245</v>
      </c>
      <c r="B60" s="11" t="s">
        <v>225</v>
      </c>
      <c r="C60" s="12" t="s">
        <v>14</v>
      </c>
      <c r="D60" s="5">
        <v>17</v>
      </c>
      <c r="E60" s="5">
        <v>4</v>
      </c>
      <c r="F60" s="5">
        <v>0</v>
      </c>
      <c r="G60" s="5">
        <v>27</v>
      </c>
      <c r="J60" s="5">
        <v>0</v>
      </c>
      <c r="K60" s="5">
        <v>0</v>
      </c>
      <c r="N60" s="5">
        <v>33</v>
      </c>
      <c r="O60" s="5">
        <f t="shared" si="0"/>
        <v>0</v>
      </c>
      <c r="P60" s="5">
        <f t="shared" si="1"/>
        <v>0</v>
      </c>
    </row>
    <row r="61" spans="1:18" ht="27">
      <c r="A61" s="98">
        <v>3030247</v>
      </c>
      <c r="B61" s="99" t="s">
        <v>226</v>
      </c>
      <c r="C61" s="98" t="s">
        <v>14</v>
      </c>
      <c r="D61" s="100">
        <v>114</v>
      </c>
      <c r="E61" s="100">
        <v>0</v>
      </c>
      <c r="F61" s="100">
        <v>123</v>
      </c>
      <c r="G61" s="100">
        <v>377</v>
      </c>
      <c r="H61" s="100"/>
      <c r="I61" s="100"/>
      <c r="J61" s="100">
        <v>0</v>
      </c>
      <c r="K61" s="100">
        <v>400</v>
      </c>
      <c r="L61" s="100"/>
      <c r="M61" s="100"/>
      <c r="N61" s="100">
        <v>0</v>
      </c>
      <c r="O61" s="100">
        <f t="shared" si="0"/>
        <v>0</v>
      </c>
      <c r="P61" s="100">
        <f t="shared" si="1"/>
        <v>0</v>
      </c>
      <c r="Q61" s="100"/>
      <c r="R61" s="116" t="s">
        <v>437</v>
      </c>
    </row>
    <row r="62" spans="1:18" ht="27">
      <c r="A62" s="98">
        <v>3030249</v>
      </c>
      <c r="B62" s="99" t="s">
        <v>227</v>
      </c>
      <c r="C62" s="98" t="s">
        <v>14</v>
      </c>
      <c r="D62" s="100">
        <v>81</v>
      </c>
      <c r="E62" s="100">
        <v>0</v>
      </c>
      <c r="F62" s="100">
        <v>0</v>
      </c>
      <c r="G62" s="100">
        <v>0</v>
      </c>
      <c r="H62" s="100"/>
      <c r="I62" s="100"/>
      <c r="J62" s="100">
        <v>0</v>
      </c>
      <c r="K62" s="100">
        <v>0</v>
      </c>
      <c r="L62" s="100"/>
      <c r="M62" s="100"/>
      <c r="N62" s="100">
        <v>39</v>
      </c>
      <c r="O62" s="100">
        <f t="shared" si="0"/>
        <v>0</v>
      </c>
      <c r="P62" s="100">
        <f t="shared" si="1"/>
        <v>0</v>
      </c>
      <c r="Q62" s="100"/>
      <c r="R62" s="116" t="s">
        <v>437</v>
      </c>
    </row>
    <row r="63" spans="1:18" ht="27">
      <c r="A63" s="98">
        <v>3030249</v>
      </c>
      <c r="B63" s="99" t="s">
        <v>227</v>
      </c>
      <c r="C63" s="98" t="s">
        <v>14</v>
      </c>
      <c r="D63" s="100">
        <v>12</v>
      </c>
      <c r="E63" s="100">
        <v>3</v>
      </c>
      <c r="F63" s="100">
        <v>0</v>
      </c>
      <c r="G63" s="100">
        <v>23</v>
      </c>
      <c r="H63" s="100"/>
      <c r="I63" s="100"/>
      <c r="J63" s="100">
        <v>0</v>
      </c>
      <c r="K63" s="100">
        <v>0</v>
      </c>
      <c r="L63" s="100"/>
      <c r="M63" s="100"/>
      <c r="N63" s="100">
        <v>0</v>
      </c>
      <c r="O63" s="100">
        <f t="shared" si="0"/>
        <v>0</v>
      </c>
      <c r="P63" s="100">
        <f t="shared" si="1"/>
        <v>0</v>
      </c>
      <c r="Q63" s="100"/>
      <c r="R63" s="116" t="s">
        <v>437</v>
      </c>
    </row>
    <row r="64" spans="1:18" ht="27">
      <c r="A64" s="98">
        <v>3030255</v>
      </c>
      <c r="B64" s="99" t="s">
        <v>228</v>
      </c>
      <c r="C64" s="98" t="s">
        <v>14</v>
      </c>
      <c r="D64" s="100">
        <v>35</v>
      </c>
      <c r="E64" s="100">
        <v>1</v>
      </c>
      <c r="F64" s="100">
        <v>0</v>
      </c>
      <c r="G64" s="100">
        <v>10</v>
      </c>
      <c r="H64" s="100"/>
      <c r="I64" s="100"/>
      <c r="J64" s="100">
        <v>0</v>
      </c>
      <c r="K64" s="100">
        <v>0</v>
      </c>
      <c r="L64" s="100"/>
      <c r="M64" s="100"/>
      <c r="N64" s="100">
        <v>0</v>
      </c>
      <c r="O64" s="100">
        <f t="shared" si="0"/>
        <v>0</v>
      </c>
      <c r="P64" s="100">
        <f t="shared" si="1"/>
        <v>0</v>
      </c>
      <c r="Q64" s="100"/>
      <c r="R64" s="116" t="s">
        <v>437</v>
      </c>
    </row>
    <row r="65" spans="1:18" ht="27">
      <c r="A65" s="98">
        <v>3030259</v>
      </c>
      <c r="B65" s="99" t="s">
        <v>229</v>
      </c>
      <c r="C65" s="98" t="s">
        <v>14</v>
      </c>
      <c r="D65" s="100">
        <v>27</v>
      </c>
      <c r="E65" s="100">
        <v>0</v>
      </c>
      <c r="F65" s="100">
        <v>1</v>
      </c>
      <c r="G65" s="100">
        <v>20</v>
      </c>
      <c r="H65" s="100"/>
      <c r="I65" s="100"/>
      <c r="J65" s="100">
        <v>0</v>
      </c>
      <c r="K65" s="100">
        <v>0</v>
      </c>
      <c r="L65" s="100"/>
      <c r="M65" s="100"/>
      <c r="N65" s="100">
        <v>300</v>
      </c>
      <c r="O65" s="100">
        <f t="shared" si="0"/>
        <v>0</v>
      </c>
      <c r="P65" s="100">
        <f t="shared" si="1"/>
        <v>0</v>
      </c>
      <c r="Q65" s="100"/>
      <c r="R65" s="116" t="s">
        <v>437</v>
      </c>
    </row>
    <row r="66" spans="1:18" ht="27">
      <c r="A66" s="98">
        <v>3030263</v>
      </c>
      <c r="B66" s="99" t="s">
        <v>230</v>
      </c>
      <c r="C66" s="98" t="s">
        <v>14</v>
      </c>
      <c r="D66" s="100">
        <v>0</v>
      </c>
      <c r="E66" s="100">
        <v>2</v>
      </c>
      <c r="F66" s="100">
        <v>0</v>
      </c>
      <c r="G66" s="100">
        <v>17</v>
      </c>
      <c r="H66" s="100"/>
      <c r="I66" s="100"/>
      <c r="J66" s="100">
        <v>0</v>
      </c>
      <c r="K66" s="100">
        <v>0</v>
      </c>
      <c r="L66" s="100"/>
      <c r="M66" s="100"/>
      <c r="N66" s="100">
        <v>0</v>
      </c>
      <c r="O66" s="100">
        <f t="shared" si="0"/>
        <v>0</v>
      </c>
      <c r="P66" s="100">
        <f t="shared" si="1"/>
        <v>0</v>
      </c>
      <c r="Q66" s="100"/>
      <c r="R66" s="116" t="s">
        <v>437</v>
      </c>
    </row>
    <row r="67" spans="1:18" ht="27">
      <c r="A67" s="98">
        <v>3030267</v>
      </c>
      <c r="B67" s="99" t="s">
        <v>231</v>
      </c>
      <c r="C67" s="98" t="s">
        <v>14</v>
      </c>
      <c r="D67" s="100">
        <v>12</v>
      </c>
      <c r="E67" s="100">
        <v>7</v>
      </c>
      <c r="F67" s="100">
        <v>13</v>
      </c>
      <c r="G67" s="100">
        <v>128</v>
      </c>
      <c r="H67" s="100"/>
      <c r="I67" s="100"/>
      <c r="J67" s="100">
        <v>0</v>
      </c>
      <c r="K67" s="100">
        <v>100</v>
      </c>
      <c r="L67" s="100"/>
      <c r="M67" s="100"/>
      <c r="N67" s="100">
        <v>128</v>
      </c>
      <c r="O67" s="100">
        <f t="shared" si="0"/>
        <v>0</v>
      </c>
      <c r="P67" s="100">
        <f t="shared" si="1"/>
        <v>12800</v>
      </c>
      <c r="Q67" s="100"/>
      <c r="R67" s="116" t="s">
        <v>437</v>
      </c>
    </row>
    <row r="68" spans="1:18" ht="27">
      <c r="A68" s="95">
        <v>3030271</v>
      </c>
      <c r="B68" s="96" t="s">
        <v>232</v>
      </c>
      <c r="C68" s="95" t="s">
        <v>14</v>
      </c>
      <c r="D68" s="97">
        <v>22</v>
      </c>
      <c r="E68" s="97">
        <v>1</v>
      </c>
      <c r="F68" s="97">
        <v>0</v>
      </c>
      <c r="G68" s="97">
        <v>0</v>
      </c>
      <c r="H68" s="97"/>
      <c r="I68" s="97"/>
      <c r="J68" s="97">
        <v>0</v>
      </c>
      <c r="K68" s="97">
        <v>0</v>
      </c>
      <c r="L68" s="97"/>
      <c r="M68" s="97"/>
      <c r="N68" s="97">
        <v>0</v>
      </c>
      <c r="O68" s="97">
        <f t="shared" si="0"/>
        <v>0</v>
      </c>
      <c r="P68" s="97">
        <f t="shared" si="1"/>
        <v>0</v>
      </c>
      <c r="Q68" s="97"/>
      <c r="R68" s="117"/>
    </row>
    <row r="69" spans="1:18" ht="27">
      <c r="A69" s="10">
        <v>3030271</v>
      </c>
      <c r="B69" s="11" t="s">
        <v>232</v>
      </c>
      <c r="C69" s="12" t="s">
        <v>14</v>
      </c>
      <c r="D69" s="5">
        <v>4</v>
      </c>
      <c r="E69" s="5">
        <v>0</v>
      </c>
      <c r="F69" s="5">
        <v>5</v>
      </c>
      <c r="G69" s="5">
        <v>133</v>
      </c>
      <c r="J69" s="5">
        <v>0</v>
      </c>
      <c r="K69" s="5">
        <v>100</v>
      </c>
      <c r="N69" s="5">
        <v>112</v>
      </c>
      <c r="O69" s="5">
        <f t="shared" ref="O69:O132" si="2">+J69*N69</f>
        <v>0</v>
      </c>
      <c r="P69" s="5">
        <f t="shared" ref="P69:P132" si="3">+K69*N69</f>
        <v>11200</v>
      </c>
    </row>
    <row r="70" spans="1:18" ht="27">
      <c r="A70" s="98">
        <v>3030288</v>
      </c>
      <c r="B70" s="99" t="s">
        <v>233</v>
      </c>
      <c r="C70" s="98" t="s">
        <v>14</v>
      </c>
      <c r="D70" s="100">
        <v>2</v>
      </c>
      <c r="E70" s="100">
        <v>4</v>
      </c>
      <c r="F70" s="100">
        <v>0</v>
      </c>
      <c r="G70" s="100">
        <v>1</v>
      </c>
      <c r="H70" s="100"/>
      <c r="I70" s="100"/>
      <c r="J70" s="100">
        <v>0</v>
      </c>
      <c r="K70" s="100">
        <v>0</v>
      </c>
      <c r="L70" s="100"/>
      <c r="M70" s="100"/>
      <c r="N70" s="100">
        <v>0</v>
      </c>
      <c r="O70" s="100">
        <f t="shared" si="2"/>
        <v>0</v>
      </c>
      <c r="P70" s="100">
        <f t="shared" si="3"/>
        <v>0</v>
      </c>
      <c r="Q70" s="100"/>
      <c r="R70" s="116" t="s">
        <v>437</v>
      </c>
    </row>
    <row r="71" spans="1:18" ht="27">
      <c r="A71" s="98">
        <v>3030288</v>
      </c>
      <c r="B71" s="99" t="s">
        <v>233</v>
      </c>
      <c r="C71" s="98" t="s">
        <v>14</v>
      </c>
      <c r="D71" s="100">
        <v>0</v>
      </c>
      <c r="E71" s="100">
        <v>42</v>
      </c>
      <c r="F71" s="100">
        <v>0</v>
      </c>
      <c r="G71" s="100">
        <v>20</v>
      </c>
      <c r="H71" s="100"/>
      <c r="I71" s="100"/>
      <c r="J71" s="100">
        <v>0</v>
      </c>
      <c r="K71" s="100">
        <v>0</v>
      </c>
      <c r="L71" s="100"/>
      <c r="M71" s="100"/>
      <c r="N71" s="100">
        <v>0</v>
      </c>
      <c r="O71" s="100">
        <f t="shared" si="2"/>
        <v>0</v>
      </c>
      <c r="P71" s="100">
        <f t="shared" si="3"/>
        <v>0</v>
      </c>
      <c r="Q71" s="100"/>
      <c r="R71" s="116" t="s">
        <v>437</v>
      </c>
    </row>
    <row r="72" spans="1:18" ht="27">
      <c r="A72" s="98">
        <v>3030290</v>
      </c>
      <c r="B72" s="99" t="s">
        <v>234</v>
      </c>
      <c r="C72" s="98" t="s">
        <v>14</v>
      </c>
      <c r="D72" s="100">
        <v>24</v>
      </c>
      <c r="E72" s="100">
        <v>0</v>
      </c>
      <c r="F72" s="100">
        <v>0</v>
      </c>
      <c r="G72" s="100">
        <v>0</v>
      </c>
      <c r="H72" s="100"/>
      <c r="I72" s="100"/>
      <c r="J72" s="100">
        <v>0</v>
      </c>
      <c r="K72" s="100">
        <v>0</v>
      </c>
      <c r="L72" s="100"/>
      <c r="M72" s="100"/>
      <c r="N72" s="100">
        <v>11</v>
      </c>
      <c r="O72" s="100">
        <f t="shared" si="2"/>
        <v>0</v>
      </c>
      <c r="P72" s="100">
        <f t="shared" si="3"/>
        <v>0</v>
      </c>
      <c r="Q72" s="100"/>
      <c r="R72" s="116" t="s">
        <v>437</v>
      </c>
    </row>
    <row r="73" spans="1:18" ht="27">
      <c r="A73" s="98">
        <v>3030292</v>
      </c>
      <c r="B73" s="99" t="s">
        <v>235</v>
      </c>
      <c r="C73" s="98" t="s">
        <v>14</v>
      </c>
      <c r="D73" s="100">
        <v>20</v>
      </c>
      <c r="E73" s="100">
        <v>33</v>
      </c>
      <c r="F73" s="100">
        <v>0</v>
      </c>
      <c r="G73" s="100">
        <v>0</v>
      </c>
      <c r="H73" s="100"/>
      <c r="I73" s="100"/>
      <c r="J73" s="100">
        <v>0</v>
      </c>
      <c r="K73" s="100">
        <v>0</v>
      </c>
      <c r="L73" s="100"/>
      <c r="M73" s="100"/>
      <c r="N73" s="100">
        <v>30</v>
      </c>
      <c r="O73" s="100">
        <f t="shared" si="2"/>
        <v>0</v>
      </c>
      <c r="P73" s="100">
        <f t="shared" si="3"/>
        <v>0</v>
      </c>
      <c r="Q73" s="100"/>
      <c r="R73" s="116" t="s">
        <v>437</v>
      </c>
    </row>
    <row r="74" spans="1:18" ht="27">
      <c r="A74" s="98">
        <v>3030292</v>
      </c>
      <c r="B74" s="99" t="s">
        <v>235</v>
      </c>
      <c r="C74" s="98" t="s">
        <v>14</v>
      </c>
      <c r="D74" s="100">
        <v>9</v>
      </c>
      <c r="E74" s="100">
        <v>0</v>
      </c>
      <c r="F74" s="100">
        <v>60</v>
      </c>
      <c r="G74" s="100">
        <v>260</v>
      </c>
      <c r="H74" s="100"/>
      <c r="I74" s="100"/>
      <c r="J74" s="100">
        <v>0</v>
      </c>
      <c r="K74" s="100">
        <v>0</v>
      </c>
      <c r="L74" s="100"/>
      <c r="M74" s="100"/>
      <c r="N74" s="100">
        <v>18</v>
      </c>
      <c r="O74" s="100">
        <f t="shared" si="2"/>
        <v>0</v>
      </c>
      <c r="P74" s="100">
        <f t="shared" si="3"/>
        <v>0</v>
      </c>
      <c r="Q74" s="100"/>
      <c r="R74" s="116" t="s">
        <v>437</v>
      </c>
    </row>
    <row r="75" spans="1:18" ht="27">
      <c r="A75" s="98">
        <v>3030295</v>
      </c>
      <c r="B75" s="99" t="s">
        <v>236</v>
      </c>
      <c r="C75" s="98" t="s">
        <v>24</v>
      </c>
      <c r="D75" s="100">
        <v>0</v>
      </c>
      <c r="E75" s="100">
        <v>25</v>
      </c>
      <c r="F75" s="100">
        <v>0</v>
      </c>
      <c r="G75" s="100">
        <v>0</v>
      </c>
      <c r="H75" s="100"/>
      <c r="I75" s="100"/>
      <c r="J75" s="100">
        <v>0</v>
      </c>
      <c r="K75" s="100">
        <v>0</v>
      </c>
      <c r="L75" s="100"/>
      <c r="M75" s="100"/>
      <c r="N75" s="100">
        <v>0</v>
      </c>
      <c r="O75" s="100">
        <f t="shared" si="2"/>
        <v>0</v>
      </c>
      <c r="P75" s="100">
        <f t="shared" si="3"/>
        <v>0</v>
      </c>
      <c r="Q75" s="100"/>
      <c r="R75" s="116" t="s">
        <v>437</v>
      </c>
    </row>
    <row r="76" spans="1:18" ht="27">
      <c r="A76" s="10">
        <v>3030296</v>
      </c>
      <c r="B76" s="11" t="s">
        <v>237</v>
      </c>
      <c r="C76" s="12" t="s">
        <v>24</v>
      </c>
      <c r="D76" s="5">
        <v>66</v>
      </c>
      <c r="E76" s="5">
        <v>52</v>
      </c>
      <c r="F76" s="5">
        <v>374</v>
      </c>
      <c r="G76" s="5">
        <v>416</v>
      </c>
      <c r="J76" s="5">
        <v>0</v>
      </c>
      <c r="K76" s="5">
        <v>300</v>
      </c>
      <c r="N76" s="5">
        <v>147</v>
      </c>
      <c r="O76" s="5">
        <f t="shared" si="2"/>
        <v>0</v>
      </c>
      <c r="P76" s="5">
        <f t="shared" si="3"/>
        <v>44100</v>
      </c>
      <c r="R76" s="115" t="s">
        <v>440</v>
      </c>
    </row>
    <row r="77" spans="1:18" ht="27">
      <c r="A77" s="98">
        <v>3030297</v>
      </c>
      <c r="B77" s="99" t="s">
        <v>238</v>
      </c>
      <c r="C77" s="98" t="s">
        <v>19</v>
      </c>
      <c r="D77" s="100">
        <v>8</v>
      </c>
      <c r="E77" s="100">
        <v>0</v>
      </c>
      <c r="F77" s="100">
        <v>0</v>
      </c>
      <c r="G77" s="100">
        <v>0</v>
      </c>
      <c r="H77" s="100"/>
      <c r="I77" s="100"/>
      <c r="J77" s="100">
        <v>0</v>
      </c>
      <c r="K77" s="100">
        <v>0</v>
      </c>
      <c r="L77" s="100"/>
      <c r="M77" s="100"/>
      <c r="N77" s="100">
        <v>140</v>
      </c>
      <c r="O77" s="100">
        <f t="shared" si="2"/>
        <v>0</v>
      </c>
      <c r="P77" s="100">
        <f t="shared" si="3"/>
        <v>0</v>
      </c>
      <c r="Q77" s="100"/>
      <c r="R77" s="116" t="s">
        <v>437</v>
      </c>
    </row>
    <row r="78" spans="1:18" ht="27">
      <c r="A78" s="10">
        <v>3030298</v>
      </c>
      <c r="B78" s="11" t="s">
        <v>239</v>
      </c>
      <c r="C78" s="12" t="s">
        <v>24</v>
      </c>
      <c r="D78" s="5">
        <v>73</v>
      </c>
      <c r="E78" s="5">
        <v>4</v>
      </c>
      <c r="F78" s="5">
        <v>341</v>
      </c>
      <c r="G78" s="5">
        <v>364</v>
      </c>
      <c r="J78" s="5">
        <v>0</v>
      </c>
      <c r="K78" s="5">
        <v>500</v>
      </c>
      <c r="N78" s="5">
        <v>14</v>
      </c>
      <c r="O78" s="5">
        <f t="shared" si="2"/>
        <v>0</v>
      </c>
      <c r="P78" s="5">
        <f t="shared" si="3"/>
        <v>7000</v>
      </c>
    </row>
    <row r="79" spans="1:18" ht="27">
      <c r="A79" s="98">
        <v>3030299</v>
      </c>
      <c r="B79" s="99" t="s">
        <v>240</v>
      </c>
      <c r="C79" s="98" t="s">
        <v>19</v>
      </c>
      <c r="D79" s="100">
        <v>22</v>
      </c>
      <c r="E79" s="100">
        <v>8</v>
      </c>
      <c r="F79" s="100">
        <v>0</v>
      </c>
      <c r="G79" s="100">
        <v>0</v>
      </c>
      <c r="H79" s="100"/>
      <c r="I79" s="100"/>
      <c r="J79" s="100">
        <v>0</v>
      </c>
      <c r="K79" s="100">
        <v>0</v>
      </c>
      <c r="L79" s="100"/>
      <c r="M79" s="100"/>
      <c r="N79" s="100">
        <v>0</v>
      </c>
      <c r="O79" s="100">
        <f t="shared" si="2"/>
        <v>0</v>
      </c>
      <c r="P79" s="100">
        <f t="shared" si="3"/>
        <v>0</v>
      </c>
      <c r="Q79" s="100"/>
      <c r="R79" s="116" t="s">
        <v>437</v>
      </c>
    </row>
    <row r="80" spans="1:18" ht="27">
      <c r="A80" s="98">
        <v>3030300</v>
      </c>
      <c r="B80" s="99" t="s">
        <v>241</v>
      </c>
      <c r="C80" s="98" t="s">
        <v>24</v>
      </c>
      <c r="D80" s="100">
        <v>58</v>
      </c>
      <c r="E80" s="100">
        <v>0</v>
      </c>
      <c r="F80" s="100">
        <v>0</v>
      </c>
      <c r="G80" s="100">
        <v>0</v>
      </c>
      <c r="H80" s="100"/>
      <c r="I80" s="100"/>
      <c r="J80" s="100">
        <v>0</v>
      </c>
      <c r="K80" s="100">
        <v>0</v>
      </c>
      <c r="L80" s="100"/>
      <c r="M80" s="100"/>
      <c r="N80" s="100">
        <v>0</v>
      </c>
      <c r="O80" s="100">
        <f t="shared" si="2"/>
        <v>0</v>
      </c>
      <c r="P80" s="100">
        <f t="shared" si="3"/>
        <v>0</v>
      </c>
      <c r="Q80" s="100"/>
      <c r="R80" s="116" t="s">
        <v>437</v>
      </c>
    </row>
    <row r="81" spans="1:18" ht="27">
      <c r="A81" s="98">
        <v>3030301</v>
      </c>
      <c r="B81" s="99" t="s">
        <v>242</v>
      </c>
      <c r="C81" s="98" t="s">
        <v>24</v>
      </c>
      <c r="D81" s="100">
        <v>29</v>
      </c>
      <c r="E81" s="100">
        <v>0</v>
      </c>
      <c r="F81" s="100">
        <v>0</v>
      </c>
      <c r="G81" s="100">
        <v>11</v>
      </c>
      <c r="H81" s="100"/>
      <c r="I81" s="100"/>
      <c r="J81" s="100">
        <v>0</v>
      </c>
      <c r="K81" s="100">
        <v>0</v>
      </c>
      <c r="L81" s="100"/>
      <c r="M81" s="100"/>
      <c r="N81" s="100">
        <v>0</v>
      </c>
      <c r="O81" s="100">
        <f t="shared" si="2"/>
        <v>0</v>
      </c>
      <c r="P81" s="100">
        <f t="shared" si="3"/>
        <v>0</v>
      </c>
      <c r="Q81" s="100"/>
      <c r="R81" s="116" t="s">
        <v>437</v>
      </c>
    </row>
    <row r="82" spans="1:18" ht="27">
      <c r="A82" s="98">
        <v>3030302</v>
      </c>
      <c r="B82" s="99" t="s">
        <v>243</v>
      </c>
      <c r="C82" s="98" t="s">
        <v>24</v>
      </c>
      <c r="D82" s="100">
        <v>93</v>
      </c>
      <c r="E82" s="100">
        <v>0</v>
      </c>
      <c r="F82" s="100">
        <v>0</v>
      </c>
      <c r="G82" s="100">
        <v>30</v>
      </c>
      <c r="H82" s="100"/>
      <c r="I82" s="100"/>
      <c r="J82" s="100">
        <v>0</v>
      </c>
      <c r="K82" s="100">
        <v>0</v>
      </c>
      <c r="L82" s="100"/>
      <c r="M82" s="100"/>
      <c r="N82" s="100">
        <v>0</v>
      </c>
      <c r="O82" s="100">
        <f t="shared" si="2"/>
        <v>0</v>
      </c>
      <c r="P82" s="100">
        <f t="shared" si="3"/>
        <v>0</v>
      </c>
      <c r="Q82" s="100"/>
      <c r="R82" s="116" t="s">
        <v>437</v>
      </c>
    </row>
    <row r="83" spans="1:18" ht="27">
      <c r="A83" s="98">
        <v>3030303</v>
      </c>
      <c r="B83" s="99" t="s">
        <v>244</v>
      </c>
      <c r="C83" s="98" t="s">
        <v>24</v>
      </c>
      <c r="D83" s="100">
        <v>8</v>
      </c>
      <c r="E83" s="100">
        <v>0</v>
      </c>
      <c r="F83" s="100">
        <v>6</v>
      </c>
      <c r="G83" s="100">
        <v>18</v>
      </c>
      <c r="H83" s="100"/>
      <c r="I83" s="100"/>
      <c r="J83" s="100">
        <v>0</v>
      </c>
      <c r="K83" s="100">
        <v>0</v>
      </c>
      <c r="L83" s="100"/>
      <c r="M83" s="100"/>
      <c r="N83" s="100">
        <v>0</v>
      </c>
      <c r="O83" s="100">
        <f t="shared" si="2"/>
        <v>0</v>
      </c>
      <c r="P83" s="100">
        <f t="shared" si="3"/>
        <v>0</v>
      </c>
      <c r="Q83" s="100"/>
      <c r="R83" s="116" t="s">
        <v>437</v>
      </c>
    </row>
    <row r="84" spans="1:18" ht="27">
      <c r="A84" s="98">
        <v>3030303</v>
      </c>
      <c r="B84" s="99" t="s">
        <v>244</v>
      </c>
      <c r="C84" s="98" t="s">
        <v>24</v>
      </c>
      <c r="D84" s="100">
        <v>36</v>
      </c>
      <c r="E84" s="100">
        <v>1</v>
      </c>
      <c r="F84" s="100">
        <v>0</v>
      </c>
      <c r="G84" s="100">
        <v>0</v>
      </c>
      <c r="H84" s="100"/>
      <c r="I84" s="100"/>
      <c r="J84" s="100">
        <v>0</v>
      </c>
      <c r="K84" s="100">
        <v>0</v>
      </c>
      <c r="L84" s="100"/>
      <c r="M84" s="100"/>
      <c r="N84" s="100">
        <v>0</v>
      </c>
      <c r="O84" s="100">
        <f t="shared" si="2"/>
        <v>0</v>
      </c>
      <c r="P84" s="100">
        <f t="shared" si="3"/>
        <v>0</v>
      </c>
      <c r="Q84" s="100"/>
      <c r="R84" s="116" t="s">
        <v>437</v>
      </c>
    </row>
    <row r="85" spans="1:18" ht="27">
      <c r="A85" s="10">
        <v>3030304</v>
      </c>
      <c r="B85" s="11" t="s">
        <v>245</v>
      </c>
      <c r="C85" s="12" t="s">
        <v>19</v>
      </c>
      <c r="D85" s="5">
        <v>11</v>
      </c>
      <c r="E85" s="5">
        <v>1</v>
      </c>
      <c r="F85" s="5">
        <v>4</v>
      </c>
      <c r="G85" s="5">
        <v>147</v>
      </c>
      <c r="J85" s="5">
        <v>0</v>
      </c>
      <c r="K85" s="5">
        <v>0</v>
      </c>
      <c r="N85" s="5">
        <v>319</v>
      </c>
      <c r="O85" s="5">
        <f t="shared" si="2"/>
        <v>0</v>
      </c>
      <c r="P85" s="5">
        <f t="shared" si="3"/>
        <v>0</v>
      </c>
      <c r="R85" s="115" t="s">
        <v>441</v>
      </c>
    </row>
    <row r="86" spans="1:18" ht="27">
      <c r="A86" s="98">
        <v>3030305</v>
      </c>
      <c r="B86" s="99" t="s">
        <v>246</v>
      </c>
      <c r="C86" s="98" t="s">
        <v>14</v>
      </c>
      <c r="D86" s="100">
        <v>30</v>
      </c>
      <c r="E86" s="100">
        <v>0</v>
      </c>
      <c r="F86" s="100">
        <v>13</v>
      </c>
      <c r="G86" s="100">
        <v>140</v>
      </c>
      <c r="H86" s="100"/>
      <c r="I86" s="100"/>
      <c r="J86" s="100">
        <v>0</v>
      </c>
      <c r="K86" s="100">
        <v>0</v>
      </c>
      <c r="L86" s="100"/>
      <c r="M86" s="100"/>
      <c r="N86" s="100">
        <v>499</v>
      </c>
      <c r="O86" s="100">
        <f t="shared" si="2"/>
        <v>0</v>
      </c>
      <c r="P86" s="100">
        <f t="shared" si="3"/>
        <v>0</v>
      </c>
      <c r="Q86" s="100"/>
      <c r="R86" s="116" t="s">
        <v>437</v>
      </c>
    </row>
    <row r="87" spans="1:18" ht="27">
      <c r="A87" s="98">
        <v>3030306</v>
      </c>
      <c r="B87" s="99" t="s">
        <v>247</v>
      </c>
      <c r="C87" s="98" t="s">
        <v>19</v>
      </c>
      <c r="D87" s="100">
        <v>14</v>
      </c>
      <c r="E87" s="100">
        <v>0</v>
      </c>
      <c r="F87" s="100">
        <v>4</v>
      </c>
      <c r="G87" s="100">
        <v>14</v>
      </c>
      <c r="H87" s="100"/>
      <c r="I87" s="100"/>
      <c r="J87" s="100">
        <v>0</v>
      </c>
      <c r="K87" s="100">
        <v>0</v>
      </c>
      <c r="L87" s="100"/>
      <c r="M87" s="100"/>
      <c r="N87" s="100">
        <v>2</v>
      </c>
      <c r="O87" s="100">
        <f t="shared" si="2"/>
        <v>0</v>
      </c>
      <c r="P87" s="100">
        <f t="shared" si="3"/>
        <v>0</v>
      </c>
      <c r="Q87" s="100"/>
      <c r="R87" s="116" t="s">
        <v>437</v>
      </c>
    </row>
    <row r="88" spans="1:18" ht="27">
      <c r="A88" s="98">
        <v>3030308</v>
      </c>
      <c r="B88" s="99" t="s">
        <v>248</v>
      </c>
      <c r="C88" s="98" t="s">
        <v>19</v>
      </c>
      <c r="D88" s="100">
        <v>37</v>
      </c>
      <c r="E88" s="100">
        <v>16</v>
      </c>
      <c r="F88" s="100">
        <v>0</v>
      </c>
      <c r="G88" s="100">
        <v>0</v>
      </c>
      <c r="H88" s="100"/>
      <c r="I88" s="100"/>
      <c r="J88" s="100">
        <v>0</v>
      </c>
      <c r="K88" s="100">
        <v>0</v>
      </c>
      <c r="L88" s="100"/>
      <c r="M88" s="100"/>
      <c r="N88" s="100">
        <v>26</v>
      </c>
      <c r="O88" s="100">
        <f t="shared" si="2"/>
        <v>0</v>
      </c>
      <c r="P88" s="100">
        <f t="shared" si="3"/>
        <v>0</v>
      </c>
      <c r="Q88" s="100"/>
      <c r="R88" s="116" t="s">
        <v>437</v>
      </c>
    </row>
    <row r="89" spans="1:18" ht="27">
      <c r="A89" s="98">
        <v>3030308</v>
      </c>
      <c r="B89" s="99" t="s">
        <v>248</v>
      </c>
      <c r="C89" s="98" t="s">
        <v>19</v>
      </c>
      <c r="D89" s="100">
        <v>7</v>
      </c>
      <c r="E89" s="100">
        <v>20</v>
      </c>
      <c r="F89" s="100">
        <v>0</v>
      </c>
      <c r="G89" s="100">
        <v>0</v>
      </c>
      <c r="H89" s="100"/>
      <c r="I89" s="100"/>
      <c r="J89" s="100">
        <v>0</v>
      </c>
      <c r="K89" s="100">
        <v>0</v>
      </c>
      <c r="L89" s="100"/>
      <c r="M89" s="100"/>
      <c r="N89" s="100">
        <v>1009</v>
      </c>
      <c r="O89" s="100">
        <f t="shared" si="2"/>
        <v>0</v>
      </c>
      <c r="P89" s="100">
        <f t="shared" si="3"/>
        <v>0</v>
      </c>
      <c r="Q89" s="100"/>
      <c r="R89" s="116" t="s">
        <v>437</v>
      </c>
    </row>
    <row r="90" spans="1:18" ht="27">
      <c r="A90" s="10">
        <v>3030314</v>
      </c>
      <c r="B90" s="11" t="s">
        <v>249</v>
      </c>
      <c r="C90" s="12" t="s">
        <v>19</v>
      </c>
      <c r="D90" s="5">
        <v>29</v>
      </c>
      <c r="E90" s="5">
        <v>22</v>
      </c>
      <c r="F90" s="5">
        <v>0</v>
      </c>
      <c r="G90" s="5">
        <v>0</v>
      </c>
      <c r="J90" s="5">
        <v>0</v>
      </c>
      <c r="K90" s="5">
        <v>0</v>
      </c>
      <c r="N90" s="5">
        <v>18</v>
      </c>
      <c r="O90" s="5">
        <f t="shared" si="2"/>
        <v>0</v>
      </c>
      <c r="P90" s="5">
        <f t="shared" si="3"/>
        <v>0</v>
      </c>
      <c r="R90" s="115" t="s">
        <v>440</v>
      </c>
    </row>
    <row r="91" spans="1:18" ht="27">
      <c r="A91" s="10">
        <v>3030316</v>
      </c>
      <c r="B91" s="11" t="s">
        <v>250</v>
      </c>
      <c r="C91" s="12" t="s">
        <v>19</v>
      </c>
      <c r="D91" s="5">
        <v>19</v>
      </c>
      <c r="E91" s="5">
        <v>118</v>
      </c>
      <c r="F91" s="5">
        <v>44</v>
      </c>
      <c r="G91" s="5">
        <v>462</v>
      </c>
      <c r="J91" s="5">
        <v>0</v>
      </c>
      <c r="K91" s="5">
        <v>500</v>
      </c>
      <c r="N91" s="5">
        <v>29</v>
      </c>
      <c r="O91" s="5">
        <f t="shared" si="2"/>
        <v>0</v>
      </c>
      <c r="P91" s="5">
        <f t="shared" si="3"/>
        <v>14500</v>
      </c>
      <c r="R91" s="115" t="s">
        <v>442</v>
      </c>
    </row>
    <row r="92" spans="1:18" ht="27">
      <c r="A92" s="98">
        <v>3030317</v>
      </c>
      <c r="B92" s="99" t="s">
        <v>251</v>
      </c>
      <c r="C92" s="98" t="s">
        <v>24</v>
      </c>
      <c r="D92" s="100">
        <v>0</v>
      </c>
      <c r="E92" s="100">
        <v>47</v>
      </c>
      <c r="F92" s="100">
        <v>0</v>
      </c>
      <c r="G92" s="100">
        <v>0</v>
      </c>
      <c r="H92" s="100"/>
      <c r="I92" s="100"/>
      <c r="J92" s="100">
        <v>0</v>
      </c>
      <c r="K92" s="100">
        <v>0</v>
      </c>
      <c r="L92" s="100"/>
      <c r="M92" s="100"/>
      <c r="N92" s="100">
        <v>0</v>
      </c>
      <c r="O92" s="100">
        <f t="shared" si="2"/>
        <v>0</v>
      </c>
      <c r="P92" s="100">
        <f t="shared" si="3"/>
        <v>0</v>
      </c>
      <c r="Q92" s="100"/>
      <c r="R92" s="116" t="s">
        <v>437</v>
      </c>
    </row>
    <row r="93" spans="1:18" ht="27">
      <c r="A93" s="98">
        <v>3030318</v>
      </c>
      <c r="B93" s="99" t="s">
        <v>252</v>
      </c>
      <c r="C93" s="98" t="s">
        <v>24</v>
      </c>
      <c r="D93" s="100">
        <v>27</v>
      </c>
      <c r="E93" s="100">
        <v>0</v>
      </c>
      <c r="F93" s="100">
        <v>0</v>
      </c>
      <c r="G93" s="100">
        <v>0</v>
      </c>
      <c r="H93" s="100"/>
      <c r="I93" s="100"/>
      <c r="J93" s="100">
        <v>0</v>
      </c>
      <c r="K93" s="100">
        <v>0</v>
      </c>
      <c r="L93" s="100"/>
      <c r="M93" s="100"/>
      <c r="N93" s="100">
        <v>0</v>
      </c>
      <c r="O93" s="100">
        <f t="shared" si="2"/>
        <v>0</v>
      </c>
      <c r="P93" s="100">
        <f t="shared" si="3"/>
        <v>0</v>
      </c>
      <c r="Q93" s="100"/>
      <c r="R93" s="116" t="s">
        <v>437</v>
      </c>
    </row>
    <row r="94" spans="1:18" ht="27">
      <c r="A94" s="10">
        <v>3030318</v>
      </c>
      <c r="B94" s="11" t="s">
        <v>252</v>
      </c>
      <c r="C94" s="12" t="s">
        <v>24</v>
      </c>
      <c r="D94" s="5">
        <v>36</v>
      </c>
      <c r="E94" s="5">
        <v>170</v>
      </c>
      <c r="F94" s="5">
        <v>283</v>
      </c>
      <c r="G94" s="5">
        <v>245</v>
      </c>
      <c r="J94" s="5">
        <v>500</v>
      </c>
      <c r="K94" s="5">
        <v>0</v>
      </c>
      <c r="N94" s="5">
        <v>0</v>
      </c>
      <c r="O94" s="5">
        <f t="shared" si="2"/>
        <v>0</v>
      </c>
      <c r="P94" s="5">
        <f t="shared" si="3"/>
        <v>0</v>
      </c>
    </row>
    <row r="95" spans="1:18" ht="27">
      <c r="A95" s="10">
        <v>3030319</v>
      </c>
      <c r="B95" s="11" t="s">
        <v>253</v>
      </c>
      <c r="C95" s="12" t="s">
        <v>24</v>
      </c>
      <c r="D95" s="5">
        <v>127</v>
      </c>
      <c r="E95" s="5">
        <v>268</v>
      </c>
      <c r="F95" s="5">
        <v>529</v>
      </c>
      <c r="G95" s="5">
        <v>465</v>
      </c>
      <c r="J95" s="5">
        <v>0</v>
      </c>
      <c r="K95" s="5">
        <v>500</v>
      </c>
      <c r="N95" s="5">
        <v>70</v>
      </c>
      <c r="O95" s="5">
        <f t="shared" si="2"/>
        <v>0</v>
      </c>
      <c r="P95" s="5">
        <f t="shared" si="3"/>
        <v>35000</v>
      </c>
    </row>
    <row r="96" spans="1:18" ht="27">
      <c r="A96" s="10">
        <v>3030323</v>
      </c>
      <c r="B96" s="11" t="s">
        <v>254</v>
      </c>
      <c r="C96" s="12" t="s">
        <v>24</v>
      </c>
      <c r="D96" s="5">
        <v>55</v>
      </c>
      <c r="E96" s="5">
        <v>0</v>
      </c>
      <c r="F96" s="5">
        <v>30</v>
      </c>
      <c r="G96" s="5">
        <v>2</v>
      </c>
      <c r="J96" s="5">
        <v>0</v>
      </c>
      <c r="K96" s="5">
        <v>0</v>
      </c>
      <c r="N96" s="5">
        <v>385</v>
      </c>
      <c r="O96" s="5">
        <f t="shared" si="2"/>
        <v>0</v>
      </c>
      <c r="P96" s="5">
        <f t="shared" si="3"/>
        <v>0</v>
      </c>
    </row>
    <row r="97" spans="1:18" ht="27">
      <c r="A97" s="10">
        <v>3030324</v>
      </c>
      <c r="B97" s="11" t="s">
        <v>255</v>
      </c>
      <c r="C97" s="12" t="s">
        <v>24</v>
      </c>
      <c r="D97" s="5">
        <v>35</v>
      </c>
      <c r="E97" s="5">
        <v>0</v>
      </c>
      <c r="F97" s="5">
        <v>70</v>
      </c>
      <c r="G97" s="5">
        <v>21</v>
      </c>
      <c r="J97" s="5">
        <v>0</v>
      </c>
      <c r="K97" s="5">
        <v>50</v>
      </c>
      <c r="N97" s="5">
        <v>0</v>
      </c>
      <c r="O97" s="5">
        <f t="shared" si="2"/>
        <v>0</v>
      </c>
      <c r="P97" s="5">
        <f t="shared" si="3"/>
        <v>0</v>
      </c>
      <c r="R97" s="115" t="s">
        <v>443</v>
      </c>
    </row>
    <row r="98" spans="1:18" ht="27">
      <c r="A98" s="10">
        <v>3030325</v>
      </c>
      <c r="B98" s="11" t="s">
        <v>256</v>
      </c>
      <c r="C98" s="12" t="s">
        <v>24</v>
      </c>
      <c r="D98" s="5">
        <v>392</v>
      </c>
      <c r="E98" s="5">
        <v>0</v>
      </c>
      <c r="F98" s="5">
        <v>1528</v>
      </c>
      <c r="G98" s="5">
        <v>828</v>
      </c>
      <c r="J98" s="5">
        <v>0</v>
      </c>
      <c r="K98" s="5">
        <v>2000</v>
      </c>
      <c r="N98" s="5">
        <v>2</v>
      </c>
      <c r="O98" s="5">
        <f t="shared" si="2"/>
        <v>0</v>
      </c>
      <c r="P98" s="5">
        <f t="shared" si="3"/>
        <v>4000</v>
      </c>
      <c r="R98" s="115" t="s">
        <v>444</v>
      </c>
    </row>
    <row r="99" spans="1:18" ht="27">
      <c r="A99" s="98">
        <v>3030327</v>
      </c>
      <c r="B99" s="99" t="s">
        <v>257</v>
      </c>
      <c r="C99" s="98" t="s">
        <v>14</v>
      </c>
      <c r="D99" s="100">
        <v>316</v>
      </c>
      <c r="E99" s="100">
        <v>5</v>
      </c>
      <c r="F99" s="100">
        <v>2</v>
      </c>
      <c r="G99" s="100">
        <v>18</v>
      </c>
      <c r="H99" s="100"/>
      <c r="I99" s="100"/>
      <c r="J99" s="100">
        <v>0</v>
      </c>
      <c r="K99" s="100">
        <v>0</v>
      </c>
      <c r="L99" s="100"/>
      <c r="M99" s="100"/>
      <c r="N99" s="100">
        <v>4</v>
      </c>
      <c r="O99" s="100">
        <f t="shared" si="2"/>
        <v>0</v>
      </c>
      <c r="P99" s="100">
        <f t="shared" si="3"/>
        <v>0</v>
      </c>
      <c r="Q99" s="100"/>
      <c r="R99" s="116" t="s">
        <v>437</v>
      </c>
    </row>
    <row r="100" spans="1:18" ht="27">
      <c r="A100" s="98">
        <v>3030328</v>
      </c>
      <c r="B100" s="99" t="s">
        <v>258</v>
      </c>
      <c r="C100" s="98" t="s">
        <v>24</v>
      </c>
      <c r="D100" s="100">
        <v>222</v>
      </c>
      <c r="E100" s="100">
        <v>76</v>
      </c>
      <c r="F100" s="100">
        <v>0</v>
      </c>
      <c r="G100" s="100">
        <v>29</v>
      </c>
      <c r="H100" s="100"/>
      <c r="I100" s="100"/>
      <c r="J100" s="100">
        <v>0</v>
      </c>
      <c r="K100" s="100">
        <v>0</v>
      </c>
      <c r="L100" s="100"/>
      <c r="M100" s="100"/>
      <c r="N100" s="100">
        <v>0</v>
      </c>
      <c r="O100" s="100">
        <f t="shared" si="2"/>
        <v>0</v>
      </c>
      <c r="P100" s="100">
        <f t="shared" si="3"/>
        <v>0</v>
      </c>
      <c r="Q100" s="100"/>
      <c r="R100" s="116" t="s">
        <v>437</v>
      </c>
    </row>
    <row r="101" spans="1:18" ht="27">
      <c r="A101" s="98">
        <v>3030330</v>
      </c>
      <c r="B101" s="99" t="s">
        <v>259</v>
      </c>
      <c r="C101" s="98" t="s">
        <v>24</v>
      </c>
      <c r="D101" s="100">
        <v>0</v>
      </c>
      <c r="E101" s="100">
        <v>19</v>
      </c>
      <c r="F101" s="100">
        <v>0</v>
      </c>
      <c r="G101" s="100">
        <v>0</v>
      </c>
      <c r="H101" s="100"/>
      <c r="I101" s="100"/>
      <c r="J101" s="100">
        <v>0</v>
      </c>
      <c r="K101" s="100">
        <v>0</v>
      </c>
      <c r="L101" s="100"/>
      <c r="M101" s="100"/>
      <c r="N101" s="100">
        <v>14</v>
      </c>
      <c r="O101" s="100">
        <f t="shared" si="2"/>
        <v>0</v>
      </c>
      <c r="P101" s="100">
        <f t="shared" si="3"/>
        <v>0</v>
      </c>
      <c r="Q101" s="100"/>
      <c r="R101" s="116" t="s">
        <v>437</v>
      </c>
    </row>
    <row r="102" spans="1:18" ht="27">
      <c r="A102" s="98">
        <v>3030331</v>
      </c>
      <c r="B102" s="99" t="s">
        <v>260</v>
      </c>
      <c r="C102" s="98" t="s">
        <v>24</v>
      </c>
      <c r="D102" s="100">
        <v>510</v>
      </c>
      <c r="E102" s="100">
        <v>0</v>
      </c>
      <c r="F102" s="100">
        <v>0</v>
      </c>
      <c r="G102" s="100">
        <v>0</v>
      </c>
      <c r="H102" s="100"/>
      <c r="I102" s="100"/>
      <c r="J102" s="100">
        <v>0</v>
      </c>
      <c r="K102" s="100">
        <v>0</v>
      </c>
      <c r="L102" s="100"/>
      <c r="M102" s="100"/>
      <c r="N102" s="100">
        <v>0</v>
      </c>
      <c r="O102" s="100">
        <f t="shared" si="2"/>
        <v>0</v>
      </c>
      <c r="P102" s="100">
        <f t="shared" si="3"/>
        <v>0</v>
      </c>
      <c r="Q102" s="100"/>
      <c r="R102" s="116" t="s">
        <v>437</v>
      </c>
    </row>
    <row r="103" spans="1:18" ht="27">
      <c r="A103" s="98">
        <v>3030332</v>
      </c>
      <c r="B103" s="99" t="s">
        <v>261</v>
      </c>
      <c r="C103" s="98" t="s">
        <v>24</v>
      </c>
      <c r="D103" s="100">
        <v>234</v>
      </c>
      <c r="E103" s="100">
        <v>3</v>
      </c>
      <c r="F103" s="100">
        <v>0</v>
      </c>
      <c r="G103" s="100">
        <v>0</v>
      </c>
      <c r="H103" s="100"/>
      <c r="I103" s="100"/>
      <c r="J103" s="100">
        <v>0</v>
      </c>
      <c r="K103" s="100">
        <v>0</v>
      </c>
      <c r="L103" s="100"/>
      <c r="M103" s="100"/>
      <c r="N103" s="100">
        <v>1</v>
      </c>
      <c r="O103" s="100">
        <f t="shared" si="2"/>
        <v>0</v>
      </c>
      <c r="P103" s="100">
        <f t="shared" si="3"/>
        <v>0</v>
      </c>
      <c r="Q103" s="100"/>
      <c r="R103" s="116" t="s">
        <v>437</v>
      </c>
    </row>
    <row r="104" spans="1:18" ht="27">
      <c r="A104" s="98">
        <v>3030333</v>
      </c>
      <c r="B104" s="99" t="s">
        <v>262</v>
      </c>
      <c r="C104" s="98" t="s">
        <v>14</v>
      </c>
      <c r="D104" s="100">
        <v>11</v>
      </c>
      <c r="E104" s="100">
        <v>0</v>
      </c>
      <c r="F104" s="100">
        <v>90</v>
      </c>
      <c r="G104" s="100">
        <v>60</v>
      </c>
      <c r="H104" s="100"/>
      <c r="I104" s="100"/>
      <c r="J104" s="100">
        <v>0</v>
      </c>
      <c r="K104" s="100">
        <v>100</v>
      </c>
      <c r="L104" s="100"/>
      <c r="M104" s="100"/>
      <c r="N104" s="100">
        <v>2</v>
      </c>
      <c r="O104" s="100">
        <f t="shared" si="2"/>
        <v>0</v>
      </c>
      <c r="P104" s="100">
        <f t="shared" si="3"/>
        <v>200</v>
      </c>
      <c r="Q104" s="100"/>
      <c r="R104" s="116" t="s">
        <v>437</v>
      </c>
    </row>
    <row r="105" spans="1:18" ht="27">
      <c r="A105" s="2">
        <v>3030334</v>
      </c>
      <c r="B105" s="13" t="s">
        <v>263</v>
      </c>
      <c r="C105" s="14" t="s">
        <v>19</v>
      </c>
      <c r="D105" s="5">
        <v>52</v>
      </c>
      <c r="E105" s="5">
        <v>0</v>
      </c>
      <c r="F105" s="5">
        <v>78</v>
      </c>
      <c r="G105" s="5">
        <v>382</v>
      </c>
      <c r="J105" s="5">
        <v>0</v>
      </c>
      <c r="K105" s="5">
        <v>0</v>
      </c>
      <c r="N105" s="5">
        <v>0</v>
      </c>
      <c r="O105" s="5">
        <f t="shared" si="2"/>
        <v>0</v>
      </c>
      <c r="P105" s="5">
        <f t="shared" si="3"/>
        <v>0</v>
      </c>
    </row>
    <row r="106" spans="1:18" ht="27">
      <c r="A106" s="103">
        <v>3030336</v>
      </c>
      <c r="B106" s="104" t="s">
        <v>264</v>
      </c>
      <c r="C106" s="105" t="s">
        <v>19</v>
      </c>
      <c r="D106" s="100">
        <v>44</v>
      </c>
      <c r="E106" s="100">
        <v>1</v>
      </c>
      <c r="F106" s="100">
        <v>0</v>
      </c>
      <c r="G106" s="100">
        <v>0</v>
      </c>
      <c r="H106" s="100"/>
      <c r="I106" s="100"/>
      <c r="J106" s="100">
        <v>0</v>
      </c>
      <c r="K106" s="100">
        <v>0</v>
      </c>
      <c r="L106" s="100"/>
      <c r="M106" s="100"/>
      <c r="N106" s="100">
        <v>5</v>
      </c>
      <c r="O106" s="100">
        <f t="shared" si="2"/>
        <v>0</v>
      </c>
      <c r="P106" s="100">
        <f t="shared" si="3"/>
        <v>0</v>
      </c>
      <c r="Q106" s="100"/>
      <c r="R106" s="116" t="s">
        <v>437</v>
      </c>
    </row>
    <row r="107" spans="1:18" ht="27">
      <c r="A107" s="98">
        <v>3030339</v>
      </c>
      <c r="B107" s="99" t="s">
        <v>265</v>
      </c>
      <c r="C107" s="98" t="s">
        <v>14</v>
      </c>
      <c r="D107" s="100">
        <v>13</v>
      </c>
      <c r="E107" s="100">
        <v>0</v>
      </c>
      <c r="F107" s="100">
        <v>0</v>
      </c>
      <c r="G107" s="100">
        <v>2</v>
      </c>
      <c r="H107" s="100"/>
      <c r="I107" s="100"/>
      <c r="J107" s="100">
        <v>0</v>
      </c>
      <c r="K107" s="100">
        <v>0</v>
      </c>
      <c r="L107" s="100"/>
      <c r="M107" s="100"/>
      <c r="N107" s="100">
        <v>0</v>
      </c>
      <c r="O107" s="100">
        <f t="shared" si="2"/>
        <v>0</v>
      </c>
      <c r="P107" s="100">
        <f t="shared" si="3"/>
        <v>0</v>
      </c>
      <c r="Q107" s="100"/>
      <c r="R107" s="116" t="s">
        <v>437</v>
      </c>
    </row>
    <row r="108" spans="1:18" ht="27">
      <c r="A108" s="98">
        <v>3030340</v>
      </c>
      <c r="B108" s="99" t="s">
        <v>266</v>
      </c>
      <c r="C108" s="98" t="s">
        <v>19</v>
      </c>
      <c r="D108" s="100">
        <v>111</v>
      </c>
      <c r="E108" s="100">
        <v>35</v>
      </c>
      <c r="F108" s="100">
        <v>0</v>
      </c>
      <c r="G108" s="100">
        <v>4</v>
      </c>
      <c r="H108" s="100"/>
      <c r="I108" s="100"/>
      <c r="J108" s="100">
        <v>0</v>
      </c>
      <c r="K108" s="100">
        <v>0</v>
      </c>
      <c r="L108" s="100"/>
      <c r="M108" s="100"/>
      <c r="N108" s="100">
        <v>700</v>
      </c>
      <c r="O108" s="100">
        <f t="shared" si="2"/>
        <v>0</v>
      </c>
      <c r="P108" s="100">
        <f t="shared" si="3"/>
        <v>0</v>
      </c>
      <c r="Q108" s="100"/>
      <c r="R108" s="116" t="s">
        <v>437</v>
      </c>
    </row>
    <row r="109" spans="1:18" ht="27">
      <c r="A109" s="98">
        <v>3030341</v>
      </c>
      <c r="B109" s="99" t="s">
        <v>267</v>
      </c>
      <c r="C109" s="98" t="s">
        <v>19</v>
      </c>
      <c r="D109" s="100">
        <v>52</v>
      </c>
      <c r="E109" s="100">
        <v>26</v>
      </c>
      <c r="F109" s="100">
        <v>0</v>
      </c>
      <c r="G109" s="100">
        <v>0</v>
      </c>
      <c r="H109" s="100"/>
      <c r="I109" s="100"/>
      <c r="J109" s="100">
        <v>0</v>
      </c>
      <c r="K109" s="100">
        <v>0</v>
      </c>
      <c r="L109" s="100"/>
      <c r="M109" s="100"/>
      <c r="N109" s="100">
        <v>202</v>
      </c>
      <c r="O109" s="100">
        <f t="shared" si="2"/>
        <v>0</v>
      </c>
      <c r="P109" s="100">
        <f t="shared" si="3"/>
        <v>0</v>
      </c>
      <c r="Q109" s="100"/>
      <c r="R109" s="116" t="s">
        <v>437</v>
      </c>
    </row>
    <row r="110" spans="1:18" ht="27">
      <c r="A110" s="98">
        <v>3030341</v>
      </c>
      <c r="B110" s="99" t="s">
        <v>267</v>
      </c>
      <c r="C110" s="98" t="s">
        <v>19</v>
      </c>
      <c r="D110" s="100">
        <v>163</v>
      </c>
      <c r="E110" s="100">
        <v>21</v>
      </c>
      <c r="F110" s="100">
        <v>8</v>
      </c>
      <c r="G110" s="100">
        <v>56</v>
      </c>
      <c r="H110" s="100"/>
      <c r="I110" s="100"/>
      <c r="J110" s="100">
        <v>0</v>
      </c>
      <c r="K110" s="100">
        <v>50</v>
      </c>
      <c r="L110" s="100"/>
      <c r="M110" s="100"/>
      <c r="N110" s="100">
        <v>235</v>
      </c>
      <c r="O110" s="100">
        <f t="shared" si="2"/>
        <v>0</v>
      </c>
      <c r="P110" s="100">
        <f t="shared" si="3"/>
        <v>11750</v>
      </c>
      <c r="Q110" s="100"/>
      <c r="R110" s="116" t="s">
        <v>437</v>
      </c>
    </row>
    <row r="111" spans="1:18" ht="27">
      <c r="A111" s="98">
        <v>3030342</v>
      </c>
      <c r="B111" s="99" t="s">
        <v>268</v>
      </c>
      <c r="C111" s="98" t="s">
        <v>19</v>
      </c>
      <c r="D111" s="100">
        <v>7</v>
      </c>
      <c r="E111" s="100">
        <v>5</v>
      </c>
      <c r="F111" s="100">
        <v>0</v>
      </c>
      <c r="G111" s="100">
        <v>0</v>
      </c>
      <c r="H111" s="100"/>
      <c r="I111" s="100"/>
      <c r="J111" s="100">
        <v>0</v>
      </c>
      <c r="K111" s="100">
        <v>0</v>
      </c>
      <c r="L111" s="100"/>
      <c r="M111" s="100"/>
      <c r="N111" s="100">
        <v>9</v>
      </c>
      <c r="O111" s="100">
        <f t="shared" si="2"/>
        <v>0</v>
      </c>
      <c r="P111" s="100">
        <f t="shared" si="3"/>
        <v>0</v>
      </c>
      <c r="Q111" s="100"/>
      <c r="R111" s="116" t="s">
        <v>437</v>
      </c>
    </row>
    <row r="112" spans="1:18" ht="27">
      <c r="A112" s="98">
        <v>3030342</v>
      </c>
      <c r="B112" s="99" t="s">
        <v>268</v>
      </c>
      <c r="C112" s="98" t="s">
        <v>19</v>
      </c>
      <c r="D112" s="100">
        <v>343</v>
      </c>
      <c r="E112" s="100">
        <v>0</v>
      </c>
      <c r="F112" s="100">
        <v>0</v>
      </c>
      <c r="G112" s="100">
        <v>1</v>
      </c>
      <c r="H112" s="100"/>
      <c r="I112" s="100"/>
      <c r="J112" s="100">
        <v>0</v>
      </c>
      <c r="K112" s="100">
        <v>0</v>
      </c>
      <c r="L112" s="100"/>
      <c r="M112" s="100"/>
      <c r="N112" s="100">
        <v>41</v>
      </c>
      <c r="O112" s="100">
        <f t="shared" si="2"/>
        <v>0</v>
      </c>
      <c r="P112" s="100">
        <f t="shared" si="3"/>
        <v>0</v>
      </c>
      <c r="Q112" s="100"/>
      <c r="R112" s="116" t="s">
        <v>437</v>
      </c>
    </row>
    <row r="113" spans="1:18" ht="27">
      <c r="A113" s="98">
        <v>3030343</v>
      </c>
      <c r="B113" s="99" t="s">
        <v>269</v>
      </c>
      <c r="C113" s="98" t="s">
        <v>19</v>
      </c>
      <c r="D113" s="100">
        <v>5</v>
      </c>
      <c r="E113" s="100">
        <v>0</v>
      </c>
      <c r="F113" s="100">
        <v>17</v>
      </c>
      <c r="G113" s="100">
        <v>102</v>
      </c>
      <c r="H113" s="100"/>
      <c r="I113" s="100"/>
      <c r="J113" s="100">
        <v>0</v>
      </c>
      <c r="K113" s="100">
        <v>100</v>
      </c>
      <c r="L113" s="100"/>
      <c r="M113" s="100"/>
      <c r="N113" s="100">
        <v>0</v>
      </c>
      <c r="O113" s="100">
        <f t="shared" si="2"/>
        <v>0</v>
      </c>
      <c r="P113" s="100">
        <f t="shared" si="3"/>
        <v>0</v>
      </c>
      <c r="Q113" s="100"/>
      <c r="R113" s="116" t="s">
        <v>437</v>
      </c>
    </row>
    <row r="114" spans="1:18" ht="27">
      <c r="A114" s="98">
        <v>3030344</v>
      </c>
      <c r="B114" s="99" t="s">
        <v>270</v>
      </c>
      <c r="C114" s="98" t="s">
        <v>19</v>
      </c>
      <c r="D114" s="100">
        <v>0</v>
      </c>
      <c r="E114" s="100">
        <v>0</v>
      </c>
      <c r="F114" s="100">
        <v>0</v>
      </c>
      <c r="G114" s="100">
        <v>0</v>
      </c>
      <c r="H114" s="100"/>
      <c r="I114" s="100"/>
      <c r="J114" s="100">
        <v>0</v>
      </c>
      <c r="K114" s="100">
        <v>0</v>
      </c>
      <c r="L114" s="100"/>
      <c r="M114" s="100"/>
      <c r="N114" s="100">
        <v>45</v>
      </c>
      <c r="O114" s="100">
        <f t="shared" si="2"/>
        <v>0</v>
      </c>
      <c r="P114" s="100">
        <f t="shared" si="3"/>
        <v>0</v>
      </c>
      <c r="Q114" s="100"/>
      <c r="R114" s="116" t="s">
        <v>437</v>
      </c>
    </row>
    <row r="115" spans="1:18" ht="27">
      <c r="A115" s="10">
        <v>3030344</v>
      </c>
      <c r="B115" s="11" t="s">
        <v>270</v>
      </c>
      <c r="C115" s="10" t="s">
        <v>19</v>
      </c>
      <c r="D115" s="5">
        <v>13</v>
      </c>
      <c r="E115" s="5">
        <v>0</v>
      </c>
      <c r="F115" s="5">
        <v>2</v>
      </c>
      <c r="G115" s="5">
        <v>5</v>
      </c>
      <c r="J115" s="5">
        <v>0</v>
      </c>
      <c r="K115" s="5">
        <v>0</v>
      </c>
      <c r="N115" s="5">
        <v>0</v>
      </c>
      <c r="O115" s="5">
        <f t="shared" si="2"/>
        <v>0</v>
      </c>
      <c r="P115" s="5">
        <f t="shared" si="3"/>
        <v>0</v>
      </c>
      <c r="R115" s="122"/>
    </row>
    <row r="116" spans="1:18" ht="27">
      <c r="A116" s="98">
        <v>3030346</v>
      </c>
      <c r="B116" s="99" t="s">
        <v>271</v>
      </c>
      <c r="C116" s="98" t="s">
        <v>19</v>
      </c>
      <c r="D116" s="100">
        <v>4</v>
      </c>
      <c r="E116" s="100">
        <v>3</v>
      </c>
      <c r="F116" s="100">
        <v>0</v>
      </c>
      <c r="G116" s="100">
        <v>0</v>
      </c>
      <c r="H116" s="100"/>
      <c r="I116" s="100"/>
      <c r="J116" s="100">
        <v>0</v>
      </c>
      <c r="K116" s="100">
        <v>0</v>
      </c>
      <c r="L116" s="100"/>
      <c r="M116" s="100"/>
      <c r="N116" s="100">
        <v>10</v>
      </c>
      <c r="O116" s="100">
        <f t="shared" si="2"/>
        <v>0</v>
      </c>
      <c r="P116" s="100">
        <f t="shared" si="3"/>
        <v>0</v>
      </c>
      <c r="Q116" s="100"/>
      <c r="R116" s="116" t="s">
        <v>437</v>
      </c>
    </row>
    <row r="117" spans="1:18" ht="27">
      <c r="A117" s="10">
        <v>3030347</v>
      </c>
      <c r="B117" s="11" t="s">
        <v>272</v>
      </c>
      <c r="C117" s="10" t="s">
        <v>14</v>
      </c>
      <c r="D117" s="5">
        <v>83</v>
      </c>
      <c r="E117" s="5">
        <v>0</v>
      </c>
      <c r="F117" s="5">
        <v>534</v>
      </c>
      <c r="G117" s="5">
        <v>630</v>
      </c>
      <c r="J117" s="5">
        <v>0</v>
      </c>
      <c r="K117" s="5">
        <v>900</v>
      </c>
      <c r="N117" s="5">
        <v>0</v>
      </c>
      <c r="O117" s="5">
        <f t="shared" si="2"/>
        <v>0</v>
      </c>
      <c r="P117" s="5">
        <f t="shared" si="3"/>
        <v>0</v>
      </c>
      <c r="R117" s="122"/>
    </row>
    <row r="118" spans="1:18" ht="27">
      <c r="A118" s="10">
        <v>3030348</v>
      </c>
      <c r="B118" s="11" t="s">
        <v>273</v>
      </c>
      <c r="C118" s="10" t="s">
        <v>19</v>
      </c>
      <c r="D118" s="5">
        <v>18</v>
      </c>
      <c r="E118" s="5">
        <v>1</v>
      </c>
      <c r="F118" s="5">
        <v>165</v>
      </c>
      <c r="G118" s="5">
        <v>175</v>
      </c>
      <c r="J118" s="5">
        <v>0</v>
      </c>
      <c r="K118" s="5">
        <v>300</v>
      </c>
      <c r="N118" s="5">
        <v>0</v>
      </c>
      <c r="O118" s="5">
        <f t="shared" si="2"/>
        <v>0</v>
      </c>
      <c r="P118" s="5">
        <f t="shared" si="3"/>
        <v>0</v>
      </c>
      <c r="R118" s="122"/>
    </row>
    <row r="119" spans="1:18" ht="27">
      <c r="A119" s="10">
        <v>3030350</v>
      </c>
      <c r="B119" s="11" t="s">
        <v>274</v>
      </c>
      <c r="C119" s="10" t="s">
        <v>19</v>
      </c>
      <c r="D119" s="5">
        <v>61</v>
      </c>
      <c r="E119" s="5">
        <v>0</v>
      </c>
      <c r="F119" s="5">
        <v>104</v>
      </c>
      <c r="G119" s="5">
        <v>216</v>
      </c>
      <c r="J119" s="5">
        <v>20</v>
      </c>
      <c r="K119" s="5">
        <v>300</v>
      </c>
      <c r="N119" s="5">
        <v>0</v>
      </c>
      <c r="O119" s="5">
        <f t="shared" si="2"/>
        <v>0</v>
      </c>
      <c r="P119" s="5">
        <f t="shared" si="3"/>
        <v>0</v>
      </c>
      <c r="R119" s="122"/>
    </row>
    <row r="120" spans="1:18" ht="27">
      <c r="A120" s="98">
        <v>3030351</v>
      </c>
      <c r="B120" s="99" t="s">
        <v>275</v>
      </c>
      <c r="C120" s="98" t="s">
        <v>24</v>
      </c>
      <c r="D120" s="100">
        <v>14</v>
      </c>
      <c r="E120" s="100">
        <v>0</v>
      </c>
      <c r="F120" s="100">
        <v>3</v>
      </c>
      <c r="G120" s="100">
        <v>6</v>
      </c>
      <c r="H120" s="100"/>
      <c r="I120" s="100"/>
      <c r="J120" s="100">
        <v>0</v>
      </c>
      <c r="K120" s="100">
        <v>0</v>
      </c>
      <c r="L120" s="100"/>
      <c r="M120" s="100"/>
      <c r="N120" s="100">
        <v>0</v>
      </c>
      <c r="O120" s="100">
        <f t="shared" si="2"/>
        <v>0</v>
      </c>
      <c r="P120" s="100">
        <f t="shared" si="3"/>
        <v>0</v>
      </c>
      <c r="Q120" s="100"/>
      <c r="R120" s="116" t="s">
        <v>437</v>
      </c>
    </row>
    <row r="121" spans="1:18">
      <c r="A121" s="98">
        <v>3030379</v>
      </c>
      <c r="B121" s="106" t="s">
        <v>276</v>
      </c>
      <c r="C121" s="98" t="s">
        <v>24</v>
      </c>
      <c r="D121" s="100">
        <v>32</v>
      </c>
      <c r="E121" s="100">
        <v>0</v>
      </c>
      <c r="F121" s="100">
        <v>0</v>
      </c>
      <c r="G121" s="100">
        <v>41</v>
      </c>
      <c r="H121" s="100"/>
      <c r="I121" s="100"/>
      <c r="J121" s="100">
        <v>0</v>
      </c>
      <c r="K121" s="100">
        <v>0</v>
      </c>
      <c r="L121" s="100"/>
      <c r="M121" s="100"/>
      <c r="N121" s="100">
        <v>0</v>
      </c>
      <c r="O121" s="100">
        <f t="shared" si="2"/>
        <v>0</v>
      </c>
      <c r="P121" s="100">
        <f t="shared" si="3"/>
        <v>0</v>
      </c>
      <c r="Q121" s="100"/>
      <c r="R121" s="116" t="s">
        <v>437</v>
      </c>
    </row>
    <row r="122" spans="1:18" ht="27">
      <c r="A122" s="103">
        <v>3030393</v>
      </c>
      <c r="B122" s="104" t="s">
        <v>277</v>
      </c>
      <c r="C122" s="98" t="s">
        <v>14</v>
      </c>
      <c r="D122" s="100">
        <v>180</v>
      </c>
      <c r="E122" s="100">
        <v>1</v>
      </c>
      <c r="F122" s="100">
        <v>0</v>
      </c>
      <c r="G122" s="100">
        <v>0</v>
      </c>
      <c r="H122" s="100"/>
      <c r="I122" s="100"/>
      <c r="J122" s="100">
        <v>0</v>
      </c>
      <c r="K122" s="100">
        <v>0</v>
      </c>
      <c r="L122" s="100"/>
      <c r="M122" s="100"/>
      <c r="N122" s="100">
        <v>8</v>
      </c>
      <c r="O122" s="100">
        <f t="shared" si="2"/>
        <v>0</v>
      </c>
      <c r="P122" s="100">
        <f t="shared" si="3"/>
        <v>0</v>
      </c>
      <c r="Q122" s="100"/>
      <c r="R122" s="116" t="s">
        <v>437</v>
      </c>
    </row>
    <row r="123" spans="1:18" ht="27">
      <c r="A123" s="107">
        <v>3030399</v>
      </c>
      <c r="B123" s="108" t="s">
        <v>278</v>
      </c>
      <c r="C123" s="107" t="s">
        <v>19</v>
      </c>
      <c r="D123" s="100">
        <v>17</v>
      </c>
      <c r="E123" s="100">
        <v>0</v>
      </c>
      <c r="F123" s="100">
        <v>0</v>
      </c>
      <c r="G123" s="100">
        <v>45</v>
      </c>
      <c r="H123" s="100"/>
      <c r="I123" s="100"/>
      <c r="J123" s="100">
        <v>0</v>
      </c>
      <c r="K123" s="100">
        <v>0</v>
      </c>
      <c r="L123" s="100"/>
      <c r="M123" s="100"/>
      <c r="N123" s="100">
        <v>20</v>
      </c>
      <c r="O123" s="100">
        <f t="shared" si="2"/>
        <v>0</v>
      </c>
      <c r="P123" s="100">
        <f t="shared" si="3"/>
        <v>0</v>
      </c>
      <c r="Q123" s="100"/>
      <c r="R123" s="116" t="s">
        <v>437</v>
      </c>
    </row>
    <row r="124" spans="1:18" ht="27">
      <c r="A124" s="103">
        <v>3030415</v>
      </c>
      <c r="B124" s="109" t="s">
        <v>279</v>
      </c>
      <c r="C124" s="98" t="s">
        <v>24</v>
      </c>
      <c r="D124" s="100">
        <v>30</v>
      </c>
      <c r="E124" s="100">
        <v>1</v>
      </c>
      <c r="F124" s="100">
        <v>0</v>
      </c>
      <c r="G124" s="100">
        <v>0</v>
      </c>
      <c r="H124" s="100"/>
      <c r="I124" s="100"/>
      <c r="J124" s="100">
        <v>0</v>
      </c>
      <c r="K124" s="100">
        <v>0</v>
      </c>
      <c r="L124" s="100"/>
      <c r="M124" s="100"/>
      <c r="N124" s="100">
        <v>19</v>
      </c>
      <c r="O124" s="100">
        <f t="shared" si="2"/>
        <v>0</v>
      </c>
      <c r="P124" s="100">
        <f t="shared" si="3"/>
        <v>0</v>
      </c>
      <c r="Q124" s="100"/>
      <c r="R124" s="116" t="s">
        <v>437</v>
      </c>
    </row>
    <row r="125" spans="1:18" ht="27">
      <c r="A125" s="101">
        <v>3030419</v>
      </c>
      <c r="B125" s="102" t="s">
        <v>280</v>
      </c>
      <c r="C125" s="101" t="s">
        <v>14</v>
      </c>
      <c r="D125" s="100">
        <v>20</v>
      </c>
      <c r="E125" s="100">
        <v>2</v>
      </c>
      <c r="F125" s="100">
        <v>0</v>
      </c>
      <c r="G125" s="100">
        <v>10</v>
      </c>
      <c r="H125" s="100"/>
      <c r="I125" s="100"/>
      <c r="J125" s="100">
        <v>0</v>
      </c>
      <c r="K125" s="100">
        <v>0</v>
      </c>
      <c r="L125" s="100"/>
      <c r="M125" s="100"/>
      <c r="N125" s="100">
        <v>0</v>
      </c>
      <c r="O125" s="100">
        <f t="shared" si="2"/>
        <v>0</v>
      </c>
      <c r="P125" s="100">
        <f t="shared" si="3"/>
        <v>0</v>
      </c>
      <c r="Q125" s="100"/>
      <c r="R125" s="116" t="s">
        <v>437</v>
      </c>
    </row>
    <row r="126" spans="1:18" ht="27">
      <c r="A126" s="103">
        <v>3030422</v>
      </c>
      <c r="B126" s="109" t="s">
        <v>281</v>
      </c>
      <c r="C126" s="98" t="s">
        <v>14</v>
      </c>
      <c r="D126" s="100">
        <v>2</v>
      </c>
      <c r="E126" s="100">
        <v>0</v>
      </c>
      <c r="F126" s="100">
        <v>0</v>
      </c>
      <c r="G126" s="100">
        <v>0</v>
      </c>
      <c r="H126" s="100"/>
      <c r="I126" s="100"/>
      <c r="J126" s="100">
        <v>0</v>
      </c>
      <c r="K126" s="100">
        <v>0</v>
      </c>
      <c r="L126" s="100"/>
      <c r="M126" s="100"/>
      <c r="N126" s="100">
        <v>0</v>
      </c>
      <c r="O126" s="100">
        <f t="shared" si="2"/>
        <v>0</v>
      </c>
      <c r="P126" s="100">
        <f t="shared" si="3"/>
        <v>0</v>
      </c>
      <c r="Q126" s="100"/>
      <c r="R126" s="116" t="s">
        <v>437</v>
      </c>
    </row>
    <row r="127" spans="1:18" ht="27">
      <c r="A127" s="103">
        <v>3030424</v>
      </c>
      <c r="B127" s="104" t="s">
        <v>282</v>
      </c>
      <c r="C127" s="98" t="s">
        <v>14</v>
      </c>
      <c r="D127" s="100">
        <v>20</v>
      </c>
      <c r="E127" s="100">
        <v>0</v>
      </c>
      <c r="F127" s="100">
        <v>0</v>
      </c>
      <c r="G127" s="100">
        <v>0</v>
      </c>
      <c r="H127" s="100"/>
      <c r="I127" s="100"/>
      <c r="J127" s="100">
        <v>0</v>
      </c>
      <c r="K127" s="100">
        <v>0</v>
      </c>
      <c r="L127" s="100"/>
      <c r="M127" s="100"/>
      <c r="N127" s="100">
        <v>33</v>
      </c>
      <c r="O127" s="100">
        <f t="shared" si="2"/>
        <v>0</v>
      </c>
      <c r="P127" s="100">
        <f t="shared" si="3"/>
        <v>0</v>
      </c>
      <c r="Q127" s="100"/>
      <c r="R127" s="116" t="s">
        <v>437</v>
      </c>
    </row>
    <row r="128" spans="1:18" ht="27">
      <c r="A128" s="103">
        <v>3030436</v>
      </c>
      <c r="B128" s="104" t="s">
        <v>283</v>
      </c>
      <c r="C128" s="98" t="s">
        <v>14</v>
      </c>
      <c r="D128" s="100">
        <v>8</v>
      </c>
      <c r="E128" s="100">
        <v>0</v>
      </c>
      <c r="F128" s="100">
        <v>0</v>
      </c>
      <c r="G128" s="100">
        <v>0</v>
      </c>
      <c r="H128" s="100"/>
      <c r="I128" s="100"/>
      <c r="J128" s="100">
        <v>0</v>
      </c>
      <c r="K128" s="100">
        <v>0</v>
      </c>
      <c r="L128" s="100"/>
      <c r="M128" s="100"/>
      <c r="N128" s="100">
        <v>50</v>
      </c>
      <c r="O128" s="100">
        <f t="shared" si="2"/>
        <v>0</v>
      </c>
      <c r="P128" s="100">
        <f t="shared" si="3"/>
        <v>0</v>
      </c>
      <c r="Q128" s="100"/>
      <c r="R128" s="116" t="s">
        <v>437</v>
      </c>
    </row>
    <row r="129" spans="1:18" ht="27">
      <c r="A129" s="107">
        <v>3030438</v>
      </c>
      <c r="B129" s="108" t="s">
        <v>284</v>
      </c>
      <c r="C129" s="98" t="s">
        <v>14</v>
      </c>
      <c r="D129" s="100">
        <v>0</v>
      </c>
      <c r="E129" s="100">
        <v>0</v>
      </c>
      <c r="F129" s="100">
        <v>0</v>
      </c>
      <c r="G129" s="100">
        <v>0</v>
      </c>
      <c r="H129" s="100"/>
      <c r="I129" s="100"/>
      <c r="J129" s="100">
        <v>0</v>
      </c>
      <c r="K129" s="100">
        <v>0</v>
      </c>
      <c r="L129" s="100"/>
      <c r="M129" s="100"/>
      <c r="N129" s="100">
        <v>50</v>
      </c>
      <c r="O129" s="100">
        <f t="shared" si="2"/>
        <v>0</v>
      </c>
      <c r="P129" s="100">
        <f t="shared" si="3"/>
        <v>0</v>
      </c>
      <c r="Q129" s="100"/>
      <c r="R129" s="116" t="s">
        <v>437</v>
      </c>
    </row>
    <row r="130" spans="1:18" ht="27">
      <c r="A130" s="107">
        <v>3030442</v>
      </c>
      <c r="B130" s="108" t="s">
        <v>285</v>
      </c>
      <c r="C130" s="107" t="s">
        <v>25</v>
      </c>
      <c r="D130" s="100">
        <v>4</v>
      </c>
      <c r="E130" s="100">
        <v>0</v>
      </c>
      <c r="F130" s="100">
        <v>0</v>
      </c>
      <c r="G130" s="100">
        <v>0</v>
      </c>
      <c r="H130" s="100"/>
      <c r="I130" s="100"/>
      <c r="J130" s="100">
        <v>0</v>
      </c>
      <c r="K130" s="100">
        <v>0</v>
      </c>
      <c r="L130" s="100"/>
      <c r="M130" s="100"/>
      <c r="N130" s="100">
        <v>50</v>
      </c>
      <c r="O130" s="100">
        <f t="shared" si="2"/>
        <v>0</v>
      </c>
      <c r="P130" s="100">
        <f t="shared" si="3"/>
        <v>0</v>
      </c>
      <c r="Q130" s="100"/>
      <c r="R130" s="116" t="s">
        <v>437</v>
      </c>
    </row>
    <row r="131" spans="1:18" ht="27">
      <c r="A131" s="105">
        <v>3030603</v>
      </c>
      <c r="B131" s="110" t="s">
        <v>286</v>
      </c>
      <c r="C131" s="101" t="s">
        <v>18</v>
      </c>
      <c r="D131" s="100">
        <v>1</v>
      </c>
      <c r="E131" s="100">
        <v>0</v>
      </c>
      <c r="F131" s="100">
        <v>11</v>
      </c>
      <c r="G131" s="100">
        <v>8</v>
      </c>
      <c r="H131" s="100"/>
      <c r="I131" s="100"/>
      <c r="J131" s="100">
        <v>0</v>
      </c>
      <c r="K131" s="100">
        <v>0</v>
      </c>
      <c r="L131" s="100"/>
      <c r="M131" s="100"/>
      <c r="N131" s="100">
        <v>50</v>
      </c>
      <c r="O131" s="100">
        <f t="shared" si="2"/>
        <v>0</v>
      </c>
      <c r="P131" s="100">
        <f t="shared" si="3"/>
        <v>0</v>
      </c>
      <c r="Q131" s="100"/>
      <c r="R131" s="116" t="s">
        <v>437</v>
      </c>
    </row>
    <row r="132" spans="1:18" ht="27">
      <c r="A132" s="105">
        <v>3031262</v>
      </c>
      <c r="B132" s="110" t="s">
        <v>287</v>
      </c>
      <c r="C132" s="101" t="s">
        <v>14</v>
      </c>
      <c r="D132" s="100">
        <v>1</v>
      </c>
      <c r="E132" s="100">
        <v>0</v>
      </c>
      <c r="F132" s="100">
        <v>0</v>
      </c>
      <c r="G132" s="100">
        <v>20</v>
      </c>
      <c r="H132" s="100"/>
      <c r="I132" s="100"/>
      <c r="J132" s="100">
        <v>0</v>
      </c>
      <c r="K132" s="100">
        <v>0</v>
      </c>
      <c r="L132" s="100"/>
      <c r="M132" s="100"/>
      <c r="N132" s="100">
        <v>0</v>
      </c>
      <c r="O132" s="100">
        <f t="shared" si="2"/>
        <v>0</v>
      </c>
      <c r="P132" s="100">
        <f t="shared" si="3"/>
        <v>0</v>
      </c>
      <c r="Q132" s="100"/>
      <c r="R132" s="116" t="s">
        <v>437</v>
      </c>
    </row>
    <row r="133" spans="1:18" ht="27">
      <c r="A133" s="105">
        <v>3031281</v>
      </c>
      <c r="B133" s="110" t="s">
        <v>288</v>
      </c>
      <c r="C133" s="101" t="s">
        <v>14</v>
      </c>
      <c r="D133" s="100">
        <v>0</v>
      </c>
      <c r="E133" s="100">
        <v>0</v>
      </c>
      <c r="F133" s="100">
        <v>0</v>
      </c>
      <c r="G133" s="100">
        <v>19</v>
      </c>
      <c r="H133" s="100"/>
      <c r="I133" s="100"/>
      <c r="J133" s="100">
        <v>0</v>
      </c>
      <c r="K133" s="100">
        <v>0</v>
      </c>
      <c r="L133" s="100"/>
      <c r="M133" s="100"/>
      <c r="N133" s="100">
        <v>6</v>
      </c>
      <c r="O133" s="100">
        <f t="shared" ref="O133:O167" si="4">+J133*N133</f>
        <v>0</v>
      </c>
      <c r="P133" s="100">
        <f t="shared" ref="P133:P167" si="5">+K133*N133</f>
        <v>0</v>
      </c>
      <c r="Q133" s="100"/>
      <c r="R133" s="116" t="s">
        <v>437</v>
      </c>
    </row>
    <row r="134" spans="1:18" ht="27">
      <c r="A134" s="103">
        <v>3031350</v>
      </c>
      <c r="B134" s="108" t="s">
        <v>289</v>
      </c>
      <c r="C134" s="98" t="s">
        <v>14</v>
      </c>
      <c r="D134" s="100">
        <v>136</v>
      </c>
      <c r="E134" s="100">
        <v>0</v>
      </c>
      <c r="F134" s="100">
        <v>0</v>
      </c>
      <c r="G134" s="100">
        <v>0</v>
      </c>
      <c r="H134" s="100"/>
      <c r="I134" s="100"/>
      <c r="J134" s="100">
        <v>0</v>
      </c>
      <c r="K134" s="100">
        <v>0</v>
      </c>
      <c r="L134" s="100"/>
      <c r="M134" s="100"/>
      <c r="N134" s="100">
        <v>0</v>
      </c>
      <c r="O134" s="100">
        <f t="shared" si="4"/>
        <v>0</v>
      </c>
      <c r="P134" s="100">
        <f t="shared" si="5"/>
        <v>0</v>
      </c>
      <c r="Q134" s="100"/>
      <c r="R134" s="116" t="s">
        <v>437</v>
      </c>
    </row>
    <row r="135" spans="1:18" ht="27">
      <c r="A135" s="107">
        <v>3031383</v>
      </c>
      <c r="B135" s="108" t="s">
        <v>290</v>
      </c>
      <c r="C135" s="107" t="s">
        <v>19</v>
      </c>
      <c r="D135" s="100">
        <v>2</v>
      </c>
      <c r="E135" s="100">
        <v>0</v>
      </c>
      <c r="F135" s="100">
        <v>0</v>
      </c>
      <c r="G135" s="100">
        <v>0</v>
      </c>
      <c r="H135" s="100"/>
      <c r="I135" s="100"/>
      <c r="J135" s="100">
        <v>0</v>
      </c>
      <c r="K135" s="100">
        <v>0</v>
      </c>
      <c r="L135" s="100"/>
      <c r="M135" s="100"/>
      <c r="N135" s="100">
        <v>26</v>
      </c>
      <c r="O135" s="100">
        <f t="shared" si="4"/>
        <v>0</v>
      </c>
      <c r="P135" s="100">
        <f t="shared" si="5"/>
        <v>0</v>
      </c>
      <c r="Q135" s="100"/>
      <c r="R135" s="116" t="s">
        <v>437</v>
      </c>
    </row>
    <row r="136" spans="1:18" ht="27">
      <c r="A136" s="107">
        <v>3031385</v>
      </c>
      <c r="B136" s="108" t="s">
        <v>291</v>
      </c>
      <c r="C136" s="107" t="s">
        <v>24</v>
      </c>
      <c r="D136" s="100">
        <v>9</v>
      </c>
      <c r="E136" s="100">
        <v>0</v>
      </c>
      <c r="F136" s="100">
        <v>0</v>
      </c>
      <c r="G136" s="100">
        <v>33</v>
      </c>
      <c r="H136" s="100"/>
      <c r="I136" s="100"/>
      <c r="J136" s="100">
        <v>0</v>
      </c>
      <c r="K136" s="100">
        <v>0</v>
      </c>
      <c r="L136" s="100"/>
      <c r="M136" s="100"/>
      <c r="N136" s="100">
        <v>20</v>
      </c>
      <c r="O136" s="100">
        <f t="shared" si="4"/>
        <v>0</v>
      </c>
      <c r="P136" s="100">
        <f t="shared" si="5"/>
        <v>0</v>
      </c>
      <c r="Q136" s="100"/>
      <c r="R136" s="116" t="s">
        <v>437</v>
      </c>
    </row>
    <row r="137" spans="1:18" ht="27">
      <c r="A137" s="107">
        <v>3031541</v>
      </c>
      <c r="B137" s="108" t="s">
        <v>292</v>
      </c>
      <c r="C137" s="107" t="s">
        <v>24</v>
      </c>
      <c r="D137" s="100">
        <v>0</v>
      </c>
      <c r="E137" s="100">
        <v>0</v>
      </c>
      <c r="F137" s="100">
        <v>0</v>
      </c>
      <c r="G137" s="100">
        <v>50</v>
      </c>
      <c r="H137" s="100"/>
      <c r="I137" s="100"/>
      <c r="J137" s="100">
        <v>0</v>
      </c>
      <c r="K137" s="100">
        <v>50</v>
      </c>
      <c r="L137" s="100"/>
      <c r="M137" s="100"/>
      <c r="N137" s="100">
        <v>0</v>
      </c>
      <c r="O137" s="100">
        <f t="shared" si="4"/>
        <v>0</v>
      </c>
      <c r="P137" s="100">
        <f t="shared" si="5"/>
        <v>0</v>
      </c>
      <c r="Q137" s="100"/>
      <c r="R137" s="116" t="s">
        <v>437</v>
      </c>
    </row>
    <row r="138" spans="1:18" ht="27">
      <c r="A138" s="103">
        <v>3031651</v>
      </c>
      <c r="B138" s="109" t="s">
        <v>293</v>
      </c>
      <c r="C138" s="103" t="s">
        <v>14</v>
      </c>
      <c r="D138" s="100">
        <v>2</v>
      </c>
      <c r="E138" s="100">
        <v>0</v>
      </c>
      <c r="F138" s="100">
        <v>0</v>
      </c>
      <c r="G138" s="100">
        <v>50</v>
      </c>
      <c r="H138" s="100"/>
      <c r="I138" s="100"/>
      <c r="J138" s="100">
        <v>0</v>
      </c>
      <c r="K138" s="100">
        <v>50</v>
      </c>
      <c r="L138" s="100"/>
      <c r="M138" s="100"/>
      <c r="N138" s="100">
        <v>20</v>
      </c>
      <c r="O138" s="100">
        <f t="shared" si="4"/>
        <v>0</v>
      </c>
      <c r="P138" s="100">
        <f t="shared" si="5"/>
        <v>1000</v>
      </c>
      <c r="Q138" s="100"/>
      <c r="R138" s="116" t="s">
        <v>437</v>
      </c>
    </row>
    <row r="139" spans="1:18" ht="27">
      <c r="A139" s="103">
        <v>3031653</v>
      </c>
      <c r="B139" s="109" t="s">
        <v>294</v>
      </c>
      <c r="C139" s="103" t="s">
        <v>14</v>
      </c>
      <c r="D139" s="100">
        <v>0</v>
      </c>
      <c r="E139" s="100">
        <v>0</v>
      </c>
      <c r="F139" s="100">
        <v>0</v>
      </c>
      <c r="G139" s="100">
        <v>50</v>
      </c>
      <c r="H139" s="100"/>
      <c r="I139" s="100"/>
      <c r="J139" s="100">
        <v>0</v>
      </c>
      <c r="K139" s="100">
        <v>50</v>
      </c>
      <c r="L139" s="100"/>
      <c r="M139" s="100"/>
      <c r="N139" s="100">
        <v>9</v>
      </c>
      <c r="O139" s="100">
        <f t="shared" si="4"/>
        <v>0</v>
      </c>
      <c r="P139" s="100">
        <f t="shared" si="5"/>
        <v>450</v>
      </c>
      <c r="Q139" s="100"/>
      <c r="R139" s="116" t="s">
        <v>437</v>
      </c>
    </row>
    <row r="140" spans="1:18" ht="27">
      <c r="A140" s="103">
        <v>3031654</v>
      </c>
      <c r="B140" s="109" t="s">
        <v>295</v>
      </c>
      <c r="C140" s="103" t="s">
        <v>14</v>
      </c>
      <c r="D140" s="100">
        <v>135</v>
      </c>
      <c r="E140" s="100">
        <v>0</v>
      </c>
      <c r="F140" s="100">
        <v>0</v>
      </c>
      <c r="G140" s="100">
        <v>50</v>
      </c>
      <c r="H140" s="100"/>
      <c r="I140" s="100"/>
      <c r="J140" s="100">
        <v>0</v>
      </c>
      <c r="K140" s="100">
        <v>50</v>
      </c>
      <c r="L140" s="100"/>
      <c r="M140" s="100"/>
      <c r="N140" s="100">
        <v>10</v>
      </c>
      <c r="O140" s="100">
        <f t="shared" si="4"/>
        <v>0</v>
      </c>
      <c r="P140" s="100">
        <f t="shared" si="5"/>
        <v>500</v>
      </c>
      <c r="Q140" s="100"/>
      <c r="R140" s="116" t="s">
        <v>437</v>
      </c>
    </row>
    <row r="141" spans="1:18" ht="27">
      <c r="A141" s="103">
        <v>3031655</v>
      </c>
      <c r="B141" s="109" t="s">
        <v>296</v>
      </c>
      <c r="C141" s="103" t="s">
        <v>14</v>
      </c>
      <c r="D141" s="100">
        <v>1</v>
      </c>
      <c r="E141" s="100">
        <v>6</v>
      </c>
      <c r="F141" s="100">
        <v>0</v>
      </c>
      <c r="G141" s="100">
        <v>0</v>
      </c>
      <c r="H141" s="100"/>
      <c r="I141" s="100"/>
      <c r="J141" s="100">
        <v>0</v>
      </c>
      <c r="K141" s="100">
        <v>0</v>
      </c>
      <c r="L141" s="100"/>
      <c r="M141" s="100"/>
      <c r="N141" s="100">
        <v>10</v>
      </c>
      <c r="O141" s="100">
        <f t="shared" si="4"/>
        <v>0</v>
      </c>
      <c r="P141" s="100">
        <f t="shared" si="5"/>
        <v>0</v>
      </c>
      <c r="Q141" s="100"/>
      <c r="R141" s="116" t="s">
        <v>437</v>
      </c>
    </row>
    <row r="142" spans="1:18" ht="27">
      <c r="A142" s="103">
        <v>3031660</v>
      </c>
      <c r="B142" s="104" t="s">
        <v>297</v>
      </c>
      <c r="C142" s="103" t="s">
        <v>21</v>
      </c>
      <c r="D142" s="100">
        <v>1</v>
      </c>
      <c r="E142" s="100">
        <v>10</v>
      </c>
      <c r="F142" s="100">
        <v>2</v>
      </c>
      <c r="G142" s="100">
        <v>6</v>
      </c>
      <c r="H142" s="100"/>
      <c r="I142" s="100"/>
      <c r="J142" s="100">
        <v>0</v>
      </c>
      <c r="K142" s="100">
        <v>0</v>
      </c>
      <c r="L142" s="100"/>
      <c r="M142" s="100"/>
      <c r="N142" s="100">
        <v>10</v>
      </c>
      <c r="O142" s="100">
        <f t="shared" si="4"/>
        <v>0</v>
      </c>
      <c r="P142" s="100">
        <f t="shared" si="5"/>
        <v>0</v>
      </c>
      <c r="Q142" s="100"/>
      <c r="R142" s="116" t="s">
        <v>437</v>
      </c>
    </row>
    <row r="143" spans="1:18" ht="27">
      <c r="A143" s="103">
        <v>3031693</v>
      </c>
      <c r="B143" s="104" t="s">
        <v>298</v>
      </c>
      <c r="C143" s="101" t="s">
        <v>14</v>
      </c>
      <c r="D143" s="100">
        <v>0</v>
      </c>
      <c r="E143" s="100">
        <v>15</v>
      </c>
      <c r="F143" s="100">
        <v>0</v>
      </c>
      <c r="G143" s="100">
        <v>0</v>
      </c>
      <c r="H143" s="100"/>
      <c r="I143" s="100"/>
      <c r="J143" s="100">
        <v>0</v>
      </c>
      <c r="K143" s="100">
        <v>0</v>
      </c>
      <c r="L143" s="100"/>
      <c r="M143" s="100"/>
      <c r="N143" s="100">
        <v>10</v>
      </c>
      <c r="O143" s="100">
        <f t="shared" si="4"/>
        <v>0</v>
      </c>
      <c r="P143" s="100">
        <f t="shared" si="5"/>
        <v>0</v>
      </c>
      <c r="Q143" s="100"/>
      <c r="R143" s="116" t="s">
        <v>437</v>
      </c>
    </row>
    <row r="144" spans="1:18" ht="27">
      <c r="A144" s="103">
        <v>3031694</v>
      </c>
      <c r="B144" s="104" t="s">
        <v>299</v>
      </c>
      <c r="C144" s="101" t="s">
        <v>14</v>
      </c>
      <c r="D144" s="100">
        <v>3</v>
      </c>
      <c r="E144" s="100">
        <v>0</v>
      </c>
      <c r="F144" s="100">
        <v>0</v>
      </c>
      <c r="G144" s="100">
        <v>26</v>
      </c>
      <c r="H144" s="100"/>
      <c r="I144" s="100"/>
      <c r="J144" s="100">
        <v>0</v>
      </c>
      <c r="K144" s="100">
        <v>0</v>
      </c>
      <c r="L144" s="100"/>
      <c r="M144" s="100"/>
      <c r="N144" s="100">
        <v>10</v>
      </c>
      <c r="O144" s="100">
        <f t="shared" si="4"/>
        <v>0</v>
      </c>
      <c r="P144" s="100">
        <f t="shared" si="5"/>
        <v>0</v>
      </c>
      <c r="Q144" s="100"/>
      <c r="R144" s="116" t="s">
        <v>437</v>
      </c>
    </row>
    <row r="145" spans="1:18" ht="27">
      <c r="A145" s="103">
        <v>3031695</v>
      </c>
      <c r="B145" s="104" t="s">
        <v>300</v>
      </c>
      <c r="C145" s="101" t="s">
        <v>14</v>
      </c>
      <c r="D145" s="100">
        <v>2</v>
      </c>
      <c r="E145" s="100">
        <v>0</v>
      </c>
      <c r="F145" s="100">
        <v>0</v>
      </c>
      <c r="G145" s="100">
        <v>20</v>
      </c>
      <c r="H145" s="100"/>
      <c r="I145" s="100"/>
      <c r="J145" s="100">
        <v>0</v>
      </c>
      <c r="K145" s="100">
        <v>0</v>
      </c>
      <c r="L145" s="100"/>
      <c r="M145" s="100"/>
      <c r="N145" s="100">
        <v>0</v>
      </c>
      <c r="O145" s="100">
        <f t="shared" si="4"/>
        <v>0</v>
      </c>
      <c r="P145" s="100">
        <f t="shared" si="5"/>
        <v>0</v>
      </c>
      <c r="Q145" s="100"/>
      <c r="R145" s="116" t="s">
        <v>437</v>
      </c>
    </row>
    <row r="146" spans="1:18" ht="27">
      <c r="A146" s="103">
        <v>3031696</v>
      </c>
      <c r="B146" s="104" t="s">
        <v>301</v>
      </c>
      <c r="C146" s="101" t="s">
        <v>14</v>
      </c>
      <c r="D146" s="100">
        <v>57</v>
      </c>
      <c r="E146" s="100"/>
      <c r="F146" s="100">
        <v>0</v>
      </c>
      <c r="G146" s="100">
        <v>0</v>
      </c>
      <c r="H146" s="100"/>
      <c r="I146" s="100"/>
      <c r="J146" s="100"/>
      <c r="K146" s="100">
        <v>0</v>
      </c>
      <c r="L146" s="100"/>
      <c r="M146" s="100"/>
      <c r="N146" s="100">
        <v>0</v>
      </c>
      <c r="O146" s="100">
        <f t="shared" si="4"/>
        <v>0</v>
      </c>
      <c r="P146" s="100">
        <f t="shared" si="5"/>
        <v>0</v>
      </c>
      <c r="Q146" s="100"/>
      <c r="R146" s="116" t="s">
        <v>437</v>
      </c>
    </row>
    <row r="147" spans="1:18" ht="27">
      <c r="A147" s="103">
        <v>3031698</v>
      </c>
      <c r="B147" s="104" t="s">
        <v>302</v>
      </c>
      <c r="C147" s="101" t="s">
        <v>14</v>
      </c>
      <c r="D147" s="100">
        <v>1</v>
      </c>
      <c r="E147" s="100"/>
      <c r="F147" s="100">
        <v>0</v>
      </c>
      <c r="G147" s="100">
        <v>20</v>
      </c>
      <c r="H147" s="100"/>
      <c r="I147" s="100"/>
      <c r="J147" s="100"/>
      <c r="K147" s="100">
        <v>0</v>
      </c>
      <c r="L147" s="100"/>
      <c r="M147" s="100"/>
      <c r="N147" s="100">
        <v>130</v>
      </c>
      <c r="O147" s="100">
        <f t="shared" si="4"/>
        <v>0</v>
      </c>
      <c r="P147" s="100">
        <f t="shared" si="5"/>
        <v>0</v>
      </c>
      <c r="Q147" s="100"/>
      <c r="R147" s="116" t="s">
        <v>437</v>
      </c>
    </row>
    <row r="148" spans="1:18" ht="27">
      <c r="A148" s="6">
        <v>3031200</v>
      </c>
      <c r="B148" s="7" t="s">
        <v>303</v>
      </c>
      <c r="C148" s="6" t="s">
        <v>14</v>
      </c>
      <c r="D148" s="5">
        <v>0</v>
      </c>
      <c r="F148" s="5">
        <v>1</v>
      </c>
      <c r="G148" s="5">
        <v>9</v>
      </c>
      <c r="K148" s="5">
        <v>10</v>
      </c>
      <c r="N148" s="5">
        <v>41</v>
      </c>
      <c r="O148" s="5">
        <f t="shared" si="4"/>
        <v>0</v>
      </c>
      <c r="P148" s="5">
        <f t="shared" si="5"/>
        <v>410</v>
      </c>
      <c r="R148" s="122"/>
    </row>
    <row r="149" spans="1:18" ht="27">
      <c r="A149" s="6">
        <v>3031201</v>
      </c>
      <c r="B149" s="7" t="s">
        <v>304</v>
      </c>
      <c r="C149" s="6" t="s">
        <v>14</v>
      </c>
      <c r="D149" s="5">
        <v>3</v>
      </c>
      <c r="F149" s="5">
        <v>0</v>
      </c>
      <c r="G149" s="5">
        <v>10</v>
      </c>
      <c r="K149" s="5">
        <v>10</v>
      </c>
      <c r="N149" s="5">
        <v>79</v>
      </c>
      <c r="O149" s="5">
        <f t="shared" si="4"/>
        <v>0</v>
      </c>
      <c r="P149" s="5">
        <f t="shared" si="5"/>
        <v>790</v>
      </c>
      <c r="R149" s="122"/>
    </row>
    <row r="150" spans="1:18" ht="27">
      <c r="A150" s="6">
        <v>3031202</v>
      </c>
      <c r="B150" s="7" t="s">
        <v>305</v>
      </c>
      <c r="C150" s="6" t="s">
        <v>14</v>
      </c>
      <c r="D150" s="5">
        <v>0</v>
      </c>
      <c r="F150" s="5">
        <v>0</v>
      </c>
      <c r="G150" s="5">
        <v>10</v>
      </c>
      <c r="K150" s="5">
        <v>10</v>
      </c>
      <c r="N150" s="5">
        <v>35</v>
      </c>
      <c r="O150" s="5">
        <f t="shared" si="4"/>
        <v>0</v>
      </c>
      <c r="P150" s="5">
        <f t="shared" si="5"/>
        <v>350</v>
      </c>
      <c r="R150" s="122"/>
    </row>
    <row r="151" spans="1:18" ht="27">
      <c r="A151" s="6">
        <v>3031203</v>
      </c>
      <c r="B151" s="7" t="s">
        <v>306</v>
      </c>
      <c r="C151" s="6" t="s">
        <v>14</v>
      </c>
      <c r="D151" s="5">
        <v>0</v>
      </c>
      <c r="F151" s="5">
        <v>0</v>
      </c>
      <c r="G151" s="5">
        <v>10</v>
      </c>
      <c r="K151" s="5">
        <v>10</v>
      </c>
      <c r="N151" s="5">
        <v>35</v>
      </c>
      <c r="O151" s="5">
        <f t="shared" si="4"/>
        <v>0</v>
      </c>
      <c r="P151" s="5">
        <f t="shared" si="5"/>
        <v>350</v>
      </c>
      <c r="R151" s="122"/>
    </row>
    <row r="152" spans="1:18" ht="27">
      <c r="A152" s="6">
        <v>3031204</v>
      </c>
      <c r="B152" s="7" t="s">
        <v>307</v>
      </c>
      <c r="C152" s="6" t="s">
        <v>14</v>
      </c>
      <c r="D152" s="5">
        <v>0</v>
      </c>
      <c r="F152" s="5">
        <v>0</v>
      </c>
      <c r="G152" s="5">
        <v>10</v>
      </c>
      <c r="K152" s="5">
        <v>10</v>
      </c>
      <c r="N152" s="5">
        <v>0</v>
      </c>
      <c r="O152" s="5">
        <f t="shared" si="4"/>
        <v>0</v>
      </c>
      <c r="P152" s="5">
        <f t="shared" si="5"/>
        <v>0</v>
      </c>
      <c r="R152" s="122"/>
    </row>
    <row r="153" spans="1:18" ht="27">
      <c r="A153" s="6">
        <v>3031205</v>
      </c>
      <c r="B153" s="7" t="s">
        <v>308</v>
      </c>
      <c r="C153" s="6" t="s">
        <v>14</v>
      </c>
      <c r="D153" s="5">
        <v>0</v>
      </c>
      <c r="F153" s="5">
        <v>0</v>
      </c>
      <c r="G153" s="5">
        <v>10</v>
      </c>
      <c r="K153" s="5">
        <v>10</v>
      </c>
      <c r="N153" s="5">
        <v>80</v>
      </c>
      <c r="O153" s="5">
        <f t="shared" si="4"/>
        <v>0</v>
      </c>
      <c r="P153" s="5">
        <f t="shared" si="5"/>
        <v>800</v>
      </c>
      <c r="R153" s="122"/>
    </row>
    <row r="154" spans="1:18" ht="27">
      <c r="A154" s="101">
        <v>3031707</v>
      </c>
      <c r="B154" s="102" t="s">
        <v>309</v>
      </c>
      <c r="C154" s="101" t="s">
        <v>14</v>
      </c>
      <c r="D154" s="100">
        <v>1</v>
      </c>
      <c r="E154" s="100"/>
      <c r="F154" s="100">
        <v>0</v>
      </c>
      <c r="G154" s="100">
        <v>0</v>
      </c>
      <c r="H154" s="100"/>
      <c r="I154" s="100"/>
      <c r="J154" s="100"/>
      <c r="K154" s="100">
        <v>0</v>
      </c>
      <c r="L154" s="100"/>
      <c r="M154" s="100"/>
      <c r="N154" s="100">
        <v>0</v>
      </c>
      <c r="O154" s="100">
        <f t="shared" si="4"/>
        <v>0</v>
      </c>
      <c r="P154" s="100">
        <f t="shared" si="5"/>
        <v>0</v>
      </c>
      <c r="Q154" s="100"/>
      <c r="R154" s="116" t="s">
        <v>437</v>
      </c>
    </row>
    <row r="155" spans="1:18" ht="27">
      <c r="A155" s="101">
        <v>3031733</v>
      </c>
      <c r="B155" s="102" t="s">
        <v>310</v>
      </c>
      <c r="C155" s="101" t="s">
        <v>14</v>
      </c>
      <c r="D155" s="100">
        <v>0</v>
      </c>
      <c r="E155" s="100"/>
      <c r="F155" s="100">
        <v>0</v>
      </c>
      <c r="G155" s="100">
        <v>0</v>
      </c>
      <c r="H155" s="100"/>
      <c r="I155" s="100"/>
      <c r="J155" s="100"/>
      <c r="K155" s="100">
        <v>0</v>
      </c>
      <c r="L155" s="100"/>
      <c r="M155" s="100"/>
      <c r="N155" s="100">
        <v>26</v>
      </c>
      <c r="O155" s="100">
        <f t="shared" si="4"/>
        <v>0</v>
      </c>
      <c r="P155" s="100">
        <f t="shared" si="5"/>
        <v>0</v>
      </c>
      <c r="Q155" s="100"/>
      <c r="R155" s="116" t="s">
        <v>437</v>
      </c>
    </row>
    <row r="156" spans="1:18" ht="27">
      <c r="A156" s="101">
        <v>3031734</v>
      </c>
      <c r="B156" s="102" t="s">
        <v>311</v>
      </c>
      <c r="C156" s="101" t="s">
        <v>14</v>
      </c>
      <c r="D156" s="100">
        <v>10</v>
      </c>
      <c r="E156" s="100"/>
      <c r="F156" s="100">
        <v>0</v>
      </c>
      <c r="G156" s="100">
        <v>130</v>
      </c>
      <c r="H156" s="100"/>
      <c r="I156" s="100"/>
      <c r="J156" s="100"/>
      <c r="K156" s="100">
        <v>0</v>
      </c>
      <c r="L156" s="100"/>
      <c r="M156" s="100"/>
      <c r="N156" s="100">
        <v>0</v>
      </c>
      <c r="O156" s="100">
        <f t="shared" si="4"/>
        <v>0</v>
      </c>
      <c r="P156" s="100">
        <f t="shared" si="5"/>
        <v>0</v>
      </c>
      <c r="Q156" s="100"/>
      <c r="R156" s="116" t="s">
        <v>437</v>
      </c>
    </row>
    <row r="157" spans="1:18" ht="27">
      <c r="A157" s="101">
        <v>3031735</v>
      </c>
      <c r="B157" s="102" t="s">
        <v>312</v>
      </c>
      <c r="C157" s="101" t="s">
        <v>14</v>
      </c>
      <c r="D157" s="100">
        <v>53</v>
      </c>
      <c r="E157" s="100"/>
      <c r="F157" s="100">
        <v>0</v>
      </c>
      <c r="G157" s="100">
        <v>41</v>
      </c>
      <c r="H157" s="100"/>
      <c r="I157" s="100"/>
      <c r="J157" s="100"/>
      <c r="K157" s="100">
        <v>0</v>
      </c>
      <c r="L157" s="100"/>
      <c r="M157" s="100"/>
      <c r="N157" s="100">
        <v>0</v>
      </c>
      <c r="O157" s="100">
        <f t="shared" si="4"/>
        <v>0</v>
      </c>
      <c r="P157" s="100">
        <f t="shared" si="5"/>
        <v>0</v>
      </c>
      <c r="Q157" s="100"/>
      <c r="R157" s="116" t="s">
        <v>437</v>
      </c>
    </row>
    <row r="158" spans="1:18" ht="27">
      <c r="A158" s="101">
        <v>3031736</v>
      </c>
      <c r="B158" s="102" t="s">
        <v>313</v>
      </c>
      <c r="C158" s="101" t="s">
        <v>14</v>
      </c>
      <c r="D158" s="100">
        <v>34</v>
      </c>
      <c r="E158" s="100"/>
      <c r="F158" s="100">
        <v>10</v>
      </c>
      <c r="G158" s="100">
        <v>79</v>
      </c>
      <c r="H158" s="100"/>
      <c r="I158" s="100"/>
      <c r="J158" s="100"/>
      <c r="K158" s="100">
        <v>0</v>
      </c>
      <c r="L158" s="100"/>
      <c r="M158" s="100"/>
      <c r="N158" s="100">
        <v>0</v>
      </c>
      <c r="O158" s="100">
        <f t="shared" si="4"/>
        <v>0</v>
      </c>
      <c r="P158" s="100">
        <f t="shared" si="5"/>
        <v>0</v>
      </c>
      <c r="Q158" s="100"/>
      <c r="R158" s="116" t="s">
        <v>437</v>
      </c>
    </row>
    <row r="159" spans="1:18" ht="27">
      <c r="A159" s="101">
        <v>3031737</v>
      </c>
      <c r="B159" s="102" t="s">
        <v>314</v>
      </c>
      <c r="C159" s="101" t="s">
        <v>14</v>
      </c>
      <c r="D159" s="100">
        <v>1</v>
      </c>
      <c r="E159" s="100"/>
      <c r="F159" s="100">
        <v>0</v>
      </c>
      <c r="G159" s="100">
        <v>35</v>
      </c>
      <c r="H159" s="100"/>
      <c r="I159" s="100"/>
      <c r="J159" s="100"/>
      <c r="K159" s="100">
        <v>0</v>
      </c>
      <c r="L159" s="100"/>
      <c r="M159" s="100"/>
      <c r="N159" s="100"/>
      <c r="O159" s="100">
        <f t="shared" si="4"/>
        <v>0</v>
      </c>
      <c r="P159" s="100">
        <f t="shared" si="5"/>
        <v>0</v>
      </c>
      <c r="Q159" s="100"/>
      <c r="R159" s="116" t="s">
        <v>437</v>
      </c>
    </row>
    <row r="160" spans="1:18" ht="27">
      <c r="A160" s="101">
        <v>3031740</v>
      </c>
      <c r="B160" s="102" t="s">
        <v>315</v>
      </c>
      <c r="C160" s="107" t="s">
        <v>14</v>
      </c>
      <c r="D160" s="100">
        <v>31</v>
      </c>
      <c r="E160" s="100"/>
      <c r="F160" s="100">
        <v>30</v>
      </c>
      <c r="G160" s="100">
        <v>35</v>
      </c>
      <c r="H160" s="100"/>
      <c r="I160" s="100"/>
      <c r="J160" s="100"/>
      <c r="K160" s="100">
        <v>0</v>
      </c>
      <c r="L160" s="100"/>
      <c r="M160" s="100"/>
      <c r="N160" s="100"/>
      <c r="O160" s="100">
        <f t="shared" si="4"/>
        <v>0</v>
      </c>
      <c r="P160" s="100">
        <f t="shared" si="5"/>
        <v>0</v>
      </c>
      <c r="Q160" s="100"/>
      <c r="R160" s="116" t="s">
        <v>437</v>
      </c>
    </row>
    <row r="161" spans="1:18" ht="27">
      <c r="A161" s="105">
        <v>3031741</v>
      </c>
      <c r="B161" s="102" t="s">
        <v>161</v>
      </c>
      <c r="C161" s="111" t="s">
        <v>14</v>
      </c>
      <c r="D161" s="100">
        <v>0</v>
      </c>
      <c r="E161" s="100"/>
      <c r="F161" s="100">
        <v>0</v>
      </c>
      <c r="G161" s="100">
        <v>0</v>
      </c>
      <c r="H161" s="100"/>
      <c r="I161" s="100"/>
      <c r="J161" s="100"/>
      <c r="K161" s="100">
        <v>0</v>
      </c>
      <c r="L161" s="100"/>
      <c r="M161" s="100"/>
      <c r="N161" s="100"/>
      <c r="O161" s="100">
        <f t="shared" si="4"/>
        <v>0</v>
      </c>
      <c r="P161" s="100">
        <f t="shared" si="5"/>
        <v>0</v>
      </c>
      <c r="Q161" s="100"/>
      <c r="R161" s="116" t="s">
        <v>437</v>
      </c>
    </row>
    <row r="162" spans="1:18" ht="27">
      <c r="A162" s="105">
        <v>3031742</v>
      </c>
      <c r="B162" s="112" t="s">
        <v>316</v>
      </c>
      <c r="C162" s="111" t="s">
        <v>14</v>
      </c>
      <c r="D162" s="100">
        <v>3</v>
      </c>
      <c r="E162" s="100"/>
      <c r="F162" s="100">
        <v>0</v>
      </c>
      <c r="G162" s="100">
        <v>80</v>
      </c>
      <c r="H162" s="100"/>
      <c r="I162" s="100"/>
      <c r="J162" s="100"/>
      <c r="K162" s="100">
        <v>0</v>
      </c>
      <c r="L162" s="100"/>
      <c r="M162" s="100"/>
      <c r="N162" s="100"/>
      <c r="O162" s="100">
        <f t="shared" si="4"/>
        <v>0</v>
      </c>
      <c r="P162" s="100">
        <f t="shared" si="5"/>
        <v>0</v>
      </c>
      <c r="Q162" s="100"/>
      <c r="R162" s="116" t="s">
        <v>437</v>
      </c>
    </row>
    <row r="163" spans="1:18" ht="27">
      <c r="A163" s="103">
        <v>3031865</v>
      </c>
      <c r="B163" s="104" t="s">
        <v>317</v>
      </c>
      <c r="C163" s="105" t="s">
        <v>19</v>
      </c>
      <c r="D163" s="100">
        <v>0</v>
      </c>
      <c r="E163" s="100"/>
      <c r="F163" s="100">
        <v>0</v>
      </c>
      <c r="G163" s="100">
        <v>0</v>
      </c>
      <c r="H163" s="100"/>
      <c r="I163" s="100"/>
      <c r="J163" s="100"/>
      <c r="K163" s="100">
        <v>0</v>
      </c>
      <c r="L163" s="100"/>
      <c r="M163" s="100"/>
      <c r="N163" s="100"/>
      <c r="O163" s="100">
        <f t="shared" si="4"/>
        <v>0</v>
      </c>
      <c r="P163" s="100">
        <f t="shared" si="5"/>
        <v>0</v>
      </c>
      <c r="Q163" s="100"/>
      <c r="R163" s="116" t="s">
        <v>437</v>
      </c>
    </row>
    <row r="164" spans="1:18" ht="27">
      <c r="A164" s="103">
        <v>3032591</v>
      </c>
      <c r="B164" s="109" t="s">
        <v>318</v>
      </c>
      <c r="C164" s="103" t="s">
        <v>14</v>
      </c>
      <c r="D164" s="100">
        <v>1</v>
      </c>
      <c r="E164" s="100"/>
      <c r="F164" s="100">
        <v>0</v>
      </c>
      <c r="G164" s="100">
        <v>26</v>
      </c>
      <c r="H164" s="100"/>
      <c r="I164" s="100"/>
      <c r="J164" s="100"/>
      <c r="K164" s="100">
        <v>0</v>
      </c>
      <c r="L164" s="100"/>
      <c r="M164" s="100"/>
      <c r="N164" s="100"/>
      <c r="O164" s="100">
        <f t="shared" si="4"/>
        <v>0</v>
      </c>
      <c r="P164" s="100">
        <f t="shared" si="5"/>
        <v>0</v>
      </c>
      <c r="Q164" s="100"/>
      <c r="R164" s="116" t="s">
        <v>437</v>
      </c>
    </row>
    <row r="165" spans="1:18" ht="27">
      <c r="A165" s="103">
        <v>3032592</v>
      </c>
      <c r="B165" s="104" t="s">
        <v>319</v>
      </c>
      <c r="C165" s="103" t="s">
        <v>14</v>
      </c>
      <c r="D165" s="100">
        <v>0</v>
      </c>
      <c r="E165" s="100"/>
      <c r="F165" s="100">
        <v>0</v>
      </c>
      <c r="G165" s="100">
        <v>0</v>
      </c>
      <c r="H165" s="100"/>
      <c r="I165" s="100"/>
      <c r="J165" s="100"/>
      <c r="K165" s="100">
        <v>0</v>
      </c>
      <c r="L165" s="100"/>
      <c r="M165" s="100"/>
      <c r="N165" s="100"/>
      <c r="O165" s="100">
        <f t="shared" si="4"/>
        <v>0</v>
      </c>
      <c r="P165" s="100">
        <f t="shared" si="5"/>
        <v>0</v>
      </c>
      <c r="Q165" s="100"/>
      <c r="R165" s="116" t="s">
        <v>437</v>
      </c>
    </row>
    <row r="166" spans="1:18" ht="27">
      <c r="A166" s="103">
        <v>3033607</v>
      </c>
      <c r="B166" s="104" t="s">
        <v>320</v>
      </c>
      <c r="C166" s="107" t="s">
        <v>14</v>
      </c>
      <c r="D166" s="100">
        <v>10</v>
      </c>
      <c r="E166" s="100"/>
      <c r="F166" s="100">
        <v>0</v>
      </c>
      <c r="G166" s="100">
        <v>0</v>
      </c>
      <c r="H166" s="100"/>
      <c r="I166" s="100"/>
      <c r="J166" s="100"/>
      <c r="K166" s="100">
        <v>0</v>
      </c>
      <c r="L166" s="100"/>
      <c r="M166" s="100"/>
      <c r="N166" s="100"/>
      <c r="O166" s="100">
        <f t="shared" si="4"/>
        <v>0</v>
      </c>
      <c r="P166" s="100">
        <f t="shared" si="5"/>
        <v>0</v>
      </c>
      <c r="Q166" s="100"/>
      <c r="R166" s="116" t="s">
        <v>437</v>
      </c>
    </row>
    <row r="167" spans="1:18" ht="27">
      <c r="A167" s="103">
        <v>3030013</v>
      </c>
      <c r="B167" s="104" t="s">
        <v>38</v>
      </c>
      <c r="C167" s="107" t="s">
        <v>15</v>
      </c>
      <c r="D167" s="100">
        <v>0</v>
      </c>
      <c r="E167" s="100"/>
      <c r="F167" s="100">
        <v>0</v>
      </c>
      <c r="G167" s="100">
        <v>0</v>
      </c>
      <c r="H167" s="100"/>
      <c r="I167" s="100"/>
      <c r="J167" s="100"/>
      <c r="K167" s="100">
        <v>0</v>
      </c>
      <c r="L167" s="100"/>
      <c r="M167" s="100"/>
      <c r="N167" s="100"/>
      <c r="O167" s="100">
        <f t="shared" si="4"/>
        <v>0</v>
      </c>
      <c r="P167" s="100">
        <f t="shared" si="5"/>
        <v>0</v>
      </c>
      <c r="Q167" s="100"/>
      <c r="R167" s="116" t="s">
        <v>469</v>
      </c>
    </row>
    <row r="168" spans="1:18" ht="39" customHeight="1">
      <c r="A168" s="164" t="s">
        <v>10</v>
      </c>
      <c r="B168" s="165"/>
      <c r="C168" s="165"/>
      <c r="D168" s="165"/>
      <c r="E168" s="165"/>
      <c r="F168" s="165"/>
      <c r="G168" s="165"/>
      <c r="H168" s="165"/>
      <c r="I168" s="165"/>
      <c r="J168" s="165"/>
      <c r="K168" s="165"/>
      <c r="L168" s="165"/>
      <c r="M168" s="165"/>
      <c r="N168" s="165"/>
      <c r="O168" s="166"/>
      <c r="P168" s="94">
        <f>SUM(P4:P167)</f>
        <v>154000</v>
      </c>
    </row>
    <row r="169" spans="1:18" ht="27">
      <c r="B169" s="121" t="s">
        <v>445</v>
      </c>
      <c r="C169" s="119"/>
      <c r="D169" s="119"/>
    </row>
    <row r="170" spans="1:18">
      <c r="A170" s="5">
        <v>1</v>
      </c>
      <c r="B170" s="119" t="s">
        <v>446</v>
      </c>
      <c r="C170" s="120" t="s">
        <v>14</v>
      </c>
      <c r="D170" s="120">
        <v>50</v>
      </c>
    </row>
    <row r="171" spans="1:18">
      <c r="A171" s="5">
        <v>2</v>
      </c>
      <c r="B171" s="119" t="s">
        <v>447</v>
      </c>
      <c r="C171" s="120" t="s">
        <v>14</v>
      </c>
      <c r="D171" s="120">
        <v>50</v>
      </c>
    </row>
    <row r="172" spans="1:18">
      <c r="A172" s="5">
        <v>3</v>
      </c>
      <c r="B172" s="5" t="s">
        <v>448</v>
      </c>
      <c r="C172" s="120" t="s">
        <v>14</v>
      </c>
      <c r="D172" s="120">
        <v>50</v>
      </c>
    </row>
    <row r="173" spans="1:18">
      <c r="A173" s="5">
        <v>4</v>
      </c>
      <c r="B173" s="5" t="s">
        <v>449</v>
      </c>
      <c r="C173" s="120" t="s">
        <v>14</v>
      </c>
      <c r="D173" s="120">
        <v>50</v>
      </c>
    </row>
    <row r="174" spans="1:18">
      <c r="A174" s="5">
        <v>5</v>
      </c>
      <c r="B174" s="5" t="s">
        <v>519</v>
      </c>
      <c r="C174" s="120" t="s">
        <v>19</v>
      </c>
      <c r="D174" s="120">
        <v>20</v>
      </c>
    </row>
    <row r="175" spans="1:18">
      <c r="A175" s="5">
        <v>6</v>
      </c>
      <c r="B175" s="5" t="s">
        <v>520</v>
      </c>
      <c r="C175" s="120" t="s">
        <v>19</v>
      </c>
      <c r="D175" s="120">
        <v>20</v>
      </c>
    </row>
    <row r="176" spans="1:18">
      <c r="A176" s="5">
        <v>7</v>
      </c>
      <c r="B176" s="5" t="s">
        <v>521</v>
      </c>
      <c r="C176" s="120" t="s">
        <v>19</v>
      </c>
      <c r="D176" s="120">
        <v>30</v>
      </c>
    </row>
    <row r="177" spans="1:4">
      <c r="A177" s="5">
        <v>8</v>
      </c>
      <c r="B177" s="5" t="s">
        <v>522</v>
      </c>
      <c r="C177" s="120" t="s">
        <v>19</v>
      </c>
      <c r="D177" s="120">
        <v>20</v>
      </c>
    </row>
    <row r="178" spans="1:4">
      <c r="A178" s="5">
        <v>9</v>
      </c>
      <c r="B178" s="115" t="s">
        <v>450</v>
      </c>
      <c r="C178" s="118" t="s">
        <v>15</v>
      </c>
      <c r="D178" s="118">
        <v>10</v>
      </c>
    </row>
    <row r="179" spans="1:4">
      <c r="A179" s="5">
        <v>10</v>
      </c>
      <c r="B179" s="115" t="s">
        <v>451</v>
      </c>
      <c r="C179" s="118" t="s">
        <v>15</v>
      </c>
      <c r="D179" s="118">
        <v>10</v>
      </c>
    </row>
    <row r="180" spans="1:4">
      <c r="A180" s="5">
        <v>11</v>
      </c>
      <c r="B180" s="115" t="s">
        <v>510</v>
      </c>
      <c r="C180" s="118" t="s">
        <v>19</v>
      </c>
      <c r="D180" s="118">
        <v>50</v>
      </c>
    </row>
    <row r="181" spans="1:4">
      <c r="A181" s="5">
        <v>12</v>
      </c>
      <c r="B181" s="115" t="s">
        <v>511</v>
      </c>
      <c r="C181" s="118" t="s">
        <v>19</v>
      </c>
      <c r="D181" s="118">
        <v>50</v>
      </c>
    </row>
    <row r="182" spans="1:4">
      <c r="A182" s="5">
        <v>13</v>
      </c>
      <c r="B182" s="115" t="s">
        <v>512</v>
      </c>
      <c r="C182" s="118" t="s">
        <v>19</v>
      </c>
      <c r="D182" s="118">
        <v>50</v>
      </c>
    </row>
    <row r="183" spans="1:4">
      <c r="A183" s="5">
        <v>14</v>
      </c>
      <c r="B183" s="115" t="s">
        <v>513</v>
      </c>
      <c r="C183" s="118" t="s">
        <v>19</v>
      </c>
      <c r="D183" s="118">
        <v>50</v>
      </c>
    </row>
    <row r="184" spans="1:4">
      <c r="A184" s="5">
        <v>15</v>
      </c>
      <c r="B184" s="115" t="s">
        <v>514</v>
      </c>
      <c r="C184" s="118" t="s">
        <v>19</v>
      </c>
      <c r="D184" s="118">
        <v>50</v>
      </c>
    </row>
    <row r="185" spans="1:4">
      <c r="A185" s="5">
        <v>16</v>
      </c>
      <c r="B185" s="115" t="s">
        <v>515</v>
      </c>
      <c r="C185" s="118" t="s">
        <v>19</v>
      </c>
      <c r="D185" s="118">
        <v>50</v>
      </c>
    </row>
    <row r="186" spans="1:4">
      <c r="A186" s="5">
        <v>17</v>
      </c>
      <c r="B186" s="115" t="s">
        <v>516</v>
      </c>
      <c r="C186" s="118" t="s">
        <v>19</v>
      </c>
      <c r="D186" s="118">
        <v>50</v>
      </c>
    </row>
    <row r="187" spans="1:4">
      <c r="A187" s="5">
        <v>18</v>
      </c>
      <c r="B187" s="115" t="s">
        <v>517</v>
      </c>
      <c r="C187" s="118" t="s">
        <v>19</v>
      </c>
      <c r="D187" s="159">
        <v>50</v>
      </c>
    </row>
    <row r="188" spans="1:4">
      <c r="A188" s="5">
        <v>19</v>
      </c>
      <c r="B188" s="115" t="s">
        <v>518</v>
      </c>
      <c r="C188" s="118" t="s">
        <v>19</v>
      </c>
      <c r="D188" s="159">
        <v>50</v>
      </c>
    </row>
    <row r="189" spans="1:4">
      <c r="A189" s="5">
        <v>20</v>
      </c>
      <c r="B189" s="115" t="s">
        <v>452</v>
      </c>
      <c r="C189" s="118" t="s">
        <v>453</v>
      </c>
      <c r="D189" s="118">
        <v>50</v>
      </c>
    </row>
    <row r="190" spans="1:4">
      <c r="A190" s="5">
        <v>21</v>
      </c>
      <c r="B190" s="115" t="s">
        <v>454</v>
      </c>
      <c r="C190" s="118" t="s">
        <v>453</v>
      </c>
      <c r="D190" s="118">
        <v>50</v>
      </c>
    </row>
    <row r="191" spans="1:4">
      <c r="A191" s="5">
        <v>22</v>
      </c>
      <c r="B191" s="115" t="s">
        <v>455</v>
      </c>
      <c r="C191" s="118" t="s">
        <v>453</v>
      </c>
      <c r="D191" s="118">
        <v>50</v>
      </c>
    </row>
    <row r="192" spans="1:4">
      <c r="A192" s="5">
        <v>23</v>
      </c>
      <c r="B192" s="115" t="s">
        <v>458</v>
      </c>
      <c r="C192" s="118" t="s">
        <v>453</v>
      </c>
      <c r="D192" s="118">
        <v>15</v>
      </c>
    </row>
    <row r="193" spans="1:4">
      <c r="A193" s="5">
        <v>24</v>
      </c>
      <c r="B193" s="115" t="s">
        <v>459</v>
      </c>
      <c r="C193" s="118" t="s">
        <v>453</v>
      </c>
      <c r="D193" s="118">
        <v>20</v>
      </c>
    </row>
    <row r="194" spans="1:4">
      <c r="A194" s="5">
        <v>25</v>
      </c>
      <c r="B194" s="115" t="s">
        <v>460</v>
      </c>
      <c r="C194" s="118" t="s">
        <v>453</v>
      </c>
      <c r="D194" s="118">
        <v>20</v>
      </c>
    </row>
    <row r="195" spans="1:4">
      <c r="A195" s="5">
        <v>26</v>
      </c>
      <c r="B195" s="115" t="s">
        <v>456</v>
      </c>
      <c r="C195" s="118" t="s">
        <v>19</v>
      </c>
      <c r="D195" s="118">
        <v>10</v>
      </c>
    </row>
    <row r="196" spans="1:4">
      <c r="A196" s="5">
        <v>27</v>
      </c>
      <c r="B196" s="115" t="s">
        <v>457</v>
      </c>
      <c r="C196" s="118" t="s">
        <v>19</v>
      </c>
      <c r="D196" s="118">
        <v>10</v>
      </c>
    </row>
    <row r="197" spans="1:4">
      <c r="A197" s="5">
        <v>28</v>
      </c>
      <c r="B197" s="115" t="s">
        <v>461</v>
      </c>
      <c r="C197" s="118" t="s">
        <v>16</v>
      </c>
      <c r="D197" s="118">
        <v>5</v>
      </c>
    </row>
    <row r="198" spans="1:4">
      <c r="A198" s="5">
        <v>29</v>
      </c>
      <c r="B198" s="115" t="s">
        <v>509</v>
      </c>
      <c r="C198" s="118" t="s">
        <v>25</v>
      </c>
      <c r="D198" s="118">
        <v>30</v>
      </c>
    </row>
    <row r="199" spans="1:4">
      <c r="A199" s="5">
        <v>30</v>
      </c>
      <c r="B199" s="115" t="s">
        <v>508</v>
      </c>
      <c r="C199" s="118" t="s">
        <v>25</v>
      </c>
      <c r="D199" s="118">
        <v>30</v>
      </c>
    </row>
    <row r="200" spans="1:4">
      <c r="A200" s="5">
        <v>31</v>
      </c>
      <c r="B200" s="115" t="s">
        <v>462</v>
      </c>
      <c r="C200" s="118" t="s">
        <v>463</v>
      </c>
      <c r="D200" s="118">
        <v>10</v>
      </c>
    </row>
    <row r="201" spans="1:4">
      <c r="A201" s="5">
        <v>32</v>
      </c>
      <c r="B201" s="115" t="s">
        <v>464</v>
      </c>
      <c r="C201" s="118" t="s">
        <v>14</v>
      </c>
      <c r="D201" s="118">
        <v>30</v>
      </c>
    </row>
    <row r="202" spans="1:4">
      <c r="A202" s="5">
        <v>33</v>
      </c>
      <c r="B202" s="115" t="s">
        <v>465</v>
      </c>
      <c r="C202" s="118" t="s">
        <v>14</v>
      </c>
      <c r="D202" s="118">
        <v>100</v>
      </c>
    </row>
    <row r="203" spans="1:4">
      <c r="A203" s="5">
        <v>34</v>
      </c>
      <c r="B203" s="115" t="s">
        <v>466</v>
      </c>
      <c r="C203" s="118" t="s">
        <v>14</v>
      </c>
      <c r="D203" s="118">
        <v>30</v>
      </c>
    </row>
    <row r="204" spans="1:4">
      <c r="A204" s="5">
        <v>35</v>
      </c>
      <c r="B204" s="115" t="s">
        <v>474</v>
      </c>
      <c r="C204" s="115" t="s">
        <v>21</v>
      </c>
      <c r="D204" s="118">
        <v>30</v>
      </c>
    </row>
    <row r="205" spans="1:4">
      <c r="B205" s="115"/>
      <c r="C205" s="115"/>
      <c r="D205" s="118"/>
    </row>
  </sheetData>
  <mergeCells count="19">
    <mergeCell ref="K2:K3"/>
    <mergeCell ref="L2:L3"/>
    <mergeCell ref="M2:M3"/>
    <mergeCell ref="Q1:Q3"/>
    <mergeCell ref="A168:O168"/>
    <mergeCell ref="N2:N3"/>
    <mergeCell ref="C1:C3"/>
    <mergeCell ref="O2:O3"/>
    <mergeCell ref="P2:P3"/>
    <mergeCell ref="B1:B3"/>
    <mergeCell ref="D1:F1"/>
    <mergeCell ref="J1:P1"/>
    <mergeCell ref="D2:D3"/>
    <mergeCell ref="E2:E3"/>
    <mergeCell ref="F2:F3"/>
    <mergeCell ref="G1:G3"/>
    <mergeCell ref="H2:H3"/>
    <mergeCell ref="I2:I3"/>
    <mergeCell ref="J2:J3"/>
  </mergeCells>
  <pageMargins left="0.23622047244094491" right="0.23622047244094491" top="0.19685039370078741" bottom="0.19685039370078741" header="0.31496062992125984" footer="0.31496062992125984"/>
  <pageSetup paperSize="9" scale="60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86"/>
  <sheetViews>
    <sheetView zoomScale="120" zoomScaleNormal="120" workbookViewId="0">
      <pane ySplit="4" topLeftCell="A226" activePane="bottomLeft" state="frozen"/>
      <selection pane="bottomLeft" activeCell="D227" sqref="D227"/>
    </sheetView>
  </sheetViews>
  <sheetFormatPr baseColWidth="10" defaultColWidth="8.83203125" defaultRowHeight="15"/>
  <cols>
    <col min="2" max="2" width="44.5" customWidth="1"/>
    <col min="4" max="4" width="10.6640625" customWidth="1"/>
    <col min="5" max="5" width="13.5" customWidth="1"/>
    <col min="6" max="14" width="0" hidden="1" customWidth="1"/>
    <col min="15" max="15" width="11.83203125" customWidth="1"/>
    <col min="16" max="16" width="0" hidden="1" customWidth="1"/>
    <col min="17" max="17" width="16.6640625" hidden="1" customWidth="1"/>
    <col min="18" max="18" width="15.1640625" hidden="1" customWidth="1"/>
    <col min="19" max="20" width="16.33203125" style="5" customWidth="1"/>
    <col min="21" max="21" width="17.5" style="5" customWidth="1"/>
    <col min="22" max="22" width="14.6640625" style="5" customWidth="1"/>
    <col min="23" max="23" width="14.83203125" style="5" customWidth="1"/>
    <col min="24" max="24" width="13.6640625" customWidth="1"/>
  </cols>
  <sheetData>
    <row r="1" spans="1:24" ht="65.25" customHeight="1">
      <c r="A1" s="175" t="s">
        <v>378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6"/>
    </row>
    <row r="2" spans="1:24" ht="26.25" customHeight="1">
      <c r="A2" s="17" t="s">
        <v>322</v>
      </c>
      <c r="B2" s="182" t="s">
        <v>0</v>
      </c>
      <c r="C2" s="17" t="s">
        <v>27</v>
      </c>
      <c r="D2" s="18" t="s">
        <v>323</v>
      </c>
      <c r="E2" s="185" t="s">
        <v>324</v>
      </c>
      <c r="F2" s="54" t="s">
        <v>323</v>
      </c>
      <c r="G2" s="20" t="s">
        <v>323</v>
      </c>
      <c r="H2" s="19" t="s">
        <v>323</v>
      </c>
      <c r="I2" s="20" t="s">
        <v>323</v>
      </c>
      <c r="J2" s="19" t="s">
        <v>323</v>
      </c>
      <c r="K2" s="20" t="s">
        <v>323</v>
      </c>
      <c r="L2" s="19" t="s">
        <v>323</v>
      </c>
      <c r="M2" s="20" t="s">
        <v>323</v>
      </c>
      <c r="O2" s="188" t="s">
        <v>379</v>
      </c>
      <c r="P2" s="190" t="s">
        <v>382</v>
      </c>
      <c r="Q2" s="188" t="s">
        <v>325</v>
      </c>
      <c r="R2" s="179" t="s">
        <v>326</v>
      </c>
      <c r="S2" s="190" t="s">
        <v>380</v>
      </c>
      <c r="T2" s="177" t="s">
        <v>383</v>
      </c>
      <c r="U2" s="197" t="s">
        <v>384</v>
      </c>
      <c r="V2" s="197" t="s">
        <v>381</v>
      </c>
      <c r="W2" s="197" t="s">
        <v>385</v>
      </c>
      <c r="X2" s="193" t="s">
        <v>386</v>
      </c>
    </row>
    <row r="3" spans="1:24" ht="27">
      <c r="A3" s="21" t="s">
        <v>28</v>
      </c>
      <c r="B3" s="183"/>
      <c r="C3" s="21" t="s">
        <v>29</v>
      </c>
      <c r="D3" s="22" t="s">
        <v>327</v>
      </c>
      <c r="E3" s="186"/>
      <c r="F3" s="55" t="s">
        <v>328</v>
      </c>
      <c r="G3" s="24" t="s">
        <v>329</v>
      </c>
      <c r="H3" s="23" t="s">
        <v>328</v>
      </c>
      <c r="I3" s="24" t="s">
        <v>329</v>
      </c>
      <c r="J3" s="23" t="s">
        <v>328</v>
      </c>
      <c r="K3" s="24" t="s">
        <v>329</v>
      </c>
      <c r="L3" s="23" t="s">
        <v>328</v>
      </c>
      <c r="M3" s="24" t="s">
        <v>329</v>
      </c>
      <c r="O3" s="189"/>
      <c r="P3" s="191"/>
      <c r="Q3" s="189"/>
      <c r="R3" s="180"/>
      <c r="S3" s="191"/>
      <c r="T3" s="178"/>
      <c r="U3" s="198"/>
      <c r="V3" s="198"/>
      <c r="W3" s="198"/>
      <c r="X3" s="193"/>
    </row>
    <row r="4" spans="1:24" ht="26.25" customHeight="1">
      <c r="A4" s="25"/>
      <c r="B4" s="184"/>
      <c r="C4" s="25"/>
      <c r="D4" s="26" t="s">
        <v>6</v>
      </c>
      <c r="E4" s="187"/>
      <c r="F4" s="56" t="s">
        <v>330</v>
      </c>
      <c r="G4" s="28" t="s">
        <v>330</v>
      </c>
      <c r="H4" s="27" t="s">
        <v>331</v>
      </c>
      <c r="I4" s="27" t="s">
        <v>331</v>
      </c>
      <c r="J4" s="27" t="s">
        <v>332</v>
      </c>
      <c r="K4" s="27" t="s">
        <v>332</v>
      </c>
      <c r="L4" s="27" t="s">
        <v>333</v>
      </c>
      <c r="M4" s="27" t="s">
        <v>333</v>
      </c>
      <c r="O4" s="189"/>
      <c r="P4" s="192"/>
      <c r="Q4" s="189"/>
      <c r="R4" s="181"/>
      <c r="S4" s="192"/>
      <c r="T4" s="178"/>
      <c r="U4" s="198"/>
      <c r="V4" s="198"/>
      <c r="W4" s="198"/>
      <c r="X4" s="193"/>
    </row>
    <row r="5" spans="1:24" ht="26">
      <c r="A5" s="137">
        <v>3030001</v>
      </c>
      <c r="B5" s="136" t="s">
        <v>30</v>
      </c>
      <c r="C5" s="31" t="s">
        <v>24</v>
      </c>
      <c r="D5" s="32">
        <v>29</v>
      </c>
      <c r="E5" s="33">
        <v>246.1</v>
      </c>
      <c r="F5" s="32"/>
      <c r="G5" s="32">
        <v>1</v>
      </c>
      <c r="H5" s="32"/>
      <c r="I5" s="32"/>
      <c r="J5" s="32"/>
      <c r="K5" s="32"/>
      <c r="L5" s="32"/>
      <c r="M5" s="32"/>
      <c r="O5" s="4">
        <f>+F5+H5+J5+L5</f>
        <v>0</v>
      </c>
      <c r="P5" s="4">
        <f>+G5+I5+K5+M5</f>
        <v>1</v>
      </c>
      <c r="Q5" s="4">
        <f t="shared" ref="Q5:Q68" si="0">+D5+O5-P5</f>
        <v>28</v>
      </c>
      <c r="R5" s="53">
        <f t="shared" ref="R5:R68" si="1">+Q5*E5</f>
        <v>6890.8</v>
      </c>
      <c r="S5" s="5">
        <v>40</v>
      </c>
      <c r="T5" s="4">
        <f t="shared" ref="T5:T68" si="2">+K5+M5+O5+Q5</f>
        <v>28</v>
      </c>
      <c r="U5" s="5">
        <v>26</v>
      </c>
      <c r="V5" s="5">
        <v>43</v>
      </c>
      <c r="W5" s="52">
        <f>+S5*E5</f>
        <v>9844</v>
      </c>
      <c r="X5" s="5"/>
    </row>
    <row r="6" spans="1:24" ht="26">
      <c r="A6" s="137">
        <v>3030001</v>
      </c>
      <c r="B6" s="136" t="s">
        <v>30</v>
      </c>
      <c r="C6" s="31" t="s">
        <v>24</v>
      </c>
      <c r="D6" s="32">
        <v>17</v>
      </c>
      <c r="E6" s="33">
        <v>267.5</v>
      </c>
      <c r="F6" s="32"/>
      <c r="G6" s="32">
        <v>1</v>
      </c>
      <c r="H6" s="32"/>
      <c r="I6" s="32"/>
      <c r="J6" s="34"/>
      <c r="K6" s="34">
        <v>3</v>
      </c>
      <c r="L6" s="32"/>
      <c r="M6" s="32"/>
      <c r="O6" s="4">
        <f t="shared" ref="O6:P69" si="3">+F6+H6+J6+L6</f>
        <v>0</v>
      </c>
      <c r="P6" s="4">
        <f t="shared" si="3"/>
        <v>4</v>
      </c>
      <c r="Q6" s="4">
        <f t="shared" si="0"/>
        <v>13</v>
      </c>
      <c r="R6" s="53">
        <f t="shared" si="1"/>
        <v>3477.5</v>
      </c>
      <c r="S6" s="5">
        <v>50</v>
      </c>
      <c r="T6" s="4">
        <f t="shared" si="2"/>
        <v>16</v>
      </c>
      <c r="U6" s="5">
        <v>27</v>
      </c>
      <c r="V6" s="5">
        <v>40</v>
      </c>
      <c r="W6" s="52">
        <f>+S6*E6</f>
        <v>13375</v>
      </c>
      <c r="X6" s="5"/>
    </row>
    <row r="7" spans="1:24" ht="26">
      <c r="A7" s="29">
        <v>3030003</v>
      </c>
      <c r="B7" s="30" t="s">
        <v>31</v>
      </c>
      <c r="C7" s="31" t="s">
        <v>24</v>
      </c>
      <c r="D7" s="32">
        <v>5</v>
      </c>
      <c r="E7" s="33">
        <v>267.5</v>
      </c>
      <c r="F7" s="32"/>
      <c r="G7" s="32"/>
      <c r="H7" s="35"/>
      <c r="I7" s="35">
        <v>1</v>
      </c>
      <c r="J7" s="34"/>
      <c r="K7" s="34">
        <v>1</v>
      </c>
      <c r="L7" s="32"/>
      <c r="M7" s="32"/>
      <c r="O7" s="4">
        <f t="shared" si="3"/>
        <v>0</v>
      </c>
      <c r="P7" s="4">
        <f t="shared" si="3"/>
        <v>2</v>
      </c>
      <c r="Q7" s="4">
        <f t="shared" si="0"/>
        <v>3</v>
      </c>
      <c r="R7" s="53">
        <f t="shared" si="1"/>
        <v>802.5</v>
      </c>
      <c r="S7" s="5">
        <v>50</v>
      </c>
      <c r="T7" s="4">
        <f t="shared" si="2"/>
        <v>4</v>
      </c>
      <c r="U7" s="5">
        <v>3</v>
      </c>
      <c r="V7" s="5">
        <v>52</v>
      </c>
      <c r="W7" s="52">
        <f t="shared" ref="W7:W69" si="4">+S7*E7</f>
        <v>13375</v>
      </c>
      <c r="X7" s="5" t="s">
        <v>470</v>
      </c>
    </row>
    <row r="8" spans="1:24" ht="26">
      <c r="A8" s="36">
        <v>3030004</v>
      </c>
      <c r="B8" s="30" t="s">
        <v>334</v>
      </c>
      <c r="C8" s="31" t="s">
        <v>32</v>
      </c>
      <c r="D8" s="32">
        <v>97</v>
      </c>
      <c r="E8" s="33">
        <v>224.7</v>
      </c>
      <c r="F8" s="32"/>
      <c r="G8" s="32"/>
      <c r="H8" s="32"/>
      <c r="I8" s="32"/>
      <c r="J8" s="32"/>
      <c r="K8" s="32"/>
      <c r="L8" s="32"/>
      <c r="M8" s="32"/>
      <c r="O8" s="4">
        <f t="shared" si="3"/>
        <v>0</v>
      </c>
      <c r="P8" s="4">
        <f t="shared" si="3"/>
        <v>0</v>
      </c>
      <c r="Q8" s="4">
        <f t="shared" si="0"/>
        <v>97</v>
      </c>
      <c r="R8" s="53">
        <f t="shared" si="1"/>
        <v>21795.899999999998</v>
      </c>
      <c r="S8" s="5">
        <v>0</v>
      </c>
      <c r="T8" s="4">
        <f t="shared" si="2"/>
        <v>97</v>
      </c>
      <c r="U8" s="5">
        <v>0</v>
      </c>
      <c r="V8" s="5">
        <v>97</v>
      </c>
      <c r="W8" s="52">
        <f t="shared" si="4"/>
        <v>0</v>
      </c>
      <c r="X8" s="5"/>
    </row>
    <row r="9" spans="1:24" ht="26">
      <c r="A9" s="135">
        <v>3030006</v>
      </c>
      <c r="B9" s="136" t="s">
        <v>33</v>
      </c>
      <c r="C9" s="31" t="s">
        <v>22</v>
      </c>
      <c r="D9" s="32">
        <v>72</v>
      </c>
      <c r="E9" s="33">
        <v>9.5015999999999998</v>
      </c>
      <c r="F9" s="32"/>
      <c r="G9" s="32"/>
      <c r="H9" s="32"/>
      <c r="I9" s="32"/>
      <c r="J9" s="32"/>
      <c r="K9" s="32"/>
      <c r="L9" s="32"/>
      <c r="M9" s="32"/>
      <c r="O9" s="4">
        <f t="shared" si="3"/>
        <v>0</v>
      </c>
      <c r="P9" s="4">
        <f t="shared" si="3"/>
        <v>0</v>
      </c>
      <c r="Q9" s="4">
        <f t="shared" si="0"/>
        <v>72</v>
      </c>
      <c r="R9" s="53">
        <f t="shared" si="1"/>
        <v>684.11519999999996</v>
      </c>
      <c r="S9" s="5">
        <v>0</v>
      </c>
      <c r="T9" s="4">
        <f t="shared" si="2"/>
        <v>72</v>
      </c>
      <c r="U9" s="5">
        <v>0</v>
      </c>
      <c r="V9" s="5">
        <v>72</v>
      </c>
      <c r="W9" s="52">
        <f t="shared" si="4"/>
        <v>0</v>
      </c>
      <c r="X9" s="5"/>
    </row>
    <row r="10" spans="1:24" ht="26">
      <c r="A10" s="135">
        <v>3030006</v>
      </c>
      <c r="B10" s="136" t="s">
        <v>33</v>
      </c>
      <c r="C10" s="31" t="s">
        <v>22</v>
      </c>
      <c r="D10" s="32">
        <v>1</v>
      </c>
      <c r="E10" s="33">
        <v>9.6300000000000008</v>
      </c>
      <c r="F10" s="32"/>
      <c r="G10" s="32"/>
      <c r="H10" s="32"/>
      <c r="I10" s="32"/>
      <c r="J10" s="32"/>
      <c r="K10" s="32"/>
      <c r="L10" s="32"/>
      <c r="M10" s="32"/>
      <c r="O10" s="4">
        <f t="shared" si="3"/>
        <v>0</v>
      </c>
      <c r="P10" s="4">
        <f t="shared" si="3"/>
        <v>0</v>
      </c>
      <c r="Q10" s="4">
        <f t="shared" si="0"/>
        <v>1</v>
      </c>
      <c r="R10" s="53">
        <f t="shared" si="1"/>
        <v>9.6300000000000008</v>
      </c>
      <c r="S10" s="5">
        <v>0</v>
      </c>
      <c r="T10" s="4">
        <f t="shared" si="2"/>
        <v>1</v>
      </c>
      <c r="U10" s="5">
        <v>0</v>
      </c>
      <c r="V10" s="5">
        <v>1</v>
      </c>
      <c r="W10" s="52">
        <f t="shared" si="4"/>
        <v>0</v>
      </c>
      <c r="X10" s="5"/>
    </row>
    <row r="11" spans="1:24" ht="26">
      <c r="A11" s="36">
        <v>3030008</v>
      </c>
      <c r="B11" s="30" t="s">
        <v>34</v>
      </c>
      <c r="C11" s="31" t="s">
        <v>22</v>
      </c>
      <c r="D11" s="32">
        <v>17</v>
      </c>
      <c r="E11" s="33">
        <v>18.190000000000001</v>
      </c>
      <c r="F11" s="32"/>
      <c r="G11" s="32"/>
      <c r="H11" s="32"/>
      <c r="I11" s="32"/>
      <c r="J11" s="32"/>
      <c r="K11" s="32"/>
      <c r="L11" s="32"/>
      <c r="M11" s="32"/>
      <c r="O11" s="4">
        <f t="shared" si="3"/>
        <v>0</v>
      </c>
      <c r="P11" s="4">
        <f t="shared" si="3"/>
        <v>0</v>
      </c>
      <c r="Q11" s="4">
        <f t="shared" si="0"/>
        <v>17</v>
      </c>
      <c r="R11" s="53">
        <f t="shared" si="1"/>
        <v>309.23</v>
      </c>
      <c r="S11" s="5">
        <v>0</v>
      </c>
      <c r="T11" s="4">
        <f t="shared" si="2"/>
        <v>17</v>
      </c>
      <c r="U11" s="5">
        <v>8</v>
      </c>
      <c r="V11" s="5">
        <v>9</v>
      </c>
      <c r="W11" s="52">
        <f t="shared" si="4"/>
        <v>0</v>
      </c>
      <c r="X11" s="5" t="s">
        <v>478</v>
      </c>
    </row>
    <row r="12" spans="1:24" ht="26">
      <c r="A12" s="137">
        <v>3030009</v>
      </c>
      <c r="B12" s="136" t="s">
        <v>35</v>
      </c>
      <c r="C12" s="31" t="s">
        <v>21</v>
      </c>
      <c r="D12" s="32">
        <v>64</v>
      </c>
      <c r="E12" s="33">
        <v>363.8</v>
      </c>
      <c r="F12" s="32"/>
      <c r="G12" s="32">
        <v>1</v>
      </c>
      <c r="H12" s="32"/>
      <c r="I12" s="32"/>
      <c r="J12" s="34"/>
      <c r="K12" s="34">
        <v>1</v>
      </c>
      <c r="L12" s="32"/>
      <c r="M12" s="32"/>
      <c r="O12" s="4">
        <f t="shared" si="3"/>
        <v>0</v>
      </c>
      <c r="P12" s="4">
        <f t="shared" si="3"/>
        <v>2</v>
      </c>
      <c r="Q12" s="4">
        <f t="shared" si="0"/>
        <v>62</v>
      </c>
      <c r="R12" s="53">
        <f t="shared" si="1"/>
        <v>22555.600000000002</v>
      </c>
      <c r="S12" s="5">
        <v>0</v>
      </c>
      <c r="T12" s="4">
        <f t="shared" si="2"/>
        <v>63</v>
      </c>
      <c r="U12" s="5">
        <v>0</v>
      </c>
      <c r="V12" s="5">
        <v>64</v>
      </c>
      <c r="W12" s="52">
        <f t="shared" si="4"/>
        <v>0</v>
      </c>
      <c r="X12" s="5"/>
    </row>
    <row r="13" spans="1:24" ht="26">
      <c r="A13" s="137">
        <v>3030009</v>
      </c>
      <c r="B13" s="136" t="s">
        <v>35</v>
      </c>
      <c r="C13" s="31" t="s">
        <v>21</v>
      </c>
      <c r="D13" s="32">
        <v>55</v>
      </c>
      <c r="E13" s="33">
        <v>567.1</v>
      </c>
      <c r="F13" s="32"/>
      <c r="G13" s="32"/>
      <c r="H13" s="32"/>
      <c r="I13" s="32"/>
      <c r="J13" s="32"/>
      <c r="K13" s="32"/>
      <c r="L13" s="32"/>
      <c r="M13" s="32"/>
      <c r="O13" s="4">
        <f t="shared" si="3"/>
        <v>0</v>
      </c>
      <c r="P13" s="4">
        <f t="shared" si="3"/>
        <v>0</v>
      </c>
      <c r="Q13" s="4">
        <f t="shared" si="0"/>
        <v>55</v>
      </c>
      <c r="R13" s="53">
        <f t="shared" si="1"/>
        <v>31190.5</v>
      </c>
      <c r="S13" s="5">
        <v>0</v>
      </c>
      <c r="T13" s="4">
        <f t="shared" si="2"/>
        <v>55</v>
      </c>
      <c r="U13" s="5">
        <v>12</v>
      </c>
      <c r="V13" s="5">
        <v>43</v>
      </c>
      <c r="W13" s="52">
        <f t="shared" si="4"/>
        <v>0</v>
      </c>
      <c r="X13" s="5"/>
    </row>
    <row r="14" spans="1:24" ht="26">
      <c r="A14" s="36">
        <v>3030010</v>
      </c>
      <c r="B14" s="30" t="s">
        <v>36</v>
      </c>
      <c r="C14" s="31" t="s">
        <v>22</v>
      </c>
      <c r="D14" s="32"/>
      <c r="E14" s="33">
        <v>9.5015999999999998</v>
      </c>
      <c r="F14" s="32"/>
      <c r="G14" s="32"/>
      <c r="H14" s="32"/>
      <c r="I14" s="32"/>
      <c r="J14" s="32"/>
      <c r="K14" s="32"/>
      <c r="L14" s="32"/>
      <c r="M14" s="32"/>
      <c r="O14" s="4">
        <f t="shared" si="3"/>
        <v>0</v>
      </c>
      <c r="P14" s="4">
        <f t="shared" si="3"/>
        <v>0</v>
      </c>
      <c r="Q14" s="4">
        <f t="shared" si="0"/>
        <v>0</v>
      </c>
      <c r="R14" s="53">
        <f t="shared" si="1"/>
        <v>0</v>
      </c>
      <c r="S14" s="5">
        <v>0</v>
      </c>
      <c r="T14" s="4">
        <f t="shared" si="2"/>
        <v>0</v>
      </c>
      <c r="U14" s="5">
        <v>0</v>
      </c>
      <c r="V14" s="5">
        <v>0</v>
      </c>
      <c r="W14" s="52">
        <f t="shared" si="4"/>
        <v>0</v>
      </c>
      <c r="X14" s="5" t="s">
        <v>478</v>
      </c>
    </row>
    <row r="15" spans="1:24" ht="26">
      <c r="A15" s="135">
        <v>3030012</v>
      </c>
      <c r="B15" s="136" t="s">
        <v>37</v>
      </c>
      <c r="C15" s="31" t="s">
        <v>22</v>
      </c>
      <c r="D15" s="32"/>
      <c r="E15" s="33">
        <v>18.190000000000001</v>
      </c>
      <c r="F15" s="32"/>
      <c r="G15" s="32"/>
      <c r="H15" s="32"/>
      <c r="I15" s="32"/>
      <c r="J15" s="32"/>
      <c r="K15" s="32"/>
      <c r="L15" s="32"/>
      <c r="M15" s="32"/>
      <c r="O15" s="4">
        <f t="shared" si="3"/>
        <v>0</v>
      </c>
      <c r="P15" s="4">
        <f t="shared" si="3"/>
        <v>0</v>
      </c>
      <c r="Q15" s="4">
        <f t="shared" si="0"/>
        <v>0</v>
      </c>
      <c r="R15" s="53">
        <f t="shared" si="1"/>
        <v>0</v>
      </c>
      <c r="S15" s="5">
        <v>100</v>
      </c>
      <c r="T15" s="4">
        <f t="shared" si="2"/>
        <v>0</v>
      </c>
      <c r="U15" s="5">
        <v>28</v>
      </c>
      <c r="V15" s="5">
        <v>72</v>
      </c>
      <c r="W15" s="52">
        <f t="shared" si="4"/>
        <v>1819.0000000000002</v>
      </c>
      <c r="X15" s="5"/>
    </row>
    <row r="16" spans="1:24" ht="26">
      <c r="A16" s="135">
        <v>3030012</v>
      </c>
      <c r="B16" s="136" t="s">
        <v>37</v>
      </c>
      <c r="C16" s="31" t="s">
        <v>22</v>
      </c>
      <c r="D16" s="32">
        <v>90</v>
      </c>
      <c r="E16" s="33">
        <v>16.05</v>
      </c>
      <c r="F16" s="32"/>
      <c r="G16" s="32"/>
      <c r="H16" s="32"/>
      <c r="I16" s="32"/>
      <c r="J16" s="32"/>
      <c r="K16" s="32"/>
      <c r="L16" s="32"/>
      <c r="M16" s="32"/>
      <c r="O16" s="4">
        <f t="shared" si="3"/>
        <v>0</v>
      </c>
      <c r="P16" s="4">
        <f t="shared" si="3"/>
        <v>0</v>
      </c>
      <c r="Q16" s="4">
        <f t="shared" si="0"/>
        <v>90</v>
      </c>
      <c r="R16" s="53">
        <f t="shared" si="1"/>
        <v>1444.5</v>
      </c>
      <c r="S16" s="5">
        <v>0</v>
      </c>
      <c r="T16" s="4">
        <f t="shared" si="2"/>
        <v>90</v>
      </c>
      <c r="U16" s="5">
        <v>15</v>
      </c>
      <c r="V16" s="5">
        <v>75</v>
      </c>
      <c r="W16" s="52">
        <f t="shared" si="4"/>
        <v>0</v>
      </c>
      <c r="X16" s="5"/>
    </row>
    <row r="17" spans="1:24" ht="26">
      <c r="A17" s="29">
        <v>3030013</v>
      </c>
      <c r="B17" s="30" t="s">
        <v>38</v>
      </c>
      <c r="C17" s="31" t="s">
        <v>15</v>
      </c>
      <c r="D17" s="32">
        <v>11</v>
      </c>
      <c r="E17" s="33">
        <v>17.12</v>
      </c>
      <c r="F17" s="32"/>
      <c r="G17" s="32">
        <v>1</v>
      </c>
      <c r="H17" s="35"/>
      <c r="I17" s="35">
        <v>3</v>
      </c>
      <c r="J17" s="34"/>
      <c r="K17" s="34">
        <v>4</v>
      </c>
      <c r="L17" s="32"/>
      <c r="M17" s="32"/>
      <c r="O17" s="4">
        <f t="shared" si="3"/>
        <v>0</v>
      </c>
      <c r="P17" s="4">
        <f t="shared" si="3"/>
        <v>8</v>
      </c>
      <c r="Q17" s="4">
        <f t="shared" si="0"/>
        <v>3</v>
      </c>
      <c r="R17" s="53">
        <f t="shared" si="1"/>
        <v>51.36</v>
      </c>
      <c r="S17" s="5">
        <v>0</v>
      </c>
      <c r="T17" s="4">
        <f t="shared" si="2"/>
        <v>7</v>
      </c>
      <c r="U17" s="5">
        <v>0</v>
      </c>
      <c r="V17" s="5">
        <v>11</v>
      </c>
      <c r="W17" s="52">
        <f t="shared" si="4"/>
        <v>0</v>
      </c>
      <c r="X17" s="5" t="s">
        <v>470</v>
      </c>
    </row>
    <row r="18" spans="1:24" ht="26">
      <c r="A18" s="36">
        <v>3030014</v>
      </c>
      <c r="B18" s="30" t="s">
        <v>39</v>
      </c>
      <c r="C18" s="31" t="s">
        <v>22</v>
      </c>
      <c r="D18" s="32">
        <v>4</v>
      </c>
      <c r="E18" s="33">
        <v>9.6300000000000008</v>
      </c>
      <c r="F18" s="32"/>
      <c r="G18" s="32"/>
      <c r="H18" s="32"/>
      <c r="I18" s="32"/>
      <c r="J18" s="32"/>
      <c r="K18" s="32"/>
      <c r="L18" s="32"/>
      <c r="M18" s="32"/>
      <c r="O18" s="4">
        <f t="shared" si="3"/>
        <v>0</v>
      </c>
      <c r="P18" s="4">
        <f t="shared" si="3"/>
        <v>0</v>
      </c>
      <c r="Q18" s="4">
        <f t="shared" si="0"/>
        <v>4</v>
      </c>
      <c r="R18" s="53">
        <f t="shared" si="1"/>
        <v>38.520000000000003</v>
      </c>
      <c r="S18" s="5">
        <v>0</v>
      </c>
      <c r="T18" s="4">
        <f t="shared" si="2"/>
        <v>4</v>
      </c>
      <c r="U18" s="5">
        <v>0</v>
      </c>
      <c r="V18" s="5">
        <v>4</v>
      </c>
      <c r="W18" s="52">
        <f t="shared" si="4"/>
        <v>0</v>
      </c>
      <c r="X18" s="5" t="s">
        <v>478</v>
      </c>
    </row>
    <row r="19" spans="1:24" ht="26">
      <c r="A19" s="123">
        <v>3030016</v>
      </c>
      <c r="B19" s="124" t="s">
        <v>40</v>
      </c>
      <c r="C19" s="125" t="s">
        <v>24</v>
      </c>
      <c r="D19" s="128">
        <v>3</v>
      </c>
      <c r="E19" s="129">
        <v>32.1</v>
      </c>
      <c r="F19" s="128"/>
      <c r="G19" s="128"/>
      <c r="H19" s="128"/>
      <c r="I19" s="128"/>
      <c r="J19" s="128"/>
      <c r="K19" s="128"/>
      <c r="L19" s="128"/>
      <c r="M19" s="128"/>
      <c r="N19" s="130"/>
      <c r="O19" s="131">
        <f t="shared" si="3"/>
        <v>0</v>
      </c>
      <c r="P19" s="131">
        <f t="shared" si="3"/>
        <v>0</v>
      </c>
      <c r="Q19" s="131">
        <f t="shared" si="0"/>
        <v>3</v>
      </c>
      <c r="R19" s="132">
        <f t="shared" si="1"/>
        <v>96.300000000000011</v>
      </c>
      <c r="S19" s="100">
        <v>20</v>
      </c>
      <c r="T19" s="131">
        <f t="shared" si="2"/>
        <v>3</v>
      </c>
      <c r="U19" s="100">
        <v>4</v>
      </c>
      <c r="V19" s="100">
        <v>19</v>
      </c>
      <c r="W19" s="133">
        <f t="shared" si="4"/>
        <v>642</v>
      </c>
      <c r="X19" s="100" t="s">
        <v>437</v>
      </c>
    </row>
    <row r="20" spans="1:24" ht="26">
      <c r="A20" s="123">
        <v>3030018</v>
      </c>
      <c r="B20" s="124" t="s">
        <v>41</v>
      </c>
      <c r="C20" s="125" t="s">
        <v>24</v>
      </c>
      <c r="D20" s="128">
        <v>4</v>
      </c>
      <c r="E20" s="129">
        <v>135</v>
      </c>
      <c r="F20" s="128"/>
      <c r="G20" s="128"/>
      <c r="H20" s="128"/>
      <c r="I20" s="128"/>
      <c r="J20" s="128"/>
      <c r="K20" s="128"/>
      <c r="L20" s="128"/>
      <c r="M20" s="128"/>
      <c r="N20" s="130"/>
      <c r="O20" s="131">
        <f t="shared" si="3"/>
        <v>0</v>
      </c>
      <c r="P20" s="131">
        <f t="shared" si="3"/>
        <v>0</v>
      </c>
      <c r="Q20" s="131">
        <f t="shared" si="0"/>
        <v>4</v>
      </c>
      <c r="R20" s="132">
        <f t="shared" si="1"/>
        <v>540</v>
      </c>
      <c r="S20" s="100">
        <v>0</v>
      </c>
      <c r="T20" s="131">
        <f t="shared" si="2"/>
        <v>4</v>
      </c>
      <c r="U20" s="100">
        <v>0</v>
      </c>
      <c r="V20" s="100">
        <v>4</v>
      </c>
      <c r="W20" s="133">
        <f t="shared" si="4"/>
        <v>0</v>
      </c>
      <c r="X20" s="100" t="s">
        <v>437</v>
      </c>
    </row>
    <row r="21" spans="1:24" ht="26">
      <c r="A21" s="29">
        <v>3030019</v>
      </c>
      <c r="B21" s="30" t="s">
        <v>42</v>
      </c>
      <c r="C21" s="31" t="s">
        <v>32</v>
      </c>
      <c r="D21" s="32">
        <v>84</v>
      </c>
      <c r="E21" s="33">
        <v>240.75</v>
      </c>
      <c r="F21" s="32"/>
      <c r="G21" s="32">
        <v>1</v>
      </c>
      <c r="H21" s="32"/>
      <c r="I21" s="32"/>
      <c r="J21" s="34"/>
      <c r="K21" s="34">
        <v>1</v>
      </c>
      <c r="L21" s="32"/>
      <c r="M21" s="32"/>
      <c r="O21" s="4">
        <f t="shared" si="3"/>
        <v>0</v>
      </c>
      <c r="P21" s="4">
        <f t="shared" si="3"/>
        <v>2</v>
      </c>
      <c r="Q21" s="4">
        <f t="shared" si="0"/>
        <v>82</v>
      </c>
      <c r="R21" s="53">
        <f t="shared" si="1"/>
        <v>19741.5</v>
      </c>
      <c r="S21" s="5">
        <v>0</v>
      </c>
      <c r="T21" s="4">
        <f t="shared" si="2"/>
        <v>83</v>
      </c>
      <c r="U21" s="5">
        <v>47</v>
      </c>
      <c r="V21" s="5">
        <v>37</v>
      </c>
      <c r="W21" s="52">
        <f t="shared" si="4"/>
        <v>0</v>
      </c>
      <c r="X21" s="5" t="s">
        <v>479</v>
      </c>
    </row>
    <row r="22" spans="1:24" ht="26">
      <c r="A22" s="36">
        <v>3030020</v>
      </c>
      <c r="B22" s="30" t="s">
        <v>43</v>
      </c>
      <c r="C22" s="31" t="s">
        <v>15</v>
      </c>
      <c r="D22" s="32">
        <v>5</v>
      </c>
      <c r="E22" s="33">
        <v>101.65</v>
      </c>
      <c r="F22" s="32"/>
      <c r="G22" s="32"/>
      <c r="H22" s="32"/>
      <c r="I22" s="32"/>
      <c r="J22" s="32"/>
      <c r="K22" s="32"/>
      <c r="L22" s="32"/>
      <c r="M22" s="32"/>
      <c r="O22" s="4">
        <f t="shared" si="3"/>
        <v>0</v>
      </c>
      <c r="P22" s="4">
        <f t="shared" si="3"/>
        <v>0</v>
      </c>
      <c r="Q22" s="4">
        <f t="shared" si="0"/>
        <v>5</v>
      </c>
      <c r="R22" s="53">
        <f t="shared" si="1"/>
        <v>508.25</v>
      </c>
      <c r="S22" s="5">
        <v>0</v>
      </c>
      <c r="T22" s="4">
        <f t="shared" si="2"/>
        <v>5</v>
      </c>
      <c r="U22" s="5">
        <v>0</v>
      </c>
      <c r="V22" s="5">
        <v>5</v>
      </c>
      <c r="W22" s="52">
        <f t="shared" si="4"/>
        <v>0</v>
      </c>
      <c r="X22" s="5" t="s">
        <v>480</v>
      </c>
    </row>
    <row r="23" spans="1:24" ht="26">
      <c r="A23" s="37">
        <v>3030021</v>
      </c>
      <c r="B23" s="30" t="s">
        <v>44</v>
      </c>
      <c r="C23" s="31" t="s">
        <v>16</v>
      </c>
      <c r="D23" s="32">
        <v>50</v>
      </c>
      <c r="E23" s="33">
        <v>25.68</v>
      </c>
      <c r="F23" s="32"/>
      <c r="G23" s="32">
        <v>14</v>
      </c>
      <c r="H23" s="35"/>
      <c r="I23" s="35">
        <v>5</v>
      </c>
      <c r="J23" s="34"/>
      <c r="K23" s="34">
        <v>5</v>
      </c>
      <c r="L23" s="32"/>
      <c r="M23" s="32"/>
      <c r="O23" s="4">
        <f t="shared" si="3"/>
        <v>0</v>
      </c>
      <c r="P23" s="4">
        <f t="shared" si="3"/>
        <v>24</v>
      </c>
      <c r="Q23" s="4">
        <f t="shared" si="0"/>
        <v>26</v>
      </c>
      <c r="R23" s="53">
        <f t="shared" si="1"/>
        <v>667.68</v>
      </c>
      <c r="S23" s="5">
        <v>0</v>
      </c>
      <c r="T23" s="4">
        <f t="shared" si="2"/>
        <v>31</v>
      </c>
      <c r="U23" s="5">
        <v>31</v>
      </c>
      <c r="V23" s="5">
        <v>19</v>
      </c>
      <c r="W23" s="52">
        <f t="shared" si="4"/>
        <v>0</v>
      </c>
      <c r="X23" s="5" t="s">
        <v>440</v>
      </c>
    </row>
    <row r="24" spans="1:24" ht="26">
      <c r="A24" s="135">
        <v>3030022</v>
      </c>
      <c r="B24" s="136" t="s">
        <v>45</v>
      </c>
      <c r="C24" s="31" t="s">
        <v>15</v>
      </c>
      <c r="D24" s="32">
        <v>5</v>
      </c>
      <c r="E24" s="33">
        <v>74.900000000000006</v>
      </c>
      <c r="F24" s="32"/>
      <c r="G24" s="32"/>
      <c r="H24" s="32"/>
      <c r="I24" s="32"/>
      <c r="J24" s="32"/>
      <c r="K24" s="32"/>
      <c r="L24" s="32"/>
      <c r="M24" s="32"/>
      <c r="O24" s="4">
        <f t="shared" si="3"/>
        <v>0</v>
      </c>
      <c r="P24" s="4">
        <f t="shared" si="3"/>
        <v>0</v>
      </c>
      <c r="Q24" s="4">
        <f t="shared" si="0"/>
        <v>5</v>
      </c>
      <c r="R24" s="53">
        <f t="shared" si="1"/>
        <v>374.5</v>
      </c>
      <c r="S24" s="5">
        <v>0</v>
      </c>
      <c r="T24" s="4">
        <f t="shared" si="2"/>
        <v>5</v>
      </c>
      <c r="U24" s="5">
        <v>0</v>
      </c>
      <c r="V24" s="5">
        <v>5</v>
      </c>
      <c r="W24" s="52">
        <f t="shared" si="4"/>
        <v>0</v>
      </c>
      <c r="X24" s="5"/>
    </row>
    <row r="25" spans="1:24" ht="26">
      <c r="A25" s="135">
        <v>3030022</v>
      </c>
      <c r="B25" s="136" t="s">
        <v>45</v>
      </c>
      <c r="C25" s="31" t="s">
        <v>15</v>
      </c>
      <c r="D25" s="32">
        <v>82</v>
      </c>
      <c r="E25" s="33">
        <v>85.6</v>
      </c>
      <c r="F25" s="32"/>
      <c r="G25" s="32"/>
      <c r="H25" s="32"/>
      <c r="I25" s="32"/>
      <c r="J25" s="32"/>
      <c r="K25" s="32"/>
      <c r="L25" s="32"/>
      <c r="M25" s="32"/>
      <c r="O25" s="4">
        <f t="shared" si="3"/>
        <v>0</v>
      </c>
      <c r="P25" s="4">
        <f t="shared" si="3"/>
        <v>0</v>
      </c>
      <c r="Q25" s="4">
        <f t="shared" si="0"/>
        <v>82</v>
      </c>
      <c r="R25" s="53">
        <f t="shared" si="1"/>
        <v>7019.2</v>
      </c>
      <c r="S25" s="5">
        <v>100</v>
      </c>
      <c r="T25" s="4">
        <f t="shared" si="2"/>
        <v>82</v>
      </c>
      <c r="U25" s="5">
        <v>72</v>
      </c>
      <c r="V25" s="5">
        <v>110</v>
      </c>
      <c r="W25" s="52">
        <f t="shared" si="4"/>
        <v>8560</v>
      </c>
      <c r="X25" s="5"/>
    </row>
    <row r="26" spans="1:24" ht="26">
      <c r="A26" s="37">
        <v>3030023</v>
      </c>
      <c r="B26" s="30" t="s">
        <v>335</v>
      </c>
      <c r="C26" s="31" t="s">
        <v>14</v>
      </c>
      <c r="D26" s="32"/>
      <c r="E26" s="33">
        <v>10.0366</v>
      </c>
      <c r="F26" s="32"/>
      <c r="G26" s="32"/>
      <c r="H26" s="32"/>
      <c r="I26" s="32"/>
      <c r="J26" s="32"/>
      <c r="K26" s="32"/>
      <c r="L26" s="32"/>
      <c r="M26" s="32"/>
      <c r="O26" s="4">
        <f t="shared" si="3"/>
        <v>0</v>
      </c>
      <c r="P26" s="4">
        <f t="shared" si="3"/>
        <v>0</v>
      </c>
      <c r="Q26" s="4">
        <f t="shared" si="0"/>
        <v>0</v>
      </c>
      <c r="R26" s="53">
        <f t="shared" si="1"/>
        <v>0</v>
      </c>
      <c r="S26" s="5">
        <v>0</v>
      </c>
      <c r="T26" s="4">
        <f t="shared" si="2"/>
        <v>0</v>
      </c>
      <c r="U26" s="5">
        <v>0</v>
      </c>
      <c r="V26" s="5">
        <v>0</v>
      </c>
      <c r="W26" s="52">
        <f t="shared" si="4"/>
        <v>0</v>
      </c>
      <c r="X26" s="5" t="s">
        <v>482</v>
      </c>
    </row>
    <row r="27" spans="1:24" ht="26">
      <c r="A27" s="135">
        <v>3030024</v>
      </c>
      <c r="B27" s="136" t="s">
        <v>46</v>
      </c>
      <c r="C27" s="31" t="s">
        <v>15</v>
      </c>
      <c r="D27" s="32">
        <v>6</v>
      </c>
      <c r="E27" s="33">
        <v>90.95</v>
      </c>
      <c r="F27" s="32"/>
      <c r="G27" s="32"/>
      <c r="H27" s="32"/>
      <c r="I27" s="32"/>
      <c r="J27" s="32"/>
      <c r="K27" s="32"/>
      <c r="L27" s="32"/>
      <c r="M27" s="32"/>
      <c r="O27" s="4">
        <f t="shared" si="3"/>
        <v>0</v>
      </c>
      <c r="P27" s="4">
        <f t="shared" si="3"/>
        <v>0</v>
      </c>
      <c r="Q27" s="4">
        <f t="shared" si="0"/>
        <v>6</v>
      </c>
      <c r="R27" s="53">
        <f t="shared" si="1"/>
        <v>545.70000000000005</v>
      </c>
      <c r="S27" s="5">
        <v>0</v>
      </c>
      <c r="T27" s="4">
        <f t="shared" si="2"/>
        <v>6</v>
      </c>
      <c r="U27" s="5">
        <v>0</v>
      </c>
      <c r="V27" s="5">
        <v>6</v>
      </c>
      <c r="W27" s="52">
        <f t="shared" si="4"/>
        <v>0</v>
      </c>
      <c r="X27" s="5"/>
    </row>
    <row r="28" spans="1:24" ht="26">
      <c r="A28" s="135">
        <v>3030024</v>
      </c>
      <c r="B28" s="136" t="s">
        <v>46</v>
      </c>
      <c r="C28" s="31" t="s">
        <v>15</v>
      </c>
      <c r="D28" s="32">
        <v>6</v>
      </c>
      <c r="E28" s="33">
        <v>112.35</v>
      </c>
      <c r="F28" s="32"/>
      <c r="G28" s="32"/>
      <c r="H28" s="32"/>
      <c r="I28" s="32"/>
      <c r="J28" s="32"/>
      <c r="K28" s="32"/>
      <c r="L28" s="32"/>
      <c r="M28" s="32"/>
      <c r="O28" s="4">
        <f t="shared" si="3"/>
        <v>0</v>
      </c>
      <c r="P28" s="4">
        <f t="shared" si="3"/>
        <v>0</v>
      </c>
      <c r="Q28" s="4">
        <f t="shared" si="0"/>
        <v>6</v>
      </c>
      <c r="R28" s="53">
        <f t="shared" si="1"/>
        <v>674.09999999999991</v>
      </c>
      <c r="S28" s="5">
        <v>0</v>
      </c>
      <c r="T28" s="4">
        <f t="shared" si="2"/>
        <v>6</v>
      </c>
      <c r="U28" s="5">
        <v>0</v>
      </c>
      <c r="V28" s="5">
        <v>6</v>
      </c>
      <c r="W28" s="52">
        <f t="shared" si="4"/>
        <v>0</v>
      </c>
      <c r="X28" s="5" t="s">
        <v>468</v>
      </c>
    </row>
    <row r="29" spans="1:24" ht="26">
      <c r="A29" s="37">
        <v>3030025</v>
      </c>
      <c r="B29" s="30" t="s">
        <v>336</v>
      </c>
      <c r="C29" s="31" t="s">
        <v>14</v>
      </c>
      <c r="D29" s="32">
        <v>3</v>
      </c>
      <c r="E29" s="33">
        <v>4.2050999999999998</v>
      </c>
      <c r="F29" s="32"/>
      <c r="G29" s="32"/>
      <c r="H29" s="32"/>
      <c r="I29" s="32"/>
      <c r="J29" s="34"/>
      <c r="K29" s="34">
        <v>10</v>
      </c>
      <c r="L29" s="32"/>
      <c r="M29" s="32"/>
      <c r="O29" s="4">
        <f t="shared" si="3"/>
        <v>0</v>
      </c>
      <c r="P29" s="4">
        <f t="shared" si="3"/>
        <v>10</v>
      </c>
      <c r="Q29" s="4">
        <f t="shared" si="0"/>
        <v>-7</v>
      </c>
      <c r="R29" s="53">
        <f t="shared" si="1"/>
        <v>-29.435699999999997</v>
      </c>
      <c r="S29" s="5">
        <v>0</v>
      </c>
      <c r="T29" s="4">
        <f t="shared" si="2"/>
        <v>3</v>
      </c>
      <c r="U29" s="5">
        <v>0</v>
      </c>
      <c r="V29" s="5">
        <v>3</v>
      </c>
      <c r="W29" s="52">
        <f t="shared" si="4"/>
        <v>0</v>
      </c>
      <c r="X29" s="5" t="s">
        <v>482</v>
      </c>
    </row>
    <row r="30" spans="1:24" ht="26">
      <c r="A30" s="135">
        <v>3030026</v>
      </c>
      <c r="B30" s="136" t="s">
        <v>47</v>
      </c>
      <c r="C30" s="31" t="s">
        <v>15</v>
      </c>
      <c r="D30" s="32">
        <v>4</v>
      </c>
      <c r="E30" s="33">
        <v>107</v>
      </c>
      <c r="F30" s="32"/>
      <c r="G30" s="32"/>
      <c r="H30" s="32"/>
      <c r="I30" s="32"/>
      <c r="J30" s="32"/>
      <c r="K30" s="32"/>
      <c r="L30" s="32"/>
      <c r="M30" s="32"/>
      <c r="O30" s="4">
        <f t="shared" si="3"/>
        <v>0</v>
      </c>
      <c r="P30" s="4">
        <f t="shared" si="3"/>
        <v>0</v>
      </c>
      <c r="Q30" s="4">
        <f t="shared" si="0"/>
        <v>4</v>
      </c>
      <c r="R30" s="53">
        <f t="shared" si="1"/>
        <v>428</v>
      </c>
      <c r="S30" s="5">
        <v>0</v>
      </c>
      <c r="T30" s="4">
        <f t="shared" si="2"/>
        <v>4</v>
      </c>
      <c r="U30" s="5">
        <v>0</v>
      </c>
      <c r="V30" s="5">
        <v>4</v>
      </c>
      <c r="W30" s="52">
        <f t="shared" si="4"/>
        <v>0</v>
      </c>
      <c r="X30" s="5"/>
    </row>
    <row r="31" spans="1:24" ht="26">
      <c r="A31" s="135">
        <v>3030026</v>
      </c>
      <c r="B31" s="136" t="s">
        <v>47</v>
      </c>
      <c r="C31" s="31" t="s">
        <v>15</v>
      </c>
      <c r="D31" s="32">
        <v>3</v>
      </c>
      <c r="E31" s="33">
        <v>117.7</v>
      </c>
      <c r="F31" s="32"/>
      <c r="G31" s="32"/>
      <c r="H31" s="32"/>
      <c r="I31" s="32"/>
      <c r="J31" s="32"/>
      <c r="K31" s="32"/>
      <c r="L31" s="32"/>
      <c r="M31" s="32"/>
      <c r="O31" s="4">
        <f t="shared" si="3"/>
        <v>0</v>
      </c>
      <c r="P31" s="4">
        <f t="shared" si="3"/>
        <v>0</v>
      </c>
      <c r="Q31" s="4">
        <f t="shared" si="0"/>
        <v>3</v>
      </c>
      <c r="R31" s="53">
        <f t="shared" si="1"/>
        <v>353.1</v>
      </c>
      <c r="S31" s="5">
        <v>0</v>
      </c>
      <c r="T31" s="4">
        <f t="shared" si="2"/>
        <v>3</v>
      </c>
      <c r="U31" s="5">
        <v>0</v>
      </c>
      <c r="V31" s="5">
        <v>3</v>
      </c>
      <c r="W31" s="52">
        <f t="shared" si="4"/>
        <v>0</v>
      </c>
      <c r="X31" s="5" t="s">
        <v>480</v>
      </c>
    </row>
    <row r="32" spans="1:24" ht="26">
      <c r="A32" s="36">
        <v>3030028</v>
      </c>
      <c r="B32" s="30" t="s">
        <v>48</v>
      </c>
      <c r="C32" s="31" t="s">
        <v>15</v>
      </c>
      <c r="D32" s="32">
        <v>9</v>
      </c>
      <c r="E32" s="33">
        <v>136.96</v>
      </c>
      <c r="F32" s="32"/>
      <c r="G32" s="32"/>
      <c r="H32" s="32"/>
      <c r="I32" s="32"/>
      <c r="J32" s="32"/>
      <c r="K32" s="32"/>
      <c r="L32" s="32"/>
      <c r="M32" s="32"/>
      <c r="O32" s="4">
        <f t="shared" si="3"/>
        <v>0</v>
      </c>
      <c r="P32" s="4">
        <f t="shared" si="3"/>
        <v>0</v>
      </c>
      <c r="Q32" s="4">
        <f t="shared" si="0"/>
        <v>9</v>
      </c>
      <c r="R32" s="53">
        <f t="shared" si="1"/>
        <v>1232.6400000000001</v>
      </c>
      <c r="S32" s="5">
        <v>0</v>
      </c>
      <c r="T32" s="4">
        <f t="shared" si="2"/>
        <v>9</v>
      </c>
      <c r="U32" s="5">
        <v>0</v>
      </c>
      <c r="V32" s="5">
        <v>9</v>
      </c>
      <c r="W32" s="52">
        <f t="shared" si="4"/>
        <v>0</v>
      </c>
      <c r="X32" s="5" t="s">
        <v>468</v>
      </c>
    </row>
    <row r="33" spans="1:24" ht="26">
      <c r="A33" s="36">
        <v>3030030</v>
      </c>
      <c r="B33" s="30" t="s">
        <v>49</v>
      </c>
      <c r="C33" s="31" t="s">
        <v>15</v>
      </c>
      <c r="D33" s="32">
        <v>73</v>
      </c>
      <c r="E33" s="33">
        <v>139.1</v>
      </c>
      <c r="F33" s="32"/>
      <c r="G33" s="32"/>
      <c r="H33" s="32"/>
      <c r="I33" s="32"/>
      <c r="J33" s="32"/>
      <c r="K33" s="32"/>
      <c r="L33" s="32"/>
      <c r="M33" s="32"/>
      <c r="O33" s="4">
        <f t="shared" si="3"/>
        <v>0</v>
      </c>
      <c r="P33" s="4">
        <f t="shared" si="3"/>
        <v>0</v>
      </c>
      <c r="Q33" s="4">
        <f t="shared" si="0"/>
        <v>73</v>
      </c>
      <c r="R33" s="53">
        <f t="shared" si="1"/>
        <v>10154.299999999999</v>
      </c>
      <c r="S33" s="5">
        <v>0</v>
      </c>
      <c r="T33" s="4">
        <f t="shared" si="2"/>
        <v>73</v>
      </c>
      <c r="U33" s="5">
        <v>11</v>
      </c>
      <c r="V33" s="5">
        <v>62</v>
      </c>
      <c r="W33" s="52">
        <f t="shared" si="4"/>
        <v>0</v>
      </c>
      <c r="X33" s="5"/>
    </row>
    <row r="34" spans="1:24" ht="26">
      <c r="A34" s="37">
        <v>3030031</v>
      </c>
      <c r="B34" s="30" t="s">
        <v>337</v>
      </c>
      <c r="C34" s="31" t="s">
        <v>14</v>
      </c>
      <c r="D34" s="32">
        <v>11</v>
      </c>
      <c r="E34" s="33">
        <v>8.35</v>
      </c>
      <c r="F34" s="32"/>
      <c r="G34" s="32"/>
      <c r="H34" s="32"/>
      <c r="I34" s="32"/>
      <c r="J34" s="32"/>
      <c r="K34" s="32"/>
      <c r="L34" s="32"/>
      <c r="M34" s="32"/>
      <c r="O34" s="4">
        <f t="shared" si="3"/>
        <v>0</v>
      </c>
      <c r="P34" s="4">
        <f t="shared" si="3"/>
        <v>0</v>
      </c>
      <c r="Q34" s="4">
        <f t="shared" si="0"/>
        <v>11</v>
      </c>
      <c r="R34" s="53">
        <f t="shared" si="1"/>
        <v>91.85</v>
      </c>
      <c r="S34" s="5">
        <v>15</v>
      </c>
      <c r="T34" s="4">
        <f t="shared" si="2"/>
        <v>11</v>
      </c>
      <c r="U34" s="5">
        <v>5</v>
      </c>
      <c r="V34" s="5">
        <v>21</v>
      </c>
      <c r="W34" s="52">
        <f t="shared" si="4"/>
        <v>125.25</v>
      </c>
      <c r="X34" s="5" t="s">
        <v>440</v>
      </c>
    </row>
    <row r="35" spans="1:24" ht="26">
      <c r="A35" s="36">
        <v>3030032</v>
      </c>
      <c r="B35" s="30" t="s">
        <v>50</v>
      </c>
      <c r="C35" s="31" t="s">
        <v>15</v>
      </c>
      <c r="D35" s="32">
        <v>40</v>
      </c>
      <c r="E35" s="33">
        <v>149.80000000000001</v>
      </c>
      <c r="F35" s="32"/>
      <c r="G35" s="32"/>
      <c r="H35" s="32"/>
      <c r="I35" s="32"/>
      <c r="J35" s="32"/>
      <c r="K35" s="32"/>
      <c r="L35" s="32"/>
      <c r="M35" s="32"/>
      <c r="O35" s="4">
        <f t="shared" si="3"/>
        <v>0</v>
      </c>
      <c r="P35" s="4">
        <f t="shared" si="3"/>
        <v>0</v>
      </c>
      <c r="Q35" s="4">
        <f t="shared" si="0"/>
        <v>40</v>
      </c>
      <c r="R35" s="53">
        <f t="shared" si="1"/>
        <v>5992</v>
      </c>
      <c r="S35" s="5">
        <v>0</v>
      </c>
      <c r="T35" s="4">
        <f t="shared" si="2"/>
        <v>40</v>
      </c>
      <c r="U35" s="5">
        <v>30</v>
      </c>
      <c r="V35" s="5">
        <v>10</v>
      </c>
      <c r="W35" s="52">
        <f t="shared" si="4"/>
        <v>0</v>
      </c>
      <c r="X35" s="5"/>
    </row>
    <row r="36" spans="1:24" ht="26">
      <c r="A36" s="36">
        <v>3030034</v>
      </c>
      <c r="B36" s="30" t="s">
        <v>51</v>
      </c>
      <c r="C36" s="31" t="s">
        <v>15</v>
      </c>
      <c r="D36" s="32">
        <v>41</v>
      </c>
      <c r="E36" s="33">
        <v>171.2</v>
      </c>
      <c r="F36" s="32"/>
      <c r="G36" s="32"/>
      <c r="H36" s="32"/>
      <c r="I36" s="32"/>
      <c r="J36" s="32"/>
      <c r="K36" s="32"/>
      <c r="L36" s="32"/>
      <c r="M36" s="32"/>
      <c r="O36" s="4">
        <f t="shared" si="3"/>
        <v>0</v>
      </c>
      <c r="P36" s="4">
        <f t="shared" si="3"/>
        <v>0</v>
      </c>
      <c r="Q36" s="4">
        <f t="shared" si="0"/>
        <v>41</v>
      </c>
      <c r="R36" s="53">
        <f t="shared" si="1"/>
        <v>7019.2</v>
      </c>
      <c r="S36" s="5">
        <v>0</v>
      </c>
      <c r="T36" s="4">
        <f t="shared" si="2"/>
        <v>41</v>
      </c>
      <c r="U36" s="5">
        <v>26</v>
      </c>
      <c r="V36" s="5">
        <v>15</v>
      </c>
      <c r="W36" s="52">
        <f t="shared" si="4"/>
        <v>0</v>
      </c>
      <c r="X36" s="5"/>
    </row>
    <row r="37" spans="1:24" ht="26">
      <c r="A37" s="36">
        <v>3030036</v>
      </c>
      <c r="B37" s="30" t="s">
        <v>52</v>
      </c>
      <c r="C37" s="31" t="s">
        <v>18</v>
      </c>
      <c r="D37" s="32">
        <v>15</v>
      </c>
      <c r="E37" s="33">
        <v>299.60000000000002</v>
      </c>
      <c r="F37" s="32"/>
      <c r="G37" s="32"/>
      <c r="H37" s="35"/>
      <c r="I37" s="35">
        <v>2</v>
      </c>
      <c r="J37" s="34"/>
      <c r="K37" s="34">
        <v>1</v>
      </c>
      <c r="L37" s="32"/>
      <c r="M37" s="32"/>
      <c r="O37" s="4">
        <f t="shared" si="3"/>
        <v>0</v>
      </c>
      <c r="P37" s="4">
        <f t="shared" si="3"/>
        <v>3</v>
      </c>
      <c r="Q37" s="4">
        <f t="shared" si="0"/>
        <v>12</v>
      </c>
      <c r="R37" s="53">
        <f t="shared" si="1"/>
        <v>3595.2000000000003</v>
      </c>
      <c r="S37" s="5">
        <v>0</v>
      </c>
      <c r="T37" s="4">
        <f t="shared" si="2"/>
        <v>13</v>
      </c>
      <c r="U37" s="5">
        <v>15</v>
      </c>
      <c r="V37" s="5">
        <v>0</v>
      </c>
      <c r="W37" s="52">
        <f t="shared" si="4"/>
        <v>0</v>
      </c>
      <c r="X37" s="5" t="s">
        <v>440</v>
      </c>
    </row>
    <row r="38" spans="1:24" ht="26">
      <c r="A38" s="37">
        <v>3030037</v>
      </c>
      <c r="B38" s="30" t="s">
        <v>338</v>
      </c>
      <c r="C38" s="31" t="s">
        <v>14</v>
      </c>
      <c r="D38" s="32">
        <v>9</v>
      </c>
      <c r="E38" s="33">
        <v>11.128</v>
      </c>
      <c r="F38" s="32"/>
      <c r="G38" s="32">
        <v>4</v>
      </c>
      <c r="H38" s="32"/>
      <c r="I38" s="32"/>
      <c r="J38" s="32"/>
      <c r="K38" s="32"/>
      <c r="L38" s="32"/>
      <c r="M38" s="32"/>
      <c r="O38" s="4">
        <f t="shared" si="3"/>
        <v>0</v>
      </c>
      <c r="P38" s="4">
        <f t="shared" si="3"/>
        <v>4</v>
      </c>
      <c r="Q38" s="4">
        <f t="shared" si="0"/>
        <v>5</v>
      </c>
      <c r="R38" s="53">
        <f t="shared" si="1"/>
        <v>55.64</v>
      </c>
      <c r="S38" s="5">
        <v>0</v>
      </c>
      <c r="T38" s="4">
        <f t="shared" si="2"/>
        <v>5</v>
      </c>
      <c r="U38" s="5">
        <v>0</v>
      </c>
      <c r="V38" s="5">
        <v>9</v>
      </c>
      <c r="W38" s="52">
        <f t="shared" si="4"/>
        <v>0</v>
      </c>
      <c r="X38" s="5" t="s">
        <v>482</v>
      </c>
    </row>
    <row r="39" spans="1:24" ht="26">
      <c r="A39" s="36">
        <v>3030038</v>
      </c>
      <c r="B39" s="30" t="s">
        <v>53</v>
      </c>
      <c r="C39" s="31" t="s">
        <v>18</v>
      </c>
      <c r="D39" s="32">
        <v>1</v>
      </c>
      <c r="E39" s="33">
        <v>299.60000000000002</v>
      </c>
      <c r="F39" s="32"/>
      <c r="G39" s="32">
        <v>4</v>
      </c>
      <c r="H39" s="35"/>
      <c r="I39" s="35">
        <v>4</v>
      </c>
      <c r="J39" s="34"/>
      <c r="K39" s="34">
        <v>3</v>
      </c>
      <c r="L39" s="32"/>
      <c r="M39" s="32"/>
      <c r="O39" s="4">
        <f t="shared" si="3"/>
        <v>0</v>
      </c>
      <c r="P39" s="4">
        <f t="shared" si="3"/>
        <v>11</v>
      </c>
      <c r="Q39" s="4">
        <f t="shared" si="0"/>
        <v>-10</v>
      </c>
      <c r="R39" s="53">
        <f t="shared" si="1"/>
        <v>-2996</v>
      </c>
      <c r="S39" s="5">
        <v>0</v>
      </c>
      <c r="T39" s="4">
        <f t="shared" si="2"/>
        <v>-7</v>
      </c>
      <c r="U39" s="5">
        <v>0</v>
      </c>
      <c r="V39" s="5">
        <v>1</v>
      </c>
      <c r="W39" s="52">
        <f t="shared" si="4"/>
        <v>0</v>
      </c>
      <c r="X39" s="5" t="s">
        <v>482</v>
      </c>
    </row>
    <row r="40" spans="1:24" ht="26">
      <c r="A40" s="36">
        <v>3030039</v>
      </c>
      <c r="B40" s="30" t="s">
        <v>54</v>
      </c>
      <c r="C40" s="31" t="s">
        <v>18</v>
      </c>
      <c r="D40" s="32">
        <v>20</v>
      </c>
      <c r="E40" s="33">
        <v>117.7</v>
      </c>
      <c r="F40" s="32"/>
      <c r="G40" s="32">
        <v>5</v>
      </c>
      <c r="H40" s="35"/>
      <c r="I40" s="35">
        <v>5</v>
      </c>
      <c r="J40" s="32"/>
      <c r="K40" s="32"/>
      <c r="L40" s="32"/>
      <c r="M40" s="32"/>
      <c r="O40" s="4">
        <f t="shared" si="3"/>
        <v>0</v>
      </c>
      <c r="P40" s="4">
        <f t="shared" si="3"/>
        <v>10</v>
      </c>
      <c r="Q40" s="4">
        <f t="shared" si="0"/>
        <v>10</v>
      </c>
      <c r="R40" s="53">
        <f t="shared" si="1"/>
        <v>1177</v>
      </c>
      <c r="S40" s="5">
        <v>0</v>
      </c>
      <c r="T40" s="4">
        <f t="shared" si="2"/>
        <v>10</v>
      </c>
      <c r="U40" s="5">
        <v>0</v>
      </c>
      <c r="V40" s="5">
        <v>20</v>
      </c>
      <c r="W40" s="52">
        <f t="shared" si="4"/>
        <v>0</v>
      </c>
      <c r="X40" s="5" t="s">
        <v>483</v>
      </c>
    </row>
    <row r="41" spans="1:24" ht="26">
      <c r="A41" s="36">
        <v>3030040</v>
      </c>
      <c r="B41" s="30" t="s">
        <v>55</v>
      </c>
      <c r="C41" s="31" t="s">
        <v>18</v>
      </c>
      <c r="D41" s="32">
        <v>16</v>
      </c>
      <c r="E41" s="33">
        <v>139.1</v>
      </c>
      <c r="F41" s="32"/>
      <c r="G41" s="32"/>
      <c r="H41" s="32"/>
      <c r="I41" s="32"/>
      <c r="J41" s="32"/>
      <c r="K41" s="32"/>
      <c r="L41" s="32"/>
      <c r="M41" s="32"/>
      <c r="O41" s="4">
        <f t="shared" si="3"/>
        <v>0</v>
      </c>
      <c r="P41" s="4">
        <f t="shared" si="3"/>
        <v>0</v>
      </c>
      <c r="Q41" s="4">
        <f t="shared" si="0"/>
        <v>16</v>
      </c>
      <c r="R41" s="53">
        <f t="shared" si="1"/>
        <v>2225.6</v>
      </c>
      <c r="S41" s="5">
        <v>0</v>
      </c>
      <c r="T41" s="4">
        <f t="shared" si="2"/>
        <v>16</v>
      </c>
      <c r="U41" s="5">
        <v>0</v>
      </c>
      <c r="V41" s="5">
        <v>16</v>
      </c>
      <c r="W41" s="52">
        <f t="shared" si="4"/>
        <v>0</v>
      </c>
      <c r="X41" s="5" t="s">
        <v>478</v>
      </c>
    </row>
    <row r="42" spans="1:24" ht="26">
      <c r="A42" s="37">
        <v>3030041</v>
      </c>
      <c r="B42" s="30" t="s">
        <v>56</v>
      </c>
      <c r="C42" s="31" t="s">
        <v>14</v>
      </c>
      <c r="D42" s="32">
        <v>16</v>
      </c>
      <c r="E42" s="33">
        <v>4.5475000000000003</v>
      </c>
      <c r="F42" s="32"/>
      <c r="G42" s="32"/>
      <c r="H42" s="32"/>
      <c r="I42" s="32"/>
      <c r="J42" s="32"/>
      <c r="K42" s="32"/>
      <c r="L42" s="32"/>
      <c r="M42" s="32"/>
      <c r="O42" s="4">
        <f t="shared" si="3"/>
        <v>0</v>
      </c>
      <c r="P42" s="4">
        <f t="shared" si="3"/>
        <v>0</v>
      </c>
      <c r="Q42" s="4">
        <f t="shared" si="0"/>
        <v>16</v>
      </c>
      <c r="R42" s="53">
        <f t="shared" si="1"/>
        <v>72.760000000000005</v>
      </c>
      <c r="S42" s="5">
        <v>0</v>
      </c>
      <c r="T42" s="4">
        <f t="shared" si="2"/>
        <v>16</v>
      </c>
      <c r="U42" s="5">
        <v>0</v>
      </c>
      <c r="V42" s="5">
        <v>16</v>
      </c>
      <c r="W42" s="52">
        <f t="shared" si="4"/>
        <v>0</v>
      </c>
      <c r="X42" s="5" t="s">
        <v>482</v>
      </c>
    </row>
    <row r="43" spans="1:24" ht="26">
      <c r="A43" s="139">
        <v>3030042</v>
      </c>
      <c r="B43" s="124" t="s">
        <v>339</v>
      </c>
      <c r="C43" s="125" t="s">
        <v>19</v>
      </c>
      <c r="D43" s="128">
        <v>500</v>
      </c>
      <c r="E43" s="129">
        <v>350.05</v>
      </c>
      <c r="F43" s="128"/>
      <c r="G43" s="128"/>
      <c r="H43" s="128"/>
      <c r="I43" s="128"/>
      <c r="J43" s="128"/>
      <c r="K43" s="128"/>
      <c r="L43" s="128"/>
      <c r="M43" s="128"/>
      <c r="N43" s="130"/>
      <c r="O43" s="131">
        <f t="shared" si="3"/>
        <v>0</v>
      </c>
      <c r="P43" s="131">
        <f t="shared" si="3"/>
        <v>0</v>
      </c>
      <c r="Q43" s="131">
        <f t="shared" si="0"/>
        <v>500</v>
      </c>
      <c r="R43" s="132">
        <f t="shared" si="1"/>
        <v>175025</v>
      </c>
      <c r="S43" s="100">
        <v>0</v>
      </c>
      <c r="T43" s="131">
        <f t="shared" si="2"/>
        <v>500</v>
      </c>
      <c r="U43" s="100">
        <v>239</v>
      </c>
      <c r="V43" s="100">
        <v>261</v>
      </c>
      <c r="W43" s="133">
        <f t="shared" si="4"/>
        <v>0</v>
      </c>
      <c r="X43" s="100" t="s">
        <v>437</v>
      </c>
    </row>
    <row r="44" spans="1:24" ht="26">
      <c r="A44" s="139">
        <v>3030042</v>
      </c>
      <c r="B44" s="124" t="s">
        <v>339</v>
      </c>
      <c r="C44" s="125" t="s">
        <v>19</v>
      </c>
      <c r="D44" s="128">
        <v>66</v>
      </c>
      <c r="E44" s="129">
        <v>350.00020999999998</v>
      </c>
      <c r="F44" s="128"/>
      <c r="G44" s="128"/>
      <c r="H44" s="128"/>
      <c r="I44" s="128"/>
      <c r="J44" s="128"/>
      <c r="K44" s="128"/>
      <c r="L44" s="128"/>
      <c r="M44" s="128"/>
      <c r="N44" s="130"/>
      <c r="O44" s="131">
        <f t="shared" si="3"/>
        <v>0</v>
      </c>
      <c r="P44" s="131">
        <f t="shared" si="3"/>
        <v>0</v>
      </c>
      <c r="Q44" s="131">
        <f t="shared" si="0"/>
        <v>66</v>
      </c>
      <c r="R44" s="132">
        <f t="shared" si="1"/>
        <v>23100.013859999999</v>
      </c>
      <c r="S44" s="100">
        <v>0</v>
      </c>
      <c r="T44" s="131">
        <f t="shared" si="2"/>
        <v>66</v>
      </c>
      <c r="U44" s="100">
        <v>66</v>
      </c>
      <c r="V44" s="100">
        <v>0</v>
      </c>
      <c r="W44" s="133">
        <f t="shared" si="4"/>
        <v>0</v>
      </c>
      <c r="X44" s="100" t="s">
        <v>437</v>
      </c>
    </row>
    <row r="45" spans="1:24" ht="26">
      <c r="A45" s="139">
        <v>3030043</v>
      </c>
      <c r="B45" s="124" t="s">
        <v>340</v>
      </c>
      <c r="C45" s="125" t="s">
        <v>19</v>
      </c>
      <c r="D45" s="128">
        <v>135</v>
      </c>
      <c r="E45" s="129">
        <v>350.00020999999998</v>
      </c>
      <c r="F45" s="128"/>
      <c r="G45" s="128"/>
      <c r="H45" s="128"/>
      <c r="I45" s="128"/>
      <c r="J45" s="128"/>
      <c r="K45" s="128"/>
      <c r="L45" s="128"/>
      <c r="M45" s="128"/>
      <c r="N45" s="130"/>
      <c r="O45" s="131">
        <f t="shared" si="3"/>
        <v>0</v>
      </c>
      <c r="P45" s="131">
        <f t="shared" si="3"/>
        <v>0</v>
      </c>
      <c r="Q45" s="131">
        <f t="shared" si="0"/>
        <v>135</v>
      </c>
      <c r="R45" s="132">
        <f t="shared" si="1"/>
        <v>47250.028350000001</v>
      </c>
      <c r="S45" s="100">
        <v>0</v>
      </c>
      <c r="T45" s="131">
        <f t="shared" si="2"/>
        <v>135</v>
      </c>
      <c r="U45" s="100">
        <v>83</v>
      </c>
      <c r="V45" s="100">
        <v>52</v>
      </c>
      <c r="W45" s="133">
        <f t="shared" si="4"/>
        <v>0</v>
      </c>
      <c r="X45" s="100" t="s">
        <v>437</v>
      </c>
    </row>
    <row r="46" spans="1:24" ht="27">
      <c r="A46" s="36">
        <v>3030050</v>
      </c>
      <c r="B46" s="30" t="s">
        <v>58</v>
      </c>
      <c r="C46" s="31" t="s">
        <v>14</v>
      </c>
      <c r="D46" s="32">
        <v>4</v>
      </c>
      <c r="E46" s="33">
        <v>0</v>
      </c>
      <c r="F46" s="32"/>
      <c r="G46" s="32"/>
      <c r="H46" s="38">
        <v>20</v>
      </c>
      <c r="I46" s="38">
        <v>2</v>
      </c>
      <c r="J46" s="32"/>
      <c r="K46" s="32"/>
      <c r="L46" s="32"/>
      <c r="M46" s="32"/>
      <c r="O46" s="4">
        <f t="shared" si="3"/>
        <v>20</v>
      </c>
      <c r="P46" s="4">
        <f t="shared" si="3"/>
        <v>2</v>
      </c>
      <c r="Q46" s="4">
        <f t="shared" si="0"/>
        <v>22</v>
      </c>
      <c r="R46" s="53">
        <f t="shared" si="1"/>
        <v>0</v>
      </c>
      <c r="S46" s="5">
        <v>20</v>
      </c>
      <c r="T46" s="4">
        <f t="shared" si="2"/>
        <v>42</v>
      </c>
      <c r="U46" s="5">
        <v>1</v>
      </c>
      <c r="V46" s="5">
        <v>23</v>
      </c>
      <c r="W46" s="52">
        <f t="shared" si="4"/>
        <v>0</v>
      </c>
      <c r="X46" s="5"/>
    </row>
    <row r="47" spans="1:24" ht="26">
      <c r="A47" s="37">
        <v>3030053</v>
      </c>
      <c r="B47" s="30" t="s">
        <v>59</v>
      </c>
      <c r="C47" s="31" t="s">
        <v>25</v>
      </c>
      <c r="D47" s="32">
        <v>53</v>
      </c>
      <c r="E47" s="33">
        <v>652.70000000000005</v>
      </c>
      <c r="F47" s="32"/>
      <c r="G47" s="32">
        <v>13</v>
      </c>
      <c r="H47" s="35"/>
      <c r="I47" s="35">
        <v>13</v>
      </c>
      <c r="J47" s="34"/>
      <c r="K47" s="34">
        <v>22</v>
      </c>
      <c r="L47" s="32"/>
      <c r="M47" s="32"/>
      <c r="O47" s="4">
        <f t="shared" si="3"/>
        <v>0</v>
      </c>
      <c r="P47" s="4">
        <f t="shared" si="3"/>
        <v>48</v>
      </c>
      <c r="Q47" s="4">
        <f t="shared" si="0"/>
        <v>5</v>
      </c>
      <c r="R47" s="53">
        <f t="shared" si="1"/>
        <v>3263.5</v>
      </c>
      <c r="S47" s="5">
        <v>0</v>
      </c>
      <c r="T47" s="4">
        <f t="shared" si="2"/>
        <v>27</v>
      </c>
      <c r="U47" s="5">
        <v>0</v>
      </c>
      <c r="V47" s="5">
        <v>53</v>
      </c>
      <c r="W47" s="52">
        <f t="shared" si="4"/>
        <v>0</v>
      </c>
      <c r="X47" s="5" t="s">
        <v>484</v>
      </c>
    </row>
    <row r="48" spans="1:24" ht="26">
      <c r="A48" s="37">
        <v>3030055</v>
      </c>
      <c r="B48" s="30" t="s">
        <v>341</v>
      </c>
      <c r="C48" s="31" t="s">
        <v>25</v>
      </c>
      <c r="D48" s="32"/>
      <c r="E48" s="33">
        <v>321</v>
      </c>
      <c r="F48" s="32"/>
      <c r="G48" s="32">
        <v>11</v>
      </c>
      <c r="H48" s="35"/>
      <c r="I48" s="35">
        <v>4</v>
      </c>
      <c r="J48" s="34"/>
      <c r="K48" s="34">
        <v>14</v>
      </c>
      <c r="L48" s="32"/>
      <c r="M48" s="32"/>
      <c r="O48" s="4">
        <f t="shared" si="3"/>
        <v>0</v>
      </c>
      <c r="P48" s="4">
        <f t="shared" si="3"/>
        <v>29</v>
      </c>
      <c r="Q48" s="4">
        <f t="shared" si="0"/>
        <v>-29</v>
      </c>
      <c r="R48" s="53">
        <f t="shared" si="1"/>
        <v>-9309</v>
      </c>
      <c r="S48" s="5">
        <v>0</v>
      </c>
      <c r="T48" s="4">
        <f t="shared" si="2"/>
        <v>-15</v>
      </c>
      <c r="U48" s="5">
        <v>0</v>
      </c>
      <c r="V48" s="5">
        <v>0</v>
      </c>
      <c r="W48" s="52">
        <f t="shared" si="4"/>
        <v>0</v>
      </c>
      <c r="X48" s="5" t="s">
        <v>484</v>
      </c>
    </row>
    <row r="49" spans="1:24" ht="26">
      <c r="A49" s="37">
        <v>3030057</v>
      </c>
      <c r="B49" s="30" t="s">
        <v>342</v>
      </c>
      <c r="C49" s="31" t="s">
        <v>18</v>
      </c>
      <c r="D49" s="32"/>
      <c r="E49" s="33">
        <v>909.5</v>
      </c>
      <c r="F49" s="32"/>
      <c r="G49" s="32">
        <v>2</v>
      </c>
      <c r="H49" s="35"/>
      <c r="I49" s="35">
        <v>1</v>
      </c>
      <c r="J49" s="34"/>
      <c r="K49" s="34">
        <v>1</v>
      </c>
      <c r="L49" s="32"/>
      <c r="M49" s="32"/>
      <c r="O49" s="4">
        <f t="shared" si="3"/>
        <v>0</v>
      </c>
      <c r="P49" s="4">
        <f t="shared" si="3"/>
        <v>4</v>
      </c>
      <c r="Q49" s="4">
        <f t="shared" si="0"/>
        <v>-4</v>
      </c>
      <c r="R49" s="53">
        <f t="shared" si="1"/>
        <v>-3638</v>
      </c>
      <c r="S49" s="5">
        <v>0</v>
      </c>
      <c r="T49" s="4">
        <f t="shared" si="2"/>
        <v>-3</v>
      </c>
      <c r="U49" s="5">
        <v>0</v>
      </c>
      <c r="V49" s="5">
        <v>0</v>
      </c>
      <c r="W49" s="52">
        <f t="shared" si="4"/>
        <v>0</v>
      </c>
      <c r="X49" s="5" t="s">
        <v>484</v>
      </c>
    </row>
    <row r="50" spans="1:24" ht="26">
      <c r="A50" s="37">
        <v>3030061</v>
      </c>
      <c r="B50" s="30" t="s">
        <v>60</v>
      </c>
      <c r="C50" s="31" t="s">
        <v>14</v>
      </c>
      <c r="D50" s="32">
        <v>10</v>
      </c>
      <c r="E50" s="33">
        <v>25.0059</v>
      </c>
      <c r="F50" s="32"/>
      <c r="G50" s="32"/>
      <c r="H50" s="32"/>
      <c r="I50" s="32"/>
      <c r="J50" s="32"/>
      <c r="K50" s="32"/>
      <c r="L50" s="32"/>
      <c r="M50" s="32"/>
      <c r="O50" s="4">
        <f t="shared" si="3"/>
        <v>0</v>
      </c>
      <c r="P50" s="4">
        <f t="shared" si="3"/>
        <v>0</v>
      </c>
      <c r="Q50" s="4">
        <f t="shared" si="0"/>
        <v>10</v>
      </c>
      <c r="R50" s="53">
        <f t="shared" si="1"/>
        <v>250.059</v>
      </c>
      <c r="S50" s="5">
        <v>50</v>
      </c>
      <c r="T50" s="4">
        <f t="shared" si="2"/>
        <v>10</v>
      </c>
      <c r="U50" s="5">
        <v>0</v>
      </c>
      <c r="V50" s="5">
        <v>60</v>
      </c>
      <c r="W50" s="52">
        <f t="shared" si="4"/>
        <v>1250.2950000000001</v>
      </c>
      <c r="X50" s="5"/>
    </row>
    <row r="51" spans="1:24" ht="26">
      <c r="A51" s="37">
        <v>3030077</v>
      </c>
      <c r="B51" s="30" t="s">
        <v>343</v>
      </c>
      <c r="C51" s="31" t="s">
        <v>14</v>
      </c>
      <c r="D51" s="32"/>
      <c r="E51" s="33">
        <v>7.49</v>
      </c>
      <c r="F51" s="39"/>
      <c r="G51" s="39"/>
      <c r="H51" s="39"/>
      <c r="I51" s="39"/>
      <c r="J51" s="39"/>
      <c r="K51" s="39"/>
      <c r="L51" s="39"/>
      <c r="M51" s="39"/>
      <c r="O51" s="4">
        <f t="shared" si="3"/>
        <v>0</v>
      </c>
      <c r="P51" s="4">
        <f t="shared" si="3"/>
        <v>0</v>
      </c>
      <c r="Q51" s="4">
        <f t="shared" si="0"/>
        <v>0</v>
      </c>
      <c r="R51" s="53">
        <f t="shared" si="1"/>
        <v>0</v>
      </c>
      <c r="S51" s="5">
        <v>0</v>
      </c>
      <c r="T51" s="4">
        <f t="shared" si="2"/>
        <v>0</v>
      </c>
      <c r="U51" s="5">
        <v>0</v>
      </c>
      <c r="V51" s="5">
        <v>0</v>
      </c>
      <c r="W51" s="52">
        <f t="shared" si="4"/>
        <v>0</v>
      </c>
      <c r="X51" s="5" t="s">
        <v>440</v>
      </c>
    </row>
    <row r="52" spans="1:24" ht="26">
      <c r="A52" s="37">
        <v>3030081</v>
      </c>
      <c r="B52" s="30" t="s">
        <v>344</v>
      </c>
      <c r="C52" s="31" t="s">
        <v>14</v>
      </c>
      <c r="D52" s="32"/>
      <c r="E52" s="33">
        <v>6.5056000000000003</v>
      </c>
      <c r="F52" s="32"/>
      <c r="G52" s="32"/>
      <c r="H52" s="32"/>
      <c r="I52" s="32"/>
      <c r="J52" s="32"/>
      <c r="K52" s="32"/>
      <c r="L52" s="32"/>
      <c r="M52" s="32"/>
      <c r="O52" s="4">
        <f t="shared" si="3"/>
        <v>0</v>
      </c>
      <c r="P52" s="4">
        <f t="shared" si="3"/>
        <v>0</v>
      </c>
      <c r="Q52" s="4">
        <f t="shared" si="0"/>
        <v>0</v>
      </c>
      <c r="R52" s="53">
        <f t="shared" si="1"/>
        <v>0</v>
      </c>
      <c r="S52" s="5">
        <v>0</v>
      </c>
      <c r="T52" s="4">
        <f t="shared" si="2"/>
        <v>0</v>
      </c>
      <c r="U52" s="5">
        <v>0</v>
      </c>
      <c r="V52" s="5">
        <v>0</v>
      </c>
      <c r="W52" s="52">
        <f t="shared" si="4"/>
        <v>0</v>
      </c>
      <c r="X52" s="5" t="s">
        <v>482</v>
      </c>
    </row>
    <row r="53" spans="1:24" ht="26">
      <c r="A53" s="37">
        <v>3030083</v>
      </c>
      <c r="B53" s="30" t="s">
        <v>345</v>
      </c>
      <c r="C53" s="31" t="s">
        <v>14</v>
      </c>
      <c r="D53" s="32">
        <v>23</v>
      </c>
      <c r="E53" s="33">
        <v>4.8150000000000004</v>
      </c>
      <c r="F53" s="32"/>
      <c r="G53" s="32"/>
      <c r="H53" s="32"/>
      <c r="I53" s="32"/>
      <c r="J53" s="32"/>
      <c r="K53" s="32"/>
      <c r="L53" s="32"/>
      <c r="M53" s="32"/>
      <c r="O53" s="4">
        <f t="shared" si="3"/>
        <v>0</v>
      </c>
      <c r="P53" s="4">
        <f t="shared" si="3"/>
        <v>0</v>
      </c>
      <c r="Q53" s="4">
        <f t="shared" si="0"/>
        <v>23</v>
      </c>
      <c r="R53" s="53">
        <f t="shared" si="1"/>
        <v>110.745</v>
      </c>
      <c r="S53" s="5">
        <v>50</v>
      </c>
      <c r="T53" s="4">
        <f t="shared" si="2"/>
        <v>23</v>
      </c>
      <c r="U53" s="5">
        <v>2</v>
      </c>
      <c r="V53" s="5">
        <v>71</v>
      </c>
      <c r="W53" s="52">
        <f t="shared" si="4"/>
        <v>240.75000000000003</v>
      </c>
      <c r="X53" s="5" t="s">
        <v>482</v>
      </c>
    </row>
    <row r="54" spans="1:24" ht="26">
      <c r="A54" s="37">
        <v>3030085</v>
      </c>
      <c r="B54" s="30" t="s">
        <v>346</v>
      </c>
      <c r="C54" s="31" t="s">
        <v>14</v>
      </c>
      <c r="D54" s="32">
        <v>10</v>
      </c>
      <c r="E54" s="33">
        <v>13.375</v>
      </c>
      <c r="F54" s="32"/>
      <c r="G54" s="32">
        <v>4</v>
      </c>
      <c r="H54" s="32"/>
      <c r="I54" s="32"/>
      <c r="J54" s="32"/>
      <c r="K54" s="32"/>
      <c r="L54" s="32"/>
      <c r="M54" s="32"/>
      <c r="O54" s="4">
        <f t="shared" si="3"/>
        <v>0</v>
      </c>
      <c r="P54" s="4">
        <f t="shared" si="3"/>
        <v>4</v>
      </c>
      <c r="Q54" s="4">
        <f t="shared" si="0"/>
        <v>6</v>
      </c>
      <c r="R54" s="53">
        <f t="shared" si="1"/>
        <v>80.25</v>
      </c>
      <c r="S54" s="5">
        <v>50</v>
      </c>
      <c r="T54" s="4">
        <f t="shared" si="2"/>
        <v>6</v>
      </c>
      <c r="U54" s="5">
        <v>7</v>
      </c>
      <c r="V54" s="5">
        <v>53</v>
      </c>
      <c r="W54" s="52">
        <f t="shared" si="4"/>
        <v>668.75</v>
      </c>
      <c r="X54" s="5" t="s">
        <v>485</v>
      </c>
    </row>
    <row r="55" spans="1:24" ht="26">
      <c r="A55" s="37">
        <v>3030097</v>
      </c>
      <c r="B55" s="30" t="s">
        <v>347</v>
      </c>
      <c r="C55" s="31" t="s">
        <v>14</v>
      </c>
      <c r="D55" s="32">
        <v>12</v>
      </c>
      <c r="E55" s="33">
        <v>1150.25</v>
      </c>
      <c r="F55" s="32"/>
      <c r="G55" s="32"/>
      <c r="H55" s="32"/>
      <c r="I55" s="32"/>
      <c r="J55" s="34"/>
      <c r="K55" s="34">
        <v>3</v>
      </c>
      <c r="L55" s="32"/>
      <c r="M55" s="32"/>
      <c r="O55" s="4">
        <f t="shared" si="3"/>
        <v>0</v>
      </c>
      <c r="P55" s="4">
        <f t="shared" si="3"/>
        <v>3</v>
      </c>
      <c r="Q55" s="4">
        <f t="shared" si="0"/>
        <v>9</v>
      </c>
      <c r="R55" s="53">
        <f t="shared" si="1"/>
        <v>10352.25</v>
      </c>
      <c r="S55" s="5">
        <v>80</v>
      </c>
      <c r="T55" s="4">
        <f t="shared" si="2"/>
        <v>12</v>
      </c>
      <c r="U55" s="5">
        <v>9</v>
      </c>
      <c r="V55" s="5">
        <v>83</v>
      </c>
      <c r="W55" s="52">
        <f t="shared" si="4"/>
        <v>92020</v>
      </c>
      <c r="X55" s="5"/>
    </row>
    <row r="56" spans="1:24" ht="26">
      <c r="A56" s="37">
        <v>3030099</v>
      </c>
      <c r="B56" s="30" t="s">
        <v>348</v>
      </c>
      <c r="C56" s="31" t="s">
        <v>14</v>
      </c>
      <c r="D56" s="32">
        <v>6</v>
      </c>
      <c r="E56" s="33">
        <v>117.7</v>
      </c>
      <c r="F56" s="32"/>
      <c r="G56" s="32"/>
      <c r="H56" s="32"/>
      <c r="I56" s="32"/>
      <c r="J56" s="32"/>
      <c r="K56" s="32"/>
      <c r="L56" s="32"/>
      <c r="M56" s="32"/>
      <c r="O56" s="4">
        <f t="shared" si="3"/>
        <v>0</v>
      </c>
      <c r="P56" s="4">
        <f t="shared" si="3"/>
        <v>0</v>
      </c>
      <c r="Q56" s="4">
        <f t="shared" si="0"/>
        <v>6</v>
      </c>
      <c r="R56" s="53">
        <f t="shared" si="1"/>
        <v>706.2</v>
      </c>
      <c r="S56" s="5">
        <v>0</v>
      </c>
      <c r="T56" s="4">
        <f t="shared" si="2"/>
        <v>6</v>
      </c>
      <c r="U56" s="5">
        <v>3</v>
      </c>
      <c r="V56" s="5">
        <v>3</v>
      </c>
      <c r="W56" s="52">
        <f t="shared" si="4"/>
        <v>0</v>
      </c>
      <c r="X56" s="5" t="s">
        <v>440</v>
      </c>
    </row>
    <row r="57" spans="1:24" ht="26">
      <c r="A57" s="37">
        <v>3030101</v>
      </c>
      <c r="B57" s="30" t="s">
        <v>349</v>
      </c>
      <c r="C57" s="31" t="s">
        <v>14</v>
      </c>
      <c r="D57" s="32">
        <v>6</v>
      </c>
      <c r="E57" s="33">
        <v>203.3</v>
      </c>
      <c r="F57" s="32"/>
      <c r="G57" s="32"/>
      <c r="H57" s="32"/>
      <c r="I57" s="32"/>
      <c r="J57" s="32"/>
      <c r="K57" s="32"/>
      <c r="L57" s="32"/>
      <c r="M57" s="32"/>
      <c r="O57" s="4">
        <f t="shared" si="3"/>
        <v>0</v>
      </c>
      <c r="P57" s="4">
        <f t="shared" si="3"/>
        <v>0</v>
      </c>
      <c r="Q57" s="4">
        <f t="shared" si="0"/>
        <v>6</v>
      </c>
      <c r="R57" s="53">
        <f t="shared" si="1"/>
        <v>1219.8000000000002</v>
      </c>
      <c r="S57" s="5">
        <v>0</v>
      </c>
      <c r="T57" s="4">
        <f t="shared" si="2"/>
        <v>6</v>
      </c>
      <c r="U57" s="5">
        <v>2</v>
      </c>
      <c r="V57" s="5">
        <v>4</v>
      </c>
      <c r="W57" s="52">
        <f t="shared" si="4"/>
        <v>0</v>
      </c>
      <c r="X57" s="5" t="s">
        <v>470</v>
      </c>
    </row>
    <row r="58" spans="1:24" ht="26">
      <c r="A58" s="37">
        <v>3030103</v>
      </c>
      <c r="B58" s="30" t="s">
        <v>350</v>
      </c>
      <c r="C58" s="31" t="s">
        <v>14</v>
      </c>
      <c r="D58" s="32">
        <v>50</v>
      </c>
      <c r="E58" s="33">
        <v>743.65</v>
      </c>
      <c r="F58" s="32"/>
      <c r="G58" s="32">
        <v>5</v>
      </c>
      <c r="H58" s="35"/>
      <c r="I58" s="35">
        <v>2</v>
      </c>
      <c r="J58" s="34"/>
      <c r="K58" s="34">
        <v>7</v>
      </c>
      <c r="L58" s="32"/>
      <c r="M58" s="32"/>
      <c r="O58" s="4">
        <f t="shared" si="3"/>
        <v>0</v>
      </c>
      <c r="P58" s="4">
        <f t="shared" si="3"/>
        <v>14</v>
      </c>
      <c r="Q58" s="4">
        <f t="shared" si="0"/>
        <v>36</v>
      </c>
      <c r="R58" s="53">
        <f t="shared" si="1"/>
        <v>26771.399999999998</v>
      </c>
      <c r="S58" s="5">
        <v>100</v>
      </c>
      <c r="T58" s="4">
        <f t="shared" si="2"/>
        <v>43</v>
      </c>
      <c r="U58" s="5">
        <v>69</v>
      </c>
      <c r="V58" s="5">
        <v>81</v>
      </c>
      <c r="W58" s="52">
        <f t="shared" si="4"/>
        <v>74365</v>
      </c>
      <c r="X58" s="5" t="s">
        <v>484</v>
      </c>
    </row>
    <row r="59" spans="1:24" ht="26">
      <c r="A59" s="37">
        <v>3030107</v>
      </c>
      <c r="B59" s="30" t="s">
        <v>351</v>
      </c>
      <c r="C59" s="31" t="s">
        <v>14</v>
      </c>
      <c r="D59" s="32">
        <v>10</v>
      </c>
      <c r="E59" s="33">
        <v>21.4</v>
      </c>
      <c r="F59" s="32"/>
      <c r="G59" s="32"/>
      <c r="H59" s="32"/>
      <c r="I59" s="32"/>
      <c r="J59" s="32"/>
      <c r="K59" s="32"/>
      <c r="L59" s="32"/>
      <c r="M59" s="32"/>
      <c r="O59" s="4">
        <f t="shared" si="3"/>
        <v>0</v>
      </c>
      <c r="P59" s="4">
        <f t="shared" si="3"/>
        <v>0</v>
      </c>
      <c r="Q59" s="4">
        <f t="shared" si="0"/>
        <v>10</v>
      </c>
      <c r="R59" s="53">
        <f t="shared" si="1"/>
        <v>214</v>
      </c>
      <c r="S59" s="5">
        <v>0</v>
      </c>
      <c r="T59" s="4">
        <f t="shared" si="2"/>
        <v>10</v>
      </c>
      <c r="U59" s="5">
        <v>0</v>
      </c>
      <c r="V59" s="5">
        <v>10</v>
      </c>
      <c r="W59" s="52">
        <f t="shared" si="4"/>
        <v>0</v>
      </c>
      <c r="X59" s="5" t="s">
        <v>440</v>
      </c>
    </row>
    <row r="60" spans="1:24" ht="26">
      <c r="A60" s="37">
        <v>3030113</v>
      </c>
      <c r="B60" s="30" t="s">
        <v>352</v>
      </c>
      <c r="C60" s="31" t="s">
        <v>14</v>
      </c>
      <c r="D60" s="32">
        <v>34</v>
      </c>
      <c r="E60" s="33">
        <v>33.17</v>
      </c>
      <c r="F60" s="32"/>
      <c r="G60" s="32"/>
      <c r="H60" s="32"/>
      <c r="I60" s="32"/>
      <c r="J60" s="34"/>
      <c r="K60" s="34">
        <v>4</v>
      </c>
      <c r="L60" s="32"/>
      <c r="M60" s="32"/>
      <c r="O60" s="4">
        <f t="shared" si="3"/>
        <v>0</v>
      </c>
      <c r="P60" s="4">
        <f t="shared" si="3"/>
        <v>4</v>
      </c>
      <c r="Q60" s="4">
        <f t="shared" si="0"/>
        <v>30</v>
      </c>
      <c r="R60" s="53">
        <f t="shared" si="1"/>
        <v>995.1</v>
      </c>
      <c r="S60" s="5">
        <v>50</v>
      </c>
      <c r="T60" s="4">
        <f t="shared" si="2"/>
        <v>34</v>
      </c>
      <c r="U60" s="5">
        <v>21</v>
      </c>
      <c r="V60" s="5">
        <v>63</v>
      </c>
      <c r="W60" s="52">
        <f t="shared" si="4"/>
        <v>1658.5</v>
      </c>
      <c r="X60" s="5" t="s">
        <v>482</v>
      </c>
    </row>
    <row r="61" spans="1:24" ht="26">
      <c r="A61" s="37">
        <v>3030115</v>
      </c>
      <c r="B61" s="30" t="s">
        <v>353</v>
      </c>
      <c r="C61" s="31" t="s">
        <v>14</v>
      </c>
      <c r="D61" s="32">
        <v>16</v>
      </c>
      <c r="E61" s="33">
        <v>57.78</v>
      </c>
      <c r="F61" s="32"/>
      <c r="G61" s="32"/>
      <c r="H61" s="32"/>
      <c r="I61" s="32"/>
      <c r="J61" s="34"/>
      <c r="K61" s="34">
        <v>6</v>
      </c>
      <c r="L61" s="32"/>
      <c r="M61" s="32"/>
      <c r="O61" s="4">
        <f t="shared" si="3"/>
        <v>0</v>
      </c>
      <c r="P61" s="4">
        <f t="shared" si="3"/>
        <v>6</v>
      </c>
      <c r="Q61" s="4">
        <f t="shared" si="0"/>
        <v>10</v>
      </c>
      <c r="R61" s="53">
        <f t="shared" si="1"/>
        <v>577.79999999999995</v>
      </c>
      <c r="S61" s="5">
        <v>50</v>
      </c>
      <c r="T61" s="4">
        <f t="shared" si="2"/>
        <v>16</v>
      </c>
      <c r="U61" s="5">
        <v>10</v>
      </c>
      <c r="V61" s="5">
        <v>56</v>
      </c>
      <c r="W61" s="52">
        <f t="shared" si="4"/>
        <v>2889</v>
      </c>
      <c r="X61" s="5" t="s">
        <v>482</v>
      </c>
    </row>
    <row r="62" spans="1:24" ht="26">
      <c r="A62" s="37">
        <v>3030117</v>
      </c>
      <c r="B62" s="30" t="s">
        <v>354</v>
      </c>
      <c r="C62" s="31" t="s">
        <v>14</v>
      </c>
      <c r="D62" s="32">
        <v>0</v>
      </c>
      <c r="E62" s="33">
        <v>0</v>
      </c>
      <c r="F62" s="32"/>
      <c r="G62" s="32"/>
      <c r="H62" s="32"/>
      <c r="I62" s="32"/>
      <c r="J62" s="32"/>
      <c r="K62" s="32"/>
      <c r="L62" s="32"/>
      <c r="M62" s="32"/>
      <c r="O62" s="4">
        <f t="shared" si="3"/>
        <v>0</v>
      </c>
      <c r="P62" s="4">
        <f t="shared" si="3"/>
        <v>0</v>
      </c>
      <c r="Q62" s="4">
        <f t="shared" si="0"/>
        <v>0</v>
      </c>
      <c r="R62" s="53">
        <f t="shared" si="1"/>
        <v>0</v>
      </c>
      <c r="S62" s="5">
        <v>0</v>
      </c>
      <c r="T62" s="4">
        <f t="shared" si="2"/>
        <v>0</v>
      </c>
      <c r="U62" s="5">
        <v>0</v>
      </c>
      <c r="V62" s="5">
        <v>0</v>
      </c>
      <c r="W62" s="52">
        <f t="shared" si="4"/>
        <v>0</v>
      </c>
      <c r="X62" s="5" t="s">
        <v>482</v>
      </c>
    </row>
    <row r="63" spans="1:24" ht="26">
      <c r="A63" s="37">
        <v>3030119</v>
      </c>
      <c r="B63" s="30" t="s">
        <v>355</v>
      </c>
      <c r="C63" s="31" t="s">
        <v>14</v>
      </c>
      <c r="D63" s="32">
        <v>6</v>
      </c>
      <c r="E63" s="33">
        <v>64.2</v>
      </c>
      <c r="F63" s="32"/>
      <c r="G63" s="32">
        <v>1</v>
      </c>
      <c r="H63" s="32"/>
      <c r="I63" s="32"/>
      <c r="J63" s="32"/>
      <c r="K63" s="32"/>
      <c r="L63" s="32"/>
      <c r="M63" s="32"/>
      <c r="O63" s="4">
        <f t="shared" si="3"/>
        <v>0</v>
      </c>
      <c r="P63" s="4">
        <f t="shared" si="3"/>
        <v>1</v>
      </c>
      <c r="Q63" s="4">
        <f t="shared" si="0"/>
        <v>5</v>
      </c>
      <c r="R63" s="53">
        <f t="shared" si="1"/>
        <v>321</v>
      </c>
      <c r="S63" s="5">
        <v>0</v>
      </c>
      <c r="T63" s="4">
        <f t="shared" si="2"/>
        <v>5</v>
      </c>
      <c r="U63" s="5">
        <v>2</v>
      </c>
      <c r="V63" s="5">
        <v>4</v>
      </c>
      <c r="W63" s="52">
        <f t="shared" si="4"/>
        <v>0</v>
      </c>
      <c r="X63" s="5" t="s">
        <v>482</v>
      </c>
    </row>
    <row r="64" spans="1:24" ht="26">
      <c r="A64" s="37">
        <v>3030121</v>
      </c>
      <c r="B64" s="30" t="s">
        <v>356</v>
      </c>
      <c r="C64" s="31" t="s">
        <v>14</v>
      </c>
      <c r="D64" s="32"/>
      <c r="E64" s="33">
        <v>40.659999999999997</v>
      </c>
      <c r="F64" s="32"/>
      <c r="G64" s="32">
        <v>2</v>
      </c>
      <c r="H64" s="32"/>
      <c r="I64" s="32"/>
      <c r="J64" s="34"/>
      <c r="K64" s="34">
        <v>9</v>
      </c>
      <c r="L64" s="32"/>
      <c r="M64" s="32"/>
      <c r="O64" s="4">
        <f t="shared" si="3"/>
        <v>0</v>
      </c>
      <c r="P64" s="4">
        <f t="shared" si="3"/>
        <v>11</v>
      </c>
      <c r="Q64" s="4">
        <f t="shared" si="0"/>
        <v>-11</v>
      </c>
      <c r="R64" s="53">
        <f t="shared" si="1"/>
        <v>-447.26</v>
      </c>
      <c r="S64" s="5">
        <v>0</v>
      </c>
      <c r="T64" s="4">
        <f t="shared" si="2"/>
        <v>-2</v>
      </c>
      <c r="U64" s="5">
        <v>0</v>
      </c>
      <c r="V64" s="5">
        <v>0</v>
      </c>
      <c r="W64" s="52">
        <f t="shared" si="4"/>
        <v>0</v>
      </c>
      <c r="X64" s="5" t="s">
        <v>486</v>
      </c>
    </row>
    <row r="65" spans="1:24" ht="26">
      <c r="A65" s="37">
        <v>3030125</v>
      </c>
      <c r="B65" s="30" t="s">
        <v>61</v>
      </c>
      <c r="C65" s="31" t="s">
        <v>25</v>
      </c>
      <c r="D65" s="32">
        <v>73</v>
      </c>
      <c r="E65" s="33">
        <v>293.7792</v>
      </c>
      <c r="F65" s="32"/>
      <c r="G65" s="32"/>
      <c r="H65" s="32"/>
      <c r="I65" s="32"/>
      <c r="J65" s="34"/>
      <c r="K65" s="34">
        <v>5</v>
      </c>
      <c r="L65" s="32"/>
      <c r="M65" s="32"/>
      <c r="O65" s="4">
        <f t="shared" si="3"/>
        <v>0</v>
      </c>
      <c r="P65" s="4">
        <f t="shared" si="3"/>
        <v>5</v>
      </c>
      <c r="Q65" s="4">
        <f t="shared" si="0"/>
        <v>68</v>
      </c>
      <c r="R65" s="53">
        <f t="shared" si="1"/>
        <v>19976.9856</v>
      </c>
      <c r="S65" s="5">
        <v>0</v>
      </c>
      <c r="T65" s="4">
        <f t="shared" si="2"/>
        <v>73</v>
      </c>
      <c r="U65" s="5">
        <v>38</v>
      </c>
      <c r="V65" s="5">
        <v>35</v>
      </c>
      <c r="W65" s="52">
        <f t="shared" si="4"/>
        <v>0</v>
      </c>
      <c r="X65" s="5" t="s">
        <v>476</v>
      </c>
    </row>
    <row r="66" spans="1:24" ht="26">
      <c r="A66" s="138">
        <v>3030127</v>
      </c>
      <c r="B66" s="136" t="s">
        <v>62</v>
      </c>
      <c r="C66" s="31" t="s">
        <v>25</v>
      </c>
      <c r="D66" s="32">
        <v>13</v>
      </c>
      <c r="E66" s="33">
        <v>226.84</v>
      </c>
      <c r="F66" s="32"/>
      <c r="G66" s="32"/>
      <c r="H66" s="32"/>
      <c r="I66" s="32"/>
      <c r="J66" s="32"/>
      <c r="K66" s="32"/>
      <c r="L66" s="32"/>
      <c r="M66" s="32"/>
      <c r="O66" s="4">
        <f t="shared" si="3"/>
        <v>0</v>
      </c>
      <c r="P66" s="4">
        <f t="shared" si="3"/>
        <v>0</v>
      </c>
      <c r="Q66" s="4">
        <f t="shared" si="0"/>
        <v>13</v>
      </c>
      <c r="R66" s="53">
        <f t="shared" si="1"/>
        <v>2948.92</v>
      </c>
      <c r="S66" s="5">
        <v>0</v>
      </c>
      <c r="T66" s="4">
        <f t="shared" si="2"/>
        <v>13</v>
      </c>
      <c r="U66" s="5">
        <v>1</v>
      </c>
      <c r="V66" s="5">
        <v>12</v>
      </c>
      <c r="W66" s="52">
        <f t="shared" si="4"/>
        <v>0</v>
      </c>
      <c r="X66" s="5" t="s">
        <v>479</v>
      </c>
    </row>
    <row r="67" spans="1:24" ht="26">
      <c r="A67" s="138">
        <v>3030127</v>
      </c>
      <c r="B67" s="136" t="s">
        <v>62</v>
      </c>
      <c r="C67" s="31" t="s">
        <v>25</v>
      </c>
      <c r="D67" s="32">
        <v>16</v>
      </c>
      <c r="E67" s="33">
        <v>203.38560000000001</v>
      </c>
      <c r="F67" s="32"/>
      <c r="G67" s="32"/>
      <c r="H67" s="32"/>
      <c r="I67" s="32"/>
      <c r="J67" s="32"/>
      <c r="K67" s="32"/>
      <c r="L67" s="32"/>
      <c r="M67" s="32"/>
      <c r="O67" s="4">
        <f t="shared" si="3"/>
        <v>0</v>
      </c>
      <c r="P67" s="4">
        <f t="shared" si="3"/>
        <v>0</v>
      </c>
      <c r="Q67" s="4">
        <f t="shared" si="0"/>
        <v>16</v>
      </c>
      <c r="R67" s="53">
        <f t="shared" si="1"/>
        <v>3254.1696000000002</v>
      </c>
      <c r="S67" s="5">
        <v>0</v>
      </c>
      <c r="T67" s="4">
        <f t="shared" si="2"/>
        <v>16</v>
      </c>
      <c r="U67" s="5">
        <v>16</v>
      </c>
      <c r="V67" s="5">
        <v>0</v>
      </c>
      <c r="W67" s="52">
        <f t="shared" si="4"/>
        <v>0</v>
      </c>
      <c r="X67" s="5"/>
    </row>
    <row r="68" spans="1:24" ht="26">
      <c r="A68" s="40">
        <v>3030129</v>
      </c>
      <c r="B68" s="30" t="s">
        <v>63</v>
      </c>
      <c r="C68" s="31" t="s">
        <v>25</v>
      </c>
      <c r="D68" s="32">
        <v>37</v>
      </c>
      <c r="E68" s="33">
        <v>63.5045</v>
      </c>
      <c r="F68" s="32"/>
      <c r="G68" s="32"/>
      <c r="H68" s="32"/>
      <c r="I68" s="32"/>
      <c r="J68" s="32"/>
      <c r="K68" s="32"/>
      <c r="L68" s="32"/>
      <c r="M68" s="32"/>
      <c r="O68" s="4">
        <f t="shared" si="3"/>
        <v>0</v>
      </c>
      <c r="P68" s="4">
        <f t="shared" si="3"/>
        <v>0</v>
      </c>
      <c r="Q68" s="4">
        <f t="shared" si="0"/>
        <v>37</v>
      </c>
      <c r="R68" s="53">
        <f t="shared" si="1"/>
        <v>2349.6664999999998</v>
      </c>
      <c r="S68" s="5">
        <v>0</v>
      </c>
      <c r="T68" s="4">
        <f t="shared" si="2"/>
        <v>37</v>
      </c>
      <c r="U68" s="5">
        <v>11</v>
      </c>
      <c r="V68" s="5">
        <v>26</v>
      </c>
      <c r="W68" s="52">
        <f t="shared" si="4"/>
        <v>0</v>
      </c>
      <c r="X68" s="5" t="s">
        <v>482</v>
      </c>
    </row>
    <row r="69" spans="1:24" ht="26">
      <c r="A69" s="40">
        <v>3030131</v>
      </c>
      <c r="B69" s="30" t="s">
        <v>64</v>
      </c>
      <c r="C69" s="31" t="s">
        <v>25</v>
      </c>
      <c r="D69" s="32">
        <v>2</v>
      </c>
      <c r="E69" s="33">
        <v>143.38</v>
      </c>
      <c r="F69" s="32"/>
      <c r="G69" s="32"/>
      <c r="H69" s="32"/>
      <c r="I69" s="32"/>
      <c r="J69" s="32"/>
      <c r="K69" s="32"/>
      <c r="L69" s="32"/>
      <c r="M69" s="32"/>
      <c r="O69" s="4">
        <f t="shared" si="3"/>
        <v>0</v>
      </c>
      <c r="P69" s="4">
        <f t="shared" si="3"/>
        <v>0</v>
      </c>
      <c r="Q69" s="4">
        <f t="shared" ref="Q69:Q132" si="5">+D69+O69-P69</f>
        <v>2</v>
      </c>
      <c r="R69" s="53">
        <f t="shared" ref="R69:R132" si="6">+Q69*E69</f>
        <v>286.76</v>
      </c>
      <c r="S69" s="5">
        <v>20</v>
      </c>
      <c r="T69" s="4">
        <f t="shared" ref="T69:T132" si="7">+K69+M69+O69+Q69</f>
        <v>2</v>
      </c>
      <c r="U69" s="5">
        <v>3</v>
      </c>
      <c r="V69" s="5">
        <v>19</v>
      </c>
      <c r="W69" s="52">
        <f t="shared" si="4"/>
        <v>2867.6</v>
      </c>
      <c r="X69" s="5" t="s">
        <v>468</v>
      </c>
    </row>
    <row r="70" spans="1:24" ht="26">
      <c r="A70" s="40">
        <v>3030133</v>
      </c>
      <c r="B70" s="30" t="s">
        <v>65</v>
      </c>
      <c r="C70" s="31" t="s">
        <v>25</v>
      </c>
      <c r="D70" s="32">
        <v>8</v>
      </c>
      <c r="E70" s="33">
        <v>212.93</v>
      </c>
      <c r="F70" s="32"/>
      <c r="G70" s="32"/>
      <c r="H70" s="32"/>
      <c r="I70" s="32"/>
      <c r="J70" s="32"/>
      <c r="K70" s="32"/>
      <c r="L70" s="32"/>
      <c r="M70" s="32"/>
      <c r="O70" s="4">
        <f t="shared" ref="O70:P133" si="8">+F70+H70+J70+L70</f>
        <v>0</v>
      </c>
      <c r="P70" s="4">
        <f t="shared" si="8"/>
        <v>0</v>
      </c>
      <c r="Q70" s="4">
        <f t="shared" si="5"/>
        <v>8</v>
      </c>
      <c r="R70" s="53">
        <f t="shared" si="6"/>
        <v>1703.44</v>
      </c>
      <c r="S70" s="5">
        <v>0</v>
      </c>
      <c r="T70" s="4">
        <f t="shared" si="7"/>
        <v>8</v>
      </c>
      <c r="U70" s="5">
        <v>0</v>
      </c>
      <c r="V70" s="5">
        <v>8</v>
      </c>
      <c r="W70" s="52">
        <f>+S70*E70</f>
        <v>0</v>
      </c>
      <c r="X70" s="5" t="s">
        <v>468</v>
      </c>
    </row>
    <row r="71" spans="1:24" ht="26">
      <c r="A71" s="140">
        <v>3030135</v>
      </c>
      <c r="B71" s="136" t="s">
        <v>66</v>
      </c>
      <c r="C71" s="31" t="s">
        <v>25</v>
      </c>
      <c r="D71" s="32">
        <v>14</v>
      </c>
      <c r="E71" s="33">
        <v>101.65</v>
      </c>
      <c r="F71" s="32"/>
      <c r="G71" s="32"/>
      <c r="H71" s="32"/>
      <c r="I71" s="32"/>
      <c r="J71" s="32"/>
      <c r="K71" s="32"/>
      <c r="L71" s="32"/>
      <c r="M71" s="32"/>
      <c r="O71" s="4">
        <f t="shared" si="8"/>
        <v>0</v>
      </c>
      <c r="P71" s="4">
        <f t="shared" si="8"/>
        <v>0</v>
      </c>
      <c r="Q71" s="4">
        <f t="shared" si="5"/>
        <v>14</v>
      </c>
      <c r="R71" s="53">
        <f t="shared" si="6"/>
        <v>1423.1000000000001</v>
      </c>
      <c r="S71" s="5">
        <v>0</v>
      </c>
      <c r="T71" s="4">
        <f t="shared" si="7"/>
        <v>14</v>
      </c>
      <c r="U71" s="5">
        <v>7</v>
      </c>
      <c r="V71" s="5">
        <v>7</v>
      </c>
      <c r="W71" s="52">
        <f t="shared" ref="W71:W133" si="9">+S71*E71</f>
        <v>0</v>
      </c>
      <c r="X71" s="5"/>
    </row>
    <row r="72" spans="1:24" ht="26">
      <c r="A72" s="140">
        <v>3030135</v>
      </c>
      <c r="B72" s="136" t="s">
        <v>66</v>
      </c>
      <c r="C72" s="31" t="s">
        <v>25</v>
      </c>
      <c r="D72" s="32">
        <v>20</v>
      </c>
      <c r="E72" s="33">
        <v>113.934</v>
      </c>
      <c r="F72" s="32"/>
      <c r="G72" s="32"/>
      <c r="H72" s="32"/>
      <c r="I72" s="32"/>
      <c r="J72" s="32"/>
      <c r="K72" s="32"/>
      <c r="L72" s="32"/>
      <c r="M72" s="32"/>
      <c r="O72" s="4">
        <f t="shared" si="8"/>
        <v>0</v>
      </c>
      <c r="P72" s="4">
        <f t="shared" si="8"/>
        <v>0</v>
      </c>
      <c r="Q72" s="4">
        <f t="shared" si="5"/>
        <v>20</v>
      </c>
      <c r="R72" s="53">
        <f t="shared" si="6"/>
        <v>2278.6799999999998</v>
      </c>
      <c r="S72" s="5">
        <v>0</v>
      </c>
      <c r="T72" s="4">
        <f t="shared" si="7"/>
        <v>20</v>
      </c>
      <c r="U72" s="5">
        <v>14</v>
      </c>
      <c r="V72" s="5">
        <v>6</v>
      </c>
      <c r="W72" s="52">
        <f t="shared" si="9"/>
        <v>0</v>
      </c>
      <c r="X72" s="5" t="s">
        <v>478</v>
      </c>
    </row>
    <row r="73" spans="1:24" ht="26">
      <c r="A73" s="37">
        <v>3030149</v>
      </c>
      <c r="B73" s="30" t="s">
        <v>357</v>
      </c>
      <c r="C73" s="31" t="s">
        <v>14</v>
      </c>
      <c r="D73" s="32"/>
      <c r="E73" s="33">
        <v>181.9</v>
      </c>
      <c r="F73" s="32"/>
      <c r="G73" s="32"/>
      <c r="H73" s="32"/>
      <c r="I73" s="32"/>
      <c r="J73" s="34"/>
      <c r="K73" s="34">
        <v>7</v>
      </c>
      <c r="L73" s="32"/>
      <c r="M73" s="32"/>
      <c r="O73" s="4">
        <f t="shared" si="8"/>
        <v>0</v>
      </c>
      <c r="P73" s="4">
        <f t="shared" si="8"/>
        <v>7</v>
      </c>
      <c r="Q73" s="4">
        <f t="shared" si="5"/>
        <v>-7</v>
      </c>
      <c r="R73" s="53">
        <f t="shared" si="6"/>
        <v>-1273.3</v>
      </c>
      <c r="S73" s="5">
        <v>0</v>
      </c>
      <c r="T73" s="4">
        <f t="shared" si="7"/>
        <v>0</v>
      </c>
      <c r="U73" s="5">
        <v>0</v>
      </c>
      <c r="V73" s="5">
        <v>0</v>
      </c>
      <c r="W73" s="52">
        <f t="shared" si="9"/>
        <v>0</v>
      </c>
      <c r="X73" s="5" t="s">
        <v>485</v>
      </c>
    </row>
    <row r="74" spans="1:24" ht="26">
      <c r="A74" s="138">
        <v>3030157</v>
      </c>
      <c r="B74" s="136" t="s">
        <v>67</v>
      </c>
      <c r="C74" s="31" t="s">
        <v>14</v>
      </c>
      <c r="D74" s="32">
        <v>20</v>
      </c>
      <c r="E74" s="33">
        <v>3.3062999999999998</v>
      </c>
      <c r="F74" s="32"/>
      <c r="G74" s="32"/>
      <c r="H74" s="32"/>
      <c r="I74" s="32"/>
      <c r="J74" s="32"/>
      <c r="K74" s="32"/>
      <c r="L74" s="32"/>
      <c r="M74" s="32"/>
      <c r="O74" s="4">
        <f t="shared" si="8"/>
        <v>0</v>
      </c>
      <c r="P74" s="4">
        <f t="shared" si="8"/>
        <v>0</v>
      </c>
      <c r="Q74" s="4">
        <f t="shared" si="5"/>
        <v>20</v>
      </c>
      <c r="R74" s="53">
        <f t="shared" si="6"/>
        <v>66.125999999999991</v>
      </c>
      <c r="S74" s="5">
        <v>0</v>
      </c>
      <c r="T74" s="4">
        <f t="shared" si="7"/>
        <v>20</v>
      </c>
      <c r="U74" s="5">
        <v>0</v>
      </c>
      <c r="V74" s="5">
        <v>20</v>
      </c>
      <c r="W74" s="52">
        <f t="shared" si="9"/>
        <v>0</v>
      </c>
      <c r="X74" s="5" t="s">
        <v>479</v>
      </c>
    </row>
    <row r="75" spans="1:24" ht="26">
      <c r="A75" s="138">
        <v>3030157</v>
      </c>
      <c r="B75" s="136" t="s">
        <v>67</v>
      </c>
      <c r="C75" s="31" t="s">
        <v>14</v>
      </c>
      <c r="D75" s="32">
        <v>13</v>
      </c>
      <c r="E75" s="33">
        <v>3.8519999999999999</v>
      </c>
      <c r="F75" s="32"/>
      <c r="G75" s="32"/>
      <c r="H75" s="32"/>
      <c r="I75" s="32"/>
      <c r="J75" s="32"/>
      <c r="K75" s="32"/>
      <c r="L75" s="32"/>
      <c r="M75" s="32"/>
      <c r="O75" s="4">
        <f t="shared" si="8"/>
        <v>0</v>
      </c>
      <c r="P75" s="4">
        <f t="shared" si="8"/>
        <v>0</v>
      </c>
      <c r="Q75" s="4">
        <f t="shared" si="5"/>
        <v>13</v>
      </c>
      <c r="R75" s="53">
        <f t="shared" si="6"/>
        <v>50.076000000000001</v>
      </c>
      <c r="S75" s="5">
        <v>0</v>
      </c>
      <c r="T75" s="4">
        <f t="shared" si="7"/>
        <v>13</v>
      </c>
      <c r="U75" s="5">
        <v>0</v>
      </c>
      <c r="V75" s="5">
        <v>13</v>
      </c>
      <c r="W75" s="52">
        <f t="shared" si="9"/>
        <v>0</v>
      </c>
      <c r="X75" s="5"/>
    </row>
    <row r="76" spans="1:24" ht="26">
      <c r="A76" s="37">
        <v>3030159</v>
      </c>
      <c r="B76" s="30" t="s">
        <v>68</v>
      </c>
      <c r="C76" s="31" t="s">
        <v>14</v>
      </c>
      <c r="D76" s="32">
        <v>0</v>
      </c>
      <c r="E76" s="33">
        <v>8.4529999999999994</v>
      </c>
      <c r="F76" s="32"/>
      <c r="G76" s="32"/>
      <c r="H76" s="32"/>
      <c r="I76" s="32"/>
      <c r="J76" s="34"/>
      <c r="K76" s="34">
        <v>1</v>
      </c>
      <c r="L76" s="32"/>
      <c r="M76" s="32"/>
      <c r="O76" s="4">
        <f t="shared" si="8"/>
        <v>0</v>
      </c>
      <c r="P76" s="4">
        <f t="shared" si="8"/>
        <v>1</v>
      </c>
      <c r="Q76" s="4">
        <f t="shared" si="5"/>
        <v>-1</v>
      </c>
      <c r="R76" s="53">
        <f t="shared" si="6"/>
        <v>-8.4529999999999994</v>
      </c>
      <c r="S76" s="5">
        <v>0</v>
      </c>
      <c r="T76" s="4">
        <f t="shared" si="7"/>
        <v>0</v>
      </c>
      <c r="U76" s="5">
        <v>0</v>
      </c>
      <c r="V76" s="5">
        <v>0</v>
      </c>
      <c r="W76" s="52">
        <f t="shared" si="9"/>
        <v>0</v>
      </c>
      <c r="X76" s="5" t="s">
        <v>479</v>
      </c>
    </row>
    <row r="77" spans="1:24" ht="26">
      <c r="A77" s="37">
        <v>3030163</v>
      </c>
      <c r="B77" s="30" t="s">
        <v>69</v>
      </c>
      <c r="C77" s="31" t="s">
        <v>14</v>
      </c>
      <c r="D77" s="32">
        <v>51</v>
      </c>
      <c r="E77" s="33">
        <v>0</v>
      </c>
      <c r="F77" s="32"/>
      <c r="G77" s="32"/>
      <c r="H77" s="32"/>
      <c r="I77" s="32"/>
      <c r="J77" s="32"/>
      <c r="K77" s="32"/>
      <c r="L77" s="32"/>
      <c r="M77" s="32"/>
      <c r="O77" s="4">
        <f t="shared" si="8"/>
        <v>0</v>
      </c>
      <c r="P77" s="4">
        <f t="shared" si="8"/>
        <v>0</v>
      </c>
      <c r="Q77" s="4">
        <f t="shared" si="5"/>
        <v>51</v>
      </c>
      <c r="R77" s="53">
        <f t="shared" si="6"/>
        <v>0</v>
      </c>
      <c r="S77" s="5">
        <v>0</v>
      </c>
      <c r="T77" s="4">
        <f t="shared" si="7"/>
        <v>51</v>
      </c>
      <c r="U77" s="5">
        <v>12</v>
      </c>
      <c r="V77" s="5">
        <v>39</v>
      </c>
      <c r="W77" s="52">
        <f t="shared" si="9"/>
        <v>0</v>
      </c>
      <c r="X77" s="5"/>
    </row>
    <row r="78" spans="1:24" ht="26">
      <c r="A78" s="37">
        <v>3030167</v>
      </c>
      <c r="B78" s="30" t="s">
        <v>70</v>
      </c>
      <c r="C78" s="31" t="s">
        <v>14</v>
      </c>
      <c r="D78" s="32">
        <v>80</v>
      </c>
      <c r="E78" s="33">
        <v>6.4949000000000003</v>
      </c>
      <c r="F78" s="32"/>
      <c r="G78" s="32"/>
      <c r="H78" s="32"/>
      <c r="I78" s="32"/>
      <c r="J78" s="32"/>
      <c r="K78" s="32"/>
      <c r="L78" s="32"/>
      <c r="M78" s="32"/>
      <c r="O78" s="4">
        <f t="shared" si="8"/>
        <v>0</v>
      </c>
      <c r="P78" s="4">
        <f t="shared" si="8"/>
        <v>0</v>
      </c>
      <c r="Q78" s="4">
        <f t="shared" si="5"/>
        <v>80</v>
      </c>
      <c r="R78" s="53">
        <f t="shared" si="6"/>
        <v>519.59199999999998</v>
      </c>
      <c r="S78" s="5">
        <v>0</v>
      </c>
      <c r="T78" s="4">
        <f t="shared" si="7"/>
        <v>80</v>
      </c>
      <c r="U78" s="5">
        <v>13</v>
      </c>
      <c r="V78" s="5">
        <v>67</v>
      </c>
      <c r="W78" s="52">
        <f t="shared" si="9"/>
        <v>0</v>
      </c>
      <c r="X78" s="5" t="s">
        <v>482</v>
      </c>
    </row>
    <row r="79" spans="1:24" ht="26">
      <c r="A79" s="37">
        <v>3030169</v>
      </c>
      <c r="B79" s="30" t="s">
        <v>71</v>
      </c>
      <c r="C79" s="31" t="s">
        <v>14</v>
      </c>
      <c r="D79" s="32">
        <v>59</v>
      </c>
      <c r="E79" s="33">
        <v>2.9424999999999999</v>
      </c>
      <c r="F79" s="32"/>
      <c r="G79" s="32"/>
      <c r="H79" s="32"/>
      <c r="I79" s="32"/>
      <c r="J79" s="32"/>
      <c r="K79" s="32"/>
      <c r="L79" s="32"/>
      <c r="M79" s="32"/>
      <c r="O79" s="4">
        <f t="shared" si="8"/>
        <v>0</v>
      </c>
      <c r="P79" s="4">
        <f t="shared" si="8"/>
        <v>0</v>
      </c>
      <c r="Q79" s="4">
        <f t="shared" si="5"/>
        <v>59</v>
      </c>
      <c r="R79" s="53">
        <f t="shared" si="6"/>
        <v>173.60749999999999</v>
      </c>
      <c r="S79" s="5">
        <v>0</v>
      </c>
      <c r="T79" s="4">
        <f t="shared" si="7"/>
        <v>59</v>
      </c>
      <c r="U79" s="5">
        <v>0</v>
      </c>
      <c r="V79" s="5">
        <v>59</v>
      </c>
      <c r="W79" s="52">
        <f t="shared" si="9"/>
        <v>0</v>
      </c>
      <c r="X79" s="5" t="s">
        <v>482</v>
      </c>
    </row>
    <row r="80" spans="1:24" ht="26">
      <c r="A80" s="37">
        <v>3030171</v>
      </c>
      <c r="B80" s="30" t="s">
        <v>72</v>
      </c>
      <c r="C80" s="31" t="s">
        <v>14</v>
      </c>
      <c r="D80" s="32">
        <v>0</v>
      </c>
      <c r="E80" s="33">
        <v>5.35</v>
      </c>
      <c r="F80" s="32"/>
      <c r="G80" s="32"/>
      <c r="H80" s="32"/>
      <c r="I80" s="32"/>
      <c r="J80" s="32"/>
      <c r="K80" s="32"/>
      <c r="L80" s="32"/>
      <c r="M80" s="32"/>
      <c r="O80" s="4">
        <f t="shared" si="8"/>
        <v>0</v>
      </c>
      <c r="P80" s="4">
        <f t="shared" si="8"/>
        <v>0</v>
      </c>
      <c r="Q80" s="4">
        <f t="shared" si="5"/>
        <v>0</v>
      </c>
      <c r="R80" s="53">
        <f t="shared" si="6"/>
        <v>0</v>
      </c>
      <c r="S80" s="5">
        <v>0</v>
      </c>
      <c r="T80" s="4">
        <f t="shared" si="7"/>
        <v>0</v>
      </c>
      <c r="U80" s="5">
        <v>0</v>
      </c>
      <c r="V80" s="5">
        <v>0</v>
      </c>
      <c r="W80" s="52">
        <f t="shared" si="9"/>
        <v>0</v>
      </c>
      <c r="X80" s="5" t="s">
        <v>468</v>
      </c>
    </row>
    <row r="81" spans="1:24" ht="26">
      <c r="A81" s="37">
        <v>3030172</v>
      </c>
      <c r="B81" s="30" t="s">
        <v>73</v>
      </c>
      <c r="C81" s="31" t="s">
        <v>14</v>
      </c>
      <c r="D81" s="32">
        <v>0</v>
      </c>
      <c r="E81" s="33">
        <v>0</v>
      </c>
      <c r="F81" s="32"/>
      <c r="G81" s="32"/>
      <c r="H81" s="32"/>
      <c r="I81" s="32"/>
      <c r="J81" s="32"/>
      <c r="K81" s="32"/>
      <c r="L81" s="32"/>
      <c r="M81" s="32"/>
      <c r="O81" s="4">
        <f t="shared" si="8"/>
        <v>0</v>
      </c>
      <c r="P81" s="4">
        <f t="shared" si="8"/>
        <v>0</v>
      </c>
      <c r="Q81" s="4">
        <f t="shared" si="5"/>
        <v>0</v>
      </c>
      <c r="R81" s="53">
        <f t="shared" si="6"/>
        <v>0</v>
      </c>
      <c r="S81" s="5">
        <v>0</v>
      </c>
      <c r="T81" s="4">
        <f t="shared" si="7"/>
        <v>0</v>
      </c>
      <c r="U81" s="5">
        <v>0</v>
      </c>
      <c r="V81" s="5">
        <v>0</v>
      </c>
      <c r="W81" s="52">
        <f t="shared" si="9"/>
        <v>0</v>
      </c>
      <c r="X81" s="5" t="s">
        <v>468</v>
      </c>
    </row>
    <row r="82" spans="1:24" ht="26">
      <c r="A82" s="37">
        <v>3030173</v>
      </c>
      <c r="B82" s="30" t="s">
        <v>74</v>
      </c>
      <c r="C82" s="31" t="s">
        <v>14</v>
      </c>
      <c r="D82" s="32">
        <v>58</v>
      </c>
      <c r="E82" s="33">
        <v>0</v>
      </c>
      <c r="F82" s="32"/>
      <c r="G82" s="32"/>
      <c r="H82" s="32"/>
      <c r="I82" s="32"/>
      <c r="J82" s="32"/>
      <c r="K82" s="32"/>
      <c r="L82" s="32"/>
      <c r="M82" s="32"/>
      <c r="O82" s="4">
        <f t="shared" si="8"/>
        <v>0</v>
      </c>
      <c r="P82" s="4">
        <f t="shared" si="8"/>
        <v>0</v>
      </c>
      <c r="Q82" s="4">
        <f t="shared" si="5"/>
        <v>58</v>
      </c>
      <c r="R82" s="53">
        <f t="shared" si="6"/>
        <v>0</v>
      </c>
      <c r="S82" s="5">
        <v>0</v>
      </c>
      <c r="T82" s="4">
        <f t="shared" si="7"/>
        <v>58</v>
      </c>
      <c r="U82" s="5">
        <v>0</v>
      </c>
      <c r="V82" s="5">
        <v>58</v>
      </c>
      <c r="W82" s="52">
        <f t="shared" si="9"/>
        <v>0</v>
      </c>
      <c r="X82" s="5" t="s">
        <v>482</v>
      </c>
    </row>
    <row r="83" spans="1:24" ht="26">
      <c r="A83" s="37">
        <v>3030175</v>
      </c>
      <c r="B83" s="30" t="s">
        <v>75</v>
      </c>
      <c r="C83" s="31" t="s">
        <v>14</v>
      </c>
      <c r="D83" s="32">
        <v>24</v>
      </c>
      <c r="E83" s="33">
        <v>3.7450000000000001</v>
      </c>
      <c r="F83" s="32"/>
      <c r="G83" s="32"/>
      <c r="H83" s="32"/>
      <c r="I83" s="32"/>
      <c r="J83" s="32"/>
      <c r="K83" s="32"/>
      <c r="L83" s="32"/>
      <c r="M83" s="32"/>
      <c r="O83" s="4">
        <f t="shared" si="8"/>
        <v>0</v>
      </c>
      <c r="P83" s="4">
        <f t="shared" si="8"/>
        <v>0</v>
      </c>
      <c r="Q83" s="4">
        <f t="shared" si="5"/>
        <v>24</v>
      </c>
      <c r="R83" s="53">
        <f t="shared" si="6"/>
        <v>89.88</v>
      </c>
      <c r="S83" s="5">
        <v>0</v>
      </c>
      <c r="T83" s="4">
        <f t="shared" si="7"/>
        <v>24</v>
      </c>
      <c r="U83" s="5">
        <v>17</v>
      </c>
      <c r="V83" s="5">
        <v>7</v>
      </c>
      <c r="W83" s="52">
        <f t="shared" si="9"/>
        <v>0</v>
      </c>
      <c r="X83" s="5" t="s">
        <v>468</v>
      </c>
    </row>
    <row r="84" spans="1:24" ht="26">
      <c r="A84" s="40">
        <v>3030177</v>
      </c>
      <c r="B84" s="30" t="s">
        <v>76</v>
      </c>
      <c r="C84" s="31" t="s">
        <v>14</v>
      </c>
      <c r="D84" s="32">
        <v>86</v>
      </c>
      <c r="E84" s="33">
        <v>8.8596000000000004</v>
      </c>
      <c r="F84" s="32"/>
      <c r="G84" s="32"/>
      <c r="H84" s="32"/>
      <c r="I84" s="32"/>
      <c r="J84" s="32"/>
      <c r="K84" s="32"/>
      <c r="L84" s="32"/>
      <c r="M84" s="32"/>
      <c r="O84" s="4">
        <f t="shared" si="8"/>
        <v>0</v>
      </c>
      <c r="P84" s="4">
        <f t="shared" si="8"/>
        <v>0</v>
      </c>
      <c r="Q84" s="4">
        <f t="shared" si="5"/>
        <v>86</v>
      </c>
      <c r="R84" s="53">
        <f t="shared" si="6"/>
        <v>761.92560000000003</v>
      </c>
      <c r="S84" s="5">
        <v>50</v>
      </c>
      <c r="T84" s="4">
        <f t="shared" si="7"/>
        <v>86</v>
      </c>
      <c r="U84" s="5">
        <v>32</v>
      </c>
      <c r="V84" s="5">
        <v>104</v>
      </c>
      <c r="W84" s="52">
        <f t="shared" si="9"/>
        <v>442.98</v>
      </c>
      <c r="X84" s="5" t="s">
        <v>482</v>
      </c>
    </row>
    <row r="85" spans="1:24" ht="26">
      <c r="A85" s="37">
        <v>3030181</v>
      </c>
      <c r="B85" s="30" t="s">
        <v>77</v>
      </c>
      <c r="C85" s="31" t="s">
        <v>14</v>
      </c>
      <c r="D85" s="32">
        <v>0</v>
      </c>
      <c r="E85" s="33">
        <v>3.7235999999999998</v>
      </c>
      <c r="F85" s="32"/>
      <c r="G85" s="32"/>
      <c r="H85" s="32"/>
      <c r="I85" s="32"/>
      <c r="J85" s="34"/>
      <c r="K85" s="34">
        <v>2</v>
      </c>
      <c r="L85" s="32"/>
      <c r="M85" s="32"/>
      <c r="O85" s="4">
        <f t="shared" si="8"/>
        <v>0</v>
      </c>
      <c r="P85" s="4">
        <f t="shared" si="8"/>
        <v>2</v>
      </c>
      <c r="Q85" s="4">
        <f t="shared" si="5"/>
        <v>-2</v>
      </c>
      <c r="R85" s="53">
        <f t="shared" si="6"/>
        <v>-7.4471999999999996</v>
      </c>
      <c r="S85" s="5">
        <v>0</v>
      </c>
      <c r="T85" s="4">
        <f t="shared" si="7"/>
        <v>0</v>
      </c>
      <c r="U85" s="5">
        <v>0</v>
      </c>
      <c r="V85" s="5">
        <v>0</v>
      </c>
      <c r="W85" s="52">
        <f t="shared" si="9"/>
        <v>0</v>
      </c>
      <c r="X85" s="5" t="s">
        <v>484</v>
      </c>
    </row>
    <row r="86" spans="1:24" ht="26">
      <c r="A86" s="37">
        <v>3030183</v>
      </c>
      <c r="B86" s="30" t="s">
        <v>78</v>
      </c>
      <c r="C86" s="31" t="s">
        <v>14</v>
      </c>
      <c r="D86" s="32">
        <v>51</v>
      </c>
      <c r="E86" s="33">
        <v>0</v>
      </c>
      <c r="F86" s="32"/>
      <c r="G86" s="32"/>
      <c r="H86" s="32"/>
      <c r="I86" s="32"/>
      <c r="J86" s="32"/>
      <c r="K86" s="32"/>
      <c r="L86" s="32"/>
      <c r="M86" s="32"/>
      <c r="O86" s="4">
        <f t="shared" si="8"/>
        <v>0</v>
      </c>
      <c r="P86" s="4">
        <f t="shared" si="8"/>
        <v>0</v>
      </c>
      <c r="Q86" s="4">
        <f t="shared" si="5"/>
        <v>51</v>
      </c>
      <c r="R86" s="53">
        <f t="shared" si="6"/>
        <v>0</v>
      </c>
      <c r="S86" s="5">
        <v>0</v>
      </c>
      <c r="T86" s="4">
        <f t="shared" si="7"/>
        <v>51</v>
      </c>
      <c r="U86" s="5">
        <v>9</v>
      </c>
      <c r="V86" s="5">
        <v>42</v>
      </c>
      <c r="W86" s="52">
        <f t="shared" si="9"/>
        <v>0</v>
      </c>
      <c r="X86" s="5" t="s">
        <v>486</v>
      </c>
    </row>
    <row r="87" spans="1:24" ht="26">
      <c r="A87" s="37">
        <v>3030185</v>
      </c>
      <c r="B87" s="30" t="s">
        <v>79</v>
      </c>
      <c r="C87" s="31" t="s">
        <v>14</v>
      </c>
      <c r="D87" s="32">
        <v>0</v>
      </c>
      <c r="E87" s="33">
        <v>7.8109999999999999</v>
      </c>
      <c r="F87" s="32"/>
      <c r="G87" s="32"/>
      <c r="H87" s="32"/>
      <c r="I87" s="32"/>
      <c r="J87" s="32"/>
      <c r="K87" s="32"/>
      <c r="L87" s="32"/>
      <c r="M87" s="32"/>
      <c r="O87" s="4">
        <f t="shared" si="8"/>
        <v>0</v>
      </c>
      <c r="P87" s="4">
        <f t="shared" si="8"/>
        <v>0</v>
      </c>
      <c r="Q87" s="4">
        <f t="shared" si="5"/>
        <v>0</v>
      </c>
      <c r="R87" s="53">
        <f t="shared" si="6"/>
        <v>0</v>
      </c>
      <c r="S87" s="5">
        <v>0</v>
      </c>
      <c r="T87" s="4">
        <f t="shared" si="7"/>
        <v>0</v>
      </c>
      <c r="U87" s="5">
        <v>0</v>
      </c>
      <c r="V87" s="5">
        <v>0</v>
      </c>
      <c r="W87" s="52">
        <f t="shared" si="9"/>
        <v>0</v>
      </c>
      <c r="X87" s="5" t="s">
        <v>482</v>
      </c>
    </row>
    <row r="88" spans="1:24" ht="26">
      <c r="A88" s="37">
        <v>3030191</v>
      </c>
      <c r="B88" s="30" t="s">
        <v>80</v>
      </c>
      <c r="C88" s="31" t="s">
        <v>14</v>
      </c>
      <c r="D88" s="32">
        <v>64</v>
      </c>
      <c r="E88" s="33">
        <v>904.15</v>
      </c>
      <c r="F88" s="32"/>
      <c r="G88" s="32">
        <v>2</v>
      </c>
      <c r="H88" s="35"/>
      <c r="I88" s="35">
        <v>3</v>
      </c>
      <c r="J88" s="34"/>
      <c r="K88" s="34">
        <v>3</v>
      </c>
      <c r="L88" s="32"/>
      <c r="M88" s="32"/>
      <c r="O88" s="4">
        <f t="shared" si="8"/>
        <v>0</v>
      </c>
      <c r="P88" s="4">
        <f t="shared" si="8"/>
        <v>8</v>
      </c>
      <c r="Q88" s="4">
        <f t="shared" si="5"/>
        <v>56</v>
      </c>
      <c r="R88" s="53">
        <f t="shared" si="6"/>
        <v>50632.4</v>
      </c>
      <c r="S88" s="5">
        <v>0</v>
      </c>
      <c r="T88" s="4">
        <f t="shared" si="7"/>
        <v>59</v>
      </c>
      <c r="U88" s="5">
        <v>15</v>
      </c>
      <c r="V88" s="5">
        <v>49</v>
      </c>
      <c r="W88" s="52">
        <f t="shared" si="9"/>
        <v>0</v>
      </c>
      <c r="X88" s="5" t="s">
        <v>486</v>
      </c>
    </row>
    <row r="89" spans="1:24" ht="26">
      <c r="A89" s="37">
        <v>3030195</v>
      </c>
      <c r="B89" s="30" t="s">
        <v>358</v>
      </c>
      <c r="C89" s="31" t="s">
        <v>14</v>
      </c>
      <c r="D89" s="32"/>
      <c r="E89" s="33">
        <v>379.315</v>
      </c>
      <c r="F89" s="32"/>
      <c r="G89" s="32">
        <v>1</v>
      </c>
      <c r="H89" s="35"/>
      <c r="I89" s="35">
        <v>5</v>
      </c>
      <c r="J89" s="34"/>
      <c r="K89" s="34">
        <v>3</v>
      </c>
      <c r="L89" s="32"/>
      <c r="M89" s="32"/>
      <c r="O89" s="4">
        <f t="shared" si="8"/>
        <v>0</v>
      </c>
      <c r="P89" s="4">
        <f t="shared" si="8"/>
        <v>9</v>
      </c>
      <c r="Q89" s="4">
        <f t="shared" si="5"/>
        <v>-9</v>
      </c>
      <c r="R89" s="53">
        <f t="shared" si="6"/>
        <v>-3413.835</v>
      </c>
      <c r="S89" s="5">
        <v>0</v>
      </c>
      <c r="T89" s="4">
        <f t="shared" si="7"/>
        <v>-6</v>
      </c>
      <c r="U89" s="5">
        <v>0</v>
      </c>
      <c r="V89" s="5">
        <v>0</v>
      </c>
      <c r="W89" s="52">
        <f t="shared" si="9"/>
        <v>0</v>
      </c>
      <c r="X89" s="5" t="s">
        <v>486</v>
      </c>
    </row>
    <row r="90" spans="1:24" ht="26">
      <c r="A90" s="37">
        <v>3030197</v>
      </c>
      <c r="B90" s="30" t="s">
        <v>359</v>
      </c>
      <c r="C90" s="31" t="s">
        <v>19</v>
      </c>
      <c r="D90" s="32">
        <v>39</v>
      </c>
      <c r="E90" s="33">
        <v>438.7</v>
      </c>
      <c r="F90" s="32"/>
      <c r="G90" s="32">
        <v>5</v>
      </c>
      <c r="H90" s="32"/>
      <c r="I90" s="32"/>
      <c r="J90" s="34"/>
      <c r="K90" s="34">
        <v>1</v>
      </c>
      <c r="L90" s="32"/>
      <c r="M90" s="32"/>
      <c r="O90" s="4">
        <f t="shared" si="8"/>
        <v>0</v>
      </c>
      <c r="P90" s="4">
        <f t="shared" si="8"/>
        <v>6</v>
      </c>
      <c r="Q90" s="4">
        <f t="shared" si="5"/>
        <v>33</v>
      </c>
      <c r="R90" s="53">
        <f t="shared" si="6"/>
        <v>14477.1</v>
      </c>
      <c r="S90" s="5">
        <v>0</v>
      </c>
      <c r="T90" s="4">
        <f t="shared" si="7"/>
        <v>34</v>
      </c>
      <c r="U90" s="5">
        <v>33</v>
      </c>
      <c r="V90" s="5">
        <v>6</v>
      </c>
      <c r="W90" s="52">
        <f t="shared" si="9"/>
        <v>0</v>
      </c>
      <c r="X90" s="5" t="s">
        <v>482</v>
      </c>
    </row>
    <row r="91" spans="1:24" ht="26">
      <c r="A91" s="37">
        <v>3030199</v>
      </c>
      <c r="B91" s="30" t="s">
        <v>360</v>
      </c>
      <c r="C91" s="31" t="s">
        <v>19</v>
      </c>
      <c r="D91" s="32">
        <v>13</v>
      </c>
      <c r="E91" s="33">
        <v>1177</v>
      </c>
      <c r="F91" s="32"/>
      <c r="G91" s="32">
        <v>5</v>
      </c>
      <c r="H91" s="35"/>
      <c r="I91" s="35">
        <v>1</v>
      </c>
      <c r="J91" s="34"/>
      <c r="K91" s="34">
        <v>10</v>
      </c>
      <c r="L91" s="32"/>
      <c r="M91" s="32"/>
      <c r="O91" s="4">
        <f t="shared" si="8"/>
        <v>0</v>
      </c>
      <c r="P91" s="4">
        <f t="shared" si="8"/>
        <v>16</v>
      </c>
      <c r="Q91" s="4">
        <f t="shared" si="5"/>
        <v>-3</v>
      </c>
      <c r="R91" s="53">
        <f t="shared" si="6"/>
        <v>-3531</v>
      </c>
      <c r="S91" s="5">
        <v>0</v>
      </c>
      <c r="T91" s="4">
        <f t="shared" si="7"/>
        <v>7</v>
      </c>
      <c r="U91" s="5">
        <v>13</v>
      </c>
      <c r="V91" s="5">
        <v>0</v>
      </c>
      <c r="W91" s="52">
        <f t="shared" si="9"/>
        <v>0</v>
      </c>
      <c r="X91" s="5" t="s">
        <v>486</v>
      </c>
    </row>
    <row r="92" spans="1:24" ht="26">
      <c r="A92" s="37">
        <v>3030201</v>
      </c>
      <c r="B92" s="30" t="s">
        <v>81</v>
      </c>
      <c r="C92" s="31" t="s">
        <v>19</v>
      </c>
      <c r="D92" s="32">
        <v>18</v>
      </c>
      <c r="E92" s="33">
        <v>1337.5</v>
      </c>
      <c r="F92" s="32"/>
      <c r="G92" s="32">
        <v>2</v>
      </c>
      <c r="H92" s="32"/>
      <c r="I92" s="32"/>
      <c r="J92" s="34"/>
      <c r="K92" s="34">
        <v>5</v>
      </c>
      <c r="L92" s="32"/>
      <c r="M92" s="32"/>
      <c r="O92" s="4">
        <f t="shared" si="8"/>
        <v>0</v>
      </c>
      <c r="P92" s="4">
        <f t="shared" si="8"/>
        <v>7</v>
      </c>
      <c r="Q92" s="4">
        <f t="shared" si="5"/>
        <v>11</v>
      </c>
      <c r="R92" s="53">
        <f t="shared" si="6"/>
        <v>14712.5</v>
      </c>
      <c r="S92" s="5">
        <v>0</v>
      </c>
      <c r="T92" s="4">
        <f t="shared" si="7"/>
        <v>16</v>
      </c>
      <c r="U92" s="5">
        <v>9</v>
      </c>
      <c r="V92" s="5">
        <v>9</v>
      </c>
      <c r="W92" s="52">
        <f t="shared" si="9"/>
        <v>0</v>
      </c>
      <c r="X92" s="5" t="s">
        <v>482</v>
      </c>
    </row>
    <row r="93" spans="1:24" ht="26">
      <c r="A93" s="37">
        <v>3030203</v>
      </c>
      <c r="B93" s="30" t="s">
        <v>82</v>
      </c>
      <c r="C93" s="31" t="s">
        <v>14</v>
      </c>
      <c r="D93" s="32">
        <v>84</v>
      </c>
      <c r="E93" s="33">
        <v>374.5</v>
      </c>
      <c r="F93" s="32"/>
      <c r="G93" s="32">
        <v>2</v>
      </c>
      <c r="H93" s="35"/>
      <c r="I93" s="35">
        <v>1</v>
      </c>
      <c r="J93" s="34"/>
      <c r="K93" s="34">
        <v>11</v>
      </c>
      <c r="L93" s="32"/>
      <c r="M93" s="32"/>
      <c r="O93" s="4">
        <f t="shared" si="8"/>
        <v>0</v>
      </c>
      <c r="P93" s="4">
        <f t="shared" si="8"/>
        <v>14</v>
      </c>
      <c r="Q93" s="4">
        <f t="shared" si="5"/>
        <v>70</v>
      </c>
      <c r="R93" s="53">
        <f t="shared" si="6"/>
        <v>26215</v>
      </c>
      <c r="S93" s="5">
        <v>0</v>
      </c>
      <c r="T93" s="4">
        <f t="shared" si="7"/>
        <v>81</v>
      </c>
      <c r="U93" s="5">
        <v>34</v>
      </c>
      <c r="V93" s="5">
        <v>50</v>
      </c>
      <c r="W93" s="52">
        <f t="shared" si="9"/>
        <v>0</v>
      </c>
      <c r="X93" s="5" t="s">
        <v>486</v>
      </c>
    </row>
    <row r="94" spans="1:24" ht="26">
      <c r="A94" s="37">
        <v>3030213</v>
      </c>
      <c r="B94" s="30" t="s">
        <v>83</v>
      </c>
      <c r="C94" s="31" t="s">
        <v>14</v>
      </c>
      <c r="D94" s="32">
        <v>21</v>
      </c>
      <c r="E94" s="33">
        <v>644.14</v>
      </c>
      <c r="F94" s="32"/>
      <c r="G94" s="32"/>
      <c r="H94" s="32"/>
      <c r="I94" s="32"/>
      <c r="J94" s="32"/>
      <c r="K94" s="32"/>
      <c r="L94" s="32"/>
      <c r="M94" s="32"/>
      <c r="O94" s="4">
        <f t="shared" si="8"/>
        <v>0</v>
      </c>
      <c r="P94" s="4">
        <f t="shared" si="8"/>
        <v>0</v>
      </c>
      <c r="Q94" s="4">
        <f t="shared" si="5"/>
        <v>21</v>
      </c>
      <c r="R94" s="53">
        <f t="shared" si="6"/>
        <v>13526.94</v>
      </c>
      <c r="S94" s="5">
        <v>0</v>
      </c>
      <c r="T94" s="4">
        <f t="shared" si="7"/>
        <v>21</v>
      </c>
      <c r="U94" s="5">
        <v>0</v>
      </c>
      <c r="V94" s="5">
        <v>21</v>
      </c>
      <c r="W94" s="52">
        <f t="shared" si="9"/>
        <v>0</v>
      </c>
      <c r="X94" s="5" t="s">
        <v>486</v>
      </c>
    </row>
    <row r="95" spans="1:24" ht="26">
      <c r="A95" s="41">
        <v>3030214</v>
      </c>
      <c r="B95" s="30" t="s">
        <v>84</v>
      </c>
      <c r="C95" s="31" t="s">
        <v>22</v>
      </c>
      <c r="D95" s="32">
        <v>99</v>
      </c>
      <c r="E95" s="33">
        <v>21.4</v>
      </c>
      <c r="F95" s="32"/>
      <c r="G95" s="32"/>
      <c r="H95" s="32"/>
      <c r="I95" s="32"/>
      <c r="J95" s="32"/>
      <c r="K95" s="32"/>
      <c r="L95" s="32"/>
      <c r="M95" s="32"/>
      <c r="O95" s="4">
        <f t="shared" si="8"/>
        <v>0</v>
      </c>
      <c r="P95" s="4">
        <f t="shared" si="8"/>
        <v>0</v>
      </c>
      <c r="Q95" s="4">
        <f t="shared" si="5"/>
        <v>99</v>
      </c>
      <c r="R95" s="53">
        <f t="shared" si="6"/>
        <v>2118.6</v>
      </c>
      <c r="S95" s="5">
        <v>0</v>
      </c>
      <c r="T95" s="4">
        <f t="shared" si="7"/>
        <v>99</v>
      </c>
      <c r="U95" s="5">
        <v>9</v>
      </c>
      <c r="V95" s="5">
        <v>90</v>
      </c>
      <c r="W95" s="52">
        <f t="shared" si="9"/>
        <v>0</v>
      </c>
      <c r="X95" s="5"/>
    </row>
    <row r="96" spans="1:24" ht="26">
      <c r="A96" s="41">
        <v>3030216</v>
      </c>
      <c r="B96" s="30" t="s">
        <v>85</v>
      </c>
      <c r="C96" s="31" t="s">
        <v>22</v>
      </c>
      <c r="D96" s="32">
        <v>59</v>
      </c>
      <c r="E96" s="33">
        <v>21.4</v>
      </c>
      <c r="F96" s="32"/>
      <c r="G96" s="32"/>
      <c r="H96" s="32"/>
      <c r="I96" s="32"/>
      <c r="J96" s="32"/>
      <c r="K96" s="32"/>
      <c r="L96" s="32"/>
      <c r="M96" s="32"/>
      <c r="O96" s="4">
        <f t="shared" si="8"/>
        <v>0</v>
      </c>
      <c r="P96" s="4">
        <f t="shared" si="8"/>
        <v>0</v>
      </c>
      <c r="Q96" s="4">
        <f t="shared" si="5"/>
        <v>59</v>
      </c>
      <c r="R96" s="53">
        <f t="shared" si="6"/>
        <v>1262.5999999999999</v>
      </c>
      <c r="S96" s="5">
        <v>0</v>
      </c>
      <c r="T96" s="4">
        <f t="shared" si="7"/>
        <v>59</v>
      </c>
      <c r="U96" s="5">
        <v>5</v>
      </c>
      <c r="V96" s="5">
        <v>54</v>
      </c>
      <c r="W96" s="52">
        <f t="shared" si="9"/>
        <v>0</v>
      </c>
      <c r="X96" s="5"/>
    </row>
    <row r="97" spans="1:24" ht="26">
      <c r="A97" s="41">
        <v>3030217</v>
      </c>
      <c r="B97" s="30" t="s">
        <v>86</v>
      </c>
      <c r="C97" s="31" t="s">
        <v>18</v>
      </c>
      <c r="D97" s="32">
        <v>42</v>
      </c>
      <c r="E97" s="33">
        <v>1476.6</v>
      </c>
      <c r="F97" s="32"/>
      <c r="G97" s="32">
        <v>1</v>
      </c>
      <c r="H97" s="35"/>
      <c r="I97" s="35">
        <v>1</v>
      </c>
      <c r="J97" s="32"/>
      <c r="K97" s="32"/>
      <c r="L97" s="32"/>
      <c r="M97" s="32"/>
      <c r="O97" s="4">
        <f t="shared" si="8"/>
        <v>0</v>
      </c>
      <c r="P97" s="4">
        <f t="shared" si="8"/>
        <v>2</v>
      </c>
      <c r="Q97" s="4">
        <f t="shared" si="5"/>
        <v>40</v>
      </c>
      <c r="R97" s="53">
        <f t="shared" si="6"/>
        <v>59064</v>
      </c>
      <c r="S97" s="5">
        <v>0</v>
      </c>
      <c r="T97" s="4">
        <f t="shared" si="7"/>
        <v>40</v>
      </c>
      <c r="U97" s="5">
        <v>8</v>
      </c>
      <c r="V97" s="5">
        <v>34</v>
      </c>
      <c r="W97" s="52">
        <f t="shared" si="9"/>
        <v>0</v>
      </c>
      <c r="X97" s="5" t="s">
        <v>482</v>
      </c>
    </row>
    <row r="98" spans="1:24" ht="26">
      <c r="A98" s="134">
        <v>3030218</v>
      </c>
      <c r="B98" s="124" t="s">
        <v>87</v>
      </c>
      <c r="C98" s="125" t="s">
        <v>17</v>
      </c>
      <c r="D98" s="128">
        <v>10</v>
      </c>
      <c r="E98" s="129">
        <v>48.15</v>
      </c>
      <c r="F98" s="128"/>
      <c r="G98" s="128"/>
      <c r="H98" s="128"/>
      <c r="I98" s="128"/>
      <c r="J98" s="128"/>
      <c r="K98" s="128"/>
      <c r="L98" s="128"/>
      <c r="M98" s="128"/>
      <c r="N98" s="130"/>
      <c r="O98" s="131">
        <f t="shared" si="8"/>
        <v>0</v>
      </c>
      <c r="P98" s="131">
        <f t="shared" si="8"/>
        <v>0</v>
      </c>
      <c r="Q98" s="131">
        <f t="shared" si="5"/>
        <v>10</v>
      </c>
      <c r="R98" s="132">
        <f t="shared" si="6"/>
        <v>481.5</v>
      </c>
      <c r="S98" s="100">
        <v>0</v>
      </c>
      <c r="T98" s="131">
        <f t="shared" si="7"/>
        <v>10</v>
      </c>
      <c r="U98" s="100">
        <v>7</v>
      </c>
      <c r="V98" s="100">
        <v>3</v>
      </c>
      <c r="W98" s="133">
        <f t="shared" si="9"/>
        <v>0</v>
      </c>
      <c r="X98" s="100" t="s">
        <v>437</v>
      </c>
    </row>
    <row r="99" spans="1:24" ht="26">
      <c r="A99" s="134">
        <v>3030220</v>
      </c>
      <c r="B99" s="124" t="s">
        <v>88</v>
      </c>
      <c r="C99" s="125" t="s">
        <v>17</v>
      </c>
      <c r="D99" s="128">
        <v>52</v>
      </c>
      <c r="E99" s="129">
        <v>64.2</v>
      </c>
      <c r="F99" s="128"/>
      <c r="G99" s="128"/>
      <c r="H99" s="128"/>
      <c r="I99" s="128"/>
      <c r="J99" s="142"/>
      <c r="K99" s="142">
        <v>1</v>
      </c>
      <c r="L99" s="128"/>
      <c r="M99" s="128"/>
      <c r="N99" s="130"/>
      <c r="O99" s="131">
        <f t="shared" si="8"/>
        <v>0</v>
      </c>
      <c r="P99" s="131">
        <f t="shared" si="8"/>
        <v>1</v>
      </c>
      <c r="Q99" s="131">
        <f t="shared" si="5"/>
        <v>51</v>
      </c>
      <c r="R99" s="132">
        <f t="shared" si="6"/>
        <v>3274.2000000000003</v>
      </c>
      <c r="S99" s="100">
        <v>0</v>
      </c>
      <c r="T99" s="131">
        <f t="shared" si="7"/>
        <v>52</v>
      </c>
      <c r="U99" s="100">
        <v>0</v>
      </c>
      <c r="V99" s="100">
        <v>52</v>
      </c>
      <c r="W99" s="133">
        <f t="shared" si="9"/>
        <v>0</v>
      </c>
      <c r="X99" s="100" t="s">
        <v>437</v>
      </c>
    </row>
    <row r="100" spans="1:24" ht="27">
      <c r="A100" s="134">
        <v>3030220</v>
      </c>
      <c r="B100" s="124" t="s">
        <v>88</v>
      </c>
      <c r="C100" s="125" t="s">
        <v>17</v>
      </c>
      <c r="D100" s="128"/>
      <c r="E100" s="129">
        <v>51.36</v>
      </c>
      <c r="F100" s="128"/>
      <c r="G100" s="128"/>
      <c r="H100" s="143">
        <v>30</v>
      </c>
      <c r="I100" s="143"/>
      <c r="J100" s="128"/>
      <c r="K100" s="128"/>
      <c r="L100" s="128"/>
      <c r="M100" s="128"/>
      <c r="N100" s="130"/>
      <c r="O100" s="131">
        <f t="shared" si="8"/>
        <v>30</v>
      </c>
      <c r="P100" s="131">
        <f t="shared" si="8"/>
        <v>0</v>
      </c>
      <c r="Q100" s="131">
        <f t="shared" si="5"/>
        <v>30</v>
      </c>
      <c r="R100" s="132">
        <f t="shared" si="6"/>
        <v>1540.8</v>
      </c>
      <c r="S100" s="100">
        <v>0</v>
      </c>
      <c r="T100" s="131">
        <f t="shared" si="7"/>
        <v>60</v>
      </c>
      <c r="U100" s="100">
        <v>0</v>
      </c>
      <c r="V100" s="100">
        <v>0</v>
      </c>
      <c r="W100" s="133">
        <f t="shared" si="9"/>
        <v>0</v>
      </c>
      <c r="X100" s="100" t="s">
        <v>437</v>
      </c>
    </row>
    <row r="101" spans="1:24" ht="26">
      <c r="A101" s="37">
        <v>3030221</v>
      </c>
      <c r="B101" s="30" t="s">
        <v>89</v>
      </c>
      <c r="C101" s="31" t="s">
        <v>14</v>
      </c>
      <c r="D101" s="32">
        <v>0</v>
      </c>
      <c r="E101" s="33">
        <v>0</v>
      </c>
      <c r="F101" s="32"/>
      <c r="G101" s="32"/>
      <c r="H101" s="32"/>
      <c r="I101" s="32"/>
      <c r="J101" s="32"/>
      <c r="K101" s="32"/>
      <c r="L101" s="32"/>
      <c r="M101" s="32"/>
      <c r="O101" s="4">
        <f t="shared" si="8"/>
        <v>0</v>
      </c>
      <c r="P101" s="4">
        <f t="shared" si="8"/>
        <v>0</v>
      </c>
      <c r="Q101" s="4">
        <f t="shared" si="5"/>
        <v>0</v>
      </c>
      <c r="R101" s="53">
        <f t="shared" si="6"/>
        <v>0</v>
      </c>
      <c r="S101" s="5">
        <v>0</v>
      </c>
      <c r="T101" s="4">
        <f t="shared" si="7"/>
        <v>0</v>
      </c>
      <c r="U101" s="5">
        <v>0</v>
      </c>
      <c r="V101" s="5">
        <v>0</v>
      </c>
      <c r="W101" s="52">
        <f t="shared" si="9"/>
        <v>0</v>
      </c>
      <c r="X101" s="5" t="s">
        <v>482</v>
      </c>
    </row>
    <row r="102" spans="1:24" ht="26">
      <c r="A102" s="134">
        <v>3030222</v>
      </c>
      <c r="B102" s="124" t="s">
        <v>90</v>
      </c>
      <c r="C102" s="125" t="s">
        <v>17</v>
      </c>
      <c r="D102" s="128">
        <v>33</v>
      </c>
      <c r="E102" s="129">
        <v>53.5</v>
      </c>
      <c r="F102" s="128"/>
      <c r="G102" s="128"/>
      <c r="H102" s="128"/>
      <c r="I102" s="128"/>
      <c r="J102" s="142"/>
      <c r="K102" s="142">
        <v>1</v>
      </c>
      <c r="L102" s="128"/>
      <c r="M102" s="128"/>
      <c r="N102" s="130"/>
      <c r="O102" s="131">
        <f t="shared" si="8"/>
        <v>0</v>
      </c>
      <c r="P102" s="131">
        <f t="shared" si="8"/>
        <v>1</v>
      </c>
      <c r="Q102" s="131">
        <f t="shared" si="5"/>
        <v>32</v>
      </c>
      <c r="R102" s="132">
        <f t="shared" si="6"/>
        <v>1712</v>
      </c>
      <c r="S102" s="100">
        <v>0</v>
      </c>
      <c r="T102" s="131">
        <f t="shared" si="7"/>
        <v>33</v>
      </c>
      <c r="U102" s="100">
        <v>7</v>
      </c>
      <c r="V102" s="100">
        <v>26</v>
      </c>
      <c r="W102" s="133">
        <f t="shared" si="9"/>
        <v>0</v>
      </c>
      <c r="X102" s="100" t="s">
        <v>437</v>
      </c>
    </row>
    <row r="103" spans="1:24" ht="27">
      <c r="A103" s="138">
        <v>3030223</v>
      </c>
      <c r="B103" s="136" t="s">
        <v>91</v>
      </c>
      <c r="C103" s="31" t="s">
        <v>14</v>
      </c>
      <c r="D103" s="32">
        <v>74</v>
      </c>
      <c r="E103" s="33">
        <v>6.42</v>
      </c>
      <c r="F103" s="32"/>
      <c r="G103" s="32"/>
      <c r="H103" s="42">
        <v>30</v>
      </c>
      <c r="I103" s="42"/>
      <c r="J103" s="32"/>
      <c r="K103" s="32"/>
      <c r="L103" s="32"/>
      <c r="M103" s="32"/>
      <c r="O103" s="4">
        <f t="shared" si="8"/>
        <v>30</v>
      </c>
      <c r="P103" s="4">
        <f t="shared" si="8"/>
        <v>0</v>
      </c>
      <c r="Q103" s="4">
        <f t="shared" si="5"/>
        <v>104</v>
      </c>
      <c r="R103" s="53">
        <f t="shared" si="6"/>
        <v>667.68</v>
      </c>
      <c r="S103" s="5">
        <v>0</v>
      </c>
      <c r="T103" s="4">
        <f t="shared" si="7"/>
        <v>134</v>
      </c>
      <c r="U103" s="5">
        <v>0</v>
      </c>
      <c r="V103" s="5">
        <v>74</v>
      </c>
      <c r="W103" s="52">
        <f t="shared" si="9"/>
        <v>0</v>
      </c>
      <c r="X103" s="5"/>
    </row>
    <row r="104" spans="1:24" ht="26">
      <c r="A104" s="138">
        <v>3030223</v>
      </c>
      <c r="B104" s="136" t="s">
        <v>91</v>
      </c>
      <c r="C104" s="31" t="s">
        <v>14</v>
      </c>
      <c r="D104" s="32"/>
      <c r="E104" s="33">
        <v>5.0289999999999999</v>
      </c>
      <c r="F104" s="32"/>
      <c r="G104" s="32"/>
      <c r="H104" s="32"/>
      <c r="I104" s="32"/>
      <c r="J104" s="32"/>
      <c r="K104" s="32"/>
      <c r="L104" s="32"/>
      <c r="M104" s="32"/>
      <c r="O104" s="4">
        <f t="shared" si="8"/>
        <v>0</v>
      </c>
      <c r="P104" s="4">
        <f t="shared" si="8"/>
        <v>0</v>
      </c>
      <c r="Q104" s="4">
        <f t="shared" si="5"/>
        <v>0</v>
      </c>
      <c r="R104" s="53">
        <f t="shared" si="6"/>
        <v>0</v>
      </c>
      <c r="S104" s="5">
        <v>0</v>
      </c>
      <c r="T104" s="4">
        <f t="shared" si="7"/>
        <v>0</v>
      </c>
      <c r="U104" s="5">
        <v>0</v>
      </c>
      <c r="V104" s="5">
        <v>0</v>
      </c>
      <c r="W104" s="52">
        <f t="shared" si="9"/>
        <v>0</v>
      </c>
      <c r="X104" s="5"/>
    </row>
    <row r="105" spans="1:24" ht="26">
      <c r="A105" s="141">
        <v>3030224</v>
      </c>
      <c r="B105" s="136" t="s">
        <v>92</v>
      </c>
      <c r="C105" s="31" t="s">
        <v>17</v>
      </c>
      <c r="D105" s="32">
        <v>16</v>
      </c>
      <c r="E105" s="33">
        <v>64.2</v>
      </c>
      <c r="F105" s="32"/>
      <c r="G105" s="32"/>
      <c r="H105" s="32"/>
      <c r="I105" s="32"/>
      <c r="J105" s="32"/>
      <c r="K105" s="32"/>
      <c r="L105" s="32"/>
      <c r="M105" s="32"/>
      <c r="O105" s="4">
        <f t="shared" si="8"/>
        <v>0</v>
      </c>
      <c r="P105" s="4">
        <f t="shared" si="8"/>
        <v>0</v>
      </c>
      <c r="Q105" s="4">
        <f t="shared" si="5"/>
        <v>16</v>
      </c>
      <c r="R105" s="53">
        <f t="shared" si="6"/>
        <v>1027.2</v>
      </c>
      <c r="S105" s="5">
        <v>0</v>
      </c>
      <c r="T105" s="4">
        <f t="shared" si="7"/>
        <v>16</v>
      </c>
      <c r="U105" s="5">
        <v>0</v>
      </c>
      <c r="V105" s="5">
        <v>16</v>
      </c>
      <c r="W105" s="52">
        <f t="shared" si="9"/>
        <v>0</v>
      </c>
      <c r="X105" s="5"/>
    </row>
    <row r="106" spans="1:24" ht="26">
      <c r="A106" s="141">
        <v>3030224</v>
      </c>
      <c r="B106" s="136" t="s">
        <v>92</v>
      </c>
      <c r="C106" s="31" t="s">
        <v>17</v>
      </c>
      <c r="D106" s="32"/>
      <c r="E106" s="33">
        <v>58.85</v>
      </c>
      <c r="F106" s="32"/>
      <c r="G106" s="32"/>
      <c r="H106" s="32"/>
      <c r="I106" s="32"/>
      <c r="J106" s="32"/>
      <c r="K106" s="32"/>
      <c r="L106" s="32"/>
      <c r="M106" s="32"/>
      <c r="O106" s="4">
        <f t="shared" si="8"/>
        <v>0</v>
      </c>
      <c r="P106" s="4">
        <f t="shared" si="8"/>
        <v>0</v>
      </c>
      <c r="Q106" s="4">
        <f t="shared" si="5"/>
        <v>0</v>
      </c>
      <c r="R106" s="53">
        <f t="shared" si="6"/>
        <v>0</v>
      </c>
      <c r="S106" s="5">
        <v>0</v>
      </c>
      <c r="T106" s="4">
        <f t="shared" si="7"/>
        <v>0</v>
      </c>
      <c r="U106" s="5">
        <v>0</v>
      </c>
      <c r="V106" s="5">
        <v>0</v>
      </c>
      <c r="W106" s="52">
        <f t="shared" si="9"/>
        <v>0</v>
      </c>
      <c r="X106" s="5"/>
    </row>
    <row r="107" spans="1:24" ht="26">
      <c r="A107" s="37">
        <v>3030225</v>
      </c>
      <c r="B107" s="30" t="s">
        <v>93</v>
      </c>
      <c r="C107" s="31" t="s">
        <v>14</v>
      </c>
      <c r="D107" s="32">
        <v>8</v>
      </c>
      <c r="E107" s="33">
        <v>4.71</v>
      </c>
      <c r="F107" s="32"/>
      <c r="G107" s="32"/>
      <c r="H107" s="32"/>
      <c r="I107" s="32"/>
      <c r="J107" s="32"/>
      <c r="K107" s="32"/>
      <c r="L107" s="32"/>
      <c r="M107" s="32"/>
      <c r="O107" s="4">
        <f t="shared" si="8"/>
        <v>0</v>
      </c>
      <c r="P107" s="4">
        <f t="shared" si="8"/>
        <v>0</v>
      </c>
      <c r="Q107" s="4">
        <f t="shared" si="5"/>
        <v>8</v>
      </c>
      <c r="R107" s="53">
        <f t="shared" si="6"/>
        <v>37.68</v>
      </c>
      <c r="S107" s="5">
        <v>0</v>
      </c>
      <c r="T107" s="4">
        <f t="shared" si="7"/>
        <v>8</v>
      </c>
      <c r="U107" s="5">
        <v>0</v>
      </c>
      <c r="V107" s="5">
        <v>8</v>
      </c>
      <c r="W107" s="52">
        <f t="shared" si="9"/>
        <v>0</v>
      </c>
      <c r="X107" s="5" t="s">
        <v>468</v>
      </c>
    </row>
    <row r="108" spans="1:24" ht="26">
      <c r="A108" s="41">
        <v>3030226</v>
      </c>
      <c r="B108" s="30" t="s">
        <v>94</v>
      </c>
      <c r="C108" s="31" t="s">
        <v>17</v>
      </c>
      <c r="D108" s="32">
        <v>15</v>
      </c>
      <c r="E108" s="33">
        <v>53.5</v>
      </c>
      <c r="F108" s="32"/>
      <c r="G108" s="32"/>
      <c r="H108" s="32"/>
      <c r="I108" s="32"/>
      <c r="J108" s="32"/>
      <c r="K108" s="32"/>
      <c r="L108" s="32"/>
      <c r="M108" s="32"/>
      <c r="O108" s="4">
        <f t="shared" si="8"/>
        <v>0</v>
      </c>
      <c r="P108" s="4">
        <f t="shared" si="8"/>
        <v>0</v>
      </c>
      <c r="Q108" s="4">
        <f t="shared" si="5"/>
        <v>15</v>
      </c>
      <c r="R108" s="53">
        <f t="shared" si="6"/>
        <v>802.5</v>
      </c>
      <c r="S108" s="5">
        <v>0</v>
      </c>
      <c r="T108" s="4">
        <f t="shared" si="7"/>
        <v>15</v>
      </c>
      <c r="U108" s="5">
        <v>0</v>
      </c>
      <c r="V108" s="5">
        <v>15</v>
      </c>
      <c r="W108" s="52">
        <f t="shared" si="9"/>
        <v>0</v>
      </c>
      <c r="X108" s="5"/>
    </row>
    <row r="109" spans="1:24" ht="26">
      <c r="A109" s="37">
        <v>3030227</v>
      </c>
      <c r="B109" s="30" t="s">
        <v>95</v>
      </c>
      <c r="C109" s="31" t="s">
        <v>14</v>
      </c>
      <c r="D109" s="32">
        <v>8</v>
      </c>
      <c r="E109" s="33">
        <v>18.510000000000002</v>
      </c>
      <c r="F109" s="32"/>
      <c r="G109" s="32"/>
      <c r="H109" s="32"/>
      <c r="I109" s="32"/>
      <c r="J109" s="32"/>
      <c r="K109" s="32"/>
      <c r="L109" s="32"/>
      <c r="M109" s="32"/>
      <c r="O109" s="4">
        <f t="shared" si="8"/>
        <v>0</v>
      </c>
      <c r="P109" s="4">
        <f t="shared" si="8"/>
        <v>0</v>
      </c>
      <c r="Q109" s="4">
        <f t="shared" si="5"/>
        <v>8</v>
      </c>
      <c r="R109" s="53">
        <f t="shared" si="6"/>
        <v>148.08000000000001</v>
      </c>
      <c r="S109" s="5">
        <v>0</v>
      </c>
      <c r="T109" s="4">
        <f t="shared" si="7"/>
        <v>8</v>
      </c>
      <c r="U109" s="5">
        <v>0</v>
      </c>
      <c r="V109" s="5">
        <v>8</v>
      </c>
      <c r="W109" s="52">
        <f t="shared" si="9"/>
        <v>0</v>
      </c>
      <c r="X109" s="5" t="s">
        <v>482</v>
      </c>
    </row>
    <row r="110" spans="1:24" ht="26">
      <c r="A110" s="41">
        <v>3030228</v>
      </c>
      <c r="B110" s="30" t="s">
        <v>96</v>
      </c>
      <c r="C110" s="31" t="s">
        <v>17</v>
      </c>
      <c r="D110" s="32">
        <v>35</v>
      </c>
      <c r="E110" s="33">
        <v>74.900000000000006</v>
      </c>
      <c r="F110" s="32"/>
      <c r="G110" s="32"/>
      <c r="H110" s="32"/>
      <c r="I110" s="32"/>
      <c r="J110" s="32"/>
      <c r="K110" s="32"/>
      <c r="L110" s="32"/>
      <c r="M110" s="32"/>
      <c r="O110" s="4">
        <f t="shared" si="8"/>
        <v>0</v>
      </c>
      <c r="P110" s="4">
        <f t="shared" si="8"/>
        <v>0</v>
      </c>
      <c r="Q110" s="4">
        <f t="shared" si="5"/>
        <v>35</v>
      </c>
      <c r="R110" s="53">
        <f t="shared" si="6"/>
        <v>2621.5</v>
      </c>
      <c r="S110" s="5">
        <v>0</v>
      </c>
      <c r="T110" s="4">
        <f t="shared" si="7"/>
        <v>35</v>
      </c>
      <c r="U110" s="5">
        <v>0</v>
      </c>
      <c r="V110" s="5">
        <v>35</v>
      </c>
      <c r="W110" s="52">
        <f t="shared" si="9"/>
        <v>0</v>
      </c>
      <c r="X110" s="5"/>
    </row>
    <row r="111" spans="1:24" ht="27">
      <c r="A111" s="41">
        <v>3030230</v>
      </c>
      <c r="B111" s="30" t="s">
        <v>97</v>
      </c>
      <c r="C111" s="31" t="s">
        <v>15</v>
      </c>
      <c r="D111" s="32"/>
      <c r="E111" s="33">
        <v>256.8</v>
      </c>
      <c r="F111" s="32"/>
      <c r="G111" s="32">
        <v>1</v>
      </c>
      <c r="H111" s="42">
        <v>30</v>
      </c>
      <c r="I111" s="42"/>
      <c r="J111" s="32"/>
      <c r="K111" s="32"/>
      <c r="L111" s="32"/>
      <c r="M111" s="32"/>
      <c r="O111" s="4">
        <f t="shared" si="8"/>
        <v>30</v>
      </c>
      <c r="P111" s="4">
        <f t="shared" si="8"/>
        <v>1</v>
      </c>
      <c r="Q111" s="4">
        <f t="shared" si="5"/>
        <v>29</v>
      </c>
      <c r="R111" s="53">
        <f t="shared" si="6"/>
        <v>7447.2000000000007</v>
      </c>
      <c r="S111" s="5">
        <v>0</v>
      </c>
      <c r="T111" s="4">
        <f t="shared" si="7"/>
        <v>59</v>
      </c>
      <c r="U111" s="5">
        <v>0</v>
      </c>
      <c r="V111" s="5">
        <v>0</v>
      </c>
      <c r="W111" s="52">
        <f t="shared" si="9"/>
        <v>0</v>
      </c>
      <c r="X111" s="5" t="s">
        <v>479</v>
      </c>
    </row>
    <row r="112" spans="1:24" ht="26">
      <c r="A112" s="37">
        <v>3030231</v>
      </c>
      <c r="B112" s="30" t="s">
        <v>98</v>
      </c>
      <c r="C112" s="31" t="s">
        <v>14</v>
      </c>
      <c r="D112" s="32">
        <v>5</v>
      </c>
      <c r="E112" s="33">
        <v>28.355</v>
      </c>
      <c r="F112" s="32"/>
      <c r="G112" s="32"/>
      <c r="H112" s="32"/>
      <c r="I112" s="32"/>
      <c r="J112" s="32"/>
      <c r="K112" s="32"/>
      <c r="L112" s="32"/>
      <c r="M112" s="32"/>
      <c r="O112" s="4">
        <f t="shared" si="8"/>
        <v>0</v>
      </c>
      <c r="P112" s="4">
        <f t="shared" si="8"/>
        <v>0</v>
      </c>
      <c r="Q112" s="4">
        <f t="shared" si="5"/>
        <v>5</v>
      </c>
      <c r="R112" s="53">
        <f t="shared" si="6"/>
        <v>141.77500000000001</v>
      </c>
      <c r="S112" s="5">
        <v>0</v>
      </c>
      <c r="T112" s="4">
        <f t="shared" si="7"/>
        <v>5</v>
      </c>
      <c r="U112" s="5">
        <v>3</v>
      </c>
      <c r="V112" s="5">
        <v>2</v>
      </c>
      <c r="W112" s="52">
        <f t="shared" si="9"/>
        <v>0</v>
      </c>
      <c r="X112" s="5" t="s">
        <v>487</v>
      </c>
    </row>
    <row r="113" spans="1:24" ht="26">
      <c r="A113" s="37">
        <v>3030232</v>
      </c>
      <c r="B113" s="30" t="s">
        <v>99</v>
      </c>
      <c r="C113" s="31" t="s">
        <v>14</v>
      </c>
      <c r="D113" s="32">
        <v>0</v>
      </c>
      <c r="E113" s="33">
        <v>0</v>
      </c>
      <c r="F113" s="32"/>
      <c r="G113" s="32"/>
      <c r="H113" s="32"/>
      <c r="I113" s="32"/>
      <c r="J113" s="32"/>
      <c r="K113" s="32"/>
      <c r="L113" s="32"/>
      <c r="M113" s="32"/>
      <c r="O113" s="4">
        <f t="shared" si="8"/>
        <v>0</v>
      </c>
      <c r="P113" s="4">
        <f t="shared" si="8"/>
        <v>0</v>
      </c>
      <c r="Q113" s="4">
        <f t="shared" si="5"/>
        <v>0</v>
      </c>
      <c r="R113" s="53">
        <f t="shared" si="6"/>
        <v>0</v>
      </c>
      <c r="S113" s="5">
        <v>0</v>
      </c>
      <c r="T113" s="4">
        <f t="shared" si="7"/>
        <v>0</v>
      </c>
      <c r="U113" s="5">
        <v>0</v>
      </c>
      <c r="V113" s="5">
        <v>0</v>
      </c>
      <c r="W113" s="52">
        <f t="shared" si="9"/>
        <v>0</v>
      </c>
      <c r="X113" s="5" t="s">
        <v>470</v>
      </c>
    </row>
    <row r="114" spans="1:24" ht="26">
      <c r="A114" s="37">
        <v>3030233</v>
      </c>
      <c r="B114" s="30" t="s">
        <v>100</v>
      </c>
      <c r="C114" s="31" t="s">
        <v>14</v>
      </c>
      <c r="D114" s="32">
        <v>6</v>
      </c>
      <c r="E114" s="33">
        <v>18.510999999999999</v>
      </c>
      <c r="F114" s="32"/>
      <c r="G114" s="32"/>
      <c r="H114" s="32"/>
      <c r="I114" s="32"/>
      <c r="J114" s="32"/>
      <c r="K114" s="32"/>
      <c r="L114" s="32"/>
      <c r="M114" s="32"/>
      <c r="O114" s="4">
        <f t="shared" si="8"/>
        <v>0</v>
      </c>
      <c r="P114" s="4">
        <f t="shared" si="8"/>
        <v>0</v>
      </c>
      <c r="Q114" s="4">
        <f t="shared" si="5"/>
        <v>6</v>
      </c>
      <c r="R114" s="53">
        <f t="shared" si="6"/>
        <v>111.066</v>
      </c>
      <c r="S114" s="5">
        <v>0</v>
      </c>
      <c r="T114" s="4">
        <f t="shared" si="7"/>
        <v>6</v>
      </c>
      <c r="U114" s="5">
        <v>4</v>
      </c>
      <c r="V114" s="5">
        <v>2</v>
      </c>
      <c r="W114" s="52">
        <f t="shared" si="9"/>
        <v>0</v>
      </c>
      <c r="X114" s="5" t="s">
        <v>488</v>
      </c>
    </row>
    <row r="115" spans="1:24" ht="26">
      <c r="A115" s="41">
        <v>3030234</v>
      </c>
      <c r="B115" s="30" t="s">
        <v>101</v>
      </c>
      <c r="C115" s="31" t="s">
        <v>15</v>
      </c>
      <c r="D115" s="32">
        <v>21</v>
      </c>
      <c r="E115" s="33">
        <v>0</v>
      </c>
      <c r="F115" s="32"/>
      <c r="G115" s="32"/>
      <c r="H115" s="32"/>
      <c r="I115" s="32"/>
      <c r="J115" s="32"/>
      <c r="K115" s="32"/>
      <c r="L115" s="32"/>
      <c r="M115" s="32"/>
      <c r="O115" s="4">
        <f t="shared" si="8"/>
        <v>0</v>
      </c>
      <c r="P115" s="4">
        <f t="shared" si="8"/>
        <v>0</v>
      </c>
      <c r="Q115" s="4">
        <f t="shared" si="5"/>
        <v>21</v>
      </c>
      <c r="R115" s="53">
        <f t="shared" si="6"/>
        <v>0</v>
      </c>
      <c r="S115" s="5">
        <v>0</v>
      </c>
      <c r="T115" s="4">
        <f t="shared" si="7"/>
        <v>21</v>
      </c>
      <c r="U115" s="5">
        <v>5</v>
      </c>
      <c r="V115" s="5">
        <v>16</v>
      </c>
      <c r="W115" s="52">
        <f t="shared" si="9"/>
        <v>0</v>
      </c>
      <c r="X115" s="5" t="s">
        <v>476</v>
      </c>
    </row>
    <row r="116" spans="1:24" ht="26">
      <c r="A116" s="141">
        <v>3030236</v>
      </c>
      <c r="B116" s="136" t="s">
        <v>102</v>
      </c>
      <c r="C116" s="31" t="s">
        <v>103</v>
      </c>
      <c r="D116" s="32">
        <v>224</v>
      </c>
      <c r="E116" s="33">
        <v>64.2</v>
      </c>
      <c r="F116" s="32"/>
      <c r="G116" s="32">
        <v>8</v>
      </c>
      <c r="H116" s="32"/>
      <c r="I116" s="32"/>
      <c r="J116" s="32"/>
      <c r="K116" s="32"/>
      <c r="L116" s="32"/>
      <c r="M116" s="32"/>
      <c r="O116" s="4">
        <f t="shared" si="8"/>
        <v>0</v>
      </c>
      <c r="P116" s="4">
        <f t="shared" si="8"/>
        <v>8</v>
      </c>
      <c r="Q116" s="4">
        <f t="shared" si="5"/>
        <v>216</v>
      </c>
      <c r="R116" s="53">
        <f t="shared" si="6"/>
        <v>13867.2</v>
      </c>
      <c r="S116" s="5">
        <v>0</v>
      </c>
      <c r="T116" s="4">
        <f t="shared" si="7"/>
        <v>216</v>
      </c>
      <c r="U116" s="5">
        <v>116</v>
      </c>
      <c r="V116" s="5">
        <v>108</v>
      </c>
      <c r="W116" s="52">
        <f t="shared" si="9"/>
        <v>0</v>
      </c>
      <c r="X116" s="5"/>
    </row>
    <row r="117" spans="1:24" ht="26">
      <c r="A117" s="141">
        <v>3030236</v>
      </c>
      <c r="B117" s="136" t="s">
        <v>102</v>
      </c>
      <c r="C117" s="31" t="s">
        <v>103</v>
      </c>
      <c r="D117" s="32"/>
      <c r="E117" s="33">
        <v>58.85</v>
      </c>
      <c r="F117" s="32"/>
      <c r="G117" s="32"/>
      <c r="H117" s="32"/>
      <c r="I117" s="32"/>
      <c r="J117" s="34"/>
      <c r="K117" s="34">
        <v>4</v>
      </c>
      <c r="L117" s="32"/>
      <c r="M117" s="32"/>
      <c r="O117" s="4">
        <f t="shared" si="8"/>
        <v>0</v>
      </c>
      <c r="P117" s="4">
        <f t="shared" si="8"/>
        <v>4</v>
      </c>
      <c r="Q117" s="4">
        <f t="shared" si="5"/>
        <v>-4</v>
      </c>
      <c r="R117" s="53">
        <f t="shared" si="6"/>
        <v>-235.4</v>
      </c>
      <c r="S117" s="5">
        <v>300</v>
      </c>
      <c r="T117" s="4">
        <f t="shared" si="7"/>
        <v>0</v>
      </c>
      <c r="U117" s="5">
        <v>137</v>
      </c>
      <c r="V117" s="5">
        <v>163</v>
      </c>
      <c r="W117" s="52">
        <f t="shared" si="9"/>
        <v>17655</v>
      </c>
      <c r="X117" s="5"/>
    </row>
    <row r="118" spans="1:24" ht="26">
      <c r="A118" s="41">
        <v>3030238</v>
      </c>
      <c r="B118" s="30" t="s">
        <v>361</v>
      </c>
      <c r="C118" s="31" t="s">
        <v>103</v>
      </c>
      <c r="D118" s="32">
        <v>22</v>
      </c>
      <c r="E118" s="33">
        <v>58.85</v>
      </c>
      <c r="F118" s="32"/>
      <c r="G118" s="32">
        <v>5</v>
      </c>
      <c r="H118" s="32"/>
      <c r="I118" s="32"/>
      <c r="J118" s="32"/>
      <c r="K118" s="32"/>
      <c r="L118" s="32"/>
      <c r="M118" s="32"/>
      <c r="O118" s="4">
        <f t="shared" si="8"/>
        <v>0</v>
      </c>
      <c r="P118" s="4">
        <f t="shared" si="8"/>
        <v>5</v>
      </c>
      <c r="Q118" s="4">
        <f t="shared" si="5"/>
        <v>17</v>
      </c>
      <c r="R118" s="53">
        <f t="shared" si="6"/>
        <v>1000.45</v>
      </c>
      <c r="S118" s="5">
        <v>0</v>
      </c>
      <c r="T118" s="4">
        <f t="shared" si="7"/>
        <v>17</v>
      </c>
      <c r="U118" s="5">
        <v>2</v>
      </c>
      <c r="V118" s="5">
        <v>20</v>
      </c>
      <c r="W118" s="52">
        <f t="shared" si="9"/>
        <v>0</v>
      </c>
      <c r="X118" s="5"/>
    </row>
    <row r="119" spans="1:24" ht="27">
      <c r="A119" s="134">
        <v>3030240</v>
      </c>
      <c r="B119" s="124" t="s">
        <v>104</v>
      </c>
      <c r="C119" s="125" t="s">
        <v>103</v>
      </c>
      <c r="D119" s="128">
        <v>0</v>
      </c>
      <c r="E119" s="129">
        <v>278.2</v>
      </c>
      <c r="F119" s="128"/>
      <c r="G119" s="128"/>
      <c r="H119" s="128"/>
      <c r="I119" s="128"/>
      <c r="J119" s="143">
        <v>300</v>
      </c>
      <c r="K119" s="143">
        <v>51</v>
      </c>
      <c r="L119" s="128"/>
      <c r="M119" s="128"/>
      <c r="N119" s="130"/>
      <c r="O119" s="131">
        <f t="shared" si="8"/>
        <v>300</v>
      </c>
      <c r="P119" s="131">
        <f t="shared" si="8"/>
        <v>51</v>
      </c>
      <c r="Q119" s="131">
        <f t="shared" si="5"/>
        <v>249</v>
      </c>
      <c r="R119" s="132">
        <f t="shared" si="6"/>
        <v>69271.8</v>
      </c>
      <c r="S119" s="100">
        <v>0</v>
      </c>
      <c r="T119" s="131">
        <f t="shared" si="7"/>
        <v>600</v>
      </c>
      <c r="U119" s="100">
        <v>0</v>
      </c>
      <c r="V119" s="100">
        <v>0</v>
      </c>
      <c r="W119" s="133">
        <f t="shared" si="9"/>
        <v>0</v>
      </c>
      <c r="X119" s="100" t="s">
        <v>437</v>
      </c>
    </row>
    <row r="120" spans="1:24" ht="26">
      <c r="A120" s="134">
        <v>3030240</v>
      </c>
      <c r="B120" s="124" t="s">
        <v>104</v>
      </c>
      <c r="C120" s="125" t="s">
        <v>103</v>
      </c>
      <c r="D120" s="128">
        <v>170</v>
      </c>
      <c r="E120" s="129">
        <v>406.6</v>
      </c>
      <c r="F120" s="128"/>
      <c r="G120" s="128"/>
      <c r="H120" s="128"/>
      <c r="I120" s="128"/>
      <c r="J120" s="128"/>
      <c r="K120" s="128"/>
      <c r="L120" s="128"/>
      <c r="M120" s="128"/>
      <c r="N120" s="130"/>
      <c r="O120" s="131">
        <f t="shared" si="8"/>
        <v>0</v>
      </c>
      <c r="P120" s="131">
        <f t="shared" si="8"/>
        <v>0</v>
      </c>
      <c r="Q120" s="131">
        <f t="shared" si="5"/>
        <v>170</v>
      </c>
      <c r="R120" s="132">
        <f t="shared" si="6"/>
        <v>69122</v>
      </c>
      <c r="S120" s="100">
        <v>130</v>
      </c>
      <c r="T120" s="131">
        <f t="shared" si="7"/>
        <v>170</v>
      </c>
      <c r="U120" s="100">
        <v>115</v>
      </c>
      <c r="V120" s="100">
        <v>185</v>
      </c>
      <c r="W120" s="133">
        <f t="shared" si="9"/>
        <v>52858</v>
      </c>
      <c r="X120" s="100" t="s">
        <v>437</v>
      </c>
    </row>
    <row r="121" spans="1:24" ht="26">
      <c r="A121" s="37">
        <v>3030243</v>
      </c>
      <c r="B121" s="30" t="s">
        <v>105</v>
      </c>
      <c r="C121" s="31" t="s">
        <v>14</v>
      </c>
      <c r="D121" s="32">
        <v>2</v>
      </c>
      <c r="E121" s="33">
        <v>0</v>
      </c>
      <c r="F121" s="32"/>
      <c r="G121" s="32"/>
      <c r="H121" s="32"/>
      <c r="I121" s="32"/>
      <c r="J121" s="32"/>
      <c r="K121" s="32"/>
      <c r="L121" s="32"/>
      <c r="M121" s="32"/>
      <c r="O121" s="4">
        <f t="shared" si="8"/>
        <v>0</v>
      </c>
      <c r="P121" s="4">
        <f t="shared" si="8"/>
        <v>0</v>
      </c>
      <c r="Q121" s="4">
        <f t="shared" si="5"/>
        <v>2</v>
      </c>
      <c r="R121" s="53">
        <f t="shared" si="6"/>
        <v>0</v>
      </c>
      <c r="S121" s="5">
        <v>0</v>
      </c>
      <c r="T121" s="4">
        <f t="shared" si="7"/>
        <v>2</v>
      </c>
      <c r="U121" s="5">
        <v>2</v>
      </c>
      <c r="V121" s="5">
        <v>0</v>
      </c>
      <c r="W121" s="52">
        <f t="shared" si="9"/>
        <v>0</v>
      </c>
      <c r="X121" s="5" t="s">
        <v>489</v>
      </c>
    </row>
    <row r="122" spans="1:24" ht="54">
      <c r="A122" s="41">
        <v>3030248</v>
      </c>
      <c r="B122" s="43" t="s">
        <v>362</v>
      </c>
      <c r="C122" s="31" t="s">
        <v>103</v>
      </c>
      <c r="D122" s="32"/>
      <c r="E122" s="33">
        <v>310.3</v>
      </c>
      <c r="F122" s="32"/>
      <c r="G122" s="32">
        <v>17</v>
      </c>
      <c r="H122" s="32"/>
      <c r="I122" s="32"/>
      <c r="J122" s="32"/>
      <c r="K122" s="32"/>
      <c r="L122" s="32"/>
      <c r="M122" s="32"/>
      <c r="O122" s="4">
        <f t="shared" si="8"/>
        <v>0</v>
      </c>
      <c r="P122" s="4">
        <f t="shared" si="8"/>
        <v>17</v>
      </c>
      <c r="Q122" s="4">
        <f t="shared" si="5"/>
        <v>-17</v>
      </c>
      <c r="R122" s="53">
        <f t="shared" si="6"/>
        <v>-5275.1</v>
      </c>
      <c r="S122" s="5">
        <v>0</v>
      </c>
      <c r="T122" s="4">
        <f t="shared" si="7"/>
        <v>-17</v>
      </c>
      <c r="U122" s="5">
        <v>0</v>
      </c>
      <c r="V122" s="5">
        <v>0</v>
      </c>
      <c r="W122" s="52">
        <f t="shared" si="9"/>
        <v>0</v>
      </c>
      <c r="X122" s="5" t="s">
        <v>478</v>
      </c>
    </row>
    <row r="123" spans="1:24" ht="27">
      <c r="A123" s="41">
        <v>3030250</v>
      </c>
      <c r="B123" s="30" t="s">
        <v>106</v>
      </c>
      <c r="C123" s="31" t="s">
        <v>17</v>
      </c>
      <c r="D123" s="32">
        <v>6</v>
      </c>
      <c r="E123" s="33">
        <v>128.4</v>
      </c>
      <c r="F123" s="32"/>
      <c r="G123" s="32"/>
      <c r="H123" s="35"/>
      <c r="I123" s="35">
        <v>41</v>
      </c>
      <c r="J123" s="42">
        <v>100</v>
      </c>
      <c r="K123" s="42">
        <v>35</v>
      </c>
      <c r="L123" s="32"/>
      <c r="M123" s="32"/>
      <c r="O123" s="4">
        <f t="shared" si="8"/>
        <v>100</v>
      </c>
      <c r="P123" s="4">
        <f t="shared" si="8"/>
        <v>76</v>
      </c>
      <c r="Q123" s="4">
        <f t="shared" si="5"/>
        <v>30</v>
      </c>
      <c r="R123" s="53">
        <f t="shared" si="6"/>
        <v>3852</v>
      </c>
      <c r="S123" s="5">
        <v>0</v>
      </c>
      <c r="T123" s="4">
        <f t="shared" si="7"/>
        <v>165</v>
      </c>
      <c r="U123" s="5">
        <v>2</v>
      </c>
      <c r="V123" s="5">
        <v>4</v>
      </c>
      <c r="W123" s="52">
        <f t="shared" si="9"/>
        <v>0</v>
      </c>
      <c r="X123" s="5" t="s">
        <v>476</v>
      </c>
    </row>
    <row r="124" spans="1:24" ht="26">
      <c r="A124" s="37">
        <v>3030251</v>
      </c>
      <c r="B124" s="30" t="s">
        <v>107</v>
      </c>
      <c r="C124" s="31" t="s">
        <v>14</v>
      </c>
      <c r="D124" s="32">
        <v>57</v>
      </c>
      <c r="E124" s="33">
        <v>0</v>
      </c>
      <c r="F124" s="32"/>
      <c r="G124" s="32"/>
      <c r="H124" s="32"/>
      <c r="I124" s="32"/>
      <c r="J124" s="32"/>
      <c r="K124" s="32"/>
      <c r="L124" s="32"/>
      <c r="M124" s="32"/>
      <c r="O124" s="4">
        <f t="shared" si="8"/>
        <v>0</v>
      </c>
      <c r="P124" s="4">
        <f t="shared" si="8"/>
        <v>0</v>
      </c>
      <c r="Q124" s="4">
        <f t="shared" si="5"/>
        <v>57</v>
      </c>
      <c r="R124" s="53">
        <f t="shared" si="6"/>
        <v>0</v>
      </c>
      <c r="S124" s="5">
        <v>0</v>
      </c>
      <c r="T124" s="4">
        <f t="shared" si="7"/>
        <v>57</v>
      </c>
      <c r="U124" s="5">
        <v>13</v>
      </c>
      <c r="V124" s="5">
        <v>44</v>
      </c>
      <c r="W124" s="52">
        <f t="shared" si="9"/>
        <v>0</v>
      </c>
      <c r="X124" s="5"/>
    </row>
    <row r="125" spans="1:24" ht="26">
      <c r="A125" s="141">
        <v>3030252</v>
      </c>
      <c r="B125" s="136" t="s">
        <v>108</v>
      </c>
      <c r="C125" s="31" t="s">
        <v>17</v>
      </c>
      <c r="D125" s="32">
        <v>16</v>
      </c>
      <c r="E125" s="33">
        <v>192.6</v>
      </c>
      <c r="F125" s="32"/>
      <c r="G125" s="32"/>
      <c r="H125" s="32"/>
      <c r="I125" s="32"/>
      <c r="J125" s="32"/>
      <c r="K125" s="32"/>
      <c r="L125" s="32"/>
      <c r="M125" s="32"/>
      <c r="O125" s="4">
        <f t="shared" si="8"/>
        <v>0</v>
      </c>
      <c r="P125" s="4">
        <f t="shared" si="8"/>
        <v>0</v>
      </c>
      <c r="Q125" s="4">
        <f t="shared" si="5"/>
        <v>16</v>
      </c>
      <c r="R125" s="53">
        <f t="shared" si="6"/>
        <v>3081.6</v>
      </c>
      <c r="S125" s="5">
        <v>0</v>
      </c>
      <c r="T125" s="4">
        <f t="shared" si="7"/>
        <v>16</v>
      </c>
      <c r="U125" s="5">
        <v>16</v>
      </c>
      <c r="V125" s="5">
        <v>0</v>
      </c>
      <c r="W125" s="52">
        <f t="shared" si="9"/>
        <v>0</v>
      </c>
      <c r="X125" s="5" t="s">
        <v>476</v>
      </c>
    </row>
    <row r="126" spans="1:24" ht="26">
      <c r="A126" s="141">
        <v>3030252</v>
      </c>
      <c r="B126" s="136" t="s">
        <v>108</v>
      </c>
      <c r="C126" s="31" t="s">
        <v>17</v>
      </c>
      <c r="D126" s="32"/>
      <c r="E126" s="33">
        <v>117.7</v>
      </c>
      <c r="F126" s="32"/>
      <c r="G126" s="32"/>
      <c r="H126" s="32"/>
      <c r="I126" s="32"/>
      <c r="J126" s="32"/>
      <c r="K126" s="32"/>
      <c r="L126" s="32"/>
      <c r="M126" s="32"/>
      <c r="O126" s="4">
        <f t="shared" si="8"/>
        <v>0</v>
      </c>
      <c r="P126" s="4">
        <f t="shared" si="8"/>
        <v>0</v>
      </c>
      <c r="Q126" s="4">
        <f t="shared" si="5"/>
        <v>0</v>
      </c>
      <c r="R126" s="53">
        <f t="shared" si="6"/>
        <v>0</v>
      </c>
      <c r="S126" s="5">
        <v>0</v>
      </c>
      <c r="T126" s="4">
        <f t="shared" si="7"/>
        <v>0</v>
      </c>
      <c r="U126" s="5">
        <v>0</v>
      </c>
      <c r="V126" s="5">
        <v>0</v>
      </c>
      <c r="W126" s="52">
        <f t="shared" si="9"/>
        <v>0</v>
      </c>
      <c r="X126" s="5"/>
    </row>
    <row r="127" spans="1:24" ht="26">
      <c r="A127" s="37">
        <v>3030253</v>
      </c>
      <c r="B127" s="30" t="s">
        <v>109</v>
      </c>
      <c r="C127" s="31" t="s">
        <v>14</v>
      </c>
      <c r="D127" s="32">
        <v>49</v>
      </c>
      <c r="E127" s="33">
        <v>160.5</v>
      </c>
      <c r="F127" s="32"/>
      <c r="G127" s="32">
        <v>3</v>
      </c>
      <c r="H127" s="32"/>
      <c r="I127" s="32"/>
      <c r="J127" s="32"/>
      <c r="K127" s="32"/>
      <c r="L127" s="32"/>
      <c r="M127" s="32"/>
      <c r="O127" s="4">
        <f t="shared" si="8"/>
        <v>0</v>
      </c>
      <c r="P127" s="4">
        <f t="shared" si="8"/>
        <v>3</v>
      </c>
      <c r="Q127" s="4">
        <f t="shared" si="5"/>
        <v>46</v>
      </c>
      <c r="R127" s="53">
        <f t="shared" si="6"/>
        <v>7383</v>
      </c>
      <c r="S127" s="5">
        <v>100</v>
      </c>
      <c r="T127" s="4">
        <f t="shared" si="7"/>
        <v>46</v>
      </c>
      <c r="U127" s="5">
        <v>2</v>
      </c>
      <c r="V127" s="5">
        <v>147</v>
      </c>
      <c r="W127" s="52">
        <f t="shared" si="9"/>
        <v>16050</v>
      </c>
      <c r="X127" s="5"/>
    </row>
    <row r="128" spans="1:24" ht="26">
      <c r="A128" s="41">
        <v>3030254</v>
      </c>
      <c r="B128" s="30" t="s">
        <v>110</v>
      </c>
      <c r="C128" s="31" t="s">
        <v>17</v>
      </c>
      <c r="D128" s="32">
        <v>31</v>
      </c>
      <c r="E128" s="33">
        <v>16.05</v>
      </c>
      <c r="F128" s="32"/>
      <c r="G128" s="32"/>
      <c r="H128" s="32"/>
      <c r="I128" s="32"/>
      <c r="J128" s="34"/>
      <c r="K128" s="34">
        <v>2</v>
      </c>
      <c r="L128" s="32"/>
      <c r="M128" s="32"/>
      <c r="O128" s="4">
        <f t="shared" si="8"/>
        <v>0</v>
      </c>
      <c r="P128" s="4">
        <f t="shared" si="8"/>
        <v>2</v>
      </c>
      <c r="Q128" s="4">
        <f t="shared" si="5"/>
        <v>29</v>
      </c>
      <c r="R128" s="53">
        <f t="shared" si="6"/>
        <v>465.45000000000005</v>
      </c>
      <c r="S128" s="5">
        <v>0</v>
      </c>
      <c r="T128" s="4">
        <f t="shared" si="7"/>
        <v>31</v>
      </c>
      <c r="U128" s="5">
        <v>31</v>
      </c>
      <c r="V128" s="5">
        <v>0</v>
      </c>
      <c r="W128" s="52">
        <f t="shared" si="9"/>
        <v>0</v>
      </c>
      <c r="X128" s="5" t="s">
        <v>485</v>
      </c>
    </row>
    <row r="129" spans="1:24" ht="26">
      <c r="A129" s="44">
        <v>3030257</v>
      </c>
      <c r="B129" s="30" t="s">
        <v>111</v>
      </c>
      <c r="C129" s="31" t="s">
        <v>14</v>
      </c>
      <c r="D129" s="32">
        <v>10</v>
      </c>
      <c r="E129" s="33">
        <v>42.8</v>
      </c>
      <c r="F129" s="32"/>
      <c r="G129" s="32">
        <v>2</v>
      </c>
      <c r="H129" s="32"/>
      <c r="I129" s="32"/>
      <c r="J129" s="32"/>
      <c r="K129" s="32"/>
      <c r="L129" s="32"/>
      <c r="M129" s="32"/>
      <c r="O129" s="4">
        <f t="shared" si="8"/>
        <v>0</v>
      </c>
      <c r="P129" s="4">
        <f t="shared" si="8"/>
        <v>2</v>
      </c>
      <c r="Q129" s="4">
        <f t="shared" si="5"/>
        <v>8</v>
      </c>
      <c r="R129" s="53">
        <f t="shared" si="6"/>
        <v>342.4</v>
      </c>
      <c r="S129" s="5">
        <v>0</v>
      </c>
      <c r="T129" s="4">
        <f t="shared" si="7"/>
        <v>8</v>
      </c>
      <c r="U129" s="5">
        <v>0</v>
      </c>
      <c r="V129" s="5">
        <v>10</v>
      </c>
      <c r="W129" s="52">
        <f t="shared" si="9"/>
        <v>0</v>
      </c>
      <c r="X129" s="5" t="s">
        <v>470</v>
      </c>
    </row>
    <row r="130" spans="1:24" ht="26">
      <c r="A130" s="44">
        <v>3030261</v>
      </c>
      <c r="B130" s="30" t="s">
        <v>112</v>
      </c>
      <c r="C130" s="31" t="s">
        <v>14</v>
      </c>
      <c r="D130" s="32">
        <v>100</v>
      </c>
      <c r="E130" s="33">
        <v>85.6</v>
      </c>
      <c r="F130" s="32"/>
      <c r="G130" s="32">
        <v>6</v>
      </c>
      <c r="H130" s="32"/>
      <c r="I130" s="32"/>
      <c r="J130" s="32"/>
      <c r="K130" s="32"/>
      <c r="L130" s="32"/>
      <c r="M130" s="32"/>
      <c r="O130" s="4">
        <f t="shared" si="8"/>
        <v>0</v>
      </c>
      <c r="P130" s="4">
        <f t="shared" si="8"/>
        <v>6</v>
      </c>
      <c r="Q130" s="4">
        <f t="shared" si="5"/>
        <v>94</v>
      </c>
      <c r="R130" s="53">
        <f t="shared" si="6"/>
        <v>8046.4</v>
      </c>
      <c r="S130" s="5">
        <v>0</v>
      </c>
      <c r="T130" s="4">
        <f t="shared" si="7"/>
        <v>94</v>
      </c>
      <c r="U130" s="5">
        <v>30</v>
      </c>
      <c r="V130" s="5">
        <v>70</v>
      </c>
      <c r="W130" s="52">
        <f t="shared" si="9"/>
        <v>0</v>
      </c>
      <c r="X130" s="5" t="s">
        <v>488</v>
      </c>
    </row>
    <row r="131" spans="1:24" ht="26">
      <c r="A131" s="41">
        <v>3030262</v>
      </c>
      <c r="B131" s="30" t="s">
        <v>113</v>
      </c>
      <c r="C131" s="31" t="s">
        <v>17</v>
      </c>
      <c r="D131" s="32">
        <v>33</v>
      </c>
      <c r="E131" s="33">
        <v>37.450000000000003</v>
      </c>
      <c r="F131" s="32"/>
      <c r="G131" s="32">
        <v>5</v>
      </c>
      <c r="H131" s="35"/>
      <c r="I131" s="35">
        <v>2</v>
      </c>
      <c r="J131" s="34"/>
      <c r="K131" s="34">
        <v>6</v>
      </c>
      <c r="L131" s="32"/>
      <c r="M131" s="32"/>
      <c r="O131" s="4">
        <f t="shared" si="8"/>
        <v>0</v>
      </c>
      <c r="P131" s="4">
        <f t="shared" si="8"/>
        <v>13</v>
      </c>
      <c r="Q131" s="4">
        <f t="shared" si="5"/>
        <v>20</v>
      </c>
      <c r="R131" s="53">
        <f t="shared" si="6"/>
        <v>749</v>
      </c>
      <c r="S131" s="5">
        <v>100</v>
      </c>
      <c r="T131" s="4">
        <f t="shared" si="7"/>
        <v>26</v>
      </c>
      <c r="U131" s="5">
        <v>32</v>
      </c>
      <c r="V131" s="5">
        <v>101</v>
      </c>
      <c r="W131" s="52">
        <f t="shared" si="9"/>
        <v>3745.0000000000005</v>
      </c>
      <c r="X131" s="5"/>
    </row>
    <row r="132" spans="1:24" ht="26">
      <c r="A132" s="41">
        <v>3030264</v>
      </c>
      <c r="B132" s="30" t="s">
        <v>114</v>
      </c>
      <c r="C132" s="31" t="s">
        <v>25</v>
      </c>
      <c r="D132" s="32">
        <v>28</v>
      </c>
      <c r="E132" s="33">
        <v>23.54</v>
      </c>
      <c r="F132" s="32"/>
      <c r="G132" s="32"/>
      <c r="H132" s="32"/>
      <c r="I132" s="32"/>
      <c r="J132" s="32"/>
      <c r="K132" s="32"/>
      <c r="L132" s="32"/>
      <c r="M132" s="32"/>
      <c r="O132" s="4">
        <f t="shared" si="8"/>
        <v>0</v>
      </c>
      <c r="P132" s="4">
        <f t="shared" si="8"/>
        <v>0</v>
      </c>
      <c r="Q132" s="4">
        <f t="shared" si="5"/>
        <v>28</v>
      </c>
      <c r="R132" s="53">
        <f t="shared" si="6"/>
        <v>659.12</v>
      </c>
      <c r="S132" s="5">
        <v>100</v>
      </c>
      <c r="T132" s="4">
        <f t="shared" si="7"/>
        <v>28</v>
      </c>
      <c r="U132" s="5">
        <v>22</v>
      </c>
      <c r="V132" s="5">
        <v>106</v>
      </c>
      <c r="W132" s="52">
        <f t="shared" si="9"/>
        <v>2354</v>
      </c>
      <c r="X132" s="5" t="s">
        <v>479</v>
      </c>
    </row>
    <row r="133" spans="1:24" ht="26">
      <c r="A133" s="44">
        <v>3030265</v>
      </c>
      <c r="B133" s="30" t="s">
        <v>115</v>
      </c>
      <c r="C133" s="31" t="s">
        <v>14</v>
      </c>
      <c r="D133" s="32">
        <v>230</v>
      </c>
      <c r="E133" s="33">
        <v>107</v>
      </c>
      <c r="F133" s="32"/>
      <c r="G133" s="32">
        <v>4</v>
      </c>
      <c r="H133" s="32"/>
      <c r="I133" s="32"/>
      <c r="J133" s="34"/>
      <c r="K133" s="34">
        <v>10</v>
      </c>
      <c r="L133" s="32"/>
      <c r="M133" s="32"/>
      <c r="O133" s="4">
        <f t="shared" si="8"/>
        <v>0</v>
      </c>
      <c r="P133" s="4">
        <f t="shared" si="8"/>
        <v>14</v>
      </c>
      <c r="Q133" s="4">
        <f t="shared" ref="Q133:Q196" si="10">+D133+O133-P133</f>
        <v>216</v>
      </c>
      <c r="R133" s="53">
        <f t="shared" ref="R133:R196" si="11">+Q133*E133</f>
        <v>23112</v>
      </c>
      <c r="S133" s="5">
        <v>0</v>
      </c>
      <c r="T133" s="4">
        <f t="shared" ref="T133:T196" si="12">+K133+M133+O133+Q133</f>
        <v>226</v>
      </c>
      <c r="U133" s="5">
        <v>87</v>
      </c>
      <c r="V133" s="5">
        <v>143</v>
      </c>
      <c r="W133" s="52">
        <f t="shared" si="9"/>
        <v>0</v>
      </c>
      <c r="X133" s="5" t="s">
        <v>490</v>
      </c>
    </row>
    <row r="134" spans="1:24" ht="26">
      <c r="A134" s="44">
        <v>3030269</v>
      </c>
      <c r="B134" s="30" t="s">
        <v>116</v>
      </c>
      <c r="C134" s="31" t="s">
        <v>14</v>
      </c>
      <c r="D134" s="32">
        <v>247</v>
      </c>
      <c r="E134" s="33">
        <v>139.99867</v>
      </c>
      <c r="F134" s="32"/>
      <c r="G134" s="32">
        <v>8</v>
      </c>
      <c r="H134" s="35"/>
      <c r="I134" s="35">
        <v>2</v>
      </c>
      <c r="J134" s="34"/>
      <c r="K134" s="34">
        <v>7</v>
      </c>
      <c r="L134" s="32"/>
      <c r="M134" s="32"/>
      <c r="O134" s="4">
        <f t="shared" ref="O134:P197" si="13">+F134+H134+J134+L134</f>
        <v>0</v>
      </c>
      <c r="P134" s="4">
        <f t="shared" si="13"/>
        <v>17</v>
      </c>
      <c r="Q134" s="4">
        <f t="shared" si="10"/>
        <v>230</v>
      </c>
      <c r="R134" s="53">
        <f t="shared" si="11"/>
        <v>32199.694100000001</v>
      </c>
      <c r="S134" s="5">
        <v>0</v>
      </c>
      <c r="T134" s="4">
        <f t="shared" si="12"/>
        <v>237</v>
      </c>
      <c r="U134" s="5">
        <v>20</v>
      </c>
      <c r="V134" s="5">
        <v>227</v>
      </c>
      <c r="W134" s="52">
        <f t="shared" ref="W134:W197" si="14">+S134*E134</f>
        <v>0</v>
      </c>
      <c r="X134" s="5"/>
    </row>
    <row r="135" spans="1:24" ht="26">
      <c r="A135" s="41">
        <v>3030272</v>
      </c>
      <c r="B135" s="30" t="s">
        <v>117</v>
      </c>
      <c r="C135" s="31" t="s">
        <v>103</v>
      </c>
      <c r="D135" s="32"/>
      <c r="E135" s="33">
        <v>353.1</v>
      </c>
      <c r="F135" s="32"/>
      <c r="G135" s="32"/>
      <c r="H135" s="35"/>
      <c r="I135" s="35">
        <v>2</v>
      </c>
      <c r="J135" s="34"/>
      <c r="K135" s="34">
        <v>7</v>
      </c>
      <c r="L135" s="32"/>
      <c r="M135" s="32"/>
      <c r="O135" s="4">
        <f t="shared" si="13"/>
        <v>0</v>
      </c>
      <c r="P135" s="4">
        <f t="shared" si="13"/>
        <v>9</v>
      </c>
      <c r="Q135" s="4">
        <f t="shared" si="10"/>
        <v>-9</v>
      </c>
      <c r="R135" s="53">
        <f t="shared" si="11"/>
        <v>-3177.9</v>
      </c>
      <c r="S135" s="5">
        <v>0</v>
      </c>
      <c r="T135" s="4">
        <f t="shared" si="12"/>
        <v>-2</v>
      </c>
      <c r="U135" s="5">
        <v>0</v>
      </c>
      <c r="V135" s="5">
        <v>0</v>
      </c>
      <c r="W135" s="52">
        <f t="shared" si="14"/>
        <v>0</v>
      </c>
      <c r="X135" s="5" t="s">
        <v>482</v>
      </c>
    </row>
    <row r="136" spans="1:24" ht="26">
      <c r="A136" s="41">
        <v>3030274</v>
      </c>
      <c r="B136" s="30" t="s">
        <v>118</v>
      </c>
      <c r="C136" s="31" t="s">
        <v>103</v>
      </c>
      <c r="D136" s="32">
        <v>10</v>
      </c>
      <c r="E136" s="33">
        <v>422.65</v>
      </c>
      <c r="F136" s="32"/>
      <c r="G136" s="32"/>
      <c r="H136" s="35"/>
      <c r="I136" s="35">
        <v>4</v>
      </c>
      <c r="J136" s="34"/>
      <c r="K136" s="34">
        <v>4</v>
      </c>
      <c r="L136" s="32"/>
      <c r="M136" s="32"/>
      <c r="O136" s="4">
        <f t="shared" si="13"/>
        <v>0</v>
      </c>
      <c r="P136" s="4">
        <f t="shared" si="13"/>
        <v>8</v>
      </c>
      <c r="Q136" s="4">
        <f t="shared" si="10"/>
        <v>2</v>
      </c>
      <c r="R136" s="53">
        <f t="shared" si="11"/>
        <v>845.3</v>
      </c>
      <c r="S136" s="5">
        <v>0</v>
      </c>
      <c r="T136" s="4">
        <f t="shared" si="12"/>
        <v>6</v>
      </c>
      <c r="U136" s="5">
        <v>2</v>
      </c>
      <c r="V136" s="5">
        <v>8</v>
      </c>
      <c r="W136" s="52">
        <f t="shared" si="14"/>
        <v>0</v>
      </c>
      <c r="X136" s="5" t="s">
        <v>486</v>
      </c>
    </row>
    <row r="137" spans="1:24" ht="26">
      <c r="A137" s="144">
        <v>3030275</v>
      </c>
      <c r="B137" s="136" t="s">
        <v>119</v>
      </c>
      <c r="C137" s="31" t="s">
        <v>15</v>
      </c>
      <c r="D137" s="32">
        <v>475</v>
      </c>
      <c r="E137" s="33">
        <v>337.05</v>
      </c>
      <c r="F137" s="32"/>
      <c r="G137" s="32"/>
      <c r="H137" s="32"/>
      <c r="I137" s="32"/>
      <c r="J137" s="32"/>
      <c r="K137" s="32"/>
      <c r="L137" s="32"/>
      <c r="M137" s="32"/>
      <c r="O137" s="4">
        <f t="shared" si="13"/>
        <v>0</v>
      </c>
      <c r="P137" s="4">
        <f t="shared" si="13"/>
        <v>0</v>
      </c>
      <c r="Q137" s="4">
        <f t="shared" si="10"/>
        <v>475</v>
      </c>
      <c r="R137" s="53">
        <f t="shared" si="11"/>
        <v>160098.75</v>
      </c>
      <c r="S137" s="5">
        <v>0</v>
      </c>
      <c r="T137" s="4">
        <f t="shared" si="12"/>
        <v>475</v>
      </c>
      <c r="U137" s="5">
        <v>83</v>
      </c>
      <c r="V137" s="5">
        <v>392</v>
      </c>
      <c r="W137" s="52">
        <f t="shared" si="14"/>
        <v>0</v>
      </c>
      <c r="X137" s="5"/>
    </row>
    <row r="138" spans="1:24" ht="26">
      <c r="A138" s="144">
        <v>3030275</v>
      </c>
      <c r="B138" s="136" t="s">
        <v>119</v>
      </c>
      <c r="C138" s="31" t="s">
        <v>15</v>
      </c>
      <c r="D138" s="32">
        <v>34</v>
      </c>
      <c r="E138" s="33">
        <v>599.20000000000005</v>
      </c>
      <c r="F138" s="32"/>
      <c r="G138" s="32"/>
      <c r="H138" s="32"/>
      <c r="I138" s="32"/>
      <c r="J138" s="32"/>
      <c r="K138" s="32"/>
      <c r="L138" s="32"/>
      <c r="M138" s="32"/>
      <c r="O138" s="4">
        <f t="shared" si="13"/>
        <v>0</v>
      </c>
      <c r="P138" s="4">
        <f t="shared" si="13"/>
        <v>0</v>
      </c>
      <c r="Q138" s="4">
        <f t="shared" si="10"/>
        <v>34</v>
      </c>
      <c r="R138" s="53">
        <f t="shared" si="11"/>
        <v>20372.800000000003</v>
      </c>
      <c r="S138" s="5">
        <v>0</v>
      </c>
      <c r="T138" s="4">
        <f t="shared" si="12"/>
        <v>34</v>
      </c>
      <c r="U138" s="5">
        <v>0</v>
      </c>
      <c r="V138" s="5">
        <v>34</v>
      </c>
      <c r="W138" s="52">
        <f t="shared" si="14"/>
        <v>0</v>
      </c>
      <c r="X138" s="5"/>
    </row>
    <row r="139" spans="1:24" ht="26">
      <c r="A139" s="41">
        <v>3030276</v>
      </c>
      <c r="B139" s="30" t="s">
        <v>363</v>
      </c>
      <c r="C139" s="31" t="s">
        <v>19</v>
      </c>
      <c r="D139" s="32">
        <v>1</v>
      </c>
      <c r="E139" s="33">
        <v>4.28</v>
      </c>
      <c r="F139" s="32"/>
      <c r="G139" s="32"/>
      <c r="H139" s="32"/>
      <c r="I139" s="32"/>
      <c r="J139" s="32"/>
      <c r="K139" s="32"/>
      <c r="L139" s="32"/>
      <c r="M139" s="32"/>
      <c r="O139" s="4">
        <f t="shared" si="13"/>
        <v>0</v>
      </c>
      <c r="P139" s="4">
        <f t="shared" si="13"/>
        <v>0</v>
      </c>
      <c r="Q139" s="4">
        <f t="shared" si="10"/>
        <v>1</v>
      </c>
      <c r="R139" s="53">
        <f t="shared" si="11"/>
        <v>4.28</v>
      </c>
      <c r="S139" s="5">
        <v>0</v>
      </c>
      <c r="T139" s="4">
        <f t="shared" si="12"/>
        <v>1</v>
      </c>
      <c r="U139" s="5">
        <v>0</v>
      </c>
      <c r="V139" s="5">
        <v>1</v>
      </c>
      <c r="W139" s="52">
        <f t="shared" si="14"/>
        <v>0</v>
      </c>
      <c r="X139" s="5" t="s">
        <v>486</v>
      </c>
    </row>
    <row r="140" spans="1:24" ht="26">
      <c r="A140" s="41">
        <v>3030280</v>
      </c>
      <c r="B140" s="30" t="s">
        <v>364</v>
      </c>
      <c r="C140" s="31" t="s">
        <v>14</v>
      </c>
      <c r="D140" s="32">
        <v>4</v>
      </c>
      <c r="E140" s="33">
        <v>96.3</v>
      </c>
      <c r="F140" s="32"/>
      <c r="G140" s="32"/>
      <c r="H140" s="35"/>
      <c r="I140" s="35">
        <v>12</v>
      </c>
      <c r="J140" s="34"/>
      <c r="K140" s="34">
        <v>13</v>
      </c>
      <c r="L140" s="32"/>
      <c r="M140" s="32"/>
      <c r="O140" s="4">
        <f t="shared" si="13"/>
        <v>0</v>
      </c>
      <c r="P140" s="4">
        <f t="shared" si="13"/>
        <v>25</v>
      </c>
      <c r="Q140" s="4">
        <f t="shared" si="10"/>
        <v>-21</v>
      </c>
      <c r="R140" s="53">
        <f t="shared" si="11"/>
        <v>-2022.3</v>
      </c>
      <c r="S140" s="5">
        <v>10</v>
      </c>
      <c r="T140" s="4">
        <f t="shared" si="12"/>
        <v>-8</v>
      </c>
      <c r="U140" s="5">
        <v>5</v>
      </c>
      <c r="V140" s="5">
        <v>9</v>
      </c>
      <c r="W140" s="52">
        <f t="shared" si="14"/>
        <v>963</v>
      </c>
      <c r="X140" s="5" t="s">
        <v>470</v>
      </c>
    </row>
    <row r="141" spans="1:24" ht="26">
      <c r="A141" s="44">
        <v>3030282</v>
      </c>
      <c r="B141" s="30" t="s">
        <v>120</v>
      </c>
      <c r="C141" s="31" t="s">
        <v>15</v>
      </c>
      <c r="D141" s="32">
        <v>8</v>
      </c>
      <c r="E141" s="33">
        <v>92.02</v>
      </c>
      <c r="F141" s="32"/>
      <c r="G141" s="32"/>
      <c r="H141" s="32"/>
      <c r="I141" s="32"/>
      <c r="J141" s="32"/>
      <c r="K141" s="32"/>
      <c r="L141" s="32"/>
      <c r="M141" s="32"/>
      <c r="O141" s="4">
        <f t="shared" si="13"/>
        <v>0</v>
      </c>
      <c r="P141" s="4">
        <f t="shared" si="13"/>
        <v>0</v>
      </c>
      <c r="Q141" s="4">
        <f t="shared" si="10"/>
        <v>8</v>
      </c>
      <c r="R141" s="53">
        <f t="shared" si="11"/>
        <v>736.16</v>
      </c>
      <c r="S141" s="5">
        <v>0</v>
      </c>
      <c r="T141" s="4">
        <f t="shared" si="12"/>
        <v>8</v>
      </c>
      <c r="U141" s="5">
        <v>0</v>
      </c>
      <c r="V141" s="5">
        <v>8</v>
      </c>
      <c r="W141" s="52">
        <f t="shared" si="14"/>
        <v>0</v>
      </c>
      <c r="X141" s="5"/>
    </row>
    <row r="142" spans="1:24" ht="26">
      <c r="A142" s="45">
        <v>3030283</v>
      </c>
      <c r="B142" s="30" t="s">
        <v>121</v>
      </c>
      <c r="C142" s="31" t="s">
        <v>15</v>
      </c>
      <c r="D142" s="32">
        <v>3</v>
      </c>
      <c r="E142" s="33">
        <v>406.6</v>
      </c>
      <c r="F142" s="32"/>
      <c r="G142" s="32"/>
      <c r="H142" s="32"/>
      <c r="I142" s="32"/>
      <c r="J142" s="32"/>
      <c r="K142" s="32"/>
      <c r="L142" s="32"/>
      <c r="M142" s="32"/>
      <c r="O142" s="4">
        <f t="shared" si="13"/>
        <v>0</v>
      </c>
      <c r="P142" s="4">
        <f t="shared" si="13"/>
        <v>0</v>
      </c>
      <c r="Q142" s="4">
        <f t="shared" si="10"/>
        <v>3</v>
      </c>
      <c r="R142" s="53">
        <f t="shared" si="11"/>
        <v>1219.8000000000002</v>
      </c>
      <c r="S142" s="5">
        <v>0</v>
      </c>
      <c r="T142" s="4">
        <f t="shared" si="12"/>
        <v>3</v>
      </c>
      <c r="U142" s="5">
        <v>0</v>
      </c>
      <c r="V142" s="5">
        <v>3</v>
      </c>
      <c r="W142" s="52">
        <f t="shared" si="14"/>
        <v>0</v>
      </c>
      <c r="X142" s="5" t="s">
        <v>479</v>
      </c>
    </row>
    <row r="143" spans="1:24" ht="26">
      <c r="A143" s="145">
        <v>3030286</v>
      </c>
      <c r="B143" s="124" t="s">
        <v>122</v>
      </c>
      <c r="C143" s="125" t="s">
        <v>24</v>
      </c>
      <c r="D143" s="128"/>
      <c r="E143" s="129">
        <v>60</v>
      </c>
      <c r="F143" s="128"/>
      <c r="G143" s="128"/>
      <c r="H143" s="128"/>
      <c r="I143" s="128"/>
      <c r="J143" s="128"/>
      <c r="K143" s="128"/>
      <c r="L143" s="128"/>
      <c r="M143" s="128"/>
      <c r="N143" s="130"/>
      <c r="O143" s="131">
        <f t="shared" si="13"/>
        <v>0</v>
      </c>
      <c r="P143" s="131">
        <f t="shared" si="13"/>
        <v>0</v>
      </c>
      <c r="Q143" s="131">
        <f t="shared" si="10"/>
        <v>0</v>
      </c>
      <c r="R143" s="132">
        <f t="shared" si="11"/>
        <v>0</v>
      </c>
      <c r="S143" s="100">
        <v>0</v>
      </c>
      <c r="T143" s="131">
        <f t="shared" si="12"/>
        <v>0</v>
      </c>
      <c r="U143" s="100">
        <v>0</v>
      </c>
      <c r="V143" s="100">
        <v>0</v>
      </c>
      <c r="W143" s="133">
        <f t="shared" si="14"/>
        <v>0</v>
      </c>
      <c r="X143" s="100" t="s">
        <v>437</v>
      </c>
    </row>
    <row r="144" spans="1:24" ht="26">
      <c r="A144" s="45">
        <v>3030289</v>
      </c>
      <c r="B144" s="30" t="s">
        <v>123</v>
      </c>
      <c r="C144" s="31" t="s">
        <v>15</v>
      </c>
      <c r="D144" s="32">
        <v>64</v>
      </c>
      <c r="E144" s="33">
        <v>214</v>
      </c>
      <c r="F144" s="32"/>
      <c r="G144" s="32"/>
      <c r="H144" s="32"/>
      <c r="I144" s="32"/>
      <c r="J144" s="32"/>
      <c r="K144" s="32"/>
      <c r="L144" s="32"/>
      <c r="M144" s="32"/>
      <c r="O144" s="4">
        <f t="shared" si="13"/>
        <v>0</v>
      </c>
      <c r="P144" s="4">
        <f t="shared" si="13"/>
        <v>0</v>
      </c>
      <c r="Q144" s="4">
        <f t="shared" si="10"/>
        <v>64</v>
      </c>
      <c r="R144" s="53">
        <f t="shared" si="11"/>
        <v>13696</v>
      </c>
      <c r="S144" s="5">
        <v>0</v>
      </c>
      <c r="T144" s="4">
        <f t="shared" si="12"/>
        <v>64</v>
      </c>
      <c r="U144" s="5">
        <v>17</v>
      </c>
      <c r="V144" s="5">
        <v>47</v>
      </c>
      <c r="W144" s="52">
        <f t="shared" si="14"/>
        <v>0</v>
      </c>
      <c r="X144" s="5"/>
    </row>
    <row r="145" spans="1:24" ht="26">
      <c r="A145" s="45">
        <v>3030291</v>
      </c>
      <c r="B145" s="30" t="s">
        <v>365</v>
      </c>
      <c r="C145" s="31" t="s">
        <v>21</v>
      </c>
      <c r="D145" s="32">
        <v>53</v>
      </c>
      <c r="E145" s="33">
        <v>513.6</v>
      </c>
      <c r="F145" s="32"/>
      <c r="G145" s="32"/>
      <c r="H145" s="32"/>
      <c r="I145" s="32"/>
      <c r="J145" s="32"/>
      <c r="K145" s="32"/>
      <c r="L145" s="32"/>
      <c r="M145" s="32"/>
      <c r="O145" s="4">
        <f t="shared" si="13"/>
        <v>0</v>
      </c>
      <c r="P145" s="4">
        <f t="shared" si="13"/>
        <v>0</v>
      </c>
      <c r="Q145" s="4">
        <f t="shared" si="10"/>
        <v>53</v>
      </c>
      <c r="R145" s="53">
        <f t="shared" si="11"/>
        <v>27220.800000000003</v>
      </c>
      <c r="S145" s="5">
        <v>0</v>
      </c>
      <c r="T145" s="4">
        <f t="shared" si="12"/>
        <v>53</v>
      </c>
      <c r="U145" s="5">
        <v>8</v>
      </c>
      <c r="V145" s="5">
        <v>45</v>
      </c>
      <c r="W145" s="52">
        <f t="shared" si="14"/>
        <v>0</v>
      </c>
      <c r="X145" s="5" t="s">
        <v>497</v>
      </c>
    </row>
    <row r="146" spans="1:24" ht="26">
      <c r="A146" s="40">
        <v>3030390</v>
      </c>
      <c r="B146" s="30" t="s">
        <v>366</v>
      </c>
      <c r="C146" s="31" t="s">
        <v>14</v>
      </c>
      <c r="D146" s="32">
        <v>0</v>
      </c>
      <c r="E146" s="33">
        <v>952.3</v>
      </c>
      <c r="F146" s="32"/>
      <c r="G146" s="32">
        <v>2</v>
      </c>
      <c r="H146" s="32"/>
      <c r="I146" s="32"/>
      <c r="J146" s="32"/>
      <c r="K146" s="32"/>
      <c r="L146" s="32"/>
      <c r="M146" s="32"/>
      <c r="O146" s="4">
        <f t="shared" si="13"/>
        <v>0</v>
      </c>
      <c r="P146" s="4">
        <f t="shared" si="13"/>
        <v>2</v>
      </c>
      <c r="Q146" s="4">
        <f t="shared" si="10"/>
        <v>-2</v>
      </c>
      <c r="R146" s="53">
        <f t="shared" si="11"/>
        <v>-1904.6</v>
      </c>
      <c r="S146" s="5">
        <v>0</v>
      </c>
      <c r="T146" s="4">
        <f t="shared" si="12"/>
        <v>-2</v>
      </c>
      <c r="U146" s="5">
        <v>0</v>
      </c>
      <c r="V146" s="5">
        <v>0</v>
      </c>
      <c r="W146" s="52">
        <f t="shared" si="14"/>
        <v>0</v>
      </c>
      <c r="X146" s="5" t="s">
        <v>485</v>
      </c>
    </row>
    <row r="147" spans="1:24" ht="26">
      <c r="A147" s="40">
        <v>3030391</v>
      </c>
      <c r="B147" s="30" t="s">
        <v>124</v>
      </c>
      <c r="C147" s="31" t="s">
        <v>18</v>
      </c>
      <c r="D147" s="32">
        <v>0</v>
      </c>
      <c r="E147" s="33">
        <v>192.6</v>
      </c>
      <c r="F147" s="32"/>
      <c r="G147" s="32">
        <v>1</v>
      </c>
      <c r="H147" s="35"/>
      <c r="I147" s="35">
        <v>5</v>
      </c>
      <c r="J147" s="34"/>
      <c r="K147" s="34">
        <v>3</v>
      </c>
      <c r="L147" s="32"/>
      <c r="M147" s="32"/>
      <c r="O147" s="4">
        <f t="shared" si="13"/>
        <v>0</v>
      </c>
      <c r="P147" s="4">
        <f t="shared" si="13"/>
        <v>9</v>
      </c>
      <c r="Q147" s="4">
        <f t="shared" si="10"/>
        <v>-9</v>
      </c>
      <c r="R147" s="53">
        <f t="shared" si="11"/>
        <v>-1733.3999999999999</v>
      </c>
      <c r="S147" s="5">
        <v>0</v>
      </c>
      <c r="T147" s="4">
        <f t="shared" si="12"/>
        <v>-6</v>
      </c>
      <c r="U147" s="5">
        <v>0</v>
      </c>
      <c r="V147" s="5">
        <v>0</v>
      </c>
      <c r="W147" s="52">
        <f t="shared" si="14"/>
        <v>0</v>
      </c>
      <c r="X147" s="5" t="s">
        <v>482</v>
      </c>
    </row>
    <row r="148" spans="1:24" ht="26">
      <c r="A148" s="40">
        <v>3030401</v>
      </c>
      <c r="B148" s="30" t="s">
        <v>125</v>
      </c>
      <c r="C148" s="31" t="s">
        <v>14</v>
      </c>
      <c r="D148" s="32">
        <v>50</v>
      </c>
      <c r="E148" s="33">
        <v>0</v>
      </c>
      <c r="F148" s="32"/>
      <c r="G148" s="32"/>
      <c r="H148" s="35"/>
      <c r="I148" s="35">
        <v>1</v>
      </c>
      <c r="J148" s="32"/>
      <c r="K148" s="32"/>
      <c r="L148" s="32"/>
      <c r="M148" s="32"/>
      <c r="O148" s="4">
        <f t="shared" si="13"/>
        <v>0</v>
      </c>
      <c r="P148" s="4">
        <f t="shared" si="13"/>
        <v>1</v>
      </c>
      <c r="Q148" s="4">
        <f t="shared" si="10"/>
        <v>49</v>
      </c>
      <c r="R148" s="53">
        <f t="shared" si="11"/>
        <v>0</v>
      </c>
      <c r="S148" s="5">
        <v>0</v>
      </c>
      <c r="T148" s="4">
        <f t="shared" si="12"/>
        <v>49</v>
      </c>
      <c r="U148" s="5">
        <v>22</v>
      </c>
      <c r="V148" s="5">
        <v>28</v>
      </c>
      <c r="W148" s="52">
        <f t="shared" si="14"/>
        <v>0</v>
      </c>
      <c r="X148" s="5" t="s">
        <v>476</v>
      </c>
    </row>
    <row r="149" spans="1:24" ht="26">
      <c r="A149" s="40">
        <v>3030403</v>
      </c>
      <c r="B149" s="30" t="s">
        <v>126</v>
      </c>
      <c r="C149" s="31" t="s">
        <v>14</v>
      </c>
      <c r="D149" s="32"/>
      <c r="E149" s="33">
        <v>0</v>
      </c>
      <c r="F149" s="32"/>
      <c r="G149" s="32"/>
      <c r="H149" s="32"/>
      <c r="I149" s="32"/>
      <c r="J149" s="32"/>
      <c r="K149" s="32"/>
      <c r="L149" s="32"/>
      <c r="M149" s="32"/>
      <c r="O149" s="4">
        <f t="shared" si="13"/>
        <v>0</v>
      </c>
      <c r="P149" s="4">
        <f t="shared" si="13"/>
        <v>0</v>
      </c>
      <c r="Q149" s="4">
        <f t="shared" si="10"/>
        <v>0</v>
      </c>
      <c r="R149" s="53">
        <f t="shared" si="11"/>
        <v>0</v>
      </c>
      <c r="S149" s="5">
        <v>0</v>
      </c>
      <c r="T149" s="4">
        <f t="shared" si="12"/>
        <v>0</v>
      </c>
      <c r="U149" s="5">
        <v>0</v>
      </c>
      <c r="V149" s="5">
        <v>0</v>
      </c>
      <c r="W149" s="52">
        <f t="shared" si="14"/>
        <v>0</v>
      </c>
      <c r="X149" s="5" t="s">
        <v>476</v>
      </c>
    </row>
    <row r="150" spans="1:24" ht="26">
      <c r="A150" s="41">
        <v>3030407</v>
      </c>
      <c r="B150" s="30" t="s">
        <v>367</v>
      </c>
      <c r="C150" s="31" t="s">
        <v>103</v>
      </c>
      <c r="D150" s="32">
        <v>18</v>
      </c>
      <c r="E150" s="33">
        <v>963</v>
      </c>
      <c r="F150" s="32"/>
      <c r="G150" s="32"/>
      <c r="H150" s="32"/>
      <c r="I150" s="32"/>
      <c r="J150" s="32"/>
      <c r="K150" s="32"/>
      <c r="L150" s="32"/>
      <c r="M150" s="32"/>
      <c r="O150" s="4">
        <f t="shared" si="13"/>
        <v>0</v>
      </c>
      <c r="P150" s="4">
        <f t="shared" si="13"/>
        <v>0</v>
      </c>
      <c r="Q150" s="4">
        <f t="shared" si="10"/>
        <v>18</v>
      </c>
      <c r="R150" s="53">
        <f t="shared" si="11"/>
        <v>17334</v>
      </c>
      <c r="S150" s="5">
        <v>0</v>
      </c>
      <c r="T150" s="4">
        <f t="shared" si="12"/>
        <v>18</v>
      </c>
      <c r="U150" s="5">
        <v>18</v>
      </c>
      <c r="V150" s="5">
        <v>0</v>
      </c>
      <c r="W150" s="52">
        <f t="shared" si="14"/>
        <v>0</v>
      </c>
      <c r="X150" s="5" t="s">
        <v>470</v>
      </c>
    </row>
    <row r="151" spans="1:24" ht="27">
      <c r="A151" s="40">
        <v>3030431</v>
      </c>
      <c r="B151" s="30" t="s">
        <v>368</v>
      </c>
      <c r="C151" s="31" t="s">
        <v>14</v>
      </c>
      <c r="D151" s="32">
        <v>22</v>
      </c>
      <c r="E151" s="33">
        <v>13.6853</v>
      </c>
      <c r="F151" s="32"/>
      <c r="G151" s="32"/>
      <c r="H151" s="42">
        <v>50</v>
      </c>
      <c r="I151" s="42"/>
      <c r="J151" s="34"/>
      <c r="K151" s="34">
        <v>2</v>
      </c>
      <c r="L151" s="32"/>
      <c r="M151" s="32"/>
      <c r="O151" s="4">
        <f t="shared" si="13"/>
        <v>50</v>
      </c>
      <c r="P151" s="4">
        <f t="shared" si="13"/>
        <v>2</v>
      </c>
      <c r="Q151" s="4">
        <f t="shared" si="10"/>
        <v>70</v>
      </c>
      <c r="R151" s="53">
        <f t="shared" si="11"/>
        <v>957.971</v>
      </c>
      <c r="S151" s="5">
        <v>0</v>
      </c>
      <c r="T151" s="4">
        <f t="shared" si="12"/>
        <v>122</v>
      </c>
      <c r="U151" s="5">
        <v>0</v>
      </c>
      <c r="V151" s="5">
        <v>22</v>
      </c>
      <c r="W151" s="52">
        <f t="shared" si="14"/>
        <v>0</v>
      </c>
      <c r="X151" s="5" t="s">
        <v>485</v>
      </c>
    </row>
    <row r="152" spans="1:24" ht="26">
      <c r="A152" s="40">
        <v>3030432</v>
      </c>
      <c r="B152" s="30" t="s">
        <v>369</v>
      </c>
      <c r="C152" s="31" t="s">
        <v>14</v>
      </c>
      <c r="D152" s="32">
        <v>5</v>
      </c>
      <c r="E152" s="33">
        <v>10.7</v>
      </c>
      <c r="F152" s="32"/>
      <c r="G152" s="32"/>
      <c r="H152" s="32"/>
      <c r="I152" s="32"/>
      <c r="J152" s="32"/>
      <c r="K152" s="32"/>
      <c r="L152" s="32"/>
      <c r="M152" s="32"/>
      <c r="O152" s="4">
        <f t="shared" si="13"/>
        <v>0</v>
      </c>
      <c r="P152" s="4">
        <f t="shared" si="13"/>
        <v>0</v>
      </c>
      <c r="Q152" s="4">
        <f t="shared" si="10"/>
        <v>5</v>
      </c>
      <c r="R152" s="53">
        <f t="shared" si="11"/>
        <v>53.5</v>
      </c>
      <c r="S152" s="5">
        <v>0</v>
      </c>
      <c r="T152" s="4">
        <f t="shared" si="12"/>
        <v>5</v>
      </c>
      <c r="U152" s="5">
        <v>4</v>
      </c>
      <c r="V152" s="5">
        <v>1</v>
      </c>
      <c r="W152" s="52">
        <f t="shared" si="14"/>
        <v>0</v>
      </c>
      <c r="X152" s="5" t="s">
        <v>485</v>
      </c>
    </row>
    <row r="153" spans="1:24" ht="26">
      <c r="A153" s="40">
        <v>3030432</v>
      </c>
      <c r="B153" s="30" t="s">
        <v>369</v>
      </c>
      <c r="C153" s="31" t="s">
        <v>14</v>
      </c>
      <c r="D153" s="32">
        <v>15</v>
      </c>
      <c r="E153" s="33">
        <v>11.7165</v>
      </c>
      <c r="F153" s="32"/>
      <c r="G153" s="32"/>
      <c r="H153" s="32"/>
      <c r="I153" s="32"/>
      <c r="J153" s="32"/>
      <c r="K153" s="32"/>
      <c r="L153" s="32"/>
      <c r="M153" s="32"/>
      <c r="O153" s="4">
        <f t="shared" si="13"/>
        <v>0</v>
      </c>
      <c r="P153" s="4">
        <f t="shared" si="13"/>
        <v>0</v>
      </c>
      <c r="Q153" s="4">
        <f t="shared" si="10"/>
        <v>15</v>
      </c>
      <c r="R153" s="53">
        <f t="shared" si="11"/>
        <v>175.7475</v>
      </c>
      <c r="S153" s="5">
        <v>0</v>
      </c>
      <c r="T153" s="4">
        <f t="shared" si="12"/>
        <v>15</v>
      </c>
      <c r="U153" s="5">
        <v>0</v>
      </c>
      <c r="V153" s="5">
        <v>15</v>
      </c>
      <c r="W153" s="52">
        <f t="shared" si="14"/>
        <v>0</v>
      </c>
      <c r="X153" s="5" t="s">
        <v>482</v>
      </c>
    </row>
    <row r="154" spans="1:24" ht="26">
      <c r="A154" s="40">
        <v>3030437</v>
      </c>
      <c r="B154" s="30" t="s">
        <v>370</v>
      </c>
      <c r="C154" s="31" t="s">
        <v>14</v>
      </c>
      <c r="D154" s="32">
        <v>5</v>
      </c>
      <c r="E154" s="33">
        <v>10.7</v>
      </c>
      <c r="F154" s="32"/>
      <c r="G154" s="32"/>
      <c r="H154" s="32"/>
      <c r="I154" s="32"/>
      <c r="J154" s="32"/>
      <c r="K154" s="32"/>
      <c r="L154" s="32"/>
      <c r="M154" s="32"/>
      <c r="O154" s="4">
        <f t="shared" si="13"/>
        <v>0</v>
      </c>
      <c r="P154" s="4">
        <f t="shared" si="13"/>
        <v>0</v>
      </c>
      <c r="Q154" s="4">
        <f t="shared" si="10"/>
        <v>5</v>
      </c>
      <c r="R154" s="53">
        <f t="shared" si="11"/>
        <v>53.5</v>
      </c>
      <c r="S154" s="5">
        <v>0</v>
      </c>
      <c r="T154" s="4">
        <f t="shared" si="12"/>
        <v>5</v>
      </c>
      <c r="U154" s="5">
        <v>0</v>
      </c>
      <c r="V154" s="5">
        <v>5</v>
      </c>
      <c r="W154" s="52">
        <f t="shared" si="14"/>
        <v>0</v>
      </c>
      <c r="X154" s="5" t="s">
        <v>482</v>
      </c>
    </row>
    <row r="155" spans="1:24" ht="26">
      <c r="A155" s="127">
        <v>3030439</v>
      </c>
      <c r="B155" s="124" t="s">
        <v>127</v>
      </c>
      <c r="C155" s="125" t="s">
        <v>14</v>
      </c>
      <c r="D155" s="128"/>
      <c r="E155" s="129">
        <v>42.8</v>
      </c>
      <c r="F155" s="128"/>
      <c r="G155" s="128"/>
      <c r="H155" s="128"/>
      <c r="I155" s="128"/>
      <c r="J155" s="128"/>
      <c r="K155" s="128"/>
      <c r="L155" s="128"/>
      <c r="M155" s="128"/>
      <c r="N155" s="130"/>
      <c r="O155" s="131">
        <f t="shared" si="13"/>
        <v>0</v>
      </c>
      <c r="P155" s="131">
        <f t="shared" si="13"/>
        <v>0</v>
      </c>
      <c r="Q155" s="131">
        <f t="shared" si="10"/>
        <v>0</v>
      </c>
      <c r="R155" s="132">
        <f t="shared" si="11"/>
        <v>0</v>
      </c>
      <c r="S155" s="100">
        <v>0</v>
      </c>
      <c r="T155" s="131">
        <f t="shared" si="12"/>
        <v>0</v>
      </c>
      <c r="U155" s="100">
        <v>0</v>
      </c>
      <c r="V155" s="100">
        <v>0</v>
      </c>
      <c r="W155" s="133">
        <f t="shared" si="14"/>
        <v>0</v>
      </c>
      <c r="X155" s="100" t="s">
        <v>437</v>
      </c>
    </row>
    <row r="156" spans="1:24" ht="26">
      <c r="A156" s="37">
        <v>3030441</v>
      </c>
      <c r="B156" s="30" t="s">
        <v>128</v>
      </c>
      <c r="C156" s="31" t="s">
        <v>14</v>
      </c>
      <c r="D156" s="32">
        <v>0</v>
      </c>
      <c r="E156" s="33">
        <v>13.91</v>
      </c>
      <c r="F156" s="32"/>
      <c r="G156" s="32"/>
      <c r="H156" s="32"/>
      <c r="I156" s="32"/>
      <c r="J156" s="32"/>
      <c r="K156" s="32"/>
      <c r="L156" s="32"/>
      <c r="M156" s="32"/>
      <c r="O156" s="4">
        <f t="shared" si="13"/>
        <v>0</v>
      </c>
      <c r="P156" s="4">
        <f t="shared" si="13"/>
        <v>0</v>
      </c>
      <c r="Q156" s="4">
        <f t="shared" si="10"/>
        <v>0</v>
      </c>
      <c r="R156" s="53">
        <f t="shared" si="11"/>
        <v>0</v>
      </c>
      <c r="S156" s="5">
        <v>0</v>
      </c>
      <c r="T156" s="4">
        <f t="shared" si="12"/>
        <v>0</v>
      </c>
      <c r="U156" s="5">
        <v>0</v>
      </c>
      <c r="V156" s="5">
        <v>0</v>
      </c>
      <c r="W156" s="52">
        <f t="shared" si="14"/>
        <v>0</v>
      </c>
      <c r="X156" s="5" t="s">
        <v>468</v>
      </c>
    </row>
    <row r="157" spans="1:24" ht="26">
      <c r="A157" s="127">
        <v>3030464</v>
      </c>
      <c r="B157" s="124" t="s">
        <v>371</v>
      </c>
      <c r="C157" s="125" t="s">
        <v>20</v>
      </c>
      <c r="D157" s="128">
        <v>0</v>
      </c>
      <c r="E157" s="129">
        <v>128.4</v>
      </c>
      <c r="F157" s="128"/>
      <c r="G157" s="128"/>
      <c r="H157" s="128"/>
      <c r="I157" s="128"/>
      <c r="J157" s="128"/>
      <c r="K157" s="128"/>
      <c r="L157" s="128"/>
      <c r="M157" s="128"/>
      <c r="N157" s="130"/>
      <c r="O157" s="131">
        <f t="shared" si="13"/>
        <v>0</v>
      </c>
      <c r="P157" s="131">
        <f t="shared" si="13"/>
        <v>0</v>
      </c>
      <c r="Q157" s="131">
        <f t="shared" si="10"/>
        <v>0</v>
      </c>
      <c r="R157" s="132">
        <f t="shared" si="11"/>
        <v>0</v>
      </c>
      <c r="S157" s="100">
        <v>0</v>
      </c>
      <c r="T157" s="131">
        <f t="shared" si="12"/>
        <v>0</v>
      </c>
      <c r="U157" s="100">
        <v>0</v>
      </c>
      <c r="V157" s="100">
        <v>0</v>
      </c>
      <c r="W157" s="133">
        <f t="shared" si="14"/>
        <v>0</v>
      </c>
      <c r="X157" s="100" t="s">
        <v>498</v>
      </c>
    </row>
    <row r="158" spans="1:24" ht="26">
      <c r="A158" s="127">
        <v>3030466</v>
      </c>
      <c r="B158" s="124" t="s">
        <v>129</v>
      </c>
      <c r="C158" s="125" t="s">
        <v>21</v>
      </c>
      <c r="D158" s="128"/>
      <c r="E158" s="129">
        <v>0</v>
      </c>
      <c r="F158" s="128"/>
      <c r="G158" s="128"/>
      <c r="H158" s="128"/>
      <c r="I158" s="128"/>
      <c r="J158" s="128"/>
      <c r="K158" s="128"/>
      <c r="L158" s="128"/>
      <c r="M158" s="128"/>
      <c r="N158" s="130"/>
      <c r="O158" s="131">
        <f t="shared" si="13"/>
        <v>0</v>
      </c>
      <c r="P158" s="131">
        <f t="shared" si="13"/>
        <v>0</v>
      </c>
      <c r="Q158" s="131">
        <f t="shared" si="10"/>
        <v>0</v>
      </c>
      <c r="R158" s="132">
        <f t="shared" si="11"/>
        <v>0</v>
      </c>
      <c r="S158" s="100">
        <v>0</v>
      </c>
      <c r="T158" s="131">
        <f t="shared" si="12"/>
        <v>0</v>
      </c>
      <c r="U158" s="100">
        <v>0</v>
      </c>
      <c r="V158" s="100">
        <v>0</v>
      </c>
      <c r="W158" s="133">
        <f t="shared" si="14"/>
        <v>0</v>
      </c>
      <c r="X158" s="100" t="s">
        <v>498</v>
      </c>
    </row>
    <row r="159" spans="1:24" ht="26">
      <c r="A159" s="40">
        <v>3030499</v>
      </c>
      <c r="B159" s="30" t="s">
        <v>130</v>
      </c>
      <c r="C159" s="31" t="s">
        <v>14</v>
      </c>
      <c r="D159" s="32">
        <v>9</v>
      </c>
      <c r="E159" s="33">
        <v>0</v>
      </c>
      <c r="F159" s="32"/>
      <c r="G159" s="32"/>
      <c r="H159" s="32"/>
      <c r="I159" s="32"/>
      <c r="J159" s="32"/>
      <c r="K159" s="32"/>
      <c r="L159" s="32"/>
      <c r="M159" s="32"/>
      <c r="O159" s="4">
        <f t="shared" si="13"/>
        <v>0</v>
      </c>
      <c r="P159" s="4">
        <f t="shared" si="13"/>
        <v>0</v>
      </c>
      <c r="Q159" s="4">
        <f t="shared" si="10"/>
        <v>9</v>
      </c>
      <c r="R159" s="53">
        <f t="shared" si="11"/>
        <v>0</v>
      </c>
      <c r="S159" s="5">
        <v>50</v>
      </c>
      <c r="T159" s="4">
        <f t="shared" si="12"/>
        <v>9</v>
      </c>
      <c r="U159" s="5">
        <v>26</v>
      </c>
      <c r="V159" s="5">
        <v>33</v>
      </c>
      <c r="W159" s="52">
        <f t="shared" si="14"/>
        <v>0</v>
      </c>
      <c r="X159" s="5"/>
    </row>
    <row r="160" spans="1:24" ht="26">
      <c r="A160" s="40">
        <v>3030548</v>
      </c>
      <c r="B160" s="30" t="s">
        <v>372</v>
      </c>
      <c r="C160" s="31" t="s">
        <v>103</v>
      </c>
      <c r="D160" s="32"/>
      <c r="E160" s="33">
        <v>1551.5</v>
      </c>
      <c r="F160" s="32"/>
      <c r="G160" s="32">
        <v>4</v>
      </c>
      <c r="H160" s="32"/>
      <c r="I160" s="32"/>
      <c r="J160" s="32"/>
      <c r="K160" s="32"/>
      <c r="L160" s="32"/>
      <c r="M160" s="32"/>
      <c r="O160" s="4">
        <f t="shared" si="13"/>
        <v>0</v>
      </c>
      <c r="P160" s="4">
        <f t="shared" si="13"/>
        <v>4</v>
      </c>
      <c r="Q160" s="4">
        <f t="shared" si="10"/>
        <v>-4</v>
      </c>
      <c r="R160" s="53">
        <f t="shared" si="11"/>
        <v>-6206</v>
      </c>
      <c r="S160" s="5">
        <v>0</v>
      </c>
      <c r="T160" s="4">
        <f t="shared" si="12"/>
        <v>-4</v>
      </c>
      <c r="U160" s="5">
        <v>0</v>
      </c>
      <c r="V160" s="5">
        <v>0</v>
      </c>
      <c r="W160" s="52">
        <f t="shared" si="14"/>
        <v>0</v>
      </c>
      <c r="X160" s="5" t="s">
        <v>477</v>
      </c>
    </row>
    <row r="161" spans="1:24" ht="26">
      <c r="A161" s="146">
        <v>3030785</v>
      </c>
      <c r="B161" s="147" t="s">
        <v>373</v>
      </c>
      <c r="C161" s="31" t="s">
        <v>103</v>
      </c>
      <c r="D161" s="32">
        <v>78</v>
      </c>
      <c r="E161" s="33">
        <v>727.6</v>
      </c>
      <c r="F161" s="32"/>
      <c r="G161" s="32"/>
      <c r="H161" s="32"/>
      <c r="I161" s="32"/>
      <c r="J161" s="32"/>
      <c r="K161" s="32"/>
      <c r="L161" s="32"/>
      <c r="M161" s="32"/>
      <c r="O161" s="4">
        <f t="shared" si="13"/>
        <v>0</v>
      </c>
      <c r="P161" s="4">
        <f t="shared" si="13"/>
        <v>0</v>
      </c>
      <c r="Q161" s="4">
        <f t="shared" si="10"/>
        <v>78</v>
      </c>
      <c r="R161" s="53">
        <f t="shared" si="11"/>
        <v>56752.800000000003</v>
      </c>
      <c r="S161" s="5">
        <v>0</v>
      </c>
      <c r="T161" s="4">
        <f t="shared" si="12"/>
        <v>78</v>
      </c>
      <c r="U161" s="5">
        <v>12</v>
      </c>
      <c r="V161" s="5">
        <v>66</v>
      </c>
      <c r="W161" s="52">
        <f t="shared" si="14"/>
        <v>0</v>
      </c>
      <c r="X161" s="5" t="s">
        <v>476</v>
      </c>
    </row>
    <row r="162" spans="1:24" ht="27">
      <c r="A162" s="146">
        <v>3030785</v>
      </c>
      <c r="B162" s="147" t="s">
        <v>373</v>
      </c>
      <c r="C162" s="31" t="s">
        <v>103</v>
      </c>
      <c r="D162" s="32"/>
      <c r="E162" s="33">
        <v>856</v>
      </c>
      <c r="F162" s="32"/>
      <c r="G162" s="32"/>
      <c r="H162" s="42">
        <v>20</v>
      </c>
      <c r="I162" s="42"/>
      <c r="J162" s="32"/>
      <c r="K162" s="32"/>
      <c r="L162" s="32"/>
      <c r="M162" s="32"/>
      <c r="O162" s="4">
        <f t="shared" si="13"/>
        <v>20</v>
      </c>
      <c r="P162" s="4">
        <f t="shared" si="13"/>
        <v>0</v>
      </c>
      <c r="Q162" s="4">
        <f t="shared" si="10"/>
        <v>20</v>
      </c>
      <c r="R162" s="53">
        <f t="shared" si="11"/>
        <v>17120</v>
      </c>
      <c r="S162" s="5">
        <v>0</v>
      </c>
      <c r="T162" s="4">
        <f t="shared" si="12"/>
        <v>40</v>
      </c>
      <c r="U162" s="5">
        <v>0</v>
      </c>
      <c r="V162" s="5">
        <v>0</v>
      </c>
      <c r="W162" s="52">
        <f t="shared" si="14"/>
        <v>0</v>
      </c>
      <c r="X162" s="5"/>
    </row>
    <row r="163" spans="1:24" ht="26">
      <c r="A163" s="46">
        <v>3030787</v>
      </c>
      <c r="B163" s="47" t="s">
        <v>374</v>
      </c>
      <c r="C163" s="31" t="s">
        <v>103</v>
      </c>
      <c r="D163" s="32">
        <v>106</v>
      </c>
      <c r="E163" s="33">
        <v>577.79999999999995</v>
      </c>
      <c r="F163" s="32"/>
      <c r="G163" s="32">
        <v>2</v>
      </c>
      <c r="H163" s="32"/>
      <c r="I163" s="32"/>
      <c r="J163" s="34"/>
      <c r="K163" s="34">
        <v>2</v>
      </c>
      <c r="L163" s="32"/>
      <c r="M163" s="32"/>
      <c r="O163" s="4">
        <f t="shared" si="13"/>
        <v>0</v>
      </c>
      <c r="P163" s="4">
        <f t="shared" si="13"/>
        <v>4</v>
      </c>
      <c r="Q163" s="4">
        <f t="shared" si="10"/>
        <v>102</v>
      </c>
      <c r="R163" s="53">
        <f t="shared" si="11"/>
        <v>58935.6</v>
      </c>
      <c r="S163" s="5">
        <v>0</v>
      </c>
      <c r="T163" s="4">
        <f t="shared" si="12"/>
        <v>104</v>
      </c>
      <c r="U163" s="5">
        <v>36</v>
      </c>
      <c r="V163" s="5">
        <v>70</v>
      </c>
      <c r="W163" s="52">
        <f t="shared" si="14"/>
        <v>0</v>
      </c>
      <c r="X163" s="5" t="s">
        <v>476</v>
      </c>
    </row>
    <row r="164" spans="1:24" ht="26">
      <c r="A164" s="46">
        <v>3030794</v>
      </c>
      <c r="B164" s="47" t="s">
        <v>375</v>
      </c>
      <c r="C164" s="31" t="s">
        <v>103</v>
      </c>
      <c r="D164" s="32">
        <v>82</v>
      </c>
      <c r="E164" s="33">
        <v>361.66</v>
      </c>
      <c r="F164" s="32"/>
      <c r="G164" s="32">
        <v>4</v>
      </c>
      <c r="H164" s="32"/>
      <c r="I164" s="32"/>
      <c r="J164" s="32"/>
      <c r="K164" s="32"/>
      <c r="L164" s="32"/>
      <c r="M164" s="32"/>
      <c r="O164" s="4">
        <f t="shared" si="13"/>
        <v>0</v>
      </c>
      <c r="P164" s="4">
        <f t="shared" si="13"/>
        <v>4</v>
      </c>
      <c r="Q164" s="4">
        <f t="shared" si="10"/>
        <v>78</v>
      </c>
      <c r="R164" s="53">
        <f t="shared" si="11"/>
        <v>28209.480000000003</v>
      </c>
      <c r="S164" s="5">
        <v>0</v>
      </c>
      <c r="T164" s="4">
        <f t="shared" si="12"/>
        <v>78</v>
      </c>
      <c r="U164" s="5">
        <v>65</v>
      </c>
      <c r="V164" s="5">
        <v>17</v>
      </c>
      <c r="W164" s="52">
        <f t="shared" si="14"/>
        <v>0</v>
      </c>
      <c r="X164" s="5" t="s">
        <v>478</v>
      </c>
    </row>
    <row r="165" spans="1:24" ht="26">
      <c r="A165" s="40">
        <v>3030817</v>
      </c>
      <c r="B165" s="30" t="s">
        <v>131</v>
      </c>
      <c r="C165" s="31" t="s">
        <v>14</v>
      </c>
      <c r="D165" s="32">
        <v>41</v>
      </c>
      <c r="E165" s="33">
        <v>64.2</v>
      </c>
      <c r="F165" s="32"/>
      <c r="G165" s="32">
        <v>2</v>
      </c>
      <c r="H165" s="35"/>
      <c r="I165" s="35">
        <v>2</v>
      </c>
      <c r="J165" s="34"/>
      <c r="K165" s="34">
        <v>4</v>
      </c>
      <c r="L165" s="32"/>
      <c r="M165" s="32"/>
      <c r="O165" s="4">
        <f t="shared" si="13"/>
        <v>0</v>
      </c>
      <c r="P165" s="4">
        <f t="shared" si="13"/>
        <v>8</v>
      </c>
      <c r="Q165" s="4">
        <f t="shared" si="10"/>
        <v>33</v>
      </c>
      <c r="R165" s="53">
        <f t="shared" si="11"/>
        <v>2118.6</v>
      </c>
      <c r="S165" s="5">
        <v>0</v>
      </c>
      <c r="T165" s="4">
        <f t="shared" si="12"/>
        <v>37</v>
      </c>
      <c r="U165" s="5">
        <v>15</v>
      </c>
      <c r="V165" s="5">
        <v>26</v>
      </c>
      <c r="W165" s="52">
        <f t="shared" si="14"/>
        <v>0</v>
      </c>
      <c r="X165" s="5" t="s">
        <v>490</v>
      </c>
    </row>
    <row r="166" spans="1:24" ht="27">
      <c r="A166" s="40">
        <v>3030818</v>
      </c>
      <c r="B166" s="30" t="s">
        <v>132</v>
      </c>
      <c r="C166" s="31" t="s">
        <v>14</v>
      </c>
      <c r="D166" s="32"/>
      <c r="E166" s="33">
        <v>53.5</v>
      </c>
      <c r="F166" s="32"/>
      <c r="G166" s="32">
        <v>2</v>
      </c>
      <c r="H166" s="42">
        <v>100</v>
      </c>
      <c r="I166" s="42">
        <v>2</v>
      </c>
      <c r="J166" s="34"/>
      <c r="K166" s="34">
        <v>2</v>
      </c>
      <c r="L166" s="32"/>
      <c r="M166" s="32"/>
      <c r="O166" s="4">
        <f t="shared" si="13"/>
        <v>100</v>
      </c>
      <c r="P166" s="4">
        <f t="shared" si="13"/>
        <v>6</v>
      </c>
      <c r="Q166" s="4">
        <f t="shared" si="10"/>
        <v>94</v>
      </c>
      <c r="R166" s="53">
        <f t="shared" si="11"/>
        <v>5029</v>
      </c>
      <c r="S166" s="5">
        <v>0</v>
      </c>
      <c r="T166" s="4">
        <f t="shared" si="12"/>
        <v>196</v>
      </c>
      <c r="U166" s="5">
        <v>0</v>
      </c>
      <c r="V166" s="5">
        <v>0</v>
      </c>
      <c r="W166" s="52">
        <f t="shared" si="14"/>
        <v>0</v>
      </c>
      <c r="X166" s="5" t="s">
        <v>440</v>
      </c>
    </row>
    <row r="167" spans="1:24" ht="26">
      <c r="A167" s="40">
        <v>3030844</v>
      </c>
      <c r="B167" s="30" t="s">
        <v>376</v>
      </c>
      <c r="C167" s="31" t="s">
        <v>18</v>
      </c>
      <c r="D167" s="32">
        <v>3</v>
      </c>
      <c r="E167" s="33">
        <v>930.9</v>
      </c>
      <c r="F167" s="32"/>
      <c r="G167" s="32">
        <v>6</v>
      </c>
      <c r="H167" s="35"/>
      <c r="I167" s="35">
        <v>2</v>
      </c>
      <c r="J167" s="34"/>
      <c r="K167" s="34">
        <v>1</v>
      </c>
      <c r="L167" s="32"/>
      <c r="M167" s="32"/>
      <c r="O167" s="4">
        <f t="shared" si="13"/>
        <v>0</v>
      </c>
      <c r="P167" s="4">
        <f t="shared" si="13"/>
        <v>9</v>
      </c>
      <c r="Q167" s="4">
        <f t="shared" si="10"/>
        <v>-6</v>
      </c>
      <c r="R167" s="53">
        <f t="shared" si="11"/>
        <v>-5585.4</v>
      </c>
      <c r="S167" s="5">
        <v>20</v>
      </c>
      <c r="T167" s="4">
        <f t="shared" si="12"/>
        <v>-5</v>
      </c>
      <c r="U167" s="5">
        <v>7</v>
      </c>
      <c r="V167" s="5">
        <v>16</v>
      </c>
      <c r="W167" s="52">
        <f t="shared" si="14"/>
        <v>18618</v>
      </c>
      <c r="X167" s="5" t="s">
        <v>482</v>
      </c>
    </row>
    <row r="168" spans="1:24" ht="26">
      <c r="A168" s="40">
        <v>3030845</v>
      </c>
      <c r="B168" s="30" t="s">
        <v>133</v>
      </c>
      <c r="C168" s="31" t="s">
        <v>19</v>
      </c>
      <c r="D168" s="32">
        <v>40</v>
      </c>
      <c r="E168" s="33">
        <v>0</v>
      </c>
      <c r="F168" s="32"/>
      <c r="G168" s="32"/>
      <c r="H168" s="32"/>
      <c r="I168" s="32"/>
      <c r="J168" s="34"/>
      <c r="K168" s="34">
        <v>1</v>
      </c>
      <c r="L168" s="32"/>
      <c r="M168" s="32"/>
      <c r="O168" s="4">
        <f t="shared" si="13"/>
        <v>0</v>
      </c>
      <c r="P168" s="4">
        <f t="shared" si="13"/>
        <v>1</v>
      </c>
      <c r="Q168" s="4">
        <f t="shared" si="10"/>
        <v>39</v>
      </c>
      <c r="R168" s="53">
        <f t="shared" si="11"/>
        <v>0</v>
      </c>
      <c r="S168" s="5">
        <v>40</v>
      </c>
      <c r="T168" s="4">
        <f t="shared" si="12"/>
        <v>40</v>
      </c>
      <c r="U168" s="5">
        <v>47</v>
      </c>
      <c r="V168" s="5">
        <v>33</v>
      </c>
      <c r="W168" s="52">
        <f t="shared" si="14"/>
        <v>0</v>
      </c>
      <c r="X168" s="5" t="s">
        <v>485</v>
      </c>
    </row>
    <row r="169" spans="1:24" ht="26">
      <c r="A169" s="40">
        <v>3030846</v>
      </c>
      <c r="B169" s="30" t="s">
        <v>134</v>
      </c>
      <c r="C169" s="31" t="s">
        <v>19</v>
      </c>
      <c r="D169" s="32">
        <v>50</v>
      </c>
      <c r="E169" s="33">
        <v>0</v>
      </c>
      <c r="F169" s="32"/>
      <c r="G169" s="32"/>
      <c r="H169" s="35"/>
      <c r="I169" s="35">
        <v>3</v>
      </c>
      <c r="J169" s="34"/>
      <c r="K169" s="34">
        <v>5</v>
      </c>
      <c r="L169" s="32"/>
      <c r="M169" s="32"/>
      <c r="O169" s="4">
        <f t="shared" si="13"/>
        <v>0</v>
      </c>
      <c r="P169" s="4">
        <f t="shared" si="13"/>
        <v>8</v>
      </c>
      <c r="Q169" s="4">
        <f t="shared" si="10"/>
        <v>42</v>
      </c>
      <c r="R169" s="53">
        <f t="shared" si="11"/>
        <v>0</v>
      </c>
      <c r="S169" s="5">
        <v>0</v>
      </c>
      <c r="T169" s="4">
        <f t="shared" si="12"/>
        <v>47</v>
      </c>
      <c r="U169" s="5">
        <v>12</v>
      </c>
      <c r="V169" s="5">
        <v>38</v>
      </c>
      <c r="W169" s="52">
        <f t="shared" si="14"/>
        <v>0</v>
      </c>
      <c r="X169" s="5" t="s">
        <v>482</v>
      </c>
    </row>
    <row r="170" spans="1:24" ht="26">
      <c r="A170" s="37">
        <v>3030908</v>
      </c>
      <c r="B170" s="30" t="s">
        <v>135</v>
      </c>
      <c r="C170" s="31" t="s">
        <v>14</v>
      </c>
      <c r="D170" s="32">
        <v>50</v>
      </c>
      <c r="E170" s="33">
        <v>16.585000000000001</v>
      </c>
      <c r="F170" s="32"/>
      <c r="G170" s="32"/>
      <c r="H170" s="32"/>
      <c r="I170" s="32"/>
      <c r="J170" s="32"/>
      <c r="K170" s="32"/>
      <c r="L170" s="32"/>
      <c r="M170" s="32"/>
      <c r="O170" s="4">
        <f t="shared" si="13"/>
        <v>0</v>
      </c>
      <c r="P170" s="4">
        <f t="shared" si="13"/>
        <v>0</v>
      </c>
      <c r="Q170" s="4">
        <f t="shared" si="10"/>
        <v>50</v>
      </c>
      <c r="R170" s="53">
        <f t="shared" si="11"/>
        <v>829.25</v>
      </c>
      <c r="S170" s="5">
        <v>100</v>
      </c>
      <c r="T170" s="4">
        <f t="shared" si="12"/>
        <v>50</v>
      </c>
      <c r="U170" s="5">
        <v>30</v>
      </c>
      <c r="V170" s="5">
        <v>120</v>
      </c>
      <c r="W170" s="52">
        <f t="shared" si="14"/>
        <v>1658.5</v>
      </c>
      <c r="X170" s="5" t="s">
        <v>482</v>
      </c>
    </row>
    <row r="171" spans="1:24" ht="26">
      <c r="A171" s="40">
        <v>3030951</v>
      </c>
      <c r="B171" s="30" t="s">
        <v>136</v>
      </c>
      <c r="C171" s="31" t="s">
        <v>14</v>
      </c>
      <c r="D171" s="32">
        <v>43</v>
      </c>
      <c r="E171" s="33">
        <v>0</v>
      </c>
      <c r="F171" s="32"/>
      <c r="G171" s="32"/>
      <c r="H171" s="32"/>
      <c r="I171" s="32"/>
      <c r="J171" s="32"/>
      <c r="K171" s="32"/>
      <c r="L171" s="32"/>
      <c r="M171" s="32"/>
      <c r="O171" s="4">
        <f t="shared" si="13"/>
        <v>0</v>
      </c>
      <c r="P171" s="4">
        <f t="shared" si="13"/>
        <v>0</v>
      </c>
      <c r="Q171" s="4">
        <f t="shared" si="10"/>
        <v>43</v>
      </c>
      <c r="R171" s="53">
        <f t="shared" si="11"/>
        <v>0</v>
      </c>
      <c r="S171" s="5">
        <v>0</v>
      </c>
      <c r="T171" s="4">
        <f t="shared" si="12"/>
        <v>43</v>
      </c>
      <c r="U171" s="5">
        <v>0</v>
      </c>
      <c r="V171" s="5">
        <v>43</v>
      </c>
      <c r="W171" s="52">
        <f t="shared" si="14"/>
        <v>0</v>
      </c>
      <c r="X171" s="5" t="s">
        <v>440</v>
      </c>
    </row>
    <row r="172" spans="1:24" ht="26">
      <c r="A172" s="46">
        <v>3031149</v>
      </c>
      <c r="B172" s="47" t="s">
        <v>137</v>
      </c>
      <c r="C172" s="31" t="s">
        <v>19</v>
      </c>
      <c r="D172" s="32">
        <v>0</v>
      </c>
      <c r="E172" s="33">
        <v>0.32100000000000001</v>
      </c>
      <c r="F172" s="32"/>
      <c r="G172" s="32"/>
      <c r="H172" s="32"/>
      <c r="I172" s="32"/>
      <c r="J172" s="32"/>
      <c r="K172" s="32"/>
      <c r="L172" s="32"/>
      <c r="M172" s="32"/>
      <c r="O172" s="4">
        <f t="shared" si="13"/>
        <v>0</v>
      </c>
      <c r="P172" s="4">
        <f t="shared" si="13"/>
        <v>0</v>
      </c>
      <c r="Q172" s="4">
        <f t="shared" si="10"/>
        <v>0</v>
      </c>
      <c r="R172" s="53">
        <f t="shared" si="11"/>
        <v>0</v>
      </c>
      <c r="S172" s="5">
        <v>0</v>
      </c>
      <c r="T172" s="4">
        <f t="shared" si="12"/>
        <v>0</v>
      </c>
      <c r="U172" s="5">
        <v>0</v>
      </c>
      <c r="V172" s="5">
        <v>0</v>
      </c>
      <c r="W172" s="52">
        <f t="shared" si="14"/>
        <v>0</v>
      </c>
      <c r="X172" s="5" t="s">
        <v>491</v>
      </c>
    </row>
    <row r="173" spans="1:24" ht="26">
      <c r="A173" s="146">
        <v>3031150</v>
      </c>
      <c r="B173" s="147" t="s">
        <v>138</v>
      </c>
      <c r="C173" s="31" t="s">
        <v>14</v>
      </c>
      <c r="D173" s="32">
        <v>390</v>
      </c>
      <c r="E173" s="33">
        <v>0.34239999999999998</v>
      </c>
      <c r="F173" s="32"/>
      <c r="G173" s="32"/>
      <c r="H173" s="32"/>
      <c r="I173" s="32"/>
      <c r="J173" s="32"/>
      <c r="K173" s="32"/>
      <c r="L173" s="32"/>
      <c r="M173" s="32"/>
      <c r="O173" s="4">
        <f t="shared" si="13"/>
        <v>0</v>
      </c>
      <c r="P173" s="4">
        <f t="shared" si="13"/>
        <v>0</v>
      </c>
      <c r="Q173" s="4">
        <f t="shared" si="10"/>
        <v>390</v>
      </c>
      <c r="R173" s="53">
        <f t="shared" si="11"/>
        <v>133.536</v>
      </c>
      <c r="S173" s="5">
        <v>0</v>
      </c>
      <c r="T173" s="4">
        <f t="shared" si="12"/>
        <v>390</v>
      </c>
      <c r="U173" s="5">
        <v>0</v>
      </c>
      <c r="V173" s="5">
        <v>390</v>
      </c>
      <c r="W173" s="52">
        <f t="shared" si="14"/>
        <v>0</v>
      </c>
      <c r="X173" s="5" t="s">
        <v>492</v>
      </c>
    </row>
    <row r="174" spans="1:24" ht="26">
      <c r="A174" s="146">
        <v>3031150</v>
      </c>
      <c r="B174" s="147" t="s">
        <v>138</v>
      </c>
      <c r="C174" s="31" t="s">
        <v>14</v>
      </c>
      <c r="D174" s="32"/>
      <c r="E174" s="33">
        <v>0.3745</v>
      </c>
      <c r="F174" s="32"/>
      <c r="G174" s="32"/>
      <c r="H174" s="32"/>
      <c r="I174" s="32"/>
      <c r="J174" s="32"/>
      <c r="K174" s="32"/>
      <c r="L174" s="32"/>
      <c r="M174" s="32"/>
      <c r="O174" s="4">
        <f t="shared" si="13"/>
        <v>0</v>
      </c>
      <c r="P174" s="4">
        <f t="shared" si="13"/>
        <v>0</v>
      </c>
      <c r="Q174" s="4">
        <f t="shared" si="10"/>
        <v>0</v>
      </c>
      <c r="R174" s="53">
        <f t="shared" si="11"/>
        <v>0</v>
      </c>
      <c r="S174" s="5">
        <v>0</v>
      </c>
      <c r="T174" s="4">
        <f t="shared" si="12"/>
        <v>0</v>
      </c>
      <c r="U174" s="5">
        <v>0</v>
      </c>
      <c r="V174" s="5">
        <v>0</v>
      </c>
      <c r="W174" s="52">
        <f t="shared" si="14"/>
        <v>0</v>
      </c>
      <c r="X174" s="5"/>
    </row>
    <row r="175" spans="1:24" ht="26">
      <c r="A175" s="29">
        <v>3031151</v>
      </c>
      <c r="B175" s="30" t="s">
        <v>139</v>
      </c>
      <c r="C175" s="31" t="s">
        <v>19</v>
      </c>
      <c r="D175" s="32">
        <v>540</v>
      </c>
      <c r="E175" s="33">
        <v>0.48149999999999998</v>
      </c>
      <c r="F175" s="32"/>
      <c r="G175" s="32"/>
      <c r="H175" s="32"/>
      <c r="I175" s="32"/>
      <c r="J175" s="32"/>
      <c r="K175" s="32"/>
      <c r="L175" s="32"/>
      <c r="M175" s="32"/>
      <c r="O175" s="4">
        <f t="shared" si="13"/>
        <v>0</v>
      </c>
      <c r="P175" s="4">
        <f t="shared" si="13"/>
        <v>0</v>
      </c>
      <c r="Q175" s="4">
        <f t="shared" si="10"/>
        <v>540</v>
      </c>
      <c r="R175" s="53">
        <f t="shared" si="11"/>
        <v>260.01</v>
      </c>
      <c r="S175" s="5">
        <v>0</v>
      </c>
      <c r="T175" s="4">
        <f t="shared" si="12"/>
        <v>540</v>
      </c>
      <c r="U175" s="5">
        <v>0</v>
      </c>
      <c r="V175" s="5">
        <v>540</v>
      </c>
      <c r="W175" s="52">
        <f t="shared" si="14"/>
        <v>0</v>
      </c>
      <c r="X175" s="5" t="s">
        <v>493</v>
      </c>
    </row>
    <row r="176" spans="1:24" ht="26">
      <c r="A176" s="29">
        <v>3031152</v>
      </c>
      <c r="B176" s="30" t="s">
        <v>140</v>
      </c>
      <c r="C176" s="31" t="s">
        <v>19</v>
      </c>
      <c r="D176" s="32">
        <v>1279</v>
      </c>
      <c r="E176" s="33">
        <v>0.64200000000000002</v>
      </c>
      <c r="F176" s="32"/>
      <c r="G176" s="32">
        <v>122</v>
      </c>
      <c r="H176" s="32"/>
      <c r="I176" s="32"/>
      <c r="J176" s="32"/>
      <c r="K176" s="32"/>
      <c r="L176" s="32"/>
      <c r="M176" s="32"/>
      <c r="O176" s="4">
        <f t="shared" si="13"/>
        <v>0</v>
      </c>
      <c r="P176" s="4">
        <f t="shared" si="13"/>
        <v>122</v>
      </c>
      <c r="Q176" s="4">
        <f t="shared" si="10"/>
        <v>1157</v>
      </c>
      <c r="R176" s="53">
        <f t="shared" si="11"/>
        <v>742.79399999999998</v>
      </c>
      <c r="S176" s="5">
        <v>0</v>
      </c>
      <c r="T176" s="4">
        <f t="shared" si="12"/>
        <v>1157</v>
      </c>
      <c r="U176" s="5">
        <v>829</v>
      </c>
      <c r="V176" s="5">
        <v>450</v>
      </c>
      <c r="W176" s="52">
        <f t="shared" si="14"/>
        <v>0</v>
      </c>
      <c r="X176" s="5" t="s">
        <v>493</v>
      </c>
    </row>
    <row r="177" spans="1:24" ht="26">
      <c r="A177" s="29">
        <v>3031152</v>
      </c>
      <c r="B177" s="30" t="s">
        <v>140</v>
      </c>
      <c r="C177" s="31" t="s">
        <v>19</v>
      </c>
      <c r="D177" s="32">
        <v>1974</v>
      </c>
      <c r="E177" s="33">
        <v>0.66339999999999999</v>
      </c>
      <c r="F177" s="32"/>
      <c r="G177" s="32">
        <v>228</v>
      </c>
      <c r="H177" s="32"/>
      <c r="I177" s="32"/>
      <c r="J177" s="34"/>
      <c r="K177" s="34">
        <v>5</v>
      </c>
      <c r="L177" s="32"/>
      <c r="M177" s="32"/>
      <c r="O177" s="4">
        <f t="shared" si="13"/>
        <v>0</v>
      </c>
      <c r="P177" s="4">
        <f t="shared" si="13"/>
        <v>233</v>
      </c>
      <c r="Q177" s="4">
        <f t="shared" si="10"/>
        <v>1741</v>
      </c>
      <c r="R177" s="53">
        <f t="shared" si="11"/>
        <v>1154.9793999999999</v>
      </c>
      <c r="S177" s="5">
        <v>0</v>
      </c>
      <c r="T177" s="4">
        <f t="shared" si="12"/>
        <v>1746</v>
      </c>
      <c r="U177" s="5">
        <v>1734</v>
      </c>
      <c r="V177" s="5">
        <v>240</v>
      </c>
      <c r="W177" s="52">
        <f t="shared" si="14"/>
        <v>0</v>
      </c>
      <c r="X177" s="5" t="s">
        <v>493</v>
      </c>
    </row>
    <row r="178" spans="1:24" ht="26">
      <c r="A178" s="46">
        <v>3031153</v>
      </c>
      <c r="B178" s="30" t="s">
        <v>141</v>
      </c>
      <c r="C178" s="31" t="s">
        <v>19</v>
      </c>
      <c r="D178" s="32">
        <v>470</v>
      </c>
      <c r="E178" s="33">
        <v>0.46010000000000001</v>
      </c>
      <c r="F178" s="32"/>
      <c r="G178" s="32"/>
      <c r="H178" s="32"/>
      <c r="I178" s="32"/>
      <c r="J178" s="32"/>
      <c r="K178" s="32"/>
      <c r="L178" s="32"/>
      <c r="M178" s="32"/>
      <c r="O178" s="4">
        <f t="shared" si="13"/>
        <v>0</v>
      </c>
      <c r="P178" s="4">
        <f t="shared" si="13"/>
        <v>0</v>
      </c>
      <c r="Q178" s="4">
        <f t="shared" si="10"/>
        <v>470</v>
      </c>
      <c r="R178" s="53">
        <f t="shared" si="11"/>
        <v>216.24700000000001</v>
      </c>
      <c r="S178" s="5">
        <v>0</v>
      </c>
      <c r="T178" s="4">
        <f t="shared" si="12"/>
        <v>470</v>
      </c>
      <c r="U178" s="5">
        <v>0</v>
      </c>
      <c r="V178" s="5">
        <v>470</v>
      </c>
      <c r="W178" s="52">
        <f t="shared" si="14"/>
        <v>0</v>
      </c>
      <c r="X178" s="5" t="s">
        <v>493</v>
      </c>
    </row>
    <row r="179" spans="1:24" ht="26">
      <c r="A179" s="29">
        <v>3031154</v>
      </c>
      <c r="B179" s="30" t="s">
        <v>142</v>
      </c>
      <c r="C179" s="31" t="s">
        <v>19</v>
      </c>
      <c r="D179" s="32">
        <v>430</v>
      </c>
      <c r="E179" s="33">
        <v>0.57779999999999998</v>
      </c>
      <c r="F179" s="32"/>
      <c r="G179" s="32"/>
      <c r="H179" s="35"/>
      <c r="I179" s="35">
        <v>20</v>
      </c>
      <c r="J179" s="34"/>
      <c r="K179" s="34">
        <v>150</v>
      </c>
      <c r="L179" s="32"/>
      <c r="M179" s="32"/>
      <c r="O179" s="4">
        <f t="shared" si="13"/>
        <v>0</v>
      </c>
      <c r="P179" s="4">
        <f t="shared" si="13"/>
        <v>170</v>
      </c>
      <c r="Q179" s="4">
        <f t="shared" si="10"/>
        <v>260</v>
      </c>
      <c r="R179" s="53">
        <f t="shared" si="11"/>
        <v>150.22800000000001</v>
      </c>
      <c r="S179" s="5">
        <v>0</v>
      </c>
      <c r="T179" s="4">
        <f t="shared" si="12"/>
        <v>410</v>
      </c>
      <c r="U179" s="5">
        <v>0</v>
      </c>
      <c r="V179" s="5">
        <v>430</v>
      </c>
      <c r="W179" s="52">
        <f t="shared" si="14"/>
        <v>0</v>
      </c>
      <c r="X179" s="5" t="s">
        <v>493</v>
      </c>
    </row>
    <row r="180" spans="1:24" ht="26">
      <c r="A180" s="29">
        <v>3031155</v>
      </c>
      <c r="B180" s="30" t="s">
        <v>143</v>
      </c>
      <c r="C180" s="31" t="s">
        <v>19</v>
      </c>
      <c r="D180" s="32">
        <v>500</v>
      </c>
      <c r="E180" s="33">
        <v>1.1234999999999999</v>
      </c>
      <c r="F180" s="32"/>
      <c r="G180" s="32"/>
      <c r="H180" s="32"/>
      <c r="I180" s="32"/>
      <c r="J180" s="32"/>
      <c r="K180" s="32"/>
      <c r="L180" s="32"/>
      <c r="M180" s="32"/>
      <c r="O180" s="4">
        <f t="shared" si="13"/>
        <v>0</v>
      </c>
      <c r="P180" s="4">
        <f t="shared" si="13"/>
        <v>0</v>
      </c>
      <c r="Q180" s="4">
        <f t="shared" si="10"/>
        <v>500</v>
      </c>
      <c r="R180" s="53">
        <f t="shared" si="11"/>
        <v>561.75</v>
      </c>
      <c r="S180" s="5">
        <v>0</v>
      </c>
      <c r="T180" s="4">
        <f t="shared" si="12"/>
        <v>500</v>
      </c>
      <c r="U180" s="5">
        <v>0</v>
      </c>
      <c r="V180" s="5">
        <v>500</v>
      </c>
      <c r="W180" s="52">
        <f t="shared" si="14"/>
        <v>0</v>
      </c>
      <c r="X180" s="5" t="s">
        <v>493</v>
      </c>
    </row>
    <row r="181" spans="1:24" ht="26">
      <c r="A181" s="40">
        <v>3031183</v>
      </c>
      <c r="B181" s="30" t="s">
        <v>144</v>
      </c>
      <c r="C181" s="31" t="s">
        <v>14</v>
      </c>
      <c r="D181" s="32">
        <v>4</v>
      </c>
      <c r="E181" s="33">
        <v>160.03989999999999</v>
      </c>
      <c r="F181" s="32"/>
      <c r="G181" s="32">
        <v>2</v>
      </c>
      <c r="H181" s="32"/>
      <c r="I181" s="32"/>
      <c r="J181" s="32"/>
      <c r="K181" s="32"/>
      <c r="L181" s="32"/>
      <c r="M181" s="32"/>
      <c r="O181" s="4">
        <f t="shared" si="13"/>
        <v>0</v>
      </c>
      <c r="P181" s="4">
        <f t="shared" si="13"/>
        <v>2</v>
      </c>
      <c r="Q181" s="4">
        <f t="shared" si="10"/>
        <v>2</v>
      </c>
      <c r="R181" s="53">
        <f t="shared" si="11"/>
        <v>320.07979999999998</v>
      </c>
      <c r="S181" s="5">
        <v>0</v>
      </c>
      <c r="T181" s="4">
        <f t="shared" si="12"/>
        <v>2</v>
      </c>
      <c r="U181" s="5">
        <v>4</v>
      </c>
      <c r="V181" s="5">
        <v>0</v>
      </c>
      <c r="W181" s="52">
        <f t="shared" si="14"/>
        <v>0</v>
      </c>
      <c r="X181" s="5" t="s">
        <v>479</v>
      </c>
    </row>
    <row r="182" spans="1:24" ht="26">
      <c r="A182" s="29">
        <v>3031184</v>
      </c>
      <c r="B182" s="30" t="s">
        <v>145</v>
      </c>
      <c r="C182" s="31" t="s">
        <v>19</v>
      </c>
      <c r="D182" s="32">
        <v>100</v>
      </c>
      <c r="E182" s="33">
        <v>0</v>
      </c>
      <c r="F182" s="32"/>
      <c r="G182" s="32"/>
      <c r="H182" s="32"/>
      <c r="I182" s="32"/>
      <c r="J182" s="32"/>
      <c r="K182" s="32"/>
      <c r="L182" s="32"/>
      <c r="M182" s="32"/>
      <c r="O182" s="4">
        <f t="shared" si="13"/>
        <v>0</v>
      </c>
      <c r="P182" s="4">
        <f t="shared" si="13"/>
        <v>0</v>
      </c>
      <c r="Q182" s="4">
        <f t="shared" si="10"/>
        <v>100</v>
      </c>
      <c r="R182" s="53">
        <f t="shared" si="11"/>
        <v>0</v>
      </c>
      <c r="S182" s="5">
        <v>300</v>
      </c>
      <c r="T182" s="4">
        <f t="shared" si="12"/>
        <v>100</v>
      </c>
      <c r="U182" s="5">
        <v>56</v>
      </c>
      <c r="V182" s="5">
        <v>344</v>
      </c>
      <c r="W182" s="52">
        <f t="shared" si="14"/>
        <v>0</v>
      </c>
      <c r="X182" s="5"/>
    </row>
    <row r="183" spans="1:24" ht="26">
      <c r="A183" s="29">
        <v>3031314</v>
      </c>
      <c r="B183" s="30" t="s">
        <v>146</v>
      </c>
      <c r="C183" s="31" t="s">
        <v>19</v>
      </c>
      <c r="D183" s="32">
        <v>1860</v>
      </c>
      <c r="E183" s="33">
        <v>0.2782</v>
      </c>
      <c r="F183" s="32"/>
      <c r="G183" s="32"/>
      <c r="H183" s="32"/>
      <c r="I183" s="32"/>
      <c r="J183" s="32"/>
      <c r="K183" s="32"/>
      <c r="L183" s="32"/>
      <c r="M183" s="32"/>
      <c r="O183" s="4">
        <f t="shared" si="13"/>
        <v>0</v>
      </c>
      <c r="P183" s="4">
        <f t="shared" si="13"/>
        <v>0</v>
      </c>
      <c r="Q183" s="4">
        <f t="shared" si="10"/>
        <v>1860</v>
      </c>
      <c r="R183" s="53">
        <f t="shared" si="11"/>
        <v>517.452</v>
      </c>
      <c r="S183" s="5">
        <v>0</v>
      </c>
      <c r="T183" s="4">
        <f t="shared" si="12"/>
        <v>1860</v>
      </c>
      <c r="U183" s="5">
        <v>1560</v>
      </c>
      <c r="V183" s="5">
        <v>300</v>
      </c>
      <c r="W183" s="52">
        <f t="shared" si="14"/>
        <v>0</v>
      </c>
      <c r="X183" s="5" t="s">
        <v>494</v>
      </c>
    </row>
    <row r="184" spans="1:24" ht="26">
      <c r="A184" s="46">
        <v>3031342</v>
      </c>
      <c r="B184" s="47" t="s">
        <v>147</v>
      </c>
      <c r="C184" s="31" t="s">
        <v>22</v>
      </c>
      <c r="D184" s="32">
        <v>9</v>
      </c>
      <c r="E184" s="33">
        <v>19.260000000000002</v>
      </c>
      <c r="F184" s="32"/>
      <c r="G184" s="32"/>
      <c r="H184" s="32"/>
      <c r="I184" s="32"/>
      <c r="J184" s="32"/>
      <c r="K184" s="32"/>
      <c r="L184" s="32"/>
      <c r="M184" s="32"/>
      <c r="O184" s="4">
        <f t="shared" si="13"/>
        <v>0</v>
      </c>
      <c r="P184" s="4">
        <f t="shared" si="13"/>
        <v>0</v>
      </c>
      <c r="Q184" s="4">
        <f t="shared" si="10"/>
        <v>9</v>
      </c>
      <c r="R184" s="53">
        <f t="shared" si="11"/>
        <v>173.34</v>
      </c>
      <c r="S184" s="5">
        <v>0</v>
      </c>
      <c r="T184" s="4">
        <f t="shared" si="12"/>
        <v>9</v>
      </c>
      <c r="U184" s="5">
        <v>0</v>
      </c>
      <c r="V184" s="5">
        <v>9</v>
      </c>
      <c r="W184" s="52">
        <f t="shared" si="14"/>
        <v>0</v>
      </c>
      <c r="X184" s="5" t="s">
        <v>481</v>
      </c>
    </row>
    <row r="185" spans="1:24" ht="26">
      <c r="A185" s="29">
        <v>3031371</v>
      </c>
      <c r="B185" s="30" t="s">
        <v>148</v>
      </c>
      <c r="C185" s="31" t="s">
        <v>19</v>
      </c>
      <c r="D185" s="32">
        <v>578</v>
      </c>
      <c r="E185" s="33">
        <v>10.7</v>
      </c>
      <c r="F185" s="32"/>
      <c r="G185" s="32"/>
      <c r="H185" s="35"/>
      <c r="I185" s="35">
        <v>50</v>
      </c>
      <c r="J185" s="34"/>
      <c r="K185" s="34">
        <v>10</v>
      </c>
      <c r="L185" s="32"/>
      <c r="M185" s="32"/>
      <c r="O185" s="4">
        <f t="shared" si="13"/>
        <v>0</v>
      </c>
      <c r="P185" s="4">
        <f t="shared" si="13"/>
        <v>60</v>
      </c>
      <c r="Q185" s="4">
        <f t="shared" si="10"/>
        <v>518</v>
      </c>
      <c r="R185" s="53">
        <f t="shared" si="11"/>
        <v>5542.5999999999995</v>
      </c>
      <c r="S185" s="5">
        <v>0</v>
      </c>
      <c r="T185" s="4">
        <f t="shared" si="12"/>
        <v>528</v>
      </c>
      <c r="U185" s="5">
        <v>323</v>
      </c>
      <c r="V185" s="5">
        <v>255</v>
      </c>
      <c r="W185" s="52">
        <f t="shared" si="14"/>
        <v>0</v>
      </c>
      <c r="X185" s="5" t="s">
        <v>482</v>
      </c>
    </row>
    <row r="186" spans="1:24" ht="26">
      <c r="A186" s="29">
        <v>3031387</v>
      </c>
      <c r="B186" s="30" t="s">
        <v>149</v>
      </c>
      <c r="C186" s="31" t="s">
        <v>19</v>
      </c>
      <c r="D186" s="32">
        <v>50</v>
      </c>
      <c r="E186" s="33">
        <v>0</v>
      </c>
      <c r="F186" s="32"/>
      <c r="G186" s="32"/>
      <c r="H186" s="32"/>
      <c r="I186" s="32"/>
      <c r="J186" s="32"/>
      <c r="K186" s="32"/>
      <c r="L186" s="32"/>
      <c r="M186" s="32"/>
      <c r="O186" s="4">
        <f t="shared" si="13"/>
        <v>0</v>
      </c>
      <c r="P186" s="4">
        <f t="shared" si="13"/>
        <v>0</v>
      </c>
      <c r="Q186" s="4">
        <f t="shared" si="10"/>
        <v>50</v>
      </c>
      <c r="R186" s="53">
        <f t="shared" si="11"/>
        <v>0</v>
      </c>
      <c r="S186" s="5">
        <v>300</v>
      </c>
      <c r="T186" s="4">
        <f t="shared" si="12"/>
        <v>50</v>
      </c>
      <c r="U186" s="5">
        <v>58</v>
      </c>
      <c r="V186" s="5">
        <v>292</v>
      </c>
      <c r="W186" s="52">
        <f t="shared" si="14"/>
        <v>0</v>
      </c>
      <c r="X186" s="5" t="s">
        <v>482</v>
      </c>
    </row>
    <row r="187" spans="1:24" ht="26">
      <c r="A187" s="29">
        <v>3031448</v>
      </c>
      <c r="B187" s="30" t="s">
        <v>150</v>
      </c>
      <c r="C187" s="31" t="s">
        <v>19</v>
      </c>
      <c r="D187" s="32">
        <v>1250</v>
      </c>
      <c r="E187" s="33">
        <v>0.48149999999999998</v>
      </c>
      <c r="F187" s="32"/>
      <c r="G187" s="32">
        <v>110</v>
      </c>
      <c r="H187" s="35"/>
      <c r="I187" s="35">
        <v>42</v>
      </c>
      <c r="J187" s="32"/>
      <c r="K187" s="32"/>
      <c r="L187" s="32"/>
      <c r="M187" s="32"/>
      <c r="O187" s="4">
        <f t="shared" si="13"/>
        <v>0</v>
      </c>
      <c r="P187" s="4">
        <f t="shared" si="13"/>
        <v>152</v>
      </c>
      <c r="Q187" s="4">
        <f t="shared" si="10"/>
        <v>1098</v>
      </c>
      <c r="R187" s="53">
        <f t="shared" si="11"/>
        <v>528.68700000000001</v>
      </c>
      <c r="S187" s="5">
        <v>0</v>
      </c>
      <c r="T187" s="4">
        <f t="shared" si="12"/>
        <v>1098</v>
      </c>
      <c r="U187" s="5">
        <v>1246</v>
      </c>
      <c r="V187" s="5">
        <v>4</v>
      </c>
      <c r="W187" s="52">
        <f t="shared" si="14"/>
        <v>0</v>
      </c>
      <c r="X187" s="5" t="s">
        <v>494</v>
      </c>
    </row>
    <row r="188" spans="1:24" ht="26">
      <c r="A188" s="40">
        <v>3031487</v>
      </c>
      <c r="B188" s="30" t="s">
        <v>151</v>
      </c>
      <c r="C188" s="31" t="s">
        <v>17</v>
      </c>
      <c r="D188" s="32"/>
      <c r="E188" s="33">
        <v>0</v>
      </c>
      <c r="F188" s="32"/>
      <c r="G188" s="32"/>
      <c r="H188" s="32"/>
      <c r="I188" s="32"/>
      <c r="J188" s="32"/>
      <c r="K188" s="32"/>
      <c r="L188" s="32"/>
      <c r="M188" s="32"/>
      <c r="O188" s="4">
        <f t="shared" si="13"/>
        <v>0</v>
      </c>
      <c r="P188" s="4">
        <f t="shared" si="13"/>
        <v>0</v>
      </c>
      <c r="Q188" s="4">
        <f t="shared" si="10"/>
        <v>0</v>
      </c>
      <c r="R188" s="53">
        <f t="shared" si="11"/>
        <v>0</v>
      </c>
      <c r="S188" s="5">
        <v>0</v>
      </c>
      <c r="T188" s="4">
        <f t="shared" si="12"/>
        <v>0</v>
      </c>
      <c r="U188" s="5">
        <v>0</v>
      </c>
      <c r="V188" s="5">
        <v>0</v>
      </c>
      <c r="W188" s="52">
        <f t="shared" si="14"/>
        <v>0</v>
      </c>
      <c r="X188" s="5" t="s">
        <v>476</v>
      </c>
    </row>
    <row r="189" spans="1:24" ht="26">
      <c r="A189" s="140">
        <v>3031631</v>
      </c>
      <c r="B189" s="136" t="s">
        <v>152</v>
      </c>
      <c r="C189" s="31" t="s">
        <v>25</v>
      </c>
      <c r="D189" s="32"/>
      <c r="E189" s="33">
        <v>69.55</v>
      </c>
      <c r="F189" s="32"/>
      <c r="G189" s="32"/>
      <c r="H189" s="35"/>
      <c r="I189" s="35">
        <v>120</v>
      </c>
      <c r="J189" s="34"/>
      <c r="K189" s="34">
        <v>160</v>
      </c>
      <c r="L189" s="32"/>
      <c r="M189" s="32"/>
      <c r="O189" s="4">
        <f t="shared" si="13"/>
        <v>0</v>
      </c>
      <c r="P189" s="4">
        <f t="shared" si="13"/>
        <v>280</v>
      </c>
      <c r="Q189" s="4">
        <f t="shared" si="10"/>
        <v>-280</v>
      </c>
      <c r="R189" s="53">
        <f t="shared" si="11"/>
        <v>-19474</v>
      </c>
      <c r="S189" s="5">
        <v>0</v>
      </c>
      <c r="T189" s="4">
        <f t="shared" si="12"/>
        <v>-120</v>
      </c>
      <c r="U189" s="5">
        <v>0</v>
      </c>
      <c r="V189" s="5">
        <v>0</v>
      </c>
      <c r="W189" s="52">
        <f t="shared" si="14"/>
        <v>0</v>
      </c>
      <c r="X189" s="5" t="s">
        <v>440</v>
      </c>
    </row>
    <row r="190" spans="1:24" ht="26">
      <c r="A190" s="140">
        <v>3031631</v>
      </c>
      <c r="B190" s="136" t="s">
        <v>152</v>
      </c>
      <c r="C190" s="31" t="s">
        <v>25</v>
      </c>
      <c r="D190" s="32">
        <v>20</v>
      </c>
      <c r="E190" s="33">
        <v>70.62</v>
      </c>
      <c r="F190" s="32"/>
      <c r="G190" s="32"/>
      <c r="H190" s="32"/>
      <c r="I190" s="32"/>
      <c r="J190" s="32"/>
      <c r="K190" s="32"/>
      <c r="L190" s="32"/>
      <c r="M190" s="32"/>
      <c r="O190" s="4">
        <f t="shared" si="13"/>
        <v>0</v>
      </c>
      <c r="P190" s="4">
        <f t="shared" si="13"/>
        <v>0</v>
      </c>
      <c r="Q190" s="4">
        <f t="shared" si="10"/>
        <v>20</v>
      </c>
      <c r="R190" s="53">
        <f t="shared" si="11"/>
        <v>1412.4</v>
      </c>
      <c r="S190" s="5">
        <v>0</v>
      </c>
      <c r="T190" s="4">
        <f t="shared" si="12"/>
        <v>20</v>
      </c>
      <c r="U190" s="5">
        <v>3</v>
      </c>
      <c r="V190" s="5">
        <v>17</v>
      </c>
      <c r="W190" s="52">
        <f t="shared" si="14"/>
        <v>0</v>
      </c>
      <c r="X190" s="5"/>
    </row>
    <row r="191" spans="1:24" ht="26">
      <c r="A191" s="40">
        <v>3031640</v>
      </c>
      <c r="B191" s="30" t="s">
        <v>153</v>
      </c>
      <c r="C191" s="31" t="s">
        <v>19</v>
      </c>
      <c r="D191" s="32">
        <v>80</v>
      </c>
      <c r="E191" s="33">
        <v>0</v>
      </c>
      <c r="F191" s="32"/>
      <c r="G191" s="32"/>
      <c r="H191" s="32"/>
      <c r="I191" s="32"/>
      <c r="J191" s="32"/>
      <c r="K191" s="32"/>
      <c r="L191" s="32"/>
      <c r="M191" s="32"/>
      <c r="O191" s="4">
        <f t="shared" si="13"/>
        <v>0</v>
      </c>
      <c r="P191" s="4">
        <f t="shared" si="13"/>
        <v>0</v>
      </c>
      <c r="Q191" s="4">
        <f t="shared" si="10"/>
        <v>80</v>
      </c>
      <c r="R191" s="53">
        <f t="shared" si="11"/>
        <v>0</v>
      </c>
      <c r="S191" s="5">
        <v>0</v>
      </c>
      <c r="T191" s="4">
        <f t="shared" si="12"/>
        <v>80</v>
      </c>
      <c r="U191" s="5">
        <v>19</v>
      </c>
      <c r="V191" s="5">
        <v>61</v>
      </c>
      <c r="W191" s="52">
        <f t="shared" si="14"/>
        <v>0</v>
      </c>
      <c r="X191" s="5"/>
    </row>
    <row r="192" spans="1:24" ht="26">
      <c r="A192" s="127">
        <v>3031650</v>
      </c>
      <c r="B192" s="124" t="s">
        <v>154</v>
      </c>
      <c r="C192" s="125" t="s">
        <v>32</v>
      </c>
      <c r="D192" s="128"/>
      <c r="E192" s="129">
        <v>353.1</v>
      </c>
      <c r="F192" s="128"/>
      <c r="G192" s="128"/>
      <c r="H192" s="128"/>
      <c r="I192" s="128"/>
      <c r="J192" s="128"/>
      <c r="K192" s="128"/>
      <c r="L192" s="128"/>
      <c r="M192" s="128"/>
      <c r="N192" s="130"/>
      <c r="O192" s="131">
        <f t="shared" si="13"/>
        <v>0</v>
      </c>
      <c r="P192" s="131">
        <f t="shared" si="13"/>
        <v>0</v>
      </c>
      <c r="Q192" s="131">
        <f t="shared" si="10"/>
        <v>0</v>
      </c>
      <c r="R192" s="132">
        <f t="shared" si="11"/>
        <v>0</v>
      </c>
      <c r="S192" s="100">
        <v>0</v>
      </c>
      <c r="T192" s="131">
        <f t="shared" si="12"/>
        <v>0</v>
      </c>
      <c r="U192" s="100">
        <v>0</v>
      </c>
      <c r="V192" s="100">
        <v>0</v>
      </c>
      <c r="W192" s="133">
        <f t="shared" si="14"/>
        <v>0</v>
      </c>
      <c r="X192" s="100" t="s">
        <v>475</v>
      </c>
    </row>
    <row r="193" spans="1:24" ht="26">
      <c r="A193" s="29">
        <v>3031657</v>
      </c>
      <c r="B193" s="30" t="s">
        <v>155</v>
      </c>
      <c r="C193" s="31" t="s">
        <v>19</v>
      </c>
      <c r="D193" s="32">
        <v>0</v>
      </c>
      <c r="E193" s="33">
        <v>0</v>
      </c>
      <c r="F193" s="32"/>
      <c r="G193" s="32"/>
      <c r="H193" s="32"/>
      <c r="I193" s="32"/>
      <c r="J193" s="32"/>
      <c r="K193" s="32"/>
      <c r="L193" s="32"/>
      <c r="M193" s="32"/>
      <c r="O193" s="4">
        <f t="shared" si="13"/>
        <v>0</v>
      </c>
      <c r="P193" s="4">
        <f t="shared" si="13"/>
        <v>0</v>
      </c>
      <c r="Q193" s="4">
        <f t="shared" si="10"/>
        <v>0</v>
      </c>
      <c r="R193" s="53">
        <f t="shared" si="11"/>
        <v>0</v>
      </c>
      <c r="S193" s="5">
        <v>0</v>
      </c>
      <c r="T193" s="4">
        <f t="shared" si="12"/>
        <v>0</v>
      </c>
      <c r="U193" s="5">
        <v>0</v>
      </c>
      <c r="V193" s="5">
        <v>0</v>
      </c>
      <c r="W193" s="52">
        <f t="shared" si="14"/>
        <v>0</v>
      </c>
      <c r="X193" s="5" t="s">
        <v>479</v>
      </c>
    </row>
    <row r="194" spans="1:24" ht="26">
      <c r="A194" s="137">
        <v>3031659</v>
      </c>
      <c r="B194" s="136" t="s">
        <v>156</v>
      </c>
      <c r="C194" s="31" t="s">
        <v>19</v>
      </c>
      <c r="D194" s="32"/>
      <c r="E194" s="33">
        <v>0.69550000000000001</v>
      </c>
      <c r="F194" s="32"/>
      <c r="G194" s="32"/>
      <c r="H194" s="32"/>
      <c r="I194" s="32"/>
      <c r="J194" s="32"/>
      <c r="K194" s="32"/>
      <c r="L194" s="32"/>
      <c r="M194" s="32"/>
      <c r="O194" s="4">
        <f t="shared" si="13"/>
        <v>0</v>
      </c>
      <c r="P194" s="4">
        <f t="shared" si="13"/>
        <v>0</v>
      </c>
      <c r="Q194" s="4">
        <f t="shared" si="10"/>
        <v>0</v>
      </c>
      <c r="R194" s="53">
        <f t="shared" si="11"/>
        <v>0</v>
      </c>
      <c r="S194" s="5">
        <v>0</v>
      </c>
      <c r="T194" s="4">
        <f t="shared" si="12"/>
        <v>0</v>
      </c>
      <c r="U194" s="5">
        <v>0</v>
      </c>
      <c r="V194" s="5">
        <v>0</v>
      </c>
      <c r="W194" s="52">
        <f t="shared" si="14"/>
        <v>0</v>
      </c>
      <c r="X194" s="5"/>
    </row>
    <row r="195" spans="1:24" ht="26">
      <c r="A195" s="137">
        <v>3031659</v>
      </c>
      <c r="B195" s="136" t="s">
        <v>156</v>
      </c>
      <c r="C195" s="31" t="s">
        <v>19</v>
      </c>
      <c r="D195" s="32">
        <v>1971</v>
      </c>
      <c r="E195" s="33">
        <v>0.96299999999999997</v>
      </c>
      <c r="F195" s="32"/>
      <c r="G195" s="32"/>
      <c r="H195" s="32"/>
      <c r="I195" s="32"/>
      <c r="J195" s="32"/>
      <c r="K195" s="32"/>
      <c r="L195" s="32"/>
      <c r="M195" s="32"/>
      <c r="O195" s="4">
        <f t="shared" si="13"/>
        <v>0</v>
      </c>
      <c r="P195" s="4">
        <f t="shared" si="13"/>
        <v>0</v>
      </c>
      <c r="Q195" s="4">
        <f t="shared" si="10"/>
        <v>1971</v>
      </c>
      <c r="R195" s="53">
        <f t="shared" si="11"/>
        <v>1898.0729999999999</v>
      </c>
      <c r="S195" s="5">
        <v>0</v>
      </c>
      <c r="T195" s="4">
        <f t="shared" si="12"/>
        <v>1971</v>
      </c>
      <c r="U195" s="5">
        <v>566</v>
      </c>
      <c r="V195" s="5">
        <v>1405</v>
      </c>
      <c r="W195" s="52">
        <f t="shared" si="14"/>
        <v>0</v>
      </c>
      <c r="X195" s="5"/>
    </row>
    <row r="196" spans="1:24" ht="26">
      <c r="A196" s="46">
        <v>3031665</v>
      </c>
      <c r="B196" s="47" t="s">
        <v>157</v>
      </c>
      <c r="C196" s="31" t="s">
        <v>19</v>
      </c>
      <c r="D196" s="32">
        <v>94</v>
      </c>
      <c r="E196" s="33">
        <v>1.9259999999999999</v>
      </c>
      <c r="F196" s="32"/>
      <c r="G196" s="32">
        <v>10</v>
      </c>
      <c r="H196" s="32"/>
      <c r="I196" s="32"/>
      <c r="J196" s="32"/>
      <c r="K196" s="32"/>
      <c r="L196" s="32"/>
      <c r="M196" s="32"/>
      <c r="O196" s="4">
        <f t="shared" si="13"/>
        <v>0</v>
      </c>
      <c r="P196" s="4">
        <f t="shared" si="13"/>
        <v>10</v>
      </c>
      <c r="Q196" s="4">
        <f t="shared" si="10"/>
        <v>84</v>
      </c>
      <c r="R196" s="53">
        <f t="shared" si="11"/>
        <v>161.78399999999999</v>
      </c>
      <c r="S196" s="5">
        <v>200</v>
      </c>
      <c r="T196" s="4">
        <f t="shared" si="12"/>
        <v>84</v>
      </c>
      <c r="U196" s="5">
        <v>176</v>
      </c>
      <c r="V196" s="5">
        <v>118</v>
      </c>
      <c r="W196" s="52">
        <f t="shared" si="14"/>
        <v>385.2</v>
      </c>
      <c r="X196" s="5" t="s">
        <v>485</v>
      </c>
    </row>
    <row r="197" spans="1:24" ht="26">
      <c r="A197" s="46">
        <v>3031666</v>
      </c>
      <c r="B197" s="47" t="s">
        <v>158</v>
      </c>
      <c r="C197" s="31" t="s">
        <v>19</v>
      </c>
      <c r="D197" s="32"/>
      <c r="E197" s="33">
        <v>0</v>
      </c>
      <c r="F197" s="32"/>
      <c r="G197" s="32"/>
      <c r="H197" s="32"/>
      <c r="I197" s="32"/>
      <c r="J197" s="32"/>
      <c r="K197" s="32"/>
      <c r="L197" s="32"/>
      <c r="M197" s="32"/>
      <c r="O197" s="4">
        <f t="shared" si="13"/>
        <v>0</v>
      </c>
      <c r="P197" s="4">
        <f t="shared" si="13"/>
        <v>0</v>
      </c>
      <c r="Q197" s="4">
        <f t="shared" ref="Q197:Q214" si="15">+D197+O197-P197</f>
        <v>0</v>
      </c>
      <c r="R197" s="53">
        <f t="shared" ref="R197:R214" si="16">+Q197*E197</f>
        <v>0</v>
      </c>
      <c r="S197" s="5">
        <v>0</v>
      </c>
      <c r="T197" s="4">
        <f t="shared" ref="T197:T214" si="17">+K197+M197+O197+Q197</f>
        <v>0</v>
      </c>
      <c r="U197" s="5">
        <v>0</v>
      </c>
      <c r="V197" s="5">
        <v>0</v>
      </c>
      <c r="W197" s="52">
        <f t="shared" si="14"/>
        <v>0</v>
      </c>
      <c r="X197" s="5" t="s">
        <v>485</v>
      </c>
    </row>
    <row r="198" spans="1:24" ht="26">
      <c r="A198" s="29">
        <v>3031697</v>
      </c>
      <c r="B198" s="30" t="s">
        <v>159</v>
      </c>
      <c r="C198" s="31" t="s">
        <v>19</v>
      </c>
      <c r="D198" s="32">
        <v>0</v>
      </c>
      <c r="E198" s="33">
        <v>2.8889999999999998</v>
      </c>
      <c r="F198" s="32"/>
      <c r="G198" s="32"/>
      <c r="H198" s="35"/>
      <c r="I198" s="35">
        <v>42</v>
      </c>
      <c r="J198" s="32"/>
      <c r="K198" s="32"/>
      <c r="L198" s="32"/>
      <c r="M198" s="32"/>
      <c r="O198" s="4">
        <f t="shared" ref="O198:P214" si="18">+F198+H198+J198+L198</f>
        <v>0</v>
      </c>
      <c r="P198" s="4">
        <f t="shared" si="18"/>
        <v>42</v>
      </c>
      <c r="Q198" s="4">
        <f t="shared" si="15"/>
        <v>-42</v>
      </c>
      <c r="R198" s="53">
        <f t="shared" si="16"/>
        <v>-121.33799999999999</v>
      </c>
      <c r="S198" s="5">
        <v>0</v>
      </c>
      <c r="T198" s="4">
        <f t="shared" si="17"/>
        <v>-42</v>
      </c>
      <c r="U198" s="5">
        <v>0</v>
      </c>
      <c r="V198" s="5">
        <v>0</v>
      </c>
      <c r="W198" s="52">
        <f t="shared" ref="W198:W214" si="19">+S198*E198</f>
        <v>0</v>
      </c>
      <c r="X198" s="5" t="s">
        <v>485</v>
      </c>
    </row>
    <row r="199" spans="1:24" ht="26">
      <c r="A199" s="46">
        <v>3031732</v>
      </c>
      <c r="B199" s="47" t="s">
        <v>160</v>
      </c>
      <c r="C199" s="31" t="s">
        <v>19</v>
      </c>
      <c r="D199" s="32">
        <v>37</v>
      </c>
      <c r="E199" s="33">
        <v>3.2</v>
      </c>
      <c r="F199" s="32"/>
      <c r="G199" s="32"/>
      <c r="H199" s="32"/>
      <c r="I199" s="32"/>
      <c r="J199" s="32"/>
      <c r="K199" s="32"/>
      <c r="L199" s="32"/>
      <c r="M199" s="32"/>
      <c r="O199" s="4">
        <f t="shared" si="18"/>
        <v>0</v>
      </c>
      <c r="P199" s="4">
        <f t="shared" si="18"/>
        <v>0</v>
      </c>
      <c r="Q199" s="4">
        <f t="shared" si="15"/>
        <v>37</v>
      </c>
      <c r="R199" s="53">
        <f t="shared" si="16"/>
        <v>118.4</v>
      </c>
      <c r="S199" s="5">
        <v>100</v>
      </c>
      <c r="T199" s="4">
        <f t="shared" si="17"/>
        <v>37</v>
      </c>
      <c r="U199" s="5">
        <v>33</v>
      </c>
      <c r="V199" s="5">
        <v>104</v>
      </c>
      <c r="W199" s="52">
        <f t="shared" si="19"/>
        <v>320</v>
      </c>
      <c r="X199" s="5" t="s">
        <v>489</v>
      </c>
    </row>
    <row r="200" spans="1:24" ht="26">
      <c r="A200" s="46">
        <v>3031738</v>
      </c>
      <c r="B200" s="30" t="s">
        <v>161</v>
      </c>
      <c r="C200" s="31" t="s">
        <v>19</v>
      </c>
      <c r="D200" s="32">
        <v>6</v>
      </c>
      <c r="E200" s="33">
        <v>1.25</v>
      </c>
      <c r="F200" s="32"/>
      <c r="G200" s="32"/>
      <c r="H200" s="32"/>
      <c r="I200" s="32"/>
      <c r="J200" s="32"/>
      <c r="K200" s="32"/>
      <c r="L200" s="32"/>
      <c r="M200" s="32"/>
      <c r="O200" s="4">
        <f t="shared" si="18"/>
        <v>0</v>
      </c>
      <c r="P200" s="4">
        <f t="shared" si="18"/>
        <v>0</v>
      </c>
      <c r="Q200" s="4">
        <f t="shared" si="15"/>
        <v>6</v>
      </c>
      <c r="R200" s="53">
        <f t="shared" si="16"/>
        <v>7.5</v>
      </c>
      <c r="S200" s="5">
        <v>0</v>
      </c>
      <c r="T200" s="4">
        <f t="shared" si="17"/>
        <v>6</v>
      </c>
      <c r="U200" s="5">
        <v>0</v>
      </c>
      <c r="V200" s="5">
        <v>6</v>
      </c>
      <c r="W200" s="52">
        <f t="shared" si="19"/>
        <v>0</v>
      </c>
      <c r="X200" s="5" t="s">
        <v>489</v>
      </c>
    </row>
    <row r="201" spans="1:24" ht="26">
      <c r="A201" s="29">
        <v>3031744</v>
      </c>
      <c r="B201" s="30" t="s">
        <v>162</v>
      </c>
      <c r="C201" s="31" t="s">
        <v>19</v>
      </c>
      <c r="D201" s="32">
        <v>119</v>
      </c>
      <c r="E201" s="33">
        <v>1.605</v>
      </c>
      <c r="F201" s="32"/>
      <c r="G201" s="32">
        <v>50</v>
      </c>
      <c r="H201" s="35"/>
      <c r="I201" s="35">
        <v>6</v>
      </c>
      <c r="J201" s="32"/>
      <c r="K201" s="32"/>
      <c r="L201" s="32"/>
      <c r="M201" s="32"/>
      <c r="O201" s="4">
        <f t="shared" si="18"/>
        <v>0</v>
      </c>
      <c r="P201" s="4">
        <f t="shared" si="18"/>
        <v>56</v>
      </c>
      <c r="Q201" s="4">
        <f t="shared" si="15"/>
        <v>63</v>
      </c>
      <c r="R201" s="53">
        <f t="shared" si="16"/>
        <v>101.11499999999999</v>
      </c>
      <c r="S201" s="5">
        <v>0</v>
      </c>
      <c r="T201" s="4">
        <f t="shared" si="17"/>
        <v>63</v>
      </c>
      <c r="U201" s="5">
        <v>0</v>
      </c>
      <c r="V201" s="5">
        <v>119</v>
      </c>
      <c r="W201" s="52">
        <f t="shared" si="19"/>
        <v>0</v>
      </c>
      <c r="X201" s="5"/>
    </row>
    <row r="202" spans="1:24" ht="26">
      <c r="A202" s="40">
        <v>3031803</v>
      </c>
      <c r="B202" s="30" t="s">
        <v>163</v>
      </c>
      <c r="C202" s="31" t="s">
        <v>19</v>
      </c>
      <c r="D202" s="32">
        <v>1800</v>
      </c>
      <c r="E202" s="33">
        <v>2.2469999999999999</v>
      </c>
      <c r="F202" s="32"/>
      <c r="G202" s="32"/>
      <c r="H202" s="32"/>
      <c r="I202" s="32"/>
      <c r="J202" s="32"/>
      <c r="K202" s="32"/>
      <c r="L202" s="32"/>
      <c r="M202" s="32"/>
      <c r="O202" s="4">
        <f t="shared" si="18"/>
        <v>0</v>
      </c>
      <c r="P202" s="4">
        <f t="shared" si="18"/>
        <v>0</v>
      </c>
      <c r="Q202" s="4">
        <f t="shared" si="15"/>
        <v>1800</v>
      </c>
      <c r="R202" s="53">
        <f t="shared" si="16"/>
        <v>4044.6</v>
      </c>
      <c r="S202" s="5">
        <v>1000</v>
      </c>
      <c r="T202" s="4">
        <f t="shared" si="17"/>
        <v>1800</v>
      </c>
      <c r="U202" s="5">
        <v>1160</v>
      </c>
      <c r="V202" s="5">
        <v>1640</v>
      </c>
      <c r="W202" s="52">
        <f t="shared" si="19"/>
        <v>2247</v>
      </c>
      <c r="X202" s="5"/>
    </row>
    <row r="203" spans="1:24" ht="26">
      <c r="A203" s="40">
        <v>3031804</v>
      </c>
      <c r="B203" s="30" t="s">
        <v>164</v>
      </c>
      <c r="C203" s="31" t="s">
        <v>19</v>
      </c>
      <c r="D203" s="32">
        <v>60</v>
      </c>
      <c r="E203" s="33">
        <v>0</v>
      </c>
      <c r="F203" s="32"/>
      <c r="G203" s="32"/>
      <c r="H203" s="32"/>
      <c r="I203" s="32"/>
      <c r="J203" s="34"/>
      <c r="K203" s="34">
        <v>50</v>
      </c>
      <c r="L203" s="32"/>
      <c r="M203" s="32"/>
      <c r="O203" s="4">
        <f t="shared" si="18"/>
        <v>0</v>
      </c>
      <c r="P203" s="4">
        <f t="shared" si="18"/>
        <v>50</v>
      </c>
      <c r="Q203" s="4">
        <f t="shared" si="15"/>
        <v>10</v>
      </c>
      <c r="R203" s="53">
        <f t="shared" si="16"/>
        <v>0</v>
      </c>
      <c r="S203" s="5">
        <v>200</v>
      </c>
      <c r="T203" s="4">
        <f t="shared" si="17"/>
        <v>60</v>
      </c>
      <c r="U203" s="5">
        <v>60</v>
      </c>
      <c r="V203" s="5">
        <v>200</v>
      </c>
      <c r="W203" s="52">
        <f t="shared" si="19"/>
        <v>0</v>
      </c>
      <c r="X203" s="5"/>
    </row>
    <row r="204" spans="1:24" ht="26">
      <c r="A204" s="40">
        <v>3031805</v>
      </c>
      <c r="B204" s="30" t="s">
        <v>165</v>
      </c>
      <c r="C204" s="31" t="s">
        <v>19</v>
      </c>
      <c r="D204" s="32">
        <v>0</v>
      </c>
      <c r="E204" s="33">
        <v>5.8849999999999998</v>
      </c>
      <c r="F204" s="32"/>
      <c r="G204" s="32"/>
      <c r="H204" s="32"/>
      <c r="I204" s="32"/>
      <c r="J204" s="32"/>
      <c r="K204" s="32"/>
      <c r="L204" s="32"/>
      <c r="M204" s="32"/>
      <c r="O204" s="4">
        <f t="shared" si="18"/>
        <v>0</v>
      </c>
      <c r="P204" s="4">
        <f t="shared" si="18"/>
        <v>0</v>
      </c>
      <c r="Q204" s="4">
        <f t="shared" si="15"/>
        <v>0</v>
      </c>
      <c r="R204" s="53">
        <f t="shared" si="16"/>
        <v>0</v>
      </c>
      <c r="S204" s="5">
        <v>0</v>
      </c>
      <c r="T204" s="4">
        <f t="shared" si="17"/>
        <v>0</v>
      </c>
      <c r="U204" s="5">
        <v>0</v>
      </c>
      <c r="V204" s="5">
        <v>0</v>
      </c>
      <c r="W204" s="52">
        <f t="shared" si="19"/>
        <v>0</v>
      </c>
      <c r="X204" s="5" t="s">
        <v>440</v>
      </c>
    </row>
    <row r="205" spans="1:24" ht="26">
      <c r="A205" s="29">
        <v>3031811</v>
      </c>
      <c r="B205" s="30" t="s">
        <v>166</v>
      </c>
      <c r="C205" s="31" t="s">
        <v>19</v>
      </c>
      <c r="D205" s="32">
        <v>8</v>
      </c>
      <c r="E205" s="33">
        <v>6.42</v>
      </c>
      <c r="F205" s="32"/>
      <c r="G205" s="32">
        <v>16</v>
      </c>
      <c r="H205" s="32"/>
      <c r="I205" s="32"/>
      <c r="J205" s="32"/>
      <c r="K205" s="32"/>
      <c r="L205" s="32"/>
      <c r="M205" s="32"/>
      <c r="O205" s="4">
        <f t="shared" si="18"/>
        <v>0</v>
      </c>
      <c r="P205" s="4">
        <f t="shared" si="18"/>
        <v>16</v>
      </c>
      <c r="Q205" s="4">
        <f t="shared" si="15"/>
        <v>-8</v>
      </c>
      <c r="R205" s="53">
        <f t="shared" si="16"/>
        <v>-51.36</v>
      </c>
      <c r="S205" s="5">
        <v>0</v>
      </c>
      <c r="T205" s="4">
        <f t="shared" si="17"/>
        <v>-8</v>
      </c>
      <c r="U205" s="5">
        <v>4</v>
      </c>
      <c r="V205" s="5">
        <v>4</v>
      </c>
      <c r="W205" s="52">
        <f t="shared" si="19"/>
        <v>0</v>
      </c>
      <c r="X205" s="5" t="s">
        <v>440</v>
      </c>
    </row>
    <row r="206" spans="1:24" ht="26">
      <c r="A206" s="29">
        <v>3031978</v>
      </c>
      <c r="B206" s="30" t="s">
        <v>167</v>
      </c>
      <c r="C206" s="31" t="s">
        <v>19</v>
      </c>
      <c r="D206" s="32">
        <v>202</v>
      </c>
      <c r="E206" s="33">
        <v>0.63129999999999997</v>
      </c>
      <c r="F206" s="32"/>
      <c r="G206" s="32">
        <v>110</v>
      </c>
      <c r="H206" s="32"/>
      <c r="I206" s="32"/>
      <c r="J206" s="32"/>
      <c r="K206" s="32"/>
      <c r="L206" s="32"/>
      <c r="M206" s="32"/>
      <c r="O206" s="4">
        <f t="shared" si="18"/>
        <v>0</v>
      </c>
      <c r="P206" s="4">
        <f t="shared" si="18"/>
        <v>110</v>
      </c>
      <c r="Q206" s="4">
        <f t="shared" si="15"/>
        <v>92</v>
      </c>
      <c r="R206" s="53">
        <f t="shared" si="16"/>
        <v>58.079599999999999</v>
      </c>
      <c r="S206" s="5">
        <v>0</v>
      </c>
      <c r="T206" s="4">
        <f t="shared" si="17"/>
        <v>92</v>
      </c>
      <c r="U206" s="5">
        <v>56</v>
      </c>
      <c r="V206" s="5">
        <v>146</v>
      </c>
      <c r="W206" s="52">
        <f t="shared" si="19"/>
        <v>0</v>
      </c>
      <c r="X206" s="5"/>
    </row>
    <row r="207" spans="1:24" ht="26">
      <c r="A207" s="29">
        <v>3031996</v>
      </c>
      <c r="B207" s="30" t="s">
        <v>168</v>
      </c>
      <c r="C207" s="31" t="s">
        <v>19</v>
      </c>
      <c r="D207" s="32">
        <v>1670</v>
      </c>
      <c r="E207" s="33">
        <v>14.98</v>
      </c>
      <c r="F207" s="32"/>
      <c r="G207" s="32">
        <v>20</v>
      </c>
      <c r="H207" s="32"/>
      <c r="I207" s="32"/>
      <c r="J207" s="32"/>
      <c r="K207" s="32"/>
      <c r="L207" s="32"/>
      <c r="M207" s="32"/>
      <c r="O207" s="4">
        <f t="shared" si="18"/>
        <v>0</v>
      </c>
      <c r="P207" s="4">
        <f t="shared" si="18"/>
        <v>20</v>
      </c>
      <c r="Q207" s="4">
        <f t="shared" si="15"/>
        <v>1650</v>
      </c>
      <c r="R207" s="53">
        <f t="shared" si="16"/>
        <v>24717</v>
      </c>
      <c r="S207" s="5">
        <v>0</v>
      </c>
      <c r="T207" s="4">
        <f t="shared" si="17"/>
        <v>1650</v>
      </c>
      <c r="U207" s="5">
        <v>1670</v>
      </c>
      <c r="V207" s="5">
        <v>0</v>
      </c>
      <c r="W207" s="52">
        <f t="shared" si="19"/>
        <v>0</v>
      </c>
      <c r="X207" s="5" t="s">
        <v>495</v>
      </c>
    </row>
    <row r="208" spans="1:24" ht="26">
      <c r="A208" s="40">
        <v>3032028</v>
      </c>
      <c r="B208" s="48" t="s">
        <v>169</v>
      </c>
      <c r="C208" s="49" t="s">
        <v>19</v>
      </c>
      <c r="D208" s="50">
        <v>404</v>
      </c>
      <c r="E208" s="51">
        <v>0.51359999999999995</v>
      </c>
      <c r="F208" s="48"/>
      <c r="G208" s="50">
        <v>56</v>
      </c>
      <c r="H208" s="35"/>
      <c r="I208" s="35">
        <v>60</v>
      </c>
      <c r="J208" s="34"/>
      <c r="K208" s="34">
        <v>120</v>
      </c>
      <c r="L208" s="32"/>
      <c r="M208" s="32"/>
      <c r="O208" s="4">
        <f t="shared" si="18"/>
        <v>0</v>
      </c>
      <c r="P208" s="4">
        <f t="shared" si="18"/>
        <v>236</v>
      </c>
      <c r="Q208" s="4">
        <f t="shared" si="15"/>
        <v>168</v>
      </c>
      <c r="R208" s="53">
        <f t="shared" si="16"/>
        <v>86.28479999999999</v>
      </c>
      <c r="S208" s="5">
        <v>0</v>
      </c>
      <c r="T208" s="4">
        <f t="shared" si="17"/>
        <v>288</v>
      </c>
      <c r="U208" s="5">
        <v>70</v>
      </c>
      <c r="V208" s="5">
        <v>334</v>
      </c>
      <c r="W208" s="52">
        <f t="shared" si="19"/>
        <v>0</v>
      </c>
      <c r="X208" s="5" t="s">
        <v>482</v>
      </c>
    </row>
    <row r="209" spans="1:24" ht="26">
      <c r="A209" s="127">
        <v>3032425</v>
      </c>
      <c r="B209" s="124" t="s">
        <v>170</v>
      </c>
      <c r="C209" s="125" t="s">
        <v>18</v>
      </c>
      <c r="D209" s="128">
        <v>23</v>
      </c>
      <c r="E209" s="129">
        <v>214.99510000000001</v>
      </c>
      <c r="F209" s="128"/>
      <c r="G209" s="128"/>
      <c r="H209" s="128"/>
      <c r="I209" s="128"/>
      <c r="J209" s="128"/>
      <c r="K209" s="128"/>
      <c r="L209" s="128"/>
      <c r="M209" s="128"/>
      <c r="N209" s="130"/>
      <c r="O209" s="131">
        <f t="shared" si="18"/>
        <v>0</v>
      </c>
      <c r="P209" s="131">
        <f t="shared" si="18"/>
        <v>0</v>
      </c>
      <c r="Q209" s="131">
        <f t="shared" si="15"/>
        <v>23</v>
      </c>
      <c r="R209" s="132">
        <f t="shared" si="16"/>
        <v>4944.8873000000003</v>
      </c>
      <c r="S209" s="100">
        <v>300</v>
      </c>
      <c r="T209" s="131">
        <f t="shared" si="17"/>
        <v>23</v>
      </c>
      <c r="U209" s="100">
        <v>89</v>
      </c>
      <c r="V209" s="100">
        <v>234</v>
      </c>
      <c r="W209" s="133">
        <f t="shared" si="19"/>
        <v>64498.53</v>
      </c>
      <c r="X209" s="100" t="s">
        <v>437</v>
      </c>
    </row>
    <row r="210" spans="1:24" ht="26">
      <c r="A210" s="127">
        <v>3032425</v>
      </c>
      <c r="B210" s="124" t="s">
        <v>170</v>
      </c>
      <c r="C210" s="125" t="s">
        <v>18</v>
      </c>
      <c r="D210" s="128">
        <v>17</v>
      </c>
      <c r="E210" s="129">
        <v>642</v>
      </c>
      <c r="F210" s="128"/>
      <c r="G210" s="128"/>
      <c r="H210" s="148"/>
      <c r="I210" s="149"/>
      <c r="J210" s="148"/>
      <c r="K210" s="149"/>
      <c r="L210" s="148"/>
      <c r="M210" s="148"/>
      <c r="N210" s="130"/>
      <c r="O210" s="131">
        <f t="shared" si="18"/>
        <v>0</v>
      </c>
      <c r="P210" s="131">
        <f t="shared" si="18"/>
        <v>0</v>
      </c>
      <c r="Q210" s="131">
        <f t="shared" si="15"/>
        <v>17</v>
      </c>
      <c r="R210" s="132">
        <f t="shared" si="16"/>
        <v>10914</v>
      </c>
      <c r="S210" s="100">
        <v>0</v>
      </c>
      <c r="T210" s="131">
        <f t="shared" si="17"/>
        <v>17</v>
      </c>
      <c r="U210" s="100">
        <v>8</v>
      </c>
      <c r="V210" s="100">
        <v>9</v>
      </c>
      <c r="W210" s="133">
        <f t="shared" si="19"/>
        <v>0</v>
      </c>
      <c r="X210" s="100" t="s">
        <v>437</v>
      </c>
    </row>
    <row r="211" spans="1:24" ht="26">
      <c r="A211" s="40">
        <v>3032426</v>
      </c>
      <c r="B211" s="30" t="s">
        <v>377</v>
      </c>
      <c r="C211" s="31" t="s">
        <v>18</v>
      </c>
      <c r="D211" s="32">
        <v>0</v>
      </c>
      <c r="E211" s="33">
        <v>0</v>
      </c>
      <c r="F211" s="32"/>
      <c r="G211" s="32"/>
      <c r="H211" s="32"/>
      <c r="I211" s="32"/>
      <c r="J211" s="34"/>
      <c r="K211" s="34">
        <v>1</v>
      </c>
      <c r="L211" s="32"/>
      <c r="M211" s="32"/>
      <c r="O211" s="4">
        <f t="shared" si="18"/>
        <v>0</v>
      </c>
      <c r="P211" s="4">
        <f t="shared" si="18"/>
        <v>1</v>
      </c>
      <c r="Q211" s="4">
        <f t="shared" si="15"/>
        <v>-1</v>
      </c>
      <c r="R211" s="53">
        <f t="shared" si="16"/>
        <v>0</v>
      </c>
      <c r="S211" s="5">
        <v>0</v>
      </c>
      <c r="T211" s="4">
        <f t="shared" si="17"/>
        <v>0</v>
      </c>
      <c r="U211" s="5">
        <v>0</v>
      </c>
      <c r="V211" s="5">
        <v>0</v>
      </c>
      <c r="W211" s="52">
        <f t="shared" si="19"/>
        <v>0</v>
      </c>
      <c r="X211" s="5" t="s">
        <v>482</v>
      </c>
    </row>
    <row r="212" spans="1:24" ht="26">
      <c r="A212" s="127">
        <v>3032608</v>
      </c>
      <c r="B212" s="124" t="s">
        <v>171</v>
      </c>
      <c r="C212" s="125" t="s">
        <v>14</v>
      </c>
      <c r="D212" s="128">
        <v>1</v>
      </c>
      <c r="E212" s="129">
        <v>0</v>
      </c>
      <c r="F212" s="128"/>
      <c r="G212" s="128"/>
      <c r="H212" s="128"/>
      <c r="I212" s="128"/>
      <c r="J212" s="128"/>
      <c r="K212" s="128"/>
      <c r="L212" s="128"/>
      <c r="M212" s="128"/>
      <c r="N212" s="130"/>
      <c r="O212" s="131">
        <f t="shared" si="18"/>
        <v>0</v>
      </c>
      <c r="P212" s="131">
        <f t="shared" si="18"/>
        <v>0</v>
      </c>
      <c r="Q212" s="131">
        <f t="shared" si="15"/>
        <v>1</v>
      </c>
      <c r="R212" s="132">
        <f t="shared" si="16"/>
        <v>0</v>
      </c>
      <c r="S212" s="100">
        <v>0</v>
      </c>
      <c r="T212" s="131">
        <f t="shared" si="17"/>
        <v>1</v>
      </c>
      <c r="U212" s="100">
        <v>1</v>
      </c>
      <c r="V212" s="100">
        <v>0</v>
      </c>
      <c r="W212" s="133">
        <f t="shared" si="19"/>
        <v>0</v>
      </c>
      <c r="X212" s="100" t="s">
        <v>437</v>
      </c>
    </row>
    <row r="213" spans="1:24" ht="26">
      <c r="A213" s="127">
        <v>3036113</v>
      </c>
      <c r="B213" s="124" t="s">
        <v>172</v>
      </c>
      <c r="C213" s="125" t="s">
        <v>18</v>
      </c>
      <c r="D213" s="128">
        <v>4</v>
      </c>
      <c r="E213" s="129">
        <v>379.99979999999999</v>
      </c>
      <c r="F213" s="128"/>
      <c r="G213" s="128"/>
      <c r="H213" s="128"/>
      <c r="I213" s="128"/>
      <c r="J213" s="128"/>
      <c r="K213" s="128"/>
      <c r="L213" s="128"/>
      <c r="M213" s="128"/>
      <c r="N213" s="130"/>
      <c r="O213" s="150">
        <f t="shared" si="18"/>
        <v>0</v>
      </c>
      <c r="P213" s="150">
        <f t="shared" si="18"/>
        <v>0</v>
      </c>
      <c r="Q213" s="150">
        <f t="shared" si="15"/>
        <v>4</v>
      </c>
      <c r="R213" s="151">
        <f t="shared" si="16"/>
        <v>1519.9992</v>
      </c>
      <c r="S213" s="152"/>
      <c r="T213" s="150">
        <f t="shared" si="17"/>
        <v>4</v>
      </c>
      <c r="U213" s="152"/>
      <c r="V213" s="152"/>
      <c r="W213" s="133">
        <f t="shared" si="19"/>
        <v>0</v>
      </c>
      <c r="X213" s="100" t="s">
        <v>437</v>
      </c>
    </row>
    <row r="214" spans="1:24" ht="26">
      <c r="A214" s="153">
        <v>3036113</v>
      </c>
      <c r="B214" s="154" t="s">
        <v>172</v>
      </c>
      <c r="C214" s="155" t="s">
        <v>18</v>
      </c>
      <c r="D214" s="156">
        <v>20</v>
      </c>
      <c r="E214" s="157">
        <v>642</v>
      </c>
      <c r="F214" s="156"/>
      <c r="G214" s="156"/>
      <c r="H214" s="156"/>
      <c r="I214" s="156"/>
      <c r="J214" s="156"/>
      <c r="K214" s="156"/>
      <c r="L214" s="156"/>
      <c r="M214" s="156"/>
      <c r="N214" s="130"/>
      <c r="O214" s="150">
        <f t="shared" si="18"/>
        <v>0</v>
      </c>
      <c r="P214" s="150">
        <f t="shared" si="18"/>
        <v>0</v>
      </c>
      <c r="Q214" s="150">
        <f t="shared" si="15"/>
        <v>20</v>
      </c>
      <c r="R214" s="158">
        <f t="shared" si="16"/>
        <v>12840</v>
      </c>
      <c r="S214" s="152"/>
      <c r="T214" s="150">
        <f t="shared" si="17"/>
        <v>20</v>
      </c>
      <c r="U214" s="152"/>
      <c r="V214" s="152"/>
      <c r="W214" s="133">
        <f t="shared" si="19"/>
        <v>0</v>
      </c>
      <c r="X214" s="100" t="s">
        <v>437</v>
      </c>
    </row>
    <row r="215" spans="1:24" ht="26">
      <c r="A215" s="194" t="s">
        <v>10</v>
      </c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6"/>
      <c r="W215" s="52">
        <f>SUM(W5:W214)</f>
        <v>405495.35499999998</v>
      </c>
      <c r="X215" s="5"/>
    </row>
    <row r="216" spans="1:24" ht="26">
      <c r="H216" s="62"/>
      <c r="I216" s="62"/>
      <c r="J216" s="62"/>
      <c r="K216" s="62"/>
      <c r="L216" s="62"/>
      <c r="M216" s="62"/>
      <c r="O216" s="61"/>
      <c r="P216" s="61"/>
      <c r="Q216" s="61"/>
      <c r="R216" s="63"/>
      <c r="S216" s="61"/>
      <c r="T216" s="61"/>
      <c r="U216" s="61"/>
      <c r="V216" s="61"/>
      <c r="W216" s="61"/>
      <c r="X216" s="57"/>
    </row>
    <row r="217" spans="1:24" ht="26">
      <c r="B217" s="126" t="s">
        <v>445</v>
      </c>
      <c r="O217" s="60"/>
      <c r="P217" s="60"/>
      <c r="Q217" s="60"/>
      <c r="R217" s="60"/>
      <c r="S217" s="60"/>
      <c r="T217" s="60"/>
      <c r="U217" s="60"/>
      <c r="V217" s="60"/>
      <c r="W217" s="60"/>
      <c r="X217" s="57"/>
    </row>
    <row r="218" spans="1:24" ht="26">
      <c r="B218" s="126" t="s">
        <v>471</v>
      </c>
      <c r="C218" t="s">
        <v>25</v>
      </c>
      <c r="D218">
        <v>10</v>
      </c>
      <c r="O218" s="60"/>
      <c r="P218" s="60"/>
      <c r="Q218" s="60"/>
      <c r="R218" s="60"/>
      <c r="S218" s="60"/>
      <c r="T218" s="60"/>
      <c r="U218" s="60"/>
      <c r="V218" s="60"/>
      <c r="W218" s="60"/>
      <c r="X218" s="57"/>
    </row>
    <row r="219" spans="1:24" ht="26">
      <c r="B219" s="126" t="s">
        <v>472</v>
      </c>
      <c r="C219" t="s">
        <v>14</v>
      </c>
      <c r="D219">
        <v>10</v>
      </c>
      <c r="O219" s="60"/>
      <c r="P219" s="60"/>
      <c r="Q219" s="60"/>
      <c r="R219" s="60"/>
      <c r="S219" s="60"/>
      <c r="T219" s="60"/>
      <c r="U219" s="60"/>
      <c r="V219" s="60"/>
      <c r="W219" s="60"/>
      <c r="X219" s="57"/>
    </row>
    <row r="220" spans="1:24" ht="26">
      <c r="B220" s="126" t="s">
        <v>473</v>
      </c>
      <c r="C220" t="s">
        <v>14</v>
      </c>
      <c r="D220">
        <v>10</v>
      </c>
      <c r="O220" s="60"/>
      <c r="P220" s="60"/>
      <c r="Q220" s="60"/>
      <c r="R220" s="60"/>
      <c r="S220" s="60"/>
      <c r="T220" s="60"/>
      <c r="U220" s="60"/>
      <c r="V220" s="60"/>
      <c r="W220" s="60"/>
      <c r="X220" s="57"/>
    </row>
    <row r="221" spans="1:24" ht="26">
      <c r="B221" s="126" t="s">
        <v>499</v>
      </c>
      <c r="C221" t="s">
        <v>15</v>
      </c>
      <c r="D221">
        <v>20</v>
      </c>
      <c r="O221" s="60"/>
      <c r="P221" s="60"/>
      <c r="Q221" s="60"/>
      <c r="R221" s="60"/>
      <c r="S221" s="60"/>
      <c r="T221" s="60"/>
      <c r="U221" s="60"/>
      <c r="V221" s="60"/>
      <c r="W221" s="60"/>
      <c r="X221" s="57"/>
    </row>
    <row r="222" spans="1:24" ht="26">
      <c r="B222" s="126" t="s">
        <v>500</v>
      </c>
      <c r="C222" t="s">
        <v>15</v>
      </c>
      <c r="D222">
        <v>20</v>
      </c>
      <c r="O222" s="60"/>
      <c r="P222" s="60"/>
      <c r="Q222" s="60"/>
      <c r="R222" s="60"/>
      <c r="S222" s="60"/>
      <c r="T222" s="60"/>
      <c r="U222" s="60"/>
      <c r="V222" s="60"/>
      <c r="W222" s="60"/>
      <c r="X222" s="57"/>
    </row>
    <row r="223" spans="1:24" ht="26">
      <c r="B223" s="126" t="s">
        <v>501</v>
      </c>
      <c r="C223" t="s">
        <v>15</v>
      </c>
      <c r="D223">
        <v>20</v>
      </c>
      <c r="O223" s="60"/>
      <c r="P223" s="60"/>
      <c r="Q223" s="60"/>
      <c r="R223" s="60"/>
      <c r="S223" s="60"/>
      <c r="T223" s="60"/>
      <c r="U223" s="60"/>
      <c r="V223" s="60"/>
      <c r="W223" s="60"/>
      <c r="X223" s="57"/>
    </row>
    <row r="224" spans="1:24" ht="26">
      <c r="B224" s="126" t="s">
        <v>505</v>
      </c>
      <c r="C224" t="s">
        <v>15</v>
      </c>
      <c r="D224">
        <v>5</v>
      </c>
      <c r="O224" s="60"/>
      <c r="P224" s="60"/>
      <c r="Q224" s="60"/>
      <c r="R224" s="60"/>
      <c r="S224" s="60"/>
      <c r="T224" s="60"/>
      <c r="U224" s="60"/>
      <c r="V224" s="60"/>
      <c r="W224" s="60"/>
      <c r="X224" s="57"/>
    </row>
    <row r="225" spans="2:24" ht="26">
      <c r="B225" s="126" t="s">
        <v>506</v>
      </c>
      <c r="C225" t="s">
        <v>15</v>
      </c>
      <c r="D225">
        <v>5</v>
      </c>
      <c r="O225" s="60"/>
      <c r="P225" s="60"/>
      <c r="Q225" s="60"/>
      <c r="R225" s="60"/>
      <c r="S225" s="60"/>
      <c r="T225" s="60"/>
      <c r="U225" s="60"/>
      <c r="V225" s="60"/>
      <c r="W225" s="60"/>
      <c r="X225" s="57"/>
    </row>
    <row r="226" spans="2:24" ht="26">
      <c r="B226" s="126" t="s">
        <v>507</v>
      </c>
      <c r="C226" t="s">
        <v>15</v>
      </c>
      <c r="D226">
        <v>50</v>
      </c>
      <c r="O226" s="60"/>
      <c r="P226" s="60"/>
      <c r="Q226" s="60"/>
      <c r="R226" s="60"/>
      <c r="S226" s="60"/>
      <c r="T226" s="60"/>
      <c r="U226" s="60"/>
      <c r="V226" s="60"/>
      <c r="W226" s="60"/>
      <c r="X226" s="57"/>
    </row>
    <row r="227" spans="2:24" ht="26">
      <c r="B227" s="126" t="s">
        <v>502</v>
      </c>
      <c r="C227" t="s">
        <v>15</v>
      </c>
      <c r="D227">
        <v>5</v>
      </c>
      <c r="O227" s="60"/>
      <c r="P227" s="60"/>
      <c r="Q227" s="60"/>
      <c r="R227" s="60"/>
      <c r="S227" s="60"/>
      <c r="T227" s="60"/>
      <c r="U227" s="60"/>
      <c r="V227" s="60"/>
      <c r="W227" s="60"/>
      <c r="X227" s="57"/>
    </row>
    <row r="228" spans="2:24" ht="26">
      <c r="B228" s="126" t="s">
        <v>503</v>
      </c>
      <c r="C228" t="s">
        <v>15</v>
      </c>
      <c r="D228">
        <v>6</v>
      </c>
      <c r="O228" s="60"/>
      <c r="P228" s="60"/>
      <c r="Q228" s="60"/>
      <c r="R228" s="60"/>
      <c r="S228" s="60"/>
      <c r="T228" s="60"/>
      <c r="U228" s="60"/>
      <c r="V228" s="60"/>
      <c r="W228" s="60"/>
      <c r="X228" s="57"/>
    </row>
    <row r="229" spans="2:24" ht="26">
      <c r="B229" s="126" t="s">
        <v>504</v>
      </c>
      <c r="C229" t="s">
        <v>15</v>
      </c>
      <c r="D229">
        <v>5</v>
      </c>
      <c r="O229" s="60"/>
      <c r="P229" s="60"/>
      <c r="Q229" s="60"/>
      <c r="R229" s="60"/>
      <c r="S229" s="60"/>
      <c r="T229" s="60"/>
      <c r="U229" s="60"/>
      <c r="V229" s="60"/>
      <c r="W229" s="60"/>
      <c r="X229" s="57"/>
    </row>
    <row r="230" spans="2:24">
      <c r="O230" s="60"/>
      <c r="P230" s="60"/>
      <c r="Q230" s="60"/>
      <c r="R230" s="60"/>
      <c r="S230" s="60"/>
      <c r="T230" s="60"/>
      <c r="U230" s="60"/>
      <c r="V230" s="60"/>
      <c r="W230" s="60"/>
      <c r="X230" s="57"/>
    </row>
    <row r="231" spans="2:24">
      <c r="O231" s="60"/>
      <c r="P231" s="60"/>
      <c r="Q231" s="60"/>
      <c r="R231" s="60"/>
      <c r="S231" s="60"/>
      <c r="T231" s="60"/>
      <c r="U231" s="60"/>
      <c r="V231" s="60"/>
      <c r="W231" s="60"/>
      <c r="X231" s="57"/>
    </row>
    <row r="232" spans="2:24">
      <c r="O232" s="60"/>
      <c r="P232" s="60"/>
      <c r="Q232" s="60"/>
      <c r="R232" s="60"/>
      <c r="S232" s="60"/>
      <c r="T232" s="60"/>
      <c r="U232" s="60"/>
      <c r="V232" s="60"/>
      <c r="W232" s="60"/>
      <c r="X232" s="57"/>
    </row>
    <row r="233" spans="2:24">
      <c r="O233" s="60"/>
      <c r="P233" s="60"/>
      <c r="Q233" s="60"/>
      <c r="R233" s="60"/>
      <c r="S233" s="60"/>
      <c r="T233" s="60"/>
      <c r="U233" s="60"/>
      <c r="V233" s="60"/>
      <c r="W233" s="60"/>
      <c r="X233" s="57"/>
    </row>
    <row r="234" spans="2:24">
      <c r="O234" s="60"/>
      <c r="P234" s="60"/>
      <c r="Q234" s="60"/>
      <c r="R234" s="60"/>
      <c r="S234" s="60"/>
      <c r="T234" s="60"/>
      <c r="U234" s="60"/>
      <c r="V234" s="60"/>
      <c r="W234" s="60"/>
      <c r="X234" s="57"/>
    </row>
    <row r="235" spans="2:24">
      <c r="O235" s="60"/>
      <c r="P235" s="60"/>
      <c r="Q235" s="60"/>
      <c r="R235" s="60"/>
      <c r="S235" s="60"/>
      <c r="T235" s="60"/>
      <c r="U235" s="60"/>
      <c r="V235" s="60"/>
      <c r="W235" s="60"/>
      <c r="X235" s="57"/>
    </row>
    <row r="236" spans="2:24">
      <c r="O236" s="60"/>
      <c r="P236" s="60"/>
      <c r="Q236" s="60"/>
      <c r="R236" s="60"/>
      <c r="S236" s="60"/>
      <c r="T236" s="60"/>
      <c r="U236" s="60"/>
      <c r="V236" s="60"/>
      <c r="W236" s="60"/>
      <c r="X236" s="57"/>
    </row>
    <row r="237" spans="2:24">
      <c r="O237" s="60"/>
      <c r="P237" s="60"/>
      <c r="Q237" s="60"/>
      <c r="R237" s="60"/>
      <c r="S237" s="60"/>
      <c r="T237" s="60"/>
      <c r="U237" s="60"/>
      <c r="V237" s="60"/>
      <c r="W237" s="60"/>
      <c r="X237" s="57"/>
    </row>
    <row r="238" spans="2:24">
      <c r="O238" s="60"/>
      <c r="P238" s="60"/>
      <c r="Q238" s="60"/>
      <c r="R238" s="60"/>
      <c r="S238" s="60"/>
      <c r="T238" s="60"/>
      <c r="U238" s="60"/>
      <c r="V238" s="60"/>
      <c r="W238" s="60"/>
      <c r="X238" s="57"/>
    </row>
    <row r="239" spans="2:24">
      <c r="O239" s="60"/>
      <c r="P239" s="60"/>
      <c r="Q239" s="60"/>
      <c r="R239" s="60"/>
      <c r="S239" s="60"/>
      <c r="T239" s="60"/>
      <c r="U239" s="60"/>
      <c r="V239" s="60"/>
      <c r="W239" s="60"/>
      <c r="X239" s="57"/>
    </row>
    <row r="240" spans="2:24">
      <c r="O240" s="60"/>
      <c r="P240" s="60"/>
      <c r="Q240" s="60"/>
      <c r="R240" s="60"/>
      <c r="S240" s="60"/>
      <c r="T240" s="60"/>
      <c r="U240" s="60"/>
      <c r="V240" s="60"/>
      <c r="W240" s="60"/>
      <c r="X240" s="57"/>
    </row>
    <row r="241" spans="15:24">
      <c r="O241" s="60"/>
      <c r="P241" s="60"/>
      <c r="Q241" s="60"/>
      <c r="R241" s="60"/>
      <c r="S241" s="60"/>
      <c r="T241" s="60"/>
      <c r="U241" s="60"/>
      <c r="V241" s="60"/>
      <c r="W241" s="60"/>
      <c r="X241" s="57"/>
    </row>
    <row r="242" spans="15:24">
      <c r="O242" s="60"/>
      <c r="P242" s="60"/>
      <c r="Q242" s="60"/>
      <c r="R242" s="60"/>
      <c r="S242" s="60"/>
      <c r="T242" s="60"/>
      <c r="U242" s="60"/>
      <c r="V242" s="60"/>
      <c r="W242" s="60"/>
      <c r="X242" s="57"/>
    </row>
    <row r="243" spans="15:24">
      <c r="O243" s="60"/>
      <c r="P243" s="60"/>
      <c r="Q243" s="60"/>
      <c r="R243" s="60"/>
      <c r="S243" s="60"/>
      <c r="T243" s="60"/>
      <c r="U243" s="60"/>
      <c r="V243" s="60"/>
      <c r="W243" s="60"/>
      <c r="X243" s="57"/>
    </row>
    <row r="244" spans="15:24">
      <c r="O244" s="60"/>
      <c r="P244" s="60"/>
      <c r="Q244" s="60"/>
      <c r="R244" s="60"/>
      <c r="S244" s="60"/>
      <c r="T244" s="60"/>
      <c r="U244" s="60"/>
      <c r="V244" s="60"/>
      <c r="W244" s="60"/>
      <c r="X244" s="57"/>
    </row>
    <row r="245" spans="15:24">
      <c r="O245" s="60"/>
      <c r="P245" s="60"/>
      <c r="Q245" s="60"/>
      <c r="R245" s="60"/>
      <c r="S245" s="60"/>
      <c r="T245" s="60"/>
      <c r="U245" s="60"/>
      <c r="V245" s="60"/>
      <c r="W245" s="60"/>
      <c r="X245" s="57"/>
    </row>
    <row r="246" spans="15:24">
      <c r="O246" s="60"/>
      <c r="P246" s="60"/>
      <c r="Q246" s="60"/>
      <c r="R246" s="60"/>
      <c r="S246" s="60"/>
      <c r="T246" s="60"/>
      <c r="U246" s="60"/>
      <c r="V246" s="60"/>
      <c r="W246" s="60"/>
      <c r="X246" s="57"/>
    </row>
    <row r="247" spans="15:24">
      <c r="O247" s="60"/>
      <c r="P247" s="60"/>
      <c r="Q247" s="60"/>
      <c r="R247" s="60"/>
      <c r="S247" s="60"/>
      <c r="T247" s="60"/>
      <c r="U247" s="60"/>
      <c r="V247" s="60"/>
      <c r="W247" s="60"/>
      <c r="X247" s="57"/>
    </row>
    <row r="248" spans="15:24">
      <c r="O248" s="60"/>
      <c r="P248" s="60"/>
      <c r="Q248" s="60"/>
      <c r="R248" s="60"/>
      <c r="S248" s="60"/>
      <c r="T248" s="60"/>
      <c r="U248" s="60"/>
      <c r="V248" s="60"/>
      <c r="W248" s="60"/>
      <c r="X248" s="57"/>
    </row>
    <row r="249" spans="15:24">
      <c r="O249" s="60"/>
      <c r="P249" s="60"/>
      <c r="Q249" s="60"/>
      <c r="R249" s="60"/>
      <c r="S249" s="60"/>
      <c r="T249" s="60"/>
      <c r="U249" s="60"/>
      <c r="V249" s="60"/>
      <c r="W249" s="60"/>
      <c r="X249" s="57"/>
    </row>
    <row r="250" spans="15:24">
      <c r="O250" s="60"/>
      <c r="P250" s="60"/>
      <c r="Q250" s="60"/>
      <c r="R250" s="60"/>
      <c r="S250" s="60"/>
      <c r="T250" s="60"/>
      <c r="U250" s="60"/>
      <c r="V250" s="60"/>
      <c r="W250" s="60"/>
      <c r="X250" s="57"/>
    </row>
    <row r="251" spans="15:24">
      <c r="O251" s="60"/>
      <c r="P251" s="60"/>
      <c r="Q251" s="60"/>
      <c r="R251" s="60"/>
      <c r="S251" s="60"/>
      <c r="T251" s="60"/>
      <c r="U251" s="60"/>
      <c r="V251" s="60"/>
      <c r="W251" s="60"/>
      <c r="X251" s="57"/>
    </row>
    <row r="252" spans="15:24">
      <c r="O252" s="60"/>
      <c r="P252" s="60"/>
      <c r="Q252" s="60"/>
      <c r="R252" s="60"/>
      <c r="S252" s="60"/>
      <c r="T252" s="60"/>
      <c r="U252" s="60"/>
      <c r="V252" s="60"/>
      <c r="W252" s="60"/>
      <c r="X252" s="57"/>
    </row>
    <row r="253" spans="15:24">
      <c r="O253" s="60"/>
      <c r="P253" s="60"/>
      <c r="Q253" s="60"/>
      <c r="R253" s="60"/>
      <c r="S253" s="60"/>
      <c r="T253" s="60"/>
      <c r="U253" s="60"/>
      <c r="V253" s="60"/>
      <c r="W253" s="60"/>
      <c r="X253" s="57"/>
    </row>
    <row r="254" spans="15:24">
      <c r="O254" s="60"/>
      <c r="P254" s="60"/>
      <c r="Q254" s="60"/>
      <c r="R254" s="60"/>
      <c r="S254" s="60"/>
      <c r="T254" s="60"/>
      <c r="U254" s="60"/>
      <c r="V254" s="60"/>
      <c r="W254" s="60"/>
      <c r="X254" s="57"/>
    </row>
    <row r="255" spans="15:24">
      <c r="O255" s="60"/>
      <c r="P255" s="60"/>
      <c r="Q255" s="60"/>
      <c r="R255" s="60"/>
      <c r="S255" s="60"/>
      <c r="T255" s="60"/>
      <c r="U255" s="60"/>
      <c r="V255" s="60"/>
      <c r="W255" s="60"/>
      <c r="X255" s="57"/>
    </row>
    <row r="256" spans="15:24">
      <c r="O256" s="60"/>
      <c r="P256" s="60"/>
      <c r="Q256" s="60"/>
      <c r="R256" s="60"/>
      <c r="S256" s="60"/>
      <c r="T256" s="60"/>
      <c r="U256" s="60"/>
      <c r="V256" s="60"/>
      <c r="W256" s="60"/>
      <c r="X256" s="57"/>
    </row>
    <row r="257" spans="15:24">
      <c r="O257" s="60"/>
      <c r="P257" s="60"/>
      <c r="Q257" s="60"/>
      <c r="R257" s="60"/>
      <c r="S257" s="60"/>
      <c r="T257" s="60"/>
      <c r="U257" s="60"/>
      <c r="V257" s="60"/>
      <c r="W257" s="60"/>
      <c r="X257" s="57"/>
    </row>
    <row r="258" spans="15:24">
      <c r="O258" s="60"/>
      <c r="P258" s="60"/>
      <c r="Q258" s="60"/>
      <c r="R258" s="60"/>
      <c r="S258" s="60"/>
      <c r="T258" s="60"/>
      <c r="U258" s="60"/>
      <c r="V258" s="60"/>
      <c r="W258" s="60"/>
      <c r="X258" s="57"/>
    </row>
    <row r="259" spans="15:24">
      <c r="O259" s="60"/>
      <c r="P259" s="60"/>
      <c r="Q259" s="60"/>
      <c r="R259" s="60"/>
      <c r="S259" s="60"/>
      <c r="T259" s="60"/>
      <c r="U259" s="60"/>
      <c r="V259" s="60"/>
      <c r="W259" s="60"/>
      <c r="X259" s="57"/>
    </row>
    <row r="260" spans="15:24">
      <c r="O260" s="60"/>
      <c r="P260" s="60"/>
      <c r="Q260" s="60"/>
      <c r="R260" s="60"/>
      <c r="S260" s="60"/>
      <c r="T260" s="60"/>
      <c r="U260" s="60"/>
      <c r="V260" s="60"/>
      <c r="W260" s="60"/>
      <c r="X260" s="57"/>
    </row>
    <row r="261" spans="15:24">
      <c r="O261" s="60"/>
      <c r="P261" s="60"/>
      <c r="Q261" s="60"/>
      <c r="R261" s="60"/>
      <c r="S261" s="60"/>
      <c r="T261" s="60"/>
      <c r="U261" s="60"/>
      <c r="V261" s="60"/>
      <c r="W261" s="60"/>
      <c r="X261" s="57"/>
    </row>
    <row r="262" spans="15:24">
      <c r="O262" s="60"/>
      <c r="P262" s="60"/>
      <c r="Q262" s="60"/>
      <c r="R262" s="60"/>
      <c r="S262" s="60"/>
      <c r="T262" s="60"/>
      <c r="U262" s="60"/>
      <c r="V262" s="60"/>
      <c r="W262" s="60"/>
      <c r="X262" s="57"/>
    </row>
    <row r="263" spans="15:24">
      <c r="O263" s="60"/>
      <c r="P263" s="60"/>
      <c r="Q263" s="60"/>
      <c r="R263" s="60"/>
      <c r="S263" s="60"/>
      <c r="T263" s="60"/>
      <c r="U263" s="60"/>
      <c r="V263" s="60"/>
      <c r="W263" s="60"/>
      <c r="X263" s="57"/>
    </row>
    <row r="264" spans="15:24">
      <c r="O264" s="60"/>
      <c r="P264" s="60"/>
      <c r="Q264" s="60"/>
      <c r="R264" s="60"/>
      <c r="S264" s="60"/>
      <c r="T264" s="60"/>
      <c r="U264" s="60"/>
      <c r="V264" s="60"/>
      <c r="W264" s="60"/>
      <c r="X264" s="57"/>
    </row>
    <row r="265" spans="15:24">
      <c r="O265" s="60"/>
      <c r="P265" s="60"/>
      <c r="Q265" s="60"/>
      <c r="R265" s="60"/>
      <c r="S265" s="60"/>
      <c r="T265" s="60"/>
      <c r="U265" s="60"/>
      <c r="V265" s="60"/>
      <c r="W265" s="60"/>
      <c r="X265" s="57"/>
    </row>
    <row r="266" spans="15:24">
      <c r="O266" s="60"/>
      <c r="P266" s="60"/>
      <c r="Q266" s="60"/>
      <c r="R266" s="60"/>
      <c r="S266" s="60"/>
      <c r="T266" s="60"/>
      <c r="U266" s="60"/>
      <c r="V266" s="60"/>
      <c r="W266" s="60"/>
      <c r="X266" s="57"/>
    </row>
    <row r="267" spans="15:24">
      <c r="O267" s="60"/>
      <c r="P267" s="60"/>
      <c r="Q267" s="60"/>
      <c r="R267" s="60"/>
      <c r="S267" s="60"/>
      <c r="T267" s="60"/>
      <c r="U267" s="60"/>
      <c r="V267" s="60"/>
      <c r="W267" s="60"/>
      <c r="X267" s="57"/>
    </row>
    <row r="268" spans="15:24">
      <c r="O268" s="60"/>
      <c r="P268" s="60"/>
      <c r="Q268" s="60"/>
      <c r="R268" s="60"/>
      <c r="S268" s="60"/>
      <c r="T268" s="60"/>
      <c r="U268" s="60"/>
      <c r="V268" s="60"/>
      <c r="W268" s="60"/>
      <c r="X268" s="57"/>
    </row>
    <row r="269" spans="15:24">
      <c r="O269" s="60"/>
      <c r="P269" s="60"/>
      <c r="Q269" s="60"/>
      <c r="R269" s="60"/>
      <c r="S269" s="60"/>
      <c r="T269" s="60"/>
      <c r="U269" s="60"/>
      <c r="V269" s="60"/>
      <c r="W269" s="60"/>
      <c r="X269" s="57"/>
    </row>
    <row r="270" spans="15:24">
      <c r="O270" s="60"/>
      <c r="P270" s="60"/>
      <c r="Q270" s="60"/>
      <c r="R270" s="60"/>
      <c r="S270" s="60"/>
      <c r="T270" s="60"/>
      <c r="U270" s="60"/>
      <c r="V270" s="60"/>
      <c r="W270" s="60"/>
      <c r="X270" s="57"/>
    </row>
    <row r="271" spans="15:24">
      <c r="O271" s="60"/>
      <c r="P271" s="60"/>
      <c r="Q271" s="60"/>
      <c r="R271" s="60"/>
      <c r="S271" s="60"/>
      <c r="T271" s="60"/>
      <c r="U271" s="60"/>
      <c r="V271" s="60"/>
      <c r="W271" s="60"/>
      <c r="X271" s="57"/>
    </row>
    <row r="272" spans="15:24">
      <c r="O272" s="60"/>
      <c r="P272" s="60"/>
      <c r="Q272" s="60"/>
      <c r="R272" s="60"/>
      <c r="S272" s="60"/>
      <c r="T272" s="60"/>
      <c r="U272" s="60"/>
      <c r="V272" s="60"/>
      <c r="W272" s="60"/>
      <c r="X272" s="57"/>
    </row>
    <row r="273" spans="15:24">
      <c r="O273" s="60"/>
      <c r="P273" s="60"/>
      <c r="Q273" s="60"/>
      <c r="R273" s="60"/>
      <c r="S273" s="60"/>
      <c r="T273" s="60"/>
      <c r="U273" s="60"/>
      <c r="V273" s="60"/>
      <c r="W273" s="60"/>
      <c r="X273" s="57"/>
    </row>
    <row r="274" spans="15:24">
      <c r="O274" s="60"/>
      <c r="P274" s="60"/>
      <c r="Q274" s="60"/>
      <c r="R274" s="60"/>
      <c r="S274" s="60"/>
      <c r="T274" s="60"/>
      <c r="U274" s="60"/>
      <c r="V274" s="60"/>
      <c r="W274" s="60"/>
      <c r="X274" s="57"/>
    </row>
    <row r="275" spans="15:24">
      <c r="O275" s="60"/>
      <c r="P275" s="60"/>
      <c r="Q275" s="60"/>
      <c r="R275" s="60"/>
      <c r="S275" s="60"/>
      <c r="T275" s="60"/>
      <c r="U275" s="60"/>
      <c r="V275" s="60"/>
      <c r="W275" s="60"/>
      <c r="X275" s="57"/>
    </row>
    <row r="276" spans="15:24">
      <c r="O276" s="60"/>
      <c r="P276" s="60"/>
      <c r="Q276" s="60"/>
      <c r="R276" s="60"/>
      <c r="S276" s="60"/>
      <c r="T276" s="60"/>
      <c r="U276" s="60"/>
      <c r="V276" s="60"/>
      <c r="W276" s="60"/>
      <c r="X276" s="57"/>
    </row>
    <row r="277" spans="15:24">
      <c r="O277" s="60"/>
      <c r="P277" s="60"/>
      <c r="Q277" s="60"/>
      <c r="R277" s="60"/>
      <c r="S277" s="60"/>
      <c r="T277" s="60"/>
      <c r="U277" s="60"/>
      <c r="V277" s="60"/>
      <c r="W277" s="60"/>
      <c r="X277" s="57"/>
    </row>
    <row r="278" spans="15:24">
      <c r="O278" s="60"/>
      <c r="P278" s="60"/>
      <c r="Q278" s="60"/>
      <c r="R278" s="60"/>
      <c r="S278" s="60"/>
      <c r="T278" s="60"/>
      <c r="U278" s="60"/>
      <c r="V278" s="60"/>
      <c r="W278" s="60"/>
      <c r="X278" s="57"/>
    </row>
    <row r="279" spans="15:24">
      <c r="O279" s="60"/>
      <c r="P279" s="60"/>
      <c r="Q279" s="60"/>
      <c r="R279" s="60"/>
      <c r="S279" s="60"/>
      <c r="T279" s="60"/>
      <c r="U279" s="60"/>
      <c r="V279" s="60"/>
      <c r="W279" s="60"/>
      <c r="X279" s="57"/>
    </row>
    <row r="280" spans="15:24">
      <c r="O280" s="60"/>
      <c r="P280" s="60"/>
      <c r="Q280" s="60"/>
      <c r="R280" s="60"/>
      <c r="S280" s="60"/>
      <c r="T280" s="60"/>
      <c r="U280" s="60"/>
      <c r="V280" s="60"/>
      <c r="W280" s="60"/>
      <c r="X280" s="57"/>
    </row>
    <row r="281" spans="15:24">
      <c r="O281" s="60"/>
      <c r="P281" s="60"/>
      <c r="Q281" s="60"/>
      <c r="R281" s="60"/>
      <c r="S281" s="60"/>
      <c r="T281" s="60"/>
      <c r="U281" s="60"/>
      <c r="V281" s="60"/>
      <c r="W281" s="60"/>
      <c r="X281" s="57"/>
    </row>
    <row r="282" spans="15:24">
      <c r="O282" s="60"/>
      <c r="P282" s="60"/>
      <c r="Q282" s="60"/>
      <c r="R282" s="60"/>
      <c r="S282" s="60"/>
      <c r="T282" s="60"/>
      <c r="U282" s="60"/>
      <c r="V282" s="60"/>
      <c r="W282" s="60"/>
      <c r="X282" s="57"/>
    </row>
    <row r="283" spans="15:24">
      <c r="O283" s="60"/>
      <c r="P283" s="60"/>
      <c r="Q283" s="60"/>
      <c r="R283" s="60"/>
      <c r="S283" s="60"/>
      <c r="T283" s="60"/>
      <c r="U283" s="60"/>
      <c r="V283" s="60"/>
      <c r="W283" s="60"/>
      <c r="X283" s="57"/>
    </row>
    <row r="284" spans="15:24">
      <c r="O284" s="60"/>
      <c r="P284" s="60"/>
      <c r="Q284" s="60"/>
      <c r="R284" s="60"/>
      <c r="S284" s="60"/>
      <c r="T284" s="60"/>
      <c r="U284" s="60"/>
      <c r="V284" s="60"/>
      <c r="W284" s="60"/>
      <c r="X284" s="57"/>
    </row>
    <row r="285" spans="15:24">
      <c r="O285" s="60"/>
      <c r="P285" s="60"/>
      <c r="Q285" s="60"/>
      <c r="R285" s="60"/>
      <c r="S285" s="60"/>
      <c r="T285" s="60"/>
      <c r="U285" s="60"/>
      <c r="V285" s="60"/>
      <c r="W285" s="60"/>
      <c r="X285" s="57"/>
    </row>
    <row r="286" spans="15:24">
      <c r="O286" s="60"/>
      <c r="P286" s="60"/>
      <c r="Q286" s="60"/>
      <c r="R286" s="60"/>
      <c r="S286" s="60"/>
      <c r="T286" s="60"/>
      <c r="U286" s="60"/>
      <c r="V286" s="60"/>
      <c r="W286" s="60"/>
      <c r="X286" s="57"/>
    </row>
    <row r="287" spans="15:24">
      <c r="O287" s="60"/>
      <c r="P287" s="60"/>
      <c r="Q287" s="60"/>
      <c r="R287" s="60"/>
      <c r="S287" s="60"/>
      <c r="T287" s="60"/>
      <c r="U287" s="60"/>
      <c r="V287" s="60"/>
      <c r="W287" s="60"/>
      <c r="X287" s="57"/>
    </row>
    <row r="288" spans="15:24">
      <c r="O288" s="60"/>
      <c r="P288" s="60"/>
      <c r="Q288" s="60"/>
      <c r="R288" s="60"/>
      <c r="S288" s="60"/>
      <c r="T288" s="60"/>
      <c r="U288" s="60"/>
      <c r="V288" s="60"/>
      <c r="W288" s="60"/>
      <c r="X288" s="57"/>
    </row>
    <row r="289" spans="15:24">
      <c r="O289" s="60"/>
      <c r="P289" s="60"/>
      <c r="Q289" s="60"/>
      <c r="R289" s="60"/>
      <c r="S289" s="60"/>
      <c r="T289" s="60"/>
      <c r="U289" s="60"/>
      <c r="V289" s="60"/>
      <c r="W289" s="60"/>
      <c r="X289" s="57"/>
    </row>
    <row r="290" spans="15:24">
      <c r="O290" s="60"/>
      <c r="P290" s="60"/>
      <c r="Q290" s="60"/>
      <c r="R290" s="60"/>
      <c r="S290" s="60"/>
      <c r="T290" s="60"/>
      <c r="U290" s="60"/>
      <c r="V290" s="60"/>
      <c r="W290" s="60"/>
      <c r="X290" s="57"/>
    </row>
    <row r="291" spans="15:24">
      <c r="O291" s="60"/>
      <c r="P291" s="60"/>
      <c r="Q291" s="60"/>
      <c r="R291" s="60"/>
      <c r="S291" s="60"/>
      <c r="T291" s="60"/>
      <c r="U291" s="60"/>
      <c r="V291" s="60"/>
      <c r="W291" s="60"/>
      <c r="X291" s="57"/>
    </row>
    <row r="292" spans="15:24">
      <c r="O292" s="60"/>
      <c r="P292" s="60"/>
      <c r="Q292" s="60"/>
      <c r="R292" s="60"/>
      <c r="S292" s="60"/>
      <c r="T292" s="60"/>
      <c r="U292" s="60"/>
      <c r="V292" s="60"/>
      <c r="W292" s="60"/>
      <c r="X292" s="57"/>
    </row>
    <row r="293" spans="15:24">
      <c r="O293" s="60"/>
      <c r="P293" s="60"/>
      <c r="Q293" s="60"/>
      <c r="R293" s="60"/>
      <c r="S293" s="60"/>
      <c r="T293" s="60"/>
      <c r="U293" s="60"/>
      <c r="V293" s="60"/>
      <c r="W293" s="60"/>
      <c r="X293" s="57"/>
    </row>
    <row r="294" spans="15:24">
      <c r="O294" s="60"/>
      <c r="P294" s="60"/>
      <c r="Q294" s="60"/>
      <c r="R294" s="60"/>
      <c r="S294" s="60"/>
      <c r="T294" s="60"/>
      <c r="U294" s="60"/>
      <c r="V294" s="60"/>
      <c r="W294" s="60"/>
      <c r="X294" s="57"/>
    </row>
    <row r="295" spans="15:24">
      <c r="O295" s="60"/>
      <c r="P295" s="60"/>
      <c r="Q295" s="60"/>
      <c r="R295" s="60"/>
      <c r="S295" s="60"/>
      <c r="T295" s="60"/>
      <c r="U295" s="60"/>
      <c r="V295" s="60"/>
      <c r="W295" s="60"/>
      <c r="X295" s="57"/>
    </row>
    <row r="296" spans="15:24">
      <c r="O296" s="60"/>
      <c r="P296" s="60"/>
      <c r="Q296" s="60"/>
      <c r="R296" s="60"/>
      <c r="S296" s="60"/>
      <c r="T296" s="60"/>
      <c r="U296" s="60"/>
      <c r="V296" s="60"/>
      <c r="W296" s="60"/>
      <c r="X296" s="57"/>
    </row>
    <row r="297" spans="15:24">
      <c r="O297" s="60"/>
      <c r="P297" s="60"/>
      <c r="Q297" s="60"/>
      <c r="R297" s="60"/>
      <c r="S297" s="60"/>
      <c r="T297" s="60"/>
      <c r="U297" s="60"/>
      <c r="V297" s="60"/>
      <c r="W297" s="60"/>
      <c r="X297" s="57"/>
    </row>
    <row r="298" spans="15:24">
      <c r="O298" s="60"/>
      <c r="P298" s="60"/>
      <c r="Q298" s="60"/>
      <c r="R298" s="60"/>
      <c r="S298" s="60"/>
      <c r="T298" s="60"/>
      <c r="U298" s="60"/>
      <c r="V298" s="60"/>
      <c r="W298" s="60"/>
      <c r="X298" s="57"/>
    </row>
    <row r="299" spans="15:24">
      <c r="O299" s="60"/>
      <c r="P299" s="60"/>
      <c r="Q299" s="60"/>
      <c r="R299" s="60"/>
      <c r="S299" s="60"/>
      <c r="T299" s="60"/>
      <c r="U299" s="60"/>
      <c r="V299" s="60"/>
      <c r="W299" s="60"/>
      <c r="X299" s="57"/>
    </row>
    <row r="300" spans="15:24">
      <c r="O300" s="60"/>
      <c r="P300" s="60"/>
      <c r="Q300" s="60"/>
      <c r="R300" s="60"/>
      <c r="S300" s="60"/>
      <c r="T300" s="60"/>
      <c r="U300" s="60"/>
      <c r="V300" s="60"/>
      <c r="W300" s="60"/>
      <c r="X300" s="57"/>
    </row>
    <row r="301" spans="15:24">
      <c r="O301" s="60"/>
      <c r="P301" s="60"/>
      <c r="Q301" s="60"/>
      <c r="R301" s="60"/>
      <c r="S301" s="60"/>
      <c r="T301" s="60"/>
      <c r="U301" s="60"/>
      <c r="V301" s="60"/>
      <c r="W301" s="60"/>
      <c r="X301" s="57"/>
    </row>
    <row r="302" spans="15:24">
      <c r="O302" s="60"/>
      <c r="P302" s="60"/>
      <c r="Q302" s="60"/>
      <c r="R302" s="60"/>
      <c r="S302" s="60"/>
      <c r="T302" s="60"/>
      <c r="U302" s="60"/>
      <c r="V302" s="60"/>
      <c r="W302" s="60"/>
      <c r="X302" s="57"/>
    </row>
    <row r="303" spans="15:24">
      <c r="O303" s="60"/>
      <c r="P303" s="60"/>
      <c r="Q303" s="60"/>
      <c r="R303" s="60"/>
      <c r="S303" s="60"/>
      <c r="T303" s="60"/>
      <c r="U303" s="60"/>
      <c r="V303" s="60"/>
      <c r="W303" s="60"/>
      <c r="X303" s="57"/>
    </row>
    <row r="304" spans="15:24">
      <c r="O304" s="60"/>
      <c r="P304" s="60"/>
      <c r="Q304" s="60"/>
      <c r="R304" s="60"/>
      <c r="S304" s="60"/>
      <c r="T304" s="60"/>
      <c r="U304" s="60"/>
      <c r="V304" s="60"/>
      <c r="W304" s="60"/>
      <c r="X304" s="57"/>
    </row>
    <row r="305" spans="15:24">
      <c r="O305" s="60"/>
      <c r="P305" s="60"/>
      <c r="Q305" s="60"/>
      <c r="R305" s="60"/>
      <c r="S305" s="60"/>
      <c r="T305" s="60"/>
      <c r="U305" s="60"/>
      <c r="V305" s="60"/>
      <c r="W305" s="60"/>
      <c r="X305" s="57"/>
    </row>
    <row r="306" spans="15:24">
      <c r="O306" s="60"/>
      <c r="P306" s="60"/>
      <c r="Q306" s="60"/>
      <c r="R306" s="60"/>
      <c r="S306" s="60"/>
      <c r="T306" s="60"/>
      <c r="U306" s="60"/>
      <c r="V306" s="60"/>
      <c r="W306" s="60"/>
      <c r="X306" s="57"/>
    </row>
    <row r="307" spans="15:24">
      <c r="O307" s="60"/>
      <c r="P307" s="60"/>
      <c r="Q307" s="60"/>
      <c r="R307" s="60"/>
      <c r="S307" s="60"/>
      <c r="T307" s="60"/>
      <c r="U307" s="60"/>
      <c r="V307" s="60"/>
      <c r="W307" s="60"/>
      <c r="X307" s="57"/>
    </row>
    <row r="308" spans="15:24">
      <c r="O308" s="60"/>
      <c r="P308" s="60"/>
      <c r="Q308" s="60"/>
      <c r="R308" s="60"/>
      <c r="S308" s="60"/>
      <c r="T308" s="60"/>
      <c r="U308" s="60"/>
      <c r="V308" s="60"/>
      <c r="W308" s="60"/>
      <c r="X308" s="57"/>
    </row>
    <row r="309" spans="15:24">
      <c r="O309" s="60"/>
      <c r="P309" s="60"/>
      <c r="Q309" s="60"/>
      <c r="R309" s="60"/>
      <c r="S309" s="60"/>
      <c r="T309" s="60"/>
      <c r="U309" s="60"/>
      <c r="V309" s="60"/>
      <c r="W309" s="60"/>
      <c r="X309" s="57"/>
    </row>
    <row r="310" spans="15:24">
      <c r="O310" s="60"/>
      <c r="P310" s="60"/>
      <c r="Q310" s="60"/>
      <c r="R310" s="60"/>
      <c r="S310" s="60"/>
      <c r="T310" s="60"/>
      <c r="U310" s="60"/>
      <c r="V310" s="60"/>
      <c r="W310" s="60"/>
      <c r="X310" s="57"/>
    </row>
    <row r="311" spans="15:24">
      <c r="O311" s="60"/>
      <c r="P311" s="60"/>
      <c r="Q311" s="60"/>
      <c r="R311" s="60"/>
      <c r="S311" s="60"/>
      <c r="T311" s="60"/>
      <c r="U311" s="60"/>
      <c r="V311" s="60"/>
      <c r="W311" s="60"/>
      <c r="X311" s="57"/>
    </row>
    <row r="312" spans="15:24">
      <c r="O312" s="60"/>
      <c r="P312" s="60"/>
      <c r="Q312" s="60"/>
      <c r="R312" s="60"/>
      <c r="S312" s="60"/>
      <c r="T312" s="60"/>
      <c r="U312" s="60"/>
      <c r="V312" s="60"/>
      <c r="W312" s="60"/>
      <c r="X312" s="57"/>
    </row>
    <row r="313" spans="15:24">
      <c r="O313" s="60"/>
      <c r="P313" s="60"/>
      <c r="Q313" s="60"/>
      <c r="R313" s="60"/>
      <c r="S313" s="60"/>
      <c r="T313" s="60"/>
      <c r="U313" s="60"/>
      <c r="V313" s="60"/>
      <c r="W313" s="60"/>
      <c r="X313" s="57"/>
    </row>
    <row r="314" spans="15:24">
      <c r="O314" s="60"/>
      <c r="P314" s="60"/>
      <c r="Q314" s="60"/>
      <c r="R314" s="60"/>
      <c r="S314" s="60"/>
      <c r="T314" s="60"/>
      <c r="U314" s="60"/>
      <c r="V314" s="60"/>
      <c r="W314" s="60"/>
      <c r="X314" s="57"/>
    </row>
    <row r="315" spans="15:24">
      <c r="O315" s="60"/>
      <c r="P315" s="60"/>
      <c r="Q315" s="60"/>
      <c r="R315" s="60"/>
      <c r="S315" s="60"/>
      <c r="T315" s="60"/>
      <c r="U315" s="60"/>
      <c r="V315" s="60"/>
      <c r="W315" s="60"/>
      <c r="X315" s="57"/>
    </row>
    <row r="316" spans="15:24">
      <c r="O316" s="60"/>
      <c r="P316" s="60"/>
      <c r="Q316" s="60"/>
      <c r="R316" s="60"/>
      <c r="S316" s="60"/>
      <c r="T316" s="60"/>
      <c r="U316" s="60"/>
      <c r="V316" s="60"/>
      <c r="W316" s="60"/>
      <c r="X316" s="57"/>
    </row>
    <row r="317" spans="15:24">
      <c r="O317" s="60"/>
      <c r="P317" s="60"/>
      <c r="Q317" s="60"/>
      <c r="R317" s="60"/>
      <c r="S317" s="60"/>
      <c r="T317" s="60"/>
      <c r="U317" s="60"/>
      <c r="V317" s="60"/>
      <c r="W317" s="60"/>
      <c r="X317" s="57"/>
    </row>
    <row r="318" spans="15:24">
      <c r="O318" s="60"/>
      <c r="P318" s="60"/>
      <c r="Q318" s="60"/>
      <c r="R318" s="60"/>
      <c r="S318" s="60"/>
      <c r="T318" s="60"/>
      <c r="U318" s="60"/>
      <c r="V318" s="60"/>
      <c r="W318" s="60"/>
      <c r="X318" s="57"/>
    </row>
    <row r="319" spans="15:24">
      <c r="O319" s="60"/>
      <c r="P319" s="60"/>
      <c r="Q319" s="60"/>
      <c r="R319" s="60"/>
      <c r="S319" s="60"/>
      <c r="T319" s="60"/>
      <c r="U319" s="60"/>
      <c r="V319" s="60"/>
      <c r="W319" s="60"/>
      <c r="X319" s="57"/>
    </row>
    <row r="320" spans="15:24">
      <c r="O320" s="60"/>
      <c r="P320" s="60"/>
      <c r="Q320" s="60"/>
      <c r="R320" s="60"/>
      <c r="S320" s="60"/>
      <c r="T320" s="60"/>
      <c r="U320" s="60"/>
      <c r="V320" s="60"/>
      <c r="W320" s="60"/>
      <c r="X320" s="57"/>
    </row>
    <row r="321" spans="15:24">
      <c r="O321" s="60"/>
      <c r="P321" s="60"/>
      <c r="Q321" s="60"/>
      <c r="R321" s="60"/>
      <c r="S321" s="60"/>
      <c r="T321" s="60"/>
      <c r="U321" s="60"/>
      <c r="V321" s="60"/>
      <c r="W321" s="60"/>
      <c r="X321" s="57"/>
    </row>
    <row r="322" spans="15:24">
      <c r="O322" s="60"/>
      <c r="P322" s="60"/>
      <c r="Q322" s="60"/>
      <c r="R322" s="60"/>
      <c r="S322" s="60"/>
      <c r="T322" s="60"/>
      <c r="U322" s="60"/>
      <c r="V322" s="60"/>
      <c r="W322" s="60"/>
      <c r="X322" s="57"/>
    </row>
    <row r="323" spans="15:24">
      <c r="O323" s="60"/>
      <c r="P323" s="60"/>
      <c r="Q323" s="60"/>
      <c r="R323" s="60"/>
      <c r="S323" s="60"/>
      <c r="T323" s="60"/>
      <c r="U323" s="60"/>
      <c r="V323" s="60"/>
      <c r="W323" s="60"/>
      <c r="X323" s="57"/>
    </row>
    <row r="324" spans="15:24">
      <c r="O324" s="60"/>
      <c r="P324" s="60"/>
      <c r="Q324" s="60"/>
      <c r="R324" s="60"/>
      <c r="S324" s="60"/>
      <c r="T324" s="60"/>
      <c r="U324" s="60"/>
      <c r="V324" s="60"/>
      <c r="W324" s="60"/>
      <c r="X324" s="57"/>
    </row>
    <row r="325" spans="15:24">
      <c r="O325" s="60"/>
      <c r="P325" s="60"/>
      <c r="Q325" s="60"/>
      <c r="R325" s="60"/>
      <c r="S325" s="60"/>
      <c r="T325" s="60"/>
      <c r="U325" s="60"/>
      <c r="V325" s="60"/>
      <c r="W325" s="60"/>
      <c r="X325" s="57"/>
    </row>
    <row r="326" spans="15:24">
      <c r="O326" s="60"/>
      <c r="P326" s="60"/>
      <c r="Q326" s="60"/>
      <c r="R326" s="60"/>
      <c r="S326" s="60"/>
      <c r="T326" s="60"/>
      <c r="U326" s="60"/>
      <c r="V326" s="60"/>
      <c r="W326" s="60"/>
      <c r="X326" s="57"/>
    </row>
    <row r="327" spans="15:24">
      <c r="O327" s="60"/>
      <c r="P327" s="60"/>
      <c r="Q327" s="60"/>
      <c r="R327" s="60"/>
      <c r="S327" s="60"/>
      <c r="T327" s="60"/>
      <c r="U327" s="60"/>
      <c r="V327" s="60"/>
      <c r="W327" s="60"/>
      <c r="X327" s="57"/>
    </row>
    <row r="328" spans="15:24">
      <c r="O328" s="60"/>
      <c r="P328" s="60"/>
      <c r="Q328" s="60"/>
      <c r="R328" s="60"/>
      <c r="S328" s="60"/>
      <c r="T328" s="60"/>
      <c r="U328" s="60"/>
      <c r="V328" s="60"/>
      <c r="W328" s="60"/>
      <c r="X328" s="57"/>
    </row>
    <row r="329" spans="15:24">
      <c r="O329" s="60"/>
      <c r="P329" s="60"/>
      <c r="Q329" s="60"/>
      <c r="R329" s="60"/>
      <c r="S329" s="60"/>
      <c r="T329" s="60"/>
      <c r="U329" s="60"/>
      <c r="V329" s="60"/>
      <c r="W329" s="60"/>
      <c r="X329" s="57"/>
    </row>
    <row r="330" spans="15:24">
      <c r="O330" s="60"/>
      <c r="P330" s="60"/>
      <c r="Q330" s="60"/>
      <c r="R330" s="60"/>
      <c r="S330" s="60"/>
      <c r="T330" s="60"/>
      <c r="U330" s="60"/>
      <c r="V330" s="60"/>
      <c r="W330" s="60"/>
      <c r="X330" s="57"/>
    </row>
    <row r="331" spans="15:24">
      <c r="O331" s="60"/>
      <c r="P331" s="60"/>
      <c r="Q331" s="60"/>
      <c r="R331" s="60"/>
      <c r="S331" s="60"/>
      <c r="T331" s="60"/>
      <c r="U331" s="60"/>
      <c r="V331" s="60"/>
      <c r="W331" s="60"/>
      <c r="X331" s="57"/>
    </row>
    <row r="332" spans="15:24">
      <c r="O332" s="60"/>
      <c r="P332" s="60"/>
      <c r="Q332" s="60"/>
      <c r="R332" s="60"/>
      <c r="S332" s="60"/>
      <c r="T332" s="60"/>
      <c r="U332" s="60"/>
      <c r="V332" s="60"/>
      <c r="W332" s="60"/>
      <c r="X332" s="57"/>
    </row>
    <row r="333" spans="15:24">
      <c r="O333" s="60"/>
      <c r="P333" s="60"/>
      <c r="Q333" s="60"/>
      <c r="R333" s="60"/>
      <c r="S333" s="60"/>
      <c r="T333" s="60"/>
      <c r="U333" s="60"/>
      <c r="V333" s="60"/>
      <c r="W333" s="60"/>
      <c r="X333" s="57"/>
    </row>
    <row r="334" spans="15:24">
      <c r="O334" s="60"/>
      <c r="P334" s="60"/>
      <c r="Q334" s="60"/>
      <c r="R334" s="60"/>
      <c r="S334" s="60"/>
      <c r="T334" s="60"/>
      <c r="U334" s="60"/>
      <c r="V334" s="60"/>
      <c r="W334" s="60"/>
      <c r="X334" s="57"/>
    </row>
    <row r="335" spans="15:24">
      <c r="O335" s="60"/>
      <c r="P335" s="60"/>
      <c r="Q335" s="60"/>
      <c r="R335" s="60"/>
      <c r="S335" s="60"/>
      <c r="T335" s="60"/>
      <c r="U335" s="60"/>
      <c r="V335" s="60"/>
      <c r="W335" s="60"/>
      <c r="X335" s="57"/>
    </row>
    <row r="336" spans="15:24">
      <c r="O336" s="60"/>
      <c r="P336" s="60"/>
      <c r="Q336" s="60"/>
      <c r="R336" s="60"/>
      <c r="S336" s="60"/>
      <c r="T336" s="60"/>
      <c r="U336" s="60"/>
      <c r="V336" s="60"/>
      <c r="W336" s="60"/>
      <c r="X336" s="57"/>
    </row>
    <row r="337" spans="15:24">
      <c r="O337" s="60"/>
      <c r="P337" s="60"/>
      <c r="Q337" s="60"/>
      <c r="R337" s="60"/>
      <c r="S337" s="60"/>
      <c r="T337" s="60"/>
      <c r="U337" s="60"/>
      <c r="V337" s="60"/>
      <c r="W337" s="60"/>
      <c r="X337" s="57"/>
    </row>
    <row r="338" spans="15:24">
      <c r="O338" s="60"/>
      <c r="P338" s="60"/>
      <c r="Q338" s="60"/>
      <c r="R338" s="60"/>
      <c r="S338" s="60"/>
      <c r="T338" s="60"/>
      <c r="U338" s="60"/>
      <c r="V338" s="60"/>
      <c r="W338" s="60"/>
      <c r="X338" s="57"/>
    </row>
    <row r="339" spans="15:24">
      <c r="O339" s="60"/>
      <c r="P339" s="60"/>
      <c r="Q339" s="60"/>
      <c r="R339" s="60"/>
      <c r="S339" s="60"/>
      <c r="T339" s="60"/>
      <c r="U339" s="60"/>
      <c r="V339" s="60"/>
      <c r="W339" s="60"/>
      <c r="X339" s="57"/>
    </row>
    <row r="340" spans="15:24">
      <c r="O340" s="60"/>
      <c r="P340" s="60"/>
      <c r="Q340" s="60"/>
      <c r="R340" s="60"/>
      <c r="S340" s="60"/>
      <c r="T340" s="60"/>
      <c r="U340" s="60"/>
      <c r="V340" s="60"/>
      <c r="W340" s="60"/>
      <c r="X340" s="57"/>
    </row>
    <row r="341" spans="15:24">
      <c r="O341" s="60"/>
      <c r="P341" s="60"/>
      <c r="Q341" s="60"/>
      <c r="R341" s="60"/>
      <c r="S341" s="60"/>
      <c r="T341" s="60"/>
      <c r="U341" s="60"/>
      <c r="V341" s="60"/>
      <c r="W341" s="60"/>
      <c r="X341" s="57"/>
    </row>
    <row r="342" spans="15:24">
      <c r="O342" s="60"/>
      <c r="P342" s="60"/>
      <c r="Q342" s="60"/>
      <c r="R342" s="60"/>
      <c r="S342" s="60"/>
      <c r="T342" s="60"/>
      <c r="U342" s="60"/>
      <c r="V342" s="60"/>
      <c r="W342" s="60"/>
      <c r="X342" s="57"/>
    </row>
    <row r="343" spans="15:24">
      <c r="O343" s="60"/>
      <c r="P343" s="60"/>
      <c r="Q343" s="60"/>
      <c r="R343" s="60"/>
      <c r="S343" s="60"/>
      <c r="T343" s="60"/>
      <c r="U343" s="60"/>
      <c r="V343" s="60"/>
      <c r="W343" s="60"/>
      <c r="X343" s="57"/>
    </row>
    <row r="344" spans="15:24">
      <c r="O344" s="60"/>
      <c r="P344" s="60"/>
      <c r="Q344" s="60"/>
      <c r="R344" s="60"/>
      <c r="S344" s="60"/>
      <c r="T344" s="60"/>
      <c r="U344" s="60"/>
      <c r="V344" s="60"/>
      <c r="W344" s="60"/>
      <c r="X344" s="57"/>
    </row>
    <row r="345" spans="15:24">
      <c r="O345" s="60"/>
      <c r="P345" s="60"/>
      <c r="Q345" s="60"/>
      <c r="R345" s="60"/>
      <c r="S345" s="60"/>
      <c r="T345" s="60"/>
      <c r="U345" s="60"/>
      <c r="V345" s="60"/>
      <c r="W345" s="60"/>
      <c r="X345" s="57"/>
    </row>
    <row r="346" spans="15:24">
      <c r="O346" s="60"/>
      <c r="P346" s="60"/>
      <c r="Q346" s="60"/>
      <c r="R346" s="60"/>
      <c r="S346" s="60"/>
      <c r="T346" s="60"/>
      <c r="U346" s="60"/>
      <c r="V346" s="60"/>
      <c r="W346" s="60"/>
      <c r="X346" s="57"/>
    </row>
    <row r="347" spans="15:24">
      <c r="O347" s="60"/>
      <c r="P347" s="60"/>
      <c r="Q347" s="60"/>
      <c r="R347" s="60"/>
      <c r="S347" s="60"/>
      <c r="T347" s="60"/>
      <c r="U347" s="60"/>
      <c r="V347" s="60"/>
      <c r="W347" s="60"/>
      <c r="X347" s="57"/>
    </row>
    <row r="348" spans="15:24">
      <c r="O348" s="60"/>
      <c r="P348" s="60"/>
      <c r="Q348" s="60"/>
      <c r="R348" s="60"/>
      <c r="S348" s="60"/>
      <c r="T348" s="60"/>
      <c r="U348" s="60"/>
      <c r="V348" s="60"/>
      <c r="W348" s="60"/>
      <c r="X348" s="57"/>
    </row>
    <row r="349" spans="15:24">
      <c r="O349" s="60"/>
      <c r="P349" s="60"/>
      <c r="Q349" s="60"/>
      <c r="R349" s="60"/>
      <c r="S349" s="60"/>
      <c r="T349" s="60"/>
      <c r="U349" s="60"/>
      <c r="V349" s="60"/>
      <c r="W349" s="60"/>
      <c r="X349" s="57"/>
    </row>
    <row r="350" spans="15:24">
      <c r="O350" s="60"/>
      <c r="P350" s="60"/>
      <c r="Q350" s="60"/>
      <c r="R350" s="60"/>
      <c r="S350" s="60"/>
      <c r="T350" s="60"/>
      <c r="U350" s="60"/>
      <c r="V350" s="60"/>
      <c r="W350" s="60"/>
      <c r="X350" s="57"/>
    </row>
    <row r="351" spans="15:24">
      <c r="O351" s="60"/>
      <c r="P351" s="60"/>
      <c r="Q351" s="60"/>
      <c r="R351" s="60"/>
      <c r="S351" s="60"/>
      <c r="T351" s="60"/>
      <c r="U351" s="60"/>
      <c r="V351" s="60"/>
      <c r="W351" s="60"/>
      <c r="X351" s="57"/>
    </row>
    <row r="352" spans="15:24">
      <c r="O352" s="60"/>
      <c r="P352" s="60"/>
      <c r="Q352" s="60"/>
      <c r="R352" s="60"/>
      <c r="S352" s="60"/>
      <c r="T352" s="60"/>
      <c r="U352" s="60"/>
      <c r="V352" s="60"/>
      <c r="W352" s="60"/>
      <c r="X352" s="57"/>
    </row>
    <row r="353" spans="15:24">
      <c r="O353" s="60"/>
      <c r="P353" s="60"/>
      <c r="Q353" s="60"/>
      <c r="R353" s="60"/>
      <c r="S353" s="60"/>
      <c r="T353" s="60"/>
      <c r="U353" s="60"/>
      <c r="V353" s="60"/>
      <c r="W353" s="60"/>
      <c r="X353" s="57"/>
    </row>
    <row r="354" spans="15:24">
      <c r="O354" s="60"/>
      <c r="P354" s="60"/>
      <c r="Q354" s="60"/>
      <c r="R354" s="60"/>
      <c r="S354" s="60"/>
      <c r="T354" s="60"/>
      <c r="U354" s="60"/>
      <c r="V354" s="60"/>
      <c r="W354" s="60"/>
      <c r="X354" s="57"/>
    </row>
    <row r="355" spans="15:24">
      <c r="O355" s="60"/>
      <c r="P355" s="60"/>
      <c r="Q355" s="60"/>
      <c r="R355" s="60"/>
      <c r="S355" s="60"/>
      <c r="T355" s="60"/>
      <c r="U355" s="60"/>
      <c r="V355" s="60"/>
      <c r="W355" s="60"/>
      <c r="X355" s="57"/>
    </row>
    <row r="356" spans="15:24">
      <c r="O356" s="60"/>
      <c r="P356" s="60"/>
      <c r="Q356" s="60"/>
      <c r="R356" s="60"/>
      <c r="S356" s="60"/>
      <c r="T356" s="60"/>
      <c r="U356" s="60"/>
      <c r="V356" s="60"/>
      <c r="W356" s="60"/>
      <c r="X356" s="57"/>
    </row>
    <row r="357" spans="15:24">
      <c r="O357" s="60"/>
      <c r="P357" s="60"/>
      <c r="Q357" s="60"/>
      <c r="R357" s="60"/>
      <c r="S357" s="60"/>
      <c r="T357" s="60"/>
      <c r="U357" s="60"/>
      <c r="V357" s="60"/>
      <c r="W357" s="60"/>
      <c r="X357" s="57"/>
    </row>
    <row r="358" spans="15:24">
      <c r="O358" s="60"/>
      <c r="P358" s="60"/>
      <c r="Q358" s="60"/>
      <c r="R358" s="60"/>
      <c r="S358" s="60"/>
      <c r="T358" s="60"/>
      <c r="U358" s="60"/>
      <c r="V358" s="60"/>
      <c r="W358" s="60"/>
      <c r="X358" s="57"/>
    </row>
    <row r="359" spans="15:24">
      <c r="O359" s="60"/>
      <c r="P359" s="60"/>
      <c r="Q359" s="60"/>
      <c r="R359" s="60"/>
      <c r="S359" s="60"/>
      <c r="T359" s="60"/>
      <c r="U359" s="60"/>
      <c r="V359" s="60"/>
      <c r="W359" s="60"/>
      <c r="X359" s="57"/>
    </row>
    <row r="360" spans="15:24">
      <c r="O360" s="60"/>
      <c r="P360" s="60"/>
      <c r="Q360" s="60"/>
      <c r="R360" s="60"/>
      <c r="S360" s="60"/>
      <c r="T360" s="60"/>
      <c r="U360" s="60"/>
      <c r="V360" s="60"/>
      <c r="W360" s="60"/>
      <c r="X360" s="57"/>
    </row>
    <row r="361" spans="15:24">
      <c r="O361" s="60"/>
      <c r="P361" s="60"/>
      <c r="Q361" s="60"/>
      <c r="R361" s="60"/>
      <c r="S361" s="60"/>
      <c r="T361" s="60"/>
      <c r="U361" s="60"/>
      <c r="V361" s="60"/>
      <c r="W361" s="60"/>
      <c r="X361" s="57"/>
    </row>
    <row r="362" spans="15:24">
      <c r="O362" s="60"/>
      <c r="P362" s="60"/>
      <c r="Q362" s="60"/>
      <c r="R362" s="60"/>
      <c r="S362" s="60"/>
      <c r="T362" s="60"/>
      <c r="U362" s="60"/>
      <c r="V362" s="60"/>
      <c r="W362" s="60"/>
      <c r="X362" s="57"/>
    </row>
    <row r="363" spans="15:24">
      <c r="O363" s="60"/>
      <c r="P363" s="60"/>
      <c r="Q363" s="60"/>
      <c r="R363" s="60"/>
      <c r="S363" s="60"/>
      <c r="T363" s="60"/>
      <c r="U363" s="60"/>
      <c r="V363" s="60"/>
      <c r="W363" s="60"/>
      <c r="X363" s="57"/>
    </row>
    <row r="364" spans="15:24">
      <c r="O364" s="60"/>
      <c r="P364" s="60"/>
      <c r="Q364" s="60"/>
      <c r="R364" s="60"/>
      <c r="S364" s="60"/>
      <c r="T364" s="60"/>
      <c r="U364" s="60"/>
      <c r="V364" s="60"/>
      <c r="W364" s="60"/>
      <c r="X364" s="57"/>
    </row>
    <row r="365" spans="15:24">
      <c r="O365" s="60"/>
      <c r="P365" s="60"/>
      <c r="Q365" s="60"/>
      <c r="R365" s="60"/>
      <c r="S365" s="60"/>
      <c r="T365" s="60"/>
      <c r="U365" s="60"/>
      <c r="V365" s="60"/>
      <c r="W365" s="60"/>
      <c r="X365" s="57"/>
    </row>
    <row r="366" spans="15:24">
      <c r="O366" s="60"/>
      <c r="P366" s="60"/>
      <c r="Q366" s="60"/>
      <c r="R366" s="60"/>
      <c r="S366" s="60"/>
      <c r="T366" s="60"/>
      <c r="U366" s="60"/>
      <c r="V366" s="60"/>
      <c r="W366" s="60"/>
      <c r="X366" s="57"/>
    </row>
    <row r="367" spans="15:24">
      <c r="O367" s="60"/>
      <c r="P367" s="60"/>
      <c r="Q367" s="60"/>
      <c r="R367" s="60"/>
      <c r="S367" s="60"/>
      <c r="T367" s="60"/>
      <c r="U367" s="60"/>
      <c r="V367" s="60"/>
      <c r="W367" s="60"/>
      <c r="X367" s="57"/>
    </row>
    <row r="368" spans="15:24">
      <c r="O368" s="60"/>
      <c r="P368" s="60"/>
      <c r="Q368" s="60"/>
      <c r="R368" s="60"/>
      <c r="S368" s="60"/>
      <c r="T368" s="60"/>
      <c r="U368" s="60"/>
      <c r="V368" s="60"/>
      <c r="W368" s="60"/>
      <c r="X368" s="57"/>
    </row>
    <row r="369" spans="15:24">
      <c r="O369" s="60"/>
      <c r="P369" s="60"/>
      <c r="Q369" s="60"/>
      <c r="R369" s="60"/>
      <c r="S369" s="60"/>
      <c r="T369" s="60"/>
      <c r="U369" s="60"/>
      <c r="V369" s="60"/>
      <c r="W369" s="60"/>
      <c r="X369" s="57"/>
    </row>
    <row r="370" spans="15:24">
      <c r="O370" s="60"/>
      <c r="P370" s="60"/>
      <c r="Q370" s="60"/>
      <c r="R370" s="60"/>
      <c r="S370" s="60"/>
      <c r="T370" s="60"/>
      <c r="U370" s="60"/>
      <c r="V370" s="60"/>
      <c r="W370" s="60"/>
      <c r="X370" s="57"/>
    </row>
    <row r="371" spans="15:24">
      <c r="O371" s="60"/>
      <c r="P371" s="60"/>
      <c r="Q371" s="60"/>
      <c r="R371" s="60"/>
      <c r="S371" s="60"/>
      <c r="T371" s="60"/>
      <c r="U371" s="60"/>
      <c r="V371" s="60"/>
      <c r="W371" s="60"/>
      <c r="X371" s="57"/>
    </row>
    <row r="372" spans="15:24">
      <c r="O372" s="60"/>
      <c r="P372" s="60"/>
      <c r="Q372" s="60"/>
      <c r="R372" s="60"/>
      <c r="S372" s="60"/>
      <c r="T372" s="60"/>
      <c r="U372" s="60"/>
      <c r="V372" s="60"/>
      <c r="W372" s="60"/>
      <c r="X372" s="57"/>
    </row>
    <row r="373" spans="15:24">
      <c r="O373" s="60"/>
      <c r="P373" s="60"/>
      <c r="Q373" s="60"/>
      <c r="R373" s="60"/>
      <c r="S373" s="60"/>
      <c r="T373" s="60"/>
      <c r="U373" s="60"/>
      <c r="V373" s="60"/>
      <c r="W373" s="60"/>
      <c r="X373" s="57"/>
    </row>
    <row r="374" spans="15:24">
      <c r="O374" s="60"/>
      <c r="P374" s="60"/>
      <c r="Q374" s="60"/>
      <c r="R374" s="60"/>
      <c r="S374" s="60"/>
      <c r="T374" s="60"/>
      <c r="U374" s="60"/>
      <c r="V374" s="60"/>
      <c r="W374" s="60"/>
      <c r="X374" s="57"/>
    </row>
    <row r="375" spans="15:24">
      <c r="O375" s="60"/>
      <c r="P375" s="60"/>
      <c r="Q375" s="60"/>
      <c r="R375" s="60"/>
      <c r="S375" s="60"/>
      <c r="T375" s="60"/>
      <c r="U375" s="60"/>
      <c r="V375" s="60"/>
      <c r="W375" s="60"/>
      <c r="X375" s="57"/>
    </row>
    <row r="376" spans="15:24">
      <c r="O376" s="60"/>
      <c r="P376" s="60"/>
      <c r="Q376" s="60"/>
      <c r="R376" s="60"/>
      <c r="S376" s="60"/>
      <c r="T376" s="60"/>
      <c r="U376" s="60"/>
      <c r="V376" s="60"/>
      <c r="W376" s="60"/>
      <c r="X376" s="57"/>
    </row>
    <row r="377" spans="15:24">
      <c r="O377" s="60"/>
      <c r="P377" s="60"/>
      <c r="Q377" s="60"/>
      <c r="R377" s="60"/>
      <c r="S377" s="60"/>
      <c r="T377" s="60"/>
      <c r="U377" s="60"/>
      <c r="V377" s="60"/>
      <c r="W377" s="60"/>
      <c r="X377" s="57"/>
    </row>
    <row r="378" spans="15:24">
      <c r="O378" s="60"/>
      <c r="P378" s="60"/>
      <c r="Q378" s="60"/>
      <c r="R378" s="60"/>
      <c r="S378" s="60"/>
      <c r="T378" s="60"/>
      <c r="U378" s="60"/>
      <c r="V378" s="60"/>
      <c r="W378" s="60"/>
      <c r="X378" s="57"/>
    </row>
    <row r="379" spans="15:24">
      <c r="O379" s="60"/>
      <c r="P379" s="60"/>
      <c r="Q379" s="60"/>
      <c r="R379" s="60"/>
      <c r="S379" s="60"/>
      <c r="T379" s="60"/>
      <c r="U379" s="60"/>
      <c r="V379" s="60"/>
      <c r="W379" s="60"/>
      <c r="X379" s="57"/>
    </row>
    <row r="380" spans="15:24">
      <c r="O380" s="60"/>
      <c r="P380" s="60"/>
      <c r="Q380" s="60"/>
      <c r="R380" s="60"/>
      <c r="S380" s="60"/>
      <c r="T380" s="60"/>
      <c r="U380" s="60"/>
      <c r="V380" s="60"/>
      <c r="W380" s="60"/>
      <c r="X380" s="57"/>
    </row>
    <row r="381" spans="15:24">
      <c r="O381" s="60"/>
      <c r="P381" s="60"/>
      <c r="Q381" s="60"/>
      <c r="R381" s="60"/>
      <c r="S381" s="60"/>
      <c r="T381" s="60"/>
      <c r="U381" s="60"/>
      <c r="V381" s="60"/>
      <c r="W381" s="60"/>
      <c r="X381" s="57"/>
    </row>
    <row r="382" spans="15:24">
      <c r="O382" s="60"/>
      <c r="P382" s="60"/>
      <c r="Q382" s="60"/>
      <c r="R382" s="60"/>
      <c r="S382" s="60"/>
      <c r="T382" s="60"/>
      <c r="U382" s="60"/>
      <c r="V382" s="60"/>
      <c r="W382" s="60"/>
      <c r="X382" s="57"/>
    </row>
    <row r="383" spans="15:24">
      <c r="O383" s="60"/>
      <c r="P383" s="60"/>
      <c r="Q383" s="60"/>
      <c r="R383" s="60"/>
      <c r="S383" s="60"/>
      <c r="T383" s="60"/>
      <c r="U383" s="60"/>
      <c r="V383" s="60"/>
      <c r="W383" s="60"/>
      <c r="X383" s="57"/>
    </row>
    <row r="384" spans="15:24">
      <c r="O384" s="60"/>
      <c r="P384" s="60"/>
      <c r="Q384" s="60"/>
      <c r="R384" s="60"/>
      <c r="S384" s="60"/>
      <c r="T384" s="60"/>
      <c r="U384" s="60"/>
      <c r="V384" s="60"/>
      <c r="W384" s="60"/>
      <c r="X384" s="57"/>
    </row>
    <row r="385" spans="15:24">
      <c r="O385" s="60"/>
      <c r="P385" s="60"/>
      <c r="Q385" s="60"/>
      <c r="R385" s="60"/>
      <c r="S385" s="60"/>
      <c r="T385" s="60"/>
      <c r="U385" s="60"/>
      <c r="V385" s="60"/>
      <c r="W385" s="60"/>
      <c r="X385" s="57"/>
    </row>
    <row r="386" spans="15:24">
      <c r="O386" s="60"/>
      <c r="P386" s="60"/>
      <c r="Q386" s="60"/>
      <c r="R386" s="60"/>
      <c r="S386" s="60"/>
      <c r="T386" s="60"/>
      <c r="U386" s="60"/>
      <c r="V386" s="60"/>
      <c r="W386" s="60"/>
      <c r="X386" s="57"/>
    </row>
    <row r="387" spans="15:24">
      <c r="O387" s="60"/>
      <c r="P387" s="60"/>
      <c r="Q387" s="60"/>
      <c r="R387" s="60"/>
      <c r="S387" s="60"/>
      <c r="T387" s="60"/>
      <c r="U387" s="60"/>
      <c r="V387" s="60"/>
      <c r="W387" s="60"/>
      <c r="X387" s="57"/>
    </row>
    <row r="388" spans="15:24">
      <c r="O388" s="60"/>
      <c r="P388" s="60"/>
      <c r="Q388" s="60"/>
      <c r="R388" s="60"/>
      <c r="S388" s="60"/>
      <c r="T388" s="60"/>
      <c r="U388" s="60"/>
      <c r="V388" s="60"/>
      <c r="W388" s="60"/>
      <c r="X388" s="57"/>
    </row>
    <row r="389" spans="15:24">
      <c r="O389" s="60"/>
      <c r="P389" s="60"/>
      <c r="Q389" s="60"/>
      <c r="R389" s="60"/>
      <c r="S389" s="60"/>
      <c r="T389" s="60"/>
      <c r="U389" s="60"/>
      <c r="V389" s="60"/>
      <c r="W389" s="60"/>
      <c r="X389" s="57"/>
    </row>
    <row r="390" spans="15:24">
      <c r="O390" s="60"/>
      <c r="P390" s="60"/>
      <c r="Q390" s="60"/>
      <c r="R390" s="60"/>
      <c r="S390" s="60"/>
      <c r="T390" s="60"/>
      <c r="U390" s="60"/>
      <c r="V390" s="60"/>
      <c r="W390" s="60"/>
      <c r="X390" s="57"/>
    </row>
    <row r="391" spans="15:24">
      <c r="O391" s="60"/>
      <c r="P391" s="60"/>
      <c r="Q391" s="60"/>
      <c r="R391" s="60"/>
      <c r="S391" s="60"/>
      <c r="T391" s="60"/>
      <c r="U391" s="60"/>
      <c r="V391" s="60"/>
      <c r="W391" s="60"/>
      <c r="X391" s="57"/>
    </row>
    <row r="392" spans="15:24">
      <c r="O392" s="60"/>
      <c r="P392" s="60"/>
      <c r="Q392" s="60"/>
      <c r="R392" s="60"/>
      <c r="S392" s="60"/>
      <c r="T392" s="60"/>
      <c r="U392" s="60"/>
      <c r="V392" s="60"/>
      <c r="W392" s="60"/>
      <c r="X392" s="57"/>
    </row>
    <row r="393" spans="15:24">
      <c r="O393" s="60"/>
      <c r="P393" s="60"/>
      <c r="Q393" s="60"/>
      <c r="R393" s="60"/>
      <c r="S393" s="60"/>
      <c r="T393" s="60"/>
      <c r="U393" s="60"/>
      <c r="V393" s="60"/>
      <c r="W393" s="60"/>
      <c r="X393" s="57"/>
    </row>
    <row r="394" spans="15:24">
      <c r="O394" s="60"/>
      <c r="P394" s="60"/>
      <c r="Q394" s="60"/>
      <c r="R394" s="60"/>
      <c r="S394" s="60"/>
      <c r="T394" s="60"/>
      <c r="U394" s="60"/>
      <c r="V394" s="60"/>
      <c r="W394" s="60"/>
      <c r="X394" s="57"/>
    </row>
    <row r="395" spans="15:24">
      <c r="O395" s="60"/>
      <c r="P395" s="60"/>
      <c r="Q395" s="60"/>
      <c r="R395" s="60"/>
      <c r="S395" s="60"/>
      <c r="T395" s="60"/>
      <c r="U395" s="60"/>
      <c r="V395" s="60"/>
      <c r="W395" s="60"/>
      <c r="X395" s="57"/>
    </row>
    <row r="396" spans="15:24">
      <c r="O396" s="60"/>
      <c r="P396" s="60"/>
      <c r="Q396" s="60"/>
      <c r="R396" s="60"/>
      <c r="S396" s="60"/>
      <c r="T396" s="60"/>
      <c r="U396" s="60"/>
      <c r="V396" s="60"/>
      <c r="W396" s="60"/>
      <c r="X396" s="57"/>
    </row>
    <row r="397" spans="15:24">
      <c r="O397" s="60"/>
      <c r="P397" s="60"/>
      <c r="Q397" s="60"/>
      <c r="R397" s="60"/>
      <c r="S397" s="60"/>
      <c r="T397" s="60"/>
      <c r="U397" s="60"/>
      <c r="V397" s="60"/>
      <c r="W397" s="60"/>
      <c r="X397" s="57"/>
    </row>
    <row r="398" spans="15:24">
      <c r="O398" s="60"/>
      <c r="P398" s="60"/>
      <c r="Q398" s="60"/>
      <c r="R398" s="60"/>
      <c r="S398" s="60"/>
      <c r="T398" s="60"/>
      <c r="U398" s="60"/>
      <c r="V398" s="60"/>
      <c r="W398" s="60"/>
      <c r="X398" s="57"/>
    </row>
    <row r="399" spans="15:24">
      <c r="O399" s="60"/>
      <c r="P399" s="60"/>
      <c r="Q399" s="60"/>
      <c r="R399" s="60"/>
      <c r="S399" s="60"/>
      <c r="T399" s="60"/>
      <c r="U399" s="60"/>
      <c r="V399" s="60"/>
      <c r="W399" s="60"/>
      <c r="X399" s="57"/>
    </row>
    <row r="400" spans="15:24">
      <c r="O400" s="60"/>
      <c r="P400" s="60"/>
      <c r="Q400" s="60"/>
      <c r="R400" s="60"/>
      <c r="S400" s="60"/>
      <c r="T400" s="60"/>
      <c r="U400" s="60"/>
      <c r="V400" s="60"/>
      <c r="W400" s="60"/>
      <c r="X400" s="57"/>
    </row>
    <row r="401" spans="15:24">
      <c r="O401" s="60"/>
      <c r="P401" s="60"/>
      <c r="Q401" s="60"/>
      <c r="R401" s="60"/>
      <c r="S401" s="60"/>
      <c r="T401" s="60"/>
      <c r="U401" s="60"/>
      <c r="V401" s="60"/>
      <c r="W401" s="60"/>
      <c r="X401" s="57"/>
    </row>
    <row r="402" spans="15:24">
      <c r="O402" s="60"/>
      <c r="P402" s="60"/>
      <c r="Q402" s="60"/>
      <c r="R402" s="60"/>
      <c r="S402" s="60"/>
      <c r="T402" s="60"/>
      <c r="U402" s="60"/>
      <c r="V402" s="60"/>
      <c r="W402" s="60"/>
      <c r="X402" s="57"/>
    </row>
    <row r="403" spans="15:24">
      <c r="O403" s="60"/>
      <c r="P403" s="60"/>
      <c r="Q403" s="60"/>
      <c r="R403" s="60"/>
      <c r="S403" s="60"/>
      <c r="T403" s="60"/>
      <c r="U403" s="60"/>
      <c r="V403" s="60"/>
      <c r="W403" s="60"/>
      <c r="X403" s="57"/>
    </row>
    <row r="404" spans="15:24">
      <c r="O404" s="60"/>
      <c r="P404" s="60"/>
      <c r="Q404" s="60"/>
      <c r="R404" s="60"/>
      <c r="S404" s="60"/>
      <c r="T404" s="60"/>
      <c r="U404" s="60"/>
      <c r="V404" s="60"/>
      <c r="W404" s="60"/>
      <c r="X404" s="57"/>
    </row>
    <row r="405" spans="15:24">
      <c r="O405" s="60"/>
      <c r="P405" s="60"/>
      <c r="Q405" s="60"/>
      <c r="R405" s="60"/>
      <c r="S405" s="60"/>
      <c r="T405" s="60"/>
      <c r="U405" s="60"/>
      <c r="V405" s="60"/>
      <c r="W405" s="60"/>
      <c r="X405" s="57"/>
    </row>
    <row r="406" spans="15:24">
      <c r="O406" s="60"/>
      <c r="P406" s="60"/>
      <c r="Q406" s="60"/>
      <c r="R406" s="60"/>
      <c r="S406" s="60"/>
      <c r="T406" s="60"/>
      <c r="U406" s="60"/>
      <c r="V406" s="60"/>
      <c r="W406" s="60"/>
      <c r="X406" s="57"/>
    </row>
    <row r="407" spans="15:24">
      <c r="O407" s="60"/>
      <c r="P407" s="60"/>
      <c r="Q407" s="60"/>
      <c r="R407" s="60"/>
      <c r="S407" s="60"/>
      <c r="T407" s="60"/>
      <c r="U407" s="60"/>
      <c r="V407" s="60"/>
      <c r="W407" s="60"/>
      <c r="X407" s="57"/>
    </row>
    <row r="408" spans="15:24">
      <c r="O408" s="60"/>
      <c r="P408" s="60"/>
      <c r="Q408" s="60"/>
      <c r="R408" s="60"/>
      <c r="S408" s="60"/>
      <c r="T408" s="60"/>
      <c r="U408" s="60"/>
      <c r="V408" s="60"/>
      <c r="W408" s="60"/>
      <c r="X408" s="57"/>
    </row>
    <row r="409" spans="15:24">
      <c r="O409" s="60"/>
      <c r="P409" s="60"/>
      <c r="Q409" s="60"/>
      <c r="R409" s="60"/>
      <c r="S409" s="60"/>
      <c r="T409" s="60"/>
      <c r="U409" s="60"/>
      <c r="V409" s="60"/>
      <c r="W409" s="60"/>
      <c r="X409" s="57"/>
    </row>
    <row r="410" spans="15:24">
      <c r="O410" s="60"/>
      <c r="P410" s="60"/>
      <c r="Q410" s="60"/>
      <c r="R410" s="60"/>
      <c r="S410" s="60"/>
      <c r="T410" s="60"/>
      <c r="U410" s="60"/>
      <c r="V410" s="60"/>
      <c r="W410" s="60"/>
      <c r="X410" s="57"/>
    </row>
    <row r="411" spans="15:24">
      <c r="O411" s="60"/>
      <c r="P411" s="60"/>
      <c r="Q411" s="60"/>
      <c r="R411" s="60"/>
      <c r="S411" s="60"/>
      <c r="T411" s="60"/>
      <c r="U411" s="60"/>
      <c r="V411" s="60"/>
      <c r="W411" s="60"/>
      <c r="X411" s="57"/>
    </row>
    <row r="412" spans="15:24">
      <c r="O412" s="60"/>
      <c r="P412" s="60"/>
      <c r="Q412" s="60"/>
      <c r="R412" s="60"/>
      <c r="S412" s="60"/>
      <c r="T412" s="60"/>
      <c r="U412" s="60"/>
      <c r="V412" s="60"/>
      <c r="W412" s="60"/>
      <c r="X412" s="57"/>
    </row>
    <row r="413" spans="15:24">
      <c r="O413" s="60"/>
      <c r="P413" s="60"/>
      <c r="Q413" s="60"/>
      <c r="R413" s="60"/>
      <c r="S413" s="60"/>
      <c r="T413" s="60"/>
      <c r="U413" s="60"/>
      <c r="V413" s="60"/>
      <c r="W413" s="60"/>
      <c r="X413" s="57"/>
    </row>
    <row r="414" spans="15:24">
      <c r="O414" s="60"/>
      <c r="P414" s="60"/>
      <c r="Q414" s="60"/>
      <c r="R414" s="60"/>
      <c r="S414" s="60"/>
      <c r="T414" s="60"/>
      <c r="U414" s="60"/>
      <c r="V414" s="60"/>
      <c r="W414" s="60"/>
      <c r="X414" s="57"/>
    </row>
    <row r="415" spans="15:24">
      <c r="O415" s="60"/>
      <c r="P415" s="60"/>
      <c r="Q415" s="60"/>
      <c r="R415" s="60"/>
      <c r="S415" s="60"/>
      <c r="T415" s="60"/>
      <c r="U415" s="60"/>
      <c r="V415" s="60"/>
      <c r="W415" s="60"/>
      <c r="X415" s="57"/>
    </row>
    <row r="416" spans="15:24">
      <c r="O416" s="60"/>
      <c r="P416" s="60"/>
      <c r="Q416" s="60"/>
      <c r="R416" s="60"/>
      <c r="S416" s="60"/>
      <c r="T416" s="60"/>
      <c r="U416" s="60"/>
      <c r="V416" s="60"/>
      <c r="W416" s="60"/>
      <c r="X416" s="57"/>
    </row>
    <row r="417" spans="15:24">
      <c r="O417" s="60"/>
      <c r="P417" s="60"/>
      <c r="Q417" s="60"/>
      <c r="R417" s="60"/>
      <c r="S417" s="60"/>
      <c r="T417" s="60"/>
      <c r="U417" s="60"/>
      <c r="V417" s="60"/>
      <c r="W417" s="60"/>
      <c r="X417" s="57"/>
    </row>
    <row r="418" spans="15:24">
      <c r="O418" s="60"/>
      <c r="P418" s="60"/>
      <c r="Q418" s="60"/>
      <c r="R418" s="60"/>
      <c r="S418" s="60"/>
      <c r="T418" s="60"/>
      <c r="U418" s="60"/>
      <c r="V418" s="60"/>
      <c r="W418" s="60"/>
      <c r="X418" s="57"/>
    </row>
    <row r="419" spans="15:24">
      <c r="O419" s="60"/>
      <c r="P419" s="60"/>
      <c r="Q419" s="60"/>
      <c r="R419" s="60"/>
      <c r="S419" s="60"/>
      <c r="T419" s="60"/>
      <c r="U419" s="60"/>
      <c r="V419" s="60"/>
      <c r="W419" s="60"/>
      <c r="X419" s="57"/>
    </row>
    <row r="420" spans="15:24">
      <c r="O420" s="60"/>
      <c r="P420" s="60"/>
      <c r="Q420" s="60"/>
      <c r="R420" s="60"/>
      <c r="S420" s="60"/>
      <c r="T420" s="60"/>
      <c r="U420" s="60"/>
      <c r="V420" s="60"/>
      <c r="W420" s="60"/>
      <c r="X420" s="57"/>
    </row>
    <row r="421" spans="15:24">
      <c r="O421" s="60"/>
      <c r="P421" s="60"/>
      <c r="Q421" s="60"/>
      <c r="R421" s="60"/>
      <c r="S421" s="60"/>
      <c r="T421" s="60"/>
      <c r="U421" s="60"/>
      <c r="V421" s="60"/>
      <c r="W421" s="60"/>
      <c r="X421" s="57"/>
    </row>
    <row r="422" spans="15:24">
      <c r="O422" s="60"/>
      <c r="P422" s="60"/>
      <c r="Q422" s="60"/>
      <c r="R422" s="60"/>
      <c r="S422" s="60"/>
      <c r="T422" s="60"/>
      <c r="U422" s="60"/>
      <c r="V422" s="60"/>
      <c r="W422" s="60"/>
      <c r="X422" s="57"/>
    </row>
    <row r="423" spans="15:24">
      <c r="O423" s="60"/>
      <c r="P423" s="60"/>
      <c r="Q423" s="60"/>
      <c r="R423" s="60"/>
      <c r="S423" s="60"/>
      <c r="T423" s="60"/>
      <c r="U423" s="60"/>
      <c r="V423" s="60"/>
      <c r="W423" s="60"/>
      <c r="X423" s="57"/>
    </row>
    <row r="424" spans="15:24">
      <c r="O424" s="60"/>
      <c r="P424" s="60"/>
      <c r="Q424" s="60"/>
      <c r="R424" s="60"/>
      <c r="S424" s="60"/>
      <c r="T424" s="60"/>
      <c r="U424" s="60"/>
      <c r="V424" s="60"/>
      <c r="W424" s="60"/>
      <c r="X424" s="57"/>
    </row>
    <row r="425" spans="15:24">
      <c r="O425" s="60"/>
      <c r="P425" s="60"/>
      <c r="Q425" s="60"/>
      <c r="R425" s="60"/>
      <c r="S425" s="60"/>
      <c r="T425" s="60"/>
      <c r="U425" s="60"/>
      <c r="V425" s="60"/>
      <c r="W425" s="60"/>
      <c r="X425" s="57"/>
    </row>
    <row r="426" spans="15:24">
      <c r="O426" s="60"/>
      <c r="P426" s="60"/>
      <c r="Q426" s="60"/>
      <c r="R426" s="60"/>
      <c r="S426" s="60"/>
      <c r="T426" s="60"/>
      <c r="U426" s="60"/>
      <c r="V426" s="60"/>
      <c r="W426" s="60"/>
      <c r="X426" s="57"/>
    </row>
    <row r="427" spans="15:24">
      <c r="O427" s="60"/>
      <c r="P427" s="60"/>
      <c r="Q427" s="60"/>
      <c r="R427" s="60"/>
      <c r="S427" s="60"/>
      <c r="T427" s="60"/>
      <c r="U427" s="60"/>
      <c r="V427" s="60"/>
      <c r="W427" s="60"/>
      <c r="X427" s="57"/>
    </row>
    <row r="428" spans="15:24">
      <c r="O428" s="60"/>
      <c r="P428" s="60"/>
      <c r="Q428" s="60"/>
      <c r="R428" s="60"/>
      <c r="S428" s="60"/>
      <c r="T428" s="60"/>
      <c r="U428" s="60"/>
      <c r="V428" s="60"/>
      <c r="W428" s="60"/>
      <c r="X428" s="57"/>
    </row>
    <row r="429" spans="15:24">
      <c r="O429" s="60"/>
      <c r="P429" s="60"/>
      <c r="Q429" s="60"/>
      <c r="R429" s="60"/>
      <c r="S429" s="60"/>
      <c r="T429" s="60"/>
      <c r="U429" s="60"/>
      <c r="V429" s="60"/>
      <c r="W429" s="60"/>
      <c r="X429" s="57"/>
    </row>
    <row r="430" spans="15:24">
      <c r="O430" s="60"/>
      <c r="P430" s="60"/>
      <c r="Q430" s="60"/>
      <c r="R430" s="60"/>
      <c r="S430" s="60"/>
      <c r="T430" s="60"/>
      <c r="U430" s="60"/>
      <c r="V430" s="60"/>
      <c r="W430" s="60"/>
      <c r="X430" s="57"/>
    </row>
    <row r="431" spans="15:24">
      <c r="O431" s="60"/>
      <c r="P431" s="60"/>
      <c r="Q431" s="60"/>
      <c r="R431" s="60"/>
      <c r="S431" s="60"/>
      <c r="T431" s="60"/>
      <c r="U431" s="60"/>
      <c r="V431" s="60"/>
      <c r="W431" s="60"/>
      <c r="X431" s="57"/>
    </row>
    <row r="432" spans="15:24">
      <c r="O432" s="60"/>
      <c r="P432" s="60"/>
      <c r="Q432" s="60"/>
      <c r="R432" s="60"/>
      <c r="S432" s="60"/>
      <c r="T432" s="60"/>
      <c r="U432" s="60"/>
      <c r="V432" s="60"/>
      <c r="W432" s="60"/>
      <c r="X432" s="57"/>
    </row>
    <row r="433" spans="15:24">
      <c r="O433" s="60"/>
      <c r="P433" s="60"/>
      <c r="Q433" s="60"/>
      <c r="R433" s="60"/>
      <c r="S433" s="60"/>
      <c r="T433" s="60"/>
      <c r="U433" s="60"/>
      <c r="V433" s="60"/>
      <c r="W433" s="60"/>
      <c r="X433" s="57"/>
    </row>
    <row r="434" spans="15:24">
      <c r="O434" s="60"/>
      <c r="P434" s="60"/>
      <c r="Q434" s="60"/>
      <c r="R434" s="60"/>
      <c r="S434" s="60"/>
      <c r="T434" s="60"/>
      <c r="U434" s="60"/>
      <c r="V434" s="60"/>
      <c r="W434" s="60"/>
      <c r="X434" s="57"/>
    </row>
    <row r="435" spans="15:24">
      <c r="O435" s="60"/>
      <c r="P435" s="60"/>
      <c r="Q435" s="60"/>
      <c r="R435" s="60"/>
      <c r="S435" s="60"/>
      <c r="T435" s="60"/>
      <c r="U435" s="60"/>
      <c r="V435" s="60"/>
      <c r="W435" s="60"/>
      <c r="X435" s="57"/>
    </row>
    <row r="436" spans="15:24">
      <c r="O436" s="60"/>
      <c r="P436" s="60"/>
      <c r="Q436" s="60"/>
      <c r="R436" s="60"/>
      <c r="S436" s="60"/>
      <c r="T436" s="60"/>
      <c r="U436" s="60"/>
      <c r="V436" s="60"/>
      <c r="W436" s="60"/>
      <c r="X436" s="57"/>
    </row>
    <row r="437" spans="15:24">
      <c r="O437" s="60"/>
      <c r="P437" s="60"/>
      <c r="Q437" s="60"/>
      <c r="R437" s="60"/>
      <c r="S437" s="60"/>
      <c r="T437" s="60"/>
      <c r="U437" s="60"/>
      <c r="V437" s="60"/>
      <c r="W437" s="60"/>
      <c r="X437" s="57"/>
    </row>
    <row r="438" spans="15:24">
      <c r="O438" s="60"/>
      <c r="P438" s="60"/>
      <c r="Q438" s="60"/>
      <c r="R438" s="60"/>
      <c r="S438" s="60"/>
      <c r="T438" s="60"/>
      <c r="U438" s="60"/>
      <c r="V438" s="60"/>
      <c r="W438" s="60"/>
      <c r="X438" s="57"/>
    </row>
    <row r="439" spans="15:24">
      <c r="O439" s="60"/>
      <c r="P439" s="60"/>
      <c r="Q439" s="60"/>
      <c r="R439" s="60"/>
      <c r="S439" s="60"/>
      <c r="T439" s="60"/>
      <c r="U439" s="60"/>
      <c r="V439" s="60"/>
      <c r="W439" s="60"/>
      <c r="X439" s="57"/>
    </row>
    <row r="440" spans="15:24">
      <c r="O440" s="60"/>
      <c r="P440" s="60"/>
      <c r="Q440" s="60"/>
      <c r="R440" s="60"/>
      <c r="S440" s="60"/>
      <c r="T440" s="60"/>
      <c r="U440" s="60"/>
      <c r="V440" s="60"/>
      <c r="W440" s="60"/>
      <c r="X440" s="57"/>
    </row>
    <row r="441" spans="15:24">
      <c r="O441" s="60"/>
      <c r="P441" s="60"/>
      <c r="Q441" s="60"/>
      <c r="R441" s="60"/>
      <c r="S441" s="60"/>
      <c r="T441" s="60"/>
      <c r="U441" s="60"/>
      <c r="V441" s="60"/>
      <c r="W441" s="60"/>
      <c r="X441" s="57"/>
    </row>
    <row r="442" spans="15:24">
      <c r="O442" s="60"/>
      <c r="P442" s="60"/>
      <c r="Q442" s="60"/>
      <c r="R442" s="60"/>
      <c r="S442" s="60"/>
      <c r="T442" s="60"/>
      <c r="U442" s="60"/>
      <c r="V442" s="60"/>
      <c r="W442" s="60"/>
      <c r="X442" s="57"/>
    </row>
    <row r="443" spans="15:24">
      <c r="O443" s="60"/>
      <c r="P443" s="60"/>
      <c r="Q443" s="60"/>
      <c r="R443" s="60"/>
      <c r="S443" s="60"/>
      <c r="T443" s="60"/>
      <c r="U443" s="60"/>
      <c r="V443" s="60"/>
      <c r="W443" s="60"/>
      <c r="X443" s="57"/>
    </row>
    <row r="444" spans="15:24">
      <c r="O444" s="60"/>
      <c r="P444" s="60"/>
      <c r="Q444" s="60"/>
      <c r="R444" s="60"/>
      <c r="S444" s="60"/>
      <c r="T444" s="60"/>
      <c r="U444" s="60"/>
      <c r="V444" s="60"/>
      <c r="W444" s="60"/>
      <c r="X444" s="57"/>
    </row>
    <row r="445" spans="15:24">
      <c r="O445" s="60"/>
      <c r="P445" s="60"/>
      <c r="Q445" s="60"/>
      <c r="R445" s="60"/>
      <c r="S445" s="60"/>
      <c r="T445" s="60"/>
      <c r="U445" s="60"/>
      <c r="V445" s="60"/>
      <c r="W445" s="60"/>
      <c r="X445" s="57"/>
    </row>
    <row r="446" spans="15:24">
      <c r="O446" s="60"/>
      <c r="P446" s="60"/>
      <c r="Q446" s="60"/>
      <c r="R446" s="60"/>
      <c r="S446" s="60"/>
      <c r="T446" s="60"/>
      <c r="U446" s="60"/>
      <c r="V446" s="60"/>
      <c r="W446" s="60"/>
      <c r="X446" s="57"/>
    </row>
    <row r="447" spans="15:24">
      <c r="O447" s="60"/>
      <c r="P447" s="60"/>
      <c r="Q447" s="60"/>
      <c r="R447" s="60"/>
      <c r="S447" s="60"/>
      <c r="T447" s="60"/>
      <c r="U447" s="60"/>
      <c r="V447" s="60"/>
      <c r="W447" s="60"/>
      <c r="X447" s="57"/>
    </row>
    <row r="448" spans="15:24">
      <c r="O448" s="60"/>
      <c r="P448" s="60"/>
      <c r="Q448" s="60"/>
      <c r="R448" s="60"/>
      <c r="S448" s="60"/>
      <c r="T448" s="60"/>
      <c r="U448" s="60"/>
      <c r="V448" s="60"/>
      <c r="W448" s="60"/>
      <c r="X448" s="57"/>
    </row>
    <row r="449" spans="15:24">
      <c r="O449" s="60"/>
      <c r="P449" s="60"/>
      <c r="Q449" s="60"/>
      <c r="R449" s="60"/>
      <c r="S449" s="60"/>
      <c r="T449" s="60"/>
      <c r="U449" s="60"/>
      <c r="V449" s="60"/>
      <c r="W449" s="60"/>
      <c r="X449" s="57"/>
    </row>
    <row r="450" spans="15:24">
      <c r="O450" s="60"/>
      <c r="P450" s="60"/>
      <c r="Q450" s="60"/>
      <c r="R450" s="60"/>
      <c r="S450" s="60"/>
      <c r="T450" s="60"/>
      <c r="U450" s="60"/>
      <c r="V450" s="60"/>
      <c r="W450" s="60"/>
      <c r="X450" s="57"/>
    </row>
    <row r="451" spans="15:24">
      <c r="O451" s="60"/>
      <c r="P451" s="60"/>
      <c r="Q451" s="60"/>
      <c r="R451" s="60"/>
      <c r="S451" s="60"/>
      <c r="T451" s="60"/>
      <c r="U451" s="60"/>
      <c r="V451" s="60"/>
      <c r="W451" s="60"/>
      <c r="X451" s="57"/>
    </row>
    <row r="452" spans="15:24">
      <c r="O452" s="60"/>
      <c r="P452" s="60"/>
      <c r="Q452" s="60"/>
      <c r="R452" s="60"/>
      <c r="S452" s="60"/>
      <c r="T452" s="60"/>
      <c r="U452" s="60"/>
      <c r="V452" s="60"/>
      <c r="W452" s="60"/>
      <c r="X452" s="57"/>
    </row>
    <row r="453" spans="15:24">
      <c r="O453" s="60"/>
      <c r="P453" s="60"/>
      <c r="Q453" s="60"/>
      <c r="R453" s="60"/>
      <c r="S453" s="60"/>
      <c r="T453" s="60"/>
      <c r="U453" s="60"/>
      <c r="V453" s="60"/>
      <c r="W453" s="60"/>
      <c r="X453" s="57"/>
    </row>
    <row r="454" spans="15:24">
      <c r="O454" s="60"/>
      <c r="P454" s="60"/>
      <c r="Q454" s="60"/>
      <c r="R454" s="60"/>
      <c r="S454" s="60"/>
      <c r="T454" s="60"/>
      <c r="U454" s="60"/>
      <c r="V454" s="60"/>
      <c r="W454" s="60"/>
      <c r="X454" s="57"/>
    </row>
    <row r="455" spans="15:24">
      <c r="O455" s="60"/>
      <c r="P455" s="60"/>
      <c r="Q455" s="60"/>
      <c r="R455" s="60"/>
      <c r="S455" s="60"/>
      <c r="T455" s="60"/>
      <c r="U455" s="60"/>
      <c r="V455" s="60"/>
      <c r="W455" s="60"/>
      <c r="X455" s="57"/>
    </row>
    <row r="456" spans="15:24">
      <c r="O456" s="60"/>
      <c r="P456" s="60"/>
      <c r="Q456" s="60"/>
      <c r="R456" s="60"/>
      <c r="S456" s="60"/>
      <c r="T456" s="60"/>
      <c r="U456" s="60"/>
      <c r="V456" s="60"/>
      <c r="W456" s="60"/>
      <c r="X456" s="57"/>
    </row>
    <row r="457" spans="15:24">
      <c r="O457" s="60"/>
      <c r="P457" s="60"/>
      <c r="Q457" s="60"/>
      <c r="R457" s="60"/>
      <c r="S457" s="60"/>
      <c r="T457" s="60"/>
      <c r="U457" s="60"/>
      <c r="V457" s="60"/>
      <c r="W457" s="60"/>
      <c r="X457" s="57"/>
    </row>
    <row r="458" spans="15:24">
      <c r="O458" s="60"/>
      <c r="P458" s="60"/>
      <c r="Q458" s="60"/>
      <c r="R458" s="60"/>
      <c r="S458" s="60"/>
      <c r="T458" s="60"/>
      <c r="U458" s="60"/>
      <c r="V458" s="60"/>
      <c r="W458" s="60"/>
      <c r="X458" s="57"/>
    </row>
    <row r="459" spans="15:24">
      <c r="O459" s="60"/>
      <c r="P459" s="60"/>
      <c r="Q459" s="60"/>
      <c r="R459" s="60"/>
      <c r="S459" s="60"/>
      <c r="T459" s="60"/>
      <c r="U459" s="60"/>
      <c r="V459" s="60"/>
      <c r="W459" s="60"/>
      <c r="X459" s="57"/>
    </row>
    <row r="460" spans="15:24">
      <c r="O460" s="60"/>
      <c r="P460" s="60"/>
      <c r="Q460" s="60"/>
      <c r="R460" s="60"/>
      <c r="S460" s="60"/>
      <c r="T460" s="60"/>
      <c r="U460" s="60"/>
      <c r="V460" s="60"/>
      <c r="W460" s="60"/>
      <c r="X460" s="57"/>
    </row>
    <row r="461" spans="15:24">
      <c r="O461" s="60"/>
      <c r="P461" s="60"/>
      <c r="Q461" s="60"/>
      <c r="R461" s="60"/>
      <c r="S461" s="60"/>
      <c r="T461" s="60"/>
      <c r="U461" s="60"/>
      <c r="V461" s="60"/>
      <c r="W461" s="60"/>
      <c r="X461" s="57"/>
    </row>
    <row r="462" spans="15:24">
      <c r="O462" s="60"/>
      <c r="P462" s="60"/>
      <c r="Q462" s="60"/>
      <c r="R462" s="60"/>
      <c r="S462" s="60"/>
      <c r="T462" s="60"/>
      <c r="U462" s="60"/>
      <c r="V462" s="60"/>
      <c r="W462" s="60"/>
      <c r="X462" s="57"/>
    </row>
    <row r="463" spans="15:24">
      <c r="O463" s="60"/>
      <c r="P463" s="60"/>
      <c r="Q463" s="60"/>
      <c r="R463" s="60"/>
      <c r="S463" s="60"/>
      <c r="T463" s="60"/>
      <c r="U463" s="60"/>
      <c r="V463" s="60"/>
      <c r="W463" s="60"/>
      <c r="X463" s="57"/>
    </row>
    <row r="464" spans="15:24">
      <c r="O464" s="60"/>
      <c r="P464" s="60"/>
      <c r="Q464" s="60"/>
      <c r="R464" s="60"/>
      <c r="S464" s="60"/>
      <c r="T464" s="60"/>
      <c r="U464" s="60"/>
      <c r="V464" s="60"/>
      <c r="W464" s="60"/>
      <c r="X464" s="57"/>
    </row>
    <row r="465" spans="15:24">
      <c r="O465" s="60"/>
      <c r="P465" s="60"/>
      <c r="Q465" s="60"/>
      <c r="R465" s="60"/>
      <c r="S465" s="60"/>
      <c r="T465" s="60"/>
      <c r="U465" s="60"/>
      <c r="V465" s="60"/>
      <c r="W465" s="60"/>
      <c r="X465" s="57"/>
    </row>
    <row r="466" spans="15:24">
      <c r="O466" s="60"/>
      <c r="P466" s="60"/>
      <c r="Q466" s="60"/>
      <c r="R466" s="60"/>
      <c r="S466" s="60"/>
      <c r="T466" s="60"/>
      <c r="U466" s="60"/>
      <c r="V466" s="60"/>
      <c r="W466" s="60"/>
      <c r="X466" s="57"/>
    </row>
    <row r="467" spans="15:24">
      <c r="O467" s="60"/>
      <c r="P467" s="60"/>
      <c r="Q467" s="60"/>
      <c r="R467" s="60"/>
      <c r="S467" s="60"/>
      <c r="T467" s="60"/>
      <c r="U467" s="60"/>
      <c r="V467" s="60"/>
      <c r="W467" s="60"/>
      <c r="X467" s="57"/>
    </row>
    <row r="468" spans="15:24">
      <c r="O468" s="60"/>
      <c r="P468" s="60"/>
      <c r="Q468" s="60"/>
      <c r="R468" s="60"/>
      <c r="S468" s="60"/>
      <c r="T468" s="60"/>
      <c r="U468" s="60"/>
      <c r="V468" s="60"/>
      <c r="W468" s="60"/>
      <c r="X468" s="57"/>
    </row>
    <row r="469" spans="15:24">
      <c r="O469" s="60"/>
      <c r="P469" s="60"/>
      <c r="Q469" s="60"/>
      <c r="R469" s="60"/>
      <c r="S469" s="60"/>
      <c r="T469" s="60"/>
      <c r="U469" s="60"/>
      <c r="V469" s="60"/>
      <c r="W469" s="60"/>
      <c r="X469" s="57"/>
    </row>
    <row r="470" spans="15:24">
      <c r="O470" s="60"/>
      <c r="P470" s="60"/>
      <c r="Q470" s="60"/>
      <c r="R470" s="60"/>
      <c r="S470" s="60"/>
      <c r="T470" s="60"/>
      <c r="U470" s="60"/>
      <c r="V470" s="60"/>
      <c r="W470" s="60"/>
      <c r="X470" s="57"/>
    </row>
    <row r="471" spans="15:24">
      <c r="O471" s="60"/>
      <c r="P471" s="60"/>
      <c r="Q471" s="60"/>
      <c r="R471" s="60"/>
      <c r="S471" s="60"/>
      <c r="T471" s="60"/>
      <c r="U471" s="60"/>
      <c r="V471" s="60"/>
      <c r="W471" s="60"/>
      <c r="X471" s="57"/>
    </row>
    <row r="472" spans="15:24">
      <c r="O472" s="60"/>
      <c r="P472" s="60"/>
      <c r="Q472" s="60"/>
      <c r="R472" s="60"/>
      <c r="S472" s="60"/>
      <c r="T472" s="60"/>
      <c r="U472" s="60"/>
      <c r="V472" s="60"/>
      <c r="W472" s="60"/>
      <c r="X472" s="57"/>
    </row>
    <row r="473" spans="15:24">
      <c r="O473" s="60"/>
      <c r="P473" s="60"/>
      <c r="Q473" s="60"/>
      <c r="R473" s="60"/>
      <c r="S473" s="60"/>
      <c r="T473" s="60"/>
      <c r="U473" s="60"/>
      <c r="V473" s="60"/>
      <c r="W473" s="60"/>
      <c r="X473" s="57"/>
    </row>
    <row r="474" spans="15:24">
      <c r="O474" s="60"/>
      <c r="P474" s="60"/>
      <c r="Q474" s="60"/>
      <c r="R474" s="60"/>
      <c r="S474" s="60"/>
      <c r="T474" s="60"/>
      <c r="U474" s="60"/>
      <c r="V474" s="60"/>
      <c r="W474" s="60"/>
      <c r="X474" s="57"/>
    </row>
    <row r="475" spans="15:24">
      <c r="O475" s="60"/>
      <c r="P475" s="60"/>
      <c r="Q475" s="60"/>
      <c r="R475" s="60"/>
      <c r="S475" s="60"/>
      <c r="T475" s="60"/>
      <c r="U475" s="60"/>
      <c r="V475" s="60"/>
      <c r="W475" s="60"/>
      <c r="X475" s="57"/>
    </row>
    <row r="476" spans="15:24">
      <c r="O476" s="60"/>
      <c r="P476" s="60"/>
      <c r="Q476" s="60"/>
      <c r="R476" s="60"/>
      <c r="S476" s="60"/>
      <c r="T476" s="60"/>
      <c r="U476" s="60"/>
      <c r="V476" s="60"/>
      <c r="W476" s="60"/>
      <c r="X476" s="57"/>
    </row>
    <row r="477" spans="15:24">
      <c r="O477" s="60"/>
      <c r="P477" s="60"/>
      <c r="Q477" s="60"/>
      <c r="R477" s="60"/>
      <c r="S477" s="60"/>
      <c r="T477" s="60"/>
      <c r="U477" s="60"/>
      <c r="V477" s="60"/>
      <c r="W477" s="60"/>
      <c r="X477" s="57"/>
    </row>
    <row r="478" spans="15:24">
      <c r="O478" s="60"/>
      <c r="P478" s="60"/>
      <c r="Q478" s="60"/>
      <c r="R478" s="60"/>
      <c r="S478" s="60"/>
      <c r="T478" s="60"/>
      <c r="U478" s="60"/>
      <c r="V478" s="60"/>
      <c r="W478" s="60"/>
      <c r="X478" s="57"/>
    </row>
    <row r="479" spans="15:24">
      <c r="O479" s="60"/>
      <c r="P479" s="60"/>
      <c r="Q479" s="60"/>
      <c r="R479" s="60"/>
      <c r="S479" s="60"/>
      <c r="T479" s="60"/>
      <c r="U479" s="60"/>
      <c r="V479" s="60"/>
      <c r="W479" s="60"/>
      <c r="X479" s="57"/>
    </row>
    <row r="480" spans="15:24">
      <c r="O480" s="60"/>
      <c r="P480" s="60"/>
      <c r="Q480" s="60"/>
      <c r="R480" s="60"/>
      <c r="S480" s="60"/>
      <c r="T480" s="60"/>
      <c r="U480" s="60"/>
      <c r="V480" s="60"/>
      <c r="W480" s="60"/>
      <c r="X480" s="57"/>
    </row>
    <row r="481" spans="15:24">
      <c r="O481" s="60"/>
      <c r="P481" s="60"/>
      <c r="Q481" s="60"/>
      <c r="R481" s="60"/>
      <c r="S481" s="60"/>
      <c r="T481" s="60"/>
      <c r="U481" s="60"/>
      <c r="V481" s="60"/>
      <c r="W481" s="60"/>
      <c r="X481" s="57"/>
    </row>
    <row r="482" spans="15:24">
      <c r="O482" s="60"/>
      <c r="P482" s="60"/>
      <c r="Q482" s="60"/>
      <c r="R482" s="60"/>
      <c r="S482" s="60"/>
      <c r="T482" s="60"/>
      <c r="U482" s="60"/>
      <c r="V482" s="60"/>
      <c r="W482" s="60"/>
      <c r="X482" s="57"/>
    </row>
    <row r="483" spans="15:24">
      <c r="O483" s="60"/>
      <c r="P483" s="60"/>
      <c r="Q483" s="60"/>
      <c r="R483" s="60"/>
      <c r="S483" s="60"/>
      <c r="T483" s="60"/>
      <c r="U483" s="60"/>
      <c r="V483" s="60"/>
      <c r="W483" s="60"/>
      <c r="X483" s="57"/>
    </row>
    <row r="484" spans="15:24">
      <c r="O484" s="60"/>
      <c r="P484" s="60"/>
      <c r="Q484" s="60"/>
      <c r="R484" s="60"/>
      <c r="S484" s="60"/>
      <c r="T484" s="60"/>
      <c r="U484" s="60"/>
      <c r="V484" s="60"/>
      <c r="W484" s="60"/>
      <c r="X484" s="58"/>
    </row>
    <row r="485" spans="15:24">
      <c r="O485" s="60"/>
      <c r="P485" s="60"/>
      <c r="Q485" s="60"/>
      <c r="R485" s="60"/>
      <c r="S485" s="60"/>
      <c r="T485" s="60"/>
      <c r="U485" s="60"/>
      <c r="V485" s="60"/>
      <c r="W485" s="60"/>
    </row>
    <row r="486" spans="15:24">
      <c r="S486" s="59"/>
      <c r="T486" s="59"/>
      <c r="U486" s="59"/>
      <c r="V486" s="59"/>
      <c r="W486" s="59"/>
    </row>
  </sheetData>
  <mergeCells count="14">
    <mergeCell ref="X2:X4"/>
    <mergeCell ref="A215:V215"/>
    <mergeCell ref="S2:S4"/>
    <mergeCell ref="U2:U4"/>
    <mergeCell ref="V2:V4"/>
    <mergeCell ref="W2:W4"/>
    <mergeCell ref="A1:W1"/>
    <mergeCell ref="T2:T4"/>
    <mergeCell ref="R2:R4"/>
    <mergeCell ref="B2:B4"/>
    <mergeCell ref="E2:E4"/>
    <mergeCell ref="O2:O4"/>
    <mergeCell ref="P2:P4"/>
    <mergeCell ref="Q2:Q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13"/>
  <sheetViews>
    <sheetView tabSelected="1" workbookViewId="0">
      <selection activeCell="R212" sqref="R212"/>
    </sheetView>
  </sheetViews>
  <sheetFormatPr baseColWidth="10" defaultColWidth="8.83203125" defaultRowHeight="15"/>
  <cols>
    <col min="2" max="2" width="22.1640625" customWidth="1"/>
    <col min="9" max="9" width="14.5" customWidth="1"/>
    <col min="10" max="11" width="0" hidden="1" customWidth="1"/>
    <col min="14" max="15" width="0" hidden="1" customWidth="1"/>
    <col min="16" max="16" width="10.6640625" customWidth="1"/>
    <col min="18" max="18" width="11.83203125" customWidth="1"/>
    <col min="19" max="19" width="20.6640625" customWidth="1"/>
  </cols>
  <sheetData>
    <row r="1" spans="1:23" ht="27">
      <c r="A1" s="64" t="s">
        <v>26</v>
      </c>
      <c r="B1" s="199" t="s">
        <v>0</v>
      </c>
      <c r="C1" s="64" t="s">
        <v>27</v>
      </c>
      <c r="D1" s="65" t="s">
        <v>323</v>
      </c>
      <c r="E1" s="202" t="s">
        <v>324</v>
      </c>
      <c r="F1" s="91" t="s">
        <v>432</v>
      </c>
      <c r="G1" s="91"/>
      <c r="H1" s="91"/>
      <c r="I1" s="172" t="s">
        <v>433</v>
      </c>
      <c r="J1" s="15"/>
      <c r="K1" s="15"/>
      <c r="L1" s="172" t="s">
        <v>3</v>
      </c>
      <c r="M1" s="171"/>
      <c r="N1" s="171"/>
      <c r="O1" s="171"/>
      <c r="P1" s="171"/>
      <c r="Q1" s="171"/>
      <c r="R1" s="171"/>
      <c r="S1" s="206" t="s">
        <v>434</v>
      </c>
      <c r="T1" s="91"/>
      <c r="U1" s="91"/>
      <c r="V1" s="91"/>
      <c r="W1" s="91"/>
    </row>
    <row r="2" spans="1:23" ht="27">
      <c r="A2" s="66" t="s">
        <v>28</v>
      </c>
      <c r="B2" s="200"/>
      <c r="C2" s="66" t="s">
        <v>29</v>
      </c>
      <c r="D2" s="67" t="s">
        <v>327</v>
      </c>
      <c r="E2" s="203"/>
      <c r="F2" s="205" t="s">
        <v>5</v>
      </c>
      <c r="G2" s="205" t="s">
        <v>6</v>
      </c>
      <c r="H2" s="205" t="s">
        <v>173</v>
      </c>
      <c r="I2" s="172"/>
      <c r="J2" s="172" t="s">
        <v>7</v>
      </c>
      <c r="K2" s="172" t="s">
        <v>8</v>
      </c>
      <c r="L2" s="173" t="s">
        <v>321</v>
      </c>
      <c r="M2" s="172" t="s">
        <v>9</v>
      </c>
      <c r="N2" s="174">
        <v>0.1</v>
      </c>
      <c r="O2" s="174" t="s">
        <v>10</v>
      </c>
      <c r="P2" s="167" t="s">
        <v>11</v>
      </c>
      <c r="Q2" s="169" t="s">
        <v>13</v>
      </c>
      <c r="R2" s="167" t="s">
        <v>12</v>
      </c>
      <c r="S2" s="207"/>
      <c r="T2" s="91"/>
      <c r="U2" s="91"/>
      <c r="V2" s="91"/>
      <c r="W2" s="91"/>
    </row>
    <row r="3" spans="1:23" ht="70.5" customHeight="1">
      <c r="A3" s="68"/>
      <c r="B3" s="201"/>
      <c r="C3" s="68"/>
      <c r="D3" s="69" t="s">
        <v>6</v>
      </c>
      <c r="E3" s="204"/>
      <c r="F3" s="205"/>
      <c r="G3" s="205"/>
      <c r="H3" s="205"/>
      <c r="I3" s="172"/>
      <c r="J3" s="172"/>
      <c r="K3" s="172"/>
      <c r="L3" s="173"/>
      <c r="M3" s="172"/>
      <c r="N3" s="174"/>
      <c r="O3" s="174"/>
      <c r="P3" s="167"/>
      <c r="Q3" s="169"/>
      <c r="R3" s="167"/>
      <c r="S3" s="208"/>
      <c r="T3" s="91"/>
      <c r="U3" s="91"/>
      <c r="V3" s="91"/>
      <c r="W3" s="91"/>
    </row>
    <row r="4" spans="1:23" ht="26">
      <c r="A4" s="70">
        <v>3030001</v>
      </c>
      <c r="B4" s="71" t="s">
        <v>30</v>
      </c>
      <c r="C4" s="72" t="s">
        <v>24</v>
      </c>
      <c r="D4" s="73">
        <v>29</v>
      </c>
      <c r="E4" s="87">
        <v>246.1</v>
      </c>
      <c r="F4" s="5">
        <v>26</v>
      </c>
      <c r="G4" s="5">
        <v>1</v>
      </c>
      <c r="H4" s="90">
        <v>31</v>
      </c>
      <c r="I4" s="5">
        <v>43</v>
      </c>
      <c r="J4" s="5"/>
      <c r="K4" s="5"/>
      <c r="L4" s="5">
        <v>0</v>
      </c>
      <c r="M4" s="5">
        <v>40</v>
      </c>
      <c r="N4" s="5"/>
      <c r="O4" s="5"/>
      <c r="P4" s="5">
        <v>246.1</v>
      </c>
      <c r="Q4" s="5">
        <v>0</v>
      </c>
      <c r="R4" s="5">
        <f>+M4*P4</f>
        <v>9844</v>
      </c>
      <c r="S4" s="5"/>
      <c r="T4" s="5"/>
      <c r="U4" s="5"/>
      <c r="V4" s="5"/>
      <c r="W4" s="5"/>
    </row>
    <row r="5" spans="1:23" ht="26">
      <c r="A5" s="70">
        <v>3030003</v>
      </c>
      <c r="B5" s="71" t="s">
        <v>31</v>
      </c>
      <c r="C5" s="72" t="s">
        <v>24</v>
      </c>
      <c r="D5" s="74">
        <v>17</v>
      </c>
      <c r="E5" s="88">
        <v>224.7</v>
      </c>
      <c r="F5" s="5">
        <v>13</v>
      </c>
      <c r="G5" s="5">
        <v>4</v>
      </c>
      <c r="H5" s="90">
        <v>0</v>
      </c>
      <c r="I5" s="5">
        <v>40</v>
      </c>
      <c r="J5" s="5"/>
      <c r="K5" s="5"/>
      <c r="L5" s="5">
        <v>0</v>
      </c>
      <c r="M5" s="5">
        <v>50</v>
      </c>
      <c r="N5" s="5"/>
      <c r="O5" s="5"/>
      <c r="P5" s="5">
        <v>224.7</v>
      </c>
      <c r="Q5" s="5">
        <v>0</v>
      </c>
      <c r="R5" s="5">
        <f t="shared" ref="R5:R68" si="0">+M5*P5</f>
        <v>11235</v>
      </c>
      <c r="S5" s="5"/>
      <c r="T5" s="5"/>
      <c r="U5" s="5"/>
      <c r="V5" s="5"/>
      <c r="W5" s="5"/>
    </row>
    <row r="6" spans="1:23" ht="26">
      <c r="A6" s="75">
        <v>3030004</v>
      </c>
      <c r="B6" s="71" t="s">
        <v>387</v>
      </c>
      <c r="C6" s="72" t="s">
        <v>32</v>
      </c>
      <c r="D6" s="74">
        <v>5</v>
      </c>
      <c r="E6" s="88">
        <v>224.7</v>
      </c>
      <c r="F6" s="5">
        <v>22</v>
      </c>
      <c r="G6" s="5">
        <v>2</v>
      </c>
      <c r="H6" s="90">
        <v>30</v>
      </c>
      <c r="I6" s="5">
        <v>52</v>
      </c>
      <c r="J6" s="5"/>
      <c r="K6" s="5"/>
      <c r="L6" s="5">
        <v>0</v>
      </c>
      <c r="M6" s="5">
        <v>50</v>
      </c>
      <c r="N6" s="5"/>
      <c r="O6" s="5"/>
      <c r="P6" s="5">
        <v>224.7</v>
      </c>
      <c r="Q6" s="5">
        <v>0</v>
      </c>
      <c r="R6" s="5">
        <f t="shared" si="0"/>
        <v>11235</v>
      </c>
      <c r="S6" s="5"/>
      <c r="T6" s="5"/>
      <c r="U6" s="5"/>
      <c r="V6" s="5"/>
      <c r="W6" s="5"/>
    </row>
    <row r="7" spans="1:23" ht="26">
      <c r="A7" s="75">
        <v>3030006</v>
      </c>
      <c r="B7" s="71" t="s">
        <v>33</v>
      </c>
      <c r="C7" s="72" t="s">
        <v>22</v>
      </c>
      <c r="D7" s="74">
        <v>97</v>
      </c>
      <c r="E7" s="88">
        <v>9.5015999999999998</v>
      </c>
      <c r="F7" s="5">
        <v>19</v>
      </c>
      <c r="G7" s="5">
        <v>0</v>
      </c>
      <c r="H7" s="90">
        <v>32</v>
      </c>
      <c r="I7" s="5">
        <v>97</v>
      </c>
      <c r="J7" s="5"/>
      <c r="K7" s="5"/>
      <c r="L7" s="5">
        <v>0</v>
      </c>
      <c r="M7" s="5">
        <v>0</v>
      </c>
      <c r="N7" s="5"/>
      <c r="O7" s="5"/>
      <c r="P7" s="5">
        <v>9.5015999999999998</v>
      </c>
      <c r="Q7" s="5">
        <v>0</v>
      </c>
      <c r="R7" s="5">
        <f t="shared" si="0"/>
        <v>0</v>
      </c>
      <c r="S7" s="5"/>
      <c r="T7" s="5"/>
      <c r="U7" s="5"/>
      <c r="V7" s="5"/>
      <c r="W7" s="5"/>
    </row>
    <row r="8" spans="1:23" ht="26">
      <c r="A8" s="75">
        <v>3030008</v>
      </c>
      <c r="B8" s="71" t="s">
        <v>34</v>
      </c>
      <c r="C8" s="72" t="s">
        <v>22</v>
      </c>
      <c r="D8" s="74">
        <v>72</v>
      </c>
      <c r="E8" s="88">
        <v>18.190000000000001</v>
      </c>
      <c r="F8" s="5">
        <v>35</v>
      </c>
      <c r="G8" s="5">
        <v>0</v>
      </c>
      <c r="H8" s="90">
        <v>22</v>
      </c>
      <c r="I8" s="5">
        <v>72</v>
      </c>
      <c r="J8" s="5"/>
      <c r="K8" s="5"/>
      <c r="L8" s="5">
        <v>0</v>
      </c>
      <c r="M8" s="5">
        <v>0</v>
      </c>
      <c r="N8" s="5"/>
      <c r="O8" s="5"/>
      <c r="P8" s="5">
        <v>18.190000000000001</v>
      </c>
      <c r="Q8" s="5">
        <v>0</v>
      </c>
      <c r="R8" s="5">
        <f t="shared" si="0"/>
        <v>0</v>
      </c>
      <c r="S8" s="5"/>
      <c r="T8" s="5"/>
      <c r="U8" s="5"/>
      <c r="V8" s="5"/>
      <c r="W8" s="5"/>
    </row>
    <row r="9" spans="1:23" ht="26">
      <c r="A9" s="70">
        <v>3030009</v>
      </c>
      <c r="B9" s="71" t="s">
        <v>35</v>
      </c>
      <c r="C9" s="72" t="s">
        <v>21</v>
      </c>
      <c r="D9" s="74">
        <v>1</v>
      </c>
      <c r="E9" s="88">
        <v>294.9991</v>
      </c>
      <c r="F9" s="5">
        <v>2</v>
      </c>
      <c r="G9" s="5">
        <v>0</v>
      </c>
      <c r="H9" s="90">
        <v>87</v>
      </c>
      <c r="I9" s="5">
        <v>1</v>
      </c>
      <c r="J9" s="5"/>
      <c r="K9" s="5"/>
      <c r="L9" s="5">
        <v>0</v>
      </c>
      <c r="M9" s="5">
        <v>0</v>
      </c>
      <c r="N9" s="5"/>
      <c r="O9" s="5"/>
      <c r="P9" s="5">
        <v>294.9991</v>
      </c>
      <c r="Q9" s="5">
        <v>0</v>
      </c>
      <c r="R9" s="5">
        <f t="shared" si="0"/>
        <v>0</v>
      </c>
      <c r="S9" s="5"/>
      <c r="T9" s="5"/>
      <c r="U9" s="5"/>
      <c r="V9" s="5"/>
      <c r="W9" s="5"/>
    </row>
    <row r="10" spans="1:23" ht="26">
      <c r="A10" s="70">
        <v>3030009</v>
      </c>
      <c r="B10" s="71" t="s">
        <v>35</v>
      </c>
      <c r="C10" s="72" t="s">
        <v>21</v>
      </c>
      <c r="D10" s="74">
        <v>17</v>
      </c>
      <c r="E10" s="88">
        <v>363.8</v>
      </c>
      <c r="F10" s="5">
        <v>1</v>
      </c>
      <c r="G10" s="5">
        <v>0</v>
      </c>
      <c r="H10" s="90">
        <v>20</v>
      </c>
      <c r="I10" s="5">
        <v>9</v>
      </c>
      <c r="J10" s="5"/>
      <c r="K10" s="5"/>
      <c r="L10" s="5">
        <v>0</v>
      </c>
      <c r="M10" s="5">
        <v>0</v>
      </c>
      <c r="N10" s="5"/>
      <c r="O10" s="5"/>
      <c r="P10" s="5">
        <v>363.8</v>
      </c>
      <c r="Q10" s="5">
        <v>0</v>
      </c>
      <c r="R10" s="5">
        <f t="shared" si="0"/>
        <v>0</v>
      </c>
      <c r="S10" s="5"/>
      <c r="T10" s="5"/>
      <c r="U10" s="5"/>
      <c r="V10" s="5"/>
      <c r="W10" s="5"/>
    </row>
    <row r="11" spans="1:23" ht="26">
      <c r="A11" s="75">
        <v>3030010</v>
      </c>
      <c r="B11" s="71" t="s">
        <v>36</v>
      </c>
      <c r="C11" s="72" t="s">
        <v>22</v>
      </c>
      <c r="D11" s="74">
        <v>64</v>
      </c>
      <c r="E11" s="88">
        <v>9.5015999999999998</v>
      </c>
      <c r="F11" s="5">
        <v>12</v>
      </c>
      <c r="G11" s="5">
        <v>2</v>
      </c>
      <c r="H11" s="90">
        <v>0</v>
      </c>
      <c r="I11" s="5">
        <v>64</v>
      </c>
      <c r="J11" s="5"/>
      <c r="K11" s="5"/>
      <c r="L11" s="5">
        <v>0</v>
      </c>
      <c r="M11" s="5">
        <v>0</v>
      </c>
      <c r="N11" s="5"/>
      <c r="O11" s="5"/>
      <c r="P11" s="5">
        <v>9.5015999999999998</v>
      </c>
      <c r="Q11" s="5">
        <v>0</v>
      </c>
      <c r="R11" s="5">
        <f t="shared" si="0"/>
        <v>0</v>
      </c>
      <c r="S11" s="5"/>
      <c r="T11" s="5"/>
      <c r="U11" s="5"/>
      <c r="V11" s="5"/>
      <c r="W11" s="5"/>
    </row>
    <row r="12" spans="1:23" ht="26">
      <c r="A12" s="75">
        <v>3030012</v>
      </c>
      <c r="B12" s="71" t="s">
        <v>37</v>
      </c>
      <c r="C12" s="72" t="s">
        <v>22</v>
      </c>
      <c r="D12" s="74">
        <v>55</v>
      </c>
      <c r="E12" s="88">
        <v>18.190000000000001</v>
      </c>
      <c r="F12" s="5">
        <v>8</v>
      </c>
      <c r="G12" s="5">
        <v>0</v>
      </c>
      <c r="H12" s="90">
        <v>2</v>
      </c>
      <c r="I12" s="5">
        <v>43</v>
      </c>
      <c r="J12" s="5"/>
      <c r="K12" s="5"/>
      <c r="L12" s="5">
        <v>0</v>
      </c>
      <c r="M12" s="5">
        <v>0</v>
      </c>
      <c r="N12" s="5"/>
      <c r="O12" s="5"/>
      <c r="P12" s="5">
        <v>18.190000000000001</v>
      </c>
      <c r="Q12" s="5">
        <v>0</v>
      </c>
      <c r="R12" s="5">
        <f t="shared" si="0"/>
        <v>0</v>
      </c>
      <c r="S12" s="5"/>
      <c r="T12" s="5"/>
      <c r="U12" s="5"/>
      <c r="V12" s="5"/>
      <c r="W12" s="5"/>
    </row>
    <row r="13" spans="1:23" ht="26">
      <c r="A13" s="75">
        <v>3030012</v>
      </c>
      <c r="B13" s="71" t="s">
        <v>37</v>
      </c>
      <c r="C13" s="72" t="s">
        <v>22</v>
      </c>
      <c r="D13" s="74"/>
      <c r="E13" s="89">
        <v>16.05</v>
      </c>
      <c r="F13" s="5">
        <v>6</v>
      </c>
      <c r="G13" s="5">
        <v>0</v>
      </c>
      <c r="H13" s="90">
        <v>83</v>
      </c>
      <c r="I13" s="5">
        <v>0</v>
      </c>
      <c r="J13" s="5"/>
      <c r="K13" s="5"/>
      <c r="L13" s="5">
        <v>0</v>
      </c>
      <c r="M13" s="5">
        <v>0</v>
      </c>
      <c r="N13" s="5"/>
      <c r="O13" s="5"/>
      <c r="P13" s="5">
        <v>16.05</v>
      </c>
      <c r="Q13" s="5">
        <v>0</v>
      </c>
      <c r="R13" s="5">
        <f t="shared" si="0"/>
        <v>0</v>
      </c>
      <c r="S13" s="5"/>
      <c r="T13" s="5"/>
      <c r="U13" s="5"/>
      <c r="V13" s="5"/>
      <c r="W13" s="5"/>
    </row>
    <row r="14" spans="1:23" ht="26">
      <c r="A14" s="70">
        <v>3030013</v>
      </c>
      <c r="B14" s="71" t="s">
        <v>38</v>
      </c>
      <c r="C14" s="72" t="s">
        <v>15</v>
      </c>
      <c r="D14" s="74"/>
      <c r="E14" s="88">
        <v>17.12</v>
      </c>
      <c r="F14" s="5">
        <v>12</v>
      </c>
      <c r="G14" s="5">
        <v>0</v>
      </c>
      <c r="H14" s="90">
        <v>0</v>
      </c>
      <c r="I14" s="5">
        <v>72</v>
      </c>
      <c r="J14" s="5"/>
      <c r="K14" s="5"/>
      <c r="L14" s="5">
        <v>0</v>
      </c>
      <c r="M14" s="5">
        <v>100</v>
      </c>
      <c r="N14" s="5"/>
      <c r="O14" s="5"/>
      <c r="P14" s="5">
        <v>17.12</v>
      </c>
      <c r="Q14" s="5">
        <v>0</v>
      </c>
      <c r="R14" s="5">
        <f t="shared" si="0"/>
        <v>1712</v>
      </c>
      <c r="S14" s="5"/>
      <c r="T14" s="5"/>
      <c r="U14" s="5"/>
      <c r="V14" s="5"/>
      <c r="W14" s="5"/>
    </row>
    <row r="15" spans="1:23" ht="26">
      <c r="A15" s="75">
        <v>3030014</v>
      </c>
      <c r="B15" s="71" t="s">
        <v>39</v>
      </c>
      <c r="C15" s="72" t="s">
        <v>22</v>
      </c>
      <c r="D15" s="74">
        <v>90</v>
      </c>
      <c r="E15" s="88">
        <v>16.05</v>
      </c>
      <c r="F15" s="5">
        <v>16</v>
      </c>
      <c r="G15" s="5">
        <v>0</v>
      </c>
      <c r="H15" s="90">
        <v>0</v>
      </c>
      <c r="I15" s="5">
        <v>75</v>
      </c>
      <c r="J15" s="5"/>
      <c r="K15" s="5"/>
      <c r="L15" s="5">
        <v>0</v>
      </c>
      <c r="M15" s="5">
        <v>0</v>
      </c>
      <c r="N15" s="5"/>
      <c r="O15" s="5"/>
      <c r="P15" s="5">
        <v>16.05</v>
      </c>
      <c r="Q15" s="5">
        <v>0</v>
      </c>
      <c r="R15" s="5">
        <f t="shared" si="0"/>
        <v>0</v>
      </c>
      <c r="S15" s="5"/>
      <c r="T15" s="5"/>
      <c r="U15" s="5"/>
      <c r="V15" s="5"/>
      <c r="W15" s="5"/>
    </row>
    <row r="16" spans="1:23" ht="26">
      <c r="A16" s="75">
        <v>3030016</v>
      </c>
      <c r="B16" s="71" t="s">
        <v>40</v>
      </c>
      <c r="C16" s="72" t="s">
        <v>24</v>
      </c>
      <c r="D16" s="74">
        <v>11</v>
      </c>
      <c r="E16" s="88">
        <v>32.1</v>
      </c>
      <c r="F16" s="5">
        <v>23</v>
      </c>
      <c r="G16" s="5">
        <v>8</v>
      </c>
      <c r="H16" s="90">
        <v>5</v>
      </c>
      <c r="I16" s="5">
        <v>11</v>
      </c>
      <c r="J16" s="5"/>
      <c r="K16" s="5"/>
      <c r="L16" s="5">
        <v>0</v>
      </c>
      <c r="M16" s="5">
        <v>0</v>
      </c>
      <c r="N16" s="5"/>
      <c r="O16" s="5"/>
      <c r="P16" s="5">
        <v>32.1</v>
      </c>
      <c r="Q16" s="5">
        <v>0</v>
      </c>
      <c r="R16" s="5">
        <f t="shared" si="0"/>
        <v>0</v>
      </c>
      <c r="S16" s="5"/>
      <c r="T16" s="5"/>
      <c r="U16" s="5"/>
      <c r="V16" s="5"/>
      <c r="W16" s="5"/>
    </row>
    <row r="17" spans="1:23" ht="26">
      <c r="A17" s="75">
        <v>3030018</v>
      </c>
      <c r="B17" s="71" t="s">
        <v>41</v>
      </c>
      <c r="C17" s="72" t="s">
        <v>24</v>
      </c>
      <c r="D17" s="74">
        <v>4</v>
      </c>
      <c r="E17" s="88">
        <v>135</v>
      </c>
      <c r="F17" s="5">
        <v>10</v>
      </c>
      <c r="G17" s="5">
        <v>0</v>
      </c>
      <c r="H17" s="90">
        <v>0</v>
      </c>
      <c r="I17" s="5">
        <v>4</v>
      </c>
      <c r="J17" s="5"/>
      <c r="K17" s="5"/>
      <c r="L17" s="5">
        <v>0</v>
      </c>
      <c r="M17" s="5">
        <v>0</v>
      </c>
      <c r="N17" s="5"/>
      <c r="O17" s="5"/>
      <c r="P17" s="5">
        <v>135</v>
      </c>
      <c r="Q17" s="5">
        <v>0</v>
      </c>
      <c r="R17" s="5">
        <f t="shared" si="0"/>
        <v>0</v>
      </c>
      <c r="S17" s="5"/>
      <c r="T17" s="5"/>
      <c r="U17" s="5"/>
      <c r="V17" s="5"/>
      <c r="W17" s="5"/>
    </row>
    <row r="18" spans="1:23" ht="26">
      <c r="A18" s="70">
        <v>3030019</v>
      </c>
      <c r="B18" s="71" t="s">
        <v>42</v>
      </c>
      <c r="C18" s="72" t="s">
        <v>32</v>
      </c>
      <c r="D18" s="74">
        <v>3</v>
      </c>
      <c r="E18" s="88">
        <v>240.75</v>
      </c>
      <c r="F18" s="5">
        <v>5</v>
      </c>
      <c r="G18" s="5">
        <v>0</v>
      </c>
      <c r="H18" s="90">
        <v>0</v>
      </c>
      <c r="I18" s="5">
        <v>19</v>
      </c>
      <c r="J18" s="5"/>
      <c r="K18" s="5"/>
      <c r="L18" s="5">
        <v>0</v>
      </c>
      <c r="M18" s="5">
        <v>20</v>
      </c>
      <c r="N18" s="5"/>
      <c r="O18" s="5"/>
      <c r="P18" s="5">
        <v>240.75</v>
      </c>
      <c r="Q18" s="5">
        <v>0</v>
      </c>
      <c r="R18" s="5">
        <f t="shared" si="0"/>
        <v>4815</v>
      </c>
      <c r="S18" s="5"/>
      <c r="T18" s="5"/>
      <c r="U18" s="5"/>
      <c r="V18" s="5"/>
      <c r="W18" s="5"/>
    </row>
    <row r="19" spans="1:23" ht="26">
      <c r="A19" s="75">
        <v>3030020</v>
      </c>
      <c r="B19" s="71" t="s">
        <v>43</v>
      </c>
      <c r="C19" s="72" t="s">
        <v>15</v>
      </c>
      <c r="D19" s="74">
        <v>4</v>
      </c>
      <c r="E19" s="88">
        <v>101.65</v>
      </c>
      <c r="F19" s="5">
        <v>8</v>
      </c>
      <c r="G19" s="5">
        <v>0</v>
      </c>
      <c r="H19" s="90">
        <v>0</v>
      </c>
      <c r="I19" s="5">
        <v>4</v>
      </c>
      <c r="J19" s="5"/>
      <c r="K19" s="5"/>
      <c r="L19" s="5">
        <v>0</v>
      </c>
      <c r="M19" s="5">
        <v>0</v>
      </c>
      <c r="N19" s="5"/>
      <c r="O19" s="5"/>
      <c r="P19" s="5">
        <v>101.65</v>
      </c>
      <c r="Q19" s="5">
        <v>0</v>
      </c>
      <c r="R19" s="5">
        <f t="shared" si="0"/>
        <v>0</v>
      </c>
      <c r="S19" s="5"/>
      <c r="T19" s="5"/>
      <c r="U19" s="5"/>
      <c r="V19" s="5"/>
      <c r="W19" s="5"/>
    </row>
    <row r="20" spans="1:23" ht="26">
      <c r="A20" s="1">
        <v>3030021</v>
      </c>
      <c r="B20" s="71" t="s">
        <v>44</v>
      </c>
      <c r="C20" s="72" t="s">
        <v>16</v>
      </c>
      <c r="D20" s="74">
        <v>84</v>
      </c>
      <c r="E20" s="88">
        <v>25.68</v>
      </c>
      <c r="F20" s="5">
        <v>10</v>
      </c>
      <c r="G20" s="5">
        <v>2</v>
      </c>
      <c r="H20" s="90">
        <v>17</v>
      </c>
      <c r="I20" s="5">
        <v>37</v>
      </c>
      <c r="J20" s="5"/>
      <c r="K20" s="5"/>
      <c r="L20" s="5">
        <v>0</v>
      </c>
      <c r="M20" s="5">
        <v>0</v>
      </c>
      <c r="N20" s="5"/>
      <c r="O20" s="5"/>
      <c r="P20" s="5">
        <v>25.68</v>
      </c>
      <c r="Q20" s="5">
        <v>0</v>
      </c>
      <c r="R20" s="5">
        <f t="shared" si="0"/>
        <v>0</v>
      </c>
      <c r="S20" s="5"/>
      <c r="T20" s="5"/>
      <c r="U20" s="5"/>
      <c r="V20" s="5"/>
      <c r="W20" s="5"/>
    </row>
    <row r="21" spans="1:23" ht="26">
      <c r="A21" s="75">
        <v>3030022</v>
      </c>
      <c r="B21" s="71" t="s">
        <v>45</v>
      </c>
      <c r="C21" s="72" t="s">
        <v>15</v>
      </c>
      <c r="D21" s="74">
        <v>5</v>
      </c>
      <c r="E21" s="88">
        <v>74.900000000000006</v>
      </c>
      <c r="F21" s="5">
        <v>2</v>
      </c>
      <c r="G21" s="5">
        <v>0</v>
      </c>
      <c r="H21" s="90">
        <v>8</v>
      </c>
      <c r="I21" s="5">
        <v>5</v>
      </c>
      <c r="J21" s="5"/>
      <c r="K21" s="5"/>
      <c r="L21" s="5">
        <v>0</v>
      </c>
      <c r="M21" s="5">
        <v>0</v>
      </c>
      <c r="N21" s="5"/>
      <c r="O21" s="5"/>
      <c r="P21" s="5">
        <v>74.900000000000006</v>
      </c>
      <c r="Q21" s="5">
        <v>0</v>
      </c>
      <c r="R21" s="5">
        <f t="shared" si="0"/>
        <v>0</v>
      </c>
      <c r="S21" s="5"/>
      <c r="T21" s="5"/>
      <c r="U21" s="5"/>
      <c r="V21" s="5"/>
      <c r="W21" s="5"/>
    </row>
    <row r="22" spans="1:23" ht="26">
      <c r="A22" s="1">
        <v>3030023</v>
      </c>
      <c r="B22" s="71" t="s">
        <v>388</v>
      </c>
      <c r="C22" s="72" t="s">
        <v>14</v>
      </c>
      <c r="D22" s="74">
        <v>50</v>
      </c>
      <c r="E22" s="88">
        <v>10.0366</v>
      </c>
      <c r="F22" s="5">
        <v>34</v>
      </c>
      <c r="G22" s="5">
        <v>24</v>
      </c>
      <c r="H22" s="90">
        <v>0</v>
      </c>
      <c r="I22" s="5">
        <v>19</v>
      </c>
      <c r="J22" s="5"/>
      <c r="K22" s="5"/>
      <c r="L22" s="5">
        <v>0</v>
      </c>
      <c r="M22" s="5">
        <v>0</v>
      </c>
      <c r="N22" s="5"/>
      <c r="O22" s="5"/>
      <c r="P22" s="5">
        <v>10.0366</v>
      </c>
      <c r="Q22" s="5">
        <v>0</v>
      </c>
      <c r="R22" s="5">
        <f t="shared" si="0"/>
        <v>0</v>
      </c>
      <c r="S22" s="5"/>
      <c r="T22" s="5"/>
      <c r="U22" s="5"/>
      <c r="V22" s="5"/>
      <c r="W22" s="5"/>
    </row>
    <row r="23" spans="1:23" ht="26">
      <c r="A23" s="75">
        <v>3030024</v>
      </c>
      <c r="B23" s="71" t="s">
        <v>46</v>
      </c>
      <c r="C23" s="72" t="s">
        <v>15</v>
      </c>
      <c r="D23" s="74">
        <v>5</v>
      </c>
      <c r="E23" s="88">
        <v>90.95</v>
      </c>
      <c r="F23" s="5">
        <v>75</v>
      </c>
      <c r="G23" s="5">
        <v>0</v>
      </c>
      <c r="H23" s="90">
        <v>0</v>
      </c>
      <c r="I23" s="5">
        <v>5</v>
      </c>
      <c r="J23" s="5"/>
      <c r="K23" s="5"/>
      <c r="L23" s="5">
        <v>0</v>
      </c>
      <c r="M23" s="5">
        <v>0</v>
      </c>
      <c r="N23" s="5"/>
      <c r="O23" s="5"/>
      <c r="P23" s="5">
        <v>90.95</v>
      </c>
      <c r="Q23" s="5">
        <v>0</v>
      </c>
      <c r="R23" s="5">
        <f t="shared" si="0"/>
        <v>0</v>
      </c>
      <c r="S23" s="5"/>
      <c r="T23" s="5"/>
      <c r="U23" s="5"/>
      <c r="V23" s="5"/>
      <c r="W23" s="5"/>
    </row>
    <row r="24" spans="1:23" ht="26">
      <c r="A24" s="1">
        <v>3030025</v>
      </c>
      <c r="B24" s="71" t="s">
        <v>389</v>
      </c>
      <c r="C24" s="72" t="s">
        <v>14</v>
      </c>
      <c r="D24" s="74">
        <v>82</v>
      </c>
      <c r="E24" s="88">
        <v>4.2050999999999998</v>
      </c>
      <c r="F24" s="5">
        <v>8</v>
      </c>
      <c r="G24" s="5">
        <v>0</v>
      </c>
      <c r="H24" s="90">
        <v>22</v>
      </c>
      <c r="I24" s="5">
        <v>110</v>
      </c>
      <c r="J24" s="5"/>
      <c r="K24" s="5"/>
      <c r="L24" s="5">
        <v>0</v>
      </c>
      <c r="M24" s="5">
        <v>100</v>
      </c>
      <c r="N24" s="5"/>
      <c r="O24" s="5"/>
      <c r="P24" s="5">
        <v>4.2050999999999998</v>
      </c>
      <c r="Q24" s="5">
        <v>0</v>
      </c>
      <c r="R24" s="5">
        <f t="shared" si="0"/>
        <v>420.51</v>
      </c>
      <c r="S24" s="5"/>
      <c r="T24" s="5"/>
      <c r="U24" s="5"/>
      <c r="V24" s="5"/>
      <c r="W24" s="5"/>
    </row>
    <row r="25" spans="1:23" ht="26">
      <c r="A25" s="75">
        <v>3030026</v>
      </c>
      <c r="B25" s="71" t="s">
        <v>47</v>
      </c>
      <c r="C25" s="72" t="s">
        <v>15</v>
      </c>
      <c r="D25" s="74"/>
      <c r="E25" s="88">
        <v>107</v>
      </c>
      <c r="F25" s="5">
        <v>0</v>
      </c>
      <c r="G25" s="5">
        <v>0</v>
      </c>
      <c r="H25" s="90">
        <v>0</v>
      </c>
      <c r="I25" s="5">
        <v>0</v>
      </c>
      <c r="J25" s="5"/>
      <c r="K25" s="5"/>
      <c r="L25" s="5">
        <v>0</v>
      </c>
      <c r="M25" s="5">
        <v>0</v>
      </c>
      <c r="N25" s="5"/>
      <c r="O25" s="5"/>
      <c r="P25" s="5">
        <v>107</v>
      </c>
      <c r="Q25" s="5">
        <v>0</v>
      </c>
      <c r="R25" s="5">
        <f t="shared" si="0"/>
        <v>0</v>
      </c>
      <c r="S25" s="5"/>
      <c r="T25" s="5"/>
      <c r="U25" s="5"/>
      <c r="V25" s="5"/>
      <c r="W25" s="5"/>
    </row>
    <row r="26" spans="1:23" ht="26">
      <c r="A26" s="75">
        <v>3030026</v>
      </c>
      <c r="B26" s="71" t="s">
        <v>47</v>
      </c>
      <c r="C26" s="72" t="s">
        <v>15</v>
      </c>
      <c r="D26" s="74">
        <v>6</v>
      </c>
      <c r="E26" s="88">
        <v>117.7</v>
      </c>
      <c r="F26" s="5">
        <v>20</v>
      </c>
      <c r="G26" s="5">
        <v>0</v>
      </c>
      <c r="H26" s="90">
        <v>18</v>
      </c>
      <c r="I26" s="5">
        <v>6</v>
      </c>
      <c r="J26" s="5"/>
      <c r="K26" s="5"/>
      <c r="L26" s="5">
        <v>0</v>
      </c>
      <c r="M26" s="5">
        <v>0</v>
      </c>
      <c r="N26" s="5"/>
      <c r="O26" s="5"/>
      <c r="P26" s="5">
        <v>117.7</v>
      </c>
      <c r="Q26" s="5">
        <v>0</v>
      </c>
      <c r="R26" s="5">
        <f t="shared" si="0"/>
        <v>0</v>
      </c>
      <c r="S26" s="5"/>
      <c r="T26" s="5"/>
      <c r="U26" s="5"/>
      <c r="V26" s="5"/>
      <c r="W26" s="5"/>
    </row>
    <row r="27" spans="1:23" ht="26">
      <c r="A27" s="75">
        <v>3030028</v>
      </c>
      <c r="B27" s="71" t="s">
        <v>48</v>
      </c>
      <c r="C27" s="72" t="s">
        <v>15</v>
      </c>
      <c r="D27" s="74">
        <v>6</v>
      </c>
      <c r="E27" s="88">
        <v>0</v>
      </c>
      <c r="F27" s="5">
        <v>0</v>
      </c>
      <c r="G27" s="5">
        <v>0</v>
      </c>
      <c r="H27" s="90">
        <v>0</v>
      </c>
      <c r="I27" s="5">
        <v>6</v>
      </c>
      <c r="J27" s="5"/>
      <c r="K27" s="5"/>
      <c r="L27" s="5">
        <v>0</v>
      </c>
      <c r="M27" s="5">
        <v>0</v>
      </c>
      <c r="N27" s="5"/>
      <c r="O27" s="5"/>
      <c r="P27" s="5">
        <v>0</v>
      </c>
      <c r="Q27" s="5">
        <v>0</v>
      </c>
      <c r="R27" s="5">
        <f t="shared" si="0"/>
        <v>0</v>
      </c>
      <c r="S27" s="5"/>
      <c r="T27" s="5"/>
      <c r="U27" s="5"/>
      <c r="V27" s="5"/>
      <c r="W27" s="5"/>
    </row>
    <row r="28" spans="1:23" ht="26">
      <c r="A28" s="75">
        <v>3030030</v>
      </c>
      <c r="B28" s="71" t="s">
        <v>49</v>
      </c>
      <c r="C28" s="72" t="s">
        <v>15</v>
      </c>
      <c r="D28" s="74">
        <v>3</v>
      </c>
      <c r="E28" s="88">
        <v>139.1</v>
      </c>
      <c r="F28" s="5">
        <v>0</v>
      </c>
      <c r="G28" s="5">
        <v>10</v>
      </c>
      <c r="H28" s="90">
        <v>4</v>
      </c>
      <c r="I28" s="5">
        <v>3</v>
      </c>
      <c r="J28" s="5"/>
      <c r="K28" s="5"/>
      <c r="L28" s="5">
        <v>0</v>
      </c>
      <c r="M28" s="5">
        <v>0</v>
      </c>
      <c r="N28" s="5"/>
      <c r="O28" s="5"/>
      <c r="P28" s="5">
        <v>139.1</v>
      </c>
      <c r="Q28" s="5">
        <v>0</v>
      </c>
      <c r="R28" s="5">
        <f t="shared" si="0"/>
        <v>0</v>
      </c>
      <c r="S28" s="5"/>
      <c r="T28" s="5"/>
      <c r="U28" s="5"/>
      <c r="V28" s="5"/>
      <c r="W28" s="5"/>
    </row>
    <row r="29" spans="1:23" ht="26">
      <c r="A29" s="1">
        <v>3030031</v>
      </c>
      <c r="B29" s="71" t="s">
        <v>390</v>
      </c>
      <c r="C29" s="72" t="s">
        <v>14</v>
      </c>
      <c r="D29" s="74">
        <v>4</v>
      </c>
      <c r="E29" s="88">
        <v>8.35</v>
      </c>
      <c r="F29" s="5">
        <v>0</v>
      </c>
      <c r="G29" s="5">
        <v>0</v>
      </c>
      <c r="H29" s="90">
        <v>0</v>
      </c>
      <c r="I29" s="5">
        <v>4</v>
      </c>
      <c r="J29" s="5"/>
      <c r="K29" s="5"/>
      <c r="L29" s="5">
        <v>0</v>
      </c>
      <c r="M29" s="5">
        <v>0</v>
      </c>
      <c r="N29" s="5"/>
      <c r="O29" s="5"/>
      <c r="P29" s="5">
        <v>8.35</v>
      </c>
      <c r="Q29" s="5">
        <v>0</v>
      </c>
      <c r="R29" s="5">
        <f t="shared" si="0"/>
        <v>0</v>
      </c>
      <c r="S29" s="5"/>
      <c r="T29" s="5"/>
      <c r="U29" s="5"/>
      <c r="V29" s="5"/>
      <c r="W29" s="5"/>
    </row>
    <row r="30" spans="1:23" ht="26">
      <c r="A30" s="75">
        <v>3030032</v>
      </c>
      <c r="B30" s="71" t="s">
        <v>50</v>
      </c>
      <c r="C30" s="72" t="s">
        <v>15</v>
      </c>
      <c r="D30" s="74">
        <v>3</v>
      </c>
      <c r="E30" s="88">
        <v>149.80000000000001</v>
      </c>
      <c r="F30" s="5">
        <v>0</v>
      </c>
      <c r="G30" s="5">
        <v>0</v>
      </c>
      <c r="H30" s="90">
        <v>0</v>
      </c>
      <c r="I30" s="5">
        <v>3</v>
      </c>
      <c r="J30" s="5"/>
      <c r="K30" s="5"/>
      <c r="L30" s="5">
        <v>0</v>
      </c>
      <c r="M30" s="5">
        <v>0</v>
      </c>
      <c r="N30" s="5"/>
      <c r="O30" s="5"/>
      <c r="P30" s="5">
        <v>149.80000000000001</v>
      </c>
      <c r="Q30" s="5">
        <v>0</v>
      </c>
      <c r="R30" s="5">
        <f t="shared" si="0"/>
        <v>0</v>
      </c>
      <c r="S30" s="5"/>
      <c r="T30" s="5"/>
      <c r="U30" s="5"/>
      <c r="V30" s="5"/>
      <c r="W30" s="5"/>
    </row>
    <row r="31" spans="1:23" ht="26">
      <c r="A31" s="75">
        <v>3030034</v>
      </c>
      <c r="B31" s="71" t="s">
        <v>51</v>
      </c>
      <c r="C31" s="72" t="s">
        <v>15</v>
      </c>
      <c r="D31" s="74">
        <v>9</v>
      </c>
      <c r="E31" s="88">
        <v>171.2</v>
      </c>
      <c r="F31" s="5">
        <v>0</v>
      </c>
      <c r="G31" s="5">
        <v>0</v>
      </c>
      <c r="H31" s="90">
        <v>0</v>
      </c>
      <c r="I31" s="5">
        <v>9</v>
      </c>
      <c r="J31" s="5"/>
      <c r="K31" s="5"/>
      <c r="L31" s="5">
        <v>0</v>
      </c>
      <c r="M31" s="5">
        <v>0</v>
      </c>
      <c r="N31" s="5"/>
      <c r="O31" s="5"/>
      <c r="P31" s="5">
        <v>171.2</v>
      </c>
      <c r="Q31" s="5">
        <v>0</v>
      </c>
      <c r="R31" s="5">
        <f t="shared" si="0"/>
        <v>0</v>
      </c>
      <c r="S31" s="5"/>
      <c r="T31" s="5"/>
      <c r="U31" s="5"/>
      <c r="V31" s="5"/>
      <c r="W31" s="5"/>
    </row>
    <row r="32" spans="1:23" ht="26">
      <c r="A32" s="75">
        <v>3030036</v>
      </c>
      <c r="B32" s="71" t="s">
        <v>52</v>
      </c>
      <c r="C32" s="72" t="s">
        <v>18</v>
      </c>
      <c r="D32" s="74">
        <v>73</v>
      </c>
      <c r="E32" s="88">
        <v>299.60000000000002</v>
      </c>
      <c r="F32" s="5">
        <v>3</v>
      </c>
      <c r="G32" s="5">
        <v>0</v>
      </c>
      <c r="H32" s="90">
        <v>0</v>
      </c>
      <c r="I32" s="5">
        <v>62</v>
      </c>
      <c r="J32" s="5"/>
      <c r="K32" s="5"/>
      <c r="L32" s="5">
        <v>0</v>
      </c>
      <c r="M32" s="5">
        <v>0</v>
      </c>
      <c r="N32" s="5"/>
      <c r="O32" s="5"/>
      <c r="P32" s="5">
        <v>299.60000000000002</v>
      </c>
      <c r="Q32" s="5">
        <v>0</v>
      </c>
      <c r="R32" s="5">
        <f t="shared" si="0"/>
        <v>0</v>
      </c>
      <c r="S32" s="5"/>
      <c r="T32" s="5"/>
      <c r="U32" s="5"/>
      <c r="V32" s="5"/>
      <c r="W32" s="5"/>
    </row>
    <row r="33" spans="1:23" ht="26">
      <c r="A33" s="1">
        <v>3030037</v>
      </c>
      <c r="B33" s="71" t="s">
        <v>391</v>
      </c>
      <c r="C33" s="72" t="s">
        <v>14</v>
      </c>
      <c r="D33" s="74">
        <v>11</v>
      </c>
      <c r="E33" s="88">
        <v>11.128</v>
      </c>
      <c r="F33" s="5">
        <v>0</v>
      </c>
      <c r="G33" s="5">
        <v>0</v>
      </c>
      <c r="H33" s="90">
        <v>0</v>
      </c>
      <c r="I33" s="5">
        <v>21</v>
      </c>
      <c r="J33" s="5"/>
      <c r="K33" s="5"/>
      <c r="L33" s="5">
        <v>0</v>
      </c>
      <c r="M33" s="5">
        <v>15</v>
      </c>
      <c r="N33" s="5"/>
      <c r="O33" s="5"/>
      <c r="P33" s="5">
        <v>11.128</v>
      </c>
      <c r="Q33" s="5">
        <v>0</v>
      </c>
      <c r="R33" s="5">
        <f t="shared" si="0"/>
        <v>166.92000000000002</v>
      </c>
      <c r="S33" s="5"/>
      <c r="T33" s="5"/>
      <c r="U33" s="5"/>
      <c r="V33" s="5"/>
      <c r="W33" s="5"/>
    </row>
    <row r="34" spans="1:23" ht="26">
      <c r="A34" s="75">
        <v>3030038</v>
      </c>
      <c r="B34" s="71" t="s">
        <v>53</v>
      </c>
      <c r="C34" s="72" t="s">
        <v>18</v>
      </c>
      <c r="D34" s="74">
        <v>40</v>
      </c>
      <c r="E34" s="88">
        <v>299.60000000000002</v>
      </c>
      <c r="F34" s="5">
        <v>9</v>
      </c>
      <c r="G34" s="5">
        <v>0</v>
      </c>
      <c r="H34" s="90">
        <v>0</v>
      </c>
      <c r="I34" s="5">
        <v>10</v>
      </c>
      <c r="J34" s="5"/>
      <c r="K34" s="5"/>
      <c r="L34" s="5">
        <v>0</v>
      </c>
      <c r="M34" s="5">
        <v>0</v>
      </c>
      <c r="N34" s="5"/>
      <c r="O34" s="5"/>
      <c r="P34" s="5">
        <v>299.60000000000002</v>
      </c>
      <c r="Q34" s="5">
        <v>0</v>
      </c>
      <c r="R34" s="5">
        <f t="shared" si="0"/>
        <v>0</v>
      </c>
      <c r="S34" s="5"/>
      <c r="T34" s="5"/>
      <c r="U34" s="5"/>
      <c r="V34" s="5"/>
      <c r="W34" s="5"/>
    </row>
    <row r="35" spans="1:23" ht="26">
      <c r="A35" s="75">
        <v>3030039</v>
      </c>
      <c r="B35" s="71" t="s">
        <v>54</v>
      </c>
      <c r="C35" s="72" t="s">
        <v>18</v>
      </c>
      <c r="D35" s="74">
        <v>41</v>
      </c>
      <c r="E35" s="88">
        <v>144.44999999999999</v>
      </c>
      <c r="F35" s="5">
        <v>15</v>
      </c>
      <c r="G35" s="5">
        <v>0</v>
      </c>
      <c r="H35" s="90">
        <v>26</v>
      </c>
      <c r="I35" s="5">
        <v>15</v>
      </c>
      <c r="J35" s="5"/>
      <c r="K35" s="5"/>
      <c r="L35" s="5">
        <v>0</v>
      </c>
      <c r="M35" s="5">
        <v>0</v>
      </c>
      <c r="N35" s="5"/>
      <c r="O35" s="5"/>
      <c r="P35" s="5">
        <v>144.44999999999999</v>
      </c>
      <c r="Q35" s="5">
        <v>0</v>
      </c>
      <c r="R35" s="5">
        <f t="shared" si="0"/>
        <v>0</v>
      </c>
      <c r="S35" s="5"/>
      <c r="T35" s="5"/>
      <c r="U35" s="5"/>
      <c r="V35" s="5"/>
      <c r="W35" s="5"/>
    </row>
    <row r="36" spans="1:23" ht="26">
      <c r="A36" s="75">
        <v>3030040</v>
      </c>
      <c r="B36" s="71" t="s">
        <v>55</v>
      </c>
      <c r="C36" s="72" t="s">
        <v>18</v>
      </c>
      <c r="D36" s="74">
        <v>15</v>
      </c>
      <c r="E36" s="89">
        <v>139.1</v>
      </c>
      <c r="F36" s="5">
        <v>4</v>
      </c>
      <c r="G36" s="5">
        <v>3</v>
      </c>
      <c r="H36" s="90">
        <v>0</v>
      </c>
      <c r="I36" s="5">
        <v>0</v>
      </c>
      <c r="J36" s="5"/>
      <c r="K36" s="5"/>
      <c r="L36" s="5">
        <v>0</v>
      </c>
      <c r="M36" s="5">
        <v>0</v>
      </c>
      <c r="N36" s="5"/>
      <c r="O36" s="5"/>
      <c r="P36" s="5">
        <v>139.1</v>
      </c>
      <c r="Q36" s="5">
        <v>0</v>
      </c>
      <c r="R36" s="5">
        <f t="shared" si="0"/>
        <v>0</v>
      </c>
      <c r="S36" s="5"/>
      <c r="T36" s="5"/>
      <c r="U36" s="5"/>
      <c r="V36" s="5"/>
      <c r="W36" s="5"/>
    </row>
    <row r="37" spans="1:23" ht="26">
      <c r="A37" s="1">
        <v>3030041</v>
      </c>
      <c r="B37" s="71" t="s">
        <v>56</v>
      </c>
      <c r="C37" s="72" t="s">
        <v>14</v>
      </c>
      <c r="D37" s="74">
        <v>9</v>
      </c>
      <c r="E37" s="88">
        <v>4.5475000000000003</v>
      </c>
      <c r="F37" s="5">
        <v>31</v>
      </c>
      <c r="G37" s="5">
        <v>4</v>
      </c>
      <c r="H37" s="90">
        <v>12</v>
      </c>
      <c r="I37" s="5">
        <v>9</v>
      </c>
      <c r="J37" s="5"/>
      <c r="K37" s="5"/>
      <c r="L37" s="5">
        <v>0</v>
      </c>
      <c r="M37" s="5">
        <v>0</v>
      </c>
      <c r="N37" s="5"/>
      <c r="O37" s="5"/>
      <c r="P37" s="5">
        <v>4.5475000000000003</v>
      </c>
      <c r="Q37" s="5">
        <v>0</v>
      </c>
      <c r="R37" s="5">
        <f t="shared" si="0"/>
        <v>0</v>
      </c>
      <c r="S37" s="5"/>
      <c r="T37" s="5"/>
      <c r="U37" s="5"/>
      <c r="V37" s="5"/>
      <c r="W37" s="5"/>
    </row>
    <row r="38" spans="1:23" ht="26">
      <c r="A38" s="1">
        <v>3030042</v>
      </c>
      <c r="B38" s="71" t="s">
        <v>392</v>
      </c>
      <c r="C38" s="72" t="s">
        <v>19</v>
      </c>
      <c r="D38" s="74">
        <v>1</v>
      </c>
      <c r="E38" s="88">
        <v>350.05</v>
      </c>
      <c r="F38" s="5">
        <v>1</v>
      </c>
      <c r="G38" s="5">
        <v>11</v>
      </c>
      <c r="H38" s="90">
        <v>0</v>
      </c>
      <c r="I38" s="5">
        <v>1</v>
      </c>
      <c r="J38" s="5"/>
      <c r="K38" s="5"/>
      <c r="L38" s="5">
        <v>0</v>
      </c>
      <c r="M38" s="5">
        <v>0</v>
      </c>
      <c r="N38" s="5"/>
      <c r="O38" s="5"/>
      <c r="P38" s="5">
        <v>350.05</v>
      </c>
      <c r="Q38" s="5">
        <v>0</v>
      </c>
      <c r="R38" s="5">
        <f t="shared" si="0"/>
        <v>0</v>
      </c>
      <c r="S38" s="5"/>
      <c r="T38" s="5"/>
      <c r="U38" s="5"/>
      <c r="V38" s="5"/>
      <c r="W38" s="5"/>
    </row>
    <row r="39" spans="1:23" ht="26">
      <c r="A39" s="1">
        <v>3030042</v>
      </c>
      <c r="B39" s="71" t="s">
        <v>392</v>
      </c>
      <c r="C39" s="72" t="s">
        <v>19</v>
      </c>
      <c r="D39" s="74">
        <v>20</v>
      </c>
      <c r="E39" s="88">
        <v>350.00020999999998</v>
      </c>
      <c r="F39" s="5">
        <v>0</v>
      </c>
      <c r="G39" s="5">
        <v>10</v>
      </c>
      <c r="H39" s="90">
        <v>36</v>
      </c>
      <c r="I39" s="5">
        <v>20</v>
      </c>
      <c r="J39" s="5"/>
      <c r="K39" s="5"/>
      <c r="L39" s="5">
        <v>0</v>
      </c>
      <c r="M39" s="5">
        <v>0</v>
      </c>
      <c r="N39" s="5"/>
      <c r="O39" s="5"/>
      <c r="P39" s="5">
        <v>350.00020999999998</v>
      </c>
      <c r="Q39" s="5">
        <v>0</v>
      </c>
      <c r="R39" s="5">
        <f t="shared" si="0"/>
        <v>0</v>
      </c>
      <c r="S39" s="5"/>
      <c r="T39" s="5"/>
      <c r="U39" s="5"/>
      <c r="V39" s="5"/>
      <c r="W39" s="5"/>
    </row>
    <row r="40" spans="1:23" ht="26">
      <c r="A40" s="1">
        <v>3030043</v>
      </c>
      <c r="B40" s="71" t="s">
        <v>57</v>
      </c>
      <c r="C40" s="72" t="s">
        <v>19</v>
      </c>
      <c r="D40" s="74">
        <v>16</v>
      </c>
      <c r="E40" s="88">
        <v>350.00020999999998</v>
      </c>
      <c r="F40" s="5">
        <v>0</v>
      </c>
      <c r="G40" s="5">
        <v>0</v>
      </c>
      <c r="H40" s="90">
        <v>65</v>
      </c>
      <c r="I40" s="5">
        <v>16</v>
      </c>
      <c r="J40" s="5"/>
      <c r="K40" s="5"/>
      <c r="L40" s="5">
        <v>0</v>
      </c>
      <c r="M40" s="5">
        <v>0</v>
      </c>
      <c r="N40" s="5"/>
      <c r="O40" s="5"/>
      <c r="P40" s="5">
        <v>350.00020999999998</v>
      </c>
      <c r="Q40" s="5">
        <v>0</v>
      </c>
      <c r="R40" s="5">
        <f t="shared" si="0"/>
        <v>0</v>
      </c>
      <c r="S40" s="5"/>
      <c r="T40" s="5"/>
      <c r="U40" s="5"/>
      <c r="V40" s="5"/>
      <c r="W40" s="5"/>
    </row>
    <row r="41" spans="1:23" ht="26">
      <c r="A41" s="75">
        <v>3030050</v>
      </c>
      <c r="B41" s="71" t="s">
        <v>58</v>
      </c>
      <c r="C41" s="72" t="s">
        <v>14</v>
      </c>
      <c r="D41" s="74">
        <v>16</v>
      </c>
      <c r="E41" s="88">
        <v>69.55</v>
      </c>
      <c r="F41" s="5">
        <v>0</v>
      </c>
      <c r="G41" s="5">
        <v>0</v>
      </c>
      <c r="H41" s="90">
        <v>15</v>
      </c>
      <c r="I41" s="5">
        <v>16</v>
      </c>
      <c r="J41" s="5"/>
      <c r="K41" s="5"/>
      <c r="L41" s="5">
        <v>0</v>
      </c>
      <c r="M41" s="5">
        <v>0</v>
      </c>
      <c r="N41" s="5"/>
      <c r="O41" s="5"/>
      <c r="P41" s="5">
        <v>69.55</v>
      </c>
      <c r="Q41" s="5">
        <v>0</v>
      </c>
      <c r="R41" s="5">
        <f t="shared" si="0"/>
        <v>0</v>
      </c>
      <c r="S41" s="5"/>
      <c r="T41" s="5"/>
      <c r="U41" s="5"/>
      <c r="V41" s="5"/>
      <c r="W41" s="5"/>
    </row>
    <row r="42" spans="1:23" ht="26">
      <c r="A42" s="1">
        <v>3030053</v>
      </c>
      <c r="B42" s="71" t="s">
        <v>59</v>
      </c>
      <c r="C42" s="72" t="s">
        <v>25</v>
      </c>
      <c r="D42" s="74">
        <v>500</v>
      </c>
      <c r="E42" s="88">
        <v>550</v>
      </c>
      <c r="F42" s="5">
        <v>20</v>
      </c>
      <c r="G42" s="5">
        <v>0</v>
      </c>
      <c r="H42" s="90">
        <v>0</v>
      </c>
      <c r="I42" s="5">
        <v>261</v>
      </c>
      <c r="J42" s="5"/>
      <c r="K42" s="5"/>
      <c r="L42" s="5">
        <v>0</v>
      </c>
      <c r="M42" s="5">
        <v>0</v>
      </c>
      <c r="N42" s="5"/>
      <c r="O42" s="5"/>
      <c r="P42" s="5">
        <v>550</v>
      </c>
      <c r="Q42" s="5">
        <v>0</v>
      </c>
      <c r="R42" s="5">
        <f t="shared" si="0"/>
        <v>0</v>
      </c>
      <c r="S42" s="5"/>
      <c r="T42" s="5"/>
      <c r="U42" s="5"/>
      <c r="V42" s="5"/>
      <c r="W42" s="5"/>
    </row>
    <row r="43" spans="1:23" ht="26">
      <c r="A43" s="1">
        <v>3030055</v>
      </c>
      <c r="B43" s="71" t="s">
        <v>393</v>
      </c>
      <c r="C43" s="72" t="s">
        <v>25</v>
      </c>
      <c r="D43" s="74">
        <v>66</v>
      </c>
      <c r="E43" s="88">
        <v>278.2</v>
      </c>
      <c r="F43" s="5">
        <v>14</v>
      </c>
      <c r="G43" s="5">
        <v>0</v>
      </c>
      <c r="H43" s="90">
        <v>7</v>
      </c>
      <c r="I43" s="5">
        <v>0</v>
      </c>
      <c r="J43" s="5"/>
      <c r="K43" s="5"/>
      <c r="L43" s="5">
        <v>0</v>
      </c>
      <c r="M43" s="5">
        <v>0</v>
      </c>
      <c r="N43" s="5"/>
      <c r="O43" s="5"/>
      <c r="P43" s="5">
        <v>278.2</v>
      </c>
      <c r="Q43" s="5">
        <v>0</v>
      </c>
      <c r="R43" s="5">
        <f t="shared" si="0"/>
        <v>0</v>
      </c>
      <c r="S43" s="5"/>
      <c r="T43" s="5"/>
      <c r="U43" s="5"/>
      <c r="V43" s="5"/>
      <c r="W43" s="5"/>
    </row>
    <row r="44" spans="1:23" ht="26">
      <c r="A44" s="1">
        <v>3030057</v>
      </c>
      <c r="B44" s="71" t="s">
        <v>394</v>
      </c>
      <c r="C44" s="72" t="s">
        <v>18</v>
      </c>
      <c r="D44" s="74">
        <v>135</v>
      </c>
      <c r="E44" s="88">
        <v>750</v>
      </c>
      <c r="F44" s="5">
        <v>40</v>
      </c>
      <c r="G44" s="5">
        <v>0</v>
      </c>
      <c r="H44" s="90">
        <v>47</v>
      </c>
      <c r="I44" s="5">
        <v>52</v>
      </c>
      <c r="J44" s="5"/>
      <c r="K44" s="5"/>
      <c r="L44" s="5">
        <v>0</v>
      </c>
      <c r="M44" s="5">
        <v>0</v>
      </c>
      <c r="N44" s="5"/>
      <c r="O44" s="5"/>
      <c r="P44" s="5">
        <v>750</v>
      </c>
      <c r="Q44" s="5">
        <v>0</v>
      </c>
      <c r="R44" s="5">
        <f t="shared" si="0"/>
        <v>0</v>
      </c>
      <c r="S44" s="5"/>
      <c r="T44" s="5"/>
      <c r="U44" s="5"/>
      <c r="V44" s="5"/>
      <c r="W44" s="5"/>
    </row>
    <row r="45" spans="1:23" ht="26">
      <c r="A45" s="1">
        <v>3030058</v>
      </c>
      <c r="B45" s="71" t="s">
        <v>395</v>
      </c>
      <c r="C45" s="72" t="s">
        <v>32</v>
      </c>
      <c r="D45" s="74">
        <v>4</v>
      </c>
      <c r="E45" s="88">
        <v>214</v>
      </c>
      <c r="F45" s="5">
        <v>29</v>
      </c>
      <c r="G45" s="5">
        <v>2</v>
      </c>
      <c r="H45" s="90">
        <v>12</v>
      </c>
      <c r="I45" s="5">
        <v>23</v>
      </c>
      <c r="J45" s="5"/>
      <c r="K45" s="5"/>
      <c r="L45" s="5">
        <v>20</v>
      </c>
      <c r="M45" s="5">
        <v>20</v>
      </c>
      <c r="N45" s="5"/>
      <c r="O45" s="5"/>
      <c r="P45" s="5">
        <v>214</v>
      </c>
      <c r="Q45" s="5">
        <v>20</v>
      </c>
      <c r="R45" s="5">
        <f t="shared" si="0"/>
        <v>4280</v>
      </c>
      <c r="S45" s="5"/>
      <c r="T45" s="5"/>
      <c r="U45" s="5"/>
      <c r="V45" s="5"/>
      <c r="W45" s="5"/>
    </row>
    <row r="46" spans="1:23" ht="26">
      <c r="A46" s="1">
        <v>3030061</v>
      </c>
      <c r="B46" s="71" t="s">
        <v>60</v>
      </c>
      <c r="C46" s="72" t="s">
        <v>14</v>
      </c>
      <c r="D46" s="76">
        <v>53</v>
      </c>
      <c r="E46" s="88">
        <v>25.0059</v>
      </c>
      <c r="F46" s="5">
        <v>83</v>
      </c>
      <c r="G46" s="5">
        <v>48</v>
      </c>
      <c r="H46" s="90">
        <v>30</v>
      </c>
      <c r="I46" s="5">
        <v>53</v>
      </c>
      <c r="J46" s="5"/>
      <c r="K46" s="5"/>
      <c r="L46" s="5">
        <v>0</v>
      </c>
      <c r="M46" s="5">
        <v>0</v>
      </c>
      <c r="N46" s="5"/>
      <c r="O46" s="5"/>
      <c r="P46" s="5">
        <v>25.0059</v>
      </c>
      <c r="Q46" s="5">
        <v>0</v>
      </c>
      <c r="R46" s="5">
        <f t="shared" si="0"/>
        <v>0</v>
      </c>
      <c r="S46" s="5"/>
      <c r="T46" s="5"/>
      <c r="U46" s="5"/>
      <c r="V46" s="5"/>
      <c r="W46" s="5"/>
    </row>
    <row r="47" spans="1:23" ht="26">
      <c r="A47" s="1">
        <v>3030073</v>
      </c>
      <c r="B47" s="71" t="s">
        <v>396</v>
      </c>
      <c r="C47" s="72" t="s">
        <v>14</v>
      </c>
      <c r="D47" s="77"/>
      <c r="E47" s="89">
        <v>8.0571000000000002</v>
      </c>
      <c r="F47" s="5">
        <v>25</v>
      </c>
      <c r="G47" s="5">
        <v>29</v>
      </c>
      <c r="H47" s="90">
        <v>0</v>
      </c>
      <c r="I47" s="5">
        <v>0</v>
      </c>
      <c r="J47" s="5"/>
      <c r="K47" s="5"/>
      <c r="L47" s="5">
        <v>0</v>
      </c>
      <c r="M47" s="5">
        <v>0</v>
      </c>
      <c r="N47" s="5"/>
      <c r="O47" s="5"/>
      <c r="P47" s="5">
        <v>8.0571000000000002</v>
      </c>
      <c r="Q47" s="5">
        <v>0</v>
      </c>
      <c r="R47" s="5">
        <f t="shared" si="0"/>
        <v>0</v>
      </c>
      <c r="S47" s="5"/>
      <c r="T47" s="5"/>
      <c r="U47" s="5"/>
      <c r="V47" s="5"/>
      <c r="W47" s="5"/>
    </row>
    <row r="48" spans="1:23" ht="26">
      <c r="A48" s="1">
        <v>3030075</v>
      </c>
      <c r="B48" s="71" t="s">
        <v>397</v>
      </c>
      <c r="C48" s="72" t="s">
        <v>14</v>
      </c>
      <c r="D48" s="77"/>
      <c r="E48" s="89">
        <v>8.0571000000000002</v>
      </c>
      <c r="F48" s="5">
        <v>77</v>
      </c>
      <c r="G48" s="5">
        <v>4</v>
      </c>
      <c r="H48" s="90">
        <v>0</v>
      </c>
      <c r="I48" s="5">
        <v>0</v>
      </c>
      <c r="J48" s="5"/>
      <c r="K48" s="5"/>
      <c r="L48" s="5">
        <v>0</v>
      </c>
      <c r="M48" s="5">
        <v>0</v>
      </c>
      <c r="N48" s="5"/>
      <c r="O48" s="5"/>
      <c r="P48" s="5">
        <v>8.0571000000000002</v>
      </c>
      <c r="Q48" s="5">
        <v>0</v>
      </c>
      <c r="R48" s="5">
        <f t="shared" si="0"/>
        <v>0</v>
      </c>
      <c r="S48" s="5"/>
      <c r="T48" s="5"/>
      <c r="U48" s="5"/>
      <c r="V48" s="5"/>
      <c r="W48" s="5"/>
    </row>
    <row r="49" spans="1:23" ht="26">
      <c r="A49" s="1">
        <v>3030077</v>
      </c>
      <c r="B49" s="71" t="s">
        <v>398</v>
      </c>
      <c r="C49" s="72" t="s">
        <v>14</v>
      </c>
      <c r="D49" s="74">
        <v>10</v>
      </c>
      <c r="E49" s="88">
        <v>7.49</v>
      </c>
      <c r="F49" s="5">
        <v>4</v>
      </c>
      <c r="G49" s="5">
        <v>0</v>
      </c>
      <c r="H49" s="90">
        <v>0</v>
      </c>
      <c r="I49" s="5">
        <v>60</v>
      </c>
      <c r="J49" s="5"/>
      <c r="K49" s="5"/>
      <c r="L49" s="5">
        <v>0</v>
      </c>
      <c r="M49" s="5">
        <v>50</v>
      </c>
      <c r="N49" s="5"/>
      <c r="O49" s="5"/>
      <c r="P49" s="5">
        <v>7.49</v>
      </c>
      <c r="Q49" s="5">
        <v>0</v>
      </c>
      <c r="R49" s="5">
        <f t="shared" si="0"/>
        <v>374.5</v>
      </c>
      <c r="S49" s="5"/>
      <c r="T49" s="5"/>
      <c r="U49" s="5"/>
      <c r="V49" s="5"/>
      <c r="W49" s="5"/>
    </row>
    <row r="50" spans="1:23" ht="26">
      <c r="A50" s="1">
        <v>3030081</v>
      </c>
      <c r="B50" s="71" t="s">
        <v>399</v>
      </c>
      <c r="C50" s="72" t="s">
        <v>14</v>
      </c>
      <c r="D50" s="77"/>
      <c r="E50" s="89">
        <v>7.3936999999999999</v>
      </c>
      <c r="F50" s="5">
        <v>16</v>
      </c>
      <c r="G50" s="5">
        <v>0</v>
      </c>
      <c r="H50" s="90">
        <v>0</v>
      </c>
      <c r="I50" s="5">
        <v>0</v>
      </c>
      <c r="J50" s="5"/>
      <c r="K50" s="5"/>
      <c r="L50" s="5">
        <v>0</v>
      </c>
      <c r="M50" s="5">
        <v>0</v>
      </c>
      <c r="N50" s="5"/>
      <c r="O50" s="5"/>
      <c r="P50" s="5">
        <v>7.3936999999999999</v>
      </c>
      <c r="Q50" s="5">
        <v>0</v>
      </c>
      <c r="R50" s="5">
        <f t="shared" si="0"/>
        <v>0</v>
      </c>
      <c r="S50" s="5"/>
      <c r="T50" s="5"/>
      <c r="U50" s="5"/>
      <c r="V50" s="5"/>
      <c r="W50" s="5"/>
    </row>
    <row r="51" spans="1:23" ht="26">
      <c r="A51" s="1">
        <v>3030081</v>
      </c>
      <c r="B51" s="71" t="s">
        <v>399</v>
      </c>
      <c r="C51" s="72" t="s">
        <v>14</v>
      </c>
      <c r="D51" s="77"/>
      <c r="E51" s="89">
        <v>6.5056000000000003</v>
      </c>
      <c r="F51" s="5">
        <v>34</v>
      </c>
      <c r="G51" s="5">
        <v>0</v>
      </c>
      <c r="H51" s="90">
        <v>0</v>
      </c>
      <c r="I51" s="5">
        <v>0</v>
      </c>
      <c r="J51" s="5"/>
      <c r="K51" s="5"/>
      <c r="L51" s="5">
        <v>0</v>
      </c>
      <c r="M51" s="5">
        <v>0</v>
      </c>
      <c r="N51" s="5"/>
      <c r="O51" s="5"/>
      <c r="P51" s="5">
        <v>6.5056000000000003</v>
      </c>
      <c r="Q51" s="5">
        <v>0</v>
      </c>
      <c r="R51" s="5">
        <f t="shared" si="0"/>
        <v>0</v>
      </c>
      <c r="S51" s="5"/>
      <c r="T51" s="5"/>
      <c r="U51" s="5"/>
      <c r="V51" s="5"/>
      <c r="W51" s="5"/>
    </row>
    <row r="52" spans="1:23" ht="26">
      <c r="A52" s="1">
        <v>3030083</v>
      </c>
      <c r="B52" s="71" t="s">
        <v>400</v>
      </c>
      <c r="C52" s="72" t="s">
        <v>14</v>
      </c>
      <c r="D52" s="74">
        <v>23</v>
      </c>
      <c r="E52" s="88">
        <v>4.8150000000000004</v>
      </c>
      <c r="F52" s="5">
        <v>11</v>
      </c>
      <c r="G52" s="5">
        <v>0</v>
      </c>
      <c r="H52" s="90">
        <v>829</v>
      </c>
      <c r="I52" s="5">
        <v>71</v>
      </c>
      <c r="J52" s="5"/>
      <c r="K52" s="5"/>
      <c r="L52" s="5">
        <v>0</v>
      </c>
      <c r="M52" s="5">
        <v>50</v>
      </c>
      <c r="N52" s="5"/>
      <c r="O52" s="5"/>
      <c r="P52" s="5">
        <v>4.8150000000000004</v>
      </c>
      <c r="Q52" s="5">
        <v>0</v>
      </c>
      <c r="R52" s="5">
        <f t="shared" si="0"/>
        <v>240.75000000000003</v>
      </c>
      <c r="S52" s="5"/>
      <c r="T52" s="5"/>
      <c r="U52" s="5"/>
      <c r="V52" s="5"/>
      <c r="W52" s="5"/>
    </row>
    <row r="53" spans="1:23" ht="26">
      <c r="A53" s="1">
        <v>3030085</v>
      </c>
      <c r="B53" s="71" t="s">
        <v>401</v>
      </c>
      <c r="C53" s="72" t="s">
        <v>14</v>
      </c>
      <c r="D53" s="74">
        <v>10</v>
      </c>
      <c r="E53" s="88">
        <v>13.375</v>
      </c>
      <c r="F53" s="5">
        <v>15</v>
      </c>
      <c r="G53" s="5">
        <v>4</v>
      </c>
      <c r="H53" s="90">
        <v>1734</v>
      </c>
      <c r="I53" s="5">
        <v>53</v>
      </c>
      <c r="J53" s="5"/>
      <c r="K53" s="5"/>
      <c r="L53" s="5">
        <v>0</v>
      </c>
      <c r="M53" s="5">
        <v>50</v>
      </c>
      <c r="N53" s="5"/>
      <c r="O53" s="5"/>
      <c r="P53" s="5">
        <v>13.375</v>
      </c>
      <c r="Q53" s="5">
        <v>0</v>
      </c>
      <c r="R53" s="5">
        <f t="shared" si="0"/>
        <v>668.75</v>
      </c>
      <c r="S53" s="5"/>
      <c r="T53" s="5"/>
      <c r="U53" s="5"/>
      <c r="V53" s="5"/>
      <c r="W53" s="5"/>
    </row>
    <row r="54" spans="1:23" ht="26">
      <c r="A54" s="1">
        <v>3030097</v>
      </c>
      <c r="B54" s="71" t="s">
        <v>402</v>
      </c>
      <c r="C54" s="72" t="s">
        <v>14</v>
      </c>
      <c r="D54" s="74">
        <v>12</v>
      </c>
      <c r="E54" s="88">
        <v>1150.25</v>
      </c>
      <c r="F54" s="5">
        <v>4</v>
      </c>
      <c r="G54" s="5">
        <v>3</v>
      </c>
      <c r="H54" s="90">
        <v>0</v>
      </c>
      <c r="I54" s="5">
        <v>83</v>
      </c>
      <c r="J54" s="5"/>
      <c r="K54" s="5"/>
      <c r="L54" s="5">
        <v>0</v>
      </c>
      <c r="M54" s="5">
        <v>80</v>
      </c>
      <c r="N54" s="5"/>
      <c r="O54" s="5"/>
      <c r="P54" s="5">
        <v>1150.25</v>
      </c>
      <c r="Q54" s="5">
        <v>0</v>
      </c>
      <c r="R54" s="5">
        <f t="shared" si="0"/>
        <v>92020</v>
      </c>
      <c r="S54" s="5"/>
      <c r="T54" s="5"/>
      <c r="U54" s="5"/>
      <c r="V54" s="5"/>
      <c r="W54" s="5"/>
    </row>
    <row r="55" spans="1:23" ht="26">
      <c r="A55" s="1">
        <v>3030099</v>
      </c>
      <c r="B55" s="71" t="s">
        <v>403</v>
      </c>
      <c r="C55" s="72" t="s">
        <v>14</v>
      </c>
      <c r="D55" s="74">
        <v>6</v>
      </c>
      <c r="E55" s="88">
        <v>117.7</v>
      </c>
      <c r="F55" s="5">
        <v>18</v>
      </c>
      <c r="G55" s="5">
        <v>0</v>
      </c>
      <c r="H55" s="90">
        <v>0</v>
      </c>
      <c r="I55" s="5">
        <v>3</v>
      </c>
      <c r="J55" s="5"/>
      <c r="K55" s="5"/>
      <c r="L55" s="5">
        <v>0</v>
      </c>
      <c r="M55" s="5">
        <v>0</v>
      </c>
      <c r="N55" s="5"/>
      <c r="O55" s="5"/>
      <c r="P55" s="5">
        <v>117.7</v>
      </c>
      <c r="Q55" s="5">
        <v>0</v>
      </c>
      <c r="R55" s="5">
        <f t="shared" si="0"/>
        <v>0</v>
      </c>
      <c r="S55" s="5"/>
      <c r="T55" s="5"/>
      <c r="U55" s="5"/>
      <c r="V55" s="5"/>
      <c r="W55" s="5"/>
    </row>
    <row r="56" spans="1:23" ht="26">
      <c r="A56" s="1">
        <v>3030101</v>
      </c>
      <c r="B56" s="71" t="s">
        <v>404</v>
      </c>
      <c r="C56" s="72" t="s">
        <v>14</v>
      </c>
      <c r="D56" s="74">
        <v>6</v>
      </c>
      <c r="E56" s="88">
        <v>203.3</v>
      </c>
      <c r="F56" s="5">
        <v>2</v>
      </c>
      <c r="G56" s="5">
        <v>0</v>
      </c>
      <c r="H56" s="90">
        <v>0</v>
      </c>
      <c r="I56" s="5">
        <v>4</v>
      </c>
      <c r="J56" s="5"/>
      <c r="K56" s="5"/>
      <c r="L56" s="5">
        <v>0</v>
      </c>
      <c r="M56" s="5">
        <v>0</v>
      </c>
      <c r="N56" s="5"/>
      <c r="O56" s="5"/>
      <c r="P56" s="5">
        <v>203.3</v>
      </c>
      <c r="Q56" s="5">
        <v>0</v>
      </c>
      <c r="R56" s="5">
        <f t="shared" si="0"/>
        <v>0</v>
      </c>
      <c r="S56" s="5"/>
      <c r="T56" s="5"/>
      <c r="U56" s="5"/>
      <c r="V56" s="5"/>
      <c r="W56" s="5"/>
    </row>
    <row r="57" spans="1:23" ht="26">
      <c r="A57" s="1">
        <v>3030103</v>
      </c>
      <c r="B57" s="71" t="s">
        <v>405</v>
      </c>
      <c r="C57" s="72" t="s">
        <v>14</v>
      </c>
      <c r="D57" s="74">
        <v>50</v>
      </c>
      <c r="E57" s="88">
        <v>743.65</v>
      </c>
      <c r="F57" s="5">
        <v>5</v>
      </c>
      <c r="G57" s="5">
        <v>14</v>
      </c>
      <c r="H57" s="90">
        <v>4</v>
      </c>
      <c r="I57" s="5">
        <v>81</v>
      </c>
      <c r="J57" s="5"/>
      <c r="K57" s="5"/>
      <c r="L57" s="5">
        <v>0</v>
      </c>
      <c r="M57" s="5">
        <v>100</v>
      </c>
      <c r="N57" s="5"/>
      <c r="O57" s="5"/>
      <c r="P57" s="5">
        <v>743.65</v>
      </c>
      <c r="Q57" s="5">
        <v>0</v>
      </c>
      <c r="R57" s="5">
        <f t="shared" si="0"/>
        <v>74365</v>
      </c>
      <c r="S57" s="5"/>
      <c r="T57" s="5"/>
      <c r="U57" s="5"/>
      <c r="V57" s="5"/>
      <c r="W57" s="5"/>
    </row>
    <row r="58" spans="1:23" ht="26">
      <c r="A58" s="1">
        <v>3030107</v>
      </c>
      <c r="B58" s="71" t="s">
        <v>406</v>
      </c>
      <c r="C58" s="72" t="s">
        <v>14</v>
      </c>
      <c r="D58" s="74">
        <v>10</v>
      </c>
      <c r="E58" s="88">
        <v>21.4</v>
      </c>
      <c r="F58" s="5">
        <v>6</v>
      </c>
      <c r="G58" s="5">
        <v>0</v>
      </c>
      <c r="H58" s="90">
        <v>56</v>
      </c>
      <c r="I58" s="5">
        <v>10</v>
      </c>
      <c r="J58" s="5"/>
      <c r="K58" s="5"/>
      <c r="L58" s="5">
        <v>0</v>
      </c>
      <c r="M58" s="5">
        <v>0</v>
      </c>
      <c r="N58" s="5"/>
      <c r="O58" s="5"/>
      <c r="P58" s="5">
        <v>21.4</v>
      </c>
      <c r="Q58" s="5">
        <v>0</v>
      </c>
      <c r="R58" s="5">
        <f t="shared" si="0"/>
        <v>0</v>
      </c>
      <c r="S58" s="5"/>
      <c r="T58" s="5"/>
      <c r="U58" s="5"/>
      <c r="V58" s="5"/>
      <c r="W58" s="5"/>
    </row>
    <row r="59" spans="1:23" ht="26">
      <c r="A59" s="1">
        <v>3030113</v>
      </c>
      <c r="B59" s="71" t="s">
        <v>407</v>
      </c>
      <c r="C59" s="72" t="s">
        <v>14</v>
      </c>
      <c r="D59" s="74">
        <v>34</v>
      </c>
      <c r="E59" s="88">
        <v>33.17</v>
      </c>
      <c r="F59" s="5">
        <v>12</v>
      </c>
      <c r="G59" s="5">
        <v>4</v>
      </c>
      <c r="H59" s="90">
        <v>1560</v>
      </c>
      <c r="I59" s="5">
        <v>63</v>
      </c>
      <c r="J59" s="5"/>
      <c r="K59" s="5"/>
      <c r="L59" s="5">
        <v>0</v>
      </c>
      <c r="M59" s="5">
        <v>50</v>
      </c>
      <c r="N59" s="5"/>
      <c r="O59" s="5"/>
      <c r="P59" s="5">
        <v>33.17</v>
      </c>
      <c r="Q59" s="5">
        <v>0</v>
      </c>
      <c r="R59" s="5">
        <f t="shared" si="0"/>
        <v>1658.5</v>
      </c>
      <c r="S59" s="5"/>
      <c r="T59" s="5"/>
      <c r="U59" s="5"/>
      <c r="V59" s="5"/>
      <c r="W59" s="5"/>
    </row>
    <row r="60" spans="1:23" ht="26">
      <c r="A60" s="1">
        <v>3030115</v>
      </c>
      <c r="B60" s="71" t="s">
        <v>408</v>
      </c>
      <c r="C60" s="72" t="s">
        <v>14</v>
      </c>
      <c r="D60" s="74">
        <v>16</v>
      </c>
      <c r="E60" s="88">
        <v>57.78</v>
      </c>
      <c r="F60" s="5">
        <v>5</v>
      </c>
      <c r="G60" s="5">
        <v>6</v>
      </c>
      <c r="H60" s="90">
        <v>0</v>
      </c>
      <c r="I60" s="5">
        <v>56</v>
      </c>
      <c r="J60" s="5"/>
      <c r="K60" s="5"/>
      <c r="L60" s="5">
        <v>0</v>
      </c>
      <c r="M60" s="5">
        <v>50</v>
      </c>
      <c r="N60" s="5"/>
      <c r="O60" s="5"/>
      <c r="P60" s="5">
        <v>57.78</v>
      </c>
      <c r="Q60" s="5">
        <v>0</v>
      </c>
      <c r="R60" s="5">
        <f t="shared" si="0"/>
        <v>2889</v>
      </c>
      <c r="S60" s="5"/>
      <c r="T60" s="5"/>
      <c r="U60" s="5"/>
      <c r="V60" s="5"/>
      <c r="W60" s="5"/>
    </row>
    <row r="61" spans="1:23" ht="26">
      <c r="A61" s="1">
        <v>3030117</v>
      </c>
      <c r="B61" s="71" t="s">
        <v>409</v>
      </c>
      <c r="C61" s="72" t="s">
        <v>14</v>
      </c>
      <c r="D61" s="74">
        <v>0</v>
      </c>
      <c r="E61" s="89">
        <v>0</v>
      </c>
      <c r="F61" s="5">
        <v>0</v>
      </c>
      <c r="G61" s="5">
        <v>0</v>
      </c>
      <c r="H61" s="90">
        <v>323</v>
      </c>
      <c r="I61" s="5">
        <v>0</v>
      </c>
      <c r="J61" s="5"/>
      <c r="K61" s="5"/>
      <c r="L61" s="5">
        <v>0</v>
      </c>
      <c r="M61" s="5">
        <v>0</v>
      </c>
      <c r="N61" s="5"/>
      <c r="O61" s="5"/>
      <c r="P61" s="5">
        <v>0</v>
      </c>
      <c r="Q61" s="5">
        <v>0</v>
      </c>
      <c r="R61" s="5">
        <f t="shared" si="0"/>
        <v>0</v>
      </c>
      <c r="S61" s="5"/>
      <c r="T61" s="5"/>
      <c r="U61" s="5"/>
      <c r="V61" s="5"/>
      <c r="W61" s="5"/>
    </row>
    <row r="62" spans="1:23" ht="26">
      <c r="A62" s="1">
        <v>3030119</v>
      </c>
      <c r="B62" s="71" t="s">
        <v>410</v>
      </c>
      <c r="C62" s="72" t="s">
        <v>14</v>
      </c>
      <c r="D62" s="74">
        <v>6</v>
      </c>
      <c r="E62" s="88">
        <v>81.319999999999993</v>
      </c>
      <c r="F62" s="5">
        <v>44</v>
      </c>
      <c r="G62" s="5">
        <v>1</v>
      </c>
      <c r="H62" s="90">
        <v>58</v>
      </c>
      <c r="I62" s="5">
        <v>4</v>
      </c>
      <c r="J62" s="5"/>
      <c r="K62" s="5"/>
      <c r="L62" s="5">
        <v>0</v>
      </c>
      <c r="M62" s="5">
        <v>0</v>
      </c>
      <c r="N62" s="5"/>
      <c r="O62" s="5"/>
      <c r="P62" s="5">
        <v>81.319999999999993</v>
      </c>
      <c r="Q62" s="5">
        <v>0</v>
      </c>
      <c r="R62" s="5">
        <f t="shared" si="0"/>
        <v>0</v>
      </c>
      <c r="S62" s="5"/>
      <c r="T62" s="5"/>
      <c r="U62" s="5"/>
      <c r="V62" s="5"/>
      <c r="W62" s="5"/>
    </row>
    <row r="63" spans="1:23" ht="26">
      <c r="A63" s="1">
        <v>3030119</v>
      </c>
      <c r="B63" s="71" t="s">
        <v>410</v>
      </c>
      <c r="C63" s="72" t="s">
        <v>14</v>
      </c>
      <c r="D63" s="74"/>
      <c r="E63" s="89">
        <v>64.2</v>
      </c>
      <c r="F63" s="5">
        <v>12</v>
      </c>
      <c r="G63" s="5">
        <v>11</v>
      </c>
      <c r="H63" s="90">
        <v>1246</v>
      </c>
      <c r="I63" s="5">
        <v>0</v>
      </c>
      <c r="J63" s="5"/>
      <c r="K63" s="5"/>
      <c r="L63" s="5">
        <v>0</v>
      </c>
      <c r="M63" s="5">
        <v>0</v>
      </c>
      <c r="N63" s="5"/>
      <c r="O63" s="5"/>
      <c r="P63" s="5">
        <v>64.2</v>
      </c>
      <c r="Q63" s="5">
        <v>0</v>
      </c>
      <c r="R63" s="5">
        <f t="shared" si="0"/>
        <v>0</v>
      </c>
      <c r="S63" s="5"/>
      <c r="T63" s="5"/>
      <c r="U63" s="5"/>
      <c r="V63" s="5"/>
      <c r="W63" s="5"/>
    </row>
    <row r="64" spans="1:23" ht="26">
      <c r="A64" s="1">
        <v>3030121</v>
      </c>
      <c r="B64" s="71" t="s">
        <v>411</v>
      </c>
      <c r="C64" s="72" t="s">
        <v>14</v>
      </c>
      <c r="D64" s="74">
        <v>73</v>
      </c>
      <c r="E64" s="88">
        <v>40.659999999999997</v>
      </c>
      <c r="F64" s="5">
        <v>10</v>
      </c>
      <c r="G64" s="5">
        <v>5</v>
      </c>
      <c r="H64" s="90">
        <v>0</v>
      </c>
      <c r="I64" s="5">
        <v>35</v>
      </c>
      <c r="J64" s="5"/>
      <c r="K64" s="5"/>
      <c r="L64" s="5">
        <v>0</v>
      </c>
      <c r="M64" s="5">
        <v>0</v>
      </c>
      <c r="N64" s="5"/>
      <c r="O64" s="5"/>
      <c r="P64" s="5">
        <v>40.659999999999997</v>
      </c>
      <c r="Q64" s="5">
        <v>0</v>
      </c>
      <c r="R64" s="5">
        <f t="shared" si="0"/>
        <v>0</v>
      </c>
      <c r="S64" s="5"/>
      <c r="T64" s="5"/>
      <c r="U64" s="5"/>
      <c r="V64" s="5"/>
      <c r="W64" s="5"/>
    </row>
    <row r="65" spans="1:23" ht="26">
      <c r="A65" s="1">
        <v>3030125</v>
      </c>
      <c r="B65" s="71" t="s">
        <v>61</v>
      </c>
      <c r="C65" s="72" t="s">
        <v>25</v>
      </c>
      <c r="D65" s="74">
        <v>13</v>
      </c>
      <c r="E65" s="88">
        <v>293.7792</v>
      </c>
      <c r="F65" s="5">
        <v>5</v>
      </c>
      <c r="G65" s="5">
        <v>0</v>
      </c>
      <c r="H65" s="90">
        <v>0</v>
      </c>
      <c r="I65" s="5">
        <v>12</v>
      </c>
      <c r="J65" s="5"/>
      <c r="K65" s="5"/>
      <c r="L65" s="5">
        <v>0</v>
      </c>
      <c r="M65" s="5">
        <v>0</v>
      </c>
      <c r="N65" s="5"/>
      <c r="O65" s="5"/>
      <c r="P65" s="5">
        <v>293.7792</v>
      </c>
      <c r="Q65" s="5">
        <v>0</v>
      </c>
      <c r="R65" s="5">
        <f t="shared" si="0"/>
        <v>0</v>
      </c>
      <c r="S65" s="5"/>
      <c r="T65" s="5"/>
      <c r="U65" s="5"/>
      <c r="V65" s="5"/>
      <c r="W65" s="5"/>
    </row>
    <row r="66" spans="1:23" ht="26">
      <c r="A66" s="1">
        <v>3030127</v>
      </c>
      <c r="B66" s="71" t="s">
        <v>62</v>
      </c>
      <c r="C66" s="72" t="s">
        <v>25</v>
      </c>
      <c r="D66" s="74">
        <v>16</v>
      </c>
      <c r="E66" s="88">
        <v>226.84</v>
      </c>
      <c r="F66" s="5">
        <v>2</v>
      </c>
      <c r="G66" s="5">
        <v>0</v>
      </c>
      <c r="H66" s="90">
        <v>3</v>
      </c>
      <c r="I66" s="5">
        <v>0</v>
      </c>
      <c r="J66" s="5"/>
      <c r="K66" s="5"/>
      <c r="L66" s="5">
        <v>0</v>
      </c>
      <c r="M66" s="5">
        <v>0</v>
      </c>
      <c r="N66" s="5"/>
      <c r="O66" s="5"/>
      <c r="P66" s="5">
        <v>226.84</v>
      </c>
      <c r="Q66" s="5">
        <v>0</v>
      </c>
      <c r="R66" s="5">
        <f t="shared" si="0"/>
        <v>0</v>
      </c>
      <c r="S66" s="5"/>
      <c r="T66" s="5"/>
      <c r="U66" s="5"/>
      <c r="V66" s="5"/>
      <c r="W66" s="5"/>
    </row>
    <row r="67" spans="1:23" ht="26">
      <c r="A67" s="2">
        <v>3030129</v>
      </c>
      <c r="B67" s="71" t="s">
        <v>63</v>
      </c>
      <c r="C67" s="72" t="s">
        <v>25</v>
      </c>
      <c r="D67" s="74">
        <v>37</v>
      </c>
      <c r="E67" s="88">
        <v>63.5045</v>
      </c>
      <c r="F67" s="5">
        <v>11</v>
      </c>
      <c r="G67" s="5">
        <v>0</v>
      </c>
      <c r="H67" s="90">
        <v>19</v>
      </c>
      <c r="I67" s="5">
        <v>26</v>
      </c>
      <c r="J67" s="5"/>
      <c r="K67" s="5"/>
      <c r="L67" s="5">
        <v>0</v>
      </c>
      <c r="M67" s="5">
        <v>0</v>
      </c>
      <c r="N67" s="5"/>
      <c r="O67" s="5"/>
      <c r="P67" s="5">
        <v>63.5045</v>
      </c>
      <c r="Q67" s="5">
        <v>0</v>
      </c>
      <c r="R67" s="5">
        <f t="shared" si="0"/>
        <v>0</v>
      </c>
      <c r="S67" s="5"/>
      <c r="T67" s="5"/>
      <c r="U67" s="5"/>
      <c r="V67" s="5"/>
      <c r="W67" s="5"/>
    </row>
    <row r="68" spans="1:23" ht="26">
      <c r="A68" s="2">
        <v>3030131</v>
      </c>
      <c r="B68" s="71" t="s">
        <v>64</v>
      </c>
      <c r="C68" s="72" t="s">
        <v>25</v>
      </c>
      <c r="D68" s="74">
        <v>2</v>
      </c>
      <c r="E68" s="88">
        <v>143.38</v>
      </c>
      <c r="F68" s="5">
        <v>4</v>
      </c>
      <c r="G68" s="5">
        <v>0</v>
      </c>
      <c r="H68" s="90">
        <v>0</v>
      </c>
      <c r="I68" s="5">
        <v>19</v>
      </c>
      <c r="J68" s="5"/>
      <c r="K68" s="5"/>
      <c r="L68" s="5">
        <v>0</v>
      </c>
      <c r="M68" s="5">
        <v>20</v>
      </c>
      <c r="N68" s="5"/>
      <c r="O68" s="5"/>
      <c r="P68" s="5">
        <v>143.38</v>
      </c>
      <c r="Q68" s="5">
        <v>0</v>
      </c>
      <c r="R68" s="5">
        <f t="shared" si="0"/>
        <v>2867.6</v>
      </c>
      <c r="S68" s="5"/>
      <c r="T68" s="5"/>
      <c r="U68" s="5"/>
      <c r="V68" s="5"/>
      <c r="W68" s="5"/>
    </row>
    <row r="69" spans="1:23" ht="26">
      <c r="A69" s="2">
        <v>3030133</v>
      </c>
      <c r="B69" s="71" t="s">
        <v>65</v>
      </c>
      <c r="C69" s="72" t="s">
        <v>25</v>
      </c>
      <c r="D69" s="74">
        <v>8</v>
      </c>
      <c r="E69" s="88">
        <v>212.93</v>
      </c>
      <c r="F69" s="5">
        <v>2</v>
      </c>
      <c r="G69" s="5">
        <v>0</v>
      </c>
      <c r="H69" s="90">
        <v>0</v>
      </c>
      <c r="I69" s="5">
        <v>8</v>
      </c>
      <c r="J69" s="5"/>
      <c r="K69" s="5"/>
      <c r="L69" s="5">
        <v>0</v>
      </c>
      <c r="M69" s="5">
        <v>0</v>
      </c>
      <c r="N69" s="5"/>
      <c r="O69" s="5"/>
      <c r="P69" s="5">
        <v>212.93</v>
      </c>
      <c r="Q69" s="5">
        <v>0</v>
      </c>
      <c r="R69" s="5">
        <f t="shared" ref="R69:R132" si="1">+M69*P69</f>
        <v>0</v>
      </c>
      <c r="S69" s="5"/>
      <c r="T69" s="5"/>
      <c r="U69" s="5"/>
      <c r="V69" s="5"/>
      <c r="W69" s="5"/>
    </row>
    <row r="70" spans="1:23" ht="26">
      <c r="A70" s="2">
        <v>3030135</v>
      </c>
      <c r="B70" s="71" t="s">
        <v>66</v>
      </c>
      <c r="C70" s="72" t="s">
        <v>25</v>
      </c>
      <c r="D70" s="74">
        <v>14</v>
      </c>
      <c r="E70" s="88">
        <v>101.65</v>
      </c>
      <c r="F70" s="5">
        <v>17</v>
      </c>
      <c r="G70" s="5">
        <v>0</v>
      </c>
      <c r="H70" s="90">
        <v>0</v>
      </c>
      <c r="I70" s="5">
        <v>7</v>
      </c>
      <c r="J70" s="5"/>
      <c r="K70" s="5"/>
      <c r="L70" s="5">
        <v>0</v>
      </c>
      <c r="M70" s="5">
        <v>0</v>
      </c>
      <c r="N70" s="5"/>
      <c r="O70" s="5"/>
      <c r="P70" s="5">
        <v>101.65</v>
      </c>
      <c r="Q70" s="5">
        <v>0</v>
      </c>
      <c r="R70" s="5">
        <f t="shared" si="1"/>
        <v>0</v>
      </c>
      <c r="S70" s="5"/>
      <c r="T70" s="5"/>
      <c r="U70" s="5"/>
      <c r="V70" s="5"/>
      <c r="W70" s="5"/>
    </row>
    <row r="71" spans="1:23" ht="26">
      <c r="A71" s="1">
        <v>3030149</v>
      </c>
      <c r="B71" s="71" t="s">
        <v>412</v>
      </c>
      <c r="C71" s="72" t="s">
        <v>14</v>
      </c>
      <c r="D71" s="74">
        <v>20</v>
      </c>
      <c r="E71" s="88">
        <v>181.9</v>
      </c>
      <c r="F71" s="5">
        <v>11</v>
      </c>
      <c r="G71" s="5">
        <v>0</v>
      </c>
      <c r="H71" s="90">
        <v>566</v>
      </c>
      <c r="I71" s="5">
        <v>6</v>
      </c>
      <c r="J71" s="5"/>
      <c r="K71" s="5"/>
      <c r="L71" s="5">
        <v>0</v>
      </c>
      <c r="M71" s="5">
        <v>0</v>
      </c>
      <c r="N71" s="5"/>
      <c r="O71" s="5"/>
      <c r="P71" s="5">
        <v>181.9</v>
      </c>
      <c r="Q71" s="5">
        <v>0</v>
      </c>
      <c r="R71" s="5">
        <f t="shared" si="1"/>
        <v>0</v>
      </c>
      <c r="S71" s="5"/>
      <c r="T71" s="5"/>
      <c r="U71" s="5"/>
      <c r="V71" s="5"/>
      <c r="W71" s="5"/>
    </row>
    <row r="72" spans="1:23" ht="26">
      <c r="A72" s="1">
        <v>3030157</v>
      </c>
      <c r="B72" s="71" t="s">
        <v>67</v>
      </c>
      <c r="C72" s="72" t="s">
        <v>14</v>
      </c>
      <c r="D72" s="74"/>
      <c r="E72" s="89">
        <v>3.3062999999999998</v>
      </c>
      <c r="F72" s="5">
        <v>4</v>
      </c>
      <c r="G72" s="5">
        <v>7</v>
      </c>
      <c r="H72" s="90">
        <v>176</v>
      </c>
      <c r="I72" s="5">
        <v>0</v>
      </c>
      <c r="J72" s="5"/>
      <c r="K72" s="5"/>
      <c r="L72" s="5">
        <v>0</v>
      </c>
      <c r="M72" s="5">
        <v>0</v>
      </c>
      <c r="N72" s="5"/>
      <c r="O72" s="5"/>
      <c r="P72" s="5">
        <v>3.3062999999999998</v>
      </c>
      <c r="Q72" s="5">
        <v>0</v>
      </c>
      <c r="R72" s="5">
        <f t="shared" si="1"/>
        <v>0</v>
      </c>
      <c r="S72" s="5"/>
      <c r="T72" s="5"/>
      <c r="U72" s="5"/>
      <c r="V72" s="5"/>
      <c r="W72" s="5"/>
    </row>
    <row r="73" spans="1:23" ht="26">
      <c r="A73" s="1">
        <v>3030157</v>
      </c>
      <c r="B73" s="71" t="s">
        <v>67</v>
      </c>
      <c r="C73" s="72" t="s">
        <v>14</v>
      </c>
      <c r="D73" s="74">
        <v>20</v>
      </c>
      <c r="E73" s="88">
        <v>3.8519999999999999</v>
      </c>
      <c r="F73" s="5">
        <v>2</v>
      </c>
      <c r="G73" s="5">
        <v>0</v>
      </c>
      <c r="H73" s="90">
        <v>0</v>
      </c>
      <c r="I73" s="5">
        <v>20</v>
      </c>
      <c r="J73" s="5"/>
      <c r="K73" s="5"/>
      <c r="L73" s="5">
        <v>0</v>
      </c>
      <c r="M73" s="5">
        <v>0</v>
      </c>
      <c r="N73" s="5"/>
      <c r="O73" s="5"/>
      <c r="P73" s="5">
        <v>3.8519999999999999</v>
      </c>
      <c r="Q73" s="5">
        <v>0</v>
      </c>
      <c r="R73" s="5">
        <f t="shared" si="1"/>
        <v>0</v>
      </c>
      <c r="S73" s="5"/>
      <c r="T73" s="5"/>
      <c r="U73" s="5"/>
      <c r="V73" s="5"/>
      <c r="W73" s="5"/>
    </row>
    <row r="74" spans="1:23" ht="26">
      <c r="A74" s="1">
        <v>3030159</v>
      </c>
      <c r="B74" s="71" t="s">
        <v>68</v>
      </c>
      <c r="C74" s="72" t="s">
        <v>14</v>
      </c>
      <c r="D74" s="74">
        <v>13</v>
      </c>
      <c r="E74" s="88">
        <v>8.4529999999999994</v>
      </c>
      <c r="F74" s="5">
        <v>2</v>
      </c>
      <c r="G74" s="5">
        <v>0</v>
      </c>
      <c r="H74" s="90">
        <v>0</v>
      </c>
      <c r="I74" s="5">
        <v>13</v>
      </c>
      <c r="J74" s="5"/>
      <c r="K74" s="5"/>
      <c r="L74" s="5">
        <v>0</v>
      </c>
      <c r="M74" s="5">
        <v>0</v>
      </c>
      <c r="N74" s="5"/>
      <c r="O74" s="5"/>
      <c r="P74" s="5">
        <v>8.4529999999999994</v>
      </c>
      <c r="Q74" s="5">
        <v>0</v>
      </c>
      <c r="R74" s="5">
        <f t="shared" si="1"/>
        <v>0</v>
      </c>
      <c r="S74" s="5"/>
      <c r="T74" s="5"/>
      <c r="U74" s="5"/>
      <c r="V74" s="5"/>
      <c r="W74" s="5"/>
    </row>
    <row r="75" spans="1:23" ht="26">
      <c r="A75" s="1">
        <v>3030163</v>
      </c>
      <c r="B75" s="71" t="s">
        <v>69</v>
      </c>
      <c r="C75" s="72" t="s">
        <v>14</v>
      </c>
      <c r="D75" s="74">
        <v>0</v>
      </c>
      <c r="E75" s="89">
        <v>0</v>
      </c>
      <c r="F75" s="5">
        <v>0</v>
      </c>
      <c r="G75" s="5">
        <v>1</v>
      </c>
      <c r="H75" s="90">
        <v>33</v>
      </c>
      <c r="I75" s="5">
        <v>0</v>
      </c>
      <c r="J75" s="5"/>
      <c r="K75" s="5"/>
      <c r="L75" s="5">
        <v>0</v>
      </c>
      <c r="M75" s="5">
        <v>0</v>
      </c>
      <c r="N75" s="5"/>
      <c r="O75" s="5"/>
      <c r="P75" s="5">
        <v>0</v>
      </c>
      <c r="Q75" s="5">
        <v>0</v>
      </c>
      <c r="R75" s="5">
        <f t="shared" si="1"/>
        <v>0</v>
      </c>
      <c r="S75" s="5"/>
      <c r="T75" s="5"/>
      <c r="U75" s="5"/>
      <c r="V75" s="5"/>
      <c r="W75" s="5"/>
    </row>
    <row r="76" spans="1:23" ht="26">
      <c r="A76" s="1">
        <v>3030167</v>
      </c>
      <c r="B76" s="71" t="s">
        <v>70</v>
      </c>
      <c r="C76" s="72" t="s">
        <v>14</v>
      </c>
      <c r="D76" s="74">
        <v>51</v>
      </c>
      <c r="E76" s="88">
        <v>6.4949000000000003</v>
      </c>
      <c r="F76" s="5">
        <v>5</v>
      </c>
      <c r="G76" s="5">
        <v>0</v>
      </c>
      <c r="H76" s="90">
        <v>0</v>
      </c>
      <c r="I76" s="5">
        <v>39</v>
      </c>
      <c r="J76" s="5"/>
      <c r="K76" s="5"/>
      <c r="L76" s="5">
        <v>0</v>
      </c>
      <c r="M76" s="5">
        <v>0</v>
      </c>
      <c r="N76" s="5"/>
      <c r="O76" s="5"/>
      <c r="P76" s="5">
        <v>6.4949000000000003</v>
      </c>
      <c r="Q76" s="5">
        <v>0</v>
      </c>
      <c r="R76" s="5">
        <f t="shared" si="1"/>
        <v>0</v>
      </c>
      <c r="S76" s="5"/>
      <c r="T76" s="5"/>
      <c r="U76" s="5"/>
      <c r="V76" s="5"/>
      <c r="W76" s="5"/>
    </row>
    <row r="77" spans="1:23" ht="26">
      <c r="A77" s="1">
        <v>3030169</v>
      </c>
      <c r="B77" s="71" t="s">
        <v>71</v>
      </c>
      <c r="C77" s="72" t="s">
        <v>14</v>
      </c>
      <c r="D77" s="74">
        <v>80</v>
      </c>
      <c r="E77" s="88">
        <v>2.9424999999999999</v>
      </c>
      <c r="F77" s="5">
        <v>8</v>
      </c>
      <c r="G77" s="5">
        <v>0</v>
      </c>
      <c r="H77" s="90">
        <v>0</v>
      </c>
      <c r="I77" s="5">
        <v>67</v>
      </c>
      <c r="J77" s="5"/>
      <c r="K77" s="5"/>
      <c r="L77" s="5">
        <v>0</v>
      </c>
      <c r="M77" s="5">
        <v>0</v>
      </c>
      <c r="N77" s="5"/>
      <c r="O77" s="5"/>
      <c r="P77" s="5">
        <v>2.9424999999999999</v>
      </c>
      <c r="Q77" s="5">
        <v>0</v>
      </c>
      <c r="R77" s="5">
        <f t="shared" si="1"/>
        <v>0</v>
      </c>
      <c r="S77" s="5"/>
      <c r="T77" s="5"/>
      <c r="U77" s="5"/>
      <c r="V77" s="5"/>
      <c r="W77" s="5"/>
    </row>
    <row r="78" spans="1:23" ht="26">
      <c r="A78" s="1">
        <v>3030171</v>
      </c>
      <c r="B78" s="71" t="s">
        <v>72</v>
      </c>
      <c r="C78" s="72" t="s">
        <v>14</v>
      </c>
      <c r="D78" s="74">
        <v>59</v>
      </c>
      <c r="E78" s="88">
        <v>5.35</v>
      </c>
      <c r="F78" s="5">
        <v>10</v>
      </c>
      <c r="G78" s="5">
        <v>0</v>
      </c>
      <c r="H78" s="90">
        <v>1160</v>
      </c>
      <c r="I78" s="5">
        <v>59</v>
      </c>
      <c r="J78" s="5"/>
      <c r="K78" s="5"/>
      <c r="L78" s="5">
        <v>0</v>
      </c>
      <c r="M78" s="5">
        <v>0</v>
      </c>
      <c r="N78" s="5"/>
      <c r="O78" s="5"/>
      <c r="P78" s="5">
        <v>5.35</v>
      </c>
      <c r="Q78" s="5">
        <v>0</v>
      </c>
      <c r="R78" s="5">
        <f t="shared" si="1"/>
        <v>0</v>
      </c>
      <c r="S78" s="5"/>
      <c r="T78" s="5"/>
      <c r="U78" s="5"/>
      <c r="V78" s="5"/>
      <c r="W78" s="5"/>
    </row>
    <row r="79" spans="1:23" ht="26">
      <c r="A79" s="1">
        <v>3030172</v>
      </c>
      <c r="B79" s="71" t="s">
        <v>73</v>
      </c>
      <c r="C79" s="72" t="s">
        <v>14</v>
      </c>
      <c r="D79" s="77">
        <v>0</v>
      </c>
      <c r="E79" s="89">
        <v>0</v>
      </c>
      <c r="F79" s="5">
        <v>1</v>
      </c>
      <c r="G79" s="5">
        <v>0</v>
      </c>
      <c r="H79" s="90">
        <v>60</v>
      </c>
      <c r="I79" s="5">
        <v>0</v>
      </c>
      <c r="J79" s="5"/>
      <c r="K79" s="5"/>
      <c r="L79" s="5">
        <v>0</v>
      </c>
      <c r="M79" s="5">
        <v>0</v>
      </c>
      <c r="N79" s="5"/>
      <c r="O79" s="5"/>
      <c r="P79" s="5">
        <v>0</v>
      </c>
      <c r="Q79" s="5">
        <v>0</v>
      </c>
      <c r="R79" s="5">
        <f t="shared" si="1"/>
        <v>0</v>
      </c>
      <c r="S79" s="5"/>
      <c r="T79" s="5"/>
      <c r="U79" s="5"/>
      <c r="V79" s="5"/>
      <c r="W79" s="5"/>
    </row>
    <row r="80" spans="1:23" ht="26">
      <c r="A80" s="1">
        <v>3030173</v>
      </c>
      <c r="B80" s="71" t="s">
        <v>74</v>
      </c>
      <c r="C80" s="72" t="s">
        <v>14</v>
      </c>
      <c r="D80" s="77">
        <v>0</v>
      </c>
      <c r="E80" s="89">
        <v>0</v>
      </c>
      <c r="F80" s="5">
        <v>3</v>
      </c>
      <c r="G80" s="5">
        <v>0</v>
      </c>
      <c r="H80" s="90">
        <v>0</v>
      </c>
      <c r="I80" s="5">
        <v>0</v>
      </c>
      <c r="J80" s="5"/>
      <c r="K80" s="5"/>
      <c r="L80" s="5">
        <v>0</v>
      </c>
      <c r="M80" s="5">
        <v>0</v>
      </c>
      <c r="N80" s="5"/>
      <c r="O80" s="5"/>
      <c r="P80" s="5">
        <v>0</v>
      </c>
      <c r="Q80" s="5">
        <v>0</v>
      </c>
      <c r="R80" s="5">
        <f t="shared" si="1"/>
        <v>0</v>
      </c>
      <c r="S80" s="5"/>
      <c r="T80" s="5"/>
      <c r="U80" s="5"/>
      <c r="V80" s="5"/>
      <c r="W80" s="5"/>
    </row>
    <row r="81" spans="1:23" ht="26">
      <c r="A81" s="1">
        <v>3030175</v>
      </c>
      <c r="B81" s="71" t="s">
        <v>75</v>
      </c>
      <c r="C81" s="72" t="s">
        <v>14</v>
      </c>
      <c r="D81" s="74">
        <v>58</v>
      </c>
      <c r="E81" s="88">
        <v>3.7450000000000001</v>
      </c>
      <c r="F81" s="5">
        <v>5</v>
      </c>
      <c r="G81" s="5">
        <v>0</v>
      </c>
      <c r="H81" s="90">
        <v>4</v>
      </c>
      <c r="I81" s="5">
        <v>58</v>
      </c>
      <c r="J81" s="5"/>
      <c r="K81" s="5"/>
      <c r="L81" s="5">
        <v>0</v>
      </c>
      <c r="M81" s="5">
        <v>0</v>
      </c>
      <c r="N81" s="5"/>
      <c r="O81" s="5"/>
      <c r="P81" s="5">
        <v>3.7450000000000001</v>
      </c>
      <c r="Q81" s="5">
        <v>0</v>
      </c>
      <c r="R81" s="5">
        <f t="shared" si="1"/>
        <v>0</v>
      </c>
      <c r="S81" s="5"/>
      <c r="T81" s="5"/>
      <c r="U81" s="5"/>
      <c r="V81" s="5"/>
      <c r="W81" s="5"/>
    </row>
    <row r="82" spans="1:23" ht="26">
      <c r="A82" s="2">
        <v>3030177</v>
      </c>
      <c r="B82" s="71" t="s">
        <v>76</v>
      </c>
      <c r="C82" s="72" t="s">
        <v>14</v>
      </c>
      <c r="D82" s="74">
        <v>24</v>
      </c>
      <c r="E82" s="88">
        <v>8.8596000000000004</v>
      </c>
      <c r="F82" s="5">
        <v>8</v>
      </c>
      <c r="G82" s="5">
        <v>0</v>
      </c>
      <c r="H82" s="90">
        <v>56</v>
      </c>
      <c r="I82" s="5">
        <v>7</v>
      </c>
      <c r="J82" s="5"/>
      <c r="K82" s="5"/>
      <c r="L82" s="5">
        <v>0</v>
      </c>
      <c r="M82" s="5">
        <v>0</v>
      </c>
      <c r="N82" s="5"/>
      <c r="O82" s="5"/>
      <c r="P82" s="5">
        <v>8.8596000000000004</v>
      </c>
      <c r="Q82" s="5">
        <v>0</v>
      </c>
      <c r="R82" s="5">
        <f t="shared" si="1"/>
        <v>0</v>
      </c>
      <c r="S82" s="5"/>
      <c r="T82" s="5"/>
      <c r="U82" s="5"/>
      <c r="V82" s="5"/>
      <c r="W82" s="5"/>
    </row>
    <row r="83" spans="1:23" ht="26">
      <c r="A83" s="1">
        <v>3030181</v>
      </c>
      <c r="B83" s="71" t="s">
        <v>77</v>
      </c>
      <c r="C83" s="72" t="s">
        <v>14</v>
      </c>
      <c r="D83" s="74">
        <v>86</v>
      </c>
      <c r="E83" s="88">
        <v>3.7235999999999998</v>
      </c>
      <c r="F83" s="5">
        <v>2</v>
      </c>
      <c r="G83" s="5">
        <v>0</v>
      </c>
      <c r="H83" s="90">
        <v>1670</v>
      </c>
      <c r="I83" s="5">
        <v>104</v>
      </c>
      <c r="J83" s="5"/>
      <c r="K83" s="5"/>
      <c r="L83" s="5">
        <v>0</v>
      </c>
      <c r="M83" s="5">
        <v>50</v>
      </c>
      <c r="N83" s="5"/>
      <c r="O83" s="5"/>
      <c r="P83" s="5">
        <v>3.7235999999999998</v>
      </c>
      <c r="Q83" s="5">
        <v>0</v>
      </c>
      <c r="R83" s="5">
        <f t="shared" si="1"/>
        <v>186.17999999999998</v>
      </c>
      <c r="S83" s="5"/>
      <c r="T83" s="5"/>
      <c r="U83" s="5"/>
      <c r="V83" s="5"/>
      <c r="W83" s="5"/>
    </row>
    <row r="84" spans="1:23" ht="26">
      <c r="A84" s="1">
        <v>3030183</v>
      </c>
      <c r="B84" s="71" t="s">
        <v>78</v>
      </c>
      <c r="C84" s="72" t="s">
        <v>14</v>
      </c>
      <c r="D84" s="77">
        <v>0</v>
      </c>
      <c r="E84" s="89">
        <v>0</v>
      </c>
      <c r="F84" s="5">
        <v>16</v>
      </c>
      <c r="G84" s="5">
        <v>2</v>
      </c>
      <c r="H84" s="90">
        <v>70</v>
      </c>
      <c r="I84" s="5">
        <v>0</v>
      </c>
      <c r="J84" s="5"/>
      <c r="K84" s="5"/>
      <c r="L84" s="5">
        <v>0</v>
      </c>
      <c r="M84" s="5">
        <v>0</v>
      </c>
      <c r="N84" s="5"/>
      <c r="O84" s="5"/>
      <c r="P84" s="5">
        <v>0</v>
      </c>
      <c r="Q84" s="5">
        <v>0</v>
      </c>
      <c r="R84" s="5">
        <f t="shared" si="1"/>
        <v>0</v>
      </c>
      <c r="S84" s="5"/>
      <c r="T84" s="5"/>
      <c r="U84" s="5"/>
      <c r="V84" s="5"/>
      <c r="W84" s="5"/>
    </row>
    <row r="85" spans="1:23" ht="26">
      <c r="A85" s="1">
        <v>3030185</v>
      </c>
      <c r="B85" s="71" t="s">
        <v>79</v>
      </c>
      <c r="C85" s="72" t="s">
        <v>14</v>
      </c>
      <c r="D85" s="74">
        <v>51</v>
      </c>
      <c r="E85" s="88">
        <v>7.8109999999999999</v>
      </c>
      <c r="F85" s="5">
        <v>0</v>
      </c>
      <c r="G85" s="5">
        <v>0</v>
      </c>
      <c r="H85" s="90">
        <v>89</v>
      </c>
      <c r="I85" s="5">
        <v>42</v>
      </c>
      <c r="J85" s="5"/>
      <c r="K85" s="5"/>
      <c r="L85" s="5">
        <v>0</v>
      </c>
      <c r="M85" s="5">
        <v>0</v>
      </c>
      <c r="N85" s="5"/>
      <c r="O85" s="5"/>
      <c r="P85" s="5">
        <v>7.8109999999999999</v>
      </c>
      <c r="Q85" s="5">
        <v>0</v>
      </c>
      <c r="R85" s="5">
        <f t="shared" si="1"/>
        <v>0</v>
      </c>
      <c r="S85" s="5"/>
      <c r="T85" s="5"/>
      <c r="U85" s="5"/>
      <c r="V85" s="5"/>
      <c r="W85" s="5"/>
    </row>
    <row r="86" spans="1:23" ht="26">
      <c r="A86" s="1">
        <v>3030191</v>
      </c>
      <c r="B86" s="71" t="s">
        <v>80</v>
      </c>
      <c r="C86" s="72" t="s">
        <v>14</v>
      </c>
      <c r="D86" s="77">
        <v>0</v>
      </c>
      <c r="E86" s="89">
        <v>0</v>
      </c>
      <c r="F86" s="5">
        <v>0</v>
      </c>
      <c r="G86" s="5">
        <v>0</v>
      </c>
      <c r="H86" s="90">
        <v>8</v>
      </c>
      <c r="I86" s="5">
        <v>0</v>
      </c>
      <c r="J86" s="5"/>
      <c r="K86" s="5"/>
      <c r="L86" s="5">
        <v>0</v>
      </c>
      <c r="M86" s="5">
        <v>0</v>
      </c>
      <c r="N86" s="5"/>
      <c r="O86" s="5"/>
      <c r="P86" s="5">
        <v>0</v>
      </c>
      <c r="Q86" s="5">
        <v>0</v>
      </c>
      <c r="R86" s="5">
        <f t="shared" si="1"/>
        <v>0</v>
      </c>
      <c r="S86" s="5"/>
      <c r="T86" s="5"/>
      <c r="U86" s="5"/>
      <c r="V86" s="5"/>
      <c r="W86" s="5"/>
    </row>
    <row r="87" spans="1:23" ht="26">
      <c r="A87" s="1">
        <v>3030195</v>
      </c>
      <c r="B87" s="71" t="s">
        <v>413</v>
      </c>
      <c r="C87" s="72" t="s">
        <v>14</v>
      </c>
      <c r="D87" s="74">
        <v>64</v>
      </c>
      <c r="E87" s="88">
        <v>331.7</v>
      </c>
      <c r="F87" s="5">
        <v>3</v>
      </c>
      <c r="G87" s="5">
        <v>8</v>
      </c>
      <c r="H87" s="90">
        <v>0</v>
      </c>
      <c r="I87" s="5">
        <v>49</v>
      </c>
      <c r="J87" s="5"/>
      <c r="K87" s="5"/>
      <c r="L87" s="5">
        <v>0</v>
      </c>
      <c r="M87" s="5">
        <v>0</v>
      </c>
      <c r="N87" s="5"/>
      <c r="O87" s="5"/>
      <c r="P87" s="5">
        <v>331.7</v>
      </c>
      <c r="Q87" s="5">
        <v>0</v>
      </c>
      <c r="R87" s="5">
        <f t="shared" si="1"/>
        <v>0</v>
      </c>
      <c r="S87" s="5"/>
      <c r="T87" s="5"/>
      <c r="U87" s="5"/>
      <c r="V87" s="5"/>
      <c r="W87" s="5"/>
    </row>
    <row r="88" spans="1:23" ht="26">
      <c r="A88" s="1">
        <v>3030195</v>
      </c>
      <c r="B88" s="71" t="s">
        <v>413</v>
      </c>
      <c r="C88" s="72" t="s">
        <v>14</v>
      </c>
      <c r="D88" s="74"/>
      <c r="E88" s="89">
        <v>299.60000000000002</v>
      </c>
      <c r="F88" s="5">
        <v>10</v>
      </c>
      <c r="G88" s="5">
        <v>9</v>
      </c>
      <c r="H88" s="90">
        <v>1</v>
      </c>
      <c r="I88" s="5">
        <v>0</v>
      </c>
      <c r="J88" s="5"/>
      <c r="K88" s="5"/>
      <c r="L88" s="5">
        <v>0</v>
      </c>
      <c r="M88" s="5">
        <v>0</v>
      </c>
      <c r="N88" s="5"/>
      <c r="O88" s="5"/>
      <c r="P88" s="5">
        <v>299.60000000000002</v>
      </c>
      <c r="Q88" s="5">
        <v>0</v>
      </c>
      <c r="R88" s="5">
        <f t="shared" si="1"/>
        <v>0</v>
      </c>
      <c r="S88" s="5"/>
      <c r="T88" s="5"/>
      <c r="U88" s="5"/>
      <c r="V88" s="5"/>
      <c r="W88" s="5"/>
    </row>
    <row r="89" spans="1:23" ht="26">
      <c r="A89" s="1">
        <v>3030197</v>
      </c>
      <c r="B89" s="71" t="s">
        <v>414</v>
      </c>
      <c r="C89" s="72" t="s">
        <v>19</v>
      </c>
      <c r="D89" s="74">
        <v>39</v>
      </c>
      <c r="E89" s="88">
        <v>385.2</v>
      </c>
      <c r="F89" s="5">
        <v>3</v>
      </c>
      <c r="G89" s="5">
        <v>6</v>
      </c>
      <c r="H89" s="90"/>
      <c r="I89" s="5">
        <v>6</v>
      </c>
      <c r="J89" s="5"/>
      <c r="K89" s="5"/>
      <c r="L89" s="5">
        <v>0</v>
      </c>
      <c r="M89" s="5">
        <v>0</v>
      </c>
      <c r="N89" s="5"/>
      <c r="O89" s="5"/>
      <c r="P89" s="5">
        <v>385.2</v>
      </c>
      <c r="Q89" s="5">
        <v>0</v>
      </c>
      <c r="R89" s="5">
        <f t="shared" si="1"/>
        <v>0</v>
      </c>
      <c r="S89" s="5"/>
      <c r="T89" s="5"/>
      <c r="U89" s="5"/>
      <c r="V89" s="5"/>
      <c r="W89" s="5"/>
    </row>
    <row r="90" spans="1:23" ht="26">
      <c r="A90" s="1">
        <v>3030199</v>
      </c>
      <c r="B90" s="71" t="s">
        <v>415</v>
      </c>
      <c r="C90" s="72" t="s">
        <v>19</v>
      </c>
      <c r="D90" s="74">
        <v>13</v>
      </c>
      <c r="E90" s="89">
        <v>1177</v>
      </c>
      <c r="F90" s="5">
        <v>10</v>
      </c>
      <c r="G90" s="5">
        <v>16</v>
      </c>
      <c r="H90" s="90"/>
      <c r="I90" s="5">
        <v>0</v>
      </c>
      <c r="J90" s="5"/>
      <c r="K90" s="5"/>
      <c r="L90" s="5">
        <v>0</v>
      </c>
      <c r="M90" s="5">
        <v>0</v>
      </c>
      <c r="N90" s="5"/>
      <c r="O90" s="5"/>
      <c r="P90" s="5">
        <v>1177</v>
      </c>
      <c r="Q90" s="5">
        <v>0</v>
      </c>
      <c r="R90" s="5">
        <f t="shared" si="1"/>
        <v>0</v>
      </c>
      <c r="S90" s="5"/>
      <c r="T90" s="5"/>
      <c r="U90" s="5"/>
      <c r="V90" s="5"/>
      <c r="W90" s="5"/>
    </row>
    <row r="91" spans="1:23" ht="26">
      <c r="A91" s="1">
        <v>3030201</v>
      </c>
      <c r="B91" s="71" t="s">
        <v>81</v>
      </c>
      <c r="C91" s="72" t="s">
        <v>19</v>
      </c>
      <c r="D91" s="74">
        <v>18</v>
      </c>
      <c r="E91" s="88">
        <v>1337.5</v>
      </c>
      <c r="F91" s="5">
        <v>5</v>
      </c>
      <c r="G91" s="5">
        <v>7</v>
      </c>
      <c r="H91" s="90"/>
      <c r="I91" s="5">
        <v>9</v>
      </c>
      <c r="J91" s="5"/>
      <c r="K91" s="5"/>
      <c r="L91" s="5">
        <v>0</v>
      </c>
      <c r="M91" s="5">
        <v>0</v>
      </c>
      <c r="N91" s="5"/>
      <c r="O91" s="5"/>
      <c r="P91" s="5">
        <v>1337.5</v>
      </c>
      <c r="Q91" s="5">
        <v>0</v>
      </c>
      <c r="R91" s="5">
        <f t="shared" si="1"/>
        <v>0</v>
      </c>
      <c r="S91" s="5"/>
      <c r="T91" s="5"/>
      <c r="U91" s="5"/>
      <c r="V91" s="5"/>
      <c r="W91" s="5"/>
    </row>
    <row r="92" spans="1:23" ht="26">
      <c r="A92" s="1">
        <v>3030203</v>
      </c>
      <c r="B92" s="71" t="s">
        <v>82</v>
      </c>
      <c r="C92" s="72" t="s">
        <v>14</v>
      </c>
      <c r="D92" s="74">
        <v>84</v>
      </c>
      <c r="E92" s="88">
        <v>374.5</v>
      </c>
      <c r="F92" s="5">
        <v>23</v>
      </c>
      <c r="G92" s="5">
        <v>14</v>
      </c>
      <c r="H92" s="90"/>
      <c r="I92" s="5">
        <v>50</v>
      </c>
      <c r="J92" s="5"/>
      <c r="K92" s="5"/>
      <c r="L92" s="5">
        <v>0</v>
      </c>
      <c r="M92" s="5">
        <v>0</v>
      </c>
      <c r="N92" s="5"/>
      <c r="O92" s="5"/>
      <c r="P92" s="5">
        <v>374.5</v>
      </c>
      <c r="Q92" s="5">
        <v>0</v>
      </c>
      <c r="R92" s="5">
        <f t="shared" si="1"/>
        <v>0</v>
      </c>
      <c r="S92" s="5"/>
      <c r="T92" s="5"/>
      <c r="U92" s="5"/>
      <c r="V92" s="5"/>
      <c r="W92" s="5"/>
    </row>
    <row r="93" spans="1:23" ht="26">
      <c r="A93" s="1">
        <v>3030213</v>
      </c>
      <c r="B93" s="71" t="s">
        <v>83</v>
      </c>
      <c r="C93" s="72" t="s">
        <v>14</v>
      </c>
      <c r="D93" s="74">
        <v>21</v>
      </c>
      <c r="E93" s="88">
        <v>644.14</v>
      </c>
      <c r="F93" s="5">
        <v>6</v>
      </c>
      <c r="G93" s="5">
        <v>0</v>
      </c>
      <c r="H93" s="90"/>
      <c r="I93" s="5">
        <v>21</v>
      </c>
      <c r="J93" s="5"/>
      <c r="K93" s="5"/>
      <c r="L93" s="5">
        <v>0</v>
      </c>
      <c r="M93" s="5">
        <v>0</v>
      </c>
      <c r="N93" s="5"/>
      <c r="O93" s="5"/>
      <c r="P93" s="5">
        <v>644.14</v>
      </c>
      <c r="Q93" s="5">
        <v>0</v>
      </c>
      <c r="R93" s="5">
        <f t="shared" si="1"/>
        <v>0</v>
      </c>
      <c r="S93" s="5"/>
      <c r="T93" s="5"/>
      <c r="U93" s="5"/>
      <c r="V93" s="5"/>
      <c r="W93" s="5"/>
    </row>
    <row r="94" spans="1:23" ht="26">
      <c r="A94" s="78">
        <v>3030214</v>
      </c>
      <c r="B94" s="71" t="s">
        <v>84</v>
      </c>
      <c r="C94" s="72" t="s">
        <v>22</v>
      </c>
      <c r="D94" s="74">
        <v>99</v>
      </c>
      <c r="E94" s="88">
        <v>21.4</v>
      </c>
      <c r="F94" s="5">
        <v>17</v>
      </c>
      <c r="G94" s="5">
        <v>0</v>
      </c>
      <c r="H94" s="90"/>
      <c r="I94" s="5">
        <v>90</v>
      </c>
      <c r="J94" s="5"/>
      <c r="K94" s="5"/>
      <c r="L94" s="5">
        <v>0</v>
      </c>
      <c r="M94" s="5">
        <v>0</v>
      </c>
      <c r="N94" s="5"/>
      <c r="O94" s="5"/>
      <c r="P94" s="5">
        <v>21.4</v>
      </c>
      <c r="Q94" s="5">
        <v>0</v>
      </c>
      <c r="R94" s="5">
        <f t="shared" si="1"/>
        <v>0</v>
      </c>
      <c r="S94" s="5"/>
      <c r="T94" s="5"/>
      <c r="U94" s="5"/>
      <c r="V94" s="5"/>
      <c r="W94" s="5"/>
    </row>
    <row r="95" spans="1:23" ht="26">
      <c r="A95" s="78">
        <v>3030216</v>
      </c>
      <c r="B95" s="71" t="s">
        <v>85</v>
      </c>
      <c r="C95" s="72" t="s">
        <v>22</v>
      </c>
      <c r="D95" s="74">
        <v>59</v>
      </c>
      <c r="E95" s="88">
        <v>21.4</v>
      </c>
      <c r="F95" s="5">
        <v>4</v>
      </c>
      <c r="G95" s="5">
        <v>0</v>
      </c>
      <c r="H95" s="90"/>
      <c r="I95" s="5">
        <v>54</v>
      </c>
      <c r="J95" s="5"/>
      <c r="K95" s="5"/>
      <c r="L95" s="5">
        <v>0</v>
      </c>
      <c r="M95" s="5">
        <v>0</v>
      </c>
      <c r="N95" s="5"/>
      <c r="O95" s="5"/>
      <c r="P95" s="5">
        <v>21.4</v>
      </c>
      <c r="Q95" s="5">
        <v>0</v>
      </c>
      <c r="R95" s="5">
        <f t="shared" si="1"/>
        <v>0</v>
      </c>
      <c r="S95" s="5"/>
      <c r="T95" s="5"/>
      <c r="U95" s="5"/>
      <c r="V95" s="5"/>
      <c r="W95" s="5"/>
    </row>
    <row r="96" spans="1:23" ht="26">
      <c r="A96" s="78">
        <v>3030217</v>
      </c>
      <c r="B96" s="71" t="s">
        <v>86</v>
      </c>
      <c r="C96" s="72" t="s">
        <v>18</v>
      </c>
      <c r="D96" s="73">
        <v>42</v>
      </c>
      <c r="E96" s="87">
        <v>1284</v>
      </c>
      <c r="F96" s="5">
        <v>30</v>
      </c>
      <c r="G96" s="5">
        <v>2</v>
      </c>
      <c r="H96" s="90"/>
      <c r="I96" s="5">
        <v>34</v>
      </c>
      <c r="J96" s="5"/>
      <c r="K96" s="5"/>
      <c r="L96" s="5">
        <v>0</v>
      </c>
      <c r="M96" s="5">
        <v>0</v>
      </c>
      <c r="N96" s="5"/>
      <c r="O96" s="5"/>
      <c r="P96" s="5">
        <v>1284</v>
      </c>
      <c r="Q96" s="5">
        <v>0</v>
      </c>
      <c r="R96" s="5">
        <f t="shared" si="1"/>
        <v>0</v>
      </c>
      <c r="S96" s="5"/>
      <c r="T96" s="5"/>
      <c r="U96" s="5"/>
      <c r="V96" s="5"/>
      <c r="W96" s="5"/>
    </row>
    <row r="97" spans="1:23" ht="26">
      <c r="A97" s="78">
        <v>3030218</v>
      </c>
      <c r="B97" s="71" t="s">
        <v>87</v>
      </c>
      <c r="C97" s="72" t="s">
        <v>17</v>
      </c>
      <c r="D97" s="74">
        <v>10</v>
      </c>
      <c r="E97" s="88">
        <v>64.2</v>
      </c>
      <c r="F97" s="5">
        <v>48</v>
      </c>
      <c r="G97" s="5">
        <v>0</v>
      </c>
      <c r="H97" s="90"/>
      <c r="I97" s="5">
        <v>3</v>
      </c>
      <c r="J97" s="5"/>
      <c r="K97" s="5"/>
      <c r="L97" s="5">
        <v>0</v>
      </c>
      <c r="M97" s="5">
        <v>0</v>
      </c>
      <c r="N97" s="5"/>
      <c r="O97" s="5"/>
      <c r="P97" s="5">
        <v>64.2</v>
      </c>
      <c r="Q97" s="5">
        <v>0</v>
      </c>
      <c r="R97" s="5">
        <f t="shared" si="1"/>
        <v>0</v>
      </c>
      <c r="S97" s="5"/>
      <c r="T97" s="5"/>
      <c r="U97" s="5"/>
      <c r="V97" s="5"/>
      <c r="W97" s="5"/>
    </row>
    <row r="98" spans="1:23" ht="26">
      <c r="A98" s="78">
        <v>3030220</v>
      </c>
      <c r="B98" s="71" t="s">
        <v>88</v>
      </c>
      <c r="C98" s="72" t="s">
        <v>17</v>
      </c>
      <c r="D98" s="74">
        <v>52</v>
      </c>
      <c r="E98" s="88">
        <v>85.6</v>
      </c>
      <c r="F98" s="5">
        <v>16</v>
      </c>
      <c r="G98" s="5">
        <v>1</v>
      </c>
      <c r="H98" s="90"/>
      <c r="I98" s="5">
        <v>52</v>
      </c>
      <c r="J98" s="5"/>
      <c r="K98" s="5"/>
      <c r="L98" s="5">
        <v>0</v>
      </c>
      <c r="M98" s="5">
        <v>0</v>
      </c>
      <c r="N98" s="5"/>
      <c r="O98" s="5"/>
      <c r="P98" s="5">
        <v>85.6</v>
      </c>
      <c r="Q98" s="5">
        <v>0</v>
      </c>
      <c r="R98" s="5">
        <f t="shared" si="1"/>
        <v>0</v>
      </c>
      <c r="S98" s="5"/>
      <c r="T98" s="5"/>
      <c r="U98" s="5"/>
      <c r="V98" s="5"/>
      <c r="W98" s="5"/>
    </row>
    <row r="99" spans="1:23" ht="26">
      <c r="A99" s="78">
        <v>3030220</v>
      </c>
      <c r="B99" s="71" t="s">
        <v>88</v>
      </c>
      <c r="C99" s="72" t="s">
        <v>17</v>
      </c>
      <c r="D99" s="74"/>
      <c r="E99" s="89">
        <v>64.2</v>
      </c>
      <c r="F99" s="5">
        <v>32</v>
      </c>
      <c r="G99" s="5">
        <v>0</v>
      </c>
      <c r="H99" s="90"/>
      <c r="I99" s="5">
        <v>0</v>
      </c>
      <c r="J99" s="5"/>
      <c r="K99" s="5"/>
      <c r="L99" s="5">
        <v>30</v>
      </c>
      <c r="M99" s="5">
        <v>0</v>
      </c>
      <c r="N99" s="5"/>
      <c r="O99" s="5"/>
      <c r="P99" s="5">
        <v>64.2</v>
      </c>
      <c r="Q99" s="5">
        <v>30</v>
      </c>
      <c r="R99" s="5">
        <f t="shared" si="1"/>
        <v>0</v>
      </c>
      <c r="S99" s="5"/>
      <c r="T99" s="5"/>
      <c r="U99" s="5"/>
      <c r="V99" s="5"/>
      <c r="W99" s="5"/>
    </row>
    <row r="100" spans="1:23" ht="26">
      <c r="A100" s="1">
        <v>3030221</v>
      </c>
      <c r="B100" s="71" t="s">
        <v>89</v>
      </c>
      <c r="C100" s="72" t="s">
        <v>14</v>
      </c>
      <c r="D100" s="74">
        <v>0</v>
      </c>
      <c r="E100" s="89">
        <v>0</v>
      </c>
      <c r="F100" s="5">
        <v>21</v>
      </c>
      <c r="G100" s="5">
        <v>0</v>
      </c>
      <c r="H100" s="90"/>
      <c r="I100" s="5">
        <v>0</v>
      </c>
      <c r="J100" s="5"/>
      <c r="K100" s="5"/>
      <c r="L100" s="5">
        <v>0</v>
      </c>
      <c r="M100" s="5">
        <v>0</v>
      </c>
      <c r="N100" s="5"/>
      <c r="O100" s="5"/>
      <c r="P100" s="5">
        <v>0</v>
      </c>
      <c r="Q100" s="5">
        <v>0</v>
      </c>
      <c r="R100" s="5">
        <f t="shared" si="1"/>
        <v>0</v>
      </c>
      <c r="S100" s="5"/>
      <c r="T100" s="5"/>
      <c r="U100" s="5"/>
      <c r="V100" s="5"/>
      <c r="W100" s="5"/>
    </row>
    <row r="101" spans="1:23" ht="26">
      <c r="A101" s="78">
        <v>3030222</v>
      </c>
      <c r="B101" s="71" t="s">
        <v>90</v>
      </c>
      <c r="C101" s="72" t="s">
        <v>17</v>
      </c>
      <c r="D101" s="74">
        <v>33</v>
      </c>
      <c r="E101" s="88">
        <v>53.5</v>
      </c>
      <c r="F101" s="5">
        <v>14</v>
      </c>
      <c r="G101" s="5">
        <v>1</v>
      </c>
      <c r="H101" s="90"/>
      <c r="I101" s="5">
        <v>26</v>
      </c>
      <c r="J101" s="5"/>
      <c r="K101" s="5"/>
      <c r="L101" s="5">
        <v>0</v>
      </c>
      <c r="M101" s="5">
        <v>0</v>
      </c>
      <c r="N101" s="5"/>
      <c r="O101" s="5"/>
      <c r="P101" s="5">
        <v>53.5</v>
      </c>
      <c r="Q101" s="5">
        <v>0</v>
      </c>
      <c r="R101" s="5">
        <f t="shared" si="1"/>
        <v>0</v>
      </c>
      <c r="S101" s="5"/>
      <c r="T101" s="5"/>
      <c r="U101" s="5"/>
      <c r="V101" s="5"/>
      <c r="W101" s="5"/>
    </row>
    <row r="102" spans="1:23" ht="26">
      <c r="A102" s="1">
        <v>3030223</v>
      </c>
      <c r="B102" s="71" t="s">
        <v>91</v>
      </c>
      <c r="C102" s="72" t="s">
        <v>14</v>
      </c>
      <c r="D102" s="74">
        <v>74</v>
      </c>
      <c r="E102" s="88">
        <v>6.42</v>
      </c>
      <c r="F102" s="5">
        <v>2</v>
      </c>
      <c r="G102" s="5">
        <v>0</v>
      </c>
      <c r="H102" s="90"/>
      <c r="I102" s="5">
        <v>74</v>
      </c>
      <c r="J102" s="5"/>
      <c r="K102" s="5"/>
      <c r="L102" s="5">
        <v>30</v>
      </c>
      <c r="M102" s="5">
        <v>0</v>
      </c>
      <c r="N102" s="5"/>
      <c r="O102" s="5"/>
      <c r="P102" s="5">
        <v>6.42</v>
      </c>
      <c r="Q102" s="5">
        <v>30</v>
      </c>
      <c r="R102" s="5">
        <f t="shared" si="1"/>
        <v>0</v>
      </c>
      <c r="S102" s="5"/>
      <c r="T102" s="5"/>
      <c r="U102" s="5"/>
      <c r="V102" s="5"/>
      <c r="W102" s="5"/>
    </row>
    <row r="103" spans="1:23" ht="26">
      <c r="A103" s="1">
        <v>3030223</v>
      </c>
      <c r="B103" s="71" t="s">
        <v>91</v>
      </c>
      <c r="C103" s="72" t="s">
        <v>14</v>
      </c>
      <c r="D103" s="74"/>
      <c r="E103" s="89">
        <v>5.0289999999999999</v>
      </c>
      <c r="F103" s="5">
        <v>48</v>
      </c>
      <c r="G103" s="5">
        <v>0</v>
      </c>
      <c r="H103" s="90"/>
      <c r="I103" s="5">
        <v>0</v>
      </c>
      <c r="J103" s="5"/>
      <c r="K103" s="5"/>
      <c r="L103" s="5">
        <v>0</v>
      </c>
      <c r="M103" s="5">
        <v>0</v>
      </c>
      <c r="N103" s="5"/>
      <c r="O103" s="5"/>
      <c r="P103" s="5">
        <v>5.0289999999999999</v>
      </c>
      <c r="Q103" s="5">
        <v>0</v>
      </c>
      <c r="R103" s="5">
        <f t="shared" si="1"/>
        <v>0</v>
      </c>
      <c r="S103" s="5"/>
      <c r="T103" s="5"/>
      <c r="U103" s="5"/>
      <c r="V103" s="5"/>
      <c r="W103" s="5"/>
    </row>
    <row r="104" spans="1:23" ht="26">
      <c r="A104" s="78">
        <v>3030224</v>
      </c>
      <c r="B104" s="71" t="s">
        <v>92</v>
      </c>
      <c r="C104" s="72" t="s">
        <v>17</v>
      </c>
      <c r="D104" s="74">
        <v>16</v>
      </c>
      <c r="E104" s="88">
        <v>171.2</v>
      </c>
      <c r="F104" s="5">
        <v>1</v>
      </c>
      <c r="G104" s="5">
        <v>0</v>
      </c>
      <c r="H104" s="90"/>
      <c r="I104" s="5">
        <v>16</v>
      </c>
      <c r="J104" s="5"/>
      <c r="K104" s="5"/>
      <c r="L104" s="5">
        <v>0</v>
      </c>
      <c r="M104" s="5">
        <v>0</v>
      </c>
      <c r="N104" s="5"/>
      <c r="O104" s="5"/>
      <c r="P104" s="5">
        <v>171.2</v>
      </c>
      <c r="Q104" s="5">
        <v>0</v>
      </c>
      <c r="R104" s="5">
        <f t="shared" si="1"/>
        <v>0</v>
      </c>
      <c r="S104" s="5"/>
      <c r="T104" s="5"/>
      <c r="U104" s="5"/>
      <c r="V104" s="5"/>
      <c r="W104" s="5"/>
    </row>
    <row r="105" spans="1:23" ht="26">
      <c r="A105" s="78">
        <v>3030224</v>
      </c>
      <c r="B105" s="71" t="s">
        <v>92</v>
      </c>
      <c r="C105" s="72" t="s">
        <v>17</v>
      </c>
      <c r="D105" s="74"/>
      <c r="E105" s="89">
        <v>64.2</v>
      </c>
      <c r="F105" s="5">
        <v>2</v>
      </c>
      <c r="G105" s="5">
        <v>0</v>
      </c>
      <c r="H105" s="90"/>
      <c r="I105" s="5">
        <v>0</v>
      </c>
      <c r="J105" s="5"/>
      <c r="K105" s="5"/>
      <c r="L105" s="5">
        <v>0</v>
      </c>
      <c r="M105" s="5">
        <v>0</v>
      </c>
      <c r="N105" s="5"/>
      <c r="O105" s="5"/>
      <c r="P105" s="5">
        <v>64.2</v>
      </c>
      <c r="Q105" s="5">
        <v>0</v>
      </c>
      <c r="R105" s="5">
        <f t="shared" si="1"/>
        <v>0</v>
      </c>
      <c r="S105" s="5"/>
      <c r="T105" s="5"/>
      <c r="U105" s="5"/>
      <c r="V105" s="5"/>
      <c r="W105" s="5"/>
    </row>
    <row r="106" spans="1:23" ht="26">
      <c r="A106" s="1">
        <v>3030225</v>
      </c>
      <c r="B106" s="71" t="s">
        <v>93</v>
      </c>
      <c r="C106" s="72" t="s">
        <v>14</v>
      </c>
      <c r="D106" s="74">
        <v>8</v>
      </c>
      <c r="E106" s="88">
        <v>4.71</v>
      </c>
      <c r="F106" s="5">
        <v>4</v>
      </c>
      <c r="G106" s="5">
        <v>0</v>
      </c>
      <c r="H106" s="90"/>
      <c r="I106" s="5">
        <v>8</v>
      </c>
      <c r="J106" s="5"/>
      <c r="K106" s="5"/>
      <c r="L106" s="5">
        <v>0</v>
      </c>
      <c r="M106" s="5">
        <v>0</v>
      </c>
      <c r="N106" s="5"/>
      <c r="O106" s="5"/>
      <c r="P106" s="5">
        <v>4.71</v>
      </c>
      <c r="Q106" s="5">
        <v>0</v>
      </c>
      <c r="R106" s="5">
        <f t="shared" si="1"/>
        <v>0</v>
      </c>
      <c r="S106" s="5"/>
      <c r="T106" s="5"/>
      <c r="U106" s="5"/>
      <c r="V106" s="5"/>
      <c r="W106" s="5"/>
    </row>
    <row r="107" spans="1:23" ht="26">
      <c r="A107" s="78">
        <v>3030226</v>
      </c>
      <c r="B107" s="71" t="s">
        <v>94</v>
      </c>
      <c r="C107" s="72" t="s">
        <v>17</v>
      </c>
      <c r="D107" s="74">
        <v>15</v>
      </c>
      <c r="E107" s="88">
        <v>53.5</v>
      </c>
      <c r="F107" s="5">
        <v>14</v>
      </c>
      <c r="G107" s="5">
        <v>0</v>
      </c>
      <c r="H107" s="90"/>
      <c r="I107" s="5">
        <v>15</v>
      </c>
      <c r="J107" s="5"/>
      <c r="K107" s="5"/>
      <c r="L107" s="5">
        <v>0</v>
      </c>
      <c r="M107" s="5">
        <v>0</v>
      </c>
      <c r="N107" s="5"/>
      <c r="O107" s="5"/>
      <c r="P107" s="5">
        <v>53.5</v>
      </c>
      <c r="Q107" s="5">
        <v>0</v>
      </c>
      <c r="R107" s="5">
        <f t="shared" si="1"/>
        <v>0</v>
      </c>
      <c r="S107" s="5"/>
      <c r="T107" s="5"/>
      <c r="U107" s="5"/>
      <c r="V107" s="5"/>
      <c r="W107" s="5"/>
    </row>
    <row r="108" spans="1:23" ht="26">
      <c r="A108" s="1">
        <v>3030227</v>
      </c>
      <c r="B108" s="71" t="s">
        <v>95</v>
      </c>
      <c r="C108" s="72" t="s">
        <v>14</v>
      </c>
      <c r="D108" s="74">
        <v>8</v>
      </c>
      <c r="E108" s="88">
        <v>18.510000000000002</v>
      </c>
      <c r="F108" s="5">
        <v>7</v>
      </c>
      <c r="G108" s="5">
        <v>0</v>
      </c>
      <c r="H108" s="90"/>
      <c r="I108" s="5">
        <v>8</v>
      </c>
      <c r="J108" s="5"/>
      <c r="K108" s="5"/>
      <c r="L108" s="5">
        <v>0</v>
      </c>
      <c r="M108" s="5">
        <v>0</v>
      </c>
      <c r="N108" s="5"/>
      <c r="O108" s="5"/>
      <c r="P108" s="5">
        <v>18.510000000000002</v>
      </c>
      <c r="Q108" s="5">
        <v>0</v>
      </c>
      <c r="R108" s="5">
        <f t="shared" si="1"/>
        <v>0</v>
      </c>
      <c r="S108" s="5"/>
      <c r="T108" s="5"/>
      <c r="U108" s="5"/>
      <c r="V108" s="5"/>
      <c r="W108" s="5"/>
    </row>
    <row r="109" spans="1:23" ht="26">
      <c r="A109" s="78">
        <v>3030228</v>
      </c>
      <c r="B109" s="71" t="s">
        <v>96</v>
      </c>
      <c r="C109" s="72" t="s">
        <v>17</v>
      </c>
      <c r="D109" s="74">
        <v>35</v>
      </c>
      <c r="E109" s="88">
        <v>53.5</v>
      </c>
      <c r="F109" s="5">
        <v>17</v>
      </c>
      <c r="G109" s="5">
        <v>0</v>
      </c>
      <c r="H109" s="90"/>
      <c r="I109" s="5">
        <v>35</v>
      </c>
      <c r="J109" s="5"/>
      <c r="K109" s="5"/>
      <c r="L109" s="5">
        <v>0</v>
      </c>
      <c r="M109" s="5">
        <v>0</v>
      </c>
      <c r="N109" s="5"/>
      <c r="O109" s="5"/>
      <c r="P109" s="5">
        <v>53.5</v>
      </c>
      <c r="Q109" s="5">
        <v>0</v>
      </c>
      <c r="R109" s="5">
        <f t="shared" si="1"/>
        <v>0</v>
      </c>
      <c r="S109" s="5"/>
      <c r="T109" s="5"/>
      <c r="U109" s="5"/>
      <c r="V109" s="5"/>
      <c r="W109" s="5"/>
    </row>
    <row r="110" spans="1:23" ht="26">
      <c r="A110" s="78">
        <v>3030230</v>
      </c>
      <c r="B110" s="71" t="s">
        <v>97</v>
      </c>
      <c r="C110" s="72" t="s">
        <v>15</v>
      </c>
      <c r="D110" s="77"/>
      <c r="E110" s="89">
        <v>197.95</v>
      </c>
      <c r="F110" s="5">
        <v>0</v>
      </c>
      <c r="G110" s="5">
        <v>1</v>
      </c>
      <c r="H110" s="90"/>
      <c r="I110" s="5">
        <v>0</v>
      </c>
      <c r="J110" s="5"/>
      <c r="K110" s="5"/>
      <c r="L110" s="5">
        <v>30</v>
      </c>
      <c r="M110" s="5">
        <v>0</v>
      </c>
      <c r="N110" s="5"/>
      <c r="O110" s="5"/>
      <c r="P110" s="5">
        <v>197.95</v>
      </c>
      <c r="Q110" s="5">
        <v>30</v>
      </c>
      <c r="R110" s="5">
        <f t="shared" si="1"/>
        <v>0</v>
      </c>
      <c r="S110" s="5"/>
      <c r="T110" s="5"/>
      <c r="U110" s="5"/>
      <c r="V110" s="5"/>
      <c r="W110" s="5"/>
    </row>
    <row r="111" spans="1:23" ht="26">
      <c r="A111" s="1">
        <v>3030231</v>
      </c>
      <c r="B111" s="71" t="s">
        <v>98</v>
      </c>
      <c r="C111" s="72" t="s">
        <v>14</v>
      </c>
      <c r="D111" s="74">
        <v>5</v>
      </c>
      <c r="E111" s="88">
        <v>28.355</v>
      </c>
      <c r="F111" s="5">
        <v>4</v>
      </c>
      <c r="G111" s="5">
        <v>0</v>
      </c>
      <c r="H111" s="90"/>
      <c r="I111" s="5">
        <v>2</v>
      </c>
      <c r="J111" s="5"/>
      <c r="K111" s="5"/>
      <c r="L111" s="5">
        <v>0</v>
      </c>
      <c r="M111" s="5">
        <v>0</v>
      </c>
      <c r="N111" s="5"/>
      <c r="O111" s="5"/>
      <c r="P111" s="5">
        <v>28.355</v>
      </c>
      <c r="Q111" s="5">
        <v>0</v>
      </c>
      <c r="R111" s="5">
        <f t="shared" si="1"/>
        <v>0</v>
      </c>
      <c r="S111" s="5"/>
      <c r="T111" s="5"/>
      <c r="U111" s="5"/>
      <c r="V111" s="5"/>
      <c r="W111" s="5"/>
    </row>
    <row r="112" spans="1:23" ht="26">
      <c r="A112" s="1">
        <v>3030232</v>
      </c>
      <c r="B112" s="71" t="s">
        <v>99</v>
      </c>
      <c r="C112" s="72" t="s">
        <v>14</v>
      </c>
      <c r="D112" s="77">
        <v>0</v>
      </c>
      <c r="E112" s="89">
        <v>0</v>
      </c>
      <c r="F112" s="5">
        <v>1</v>
      </c>
      <c r="G112" s="5">
        <v>0</v>
      </c>
      <c r="H112" s="90"/>
      <c r="I112" s="5">
        <v>0</v>
      </c>
      <c r="J112" s="5"/>
      <c r="K112" s="5"/>
      <c r="L112" s="5">
        <v>0</v>
      </c>
      <c r="M112" s="5">
        <v>0</v>
      </c>
      <c r="N112" s="5"/>
      <c r="O112" s="5"/>
      <c r="P112" s="5">
        <v>0</v>
      </c>
      <c r="Q112" s="5">
        <v>0</v>
      </c>
      <c r="R112" s="5">
        <f t="shared" si="1"/>
        <v>0</v>
      </c>
      <c r="S112" s="5"/>
      <c r="T112" s="5"/>
      <c r="U112" s="5"/>
      <c r="V112" s="5"/>
      <c r="W112" s="5"/>
    </row>
    <row r="113" spans="1:23" ht="26">
      <c r="A113" s="1">
        <v>3030233</v>
      </c>
      <c r="B113" s="71" t="s">
        <v>100</v>
      </c>
      <c r="C113" s="72" t="s">
        <v>14</v>
      </c>
      <c r="D113" s="74">
        <v>6</v>
      </c>
      <c r="E113" s="88">
        <v>18.510999999999999</v>
      </c>
      <c r="F113" s="5">
        <v>3</v>
      </c>
      <c r="G113" s="5">
        <v>0</v>
      </c>
      <c r="H113" s="90"/>
      <c r="I113" s="5">
        <v>2</v>
      </c>
      <c r="J113" s="5"/>
      <c r="K113" s="5"/>
      <c r="L113" s="5">
        <v>0</v>
      </c>
      <c r="M113" s="5">
        <v>0</v>
      </c>
      <c r="N113" s="5"/>
      <c r="O113" s="5"/>
      <c r="P113" s="5">
        <v>18.510999999999999</v>
      </c>
      <c r="Q113" s="5">
        <v>0</v>
      </c>
      <c r="R113" s="5">
        <f t="shared" si="1"/>
        <v>0</v>
      </c>
      <c r="S113" s="5"/>
      <c r="T113" s="5"/>
      <c r="U113" s="5"/>
      <c r="V113" s="5"/>
      <c r="W113" s="5"/>
    </row>
    <row r="114" spans="1:23" ht="26">
      <c r="A114" s="78">
        <v>3030234</v>
      </c>
      <c r="B114" s="71" t="s">
        <v>101</v>
      </c>
      <c r="C114" s="72" t="s">
        <v>15</v>
      </c>
      <c r="D114" s="74">
        <v>21</v>
      </c>
      <c r="E114" s="88">
        <v>181.9</v>
      </c>
      <c r="F114" s="5">
        <v>3</v>
      </c>
      <c r="G114" s="5">
        <v>0</v>
      </c>
      <c r="H114" s="90"/>
      <c r="I114" s="5">
        <v>16</v>
      </c>
      <c r="J114" s="5"/>
      <c r="K114" s="5"/>
      <c r="L114" s="5">
        <v>0</v>
      </c>
      <c r="M114" s="5">
        <v>0</v>
      </c>
      <c r="N114" s="5"/>
      <c r="O114" s="5"/>
      <c r="P114" s="5">
        <v>181.9</v>
      </c>
      <c r="Q114" s="5">
        <v>0</v>
      </c>
      <c r="R114" s="5">
        <f t="shared" si="1"/>
        <v>0</v>
      </c>
      <c r="S114" s="5"/>
      <c r="T114" s="5"/>
      <c r="U114" s="5"/>
      <c r="V114" s="5"/>
      <c r="W114" s="5"/>
    </row>
    <row r="115" spans="1:23" ht="26">
      <c r="A115" s="78">
        <v>3030236</v>
      </c>
      <c r="B115" s="71" t="s">
        <v>102</v>
      </c>
      <c r="C115" s="72" t="s">
        <v>103</v>
      </c>
      <c r="D115" s="74">
        <v>224</v>
      </c>
      <c r="E115" s="88">
        <v>58.85</v>
      </c>
      <c r="F115" s="5">
        <v>1</v>
      </c>
      <c r="G115" s="5">
        <v>8</v>
      </c>
      <c r="H115" s="90"/>
      <c r="I115" s="5">
        <v>108</v>
      </c>
      <c r="J115" s="5"/>
      <c r="K115" s="5"/>
      <c r="L115" s="5">
        <v>0</v>
      </c>
      <c r="M115" s="5">
        <v>0</v>
      </c>
      <c r="N115" s="5"/>
      <c r="O115" s="5"/>
      <c r="P115" s="5">
        <v>58.85</v>
      </c>
      <c r="Q115" s="5">
        <v>0</v>
      </c>
      <c r="R115" s="5">
        <f t="shared" si="1"/>
        <v>0</v>
      </c>
      <c r="S115" s="5"/>
      <c r="T115" s="5"/>
      <c r="U115" s="5"/>
      <c r="V115" s="5"/>
      <c r="W115" s="5"/>
    </row>
    <row r="116" spans="1:23" ht="26">
      <c r="A116" s="78">
        <v>3030238</v>
      </c>
      <c r="B116" s="71" t="s">
        <v>416</v>
      </c>
      <c r="C116" s="72" t="s">
        <v>103</v>
      </c>
      <c r="D116" s="77"/>
      <c r="E116" s="88">
        <v>90.95</v>
      </c>
      <c r="F116" s="5">
        <v>15</v>
      </c>
      <c r="G116" s="5">
        <v>4</v>
      </c>
      <c r="H116" s="90"/>
      <c r="I116" s="5">
        <v>163</v>
      </c>
      <c r="J116" s="5"/>
      <c r="K116" s="5"/>
      <c r="L116" s="5">
        <v>0</v>
      </c>
      <c r="M116" s="5">
        <v>300</v>
      </c>
      <c r="N116" s="5"/>
      <c r="O116" s="5"/>
      <c r="P116" s="5">
        <v>90.95</v>
      </c>
      <c r="Q116" s="5">
        <v>0</v>
      </c>
      <c r="R116" s="5">
        <f t="shared" si="1"/>
        <v>27285</v>
      </c>
      <c r="S116" s="5"/>
      <c r="T116" s="5"/>
      <c r="U116" s="5"/>
      <c r="V116" s="5"/>
      <c r="W116" s="5"/>
    </row>
    <row r="117" spans="1:23" ht="26">
      <c r="A117" s="78">
        <v>3030240</v>
      </c>
      <c r="B117" s="71" t="s">
        <v>104</v>
      </c>
      <c r="C117" s="72" t="s">
        <v>103</v>
      </c>
      <c r="D117" s="74">
        <v>22</v>
      </c>
      <c r="E117" s="88">
        <v>278.2</v>
      </c>
      <c r="F117" s="5">
        <v>3</v>
      </c>
      <c r="G117" s="5">
        <v>5</v>
      </c>
      <c r="H117" s="90"/>
      <c r="I117" s="5">
        <v>20</v>
      </c>
      <c r="J117" s="5"/>
      <c r="K117" s="5"/>
      <c r="L117" s="5">
        <v>0</v>
      </c>
      <c r="M117" s="5">
        <v>0</v>
      </c>
      <c r="N117" s="5"/>
      <c r="O117" s="5"/>
      <c r="P117" s="5">
        <v>278.2</v>
      </c>
      <c r="Q117" s="5">
        <v>0</v>
      </c>
      <c r="R117" s="5">
        <f t="shared" si="1"/>
        <v>0</v>
      </c>
      <c r="S117" s="5"/>
      <c r="T117" s="5"/>
      <c r="U117" s="5"/>
      <c r="V117" s="5"/>
      <c r="W117" s="5"/>
    </row>
    <row r="118" spans="1:23" ht="26">
      <c r="A118" s="1">
        <v>3030243</v>
      </c>
      <c r="B118" s="71" t="s">
        <v>105</v>
      </c>
      <c r="C118" s="72" t="s">
        <v>14</v>
      </c>
      <c r="D118" s="77">
        <v>0</v>
      </c>
      <c r="E118" s="89">
        <v>0</v>
      </c>
      <c r="F118" s="5">
        <v>63</v>
      </c>
      <c r="G118" s="5">
        <v>51</v>
      </c>
      <c r="H118" s="90"/>
      <c r="I118" s="5">
        <v>0</v>
      </c>
      <c r="J118" s="5"/>
      <c r="K118" s="5"/>
      <c r="L118" s="5">
        <v>300</v>
      </c>
      <c r="M118" s="5">
        <v>0</v>
      </c>
      <c r="N118" s="5"/>
      <c r="O118" s="5"/>
      <c r="P118" s="5">
        <v>0</v>
      </c>
      <c r="Q118" s="5">
        <v>300</v>
      </c>
      <c r="R118" s="5">
        <f t="shared" si="1"/>
        <v>0</v>
      </c>
      <c r="S118" s="5"/>
      <c r="T118" s="5"/>
      <c r="U118" s="5"/>
      <c r="V118" s="5"/>
      <c r="W118" s="5"/>
    </row>
    <row r="119" spans="1:23" ht="26">
      <c r="A119" s="78">
        <v>3030248</v>
      </c>
      <c r="B119" s="71" t="s">
        <v>417</v>
      </c>
      <c r="C119" s="72" t="s">
        <v>103</v>
      </c>
      <c r="D119" s="74">
        <v>170</v>
      </c>
      <c r="E119" s="88">
        <v>90</v>
      </c>
      <c r="F119" s="5">
        <v>20</v>
      </c>
      <c r="G119" s="5">
        <v>0</v>
      </c>
      <c r="H119" s="90"/>
      <c r="I119" s="5">
        <v>185</v>
      </c>
      <c r="J119" s="5"/>
      <c r="K119" s="5"/>
      <c r="L119" s="5">
        <v>0</v>
      </c>
      <c r="M119" s="5">
        <v>130</v>
      </c>
      <c r="N119" s="5"/>
      <c r="O119" s="5"/>
      <c r="P119" s="5">
        <v>90</v>
      </c>
      <c r="Q119" s="5">
        <v>0</v>
      </c>
      <c r="R119" s="5">
        <f t="shared" si="1"/>
        <v>11700</v>
      </c>
      <c r="S119" s="5"/>
      <c r="T119" s="5"/>
      <c r="U119" s="5"/>
      <c r="V119" s="5"/>
      <c r="W119" s="5"/>
    </row>
    <row r="120" spans="1:23" ht="26">
      <c r="A120" s="78">
        <v>3030250</v>
      </c>
      <c r="B120" s="71" t="s">
        <v>106</v>
      </c>
      <c r="C120" s="72" t="s">
        <v>17</v>
      </c>
      <c r="D120" s="74">
        <v>2</v>
      </c>
      <c r="E120" s="89">
        <v>181.9</v>
      </c>
      <c r="F120" s="5">
        <v>1</v>
      </c>
      <c r="G120" s="5">
        <v>0</v>
      </c>
      <c r="H120" s="90"/>
      <c r="I120" s="5">
        <v>0</v>
      </c>
      <c r="J120" s="5"/>
      <c r="K120" s="5"/>
      <c r="L120" s="5">
        <v>0</v>
      </c>
      <c r="M120" s="5">
        <v>0</v>
      </c>
      <c r="N120" s="5"/>
      <c r="O120" s="5"/>
      <c r="P120" s="5">
        <v>181.9</v>
      </c>
      <c r="Q120" s="5">
        <v>0</v>
      </c>
      <c r="R120" s="5">
        <f t="shared" si="1"/>
        <v>0</v>
      </c>
      <c r="S120" s="5"/>
      <c r="T120" s="5"/>
      <c r="U120" s="5"/>
      <c r="V120" s="5"/>
      <c r="W120" s="5"/>
    </row>
    <row r="121" spans="1:23" ht="26">
      <c r="A121" s="1">
        <v>3030251</v>
      </c>
      <c r="B121" s="71" t="s">
        <v>107</v>
      </c>
      <c r="C121" s="72" t="s">
        <v>14</v>
      </c>
      <c r="D121" s="77"/>
      <c r="E121" s="89">
        <v>85.6</v>
      </c>
      <c r="F121" s="5">
        <v>49</v>
      </c>
      <c r="G121" s="5">
        <v>17</v>
      </c>
      <c r="H121" s="90"/>
      <c r="I121" s="5">
        <v>0</v>
      </c>
      <c r="J121" s="5"/>
      <c r="K121" s="5"/>
      <c r="L121" s="5">
        <v>0</v>
      </c>
      <c r="M121" s="5">
        <v>0</v>
      </c>
      <c r="N121" s="5"/>
      <c r="O121" s="5"/>
      <c r="P121" s="5">
        <v>85.6</v>
      </c>
      <c r="Q121" s="5">
        <v>0</v>
      </c>
      <c r="R121" s="5">
        <f t="shared" si="1"/>
        <v>0</v>
      </c>
      <c r="S121" s="5"/>
      <c r="T121" s="5"/>
      <c r="U121" s="5"/>
      <c r="V121" s="5"/>
      <c r="W121" s="5"/>
    </row>
    <row r="122" spans="1:23" ht="26">
      <c r="A122" s="78">
        <v>3030252</v>
      </c>
      <c r="B122" s="71" t="s">
        <v>108</v>
      </c>
      <c r="C122" s="72" t="s">
        <v>17</v>
      </c>
      <c r="D122" s="74">
        <v>6</v>
      </c>
      <c r="E122" s="88">
        <v>80.003900000000002</v>
      </c>
      <c r="F122" s="5">
        <v>1</v>
      </c>
      <c r="G122" s="5">
        <v>76</v>
      </c>
      <c r="H122" s="90"/>
      <c r="I122" s="5">
        <v>4</v>
      </c>
      <c r="J122" s="5"/>
      <c r="K122" s="5"/>
      <c r="L122" s="5">
        <v>100</v>
      </c>
      <c r="M122" s="5">
        <v>0</v>
      </c>
      <c r="N122" s="5"/>
      <c r="O122" s="5"/>
      <c r="P122" s="5">
        <v>80.003900000000002</v>
      </c>
      <c r="Q122" s="5">
        <v>100</v>
      </c>
      <c r="R122" s="5">
        <f t="shared" si="1"/>
        <v>0</v>
      </c>
      <c r="S122" s="5"/>
      <c r="T122" s="5"/>
      <c r="U122" s="5"/>
      <c r="V122" s="5"/>
      <c r="W122" s="5"/>
    </row>
    <row r="123" spans="1:23" ht="26">
      <c r="A123" s="1">
        <v>3030253</v>
      </c>
      <c r="B123" s="71" t="s">
        <v>109</v>
      </c>
      <c r="C123" s="72" t="s">
        <v>14</v>
      </c>
      <c r="D123" s="74">
        <v>57</v>
      </c>
      <c r="E123" s="88">
        <v>160.5</v>
      </c>
      <c r="F123" s="5">
        <v>4</v>
      </c>
      <c r="G123" s="5">
        <v>0</v>
      </c>
      <c r="H123" s="90"/>
      <c r="I123" s="5">
        <v>44</v>
      </c>
      <c r="J123" s="5"/>
      <c r="K123" s="5"/>
      <c r="L123" s="5">
        <v>0</v>
      </c>
      <c r="M123" s="5">
        <v>0</v>
      </c>
      <c r="N123" s="5"/>
      <c r="O123" s="5"/>
      <c r="P123" s="5">
        <v>160.5</v>
      </c>
      <c r="Q123" s="5">
        <v>0</v>
      </c>
      <c r="R123" s="5">
        <f t="shared" si="1"/>
        <v>0</v>
      </c>
      <c r="S123" s="5"/>
      <c r="T123" s="5"/>
      <c r="U123" s="5"/>
      <c r="V123" s="5"/>
      <c r="W123" s="5"/>
    </row>
    <row r="124" spans="1:23" ht="26">
      <c r="A124" s="78">
        <v>3030254</v>
      </c>
      <c r="B124" s="71" t="s">
        <v>110</v>
      </c>
      <c r="C124" s="72" t="s">
        <v>17</v>
      </c>
      <c r="D124" s="74">
        <v>16</v>
      </c>
      <c r="E124" s="89">
        <v>21.4</v>
      </c>
      <c r="F124" s="5">
        <v>48</v>
      </c>
      <c r="G124" s="5">
        <v>0</v>
      </c>
      <c r="H124" s="90"/>
      <c r="I124" s="5">
        <v>0</v>
      </c>
      <c r="J124" s="5"/>
      <c r="K124" s="5"/>
      <c r="L124" s="5">
        <v>0</v>
      </c>
      <c r="M124" s="5">
        <v>0</v>
      </c>
      <c r="N124" s="5"/>
      <c r="O124" s="5"/>
      <c r="P124" s="5">
        <v>21.4</v>
      </c>
      <c r="Q124" s="5">
        <v>0</v>
      </c>
      <c r="R124" s="5">
        <f t="shared" si="1"/>
        <v>0</v>
      </c>
      <c r="S124" s="5"/>
      <c r="T124" s="5"/>
      <c r="U124" s="5"/>
      <c r="V124" s="5"/>
      <c r="W124" s="5"/>
    </row>
    <row r="125" spans="1:23" ht="26">
      <c r="A125" s="78">
        <v>3030254</v>
      </c>
      <c r="B125" s="71" t="s">
        <v>110</v>
      </c>
      <c r="C125" s="72" t="s">
        <v>17</v>
      </c>
      <c r="D125" s="77"/>
      <c r="E125" s="89">
        <v>16.05</v>
      </c>
      <c r="F125" s="5">
        <v>10</v>
      </c>
      <c r="G125" s="5">
        <v>0</v>
      </c>
      <c r="H125" s="90"/>
      <c r="I125" s="5">
        <v>0</v>
      </c>
      <c r="J125" s="5"/>
      <c r="K125" s="5"/>
      <c r="L125" s="5">
        <v>0</v>
      </c>
      <c r="M125" s="5">
        <v>0</v>
      </c>
      <c r="N125" s="5"/>
      <c r="O125" s="5"/>
      <c r="P125" s="5">
        <v>16.05</v>
      </c>
      <c r="Q125" s="5">
        <v>0</v>
      </c>
      <c r="R125" s="5">
        <f t="shared" si="1"/>
        <v>0</v>
      </c>
      <c r="S125" s="5"/>
      <c r="T125" s="5"/>
      <c r="U125" s="5"/>
      <c r="V125" s="5"/>
      <c r="W125" s="5"/>
    </row>
    <row r="126" spans="1:23" ht="26">
      <c r="A126" s="79">
        <v>3030257</v>
      </c>
      <c r="B126" s="71" t="s">
        <v>111</v>
      </c>
      <c r="C126" s="72" t="s">
        <v>14</v>
      </c>
      <c r="D126" s="74">
        <v>49</v>
      </c>
      <c r="E126" s="88">
        <v>42.8</v>
      </c>
      <c r="F126" s="5">
        <v>72</v>
      </c>
      <c r="G126" s="5">
        <v>3</v>
      </c>
      <c r="H126" s="90"/>
      <c r="I126" s="5">
        <v>147</v>
      </c>
      <c r="J126" s="5"/>
      <c r="K126" s="5"/>
      <c r="L126" s="5">
        <v>0</v>
      </c>
      <c r="M126" s="5">
        <v>100</v>
      </c>
      <c r="N126" s="5"/>
      <c r="O126" s="5"/>
      <c r="P126" s="5">
        <v>42.8</v>
      </c>
      <c r="Q126" s="5">
        <v>0</v>
      </c>
      <c r="R126" s="5">
        <f t="shared" si="1"/>
        <v>4280</v>
      </c>
      <c r="S126" s="5"/>
      <c r="T126" s="5"/>
      <c r="U126" s="5"/>
      <c r="V126" s="5"/>
      <c r="W126" s="5"/>
    </row>
    <row r="127" spans="1:23" ht="26">
      <c r="A127" s="79">
        <v>3030261</v>
      </c>
      <c r="B127" s="71" t="s">
        <v>112</v>
      </c>
      <c r="C127" s="72" t="s">
        <v>14</v>
      </c>
      <c r="D127" s="74">
        <v>31</v>
      </c>
      <c r="E127" s="89">
        <v>85.6</v>
      </c>
      <c r="F127" s="5">
        <v>34</v>
      </c>
      <c r="G127" s="5">
        <v>2</v>
      </c>
      <c r="H127" s="90"/>
      <c r="I127" s="5">
        <v>0</v>
      </c>
      <c r="J127" s="5"/>
      <c r="K127" s="5"/>
      <c r="L127" s="5">
        <v>0</v>
      </c>
      <c r="M127" s="5">
        <v>0</v>
      </c>
      <c r="N127" s="5"/>
      <c r="O127" s="5"/>
      <c r="P127" s="5">
        <v>85.6</v>
      </c>
      <c r="Q127" s="5">
        <v>0</v>
      </c>
      <c r="R127" s="5">
        <f t="shared" si="1"/>
        <v>0</v>
      </c>
      <c r="S127" s="5"/>
      <c r="T127" s="5"/>
      <c r="U127" s="5"/>
      <c r="V127" s="5"/>
      <c r="W127" s="5"/>
    </row>
    <row r="128" spans="1:23" ht="26">
      <c r="A128" s="78">
        <v>3030262</v>
      </c>
      <c r="B128" s="71" t="s">
        <v>113</v>
      </c>
      <c r="C128" s="72" t="s">
        <v>17</v>
      </c>
      <c r="D128" s="74">
        <v>10</v>
      </c>
      <c r="E128" s="88">
        <v>37.450000000000003</v>
      </c>
      <c r="F128" s="5">
        <v>7</v>
      </c>
      <c r="G128" s="5">
        <v>2</v>
      </c>
      <c r="H128" s="90"/>
      <c r="I128" s="5">
        <v>10</v>
      </c>
      <c r="J128" s="5"/>
      <c r="K128" s="5"/>
      <c r="L128" s="5">
        <v>0</v>
      </c>
      <c r="M128" s="5">
        <v>0</v>
      </c>
      <c r="N128" s="5"/>
      <c r="O128" s="5"/>
      <c r="P128" s="5">
        <v>37.450000000000003</v>
      </c>
      <c r="Q128" s="5">
        <v>0</v>
      </c>
      <c r="R128" s="5">
        <f t="shared" si="1"/>
        <v>0</v>
      </c>
      <c r="S128" s="5"/>
      <c r="T128" s="5"/>
      <c r="U128" s="5"/>
      <c r="V128" s="5"/>
      <c r="W128" s="5"/>
    </row>
    <row r="129" spans="1:23" ht="26">
      <c r="A129" s="78">
        <v>3030264</v>
      </c>
      <c r="B129" s="71" t="s">
        <v>114</v>
      </c>
      <c r="C129" s="72" t="s">
        <v>25</v>
      </c>
      <c r="D129" s="74">
        <v>100</v>
      </c>
      <c r="E129" s="88">
        <v>23.54</v>
      </c>
      <c r="F129" s="5">
        <v>37</v>
      </c>
      <c r="G129" s="5">
        <v>6</v>
      </c>
      <c r="H129" s="90"/>
      <c r="I129" s="5">
        <v>70</v>
      </c>
      <c r="J129" s="5"/>
      <c r="K129" s="5"/>
      <c r="L129" s="5">
        <v>0</v>
      </c>
      <c r="M129" s="5">
        <v>0</v>
      </c>
      <c r="N129" s="5"/>
      <c r="O129" s="5"/>
      <c r="P129" s="5">
        <v>23.54</v>
      </c>
      <c r="Q129" s="5">
        <v>0</v>
      </c>
      <c r="R129" s="5">
        <f t="shared" si="1"/>
        <v>0</v>
      </c>
      <c r="S129" s="5"/>
      <c r="T129" s="5"/>
      <c r="U129" s="5"/>
      <c r="V129" s="5"/>
      <c r="W129" s="5"/>
    </row>
    <row r="130" spans="1:23" ht="26">
      <c r="A130" s="79">
        <v>3030265</v>
      </c>
      <c r="B130" s="71" t="s">
        <v>115</v>
      </c>
      <c r="C130" s="72" t="s">
        <v>14</v>
      </c>
      <c r="D130" s="74">
        <v>33</v>
      </c>
      <c r="E130" s="88">
        <v>107</v>
      </c>
      <c r="F130" s="5">
        <v>25</v>
      </c>
      <c r="G130" s="5">
        <v>13</v>
      </c>
      <c r="H130" s="90"/>
      <c r="I130" s="5">
        <v>101</v>
      </c>
      <c r="J130" s="5"/>
      <c r="K130" s="5"/>
      <c r="L130" s="5">
        <v>0</v>
      </c>
      <c r="M130" s="5">
        <v>100</v>
      </c>
      <c r="N130" s="5"/>
      <c r="O130" s="5"/>
      <c r="P130" s="5">
        <v>107</v>
      </c>
      <c r="Q130" s="5">
        <v>0</v>
      </c>
      <c r="R130" s="5">
        <f t="shared" si="1"/>
        <v>10700</v>
      </c>
      <c r="S130" s="5"/>
      <c r="T130" s="5"/>
      <c r="U130" s="5"/>
      <c r="V130" s="5"/>
      <c r="W130" s="5"/>
    </row>
    <row r="131" spans="1:23" ht="26">
      <c r="A131" s="79">
        <v>3030269</v>
      </c>
      <c r="B131" s="71" t="s">
        <v>116</v>
      </c>
      <c r="C131" s="72" t="s">
        <v>14</v>
      </c>
      <c r="D131" s="74">
        <v>28</v>
      </c>
      <c r="E131" s="88">
        <v>139.99879999999999</v>
      </c>
      <c r="F131" s="5">
        <v>87</v>
      </c>
      <c r="G131" s="5">
        <v>0</v>
      </c>
      <c r="H131" s="90"/>
      <c r="I131" s="5">
        <v>106</v>
      </c>
      <c r="J131" s="5"/>
      <c r="K131" s="5"/>
      <c r="L131" s="5">
        <v>0</v>
      </c>
      <c r="M131" s="5">
        <v>100</v>
      </c>
      <c r="N131" s="5"/>
      <c r="O131" s="5"/>
      <c r="P131" s="5">
        <v>139.99879999999999</v>
      </c>
      <c r="Q131" s="5">
        <v>0</v>
      </c>
      <c r="R131" s="5">
        <f t="shared" si="1"/>
        <v>13999.88</v>
      </c>
      <c r="S131" s="5"/>
      <c r="T131" s="5"/>
      <c r="U131" s="5"/>
      <c r="V131" s="5"/>
      <c r="W131" s="5"/>
    </row>
    <row r="132" spans="1:23" ht="26">
      <c r="A132" s="78">
        <v>3030272</v>
      </c>
      <c r="B132" s="71" t="s">
        <v>117</v>
      </c>
      <c r="C132" s="72" t="s">
        <v>103</v>
      </c>
      <c r="D132" s="74">
        <v>230</v>
      </c>
      <c r="E132" s="88">
        <v>256.89999999999998</v>
      </c>
      <c r="F132" s="5">
        <v>34</v>
      </c>
      <c r="G132" s="5">
        <v>14</v>
      </c>
      <c r="H132" s="90"/>
      <c r="I132" s="5">
        <v>143</v>
      </c>
      <c r="J132" s="5"/>
      <c r="K132" s="5"/>
      <c r="L132" s="5">
        <v>0</v>
      </c>
      <c r="M132" s="5">
        <v>0</v>
      </c>
      <c r="N132" s="5"/>
      <c r="O132" s="5"/>
      <c r="P132" s="5">
        <v>256.89999999999998</v>
      </c>
      <c r="Q132" s="5">
        <v>0</v>
      </c>
      <c r="R132" s="5">
        <f t="shared" si="1"/>
        <v>0</v>
      </c>
      <c r="S132" s="5"/>
      <c r="T132" s="5"/>
      <c r="U132" s="5"/>
      <c r="V132" s="5"/>
      <c r="W132" s="5"/>
    </row>
    <row r="133" spans="1:23" ht="26">
      <c r="A133" s="78">
        <v>3030274</v>
      </c>
      <c r="B133" s="71" t="s">
        <v>118</v>
      </c>
      <c r="C133" s="72" t="s">
        <v>103</v>
      </c>
      <c r="D133" s="74">
        <v>247</v>
      </c>
      <c r="E133" s="88">
        <v>278</v>
      </c>
      <c r="F133" s="5">
        <v>18</v>
      </c>
      <c r="G133" s="5">
        <v>17</v>
      </c>
      <c r="H133" s="90"/>
      <c r="I133" s="5">
        <v>227</v>
      </c>
      <c r="J133" s="5"/>
      <c r="K133" s="5"/>
      <c r="L133" s="5">
        <v>0</v>
      </c>
      <c r="M133" s="5">
        <v>0</v>
      </c>
      <c r="N133" s="5"/>
      <c r="O133" s="5"/>
      <c r="P133" s="5">
        <v>278</v>
      </c>
      <c r="Q133" s="5">
        <v>0</v>
      </c>
      <c r="R133" s="5">
        <f t="shared" ref="R133:R196" si="2">+M133*P133</f>
        <v>0</v>
      </c>
      <c r="S133" s="5"/>
      <c r="T133" s="5"/>
      <c r="U133" s="5"/>
      <c r="V133" s="5"/>
      <c r="W133" s="5"/>
    </row>
    <row r="134" spans="1:23" ht="26">
      <c r="A134" s="78">
        <v>3030274</v>
      </c>
      <c r="B134" s="71" t="s">
        <v>118</v>
      </c>
      <c r="C134" s="72" t="s">
        <v>103</v>
      </c>
      <c r="D134" s="74"/>
      <c r="E134" s="89">
        <v>422.65</v>
      </c>
      <c r="F134" s="5">
        <v>29</v>
      </c>
      <c r="G134" s="5">
        <v>9</v>
      </c>
      <c r="H134" s="90"/>
      <c r="I134" s="5">
        <v>0</v>
      </c>
      <c r="J134" s="5"/>
      <c r="K134" s="5"/>
      <c r="L134" s="5">
        <v>0</v>
      </c>
      <c r="M134" s="5">
        <v>0</v>
      </c>
      <c r="N134" s="5"/>
      <c r="O134" s="5"/>
      <c r="P134" s="5">
        <v>422.65</v>
      </c>
      <c r="Q134" s="5">
        <v>0</v>
      </c>
      <c r="R134" s="5">
        <f t="shared" si="2"/>
        <v>0</v>
      </c>
      <c r="S134" s="5"/>
      <c r="T134" s="5"/>
      <c r="U134" s="5"/>
      <c r="V134" s="5"/>
      <c r="W134" s="5"/>
    </row>
    <row r="135" spans="1:23" ht="26">
      <c r="A135" s="80">
        <v>3030275</v>
      </c>
      <c r="B135" s="71" t="s">
        <v>119</v>
      </c>
      <c r="C135" s="72" t="s">
        <v>15</v>
      </c>
      <c r="D135" s="74">
        <v>10</v>
      </c>
      <c r="E135" s="88">
        <v>337.05</v>
      </c>
      <c r="F135" s="5">
        <v>15</v>
      </c>
      <c r="G135" s="5">
        <v>8</v>
      </c>
      <c r="H135" s="90"/>
      <c r="I135" s="5">
        <v>8</v>
      </c>
      <c r="J135" s="5"/>
      <c r="K135" s="5"/>
      <c r="L135" s="5">
        <v>0</v>
      </c>
      <c r="M135" s="5">
        <v>0</v>
      </c>
      <c r="N135" s="5"/>
      <c r="O135" s="5"/>
      <c r="P135" s="5">
        <v>337.05</v>
      </c>
      <c r="Q135" s="5">
        <v>0</v>
      </c>
      <c r="R135" s="5">
        <f t="shared" si="2"/>
        <v>0</v>
      </c>
      <c r="S135" s="5"/>
      <c r="T135" s="5"/>
      <c r="U135" s="5"/>
      <c r="V135" s="5"/>
      <c r="W135" s="5"/>
    </row>
    <row r="136" spans="1:23" ht="26">
      <c r="A136" s="78">
        <v>3030276</v>
      </c>
      <c r="B136" s="71" t="s">
        <v>418</v>
      </c>
      <c r="C136" s="72" t="s">
        <v>19</v>
      </c>
      <c r="D136" s="74">
        <v>475</v>
      </c>
      <c r="E136" s="88">
        <v>4.28</v>
      </c>
      <c r="F136" s="5">
        <v>15</v>
      </c>
      <c r="G136" s="5">
        <v>0</v>
      </c>
      <c r="H136" s="90"/>
      <c r="I136" s="5">
        <v>392</v>
      </c>
      <c r="J136" s="5"/>
      <c r="K136" s="5"/>
      <c r="L136" s="5">
        <v>0</v>
      </c>
      <c r="M136" s="5">
        <v>0</v>
      </c>
      <c r="N136" s="5"/>
      <c r="O136" s="5"/>
      <c r="P136" s="5">
        <v>4.28</v>
      </c>
      <c r="Q136" s="5">
        <v>0</v>
      </c>
      <c r="R136" s="5">
        <f t="shared" si="2"/>
        <v>0</v>
      </c>
      <c r="S136" s="5"/>
      <c r="T136" s="5"/>
      <c r="U136" s="5"/>
      <c r="V136" s="5"/>
      <c r="W136" s="5"/>
    </row>
    <row r="137" spans="1:23" ht="26">
      <c r="A137" s="78">
        <v>3030280</v>
      </c>
      <c r="B137" s="71" t="s">
        <v>419</v>
      </c>
      <c r="C137" s="72" t="s">
        <v>14</v>
      </c>
      <c r="D137" s="74">
        <v>34</v>
      </c>
      <c r="E137" s="88">
        <v>85.6</v>
      </c>
      <c r="F137" s="5">
        <v>21</v>
      </c>
      <c r="G137" s="5">
        <v>0</v>
      </c>
      <c r="H137" s="90"/>
      <c r="I137" s="5">
        <v>34</v>
      </c>
      <c r="J137" s="5"/>
      <c r="K137" s="5"/>
      <c r="L137" s="5">
        <v>0</v>
      </c>
      <c r="M137" s="5">
        <v>0</v>
      </c>
      <c r="N137" s="5"/>
      <c r="O137" s="5"/>
      <c r="P137" s="5">
        <v>85.6</v>
      </c>
      <c r="Q137" s="5">
        <v>0</v>
      </c>
      <c r="R137" s="5">
        <f t="shared" si="2"/>
        <v>0</v>
      </c>
      <c r="S137" s="5"/>
      <c r="T137" s="5"/>
      <c r="U137" s="5"/>
      <c r="V137" s="5"/>
      <c r="W137" s="5"/>
    </row>
    <row r="138" spans="1:23" ht="26">
      <c r="A138" s="79">
        <v>3030282</v>
      </c>
      <c r="B138" s="71" t="s">
        <v>120</v>
      </c>
      <c r="C138" s="72" t="s">
        <v>15</v>
      </c>
      <c r="D138" s="74">
        <v>1</v>
      </c>
      <c r="E138" s="88">
        <v>93.37</v>
      </c>
      <c r="F138" s="5">
        <v>10</v>
      </c>
      <c r="G138" s="5">
        <v>0</v>
      </c>
      <c r="H138" s="90"/>
      <c r="I138" s="5">
        <v>1</v>
      </c>
      <c r="J138" s="5"/>
      <c r="K138" s="5"/>
      <c r="L138" s="5">
        <v>0</v>
      </c>
      <c r="M138" s="5">
        <v>0</v>
      </c>
      <c r="N138" s="5"/>
      <c r="O138" s="5"/>
      <c r="P138" s="5">
        <v>93.37</v>
      </c>
      <c r="Q138" s="5">
        <v>0</v>
      </c>
      <c r="R138" s="5">
        <f t="shared" si="2"/>
        <v>0</v>
      </c>
      <c r="S138" s="5"/>
      <c r="T138" s="5"/>
      <c r="U138" s="5"/>
      <c r="V138" s="5"/>
      <c r="W138" s="5"/>
    </row>
    <row r="139" spans="1:23" ht="26">
      <c r="A139" s="80">
        <v>3030283</v>
      </c>
      <c r="B139" s="71" t="s">
        <v>121</v>
      </c>
      <c r="C139" s="72" t="s">
        <v>15</v>
      </c>
      <c r="D139" s="74">
        <v>4</v>
      </c>
      <c r="E139" s="88">
        <v>310.3</v>
      </c>
      <c r="F139" s="5">
        <v>22</v>
      </c>
      <c r="G139" s="5">
        <v>25</v>
      </c>
      <c r="H139" s="90"/>
      <c r="I139" s="5">
        <v>9</v>
      </c>
      <c r="J139" s="5"/>
      <c r="K139" s="5"/>
      <c r="L139" s="5">
        <v>0</v>
      </c>
      <c r="M139" s="5">
        <v>10</v>
      </c>
      <c r="N139" s="5"/>
      <c r="O139" s="5"/>
      <c r="P139" s="5">
        <v>310.3</v>
      </c>
      <c r="Q139" s="5">
        <v>0</v>
      </c>
      <c r="R139" s="5">
        <f t="shared" si="2"/>
        <v>3103</v>
      </c>
      <c r="S139" s="5"/>
      <c r="T139" s="5"/>
      <c r="U139" s="5"/>
      <c r="V139" s="5"/>
      <c r="W139" s="5"/>
    </row>
    <row r="140" spans="1:23" ht="26">
      <c r="A140" s="79">
        <v>3030286</v>
      </c>
      <c r="B140" s="71" t="s">
        <v>122</v>
      </c>
      <c r="C140" s="72" t="s">
        <v>24</v>
      </c>
      <c r="D140" s="74">
        <v>8</v>
      </c>
      <c r="E140" s="88">
        <v>60</v>
      </c>
      <c r="F140" s="5">
        <v>53</v>
      </c>
      <c r="G140" s="5">
        <v>0</v>
      </c>
      <c r="H140" s="90"/>
      <c r="I140" s="5">
        <v>8</v>
      </c>
      <c r="J140" s="5"/>
      <c r="K140" s="5"/>
      <c r="L140" s="5">
        <v>0</v>
      </c>
      <c r="M140" s="5">
        <v>0</v>
      </c>
      <c r="N140" s="5"/>
      <c r="O140" s="5"/>
      <c r="P140" s="5">
        <v>60</v>
      </c>
      <c r="Q140" s="5">
        <v>0</v>
      </c>
      <c r="R140" s="5">
        <f t="shared" si="2"/>
        <v>0</v>
      </c>
      <c r="S140" s="5"/>
      <c r="T140" s="5"/>
      <c r="U140" s="5"/>
      <c r="V140" s="5"/>
      <c r="W140" s="5"/>
    </row>
    <row r="141" spans="1:23" ht="26">
      <c r="A141" s="80">
        <v>3030289</v>
      </c>
      <c r="B141" s="71" t="s">
        <v>123</v>
      </c>
      <c r="C141" s="72" t="s">
        <v>15</v>
      </c>
      <c r="D141" s="74">
        <v>3</v>
      </c>
      <c r="E141" s="88">
        <v>214</v>
      </c>
      <c r="F141" s="5">
        <v>25</v>
      </c>
      <c r="G141" s="5">
        <v>0</v>
      </c>
      <c r="H141" s="90"/>
      <c r="I141" s="5">
        <v>3</v>
      </c>
      <c r="J141" s="5"/>
      <c r="K141" s="5"/>
      <c r="L141" s="5">
        <v>0</v>
      </c>
      <c r="M141" s="5">
        <v>0</v>
      </c>
      <c r="N141" s="5"/>
      <c r="O141" s="5"/>
      <c r="P141" s="5">
        <v>214</v>
      </c>
      <c r="Q141" s="5">
        <v>0</v>
      </c>
      <c r="R141" s="5">
        <f t="shared" si="2"/>
        <v>0</v>
      </c>
      <c r="S141" s="5"/>
      <c r="T141" s="5"/>
      <c r="U141" s="5"/>
      <c r="V141" s="5"/>
      <c r="W141" s="5"/>
    </row>
    <row r="142" spans="1:23" ht="26">
      <c r="A142" s="81">
        <v>3030291</v>
      </c>
      <c r="B142" s="82" t="s">
        <v>420</v>
      </c>
      <c r="C142" s="83" t="s">
        <v>21</v>
      </c>
      <c r="D142" s="84"/>
      <c r="E142" s="89">
        <v>513.6</v>
      </c>
      <c r="F142" s="5">
        <v>0</v>
      </c>
      <c r="G142" s="5">
        <v>0</v>
      </c>
      <c r="H142" s="90"/>
      <c r="I142" s="5">
        <v>0</v>
      </c>
      <c r="J142" s="5"/>
      <c r="K142" s="5"/>
      <c r="L142" s="5">
        <v>0</v>
      </c>
      <c r="M142" s="5">
        <v>0</v>
      </c>
      <c r="N142" s="5"/>
      <c r="O142" s="5"/>
      <c r="P142" s="5">
        <v>513.6</v>
      </c>
      <c r="Q142" s="5">
        <v>0</v>
      </c>
      <c r="R142" s="5">
        <f t="shared" si="2"/>
        <v>0</v>
      </c>
      <c r="S142" s="5"/>
      <c r="T142" s="5"/>
      <c r="U142" s="5"/>
      <c r="V142" s="5"/>
      <c r="W142" s="5"/>
    </row>
    <row r="143" spans="1:23" ht="26">
      <c r="A143" s="2">
        <v>3030390</v>
      </c>
      <c r="B143" s="71" t="s">
        <v>421</v>
      </c>
      <c r="C143" s="72" t="s">
        <v>14</v>
      </c>
      <c r="D143" s="74">
        <v>64</v>
      </c>
      <c r="E143" s="88">
        <v>780</v>
      </c>
      <c r="F143" s="5">
        <v>14</v>
      </c>
      <c r="G143" s="5">
        <v>0</v>
      </c>
      <c r="H143" s="90"/>
      <c r="I143" s="5">
        <v>47</v>
      </c>
      <c r="J143" s="5"/>
      <c r="K143" s="5"/>
      <c r="L143" s="5">
        <v>0</v>
      </c>
      <c r="M143" s="5">
        <v>0</v>
      </c>
      <c r="N143" s="5"/>
      <c r="O143" s="5"/>
      <c r="P143" s="5">
        <v>780</v>
      </c>
      <c r="Q143" s="5">
        <v>0</v>
      </c>
      <c r="R143" s="5">
        <f t="shared" si="2"/>
        <v>0</v>
      </c>
      <c r="S143" s="5"/>
      <c r="T143" s="5"/>
      <c r="U143" s="5"/>
      <c r="V143" s="5"/>
      <c r="W143" s="5"/>
    </row>
    <row r="144" spans="1:23" ht="26">
      <c r="A144" s="2">
        <v>3030391</v>
      </c>
      <c r="B144" s="71" t="s">
        <v>124</v>
      </c>
      <c r="C144" s="72" t="s">
        <v>18</v>
      </c>
      <c r="D144" s="74">
        <v>53</v>
      </c>
      <c r="E144" s="88">
        <v>192.6</v>
      </c>
      <c r="F144" s="5">
        <v>16</v>
      </c>
      <c r="G144" s="5">
        <v>0</v>
      </c>
      <c r="H144" s="90"/>
      <c r="I144" s="5">
        <v>45</v>
      </c>
      <c r="J144" s="5"/>
      <c r="K144" s="5"/>
      <c r="L144" s="5">
        <v>0</v>
      </c>
      <c r="M144" s="5">
        <v>0</v>
      </c>
      <c r="N144" s="5"/>
      <c r="O144" s="5"/>
      <c r="P144" s="5">
        <v>192.6</v>
      </c>
      <c r="Q144" s="5">
        <v>0</v>
      </c>
      <c r="R144" s="5">
        <f t="shared" si="2"/>
        <v>0</v>
      </c>
      <c r="S144" s="5"/>
      <c r="T144" s="5"/>
      <c r="U144" s="5"/>
      <c r="V144" s="5"/>
      <c r="W144" s="5"/>
    </row>
    <row r="145" spans="1:23" ht="26">
      <c r="A145" s="2">
        <v>3030401</v>
      </c>
      <c r="B145" s="71" t="s">
        <v>125</v>
      </c>
      <c r="C145" s="72" t="s">
        <v>14</v>
      </c>
      <c r="D145" s="77">
        <v>0</v>
      </c>
      <c r="E145" s="89">
        <v>0</v>
      </c>
      <c r="F145" s="5">
        <v>15</v>
      </c>
      <c r="G145" s="5">
        <v>2</v>
      </c>
      <c r="H145" s="90"/>
      <c r="I145" s="5">
        <v>0</v>
      </c>
      <c r="J145" s="5"/>
      <c r="K145" s="5"/>
      <c r="L145" s="5">
        <v>0</v>
      </c>
      <c r="M145" s="5">
        <v>0</v>
      </c>
      <c r="N145" s="5"/>
      <c r="O145" s="5"/>
      <c r="P145" s="5">
        <v>0</v>
      </c>
      <c r="Q145" s="5">
        <v>0</v>
      </c>
      <c r="R145" s="5">
        <f t="shared" si="2"/>
        <v>0</v>
      </c>
      <c r="S145" s="5"/>
      <c r="T145" s="5"/>
      <c r="U145" s="5"/>
      <c r="V145" s="5"/>
      <c r="W145" s="5"/>
    </row>
    <row r="146" spans="1:23" ht="26">
      <c r="A146" s="2">
        <v>3030403</v>
      </c>
      <c r="B146" s="71" t="s">
        <v>126</v>
      </c>
      <c r="C146" s="72" t="s">
        <v>14</v>
      </c>
      <c r="D146" s="77">
        <v>0</v>
      </c>
      <c r="E146" s="89">
        <v>0</v>
      </c>
      <c r="F146" s="5">
        <v>2</v>
      </c>
      <c r="G146" s="5">
        <v>9</v>
      </c>
      <c r="H146" s="90"/>
      <c r="I146" s="5">
        <v>0</v>
      </c>
      <c r="J146" s="5"/>
      <c r="K146" s="5"/>
      <c r="L146" s="5">
        <v>0</v>
      </c>
      <c r="M146" s="5">
        <v>0</v>
      </c>
      <c r="N146" s="5"/>
      <c r="O146" s="5"/>
      <c r="P146" s="5">
        <v>0</v>
      </c>
      <c r="Q146" s="5">
        <v>0</v>
      </c>
      <c r="R146" s="5">
        <f t="shared" si="2"/>
        <v>0</v>
      </c>
      <c r="S146" s="5"/>
      <c r="T146" s="5"/>
      <c r="U146" s="5"/>
      <c r="V146" s="5"/>
      <c r="W146" s="5"/>
    </row>
    <row r="147" spans="1:23" ht="26">
      <c r="A147" s="78">
        <v>3030407</v>
      </c>
      <c r="B147" s="71" t="s">
        <v>422</v>
      </c>
      <c r="C147" s="72" t="s">
        <v>103</v>
      </c>
      <c r="D147" s="74">
        <v>50</v>
      </c>
      <c r="E147" s="88">
        <v>583</v>
      </c>
      <c r="F147" s="5">
        <v>23</v>
      </c>
      <c r="G147" s="5">
        <v>1</v>
      </c>
      <c r="H147" s="90"/>
      <c r="I147" s="5">
        <v>28</v>
      </c>
      <c r="J147" s="5"/>
      <c r="K147" s="5"/>
      <c r="L147" s="5">
        <v>0</v>
      </c>
      <c r="M147" s="5">
        <v>0</v>
      </c>
      <c r="N147" s="5"/>
      <c r="O147" s="5"/>
      <c r="P147" s="5">
        <v>583</v>
      </c>
      <c r="Q147" s="5">
        <v>0</v>
      </c>
      <c r="R147" s="5">
        <f t="shared" si="2"/>
        <v>0</v>
      </c>
      <c r="S147" s="5"/>
      <c r="T147" s="5"/>
      <c r="U147" s="5"/>
      <c r="V147" s="5"/>
      <c r="W147" s="5"/>
    </row>
    <row r="148" spans="1:23" ht="26">
      <c r="A148" s="78">
        <v>3030407</v>
      </c>
      <c r="B148" s="71" t="s">
        <v>422</v>
      </c>
      <c r="C148" s="72" t="s">
        <v>103</v>
      </c>
      <c r="D148" s="77"/>
      <c r="E148" s="89">
        <v>813.2</v>
      </c>
      <c r="F148" s="5">
        <v>6</v>
      </c>
      <c r="G148" s="5">
        <v>0</v>
      </c>
      <c r="H148" s="90"/>
      <c r="I148" s="5">
        <v>0</v>
      </c>
      <c r="J148" s="5"/>
      <c r="K148" s="5"/>
      <c r="L148" s="5">
        <v>0</v>
      </c>
      <c r="M148" s="5">
        <v>0</v>
      </c>
      <c r="N148" s="5"/>
      <c r="O148" s="5"/>
      <c r="P148" s="5">
        <v>813.2</v>
      </c>
      <c r="Q148" s="5">
        <v>0</v>
      </c>
      <c r="R148" s="5">
        <f t="shared" si="2"/>
        <v>0</v>
      </c>
      <c r="S148" s="5"/>
      <c r="T148" s="5"/>
      <c r="U148" s="5"/>
      <c r="V148" s="5"/>
      <c r="W148" s="5"/>
    </row>
    <row r="149" spans="1:23" ht="26">
      <c r="A149" s="2">
        <v>3030431</v>
      </c>
      <c r="B149" s="71" t="s">
        <v>423</v>
      </c>
      <c r="C149" s="72" t="s">
        <v>14</v>
      </c>
      <c r="D149" s="74">
        <v>18</v>
      </c>
      <c r="E149" s="88">
        <v>13.6853</v>
      </c>
      <c r="F149" s="5">
        <v>11</v>
      </c>
      <c r="G149" s="5">
        <v>0</v>
      </c>
      <c r="H149" s="90"/>
      <c r="I149" s="5">
        <v>0</v>
      </c>
      <c r="J149" s="5"/>
      <c r="K149" s="5"/>
      <c r="L149" s="5">
        <v>0</v>
      </c>
      <c r="M149" s="5">
        <v>0</v>
      </c>
      <c r="N149" s="5"/>
      <c r="O149" s="5"/>
      <c r="P149" s="5">
        <v>13.6853</v>
      </c>
      <c r="Q149" s="5">
        <v>0</v>
      </c>
      <c r="R149" s="5">
        <f t="shared" si="2"/>
        <v>0</v>
      </c>
      <c r="S149" s="5"/>
      <c r="T149" s="5"/>
      <c r="U149" s="5"/>
      <c r="V149" s="5"/>
      <c r="W149" s="5"/>
    </row>
    <row r="150" spans="1:23" ht="26">
      <c r="A150" s="2">
        <v>3030432</v>
      </c>
      <c r="B150" s="71" t="s">
        <v>424</v>
      </c>
      <c r="C150" s="72" t="s">
        <v>14</v>
      </c>
      <c r="D150" s="74">
        <v>22</v>
      </c>
      <c r="E150" s="88">
        <v>10.7</v>
      </c>
      <c r="F150" s="5">
        <v>18</v>
      </c>
      <c r="G150" s="5">
        <v>2</v>
      </c>
      <c r="H150" s="90"/>
      <c r="I150" s="5">
        <v>22</v>
      </c>
      <c r="J150" s="5"/>
      <c r="K150" s="5"/>
      <c r="L150" s="5">
        <v>50</v>
      </c>
      <c r="M150" s="5">
        <v>0</v>
      </c>
      <c r="N150" s="5"/>
      <c r="O150" s="5"/>
      <c r="P150" s="5">
        <v>10.7</v>
      </c>
      <c r="Q150" s="5">
        <v>50</v>
      </c>
      <c r="R150" s="5">
        <f t="shared" si="2"/>
        <v>0</v>
      </c>
      <c r="S150" s="5"/>
      <c r="T150" s="5"/>
      <c r="U150" s="5"/>
      <c r="V150" s="5"/>
      <c r="W150" s="5"/>
    </row>
    <row r="151" spans="1:23" ht="26">
      <c r="A151" s="2">
        <v>3030437</v>
      </c>
      <c r="B151" s="71" t="s">
        <v>425</v>
      </c>
      <c r="C151" s="72" t="s">
        <v>14</v>
      </c>
      <c r="D151" s="74">
        <v>5</v>
      </c>
      <c r="E151" s="88">
        <v>10.7</v>
      </c>
      <c r="F151" s="5">
        <v>1</v>
      </c>
      <c r="G151" s="5">
        <v>0</v>
      </c>
      <c r="H151" s="90"/>
      <c r="I151" s="5">
        <v>1</v>
      </c>
      <c r="J151" s="5"/>
      <c r="K151" s="5"/>
      <c r="L151" s="5">
        <v>0</v>
      </c>
      <c r="M151" s="5">
        <v>0</v>
      </c>
      <c r="N151" s="5"/>
      <c r="O151" s="5"/>
      <c r="P151" s="5">
        <v>10.7</v>
      </c>
      <c r="Q151" s="5">
        <v>0</v>
      </c>
      <c r="R151" s="5">
        <f t="shared" si="2"/>
        <v>0</v>
      </c>
      <c r="S151" s="5"/>
      <c r="T151" s="5"/>
      <c r="U151" s="5"/>
      <c r="V151" s="5"/>
      <c r="W151" s="5"/>
    </row>
    <row r="152" spans="1:23" ht="26">
      <c r="A152" s="2">
        <v>3030439</v>
      </c>
      <c r="B152" s="71" t="s">
        <v>127</v>
      </c>
      <c r="C152" s="72" t="s">
        <v>14</v>
      </c>
      <c r="D152" s="74">
        <v>15</v>
      </c>
      <c r="E152" s="88">
        <v>42.8</v>
      </c>
      <c r="F152" s="5">
        <v>11</v>
      </c>
      <c r="G152" s="5">
        <v>0</v>
      </c>
      <c r="H152" s="90"/>
      <c r="I152" s="5">
        <v>15</v>
      </c>
      <c r="J152" s="5"/>
      <c r="K152" s="5"/>
      <c r="L152" s="5">
        <v>0</v>
      </c>
      <c r="M152" s="5">
        <v>0</v>
      </c>
      <c r="N152" s="5"/>
      <c r="O152" s="5"/>
      <c r="P152" s="5">
        <v>42.8</v>
      </c>
      <c r="Q152" s="5">
        <v>0</v>
      </c>
      <c r="R152" s="5">
        <f t="shared" si="2"/>
        <v>0</v>
      </c>
      <c r="S152" s="5"/>
      <c r="T152" s="5"/>
      <c r="U152" s="5"/>
      <c r="V152" s="5"/>
      <c r="W152" s="5"/>
    </row>
    <row r="153" spans="1:23" ht="26">
      <c r="A153" s="1">
        <v>3030441</v>
      </c>
      <c r="B153" s="71" t="s">
        <v>128</v>
      </c>
      <c r="C153" s="72" t="s">
        <v>14</v>
      </c>
      <c r="D153" s="74">
        <v>5</v>
      </c>
      <c r="E153" s="88">
        <v>13.91</v>
      </c>
      <c r="F153" s="5">
        <v>19</v>
      </c>
      <c r="G153" s="5">
        <v>0</v>
      </c>
      <c r="H153" s="90"/>
      <c r="I153" s="5">
        <v>5</v>
      </c>
      <c r="J153" s="5"/>
      <c r="K153" s="5"/>
      <c r="L153" s="5">
        <v>0</v>
      </c>
      <c r="M153" s="5">
        <v>0</v>
      </c>
      <c r="N153" s="5"/>
      <c r="O153" s="5"/>
      <c r="P153" s="5">
        <v>13.91</v>
      </c>
      <c r="Q153" s="5">
        <v>0</v>
      </c>
      <c r="R153" s="5">
        <f t="shared" si="2"/>
        <v>0</v>
      </c>
      <c r="S153" s="5"/>
      <c r="T153" s="5"/>
      <c r="U153" s="5"/>
      <c r="V153" s="5"/>
      <c r="W153" s="5"/>
    </row>
    <row r="154" spans="1:23" ht="26">
      <c r="A154" s="85">
        <v>3030464</v>
      </c>
      <c r="B154" s="82" t="s">
        <v>426</v>
      </c>
      <c r="C154" s="83" t="s">
        <v>20</v>
      </c>
      <c r="D154" s="84"/>
      <c r="E154" s="89">
        <v>128.4</v>
      </c>
      <c r="F154" s="5">
        <v>11</v>
      </c>
      <c r="G154" s="5">
        <v>0</v>
      </c>
      <c r="H154" s="90"/>
      <c r="I154" s="5">
        <v>0</v>
      </c>
      <c r="J154" s="5"/>
      <c r="K154" s="5"/>
      <c r="L154" s="5">
        <v>0</v>
      </c>
      <c r="M154" s="5">
        <v>0</v>
      </c>
      <c r="N154" s="5"/>
      <c r="O154" s="5"/>
      <c r="P154" s="5">
        <v>128.4</v>
      </c>
      <c r="Q154" s="5">
        <v>0</v>
      </c>
      <c r="R154" s="5">
        <f t="shared" si="2"/>
        <v>0</v>
      </c>
      <c r="S154" s="5"/>
      <c r="T154" s="5"/>
      <c r="U154" s="5"/>
      <c r="V154" s="5"/>
      <c r="W154" s="5"/>
    </row>
    <row r="155" spans="1:23" ht="26">
      <c r="A155" s="2">
        <v>3030466</v>
      </c>
      <c r="B155" s="71" t="s">
        <v>129</v>
      </c>
      <c r="C155" s="72" t="s">
        <v>21</v>
      </c>
      <c r="D155" s="77">
        <v>0</v>
      </c>
      <c r="E155" s="89">
        <v>0</v>
      </c>
      <c r="F155" s="5">
        <v>15</v>
      </c>
      <c r="G155" s="5">
        <v>0</v>
      </c>
      <c r="H155" s="90"/>
      <c r="I155" s="5">
        <v>0</v>
      </c>
      <c r="J155" s="5"/>
      <c r="K155" s="5"/>
      <c r="L155" s="5">
        <v>0</v>
      </c>
      <c r="M155" s="5">
        <v>0</v>
      </c>
      <c r="N155" s="5"/>
      <c r="O155" s="5"/>
      <c r="P155" s="5">
        <v>0</v>
      </c>
      <c r="Q155" s="5">
        <v>0</v>
      </c>
      <c r="R155" s="5">
        <f t="shared" si="2"/>
        <v>0</v>
      </c>
      <c r="S155" s="5"/>
      <c r="T155" s="5"/>
      <c r="U155" s="5"/>
      <c r="V155" s="5"/>
      <c r="W155" s="5"/>
    </row>
    <row r="156" spans="1:23" ht="26">
      <c r="A156" s="2">
        <v>3030499</v>
      </c>
      <c r="B156" s="71" t="s">
        <v>130</v>
      </c>
      <c r="C156" s="72" t="s">
        <v>14</v>
      </c>
      <c r="D156" s="77">
        <v>0</v>
      </c>
      <c r="E156" s="89">
        <v>0</v>
      </c>
      <c r="F156" s="5">
        <v>16</v>
      </c>
      <c r="G156" s="5">
        <v>0</v>
      </c>
      <c r="H156" s="90"/>
      <c r="I156" s="5">
        <v>0</v>
      </c>
      <c r="J156" s="5"/>
      <c r="K156" s="5"/>
      <c r="L156" s="5">
        <v>0</v>
      </c>
      <c r="M156" s="5">
        <v>0</v>
      </c>
      <c r="N156" s="5"/>
      <c r="O156" s="5"/>
      <c r="P156" s="5">
        <v>0</v>
      </c>
      <c r="Q156" s="5">
        <v>0</v>
      </c>
      <c r="R156" s="5">
        <f t="shared" si="2"/>
        <v>0</v>
      </c>
      <c r="S156" s="5"/>
      <c r="T156" s="5"/>
      <c r="U156" s="5"/>
      <c r="V156" s="5"/>
      <c r="W156" s="5"/>
    </row>
    <row r="157" spans="1:23" ht="26">
      <c r="A157" s="2">
        <v>3030548</v>
      </c>
      <c r="B157" s="71" t="s">
        <v>427</v>
      </c>
      <c r="C157" s="72" t="s">
        <v>103</v>
      </c>
      <c r="D157" s="77"/>
      <c r="E157" s="89">
        <v>1250</v>
      </c>
      <c r="F157" s="5">
        <v>39</v>
      </c>
      <c r="G157" s="5">
        <v>0</v>
      </c>
      <c r="H157" s="90"/>
      <c r="I157" s="5">
        <v>0</v>
      </c>
      <c r="J157" s="5"/>
      <c r="K157" s="5"/>
      <c r="L157" s="5">
        <v>0</v>
      </c>
      <c r="M157" s="5">
        <v>0</v>
      </c>
      <c r="N157" s="5"/>
      <c r="O157" s="5"/>
      <c r="P157" s="5">
        <v>1250</v>
      </c>
      <c r="Q157" s="5">
        <v>0</v>
      </c>
      <c r="R157" s="5">
        <f t="shared" si="2"/>
        <v>0</v>
      </c>
      <c r="S157" s="5"/>
      <c r="T157" s="5"/>
      <c r="U157" s="5"/>
      <c r="V157" s="5"/>
      <c r="W157" s="5"/>
    </row>
    <row r="158" spans="1:23" ht="26">
      <c r="A158" s="2">
        <v>3030548</v>
      </c>
      <c r="B158" s="71" t="s">
        <v>427</v>
      </c>
      <c r="C158" s="72" t="s">
        <v>103</v>
      </c>
      <c r="D158" s="74">
        <v>9</v>
      </c>
      <c r="E158" s="88">
        <v>490</v>
      </c>
      <c r="F158" s="5">
        <v>6</v>
      </c>
      <c r="G158" s="5">
        <v>0</v>
      </c>
      <c r="H158" s="90"/>
      <c r="I158" s="5">
        <v>33</v>
      </c>
      <c r="J158" s="5"/>
      <c r="K158" s="5"/>
      <c r="L158" s="5">
        <v>0</v>
      </c>
      <c r="M158" s="5">
        <v>50</v>
      </c>
      <c r="N158" s="5"/>
      <c r="O158" s="5"/>
      <c r="P158" s="5">
        <v>490</v>
      </c>
      <c r="Q158" s="5">
        <v>0</v>
      </c>
      <c r="R158" s="5">
        <f t="shared" si="2"/>
        <v>24500</v>
      </c>
      <c r="S158" s="5"/>
      <c r="T158" s="5"/>
      <c r="U158" s="5"/>
      <c r="V158" s="5"/>
      <c r="W158" s="5"/>
    </row>
    <row r="159" spans="1:23" ht="26">
      <c r="A159" s="2">
        <v>3030548</v>
      </c>
      <c r="B159" s="71" t="s">
        <v>427</v>
      </c>
      <c r="C159" s="72" t="s">
        <v>103</v>
      </c>
      <c r="D159" s="77"/>
      <c r="E159" s="89">
        <v>1551.5</v>
      </c>
      <c r="F159" s="5">
        <v>35</v>
      </c>
      <c r="G159" s="5">
        <v>4</v>
      </c>
      <c r="H159" s="90"/>
      <c r="I159" s="5">
        <v>0</v>
      </c>
      <c r="J159" s="5"/>
      <c r="K159" s="5"/>
      <c r="L159" s="5">
        <v>0</v>
      </c>
      <c r="M159" s="5">
        <v>0</v>
      </c>
      <c r="N159" s="5"/>
      <c r="O159" s="5"/>
      <c r="P159" s="5">
        <v>1551.5</v>
      </c>
      <c r="Q159" s="5">
        <v>0</v>
      </c>
      <c r="R159" s="5">
        <f t="shared" si="2"/>
        <v>0</v>
      </c>
      <c r="S159" s="5"/>
      <c r="T159" s="5"/>
      <c r="U159" s="5"/>
      <c r="V159" s="5"/>
      <c r="W159" s="5"/>
    </row>
    <row r="160" spans="1:23" ht="26">
      <c r="A160" s="3">
        <v>3030785</v>
      </c>
      <c r="B160" s="86" t="s">
        <v>428</v>
      </c>
      <c r="C160" s="72" t="s">
        <v>103</v>
      </c>
      <c r="D160" s="74">
        <v>78</v>
      </c>
      <c r="E160" s="88">
        <v>220</v>
      </c>
      <c r="F160" s="5">
        <v>24</v>
      </c>
      <c r="G160" s="5">
        <v>0</v>
      </c>
      <c r="H160" s="90"/>
      <c r="I160" s="5">
        <v>66</v>
      </c>
      <c r="J160" s="5"/>
      <c r="K160" s="5"/>
      <c r="L160" s="5">
        <v>0</v>
      </c>
      <c r="M160" s="5">
        <v>0</v>
      </c>
      <c r="N160" s="5"/>
      <c r="O160" s="5"/>
      <c r="P160" s="5">
        <v>220</v>
      </c>
      <c r="Q160" s="5">
        <v>0</v>
      </c>
      <c r="R160" s="5">
        <f t="shared" si="2"/>
        <v>0</v>
      </c>
      <c r="S160" s="5"/>
      <c r="T160" s="5"/>
      <c r="U160" s="5"/>
      <c r="V160" s="5"/>
      <c r="W160" s="5"/>
    </row>
    <row r="161" spans="1:23" ht="26">
      <c r="A161" s="3">
        <v>3030785</v>
      </c>
      <c r="B161" s="86" t="s">
        <v>428</v>
      </c>
      <c r="C161" s="72" t="s">
        <v>103</v>
      </c>
      <c r="D161" s="77"/>
      <c r="E161" s="89">
        <v>727.6</v>
      </c>
      <c r="F161" s="5">
        <v>8</v>
      </c>
      <c r="G161" s="5">
        <v>0</v>
      </c>
      <c r="H161" s="90"/>
      <c r="I161" s="5">
        <v>0</v>
      </c>
      <c r="J161" s="5"/>
      <c r="K161" s="5"/>
      <c r="L161" s="5">
        <v>20</v>
      </c>
      <c r="M161" s="5">
        <v>0</v>
      </c>
      <c r="N161" s="5"/>
      <c r="O161" s="5"/>
      <c r="P161" s="5">
        <v>727.6</v>
      </c>
      <c r="Q161" s="5">
        <v>20</v>
      </c>
      <c r="R161" s="5">
        <f t="shared" si="2"/>
        <v>0</v>
      </c>
      <c r="S161" s="5"/>
      <c r="T161" s="5"/>
      <c r="U161" s="5"/>
      <c r="V161" s="5"/>
      <c r="W161" s="5"/>
    </row>
    <row r="162" spans="1:23" ht="26">
      <c r="A162" s="3">
        <v>3030787</v>
      </c>
      <c r="B162" s="86" t="s">
        <v>429</v>
      </c>
      <c r="C162" s="72" t="s">
        <v>103</v>
      </c>
      <c r="D162" s="74">
        <v>106</v>
      </c>
      <c r="E162" s="88">
        <v>435</v>
      </c>
      <c r="F162" s="5">
        <v>2</v>
      </c>
      <c r="G162" s="5">
        <v>4</v>
      </c>
      <c r="H162" s="90"/>
      <c r="I162" s="5">
        <v>70</v>
      </c>
      <c r="J162" s="5"/>
      <c r="K162" s="5"/>
      <c r="L162" s="5">
        <v>0</v>
      </c>
      <c r="M162" s="5">
        <v>0</v>
      </c>
      <c r="N162" s="5"/>
      <c r="O162" s="5"/>
      <c r="P162" s="5">
        <v>435</v>
      </c>
      <c r="Q162" s="5">
        <v>0</v>
      </c>
      <c r="R162" s="5">
        <f t="shared" si="2"/>
        <v>0</v>
      </c>
      <c r="S162" s="5"/>
      <c r="T162" s="5"/>
      <c r="U162" s="5"/>
      <c r="V162" s="5"/>
      <c r="W162" s="5"/>
    </row>
    <row r="163" spans="1:23" ht="26">
      <c r="A163" s="3">
        <v>3030794</v>
      </c>
      <c r="B163" s="86" t="s">
        <v>430</v>
      </c>
      <c r="C163" s="72" t="s">
        <v>103</v>
      </c>
      <c r="D163" s="74">
        <v>82</v>
      </c>
      <c r="E163" s="88">
        <v>361.66</v>
      </c>
      <c r="F163" s="5">
        <v>6</v>
      </c>
      <c r="G163" s="5">
        <v>4</v>
      </c>
      <c r="H163" s="90"/>
      <c r="I163" s="5">
        <v>17</v>
      </c>
      <c r="J163" s="5"/>
      <c r="K163" s="5"/>
      <c r="L163" s="5">
        <v>0</v>
      </c>
      <c r="M163" s="5">
        <v>0</v>
      </c>
      <c r="N163" s="5"/>
      <c r="O163" s="5"/>
      <c r="P163" s="5">
        <v>361.66</v>
      </c>
      <c r="Q163" s="5">
        <v>0</v>
      </c>
      <c r="R163" s="5">
        <f t="shared" si="2"/>
        <v>0</v>
      </c>
      <c r="S163" s="5"/>
      <c r="T163" s="5"/>
      <c r="U163" s="5"/>
      <c r="V163" s="5"/>
      <c r="W163" s="5"/>
    </row>
    <row r="164" spans="1:23" ht="26">
      <c r="A164" s="2">
        <v>3030817</v>
      </c>
      <c r="B164" s="71" t="s">
        <v>131</v>
      </c>
      <c r="C164" s="72" t="s">
        <v>14</v>
      </c>
      <c r="D164" s="74">
        <v>41</v>
      </c>
      <c r="E164" s="88">
        <v>70.010099999999994</v>
      </c>
      <c r="F164" s="5">
        <v>2</v>
      </c>
      <c r="G164" s="5">
        <v>8</v>
      </c>
      <c r="H164" s="90"/>
      <c r="I164" s="5">
        <v>26</v>
      </c>
      <c r="J164" s="5"/>
      <c r="K164" s="5"/>
      <c r="L164" s="5">
        <v>0</v>
      </c>
      <c r="M164" s="5">
        <v>0</v>
      </c>
      <c r="N164" s="5"/>
      <c r="O164" s="5"/>
      <c r="P164" s="5">
        <v>70.010099999999994</v>
      </c>
      <c r="Q164" s="5">
        <v>0</v>
      </c>
      <c r="R164" s="5">
        <f t="shared" si="2"/>
        <v>0</v>
      </c>
      <c r="S164" s="5"/>
      <c r="T164" s="5"/>
      <c r="U164" s="5"/>
      <c r="V164" s="5"/>
      <c r="W164" s="5"/>
    </row>
    <row r="165" spans="1:23" ht="26">
      <c r="A165" s="2">
        <v>3030817</v>
      </c>
      <c r="B165" s="71" t="s">
        <v>131</v>
      </c>
      <c r="C165" s="72" t="s">
        <v>14</v>
      </c>
      <c r="D165" s="77"/>
      <c r="E165" s="89">
        <v>74.900000000000006</v>
      </c>
      <c r="F165" s="5">
        <v>23</v>
      </c>
      <c r="G165" s="5">
        <v>6</v>
      </c>
      <c r="H165" s="90"/>
      <c r="I165" s="5">
        <v>0</v>
      </c>
      <c r="J165" s="5"/>
      <c r="K165" s="5"/>
      <c r="L165" s="5">
        <v>100</v>
      </c>
      <c r="M165" s="5">
        <v>0</v>
      </c>
      <c r="N165" s="5"/>
      <c r="O165" s="5"/>
      <c r="P165" s="5">
        <v>74.900000000000006</v>
      </c>
      <c r="Q165" s="5">
        <v>100</v>
      </c>
      <c r="R165" s="5">
        <f t="shared" si="2"/>
        <v>0</v>
      </c>
      <c r="S165" s="5"/>
      <c r="T165" s="5"/>
      <c r="U165" s="5"/>
      <c r="V165" s="5"/>
      <c r="W165" s="5"/>
    </row>
    <row r="166" spans="1:23" ht="26">
      <c r="A166" s="2">
        <v>3030818</v>
      </c>
      <c r="B166" s="71" t="s">
        <v>132</v>
      </c>
      <c r="C166" s="72" t="s">
        <v>14</v>
      </c>
      <c r="D166" s="74">
        <v>3</v>
      </c>
      <c r="E166" s="88">
        <v>53.5</v>
      </c>
      <c r="F166" s="5">
        <v>2</v>
      </c>
      <c r="G166" s="5">
        <v>9</v>
      </c>
      <c r="H166" s="90"/>
      <c r="I166" s="5">
        <v>16</v>
      </c>
      <c r="J166" s="5"/>
      <c r="K166" s="5"/>
      <c r="L166" s="5">
        <v>0</v>
      </c>
      <c r="M166" s="5">
        <v>20</v>
      </c>
      <c r="N166" s="5"/>
      <c r="O166" s="5"/>
      <c r="P166" s="5">
        <v>53.5</v>
      </c>
      <c r="Q166" s="5">
        <v>0</v>
      </c>
      <c r="R166" s="5">
        <f t="shared" si="2"/>
        <v>1070</v>
      </c>
      <c r="S166" s="5"/>
      <c r="T166" s="5"/>
      <c r="U166" s="5"/>
      <c r="V166" s="5"/>
      <c r="W166" s="5"/>
    </row>
    <row r="167" spans="1:23" ht="26">
      <c r="A167" s="2">
        <v>3030844</v>
      </c>
      <c r="B167" s="71" t="s">
        <v>431</v>
      </c>
      <c r="C167" s="72" t="s">
        <v>18</v>
      </c>
      <c r="D167" s="74">
        <v>40</v>
      </c>
      <c r="E167" s="88">
        <v>930.9</v>
      </c>
      <c r="F167" s="5">
        <v>19</v>
      </c>
      <c r="G167" s="5">
        <v>1</v>
      </c>
      <c r="H167" s="90"/>
      <c r="I167" s="5">
        <v>33</v>
      </c>
      <c r="J167" s="5"/>
      <c r="K167" s="5"/>
      <c r="L167" s="5">
        <v>0</v>
      </c>
      <c r="M167" s="5">
        <v>40</v>
      </c>
      <c r="N167" s="5"/>
      <c r="O167" s="5"/>
      <c r="P167" s="5">
        <v>930.9</v>
      </c>
      <c r="Q167" s="5">
        <v>0</v>
      </c>
      <c r="R167" s="5">
        <f t="shared" si="2"/>
        <v>37236</v>
      </c>
      <c r="S167" s="5"/>
      <c r="T167" s="5"/>
      <c r="U167" s="5"/>
      <c r="V167" s="5"/>
      <c r="W167" s="5"/>
    </row>
    <row r="168" spans="1:23" ht="26">
      <c r="A168" s="2">
        <v>3030845</v>
      </c>
      <c r="B168" s="71" t="s">
        <v>133</v>
      </c>
      <c r="C168" s="72" t="s">
        <v>19</v>
      </c>
      <c r="D168" s="74">
        <v>50</v>
      </c>
      <c r="E168" s="88">
        <v>5.35</v>
      </c>
      <c r="F168" s="5">
        <v>2</v>
      </c>
      <c r="G168" s="5">
        <v>8</v>
      </c>
      <c r="H168" s="90"/>
      <c r="I168" s="5">
        <v>38</v>
      </c>
      <c r="J168" s="5"/>
      <c r="K168" s="5"/>
      <c r="L168" s="5">
        <v>0</v>
      </c>
      <c r="M168" s="5">
        <v>0</v>
      </c>
      <c r="N168" s="5"/>
      <c r="O168" s="5"/>
      <c r="P168" s="5">
        <v>5.35</v>
      </c>
      <c r="Q168" s="5">
        <v>0</v>
      </c>
      <c r="R168" s="5">
        <f t="shared" si="2"/>
        <v>0</v>
      </c>
      <c r="S168" s="5"/>
      <c r="T168" s="5"/>
      <c r="U168" s="5"/>
      <c r="V168" s="5"/>
      <c r="W168" s="5"/>
    </row>
    <row r="169" spans="1:23" ht="26">
      <c r="A169" s="2">
        <v>3030846</v>
      </c>
      <c r="B169" s="71" t="s">
        <v>134</v>
      </c>
      <c r="C169" s="72" t="s">
        <v>19</v>
      </c>
      <c r="D169" s="74">
        <v>50</v>
      </c>
      <c r="E169" s="88">
        <v>8.56</v>
      </c>
      <c r="F169" s="5">
        <v>0</v>
      </c>
      <c r="G169" s="5">
        <v>0</v>
      </c>
      <c r="H169" s="90"/>
      <c r="I169" s="5">
        <v>120</v>
      </c>
      <c r="J169" s="5"/>
      <c r="K169" s="5"/>
      <c r="L169" s="5">
        <v>0</v>
      </c>
      <c r="M169" s="5">
        <v>100</v>
      </c>
      <c r="N169" s="5"/>
      <c r="O169" s="5"/>
      <c r="P169" s="5">
        <v>8.56</v>
      </c>
      <c r="Q169" s="5">
        <v>0</v>
      </c>
      <c r="R169" s="5">
        <f t="shared" si="2"/>
        <v>856</v>
      </c>
      <c r="S169" s="5"/>
      <c r="T169" s="5"/>
      <c r="U169" s="5"/>
      <c r="V169" s="5"/>
      <c r="W169" s="5"/>
    </row>
    <row r="170" spans="1:23" ht="26">
      <c r="A170" s="1">
        <v>3030908</v>
      </c>
      <c r="B170" s="71" t="s">
        <v>135</v>
      </c>
      <c r="C170" s="72" t="s">
        <v>14</v>
      </c>
      <c r="D170" s="74">
        <v>43</v>
      </c>
      <c r="E170" s="88">
        <v>16.585000000000001</v>
      </c>
      <c r="F170" s="5">
        <v>8</v>
      </c>
      <c r="G170" s="5">
        <v>0</v>
      </c>
      <c r="H170" s="90"/>
      <c r="I170" s="5">
        <v>43</v>
      </c>
      <c r="J170" s="5"/>
      <c r="K170" s="5"/>
      <c r="L170" s="5">
        <v>0</v>
      </c>
      <c r="M170" s="5">
        <v>0</v>
      </c>
      <c r="N170" s="5"/>
      <c r="O170" s="5"/>
      <c r="P170" s="5">
        <v>16.585000000000001</v>
      </c>
      <c r="Q170" s="5">
        <v>0</v>
      </c>
      <c r="R170" s="5">
        <f t="shared" si="2"/>
        <v>0</v>
      </c>
      <c r="S170" s="5"/>
      <c r="T170" s="5"/>
      <c r="U170" s="5"/>
      <c r="V170" s="5"/>
      <c r="W170" s="5"/>
    </row>
    <row r="171" spans="1:23" ht="26">
      <c r="A171" s="2">
        <v>3030951</v>
      </c>
      <c r="B171" s="71" t="s">
        <v>136</v>
      </c>
      <c r="C171" s="72" t="s">
        <v>14</v>
      </c>
      <c r="D171" s="77">
        <v>0</v>
      </c>
      <c r="E171" s="89">
        <v>0</v>
      </c>
      <c r="F171" s="5">
        <v>53</v>
      </c>
      <c r="G171" s="5">
        <v>0</v>
      </c>
      <c r="H171" s="90"/>
      <c r="I171" s="5">
        <v>0</v>
      </c>
      <c r="J171" s="5"/>
      <c r="K171" s="5"/>
      <c r="L171" s="5">
        <v>0</v>
      </c>
      <c r="M171" s="5">
        <v>0</v>
      </c>
      <c r="N171" s="5"/>
      <c r="O171" s="5"/>
      <c r="P171" s="5">
        <v>0</v>
      </c>
      <c r="Q171" s="5">
        <v>0</v>
      </c>
      <c r="R171" s="5">
        <f t="shared" si="2"/>
        <v>0</v>
      </c>
      <c r="S171" s="5"/>
      <c r="T171" s="5"/>
      <c r="U171" s="5"/>
      <c r="V171" s="5"/>
      <c r="W171" s="5"/>
    </row>
    <row r="172" spans="1:23" ht="26">
      <c r="A172" s="3">
        <v>3031149</v>
      </c>
      <c r="B172" s="86" t="s">
        <v>137</v>
      </c>
      <c r="C172" s="72" t="s">
        <v>19</v>
      </c>
      <c r="D172" s="74">
        <v>390</v>
      </c>
      <c r="E172" s="88">
        <v>0.32100000000000001</v>
      </c>
      <c r="F172" s="5">
        <v>8</v>
      </c>
      <c r="G172" s="5">
        <v>0</v>
      </c>
      <c r="H172" s="90"/>
      <c r="I172" s="5">
        <v>390</v>
      </c>
      <c r="J172" s="5"/>
      <c r="K172" s="5"/>
      <c r="L172" s="5">
        <v>0</v>
      </c>
      <c r="M172" s="5">
        <v>0</v>
      </c>
      <c r="N172" s="5"/>
      <c r="O172" s="5"/>
      <c r="P172" s="5">
        <v>0.32100000000000001</v>
      </c>
      <c r="Q172" s="5">
        <v>0</v>
      </c>
      <c r="R172" s="5">
        <f t="shared" si="2"/>
        <v>0</v>
      </c>
      <c r="S172" s="5"/>
      <c r="T172" s="5"/>
      <c r="U172" s="5"/>
      <c r="V172" s="5"/>
      <c r="W172" s="5"/>
    </row>
    <row r="173" spans="1:23" ht="26">
      <c r="A173" s="3">
        <v>3031150</v>
      </c>
      <c r="B173" s="86" t="s">
        <v>138</v>
      </c>
      <c r="C173" s="72" t="s">
        <v>14</v>
      </c>
      <c r="D173" s="77"/>
      <c r="E173" s="89">
        <v>0.34239999999999998</v>
      </c>
      <c r="F173" s="5">
        <v>8</v>
      </c>
      <c r="G173" s="5">
        <v>0</v>
      </c>
      <c r="H173" s="90"/>
      <c r="I173" s="5">
        <v>0</v>
      </c>
      <c r="J173" s="5"/>
      <c r="K173" s="5"/>
      <c r="L173" s="5">
        <v>0</v>
      </c>
      <c r="M173" s="5">
        <v>0</v>
      </c>
      <c r="N173" s="5"/>
      <c r="O173" s="5"/>
      <c r="P173" s="5">
        <v>0.34239999999999998</v>
      </c>
      <c r="Q173" s="5">
        <v>0</v>
      </c>
      <c r="R173" s="5">
        <f t="shared" si="2"/>
        <v>0</v>
      </c>
      <c r="S173" s="5"/>
      <c r="T173" s="5"/>
      <c r="U173" s="5"/>
      <c r="V173" s="5"/>
      <c r="W173" s="5"/>
    </row>
    <row r="174" spans="1:23" ht="26">
      <c r="A174" s="3">
        <v>3031150</v>
      </c>
      <c r="B174" s="86" t="s">
        <v>138</v>
      </c>
      <c r="C174" s="72" t="s">
        <v>14</v>
      </c>
      <c r="D174" s="74">
        <v>540</v>
      </c>
      <c r="E174" s="88">
        <v>0.3745</v>
      </c>
      <c r="F174" s="5">
        <v>21</v>
      </c>
      <c r="G174" s="5">
        <v>0</v>
      </c>
      <c r="H174" s="90"/>
      <c r="I174" s="5">
        <v>540</v>
      </c>
      <c r="J174" s="5"/>
      <c r="K174" s="5"/>
      <c r="L174" s="5">
        <v>0</v>
      </c>
      <c r="M174" s="5">
        <v>0</v>
      </c>
      <c r="N174" s="5"/>
      <c r="O174" s="5"/>
      <c r="P174" s="5">
        <v>0.3745</v>
      </c>
      <c r="Q174" s="5">
        <v>0</v>
      </c>
      <c r="R174" s="5">
        <f t="shared" si="2"/>
        <v>0</v>
      </c>
      <c r="S174" s="5"/>
      <c r="T174" s="5"/>
      <c r="U174" s="5"/>
      <c r="V174" s="5"/>
      <c r="W174" s="5"/>
    </row>
    <row r="175" spans="1:23" ht="26">
      <c r="A175" s="70">
        <v>3031151</v>
      </c>
      <c r="B175" s="71" t="s">
        <v>139</v>
      </c>
      <c r="C175" s="72" t="s">
        <v>19</v>
      </c>
      <c r="D175" s="74">
        <v>1279</v>
      </c>
      <c r="E175" s="88">
        <v>0.48149999999999998</v>
      </c>
      <c r="F175" s="5">
        <v>8</v>
      </c>
      <c r="G175" s="5">
        <v>122</v>
      </c>
      <c r="H175" s="90"/>
      <c r="I175" s="5">
        <v>450</v>
      </c>
      <c r="J175" s="5"/>
      <c r="K175" s="5"/>
      <c r="L175" s="5">
        <v>0</v>
      </c>
      <c r="M175" s="5">
        <v>0</v>
      </c>
      <c r="N175" s="5"/>
      <c r="O175" s="5"/>
      <c r="P175" s="5">
        <v>0.48149999999999998</v>
      </c>
      <c r="Q175" s="5">
        <v>0</v>
      </c>
      <c r="R175" s="5">
        <f t="shared" si="2"/>
        <v>0</v>
      </c>
      <c r="S175" s="5"/>
      <c r="T175" s="5"/>
      <c r="U175" s="5"/>
      <c r="V175" s="5"/>
      <c r="W175" s="5"/>
    </row>
    <row r="176" spans="1:23" ht="26">
      <c r="A176" s="70">
        <v>3031152</v>
      </c>
      <c r="B176" s="71" t="s">
        <v>140</v>
      </c>
      <c r="C176" s="72" t="s">
        <v>19</v>
      </c>
      <c r="D176" s="74">
        <v>1974</v>
      </c>
      <c r="E176" s="88">
        <v>0.64200000000000002</v>
      </c>
      <c r="F176" s="5">
        <v>100</v>
      </c>
      <c r="G176" s="5">
        <v>233</v>
      </c>
      <c r="H176" s="90"/>
      <c r="I176" s="5">
        <v>240</v>
      </c>
      <c r="J176" s="5"/>
      <c r="K176" s="5"/>
      <c r="L176" s="5">
        <v>0</v>
      </c>
      <c r="M176" s="5">
        <v>0</v>
      </c>
      <c r="N176" s="5"/>
      <c r="O176" s="5"/>
      <c r="P176" s="5">
        <v>0.64200000000000002</v>
      </c>
      <c r="Q176" s="5">
        <v>0</v>
      </c>
      <c r="R176" s="5">
        <f t="shared" si="2"/>
        <v>0</v>
      </c>
      <c r="S176" s="5"/>
      <c r="T176" s="5"/>
      <c r="U176" s="5"/>
      <c r="V176" s="5"/>
      <c r="W176" s="5"/>
    </row>
    <row r="177" spans="1:23" ht="26">
      <c r="A177" s="3">
        <v>3031153</v>
      </c>
      <c r="B177" s="71" t="s">
        <v>141</v>
      </c>
      <c r="C177" s="72" t="s">
        <v>19</v>
      </c>
      <c r="D177" s="74">
        <v>470</v>
      </c>
      <c r="E177" s="88">
        <v>0.46010000000000001</v>
      </c>
      <c r="F177" s="5">
        <v>7</v>
      </c>
      <c r="G177" s="5">
        <v>0</v>
      </c>
      <c r="H177" s="90"/>
      <c r="I177" s="5">
        <v>470</v>
      </c>
      <c r="J177" s="5"/>
      <c r="K177" s="5"/>
      <c r="L177" s="5">
        <v>0</v>
      </c>
      <c r="M177" s="5">
        <v>0</v>
      </c>
      <c r="N177" s="5"/>
      <c r="O177" s="5"/>
      <c r="P177" s="5">
        <v>0.46010000000000001</v>
      </c>
      <c r="Q177" s="5">
        <v>0</v>
      </c>
      <c r="R177" s="5">
        <f t="shared" si="2"/>
        <v>0</v>
      </c>
      <c r="S177" s="5"/>
      <c r="T177" s="5"/>
      <c r="U177" s="5"/>
      <c r="V177" s="5"/>
      <c r="W177" s="5"/>
    </row>
    <row r="178" spans="1:23" ht="26">
      <c r="A178" s="70">
        <v>3031154</v>
      </c>
      <c r="B178" s="71" t="s">
        <v>142</v>
      </c>
      <c r="C178" s="72" t="s">
        <v>19</v>
      </c>
      <c r="D178" s="74">
        <v>430</v>
      </c>
      <c r="E178" s="88">
        <v>0.57779999999999998</v>
      </c>
      <c r="F178" s="5">
        <v>0</v>
      </c>
      <c r="G178" s="5">
        <v>170</v>
      </c>
      <c r="H178" s="90"/>
      <c r="I178" s="5">
        <v>430</v>
      </c>
      <c r="J178" s="5"/>
      <c r="K178" s="5"/>
      <c r="L178" s="5">
        <v>0</v>
      </c>
      <c r="M178" s="5">
        <v>0</v>
      </c>
      <c r="N178" s="5"/>
      <c r="O178" s="5"/>
      <c r="P178" s="5">
        <v>0.57779999999999998</v>
      </c>
      <c r="Q178" s="5">
        <v>0</v>
      </c>
      <c r="R178" s="5">
        <f t="shared" si="2"/>
        <v>0</v>
      </c>
      <c r="S178" s="5"/>
      <c r="T178" s="5"/>
      <c r="U178" s="5"/>
      <c r="V178" s="5"/>
      <c r="W178" s="5"/>
    </row>
    <row r="179" spans="1:23" ht="26">
      <c r="A179" s="70">
        <v>3031155</v>
      </c>
      <c r="B179" s="71" t="s">
        <v>143</v>
      </c>
      <c r="C179" s="72" t="s">
        <v>19</v>
      </c>
      <c r="D179" s="74">
        <v>500</v>
      </c>
      <c r="E179" s="88">
        <v>1.1234999999999999</v>
      </c>
      <c r="F179" s="5">
        <v>4</v>
      </c>
      <c r="G179" s="5">
        <v>0</v>
      </c>
      <c r="H179" s="90"/>
      <c r="I179" s="5">
        <v>500</v>
      </c>
      <c r="J179" s="5"/>
      <c r="K179" s="5"/>
      <c r="L179" s="5">
        <v>0</v>
      </c>
      <c r="M179" s="5">
        <v>0</v>
      </c>
      <c r="N179" s="5"/>
      <c r="O179" s="5"/>
      <c r="P179" s="5">
        <v>1.1234999999999999</v>
      </c>
      <c r="Q179" s="5">
        <v>0</v>
      </c>
      <c r="R179" s="5">
        <f t="shared" si="2"/>
        <v>0</v>
      </c>
      <c r="S179" s="5"/>
      <c r="T179" s="5"/>
      <c r="U179" s="5"/>
      <c r="V179" s="5"/>
      <c r="W179" s="5"/>
    </row>
    <row r="180" spans="1:23" ht="26">
      <c r="A180" s="2">
        <v>3031183</v>
      </c>
      <c r="B180" s="71" t="s">
        <v>144</v>
      </c>
      <c r="C180" s="72" t="s">
        <v>14</v>
      </c>
      <c r="D180" s="74">
        <v>4</v>
      </c>
      <c r="E180" s="89">
        <v>160.03989999999999</v>
      </c>
      <c r="F180" s="5">
        <v>15</v>
      </c>
      <c r="G180" s="5">
        <v>2</v>
      </c>
      <c r="H180" s="90"/>
      <c r="I180" s="5">
        <v>0</v>
      </c>
      <c r="J180" s="5"/>
      <c r="K180" s="5"/>
      <c r="L180" s="5">
        <v>0</v>
      </c>
      <c r="M180" s="5">
        <v>0</v>
      </c>
      <c r="N180" s="5"/>
      <c r="O180" s="5"/>
      <c r="P180" s="5">
        <v>160.03989999999999</v>
      </c>
      <c r="Q180" s="5">
        <v>0</v>
      </c>
      <c r="R180" s="5">
        <f t="shared" si="2"/>
        <v>0</v>
      </c>
      <c r="S180" s="5"/>
      <c r="T180" s="5"/>
      <c r="U180" s="5"/>
      <c r="V180" s="5"/>
      <c r="W180" s="5"/>
    </row>
    <row r="181" spans="1:23" ht="26">
      <c r="A181" s="70">
        <v>3031184</v>
      </c>
      <c r="B181" s="71" t="s">
        <v>145</v>
      </c>
      <c r="C181" s="72" t="s">
        <v>19</v>
      </c>
      <c r="D181" s="74">
        <v>100</v>
      </c>
      <c r="E181" s="88">
        <v>3.75</v>
      </c>
      <c r="F181" s="5">
        <v>4</v>
      </c>
      <c r="G181" s="5">
        <v>0</v>
      </c>
      <c r="H181" s="90"/>
      <c r="I181" s="5">
        <v>344</v>
      </c>
      <c r="J181" s="5"/>
      <c r="K181" s="5"/>
      <c r="L181" s="5">
        <v>0</v>
      </c>
      <c r="M181" s="5">
        <v>300</v>
      </c>
      <c r="N181" s="5"/>
      <c r="O181" s="5"/>
      <c r="P181" s="5">
        <v>3.75</v>
      </c>
      <c r="Q181" s="5">
        <v>0</v>
      </c>
      <c r="R181" s="5">
        <f t="shared" si="2"/>
        <v>1125</v>
      </c>
      <c r="S181" s="5"/>
      <c r="T181" s="5"/>
      <c r="U181" s="5"/>
      <c r="V181" s="5"/>
      <c r="W181" s="5"/>
    </row>
    <row r="182" spans="1:23" ht="26">
      <c r="A182" s="70">
        <v>3031314</v>
      </c>
      <c r="B182" s="71" t="s">
        <v>146</v>
      </c>
      <c r="C182" s="72" t="s">
        <v>19</v>
      </c>
      <c r="D182" s="74">
        <v>1860</v>
      </c>
      <c r="E182" s="88">
        <v>0.2782</v>
      </c>
      <c r="F182" s="5">
        <v>232</v>
      </c>
      <c r="G182" s="5">
        <v>0</v>
      </c>
      <c r="H182" s="90"/>
      <c r="I182" s="5">
        <v>300</v>
      </c>
      <c r="J182" s="5"/>
      <c r="K182" s="5"/>
      <c r="L182" s="5">
        <v>0</v>
      </c>
      <c r="M182" s="5">
        <v>0</v>
      </c>
      <c r="N182" s="5"/>
      <c r="O182" s="5"/>
      <c r="P182" s="5">
        <v>0.2782</v>
      </c>
      <c r="Q182" s="5">
        <v>0</v>
      </c>
      <c r="R182" s="5">
        <f t="shared" si="2"/>
        <v>0</v>
      </c>
      <c r="S182" s="5"/>
      <c r="T182" s="5"/>
      <c r="U182" s="5"/>
      <c r="V182" s="5"/>
      <c r="W182" s="5"/>
    </row>
    <row r="183" spans="1:23" ht="26">
      <c r="A183" s="3">
        <v>3031342</v>
      </c>
      <c r="B183" s="86" t="s">
        <v>147</v>
      </c>
      <c r="C183" s="72" t="s">
        <v>22</v>
      </c>
      <c r="D183" s="74">
        <v>9</v>
      </c>
      <c r="E183" s="88">
        <v>19.260000000000002</v>
      </c>
      <c r="F183" s="5">
        <v>75</v>
      </c>
      <c r="G183" s="5">
        <v>0</v>
      </c>
      <c r="H183" s="90"/>
      <c r="I183" s="5">
        <v>9</v>
      </c>
      <c r="J183" s="5"/>
      <c r="K183" s="5"/>
      <c r="L183" s="5">
        <v>0</v>
      </c>
      <c r="M183" s="5">
        <v>0</v>
      </c>
      <c r="N183" s="5"/>
      <c r="O183" s="5"/>
      <c r="P183" s="5">
        <v>19.260000000000002</v>
      </c>
      <c r="Q183" s="5">
        <v>0</v>
      </c>
      <c r="R183" s="5">
        <f t="shared" si="2"/>
        <v>0</v>
      </c>
      <c r="S183" s="5"/>
      <c r="T183" s="5"/>
      <c r="U183" s="5"/>
      <c r="V183" s="5"/>
      <c r="W183" s="5"/>
    </row>
    <row r="184" spans="1:23" ht="26">
      <c r="A184" s="70">
        <v>3031371</v>
      </c>
      <c r="B184" s="71" t="s">
        <v>148</v>
      </c>
      <c r="C184" s="72" t="s">
        <v>19</v>
      </c>
      <c r="D184" s="74">
        <v>578</v>
      </c>
      <c r="E184" s="88">
        <v>10.7</v>
      </c>
      <c r="F184" s="5">
        <v>9</v>
      </c>
      <c r="G184" s="5">
        <v>60</v>
      </c>
      <c r="H184" s="90"/>
      <c r="I184" s="5">
        <v>255</v>
      </c>
      <c r="J184" s="5"/>
      <c r="K184" s="5"/>
      <c r="L184" s="5">
        <v>0</v>
      </c>
      <c r="M184" s="5">
        <v>0</v>
      </c>
      <c r="N184" s="5"/>
      <c r="O184" s="5"/>
      <c r="P184" s="5">
        <v>10.7</v>
      </c>
      <c r="Q184" s="5">
        <v>0</v>
      </c>
      <c r="R184" s="5">
        <f t="shared" si="2"/>
        <v>0</v>
      </c>
      <c r="S184" s="5"/>
      <c r="T184" s="5"/>
      <c r="U184" s="5"/>
      <c r="V184" s="5"/>
      <c r="W184" s="5"/>
    </row>
    <row r="185" spans="1:23" ht="26">
      <c r="A185" s="70">
        <v>3031387</v>
      </c>
      <c r="B185" s="71" t="s">
        <v>149</v>
      </c>
      <c r="C185" s="72" t="s">
        <v>19</v>
      </c>
      <c r="D185" s="74">
        <v>50</v>
      </c>
      <c r="E185" s="88">
        <v>1.25</v>
      </c>
      <c r="F185" s="5">
        <v>63</v>
      </c>
      <c r="G185" s="5">
        <v>0</v>
      </c>
      <c r="H185" s="90"/>
      <c r="I185" s="5">
        <v>292</v>
      </c>
      <c r="J185" s="5"/>
      <c r="K185" s="5"/>
      <c r="L185" s="5">
        <v>0</v>
      </c>
      <c r="M185" s="5">
        <v>300</v>
      </c>
      <c r="N185" s="5"/>
      <c r="O185" s="5"/>
      <c r="P185" s="5">
        <v>1.25</v>
      </c>
      <c r="Q185" s="5">
        <v>0</v>
      </c>
      <c r="R185" s="5">
        <f t="shared" si="2"/>
        <v>375</v>
      </c>
      <c r="S185" s="5"/>
      <c r="T185" s="5"/>
      <c r="U185" s="5"/>
      <c r="V185" s="5"/>
      <c r="W185" s="5"/>
    </row>
    <row r="186" spans="1:23" ht="26">
      <c r="A186" s="70">
        <v>3031448</v>
      </c>
      <c r="B186" s="71" t="s">
        <v>150</v>
      </c>
      <c r="C186" s="72" t="s">
        <v>19</v>
      </c>
      <c r="D186" s="74">
        <v>1250</v>
      </c>
      <c r="E186" s="88">
        <v>0.52429999999999999</v>
      </c>
      <c r="F186" s="5">
        <v>372</v>
      </c>
      <c r="G186" s="5">
        <v>152</v>
      </c>
      <c r="H186" s="90"/>
      <c r="I186" s="5">
        <v>4</v>
      </c>
      <c r="J186" s="5"/>
      <c r="K186" s="5"/>
      <c r="L186" s="5">
        <v>0</v>
      </c>
      <c r="M186" s="5">
        <v>0</v>
      </c>
      <c r="N186" s="5"/>
      <c r="O186" s="5"/>
      <c r="P186" s="5">
        <v>0.52429999999999999</v>
      </c>
      <c r="Q186" s="5">
        <v>0</v>
      </c>
      <c r="R186" s="5">
        <f t="shared" si="2"/>
        <v>0</v>
      </c>
      <c r="S186" s="5"/>
      <c r="T186" s="5"/>
      <c r="U186" s="5"/>
      <c r="V186" s="5"/>
      <c r="W186" s="5"/>
    </row>
    <row r="187" spans="1:23" ht="26">
      <c r="A187" s="2">
        <v>3031487</v>
      </c>
      <c r="B187" s="71" t="s">
        <v>151</v>
      </c>
      <c r="C187" s="72" t="s">
        <v>17</v>
      </c>
      <c r="D187" s="77"/>
      <c r="E187" s="89">
        <v>133.75</v>
      </c>
      <c r="F187" s="5">
        <v>0</v>
      </c>
      <c r="G187" s="5">
        <v>0</v>
      </c>
      <c r="H187" s="90"/>
      <c r="I187" s="5">
        <v>0</v>
      </c>
      <c r="J187" s="5"/>
      <c r="K187" s="5"/>
      <c r="L187" s="5">
        <v>0</v>
      </c>
      <c r="M187" s="5">
        <v>0</v>
      </c>
      <c r="N187" s="5"/>
      <c r="O187" s="5"/>
      <c r="P187" s="5">
        <v>133.75</v>
      </c>
      <c r="Q187" s="5">
        <v>0</v>
      </c>
      <c r="R187" s="5">
        <f t="shared" si="2"/>
        <v>0</v>
      </c>
      <c r="S187" s="5"/>
      <c r="T187" s="5"/>
      <c r="U187" s="5"/>
      <c r="V187" s="5"/>
      <c r="W187" s="5"/>
    </row>
    <row r="188" spans="1:23" ht="26">
      <c r="A188" s="2">
        <v>3031631</v>
      </c>
      <c r="B188" s="71" t="s">
        <v>152</v>
      </c>
      <c r="C188" s="72" t="s">
        <v>25</v>
      </c>
      <c r="D188" s="77"/>
      <c r="E188" s="89">
        <v>69.55</v>
      </c>
      <c r="F188" s="5">
        <v>96</v>
      </c>
      <c r="G188" s="5">
        <v>280</v>
      </c>
      <c r="H188" s="90"/>
      <c r="I188" s="5">
        <v>0</v>
      </c>
      <c r="J188" s="5"/>
      <c r="K188" s="5"/>
      <c r="L188" s="5">
        <v>0</v>
      </c>
      <c r="M188" s="5">
        <v>0</v>
      </c>
      <c r="N188" s="5"/>
      <c r="O188" s="5"/>
      <c r="P188" s="5">
        <v>69.55</v>
      </c>
      <c r="Q188" s="5">
        <v>0</v>
      </c>
      <c r="R188" s="5">
        <f t="shared" si="2"/>
        <v>0</v>
      </c>
      <c r="S188" s="5"/>
      <c r="T188" s="5"/>
      <c r="U188" s="5"/>
      <c r="V188" s="5"/>
      <c r="W188" s="5"/>
    </row>
    <row r="189" spans="1:23" ht="26">
      <c r="A189" s="2">
        <v>3031631</v>
      </c>
      <c r="B189" s="71" t="s">
        <v>152</v>
      </c>
      <c r="C189" s="72" t="s">
        <v>25</v>
      </c>
      <c r="D189" s="74">
        <v>20</v>
      </c>
      <c r="E189" s="88">
        <v>70.62</v>
      </c>
      <c r="F189" s="5">
        <v>236</v>
      </c>
      <c r="G189" s="5">
        <v>0</v>
      </c>
      <c r="H189" s="90"/>
      <c r="I189" s="5">
        <v>17</v>
      </c>
      <c r="J189" s="5"/>
      <c r="K189" s="5"/>
      <c r="L189" s="5">
        <v>0</v>
      </c>
      <c r="M189" s="5">
        <v>0</v>
      </c>
      <c r="N189" s="5"/>
      <c r="O189" s="5"/>
      <c r="P189" s="5">
        <v>70.62</v>
      </c>
      <c r="Q189" s="5">
        <v>0</v>
      </c>
      <c r="R189" s="5">
        <f t="shared" si="2"/>
        <v>0</v>
      </c>
      <c r="S189" s="5"/>
      <c r="T189" s="5"/>
      <c r="U189" s="5"/>
      <c r="V189" s="5"/>
      <c r="W189" s="5"/>
    </row>
    <row r="190" spans="1:23" ht="26">
      <c r="A190" s="2">
        <v>3031640</v>
      </c>
      <c r="B190" s="71" t="s">
        <v>153</v>
      </c>
      <c r="C190" s="72" t="s">
        <v>19</v>
      </c>
      <c r="D190" s="74">
        <v>80</v>
      </c>
      <c r="E190" s="88">
        <v>85.6</v>
      </c>
      <c r="F190" s="5">
        <v>12</v>
      </c>
      <c r="G190" s="5">
        <v>0</v>
      </c>
      <c r="H190" s="90"/>
      <c r="I190" s="5">
        <v>61</v>
      </c>
      <c r="J190" s="5"/>
      <c r="K190" s="5"/>
      <c r="L190" s="5">
        <v>0</v>
      </c>
      <c r="M190" s="5">
        <v>0</v>
      </c>
      <c r="N190" s="5"/>
      <c r="O190" s="5"/>
      <c r="P190" s="5">
        <v>85.6</v>
      </c>
      <c r="Q190" s="5">
        <v>0</v>
      </c>
      <c r="R190" s="5">
        <f t="shared" si="2"/>
        <v>0</v>
      </c>
      <c r="S190" s="5"/>
      <c r="T190" s="5"/>
      <c r="U190" s="5"/>
      <c r="V190" s="5"/>
      <c r="W190" s="5"/>
    </row>
    <row r="191" spans="1:23" ht="26">
      <c r="A191" s="85">
        <v>3031650</v>
      </c>
      <c r="B191" s="82" t="s">
        <v>154</v>
      </c>
      <c r="C191" s="83" t="s">
        <v>32</v>
      </c>
      <c r="D191" s="84"/>
      <c r="E191" s="89">
        <v>353.1</v>
      </c>
      <c r="F191" s="5">
        <v>0</v>
      </c>
      <c r="G191" s="5">
        <v>0</v>
      </c>
      <c r="H191" s="90"/>
      <c r="I191" s="5">
        <v>0</v>
      </c>
      <c r="J191" s="5"/>
      <c r="K191" s="5"/>
      <c r="L191" s="5">
        <v>0</v>
      </c>
      <c r="M191" s="5">
        <v>0</v>
      </c>
      <c r="N191" s="5"/>
      <c r="O191" s="5"/>
      <c r="P191" s="5">
        <v>353.1</v>
      </c>
      <c r="Q191" s="5">
        <v>0</v>
      </c>
      <c r="R191" s="5">
        <f t="shared" si="2"/>
        <v>0</v>
      </c>
      <c r="S191" s="5"/>
      <c r="T191" s="5"/>
      <c r="U191" s="5"/>
      <c r="V191" s="5"/>
      <c r="W191" s="5"/>
    </row>
    <row r="192" spans="1:23" ht="26">
      <c r="A192" s="70">
        <v>3031657</v>
      </c>
      <c r="B192" s="71" t="s">
        <v>155</v>
      </c>
      <c r="C192" s="72" t="s">
        <v>19</v>
      </c>
      <c r="D192" s="77">
        <v>0</v>
      </c>
      <c r="E192" s="89">
        <v>0</v>
      </c>
      <c r="F192" s="5">
        <v>26</v>
      </c>
      <c r="G192" s="5">
        <v>0</v>
      </c>
      <c r="H192" s="90"/>
      <c r="I192" s="5">
        <v>0</v>
      </c>
      <c r="J192" s="5"/>
      <c r="K192" s="5"/>
      <c r="L192" s="5">
        <v>0</v>
      </c>
      <c r="M192" s="5">
        <v>0</v>
      </c>
      <c r="N192" s="5"/>
      <c r="O192" s="5"/>
      <c r="P192" s="5">
        <v>0</v>
      </c>
      <c r="Q192" s="5">
        <v>0</v>
      </c>
      <c r="R192" s="5">
        <f t="shared" si="2"/>
        <v>0</v>
      </c>
      <c r="S192" s="5"/>
      <c r="T192" s="5"/>
      <c r="U192" s="5"/>
      <c r="V192" s="5"/>
      <c r="W192" s="5"/>
    </row>
    <row r="193" spans="1:23" ht="26">
      <c r="A193" s="70">
        <v>3031659</v>
      </c>
      <c r="B193" s="71" t="s">
        <v>156</v>
      </c>
      <c r="C193" s="72" t="s">
        <v>19</v>
      </c>
      <c r="D193" s="77"/>
      <c r="E193" s="89">
        <v>0.69550000000000001</v>
      </c>
      <c r="F193" s="5">
        <v>410</v>
      </c>
      <c r="G193" s="5">
        <v>0</v>
      </c>
      <c r="H193" s="90"/>
      <c r="I193" s="5">
        <v>0</v>
      </c>
      <c r="J193" s="5"/>
      <c r="K193" s="5"/>
      <c r="L193" s="5">
        <v>0</v>
      </c>
      <c r="M193" s="5">
        <v>0</v>
      </c>
      <c r="N193" s="5"/>
      <c r="O193" s="5"/>
      <c r="P193" s="5">
        <v>0.69550000000000001</v>
      </c>
      <c r="Q193" s="5">
        <v>0</v>
      </c>
      <c r="R193" s="5">
        <f t="shared" si="2"/>
        <v>0</v>
      </c>
      <c r="S193" s="5"/>
      <c r="T193" s="5"/>
      <c r="U193" s="5"/>
      <c r="V193" s="5"/>
      <c r="W193" s="5"/>
    </row>
    <row r="194" spans="1:23" ht="26">
      <c r="A194" s="70">
        <v>3031659</v>
      </c>
      <c r="B194" s="71" t="s">
        <v>156</v>
      </c>
      <c r="C194" s="72" t="s">
        <v>19</v>
      </c>
      <c r="D194" s="74">
        <v>1971</v>
      </c>
      <c r="E194" s="88">
        <v>0.96299999999999997</v>
      </c>
      <c r="F194" s="5">
        <v>2</v>
      </c>
      <c r="G194" s="5">
        <v>0</v>
      </c>
      <c r="H194" s="90"/>
      <c r="I194" s="5">
        <v>1405</v>
      </c>
      <c r="J194" s="5"/>
      <c r="K194" s="5"/>
      <c r="L194" s="5">
        <v>0</v>
      </c>
      <c r="M194" s="5">
        <v>0</v>
      </c>
      <c r="N194" s="5"/>
      <c r="O194" s="5"/>
      <c r="P194" s="5">
        <v>0.96299999999999997</v>
      </c>
      <c r="Q194" s="5">
        <v>0</v>
      </c>
      <c r="R194" s="5">
        <f t="shared" si="2"/>
        <v>0</v>
      </c>
      <c r="S194" s="5"/>
      <c r="T194" s="5"/>
      <c r="U194" s="5"/>
      <c r="V194" s="5"/>
      <c r="W194" s="5"/>
    </row>
    <row r="195" spans="1:23" ht="26">
      <c r="A195" s="3">
        <v>3031665</v>
      </c>
      <c r="B195" s="86" t="s">
        <v>157</v>
      </c>
      <c r="C195" s="72" t="s">
        <v>19</v>
      </c>
      <c r="D195" s="74">
        <v>94</v>
      </c>
      <c r="E195" s="88">
        <v>2.2469999999999999</v>
      </c>
      <c r="F195" s="5">
        <v>41</v>
      </c>
      <c r="G195" s="5">
        <v>10</v>
      </c>
      <c r="H195" s="90"/>
      <c r="I195" s="5">
        <v>118</v>
      </c>
      <c r="J195" s="5"/>
      <c r="K195" s="5"/>
      <c r="L195" s="5">
        <v>0</v>
      </c>
      <c r="M195" s="5">
        <v>200</v>
      </c>
      <c r="N195" s="5"/>
      <c r="O195" s="5"/>
      <c r="P195" s="5">
        <v>2.2469999999999999</v>
      </c>
      <c r="Q195" s="5">
        <v>0</v>
      </c>
      <c r="R195" s="5">
        <f t="shared" si="2"/>
        <v>449.4</v>
      </c>
      <c r="S195" s="5"/>
      <c r="T195" s="5"/>
      <c r="U195" s="5"/>
      <c r="V195" s="5"/>
      <c r="W195" s="5"/>
    </row>
    <row r="196" spans="1:23" ht="26">
      <c r="A196" s="3">
        <v>3031665</v>
      </c>
      <c r="B196" s="86" t="s">
        <v>157</v>
      </c>
      <c r="C196" s="72" t="s">
        <v>19</v>
      </c>
      <c r="D196" s="77"/>
      <c r="E196" s="89">
        <v>1.9259999999999999</v>
      </c>
      <c r="F196" s="5">
        <v>160</v>
      </c>
      <c r="G196" s="5">
        <v>0</v>
      </c>
      <c r="H196" s="90"/>
      <c r="I196" s="5">
        <v>0</v>
      </c>
      <c r="J196" s="5"/>
      <c r="K196" s="5"/>
      <c r="L196" s="5">
        <v>0</v>
      </c>
      <c r="M196" s="5">
        <v>0</v>
      </c>
      <c r="N196" s="5"/>
      <c r="O196" s="5"/>
      <c r="P196" s="5">
        <v>1.9259999999999999</v>
      </c>
      <c r="Q196" s="5">
        <v>0</v>
      </c>
      <c r="R196" s="5">
        <f t="shared" si="2"/>
        <v>0</v>
      </c>
      <c r="S196" s="5"/>
      <c r="T196" s="5"/>
      <c r="U196" s="5"/>
      <c r="V196" s="5"/>
      <c r="W196" s="5"/>
    </row>
    <row r="197" spans="1:23" ht="26">
      <c r="A197" s="3">
        <v>3031666</v>
      </c>
      <c r="B197" s="86" t="s">
        <v>158</v>
      </c>
      <c r="C197" s="72" t="s">
        <v>19</v>
      </c>
      <c r="D197" s="74">
        <v>0</v>
      </c>
      <c r="E197" s="89">
        <v>0</v>
      </c>
      <c r="F197" s="5">
        <v>104</v>
      </c>
      <c r="G197" s="5">
        <v>42</v>
      </c>
      <c r="H197" s="90"/>
      <c r="I197" s="5">
        <v>0</v>
      </c>
      <c r="J197" s="5"/>
      <c r="K197" s="5"/>
      <c r="L197" s="5">
        <v>0</v>
      </c>
      <c r="M197" s="5">
        <v>0</v>
      </c>
      <c r="N197" s="5"/>
      <c r="O197" s="5"/>
      <c r="P197" s="5">
        <v>0</v>
      </c>
      <c r="Q197" s="5">
        <v>0</v>
      </c>
      <c r="R197" s="5">
        <f t="shared" ref="R197:R211" si="3">+M197*P197</f>
        <v>0</v>
      </c>
      <c r="S197" s="5"/>
      <c r="T197" s="5"/>
      <c r="U197" s="5"/>
      <c r="V197" s="5"/>
      <c r="W197" s="5"/>
    </row>
    <row r="198" spans="1:23" ht="26">
      <c r="A198" s="70">
        <v>3031697</v>
      </c>
      <c r="B198" s="71" t="s">
        <v>159</v>
      </c>
      <c r="C198" s="72" t="s">
        <v>19</v>
      </c>
      <c r="D198" s="74">
        <v>37</v>
      </c>
      <c r="E198" s="88">
        <v>2.3807499999999999</v>
      </c>
      <c r="F198" s="5">
        <v>18</v>
      </c>
      <c r="G198" s="5">
        <v>0</v>
      </c>
      <c r="H198" s="90"/>
      <c r="I198" s="5">
        <v>104</v>
      </c>
      <c r="J198" s="5"/>
      <c r="K198" s="5"/>
      <c r="L198" s="5">
        <v>0</v>
      </c>
      <c r="M198" s="5">
        <v>100</v>
      </c>
      <c r="N198" s="5"/>
      <c r="O198" s="5"/>
      <c r="P198" s="5">
        <v>2.3807499999999999</v>
      </c>
      <c r="Q198" s="5">
        <v>0</v>
      </c>
      <c r="R198" s="5">
        <f t="shared" si="3"/>
        <v>238.07499999999999</v>
      </c>
      <c r="S198" s="5"/>
      <c r="T198" s="5"/>
      <c r="U198" s="5"/>
      <c r="V198" s="5"/>
      <c r="W198" s="5"/>
    </row>
    <row r="199" spans="1:23" ht="26">
      <c r="A199" s="3">
        <v>3031732</v>
      </c>
      <c r="B199" s="86" t="s">
        <v>160</v>
      </c>
      <c r="C199" s="72" t="s">
        <v>14</v>
      </c>
      <c r="D199" s="74">
        <v>6</v>
      </c>
      <c r="E199" s="88">
        <v>3.2</v>
      </c>
      <c r="F199" s="5">
        <v>8</v>
      </c>
      <c r="G199" s="5">
        <v>0</v>
      </c>
      <c r="H199" s="90"/>
      <c r="I199" s="5">
        <v>6</v>
      </c>
      <c r="J199" s="5"/>
      <c r="K199" s="5"/>
      <c r="L199" s="5">
        <v>0</v>
      </c>
      <c r="M199" s="5">
        <v>0</v>
      </c>
      <c r="N199" s="5"/>
      <c r="O199" s="5"/>
      <c r="P199" s="5">
        <v>3.2</v>
      </c>
      <c r="Q199" s="5">
        <v>0</v>
      </c>
      <c r="R199" s="5">
        <f t="shared" si="3"/>
        <v>0</v>
      </c>
      <c r="S199" s="5"/>
      <c r="T199" s="5"/>
      <c r="U199" s="5"/>
      <c r="V199" s="5"/>
      <c r="W199" s="5"/>
    </row>
    <row r="200" spans="1:23" ht="26">
      <c r="A200" s="3">
        <v>3031738</v>
      </c>
      <c r="B200" s="71" t="s">
        <v>161</v>
      </c>
      <c r="C200" s="72" t="s">
        <v>14</v>
      </c>
      <c r="D200" s="74">
        <v>119</v>
      </c>
      <c r="E200" s="88">
        <v>1.25</v>
      </c>
      <c r="F200" s="5">
        <v>207</v>
      </c>
      <c r="G200" s="5">
        <v>56</v>
      </c>
      <c r="H200" s="90"/>
      <c r="I200" s="5">
        <v>119</v>
      </c>
      <c r="J200" s="5"/>
      <c r="K200" s="5"/>
      <c r="L200" s="5">
        <v>0</v>
      </c>
      <c r="M200" s="5">
        <v>0</v>
      </c>
      <c r="N200" s="5"/>
      <c r="O200" s="5"/>
      <c r="P200" s="5">
        <v>1.25</v>
      </c>
      <c r="Q200" s="5">
        <v>0</v>
      </c>
      <c r="R200" s="5">
        <f t="shared" si="3"/>
        <v>0</v>
      </c>
      <c r="S200" s="5"/>
      <c r="T200" s="5"/>
      <c r="U200" s="5"/>
      <c r="V200" s="5"/>
      <c r="W200" s="5"/>
    </row>
    <row r="201" spans="1:23" ht="26">
      <c r="A201" s="70">
        <v>3031744</v>
      </c>
      <c r="B201" s="71" t="s">
        <v>162</v>
      </c>
      <c r="C201" s="72" t="s">
        <v>19</v>
      </c>
      <c r="D201" s="74">
        <v>1800</v>
      </c>
      <c r="E201" s="88">
        <v>1.605</v>
      </c>
      <c r="F201" s="5">
        <v>170</v>
      </c>
      <c r="G201" s="5">
        <v>0</v>
      </c>
      <c r="H201" s="90"/>
      <c r="I201" s="5">
        <v>1640</v>
      </c>
      <c r="J201" s="5"/>
      <c r="K201" s="5"/>
      <c r="L201" s="5">
        <v>0</v>
      </c>
      <c r="M201" s="5">
        <v>1000</v>
      </c>
      <c r="N201" s="5"/>
      <c r="O201" s="5"/>
      <c r="P201" s="5">
        <v>1.605</v>
      </c>
      <c r="Q201" s="5">
        <v>0</v>
      </c>
      <c r="R201" s="5">
        <f t="shared" si="3"/>
        <v>1605</v>
      </c>
      <c r="S201" s="5"/>
      <c r="T201" s="5"/>
      <c r="U201" s="5"/>
      <c r="V201" s="5"/>
      <c r="W201" s="5"/>
    </row>
    <row r="202" spans="1:23" ht="26">
      <c r="A202" s="2">
        <v>3031803</v>
      </c>
      <c r="B202" s="71" t="s">
        <v>163</v>
      </c>
      <c r="C202" s="72" t="s">
        <v>19</v>
      </c>
      <c r="D202" s="74">
        <v>60</v>
      </c>
      <c r="E202" s="88">
        <v>2.2469999999999999</v>
      </c>
      <c r="F202" s="5">
        <v>413</v>
      </c>
      <c r="G202" s="5">
        <v>50</v>
      </c>
      <c r="H202" s="90"/>
      <c r="I202" s="5">
        <v>200</v>
      </c>
      <c r="J202" s="5"/>
      <c r="K202" s="5"/>
      <c r="L202" s="5">
        <v>0</v>
      </c>
      <c r="M202" s="5">
        <v>200</v>
      </c>
      <c r="N202" s="5"/>
      <c r="O202" s="5"/>
      <c r="P202" s="5">
        <v>2.2469999999999999</v>
      </c>
      <c r="Q202" s="5">
        <v>0</v>
      </c>
      <c r="R202" s="5">
        <f t="shared" si="3"/>
        <v>449.4</v>
      </c>
      <c r="S202" s="5"/>
      <c r="T202" s="5"/>
      <c r="U202" s="5"/>
      <c r="V202" s="5"/>
      <c r="W202" s="5"/>
    </row>
    <row r="203" spans="1:23" ht="26">
      <c r="A203" s="2">
        <v>3031804</v>
      </c>
      <c r="B203" s="71" t="s">
        <v>164</v>
      </c>
      <c r="C203" s="72" t="s">
        <v>19</v>
      </c>
      <c r="D203" s="77">
        <v>0</v>
      </c>
      <c r="E203" s="89">
        <v>0</v>
      </c>
      <c r="F203" s="5">
        <v>0</v>
      </c>
      <c r="G203" s="5">
        <v>0</v>
      </c>
      <c r="H203" s="90"/>
      <c r="I203" s="5">
        <v>0</v>
      </c>
      <c r="J203" s="5"/>
      <c r="K203" s="5"/>
      <c r="L203" s="5">
        <v>0</v>
      </c>
      <c r="M203" s="5">
        <v>0</v>
      </c>
      <c r="N203" s="5"/>
      <c r="O203" s="5"/>
      <c r="P203" s="5">
        <v>0</v>
      </c>
      <c r="Q203" s="5">
        <v>0</v>
      </c>
      <c r="R203" s="5">
        <f t="shared" si="3"/>
        <v>0</v>
      </c>
      <c r="S203" s="5"/>
      <c r="T203" s="5"/>
      <c r="U203" s="5"/>
      <c r="V203" s="5"/>
      <c r="W203" s="5"/>
    </row>
    <row r="204" spans="1:23" ht="26">
      <c r="A204" s="2">
        <v>3031805</v>
      </c>
      <c r="B204" s="71" t="s">
        <v>165</v>
      </c>
      <c r="C204" s="72" t="s">
        <v>19</v>
      </c>
      <c r="D204" s="74">
        <v>8</v>
      </c>
      <c r="E204" s="88">
        <v>5.8849999999999998</v>
      </c>
      <c r="F204" s="5">
        <v>171</v>
      </c>
      <c r="G204" s="5">
        <v>16</v>
      </c>
      <c r="H204" s="90"/>
      <c r="I204" s="5">
        <v>4</v>
      </c>
      <c r="J204" s="5"/>
      <c r="K204" s="5"/>
      <c r="L204" s="5">
        <v>0</v>
      </c>
      <c r="M204" s="5">
        <v>0</v>
      </c>
      <c r="N204" s="5"/>
      <c r="O204" s="5"/>
      <c r="P204" s="5">
        <v>5.8849999999999998</v>
      </c>
      <c r="Q204" s="5">
        <v>0</v>
      </c>
      <c r="R204" s="5">
        <f t="shared" si="3"/>
        <v>0</v>
      </c>
      <c r="S204" s="5"/>
      <c r="T204" s="5"/>
      <c r="U204" s="5"/>
      <c r="V204" s="5"/>
      <c r="W204" s="5"/>
    </row>
    <row r="205" spans="1:23" ht="26">
      <c r="A205" s="70">
        <v>3031811</v>
      </c>
      <c r="B205" s="71" t="s">
        <v>166</v>
      </c>
      <c r="C205" s="72" t="s">
        <v>19</v>
      </c>
      <c r="D205" s="74">
        <v>202</v>
      </c>
      <c r="E205" s="88">
        <v>6.42</v>
      </c>
      <c r="F205" s="5">
        <v>19</v>
      </c>
      <c r="G205" s="5">
        <v>110</v>
      </c>
      <c r="H205" s="90"/>
      <c r="I205" s="5">
        <v>146</v>
      </c>
      <c r="J205" s="5"/>
      <c r="K205" s="5"/>
      <c r="L205" s="5">
        <v>0</v>
      </c>
      <c r="M205" s="5">
        <v>0</v>
      </c>
      <c r="N205" s="5"/>
      <c r="O205" s="5"/>
      <c r="P205" s="5">
        <v>6.42</v>
      </c>
      <c r="Q205" s="5">
        <v>0</v>
      </c>
      <c r="R205" s="5">
        <f t="shared" si="3"/>
        <v>0</v>
      </c>
      <c r="S205" s="5"/>
      <c r="T205" s="5"/>
      <c r="U205" s="5"/>
      <c r="V205" s="5"/>
      <c r="W205" s="5"/>
    </row>
    <row r="206" spans="1:23" ht="26">
      <c r="A206" s="70">
        <v>3031978</v>
      </c>
      <c r="B206" s="71" t="s">
        <v>167</v>
      </c>
      <c r="C206" s="72" t="s">
        <v>19</v>
      </c>
      <c r="D206" s="74">
        <v>1670</v>
      </c>
      <c r="E206" s="88">
        <v>0.63129999999999997</v>
      </c>
      <c r="F206" s="5">
        <v>401</v>
      </c>
      <c r="G206" s="5">
        <v>20</v>
      </c>
      <c r="H206" s="90"/>
      <c r="I206" s="5">
        <v>0</v>
      </c>
      <c r="J206" s="5"/>
      <c r="K206" s="5"/>
      <c r="L206" s="5">
        <v>0</v>
      </c>
      <c r="M206" s="5">
        <v>0</v>
      </c>
      <c r="N206" s="5"/>
      <c r="O206" s="5"/>
      <c r="P206" s="5">
        <v>0.63129999999999997</v>
      </c>
      <c r="Q206" s="5">
        <v>0</v>
      </c>
      <c r="R206" s="5">
        <f t="shared" si="3"/>
        <v>0</v>
      </c>
      <c r="S206" s="5"/>
      <c r="T206" s="5"/>
      <c r="U206" s="5"/>
      <c r="V206" s="5"/>
      <c r="W206" s="5"/>
    </row>
    <row r="207" spans="1:23" ht="26">
      <c r="A207" s="70">
        <v>3031996</v>
      </c>
      <c r="B207" s="71" t="s">
        <v>168</v>
      </c>
      <c r="C207" s="72" t="s">
        <v>19</v>
      </c>
      <c r="D207" s="74">
        <v>404</v>
      </c>
      <c r="E207" s="88">
        <v>14.98</v>
      </c>
      <c r="F207" s="5">
        <v>25</v>
      </c>
      <c r="G207" s="5">
        <v>236</v>
      </c>
      <c r="H207" s="90"/>
      <c r="I207" s="5">
        <v>334</v>
      </c>
      <c r="J207" s="5"/>
      <c r="K207" s="5"/>
      <c r="L207" s="5">
        <v>0</v>
      </c>
      <c r="M207" s="5">
        <v>0</v>
      </c>
      <c r="N207" s="5"/>
      <c r="O207" s="5"/>
      <c r="P207" s="5">
        <v>14.98</v>
      </c>
      <c r="Q207" s="5">
        <v>0</v>
      </c>
      <c r="R207" s="5">
        <f t="shared" si="3"/>
        <v>0</v>
      </c>
      <c r="S207" s="5"/>
      <c r="T207" s="5"/>
      <c r="U207" s="5"/>
      <c r="V207" s="5"/>
      <c r="W207" s="5"/>
    </row>
    <row r="208" spans="1:23" ht="26">
      <c r="A208" s="2">
        <v>3032028</v>
      </c>
      <c r="B208" s="71" t="s">
        <v>169</v>
      </c>
      <c r="C208" s="72" t="s">
        <v>19</v>
      </c>
      <c r="D208" s="74">
        <v>23</v>
      </c>
      <c r="E208" s="88">
        <v>0.51359999999999995</v>
      </c>
      <c r="F208" s="5">
        <v>230</v>
      </c>
      <c r="G208" s="5">
        <v>0</v>
      </c>
      <c r="H208" s="90"/>
      <c r="I208" s="5">
        <v>234</v>
      </c>
      <c r="J208" s="5"/>
      <c r="K208" s="5"/>
      <c r="L208" s="5">
        <v>0</v>
      </c>
      <c r="M208" s="5">
        <v>300</v>
      </c>
      <c r="N208" s="5"/>
      <c r="O208" s="5"/>
      <c r="P208" s="5">
        <v>0.51359999999999995</v>
      </c>
      <c r="Q208" s="5">
        <v>0</v>
      </c>
      <c r="R208" s="5">
        <f t="shared" si="3"/>
        <v>154.07999999999998</v>
      </c>
      <c r="S208" s="5"/>
      <c r="T208" s="5"/>
      <c r="U208" s="5"/>
      <c r="V208" s="5"/>
      <c r="W208" s="5"/>
    </row>
    <row r="209" spans="1:23" ht="26">
      <c r="A209" s="2">
        <v>3032425</v>
      </c>
      <c r="B209" s="71" t="s">
        <v>170</v>
      </c>
      <c r="C209" s="72" t="s">
        <v>14</v>
      </c>
      <c r="D209" s="74">
        <v>17</v>
      </c>
      <c r="E209" s="88">
        <v>214.99510000000001</v>
      </c>
      <c r="F209" s="5">
        <v>97</v>
      </c>
      <c r="G209" s="5">
        <v>0</v>
      </c>
      <c r="H209" s="90"/>
      <c r="I209" s="5">
        <v>9</v>
      </c>
      <c r="J209" s="5"/>
      <c r="K209" s="5"/>
      <c r="L209" s="5">
        <v>0</v>
      </c>
      <c r="M209" s="5">
        <v>0</v>
      </c>
      <c r="N209" s="5"/>
      <c r="O209" s="5"/>
      <c r="P209" s="5">
        <v>214.99510000000001</v>
      </c>
      <c r="Q209" s="5">
        <v>0</v>
      </c>
      <c r="R209" s="5">
        <f t="shared" si="3"/>
        <v>0</v>
      </c>
      <c r="S209" s="5"/>
      <c r="T209" s="5"/>
      <c r="U209" s="5"/>
      <c r="V209" s="5"/>
      <c r="W209" s="5"/>
    </row>
    <row r="210" spans="1:23" ht="26">
      <c r="A210" s="2">
        <v>3032608</v>
      </c>
      <c r="B210" s="71" t="s">
        <v>171</v>
      </c>
      <c r="C210" s="72" t="s">
        <v>14</v>
      </c>
      <c r="D210" s="74">
        <v>0</v>
      </c>
      <c r="E210" s="88">
        <v>0</v>
      </c>
      <c r="F210" s="5">
        <v>1</v>
      </c>
      <c r="G210" s="5">
        <v>1</v>
      </c>
      <c r="H210" s="90"/>
      <c r="I210" s="5">
        <v>0</v>
      </c>
      <c r="J210" s="5"/>
      <c r="K210" s="5"/>
      <c r="L210" s="5">
        <v>0</v>
      </c>
      <c r="M210" s="5">
        <v>0</v>
      </c>
      <c r="N210" s="5"/>
      <c r="O210" s="5"/>
      <c r="P210" s="5">
        <v>0</v>
      </c>
      <c r="Q210" s="5">
        <v>0</v>
      </c>
      <c r="R210" s="5">
        <f t="shared" si="3"/>
        <v>0</v>
      </c>
      <c r="S210" s="5"/>
      <c r="T210" s="5"/>
      <c r="U210" s="5"/>
      <c r="V210" s="5"/>
      <c r="W210" s="5"/>
    </row>
    <row r="211" spans="1:23" ht="26">
      <c r="A211" s="2">
        <v>3036113</v>
      </c>
      <c r="B211" s="71" t="s">
        <v>172</v>
      </c>
      <c r="C211" s="72" t="s">
        <v>14</v>
      </c>
      <c r="D211" s="74">
        <v>1</v>
      </c>
      <c r="E211" s="88">
        <v>379.99979999999999</v>
      </c>
      <c r="F211" s="5">
        <v>410</v>
      </c>
      <c r="G211" s="5">
        <v>0</v>
      </c>
      <c r="H211" s="90"/>
      <c r="I211" s="5">
        <v>0</v>
      </c>
      <c r="J211" s="5"/>
      <c r="K211" s="5"/>
      <c r="L211" s="5">
        <v>0</v>
      </c>
      <c r="M211" s="5">
        <v>0</v>
      </c>
      <c r="N211" s="5"/>
      <c r="O211" s="5"/>
      <c r="P211" s="5">
        <v>379.99979999999999</v>
      </c>
      <c r="Q211" s="5">
        <v>0</v>
      </c>
      <c r="R211" s="5">
        <f t="shared" si="3"/>
        <v>0</v>
      </c>
      <c r="S211" s="5"/>
      <c r="T211" s="5"/>
      <c r="U211" s="5"/>
      <c r="V211" s="5"/>
      <c r="W211" s="5"/>
    </row>
    <row r="212" spans="1:23"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93">
        <f>SUM(R4:R211)</f>
        <v>358104.54500000004</v>
      </c>
      <c r="S212" s="61"/>
      <c r="T212" s="61"/>
      <c r="U212" s="61"/>
      <c r="V212" s="61"/>
      <c r="W212" s="61"/>
    </row>
    <row r="213" spans="1:23"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</row>
  </sheetData>
  <mergeCells count="17">
    <mergeCell ref="S1:S3"/>
    <mergeCell ref="L1:R1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I1:I3"/>
    <mergeCell ref="B1:B3"/>
    <mergeCell ref="E1:E3"/>
    <mergeCell ref="F2:F3"/>
    <mergeCell ref="G2:G3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ไฟฟ้า</vt:lpstr>
      <vt:lpstr>ก่อสร้าง</vt:lpstr>
      <vt:lpstr>สรุปก่อสร้าง</vt:lpstr>
      <vt:lpstr>ไฟฟ้า!Print_Titles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ธนาภรณ์ ตั้งคำ</dc:creator>
  <cp:lastModifiedBy>Chedtha Makaew</cp:lastModifiedBy>
  <cp:lastPrinted>2026-09-04T02:13:14Z</cp:lastPrinted>
  <dcterms:created xsi:type="dcterms:W3CDTF">2026-08-31T04:51:25Z</dcterms:created>
  <dcterms:modified xsi:type="dcterms:W3CDTF">2026-10-13T18:49:42Z</dcterms:modified>
</cp:coreProperties>
</file>