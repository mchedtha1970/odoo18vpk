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hedtha/odoo18vpk/docs/UAT-Data-Migrate/"/>
    </mc:Choice>
  </mc:AlternateContent>
  <xr:revisionPtr revIDLastSave="0" documentId="13_ncr:1_{F08D3B07-1BF9-4646-BF29-EE5E2FD2E1B4}" xr6:coauthVersionLast="47" xr6:coauthVersionMax="47" xr10:uidLastSave="{00000000-0000-0000-0000-000000000000}"/>
  <bookViews>
    <workbookView xWindow="0" yWindow="500" windowWidth="28800" windowHeight="16400" firstSheet="1" activeTab="14" xr2:uid="{00000000-000D-0000-FFFF-FFFF00000000}"/>
  </bookViews>
  <sheets>
    <sheet name="สรุปเพื่อยืนยัน" sheetId="1" r:id="rId1"/>
    <sheet name="วัสดุสำนักงาน" sheetId="2" r:id="rId2"/>
    <sheet name="งานบ้าน" sheetId="3" r:id="rId3"/>
    <sheet name="เชื้อเพลิง" sheetId="4" r:id="rId4"/>
    <sheet name="เครื่องแต่งกาย" sheetId="5" r:id="rId5"/>
    <sheet name="ออกซิเจนเหลว" sheetId="6" r:id="rId6"/>
    <sheet name="Lab" sheetId="7" r:id="rId7"/>
    <sheet name="LabCOVID" sheetId="8" r:id="rId8"/>
    <sheet name="พยาธิกายวิภาค" sheetId="9" r:id="rId9"/>
    <sheet name="ธนาคารเลือด" sheetId="10" r:id="rId10"/>
    <sheet name="ยา" sheetId="11" r:id="rId11"/>
    <sheet name="วัสดุเภสัชกรรม" sheetId="12" r:id="rId12"/>
    <sheet name="ทันตกรรม" sheetId="13" r:id="rId13"/>
    <sheet name="โภชนาการ" sheetId="14" r:id="rId14"/>
    <sheet name="แบบพิมพ์" sheetId="15" r:id="rId15"/>
    <sheet name="ซ่อมเครื่องมือแพทย์" sheetId="16" r:id="rId16"/>
    <sheet name="ผ่าตัด" sheetId="17" r:id="rId17"/>
    <sheet name="การพยาบาล" sheetId="18" r:id="rId18"/>
    <sheet name="เฝือก" sheetId="19" r:id="rId19"/>
    <sheet name="ไตเทียม" sheetId="20" r:id="rId20"/>
    <sheet name="ตรวจสวนหัวใจ" sheetId="21" r:id="rId21"/>
    <sheet name="วิสัญญี" sheetId="22" r:id="rId22"/>
    <sheet name="ENT" sheetId="23" r:id="rId23"/>
    <sheet name="โสต ศอ นาสิก" sheetId="24" r:id="rId24"/>
    <sheet name="ทั่วไป" sheetId="25" r:id="rId25"/>
    <sheet name="อื่นๆ" sheetId="26" r:id="rId26"/>
    <sheet name="โฆษณา" sheetId="27" r:id="rId27"/>
    <sheet name="วัสดุคอมพิวเตอร์" sheetId="28" r:id="rId28"/>
    <sheet name="Wellness" sheetId="29" r:id="rId29"/>
  </sheets>
  <definedNames>
    <definedName name="_xlnm._FilterDatabase" localSheetId="22" hidden="1">ENT!$A$4:$O$12</definedName>
    <definedName name="_xlnm._FilterDatabase" localSheetId="6" hidden="1">Lab!$A$4:$O$297</definedName>
    <definedName name="_xlnm._FilterDatabase" localSheetId="7" hidden="1">LabCOVID!$A$4:$O$6</definedName>
    <definedName name="_xlnm._FilterDatabase" localSheetId="28" hidden="1">Wellness!$A$4:$O$39</definedName>
    <definedName name="_xlnm._FilterDatabase" localSheetId="17" hidden="1">การพยาบาล!$A$4:$O$328</definedName>
    <definedName name="_xlnm._FilterDatabase" localSheetId="4" hidden="1">เครื่องแต่งกาย!$A$4:$O$103</definedName>
    <definedName name="_xlnm._FilterDatabase" localSheetId="26" hidden="1">โฆษณา!$A$4:$O$67</definedName>
    <definedName name="_xlnm._FilterDatabase" localSheetId="2" hidden="1">งานบ้าน!$A$4:$O$432</definedName>
    <definedName name="_xlnm._FilterDatabase" localSheetId="3" hidden="1">เชื้อเพลิง!$A$4:$O$7</definedName>
    <definedName name="_xlnm._FilterDatabase" localSheetId="15" hidden="1">ซ่อมเครื่องมือแพทย์!$A$4:$O$36</definedName>
    <definedName name="_xlnm._FilterDatabase" localSheetId="20" hidden="1">ตรวจสวนหัวใจ!$A$4:$O$157</definedName>
    <definedName name="_xlnm._FilterDatabase" localSheetId="19" hidden="1">ไตเทียม!$A$4:$O$54</definedName>
    <definedName name="_xlnm._FilterDatabase" localSheetId="12" hidden="1">ทันตกรรม!$A$4:$O$554</definedName>
    <definedName name="_xlnm._FilterDatabase" localSheetId="24" hidden="1">ทั่วไป!$A$4:$O$186</definedName>
    <definedName name="_xlnm._FilterDatabase" localSheetId="9" hidden="1">ธนาคารเลือด!$A$4:$O$81</definedName>
    <definedName name="_xlnm._FilterDatabase" localSheetId="14" hidden="1">แบบพิมพ์!$A$4:$O$141</definedName>
    <definedName name="_xlnm._FilterDatabase" localSheetId="16" hidden="1">ผ่าตัด!$A$4:$O$878</definedName>
    <definedName name="_xlnm._FilterDatabase" localSheetId="18" hidden="1">เฝือก!$A$4:$O$87</definedName>
    <definedName name="_xlnm._FilterDatabase" localSheetId="8" hidden="1">พยาธิกายวิภาค!$A$4:$O$27</definedName>
    <definedName name="_xlnm._FilterDatabase" localSheetId="13" hidden="1">โภชนาการ!$A$4:$O$330</definedName>
    <definedName name="_xlnm._FilterDatabase" localSheetId="10" hidden="1">ยา!$A$4:$O$1063</definedName>
    <definedName name="_xlnm._FilterDatabase" localSheetId="27" hidden="1">วัสดุคอมพิวเตอร์!$A$4:$O$90</definedName>
    <definedName name="_xlnm._FilterDatabase" localSheetId="11" hidden="1">วัสดุเภสัชกรรม!$A$4:$O$112</definedName>
    <definedName name="_xlnm._FilterDatabase" localSheetId="1" hidden="1">วัสดุสำนักงาน!$A$4:$O$517</definedName>
    <definedName name="_xlnm._FilterDatabase" localSheetId="21" hidden="1">วิสัญญี!$A$4:$O$112</definedName>
    <definedName name="_xlnm._FilterDatabase" localSheetId="0" hidden="1">สรุปเพื่อยืนยัน!$A$6:$J$34</definedName>
    <definedName name="_xlnm._FilterDatabase" localSheetId="23" hidden="1">'โสต ศอ นาสิก'!$A$4:$O$17</definedName>
    <definedName name="_xlnm._FilterDatabase" localSheetId="5" hidden="1">ออกซิเจนเหลว!$A$4:$O$7</definedName>
    <definedName name="_xlnm._FilterDatabase" localSheetId="25" hidden="1">อื่นๆ!$A$4:$O$18</definedName>
    <definedName name="_xlnm.Print_Titles" localSheetId="22">ENT!$1:$4</definedName>
    <definedName name="_xlnm.Print_Titles" localSheetId="6">Lab!$1:$4</definedName>
    <definedName name="_xlnm.Print_Titles" localSheetId="7">LabCOVID!$1:$4</definedName>
    <definedName name="_xlnm.Print_Titles" localSheetId="28">Wellness!$1:$4</definedName>
    <definedName name="_xlnm.Print_Titles" localSheetId="17">การพยาบาล!$1:$4</definedName>
    <definedName name="_xlnm.Print_Titles" localSheetId="4">เครื่องแต่งกาย!$1:$4</definedName>
    <definedName name="_xlnm.Print_Titles" localSheetId="26">โฆษณา!$1:$4</definedName>
    <definedName name="_xlnm.Print_Titles" localSheetId="2">งานบ้าน!$1:$4</definedName>
    <definedName name="_xlnm.Print_Titles" localSheetId="3">เชื้อเพลิง!$1:$4</definedName>
    <definedName name="_xlnm.Print_Titles" localSheetId="15">ซ่อมเครื่องมือแพทย์!$1:$4</definedName>
    <definedName name="_xlnm.Print_Titles" localSheetId="20">ตรวจสวนหัวใจ!$1:$4</definedName>
    <definedName name="_xlnm.Print_Titles" localSheetId="19">ไตเทียม!$1:$4</definedName>
    <definedName name="_xlnm.Print_Titles" localSheetId="12">ทันตกรรม!$1:$4</definedName>
    <definedName name="_xlnm.Print_Titles" localSheetId="24">ทั่วไป!$1:$4</definedName>
    <definedName name="_xlnm.Print_Titles" localSheetId="9">ธนาคารเลือด!$1:$4</definedName>
    <definedName name="_xlnm.Print_Titles" localSheetId="14">แบบพิมพ์!$1:$4</definedName>
    <definedName name="_xlnm.Print_Titles" localSheetId="16">ผ่าตัด!$1:$4</definedName>
    <definedName name="_xlnm.Print_Titles" localSheetId="18">เฝือก!$1:$4</definedName>
    <definedName name="_xlnm.Print_Titles" localSheetId="8">พยาธิกายวิภาค!$1:$4</definedName>
    <definedName name="_xlnm.Print_Titles" localSheetId="13">โภชนาการ!$1:$4</definedName>
    <definedName name="_xlnm.Print_Titles" localSheetId="10">ยา!$1:$4</definedName>
    <definedName name="_xlnm.Print_Titles" localSheetId="27">วัสดุคอมพิวเตอร์!$1:$4</definedName>
    <definedName name="_xlnm.Print_Titles" localSheetId="11">วัสดุเภสัชกรรม!$1:$4</definedName>
    <definedName name="_xlnm.Print_Titles" localSheetId="1">วัสดุสำนักงาน!$1:$4</definedName>
    <definedName name="_xlnm.Print_Titles" localSheetId="21">วิสัญญี!$1:$4</definedName>
    <definedName name="_xlnm.Print_Titles" localSheetId="0">สรุปเพื่อยืนยัน!$1:$6</definedName>
    <definedName name="_xlnm.Print_Titles" localSheetId="23">'โสต ศอ นาสิก'!$1:$4</definedName>
    <definedName name="_xlnm.Print_Titles" localSheetId="5">ออกซิเจนเหลว!$1:$4</definedName>
    <definedName name="_xlnm.Print_Titles" localSheetId="25">อื่นๆ!$1:$4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29" l="1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0" i="29" s="1"/>
  <c r="E3" i="29" s="1"/>
  <c r="K91" i="28"/>
  <c r="M90" i="28"/>
  <c r="M89" i="28"/>
  <c r="M88" i="28"/>
  <c r="M87" i="28"/>
  <c r="M86" i="28"/>
  <c r="M85" i="28"/>
  <c r="M84" i="28"/>
  <c r="M83" i="28"/>
  <c r="M82" i="28"/>
  <c r="M81" i="28"/>
  <c r="M80" i="28"/>
  <c r="M79" i="28"/>
  <c r="M78" i="28"/>
  <c r="M77" i="28"/>
  <c r="M76" i="28"/>
  <c r="M75" i="28"/>
  <c r="M74" i="28"/>
  <c r="M73" i="28"/>
  <c r="M72" i="28"/>
  <c r="M71" i="28"/>
  <c r="M70" i="28"/>
  <c r="M69" i="28"/>
  <c r="M68" i="28"/>
  <c r="M67" i="28"/>
  <c r="M66" i="28"/>
  <c r="M65" i="28"/>
  <c r="M64" i="28"/>
  <c r="M63" i="28"/>
  <c r="M62" i="28"/>
  <c r="M61" i="28"/>
  <c r="M60" i="28"/>
  <c r="M59" i="28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M91" i="28" s="1"/>
  <c r="E3" i="28" s="1"/>
  <c r="K68" i="27"/>
  <c r="M67" i="27"/>
  <c r="M66" i="27"/>
  <c r="M65" i="27"/>
  <c r="M64" i="27"/>
  <c r="M63" i="27"/>
  <c r="M62" i="27"/>
  <c r="M61" i="27"/>
  <c r="M60" i="27"/>
  <c r="M59" i="27"/>
  <c r="M58" i="27"/>
  <c r="M57" i="27"/>
  <c r="M56" i="27"/>
  <c r="M55" i="27"/>
  <c r="M54" i="27"/>
  <c r="M53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M36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M18" i="27"/>
  <c r="M17" i="27"/>
  <c r="M16" i="27"/>
  <c r="M15" i="27"/>
  <c r="M14" i="27"/>
  <c r="M13" i="27"/>
  <c r="M12" i="27"/>
  <c r="M11" i="27"/>
  <c r="M10" i="27"/>
  <c r="M9" i="27"/>
  <c r="M8" i="27"/>
  <c r="M7" i="27"/>
  <c r="M6" i="27"/>
  <c r="M5" i="27"/>
  <c r="M68" i="27" s="1"/>
  <c r="E3" i="27" s="1"/>
  <c r="K19" i="26"/>
  <c r="M18" i="26"/>
  <c r="M17" i="26"/>
  <c r="M16" i="26"/>
  <c r="M15" i="26"/>
  <c r="M14" i="26"/>
  <c r="M13" i="26"/>
  <c r="M12" i="26"/>
  <c r="M11" i="26"/>
  <c r="M10" i="26"/>
  <c r="M9" i="26"/>
  <c r="M8" i="26"/>
  <c r="M7" i="26"/>
  <c r="M6" i="26"/>
  <c r="M5" i="26"/>
  <c r="M19" i="26" s="1"/>
  <c r="E3" i="26" s="1"/>
  <c r="K187" i="25"/>
  <c r="M186" i="25"/>
  <c r="M185" i="25"/>
  <c r="M184" i="25"/>
  <c r="M183" i="25"/>
  <c r="M182" i="25"/>
  <c r="M181" i="25"/>
  <c r="M180" i="25"/>
  <c r="M179" i="25"/>
  <c r="M178" i="25"/>
  <c r="M177" i="25"/>
  <c r="M176" i="25"/>
  <c r="M175" i="25"/>
  <c r="M174" i="25"/>
  <c r="M173" i="25"/>
  <c r="M172" i="25"/>
  <c r="M171" i="25"/>
  <c r="M170" i="25"/>
  <c r="M169" i="25"/>
  <c r="M168" i="25"/>
  <c r="M167" i="25"/>
  <c r="M166" i="25"/>
  <c r="M165" i="25"/>
  <c r="M164" i="25"/>
  <c r="M163" i="25"/>
  <c r="M162" i="25"/>
  <c r="M161" i="25"/>
  <c r="M160" i="25"/>
  <c r="M159" i="25"/>
  <c r="M158" i="25"/>
  <c r="M157" i="25"/>
  <c r="M156" i="25"/>
  <c r="M155" i="25"/>
  <c r="M154" i="25"/>
  <c r="M153" i="25"/>
  <c r="M152" i="25"/>
  <c r="M151" i="25"/>
  <c r="M150" i="25"/>
  <c r="M149" i="25"/>
  <c r="M148" i="25"/>
  <c r="M147" i="25"/>
  <c r="M146" i="25"/>
  <c r="M145" i="25"/>
  <c r="M144" i="25"/>
  <c r="M143" i="25"/>
  <c r="M142" i="25"/>
  <c r="M141" i="25"/>
  <c r="M140" i="25"/>
  <c r="M139" i="25"/>
  <c r="M138" i="25"/>
  <c r="M137" i="25"/>
  <c r="M136" i="25"/>
  <c r="M135" i="25"/>
  <c r="M134" i="25"/>
  <c r="M133" i="25"/>
  <c r="M132" i="25"/>
  <c r="M131" i="25"/>
  <c r="M130" i="25"/>
  <c r="M129" i="25"/>
  <c r="M128" i="25"/>
  <c r="M127" i="25"/>
  <c r="M126" i="25"/>
  <c r="M125" i="25"/>
  <c r="M124" i="25"/>
  <c r="M123" i="25"/>
  <c r="M122" i="25"/>
  <c r="M121" i="25"/>
  <c r="M120" i="25"/>
  <c r="M119" i="25"/>
  <c r="M118" i="25"/>
  <c r="M117" i="25"/>
  <c r="M116" i="25"/>
  <c r="M115" i="25"/>
  <c r="M114" i="25"/>
  <c r="M113" i="25"/>
  <c r="M112" i="25"/>
  <c r="M111" i="25"/>
  <c r="M110" i="25"/>
  <c r="M109" i="25"/>
  <c r="M108" i="25"/>
  <c r="M107" i="25"/>
  <c r="M106" i="25"/>
  <c r="M105" i="25"/>
  <c r="M104" i="25"/>
  <c r="M103" i="25"/>
  <c r="M102" i="25"/>
  <c r="M101" i="25"/>
  <c r="M100" i="25"/>
  <c r="M99" i="25"/>
  <c r="M98" i="25"/>
  <c r="M97" i="25"/>
  <c r="M96" i="25"/>
  <c r="M95" i="25"/>
  <c r="M94" i="25"/>
  <c r="M93" i="25"/>
  <c r="M92" i="25"/>
  <c r="M91" i="25"/>
  <c r="M90" i="25"/>
  <c r="M89" i="25"/>
  <c r="M88" i="25"/>
  <c r="M87" i="25"/>
  <c r="M86" i="25"/>
  <c r="M85" i="25"/>
  <c r="M84" i="25"/>
  <c r="M83" i="25"/>
  <c r="M82" i="25"/>
  <c r="M81" i="25"/>
  <c r="M80" i="25"/>
  <c r="M79" i="25"/>
  <c r="M78" i="25"/>
  <c r="M77" i="25"/>
  <c r="M76" i="25"/>
  <c r="M75" i="25"/>
  <c r="M74" i="25"/>
  <c r="M73" i="25"/>
  <c r="M72" i="25"/>
  <c r="M71" i="25"/>
  <c r="M70" i="25"/>
  <c r="M69" i="25"/>
  <c r="M68" i="25"/>
  <c r="M67" i="25"/>
  <c r="M66" i="25"/>
  <c r="M65" i="25"/>
  <c r="M64" i="25"/>
  <c r="M63" i="25"/>
  <c r="M62" i="25"/>
  <c r="M61" i="25"/>
  <c r="M60" i="25"/>
  <c r="M59" i="25"/>
  <c r="M58" i="25"/>
  <c r="M57" i="25"/>
  <c r="M56" i="25"/>
  <c r="M55" i="25"/>
  <c r="M54" i="25"/>
  <c r="M53" i="25"/>
  <c r="M52" i="25"/>
  <c r="M51" i="25"/>
  <c r="M50" i="25"/>
  <c r="M49" i="25"/>
  <c r="M48" i="25"/>
  <c r="M47" i="25"/>
  <c r="M46" i="25"/>
  <c r="M45" i="25"/>
  <c r="M44" i="25"/>
  <c r="M43" i="25"/>
  <c r="M42" i="25"/>
  <c r="M41" i="25"/>
  <c r="M40" i="25"/>
  <c r="M39" i="25"/>
  <c r="M38" i="25"/>
  <c r="M37" i="25"/>
  <c r="M36" i="25"/>
  <c r="M35" i="25"/>
  <c r="M34" i="25"/>
  <c r="M33" i="25"/>
  <c r="M32" i="25"/>
  <c r="M31" i="25"/>
  <c r="M30" i="25"/>
  <c r="M29" i="25"/>
  <c r="M28" i="25"/>
  <c r="M27" i="25"/>
  <c r="M26" i="25"/>
  <c r="M25" i="25"/>
  <c r="M24" i="25"/>
  <c r="M23" i="25"/>
  <c r="M22" i="25"/>
  <c r="M21" i="25"/>
  <c r="M20" i="25"/>
  <c r="M19" i="25"/>
  <c r="M18" i="25"/>
  <c r="M17" i="25"/>
  <c r="M16" i="25"/>
  <c r="M15" i="25"/>
  <c r="M14" i="25"/>
  <c r="M13" i="25"/>
  <c r="M12" i="25"/>
  <c r="M11" i="25"/>
  <c r="M10" i="25"/>
  <c r="M9" i="25"/>
  <c r="M8" i="25"/>
  <c r="M7" i="25"/>
  <c r="M6" i="25"/>
  <c r="M5" i="25"/>
  <c r="M187" i="25" s="1"/>
  <c r="E3" i="25" s="1"/>
  <c r="K18" i="24"/>
  <c r="M17" i="24"/>
  <c r="M16" i="24"/>
  <c r="M15" i="24"/>
  <c r="M14" i="24"/>
  <c r="M13" i="24"/>
  <c r="M12" i="24"/>
  <c r="M11" i="24"/>
  <c r="M10" i="24"/>
  <c r="M9" i="24"/>
  <c r="M8" i="24"/>
  <c r="M7" i="24"/>
  <c r="M6" i="24"/>
  <c r="M5" i="24"/>
  <c r="M18" i="24" s="1"/>
  <c r="E3" i="24" s="1"/>
  <c r="K13" i="23"/>
  <c r="M12" i="23"/>
  <c r="M11" i="23"/>
  <c r="M10" i="23"/>
  <c r="M9" i="23"/>
  <c r="M8" i="23"/>
  <c r="M7" i="23"/>
  <c r="M6" i="23"/>
  <c r="M5" i="23"/>
  <c r="M13" i="23" s="1"/>
  <c r="E3" i="23" s="1"/>
  <c r="K113" i="22"/>
  <c r="M112" i="22"/>
  <c r="M111" i="22"/>
  <c r="M110" i="22"/>
  <c r="M109" i="22"/>
  <c r="M108" i="22"/>
  <c r="M107" i="22"/>
  <c r="M106" i="22"/>
  <c r="M105" i="22"/>
  <c r="M104" i="22"/>
  <c r="M103" i="22"/>
  <c r="M102" i="22"/>
  <c r="M101" i="22"/>
  <c r="M100" i="22"/>
  <c r="M99" i="22"/>
  <c r="M98" i="22"/>
  <c r="M97" i="22"/>
  <c r="M96" i="22"/>
  <c r="M95" i="22"/>
  <c r="M94" i="22"/>
  <c r="M93" i="22"/>
  <c r="M92" i="22"/>
  <c r="M91" i="22"/>
  <c r="M90" i="22"/>
  <c r="M89" i="22"/>
  <c r="M88" i="22"/>
  <c r="M87" i="22"/>
  <c r="M86" i="22"/>
  <c r="M85" i="22"/>
  <c r="M84" i="22"/>
  <c r="M83" i="22"/>
  <c r="M82" i="22"/>
  <c r="M81" i="22"/>
  <c r="M80" i="22"/>
  <c r="M79" i="22"/>
  <c r="M78" i="22"/>
  <c r="M77" i="22"/>
  <c r="M76" i="22"/>
  <c r="M75" i="22"/>
  <c r="M74" i="22"/>
  <c r="M73" i="22"/>
  <c r="M72" i="22"/>
  <c r="M71" i="22"/>
  <c r="M70" i="22"/>
  <c r="M69" i="22"/>
  <c r="M68" i="22"/>
  <c r="M67" i="22"/>
  <c r="M66" i="22"/>
  <c r="M65" i="22"/>
  <c r="M64" i="22"/>
  <c r="M63" i="22"/>
  <c r="M62" i="22"/>
  <c r="M61" i="22"/>
  <c r="M60" i="22"/>
  <c r="M59" i="22"/>
  <c r="M58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3" i="22"/>
  <c r="M42" i="22"/>
  <c r="M41" i="22"/>
  <c r="M40" i="22"/>
  <c r="M39" i="22"/>
  <c r="M38" i="22"/>
  <c r="M37" i="22"/>
  <c r="M36" i="22"/>
  <c r="M35" i="22"/>
  <c r="M34" i="22"/>
  <c r="M33" i="22"/>
  <c r="M32" i="22"/>
  <c r="M31" i="22"/>
  <c r="M30" i="22"/>
  <c r="M29" i="22"/>
  <c r="M28" i="22"/>
  <c r="M27" i="22"/>
  <c r="M26" i="22"/>
  <c r="M25" i="22"/>
  <c r="M24" i="22"/>
  <c r="M23" i="22"/>
  <c r="M22" i="22"/>
  <c r="M21" i="22"/>
  <c r="M20" i="22"/>
  <c r="M19" i="22"/>
  <c r="M18" i="22"/>
  <c r="M17" i="22"/>
  <c r="M16" i="22"/>
  <c r="M15" i="22"/>
  <c r="M14" i="22"/>
  <c r="M13" i="22"/>
  <c r="M12" i="22"/>
  <c r="M11" i="22"/>
  <c r="M10" i="22"/>
  <c r="M9" i="22"/>
  <c r="M8" i="22"/>
  <c r="M7" i="22"/>
  <c r="M6" i="22"/>
  <c r="M5" i="22"/>
  <c r="M113" i="22" s="1"/>
  <c r="E3" i="22" s="1"/>
  <c r="K158" i="21"/>
  <c r="M157" i="21"/>
  <c r="M156" i="21"/>
  <c r="M155" i="21"/>
  <c r="M154" i="21"/>
  <c r="M153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8" i="21"/>
  <c r="M127" i="21"/>
  <c r="M126" i="21"/>
  <c r="M125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100" i="21"/>
  <c r="M99" i="21"/>
  <c r="M98" i="21"/>
  <c r="M97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72" i="21"/>
  <c r="M71" i="21"/>
  <c r="M70" i="21"/>
  <c r="M69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44" i="21"/>
  <c r="M43" i="21"/>
  <c r="M42" i="21"/>
  <c r="M41" i="21"/>
  <c r="M40" i="21"/>
  <c r="M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158" i="21" s="1"/>
  <c r="E3" i="21" s="1"/>
  <c r="K55" i="20"/>
  <c r="M54" i="20"/>
  <c r="M53" i="20"/>
  <c r="M52" i="20"/>
  <c r="M51" i="20"/>
  <c r="M50" i="20"/>
  <c r="M49" i="20"/>
  <c r="M48" i="20"/>
  <c r="M47" i="20"/>
  <c r="M46" i="20"/>
  <c r="M45" i="20"/>
  <c r="M44" i="20"/>
  <c r="M43" i="20"/>
  <c r="M42" i="20"/>
  <c r="M41" i="20"/>
  <c r="M40" i="20"/>
  <c r="M39" i="20"/>
  <c r="M38" i="20"/>
  <c r="M37" i="20"/>
  <c r="M36" i="20"/>
  <c r="M35" i="20"/>
  <c r="M34" i="20"/>
  <c r="M33" i="20"/>
  <c r="M32" i="20"/>
  <c r="M31" i="20"/>
  <c r="M30" i="20"/>
  <c r="M29" i="20"/>
  <c r="M28" i="20"/>
  <c r="M27" i="20"/>
  <c r="M26" i="20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M5" i="20"/>
  <c r="M55" i="20" s="1"/>
  <c r="E3" i="20" s="1"/>
  <c r="K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M64" i="19"/>
  <c r="M63" i="19"/>
  <c r="M62" i="19"/>
  <c r="M61" i="19"/>
  <c r="M60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M5" i="19"/>
  <c r="M88" i="19" s="1"/>
  <c r="E3" i="19" s="1"/>
  <c r="K329" i="18"/>
  <c r="M328" i="18"/>
  <c r="M327" i="18"/>
  <c r="M326" i="18"/>
  <c r="M325" i="18"/>
  <c r="M324" i="18"/>
  <c r="M323" i="18"/>
  <c r="M322" i="18"/>
  <c r="M321" i="18"/>
  <c r="M320" i="18"/>
  <c r="M319" i="18"/>
  <c r="M318" i="18"/>
  <c r="M317" i="18"/>
  <c r="M316" i="18"/>
  <c r="M315" i="18"/>
  <c r="M314" i="18"/>
  <c r="M313" i="18"/>
  <c r="M312" i="18"/>
  <c r="M311" i="18"/>
  <c r="M310" i="18"/>
  <c r="M309" i="18"/>
  <c r="M308" i="18"/>
  <c r="M307" i="18"/>
  <c r="M306" i="18"/>
  <c r="M305" i="18"/>
  <c r="M304" i="18"/>
  <c r="M303" i="18"/>
  <c r="M302" i="18"/>
  <c r="M301" i="18"/>
  <c r="M300" i="18"/>
  <c r="M299" i="18"/>
  <c r="M298" i="18"/>
  <c r="M297" i="18"/>
  <c r="M296" i="18"/>
  <c r="M295" i="18"/>
  <c r="M294" i="18"/>
  <c r="M293" i="18"/>
  <c r="M292" i="18"/>
  <c r="M291" i="18"/>
  <c r="M290" i="18"/>
  <c r="M289" i="18"/>
  <c r="M288" i="18"/>
  <c r="M287" i="18"/>
  <c r="M286" i="18"/>
  <c r="M285" i="18"/>
  <c r="M284" i="18"/>
  <c r="M283" i="18"/>
  <c r="M282" i="18"/>
  <c r="M281" i="18"/>
  <c r="M280" i="18"/>
  <c r="M279" i="18"/>
  <c r="M278" i="18"/>
  <c r="M277" i="18"/>
  <c r="M276" i="18"/>
  <c r="M275" i="18"/>
  <c r="M274" i="18"/>
  <c r="M273" i="18"/>
  <c r="M272" i="18"/>
  <c r="M271" i="18"/>
  <c r="M270" i="18"/>
  <c r="M269" i="18"/>
  <c r="M268" i="18"/>
  <c r="M267" i="18"/>
  <c r="M266" i="18"/>
  <c r="M265" i="18"/>
  <c r="M264" i="18"/>
  <c r="M263" i="18"/>
  <c r="M262" i="18"/>
  <c r="M261" i="18"/>
  <c r="M260" i="18"/>
  <c r="M259" i="18"/>
  <c r="M258" i="18"/>
  <c r="M257" i="18"/>
  <c r="M256" i="18"/>
  <c r="M255" i="18"/>
  <c r="M254" i="18"/>
  <c r="M253" i="18"/>
  <c r="M252" i="18"/>
  <c r="M251" i="18"/>
  <c r="M250" i="18"/>
  <c r="M249" i="18"/>
  <c r="M248" i="18"/>
  <c r="M247" i="18"/>
  <c r="M246" i="18"/>
  <c r="M245" i="18"/>
  <c r="M244" i="18"/>
  <c r="M243" i="18"/>
  <c r="M242" i="18"/>
  <c r="M241" i="18"/>
  <c r="M240" i="18"/>
  <c r="M239" i="18"/>
  <c r="M238" i="18"/>
  <c r="M237" i="18"/>
  <c r="M236" i="18"/>
  <c r="M235" i="18"/>
  <c r="M234" i="18"/>
  <c r="M233" i="18"/>
  <c r="M232" i="18"/>
  <c r="M231" i="18"/>
  <c r="M230" i="18"/>
  <c r="M229" i="18"/>
  <c r="M228" i="18"/>
  <c r="M227" i="18"/>
  <c r="M226" i="18"/>
  <c r="M225" i="18"/>
  <c r="M224" i="18"/>
  <c r="M223" i="18"/>
  <c r="M222" i="18"/>
  <c r="M221" i="18"/>
  <c r="M220" i="18"/>
  <c r="M219" i="18"/>
  <c r="M218" i="18"/>
  <c r="M217" i="18"/>
  <c r="M216" i="18"/>
  <c r="M215" i="18"/>
  <c r="M214" i="18"/>
  <c r="M213" i="18"/>
  <c r="M212" i="18"/>
  <c r="M211" i="18"/>
  <c r="M210" i="18"/>
  <c r="M209" i="18"/>
  <c r="M208" i="18"/>
  <c r="M207" i="18"/>
  <c r="M206" i="18"/>
  <c r="M205" i="18"/>
  <c r="M204" i="18"/>
  <c r="M203" i="18"/>
  <c r="M202" i="18"/>
  <c r="M201" i="18"/>
  <c r="M200" i="18"/>
  <c r="M199" i="18"/>
  <c r="M198" i="18"/>
  <c r="M197" i="18"/>
  <c r="M196" i="18"/>
  <c r="M195" i="18"/>
  <c r="M194" i="18"/>
  <c r="M193" i="18"/>
  <c r="M192" i="18"/>
  <c r="M191" i="18"/>
  <c r="M190" i="18"/>
  <c r="M189" i="18"/>
  <c r="M188" i="18"/>
  <c r="M187" i="18"/>
  <c r="M186" i="18"/>
  <c r="M185" i="18"/>
  <c r="M184" i="18"/>
  <c r="M183" i="18"/>
  <c r="M182" i="18"/>
  <c r="M181" i="18"/>
  <c r="M180" i="18"/>
  <c r="M179" i="18"/>
  <c r="M178" i="18"/>
  <c r="M177" i="18"/>
  <c r="M176" i="18"/>
  <c r="M175" i="18"/>
  <c r="M174" i="18"/>
  <c r="M173" i="18"/>
  <c r="M172" i="18"/>
  <c r="M171" i="18"/>
  <c r="M170" i="18"/>
  <c r="M169" i="18"/>
  <c r="M168" i="18"/>
  <c r="M167" i="18"/>
  <c r="M166" i="18"/>
  <c r="M165" i="18"/>
  <c r="M164" i="18"/>
  <c r="M163" i="18"/>
  <c r="M162" i="18"/>
  <c r="M161" i="18"/>
  <c r="M160" i="18"/>
  <c r="M159" i="18"/>
  <c r="M158" i="18"/>
  <c r="M157" i="18"/>
  <c r="M156" i="18"/>
  <c r="M155" i="18"/>
  <c r="M154" i="18"/>
  <c r="M153" i="18"/>
  <c r="M152" i="18"/>
  <c r="M151" i="18"/>
  <c r="M150" i="18"/>
  <c r="M149" i="18"/>
  <c r="M148" i="18"/>
  <c r="M147" i="18"/>
  <c r="M146" i="18"/>
  <c r="M145" i="18"/>
  <c r="M144" i="18"/>
  <c r="M143" i="18"/>
  <c r="M142" i="18"/>
  <c r="M141" i="18"/>
  <c r="M140" i="18"/>
  <c r="M139" i="18"/>
  <c r="M138" i="18"/>
  <c r="M137" i="18"/>
  <c r="M136" i="18"/>
  <c r="M135" i="18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M119" i="18"/>
  <c r="M118" i="18"/>
  <c r="M117" i="18"/>
  <c r="M116" i="18"/>
  <c r="M115" i="18"/>
  <c r="M114" i="18"/>
  <c r="M113" i="18"/>
  <c r="M112" i="18"/>
  <c r="M111" i="18"/>
  <c r="M110" i="18"/>
  <c r="M109" i="18"/>
  <c r="M108" i="18"/>
  <c r="M107" i="18"/>
  <c r="M106" i="18"/>
  <c r="M105" i="18"/>
  <c r="M104" i="18"/>
  <c r="M103" i="18"/>
  <c r="M102" i="18"/>
  <c r="M101" i="18"/>
  <c r="M100" i="18"/>
  <c r="M99" i="18"/>
  <c r="M98" i="18"/>
  <c r="M97" i="18"/>
  <c r="M96" i="18"/>
  <c r="M95" i="18"/>
  <c r="M94" i="18"/>
  <c r="M93" i="18"/>
  <c r="M92" i="18"/>
  <c r="M91" i="18"/>
  <c r="M90" i="18"/>
  <c r="M89" i="18"/>
  <c r="M88" i="18"/>
  <c r="M87" i="18"/>
  <c r="M86" i="18"/>
  <c r="M85" i="18"/>
  <c r="M84" i="18"/>
  <c r="M83" i="18"/>
  <c r="M82" i="18"/>
  <c r="M81" i="18"/>
  <c r="M80" i="18"/>
  <c r="M79" i="18"/>
  <c r="M78" i="18"/>
  <c r="M77" i="18"/>
  <c r="M76" i="18"/>
  <c r="M75" i="18"/>
  <c r="M74" i="18"/>
  <c r="M73" i="18"/>
  <c r="M72" i="18"/>
  <c r="M71" i="18"/>
  <c r="M70" i="18"/>
  <c r="M69" i="18"/>
  <c r="M68" i="18"/>
  <c r="M67" i="18"/>
  <c r="M66" i="18"/>
  <c r="M65" i="18"/>
  <c r="M64" i="18"/>
  <c r="M63" i="18"/>
  <c r="M62" i="18"/>
  <c r="M61" i="18"/>
  <c r="M60" i="18"/>
  <c r="M59" i="18"/>
  <c r="M58" i="18"/>
  <c r="M57" i="18"/>
  <c r="M56" i="18"/>
  <c r="M55" i="18"/>
  <c r="M54" i="18"/>
  <c r="M53" i="18"/>
  <c r="M52" i="18"/>
  <c r="M51" i="18"/>
  <c r="M50" i="18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329" i="18" s="1"/>
  <c r="E3" i="18" s="1"/>
  <c r="K879" i="17"/>
  <c r="M878" i="17"/>
  <c r="M877" i="17"/>
  <c r="M876" i="17"/>
  <c r="M875" i="17"/>
  <c r="M874" i="17"/>
  <c r="M873" i="17"/>
  <c r="M872" i="17"/>
  <c r="M871" i="17"/>
  <c r="M870" i="17"/>
  <c r="M869" i="17"/>
  <c r="M868" i="17"/>
  <c r="M867" i="17"/>
  <c r="M866" i="17"/>
  <c r="M865" i="17"/>
  <c r="M864" i="17"/>
  <c r="M863" i="17"/>
  <c r="M862" i="17"/>
  <c r="M861" i="17"/>
  <c r="M860" i="17"/>
  <c r="M859" i="17"/>
  <c r="M858" i="17"/>
  <c r="M857" i="17"/>
  <c r="M856" i="17"/>
  <c r="M855" i="17"/>
  <c r="M854" i="17"/>
  <c r="M853" i="17"/>
  <c r="M852" i="17"/>
  <c r="M851" i="17"/>
  <c r="M850" i="17"/>
  <c r="M849" i="17"/>
  <c r="M848" i="17"/>
  <c r="M847" i="17"/>
  <c r="M846" i="17"/>
  <c r="M845" i="17"/>
  <c r="M844" i="17"/>
  <c r="M843" i="17"/>
  <c r="M842" i="17"/>
  <c r="M841" i="17"/>
  <c r="M840" i="17"/>
  <c r="M839" i="17"/>
  <c r="M838" i="17"/>
  <c r="M837" i="17"/>
  <c r="M836" i="17"/>
  <c r="M835" i="17"/>
  <c r="M834" i="17"/>
  <c r="M833" i="17"/>
  <c r="M832" i="17"/>
  <c r="M831" i="17"/>
  <c r="M830" i="17"/>
  <c r="M829" i="17"/>
  <c r="M828" i="17"/>
  <c r="M827" i="17"/>
  <c r="M826" i="17"/>
  <c r="M825" i="17"/>
  <c r="M824" i="17"/>
  <c r="M823" i="17"/>
  <c r="M822" i="17"/>
  <c r="M821" i="17"/>
  <c r="M820" i="17"/>
  <c r="M819" i="17"/>
  <c r="M818" i="17"/>
  <c r="M817" i="17"/>
  <c r="M816" i="17"/>
  <c r="M815" i="17"/>
  <c r="M814" i="17"/>
  <c r="M813" i="17"/>
  <c r="M812" i="17"/>
  <c r="M811" i="17"/>
  <c r="M810" i="17"/>
  <c r="M809" i="17"/>
  <c r="M808" i="17"/>
  <c r="M807" i="17"/>
  <c r="M806" i="17"/>
  <c r="M805" i="17"/>
  <c r="M804" i="17"/>
  <c r="M803" i="17"/>
  <c r="M802" i="17"/>
  <c r="M801" i="17"/>
  <c r="M800" i="17"/>
  <c r="M799" i="17"/>
  <c r="M798" i="17"/>
  <c r="M797" i="17"/>
  <c r="M796" i="17"/>
  <c r="M795" i="17"/>
  <c r="M794" i="17"/>
  <c r="M793" i="17"/>
  <c r="M792" i="17"/>
  <c r="M791" i="17"/>
  <c r="M790" i="17"/>
  <c r="M789" i="17"/>
  <c r="M788" i="17"/>
  <c r="M787" i="17"/>
  <c r="M786" i="17"/>
  <c r="M785" i="17"/>
  <c r="M784" i="17"/>
  <c r="M783" i="17"/>
  <c r="M782" i="17"/>
  <c r="M781" i="17"/>
  <c r="M780" i="17"/>
  <c r="M779" i="17"/>
  <c r="M778" i="17"/>
  <c r="M777" i="17"/>
  <c r="M776" i="17"/>
  <c r="M775" i="17"/>
  <c r="M774" i="17"/>
  <c r="M773" i="17"/>
  <c r="M772" i="17"/>
  <c r="M771" i="17"/>
  <c r="M770" i="17"/>
  <c r="M769" i="17"/>
  <c r="M768" i="17"/>
  <c r="M767" i="17"/>
  <c r="M766" i="17"/>
  <c r="M765" i="17"/>
  <c r="M764" i="17"/>
  <c r="M763" i="17"/>
  <c r="M762" i="17"/>
  <c r="M761" i="17"/>
  <c r="M760" i="17"/>
  <c r="M759" i="17"/>
  <c r="M758" i="17"/>
  <c r="M757" i="17"/>
  <c r="M756" i="17"/>
  <c r="M755" i="17"/>
  <c r="M754" i="17"/>
  <c r="M753" i="17"/>
  <c r="M752" i="17"/>
  <c r="M751" i="17"/>
  <c r="M750" i="17"/>
  <c r="M749" i="17"/>
  <c r="M748" i="17"/>
  <c r="M747" i="17"/>
  <c r="M746" i="17"/>
  <c r="M745" i="17"/>
  <c r="M744" i="17"/>
  <c r="M743" i="17"/>
  <c r="M742" i="17"/>
  <c r="M741" i="17"/>
  <c r="M740" i="17"/>
  <c r="M739" i="17"/>
  <c r="M738" i="17"/>
  <c r="M737" i="17"/>
  <c r="M736" i="17"/>
  <c r="M735" i="17"/>
  <c r="M734" i="17"/>
  <c r="M733" i="17"/>
  <c r="M732" i="17"/>
  <c r="M731" i="17"/>
  <c r="M730" i="17"/>
  <c r="M729" i="17"/>
  <c r="M728" i="17"/>
  <c r="M727" i="17"/>
  <c r="M726" i="17"/>
  <c r="M725" i="17"/>
  <c r="M724" i="17"/>
  <c r="M723" i="17"/>
  <c r="M722" i="17"/>
  <c r="M721" i="17"/>
  <c r="M720" i="17"/>
  <c r="M719" i="17"/>
  <c r="M718" i="17"/>
  <c r="M717" i="17"/>
  <c r="M716" i="17"/>
  <c r="M715" i="17"/>
  <c r="M714" i="17"/>
  <c r="M713" i="17"/>
  <c r="M712" i="17"/>
  <c r="M711" i="17"/>
  <c r="M710" i="17"/>
  <c r="M709" i="17"/>
  <c r="M708" i="17"/>
  <c r="M707" i="17"/>
  <c r="M706" i="17"/>
  <c r="M705" i="17"/>
  <c r="M704" i="17"/>
  <c r="M703" i="17"/>
  <c r="M702" i="17"/>
  <c r="M701" i="17"/>
  <c r="M700" i="17"/>
  <c r="M699" i="17"/>
  <c r="M698" i="17"/>
  <c r="M697" i="17"/>
  <c r="M696" i="17"/>
  <c r="M695" i="17"/>
  <c r="M694" i="17"/>
  <c r="M693" i="17"/>
  <c r="M692" i="17"/>
  <c r="M691" i="17"/>
  <c r="M690" i="17"/>
  <c r="M689" i="17"/>
  <c r="M688" i="17"/>
  <c r="M687" i="17"/>
  <c r="M686" i="17"/>
  <c r="M685" i="17"/>
  <c r="M684" i="17"/>
  <c r="M683" i="17"/>
  <c r="M682" i="17"/>
  <c r="M681" i="17"/>
  <c r="M680" i="17"/>
  <c r="M679" i="17"/>
  <c r="M678" i="17"/>
  <c r="M677" i="17"/>
  <c r="M676" i="17"/>
  <c r="M675" i="17"/>
  <c r="M674" i="17"/>
  <c r="M673" i="17"/>
  <c r="M672" i="17"/>
  <c r="M671" i="17"/>
  <c r="M670" i="17"/>
  <c r="M669" i="17"/>
  <c r="M668" i="17"/>
  <c r="M667" i="17"/>
  <c r="M666" i="17"/>
  <c r="M665" i="17"/>
  <c r="M664" i="17"/>
  <c r="M663" i="17"/>
  <c r="M662" i="17"/>
  <c r="M661" i="17"/>
  <c r="M660" i="17"/>
  <c r="M659" i="17"/>
  <c r="M658" i="17"/>
  <c r="M657" i="17"/>
  <c r="M656" i="17"/>
  <c r="M655" i="17"/>
  <c r="M654" i="17"/>
  <c r="M653" i="17"/>
  <c r="M652" i="17"/>
  <c r="M651" i="17"/>
  <c r="M650" i="17"/>
  <c r="M649" i="17"/>
  <c r="M648" i="17"/>
  <c r="M647" i="17"/>
  <c r="M646" i="17"/>
  <c r="M645" i="17"/>
  <c r="M644" i="17"/>
  <c r="M643" i="17"/>
  <c r="M642" i="17"/>
  <c r="M641" i="17"/>
  <c r="M640" i="17"/>
  <c r="M639" i="17"/>
  <c r="M638" i="17"/>
  <c r="M637" i="17"/>
  <c r="M636" i="17"/>
  <c r="M635" i="17"/>
  <c r="M634" i="17"/>
  <c r="M633" i="17"/>
  <c r="M632" i="17"/>
  <c r="M631" i="17"/>
  <c r="M879" i="17" s="1"/>
  <c r="E3" i="17" s="1"/>
  <c r="M630" i="17"/>
  <c r="M629" i="17"/>
  <c r="M628" i="17"/>
  <c r="M627" i="17"/>
  <c r="M626" i="17"/>
  <c r="M625" i="17"/>
  <c r="M624" i="17"/>
  <c r="M623" i="17"/>
  <c r="M622" i="17"/>
  <c r="M621" i="17"/>
  <c r="M620" i="17"/>
  <c r="M619" i="17"/>
  <c r="M618" i="17"/>
  <c r="M617" i="17"/>
  <c r="M616" i="17"/>
  <c r="M615" i="17"/>
  <c r="M614" i="17"/>
  <c r="M613" i="17"/>
  <c r="M612" i="17"/>
  <c r="M611" i="17"/>
  <c r="M610" i="17"/>
  <c r="M609" i="17"/>
  <c r="M608" i="17"/>
  <c r="M607" i="17"/>
  <c r="M606" i="17"/>
  <c r="M605" i="17"/>
  <c r="M604" i="17"/>
  <c r="M603" i="17"/>
  <c r="M602" i="17"/>
  <c r="M601" i="17"/>
  <c r="M600" i="17"/>
  <c r="M599" i="17"/>
  <c r="M598" i="17"/>
  <c r="M597" i="17"/>
  <c r="M596" i="17"/>
  <c r="M595" i="17"/>
  <c r="M594" i="17"/>
  <c r="M593" i="17"/>
  <c r="M592" i="17"/>
  <c r="M591" i="17"/>
  <c r="M590" i="17"/>
  <c r="M589" i="17"/>
  <c r="M588" i="17"/>
  <c r="M587" i="17"/>
  <c r="M586" i="17"/>
  <c r="M585" i="17"/>
  <c r="M584" i="17"/>
  <c r="M583" i="17"/>
  <c r="M582" i="17"/>
  <c r="M581" i="17"/>
  <c r="M580" i="17"/>
  <c r="M579" i="17"/>
  <c r="M578" i="17"/>
  <c r="M577" i="17"/>
  <c r="M576" i="17"/>
  <c r="M575" i="17"/>
  <c r="M574" i="17"/>
  <c r="M573" i="17"/>
  <c r="M572" i="17"/>
  <c r="M571" i="17"/>
  <c r="M570" i="17"/>
  <c r="M569" i="17"/>
  <c r="M568" i="17"/>
  <c r="M567" i="17"/>
  <c r="M566" i="17"/>
  <c r="M565" i="17"/>
  <c r="M564" i="17"/>
  <c r="M563" i="17"/>
  <c r="M562" i="17"/>
  <c r="M561" i="17"/>
  <c r="M560" i="17"/>
  <c r="M559" i="17"/>
  <c r="M558" i="17"/>
  <c r="M557" i="17"/>
  <c r="M556" i="17"/>
  <c r="M555" i="17"/>
  <c r="M554" i="17"/>
  <c r="M553" i="17"/>
  <c r="M552" i="17"/>
  <c r="M551" i="17"/>
  <c r="M550" i="17"/>
  <c r="M549" i="17"/>
  <c r="M548" i="17"/>
  <c r="M547" i="17"/>
  <c r="M546" i="17"/>
  <c r="M545" i="17"/>
  <c r="M544" i="17"/>
  <c r="M543" i="17"/>
  <c r="M542" i="17"/>
  <c r="M541" i="17"/>
  <c r="M540" i="17"/>
  <c r="M539" i="17"/>
  <c r="M538" i="17"/>
  <c r="M537" i="17"/>
  <c r="M536" i="17"/>
  <c r="M535" i="17"/>
  <c r="M534" i="17"/>
  <c r="M533" i="17"/>
  <c r="M532" i="17"/>
  <c r="M531" i="17"/>
  <c r="M530" i="17"/>
  <c r="M529" i="17"/>
  <c r="M528" i="17"/>
  <c r="M527" i="17"/>
  <c r="M526" i="17"/>
  <c r="M525" i="17"/>
  <c r="M524" i="17"/>
  <c r="M523" i="17"/>
  <c r="M522" i="17"/>
  <c r="M521" i="17"/>
  <c r="M520" i="17"/>
  <c r="M519" i="17"/>
  <c r="M518" i="17"/>
  <c r="M517" i="17"/>
  <c r="M516" i="17"/>
  <c r="M515" i="17"/>
  <c r="M514" i="17"/>
  <c r="M513" i="17"/>
  <c r="M512" i="17"/>
  <c r="M511" i="17"/>
  <c r="M510" i="17"/>
  <c r="M509" i="17"/>
  <c r="M508" i="17"/>
  <c r="M507" i="17"/>
  <c r="M506" i="17"/>
  <c r="M505" i="17"/>
  <c r="M504" i="17"/>
  <c r="M503" i="17"/>
  <c r="M502" i="17"/>
  <c r="M501" i="17"/>
  <c r="M500" i="17"/>
  <c r="M499" i="17"/>
  <c r="M498" i="17"/>
  <c r="M497" i="17"/>
  <c r="M496" i="17"/>
  <c r="M495" i="17"/>
  <c r="M494" i="17"/>
  <c r="M493" i="17"/>
  <c r="M492" i="17"/>
  <c r="M491" i="17"/>
  <c r="M490" i="17"/>
  <c r="M489" i="17"/>
  <c r="M488" i="17"/>
  <c r="M487" i="17"/>
  <c r="M486" i="17"/>
  <c r="M485" i="17"/>
  <c r="M484" i="17"/>
  <c r="M483" i="17"/>
  <c r="M482" i="17"/>
  <c r="M481" i="17"/>
  <c r="M480" i="17"/>
  <c r="M479" i="17"/>
  <c r="M478" i="17"/>
  <c r="M477" i="17"/>
  <c r="M476" i="17"/>
  <c r="M475" i="17"/>
  <c r="M474" i="17"/>
  <c r="M473" i="17"/>
  <c r="M472" i="17"/>
  <c r="M471" i="17"/>
  <c r="M470" i="17"/>
  <c r="M469" i="17"/>
  <c r="M468" i="17"/>
  <c r="M467" i="17"/>
  <c r="M466" i="17"/>
  <c r="M465" i="17"/>
  <c r="M464" i="17"/>
  <c r="M463" i="17"/>
  <c r="M462" i="17"/>
  <c r="M461" i="17"/>
  <c r="M460" i="17"/>
  <c r="M459" i="17"/>
  <c r="M458" i="17"/>
  <c r="M457" i="17"/>
  <c r="M456" i="17"/>
  <c r="M455" i="17"/>
  <c r="M454" i="17"/>
  <c r="M453" i="17"/>
  <c r="M452" i="17"/>
  <c r="M451" i="17"/>
  <c r="M450" i="17"/>
  <c r="M449" i="17"/>
  <c r="M448" i="17"/>
  <c r="M447" i="17"/>
  <c r="M446" i="17"/>
  <c r="M445" i="17"/>
  <c r="M444" i="17"/>
  <c r="M443" i="17"/>
  <c r="M442" i="17"/>
  <c r="M441" i="17"/>
  <c r="M440" i="17"/>
  <c r="M439" i="17"/>
  <c r="M438" i="17"/>
  <c r="M437" i="17"/>
  <c r="M436" i="17"/>
  <c r="M435" i="17"/>
  <c r="M434" i="17"/>
  <c r="M433" i="17"/>
  <c r="M432" i="17"/>
  <c r="M431" i="17"/>
  <c r="M430" i="17"/>
  <c r="M429" i="17"/>
  <c r="M428" i="17"/>
  <c r="M427" i="17"/>
  <c r="M426" i="17"/>
  <c r="M425" i="17"/>
  <c r="M424" i="17"/>
  <c r="M423" i="17"/>
  <c r="M422" i="17"/>
  <c r="M421" i="17"/>
  <c r="M420" i="17"/>
  <c r="M419" i="17"/>
  <c r="M418" i="17"/>
  <c r="M417" i="17"/>
  <c r="M416" i="17"/>
  <c r="M415" i="17"/>
  <c r="M414" i="17"/>
  <c r="M413" i="17"/>
  <c r="M412" i="17"/>
  <c r="M411" i="17"/>
  <c r="M410" i="17"/>
  <c r="M409" i="17"/>
  <c r="M408" i="17"/>
  <c r="M407" i="17"/>
  <c r="M406" i="17"/>
  <c r="M405" i="17"/>
  <c r="M404" i="17"/>
  <c r="M403" i="17"/>
  <c r="M402" i="17"/>
  <c r="M401" i="17"/>
  <c r="M400" i="17"/>
  <c r="M399" i="17"/>
  <c r="M398" i="17"/>
  <c r="M397" i="17"/>
  <c r="M396" i="17"/>
  <c r="M395" i="17"/>
  <c r="M394" i="17"/>
  <c r="M393" i="17"/>
  <c r="M392" i="17"/>
  <c r="M391" i="17"/>
  <c r="M390" i="17"/>
  <c r="M389" i="17"/>
  <c r="M388" i="17"/>
  <c r="M387" i="17"/>
  <c r="M386" i="17"/>
  <c r="M385" i="17"/>
  <c r="M384" i="17"/>
  <c r="M383" i="17"/>
  <c r="M382" i="17"/>
  <c r="M381" i="17"/>
  <c r="M380" i="17"/>
  <c r="M379" i="17"/>
  <c r="M378" i="17"/>
  <c r="M377" i="17"/>
  <c r="M376" i="17"/>
  <c r="M375" i="17"/>
  <c r="M374" i="17"/>
  <c r="M373" i="17"/>
  <c r="M372" i="17"/>
  <c r="M371" i="17"/>
  <c r="M370" i="17"/>
  <c r="M369" i="17"/>
  <c r="M368" i="17"/>
  <c r="M367" i="17"/>
  <c r="M366" i="17"/>
  <c r="M365" i="17"/>
  <c r="M364" i="17"/>
  <c r="M363" i="17"/>
  <c r="M362" i="17"/>
  <c r="M361" i="17"/>
  <c r="M360" i="17"/>
  <c r="M359" i="17"/>
  <c r="M358" i="17"/>
  <c r="M357" i="17"/>
  <c r="M356" i="17"/>
  <c r="M355" i="17"/>
  <c r="M354" i="17"/>
  <c r="M353" i="17"/>
  <c r="M352" i="17"/>
  <c r="M351" i="17"/>
  <c r="M350" i="17"/>
  <c r="M349" i="17"/>
  <c r="M348" i="17"/>
  <c r="M347" i="17"/>
  <c r="M346" i="17"/>
  <c r="M345" i="17"/>
  <c r="M344" i="17"/>
  <c r="M343" i="17"/>
  <c r="M342" i="17"/>
  <c r="M341" i="17"/>
  <c r="M340" i="17"/>
  <c r="M339" i="17"/>
  <c r="M338" i="17"/>
  <c r="M337" i="17"/>
  <c r="M336" i="17"/>
  <c r="M335" i="17"/>
  <c r="M334" i="17"/>
  <c r="M333" i="17"/>
  <c r="M332" i="17"/>
  <c r="M331" i="17"/>
  <c r="M330" i="17"/>
  <c r="M329" i="17"/>
  <c r="M328" i="17"/>
  <c r="M327" i="17"/>
  <c r="M326" i="17"/>
  <c r="M325" i="17"/>
  <c r="M324" i="17"/>
  <c r="M323" i="17"/>
  <c r="M322" i="17"/>
  <c r="M321" i="17"/>
  <c r="M320" i="17"/>
  <c r="M319" i="17"/>
  <c r="M318" i="17"/>
  <c r="M317" i="17"/>
  <c r="M316" i="17"/>
  <c r="M315" i="17"/>
  <c r="M314" i="17"/>
  <c r="M313" i="17"/>
  <c r="M312" i="17"/>
  <c r="M311" i="17"/>
  <c r="M310" i="17"/>
  <c r="M309" i="17"/>
  <c r="M308" i="17"/>
  <c r="M307" i="17"/>
  <c r="M306" i="17"/>
  <c r="M305" i="17"/>
  <c r="M304" i="17"/>
  <c r="M303" i="17"/>
  <c r="M302" i="17"/>
  <c r="M301" i="17"/>
  <c r="M300" i="17"/>
  <c r="M299" i="17"/>
  <c r="M298" i="17"/>
  <c r="M297" i="17"/>
  <c r="M296" i="17"/>
  <c r="M295" i="17"/>
  <c r="M294" i="17"/>
  <c r="M293" i="17"/>
  <c r="M292" i="17"/>
  <c r="M291" i="17"/>
  <c r="M290" i="17"/>
  <c r="M289" i="17"/>
  <c r="M288" i="17"/>
  <c r="M287" i="17"/>
  <c r="M286" i="17"/>
  <c r="M285" i="17"/>
  <c r="M284" i="17"/>
  <c r="M283" i="17"/>
  <c r="M282" i="17"/>
  <c r="M281" i="17"/>
  <c r="M280" i="17"/>
  <c r="M279" i="17"/>
  <c r="M278" i="17"/>
  <c r="M277" i="17"/>
  <c r="M276" i="17"/>
  <c r="M275" i="17"/>
  <c r="M274" i="17"/>
  <c r="M273" i="17"/>
  <c r="M272" i="17"/>
  <c r="M271" i="17"/>
  <c r="M270" i="17"/>
  <c r="M269" i="17"/>
  <c r="M268" i="17"/>
  <c r="M267" i="17"/>
  <c r="M266" i="17"/>
  <c r="M265" i="17"/>
  <c r="M264" i="17"/>
  <c r="M263" i="17"/>
  <c r="M262" i="17"/>
  <c r="M261" i="17"/>
  <c r="M260" i="17"/>
  <c r="M259" i="17"/>
  <c r="M258" i="17"/>
  <c r="M257" i="17"/>
  <c r="M256" i="17"/>
  <c r="M255" i="17"/>
  <c r="M254" i="17"/>
  <c r="M253" i="17"/>
  <c r="M252" i="17"/>
  <c r="M251" i="17"/>
  <c r="M250" i="17"/>
  <c r="M249" i="17"/>
  <c r="M248" i="17"/>
  <c r="M247" i="17"/>
  <c r="M246" i="17"/>
  <c r="M245" i="17"/>
  <c r="M244" i="17"/>
  <c r="M243" i="17"/>
  <c r="M242" i="17"/>
  <c r="M241" i="17"/>
  <c r="M240" i="17"/>
  <c r="M239" i="17"/>
  <c r="M238" i="17"/>
  <c r="M237" i="17"/>
  <c r="M236" i="17"/>
  <c r="M235" i="17"/>
  <c r="M234" i="17"/>
  <c r="M233" i="17"/>
  <c r="M232" i="17"/>
  <c r="M231" i="17"/>
  <c r="M230" i="17"/>
  <c r="M229" i="17"/>
  <c r="M228" i="17"/>
  <c r="M227" i="17"/>
  <c r="M226" i="17"/>
  <c r="M225" i="17"/>
  <c r="M224" i="17"/>
  <c r="M223" i="17"/>
  <c r="M222" i="17"/>
  <c r="M221" i="17"/>
  <c r="M220" i="17"/>
  <c r="M219" i="17"/>
  <c r="M218" i="17"/>
  <c r="M217" i="17"/>
  <c r="M216" i="17"/>
  <c r="M215" i="17"/>
  <c r="M214" i="17"/>
  <c r="M213" i="17"/>
  <c r="M212" i="17"/>
  <c r="M211" i="17"/>
  <c r="M210" i="17"/>
  <c r="M209" i="17"/>
  <c r="M208" i="17"/>
  <c r="M207" i="17"/>
  <c r="M206" i="17"/>
  <c r="M205" i="17"/>
  <c r="M204" i="17"/>
  <c r="M203" i="17"/>
  <c r="M202" i="17"/>
  <c r="M201" i="17"/>
  <c r="M200" i="17"/>
  <c r="M199" i="17"/>
  <c r="M198" i="17"/>
  <c r="M197" i="17"/>
  <c r="M196" i="17"/>
  <c r="M195" i="17"/>
  <c r="M194" i="17"/>
  <c r="M193" i="17"/>
  <c r="M192" i="17"/>
  <c r="M191" i="17"/>
  <c r="M190" i="17"/>
  <c r="M189" i="17"/>
  <c r="M188" i="17"/>
  <c r="M187" i="17"/>
  <c r="M186" i="17"/>
  <c r="M185" i="17"/>
  <c r="M184" i="17"/>
  <c r="M183" i="17"/>
  <c r="M182" i="17"/>
  <c r="M181" i="17"/>
  <c r="M180" i="17"/>
  <c r="M179" i="17"/>
  <c r="M178" i="17"/>
  <c r="M177" i="17"/>
  <c r="M176" i="17"/>
  <c r="M175" i="17"/>
  <c r="M174" i="17"/>
  <c r="M173" i="17"/>
  <c r="M172" i="17"/>
  <c r="M171" i="17"/>
  <c r="M170" i="17"/>
  <c r="M169" i="17"/>
  <c r="M168" i="17"/>
  <c r="M167" i="17"/>
  <c r="M166" i="17"/>
  <c r="M165" i="17"/>
  <c r="M164" i="17"/>
  <c r="M163" i="17"/>
  <c r="M162" i="17"/>
  <c r="M161" i="17"/>
  <c r="M160" i="17"/>
  <c r="M159" i="17"/>
  <c r="M158" i="17"/>
  <c r="M157" i="17"/>
  <c r="M156" i="17"/>
  <c r="M155" i="17"/>
  <c r="M154" i="17"/>
  <c r="M153" i="17"/>
  <c r="M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K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37" i="16" s="1"/>
  <c r="E3" i="16" s="1"/>
  <c r="K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142" i="15" s="1"/>
  <c r="E3" i="15" s="1"/>
  <c r="K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M316" i="14"/>
  <c r="M315" i="14"/>
  <c r="M314" i="14"/>
  <c r="M313" i="14"/>
  <c r="M312" i="14"/>
  <c r="M311" i="14"/>
  <c r="M310" i="14"/>
  <c r="M309" i="14"/>
  <c r="M308" i="14"/>
  <c r="M307" i="14"/>
  <c r="M306" i="14"/>
  <c r="M305" i="14"/>
  <c r="M304" i="14"/>
  <c r="M303" i="14"/>
  <c r="M302" i="14"/>
  <c r="M301" i="14"/>
  <c r="M300" i="14"/>
  <c r="M299" i="14"/>
  <c r="M298" i="14"/>
  <c r="M297" i="14"/>
  <c r="M296" i="14"/>
  <c r="M295" i="14"/>
  <c r="M294" i="14"/>
  <c r="M293" i="14"/>
  <c r="M292" i="14"/>
  <c r="M291" i="14"/>
  <c r="M290" i="14"/>
  <c r="M289" i="14"/>
  <c r="M288" i="14"/>
  <c r="M287" i="14"/>
  <c r="M286" i="14"/>
  <c r="M285" i="14"/>
  <c r="M284" i="14"/>
  <c r="M283" i="14"/>
  <c r="M282" i="14"/>
  <c r="M281" i="14"/>
  <c r="M280" i="14"/>
  <c r="M279" i="14"/>
  <c r="M278" i="14"/>
  <c r="M277" i="14"/>
  <c r="M276" i="14"/>
  <c r="M275" i="14"/>
  <c r="M274" i="14"/>
  <c r="M273" i="14"/>
  <c r="M272" i="14"/>
  <c r="M271" i="14"/>
  <c r="M270" i="14"/>
  <c r="M269" i="14"/>
  <c r="M268" i="14"/>
  <c r="M267" i="14"/>
  <c r="M266" i="14"/>
  <c r="M265" i="14"/>
  <c r="M264" i="14"/>
  <c r="M263" i="14"/>
  <c r="M262" i="14"/>
  <c r="M261" i="14"/>
  <c r="M260" i="14"/>
  <c r="M259" i="14"/>
  <c r="M258" i="14"/>
  <c r="M257" i="14"/>
  <c r="M256" i="14"/>
  <c r="M255" i="14"/>
  <c r="M254" i="14"/>
  <c r="M253" i="14"/>
  <c r="M252" i="14"/>
  <c r="M251" i="14"/>
  <c r="M250" i="14"/>
  <c r="M249" i="14"/>
  <c r="M248" i="14"/>
  <c r="M247" i="14"/>
  <c r="M246" i="14"/>
  <c r="M245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M226" i="14"/>
  <c r="M225" i="14"/>
  <c r="M224" i="14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331" i="14" s="1"/>
  <c r="E3" i="14" s="1"/>
  <c r="K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555" i="13" s="1"/>
  <c r="E3" i="13" s="1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K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113" i="12" s="1"/>
  <c r="E3" i="12" s="1"/>
  <c r="K1064" i="11"/>
  <c r="M1063" i="11"/>
  <c r="M1062" i="11"/>
  <c r="M1061" i="11"/>
  <c r="M1060" i="11"/>
  <c r="M1059" i="11"/>
  <c r="M1058" i="11"/>
  <c r="M1057" i="11"/>
  <c r="M1056" i="11"/>
  <c r="M1055" i="11"/>
  <c r="M1054" i="11"/>
  <c r="M1053" i="11"/>
  <c r="M1052" i="11"/>
  <c r="M1051" i="11"/>
  <c r="M1050" i="11"/>
  <c r="M1049" i="11"/>
  <c r="M1048" i="11"/>
  <c r="M1047" i="11"/>
  <c r="M1046" i="11"/>
  <c r="M1045" i="11"/>
  <c r="M1044" i="11"/>
  <c r="M1043" i="11"/>
  <c r="M1042" i="11"/>
  <c r="M1041" i="11"/>
  <c r="M1040" i="11"/>
  <c r="M1039" i="11"/>
  <c r="M1038" i="11"/>
  <c r="M1037" i="11"/>
  <c r="M1036" i="11"/>
  <c r="M1035" i="11"/>
  <c r="M1034" i="11"/>
  <c r="M1033" i="11"/>
  <c r="M1032" i="11"/>
  <c r="M1031" i="11"/>
  <c r="M1030" i="11"/>
  <c r="M1029" i="11"/>
  <c r="M1028" i="11"/>
  <c r="M1027" i="11"/>
  <c r="M1026" i="11"/>
  <c r="M1025" i="11"/>
  <c r="M1024" i="11"/>
  <c r="M1023" i="11"/>
  <c r="M1022" i="11"/>
  <c r="M1021" i="11"/>
  <c r="M1020" i="11"/>
  <c r="M1019" i="11"/>
  <c r="M1018" i="11"/>
  <c r="M1017" i="11"/>
  <c r="M1016" i="11"/>
  <c r="M1015" i="11"/>
  <c r="M1014" i="11"/>
  <c r="M1013" i="11"/>
  <c r="M1012" i="11"/>
  <c r="M1011" i="11"/>
  <c r="M1010" i="11"/>
  <c r="M1009" i="11"/>
  <c r="M1008" i="11"/>
  <c r="M1007" i="11"/>
  <c r="M1006" i="11"/>
  <c r="M1005" i="11"/>
  <c r="M1004" i="11"/>
  <c r="M1003" i="11"/>
  <c r="M1002" i="11"/>
  <c r="M1001" i="11"/>
  <c r="M1000" i="11"/>
  <c r="M999" i="11"/>
  <c r="M998" i="11"/>
  <c r="M997" i="11"/>
  <c r="M996" i="11"/>
  <c r="M995" i="11"/>
  <c r="M994" i="11"/>
  <c r="M993" i="11"/>
  <c r="M992" i="11"/>
  <c r="M991" i="11"/>
  <c r="M990" i="11"/>
  <c r="M989" i="11"/>
  <c r="M988" i="11"/>
  <c r="M987" i="11"/>
  <c r="M986" i="11"/>
  <c r="M985" i="11"/>
  <c r="M984" i="11"/>
  <c r="M983" i="11"/>
  <c r="M982" i="11"/>
  <c r="M981" i="11"/>
  <c r="M980" i="11"/>
  <c r="M979" i="11"/>
  <c r="M978" i="11"/>
  <c r="M977" i="11"/>
  <c r="M976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6" i="11"/>
  <c r="M955" i="11"/>
  <c r="M954" i="11"/>
  <c r="M953" i="11"/>
  <c r="M952" i="11"/>
  <c r="M951" i="11"/>
  <c r="M950" i="11"/>
  <c r="M949" i="11"/>
  <c r="M948" i="11"/>
  <c r="M947" i="11"/>
  <c r="M946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21" i="11"/>
  <c r="M920" i="11"/>
  <c r="M919" i="11"/>
  <c r="M918" i="11"/>
  <c r="M917" i="11"/>
  <c r="M916" i="11"/>
  <c r="M915" i="11"/>
  <c r="M914" i="11"/>
  <c r="M913" i="11"/>
  <c r="M912" i="11"/>
  <c r="M911" i="11"/>
  <c r="M910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7" i="11"/>
  <c r="M896" i="11"/>
  <c r="M895" i="11"/>
  <c r="M894" i="11"/>
  <c r="M893" i="11"/>
  <c r="M892" i="11"/>
  <c r="M891" i="11"/>
  <c r="M890" i="11"/>
  <c r="M889" i="11"/>
  <c r="M888" i="11"/>
  <c r="M887" i="11"/>
  <c r="M886" i="11"/>
  <c r="M885" i="11"/>
  <c r="M884" i="11"/>
  <c r="M883" i="11"/>
  <c r="M882" i="11"/>
  <c r="M881" i="11"/>
  <c r="M880" i="11"/>
  <c r="M879" i="11"/>
  <c r="M878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5" i="11"/>
  <c r="M864" i="11"/>
  <c r="M863" i="11"/>
  <c r="M862" i="11"/>
  <c r="M861" i="11"/>
  <c r="M860" i="11"/>
  <c r="M859" i="11"/>
  <c r="M858" i="11"/>
  <c r="M857" i="11"/>
  <c r="M856" i="11"/>
  <c r="M855" i="11"/>
  <c r="M854" i="11"/>
  <c r="M853" i="11"/>
  <c r="M852" i="11"/>
  <c r="M851" i="11"/>
  <c r="M850" i="11"/>
  <c r="M849" i="11"/>
  <c r="M848" i="11"/>
  <c r="M847" i="11"/>
  <c r="M846" i="11"/>
  <c r="M845" i="11"/>
  <c r="M844" i="11"/>
  <c r="M843" i="11"/>
  <c r="M842" i="11"/>
  <c r="M841" i="11"/>
  <c r="M840" i="11"/>
  <c r="M839" i="11"/>
  <c r="M838" i="11"/>
  <c r="M837" i="11"/>
  <c r="M836" i="11"/>
  <c r="M835" i="11"/>
  <c r="M834" i="11"/>
  <c r="M833" i="11"/>
  <c r="M832" i="11"/>
  <c r="M831" i="11"/>
  <c r="M830" i="11"/>
  <c r="M829" i="11"/>
  <c r="M828" i="11"/>
  <c r="M827" i="11"/>
  <c r="M826" i="11"/>
  <c r="M825" i="11"/>
  <c r="M824" i="11"/>
  <c r="M823" i="11"/>
  <c r="M822" i="11"/>
  <c r="M821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808" i="11"/>
  <c r="M807" i="11"/>
  <c r="M806" i="11"/>
  <c r="M805" i="11"/>
  <c r="M804" i="11"/>
  <c r="M803" i="11"/>
  <c r="M802" i="11"/>
  <c r="M801" i="11"/>
  <c r="M800" i="11"/>
  <c r="M799" i="11"/>
  <c r="M798" i="11"/>
  <c r="M797" i="11"/>
  <c r="M796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71" i="11"/>
  <c r="M770" i="11"/>
  <c r="M769" i="11"/>
  <c r="M768" i="11"/>
  <c r="M767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M735" i="11"/>
  <c r="M734" i="11"/>
  <c r="M733" i="11"/>
  <c r="M732" i="11"/>
  <c r="M731" i="11"/>
  <c r="M730" i="11"/>
  <c r="M729" i="11"/>
  <c r="M728" i="11"/>
  <c r="M727" i="11"/>
  <c r="M726" i="11"/>
  <c r="M725" i="11"/>
  <c r="M724" i="11"/>
  <c r="M723" i="11"/>
  <c r="M722" i="11"/>
  <c r="M721" i="11"/>
  <c r="M720" i="11"/>
  <c r="M719" i="11"/>
  <c r="M718" i="11"/>
  <c r="M717" i="11"/>
  <c r="M716" i="11"/>
  <c r="M715" i="11"/>
  <c r="M714" i="11"/>
  <c r="M713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700" i="11"/>
  <c r="M699" i="11"/>
  <c r="M698" i="11"/>
  <c r="M697" i="11"/>
  <c r="M696" i="11"/>
  <c r="M695" i="11"/>
  <c r="M694" i="11"/>
  <c r="M693" i="11"/>
  <c r="M692" i="11"/>
  <c r="M691" i="11"/>
  <c r="M690" i="11"/>
  <c r="M689" i="11"/>
  <c r="M688" i="11"/>
  <c r="M687" i="11"/>
  <c r="M686" i="11"/>
  <c r="M685" i="11"/>
  <c r="M684" i="11"/>
  <c r="M683" i="11"/>
  <c r="M682" i="11"/>
  <c r="M681" i="11"/>
  <c r="M680" i="11"/>
  <c r="M679" i="11"/>
  <c r="M678" i="11"/>
  <c r="M677" i="11"/>
  <c r="M676" i="11"/>
  <c r="M675" i="11"/>
  <c r="M674" i="11"/>
  <c r="M673" i="11"/>
  <c r="M672" i="11"/>
  <c r="M671" i="11"/>
  <c r="M670" i="11"/>
  <c r="M669" i="11"/>
  <c r="M668" i="11"/>
  <c r="M667" i="11"/>
  <c r="M666" i="11"/>
  <c r="M665" i="11"/>
  <c r="M664" i="11"/>
  <c r="M663" i="11"/>
  <c r="M662" i="11"/>
  <c r="M661" i="11"/>
  <c r="M660" i="11"/>
  <c r="M659" i="11"/>
  <c r="M658" i="11"/>
  <c r="M657" i="11"/>
  <c r="M656" i="11"/>
  <c r="M655" i="11"/>
  <c r="M654" i="11"/>
  <c r="M653" i="11"/>
  <c r="M652" i="11"/>
  <c r="M651" i="11"/>
  <c r="M650" i="11"/>
  <c r="M649" i="11"/>
  <c r="M648" i="11"/>
  <c r="M647" i="11"/>
  <c r="M646" i="11"/>
  <c r="M645" i="11"/>
  <c r="M644" i="11"/>
  <c r="M643" i="11"/>
  <c r="M642" i="11"/>
  <c r="M641" i="11"/>
  <c r="M640" i="11"/>
  <c r="M639" i="11"/>
  <c r="M638" i="11"/>
  <c r="M637" i="11"/>
  <c r="M636" i="11"/>
  <c r="M635" i="11"/>
  <c r="M634" i="11"/>
  <c r="M633" i="11"/>
  <c r="M632" i="11"/>
  <c r="M631" i="11"/>
  <c r="M630" i="11"/>
  <c r="M629" i="11"/>
  <c r="M628" i="11"/>
  <c r="M627" i="11"/>
  <c r="M626" i="11"/>
  <c r="M625" i="11"/>
  <c r="M624" i="11"/>
  <c r="M623" i="11"/>
  <c r="M622" i="11"/>
  <c r="M621" i="11"/>
  <c r="M620" i="11"/>
  <c r="M619" i="11"/>
  <c r="M618" i="11"/>
  <c r="M617" i="11"/>
  <c r="M616" i="11"/>
  <c r="M615" i="11"/>
  <c r="M614" i="11"/>
  <c r="M613" i="11"/>
  <c r="M612" i="11"/>
  <c r="M611" i="11"/>
  <c r="M610" i="11"/>
  <c r="M609" i="11"/>
  <c r="M608" i="11"/>
  <c r="M607" i="11"/>
  <c r="M606" i="11"/>
  <c r="M605" i="11"/>
  <c r="M604" i="11"/>
  <c r="M603" i="11"/>
  <c r="M602" i="11"/>
  <c r="M601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51" i="11"/>
  <c r="M550" i="11"/>
  <c r="M549" i="11"/>
  <c r="M548" i="11"/>
  <c r="M547" i="11"/>
  <c r="M546" i="11"/>
  <c r="M545" i="11"/>
  <c r="M544" i="11"/>
  <c r="M543" i="11"/>
  <c r="M54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31" i="11"/>
  <c r="M430" i="11"/>
  <c r="M429" i="11"/>
  <c r="M428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K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82" i="10" s="1"/>
  <c r="E3" i="10" s="1"/>
  <c r="K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28" i="9" s="1"/>
  <c r="E3" i="9" s="1"/>
  <c r="K7" i="8"/>
  <c r="M6" i="8"/>
  <c r="M5" i="8"/>
  <c r="M7" i="8" s="1"/>
  <c r="E3" i="8" s="1"/>
  <c r="K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K8" i="6"/>
  <c r="M7" i="6"/>
  <c r="M6" i="6"/>
  <c r="M5" i="6"/>
  <c r="K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K8" i="4"/>
  <c r="M7" i="4"/>
  <c r="M6" i="4"/>
  <c r="M5" i="4"/>
  <c r="K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K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G35" i="1"/>
  <c r="F34" i="1"/>
  <c r="H34" i="1" s="1"/>
  <c r="E34" i="1"/>
  <c r="F33" i="1"/>
  <c r="H33" i="1" s="1"/>
  <c r="E33" i="1"/>
  <c r="F32" i="1"/>
  <c r="H32" i="1" s="1"/>
  <c r="E32" i="1"/>
  <c r="F31" i="1"/>
  <c r="H31" i="1" s="1"/>
  <c r="E31" i="1"/>
  <c r="F30" i="1"/>
  <c r="H30" i="1" s="1"/>
  <c r="E30" i="1"/>
  <c r="F29" i="1"/>
  <c r="H29" i="1" s="1"/>
  <c r="E29" i="1"/>
  <c r="F28" i="1"/>
  <c r="H28" i="1" s="1"/>
  <c r="E28" i="1"/>
  <c r="F27" i="1"/>
  <c r="H27" i="1" s="1"/>
  <c r="E27" i="1"/>
  <c r="F26" i="1"/>
  <c r="H26" i="1" s="1"/>
  <c r="E26" i="1"/>
  <c r="F25" i="1"/>
  <c r="H25" i="1" s="1"/>
  <c r="E25" i="1"/>
  <c r="F24" i="1"/>
  <c r="H24" i="1" s="1"/>
  <c r="E24" i="1"/>
  <c r="F23" i="1"/>
  <c r="H23" i="1" s="1"/>
  <c r="E23" i="1"/>
  <c r="F22" i="1"/>
  <c r="H22" i="1" s="1"/>
  <c r="E22" i="1"/>
  <c r="F21" i="1"/>
  <c r="H21" i="1" s="1"/>
  <c r="E21" i="1"/>
  <c r="F20" i="1"/>
  <c r="H20" i="1" s="1"/>
  <c r="E20" i="1"/>
  <c r="F19" i="1"/>
  <c r="H19" i="1" s="1"/>
  <c r="E19" i="1"/>
  <c r="F18" i="1"/>
  <c r="H18" i="1" s="1"/>
  <c r="E18" i="1"/>
  <c r="F17" i="1"/>
  <c r="H17" i="1" s="1"/>
  <c r="E17" i="1"/>
  <c r="E16" i="1"/>
  <c r="F15" i="1"/>
  <c r="H15" i="1" s="1"/>
  <c r="E15" i="1"/>
  <c r="F14" i="1"/>
  <c r="H14" i="1" s="1"/>
  <c r="E14" i="1"/>
  <c r="F13" i="1"/>
  <c r="H13" i="1" s="1"/>
  <c r="E13" i="1"/>
  <c r="E12" i="1"/>
  <c r="E11" i="1"/>
  <c r="E10" i="1"/>
  <c r="E9" i="1"/>
  <c r="E8" i="1"/>
  <c r="E7" i="1"/>
  <c r="E35" i="1" s="1"/>
  <c r="M1064" i="11" l="1"/>
  <c r="E3" i="11" s="1"/>
  <c r="F16" i="1"/>
  <c r="H16" i="1" s="1"/>
  <c r="M298" i="7"/>
  <c r="E3" i="7" s="1"/>
  <c r="F12" i="1"/>
  <c r="H12" i="1" s="1"/>
  <c r="F11" i="1"/>
  <c r="H11" i="1" s="1"/>
  <c r="M8" i="6"/>
  <c r="E3" i="6" s="1"/>
  <c r="M104" i="5"/>
  <c r="E3" i="5" s="1"/>
  <c r="F10" i="1"/>
  <c r="H10" i="1" s="1"/>
  <c r="M8" i="4"/>
  <c r="E3" i="4" s="1"/>
  <c r="F9" i="1"/>
  <c r="H9" i="1" s="1"/>
  <c r="M433" i="3"/>
  <c r="E3" i="3" s="1"/>
  <c r="F8" i="1"/>
  <c r="H8" i="1" s="1"/>
  <c r="M518" i="2"/>
  <c r="E3" i="2" s="1"/>
  <c r="F7" i="1"/>
  <c r="H7" i="1" l="1"/>
  <c r="H35" i="1" s="1"/>
  <c r="F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 แท็บวัสดุสำนักงานเท่ากับผลรวมวงเงินในไฟล์ต้นทาง 8,614,565.05 บาท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B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VPK</author>
  </authors>
  <commentList>
    <comment ref="C3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ยอดรวมของเอกสารนี้ในฐาน VPK-S1 วันที่ 12 ต.ค. 2569 คำนวณจากปริมาณที่ของบ × ราคา/หน่วยนับ</t>
        </r>
      </text>
    </comment>
  </commentList>
</comments>
</file>

<file path=xl/sharedStrings.xml><?xml version="1.0" encoding="utf-8"?>
<sst xmlns="http://schemas.openxmlformats.org/spreadsheetml/2006/main" count="17562" uniqueCount="7281">
  <si>
    <t>โรงพยาบาลวชิระภูเก็ต</t>
  </si>
  <si>
    <t>ยืนยันรายการคำของบวัสดุ ปีงบประมาณ 2570</t>
  </si>
  <si>
    <t>รายการ detail ตามแท็บที่นำเข้าจากไฟล์ แบบฟอร์มที่ 3 แผนปีงบประมาณ 2570 หมวดวัสดุ.xlsx · ส่งออกจากฐาน VPK-S1 วันที่ 12 ต.ค. 2569</t>
  </si>
  <si>
    <t>ช่องสีเหลืองให้ผู้ใช้กรอกผลยืนยัน    ช่องสีเขียวเป็นสูตร    จำนวนรายการและยอดจากรายการดึงจากชีตของแต่ละแท็บ    ยอดในระบบคือยอดเอกสารในฐานข้อมูล    แท็บออกซิเจนถังว่างและชีตสรุปวัสดุไม่ได้สร้างเป็นคำขอ    คอลัมน์รหัสสินค้าอยู่ถัดจากลำดับในแต่ละชีตแท็บ ช่องว่างให้กรอก รหัสของแท็บยาดึงจากหมายเหตุเดิม</t>
  </si>
  <si>
    <t>ลำดับ</t>
  </si>
  <si>
    <t>เลขที่เอกสาร</t>
  </si>
  <si>
    <t>แท็บ</t>
  </si>
  <si>
    <t>หน่วยงาน</t>
  </si>
  <si>
    <t>จำนวนรายการ</t>
  </si>
  <si>
    <t>ยอดจากรายการ</t>
  </si>
  <si>
    <t>ยอดในระบบ</t>
  </si>
  <si>
    <t>ผลต่าง</t>
  </si>
  <si>
    <t>ผลยืนยัน</t>
  </si>
  <si>
    <t>หมายเหตุ</t>
  </si>
  <si>
    <t>DBR/2570/0004</t>
  </si>
  <si>
    <t>วัสดุสำนักงาน</t>
  </si>
  <si>
    <t>หน่วยงานพัสดุ</t>
  </si>
  <si>
    <t>DBR/2570/0005</t>
  </si>
  <si>
    <t>งานบ้าน</t>
  </si>
  <si>
    <t>DBR/2570/0006</t>
  </si>
  <si>
    <t>เชื้อเพลิง</t>
  </si>
  <si>
    <t>DBR/2570/0007</t>
  </si>
  <si>
    <t>เครื่องแต่งกาย</t>
  </si>
  <si>
    <t>งานซักฟอกและตัดเย็บ</t>
  </si>
  <si>
    <t>DBR/2570/0008</t>
  </si>
  <si>
    <t>ออกซิเจนเหลว</t>
  </si>
  <si>
    <t>DBR/2570/0009</t>
  </si>
  <si>
    <t>Lab</t>
  </si>
  <si>
    <t>กลุ่มงานเทคนิคการแพทย์ฯ</t>
  </si>
  <si>
    <t>DBR/2570/0010</t>
  </si>
  <si>
    <t>LabCOVID</t>
  </si>
  <si>
    <t>DBR/2570/0011</t>
  </si>
  <si>
    <t>พยาธิกายวิภาค</t>
  </si>
  <si>
    <t>DBR/2570/0012</t>
  </si>
  <si>
    <t>ธนาคารเลือด</t>
  </si>
  <si>
    <t>งานธนาคารเลือด</t>
  </si>
  <si>
    <t>DBR/2570/0013</t>
  </si>
  <si>
    <t>ยา</t>
  </si>
  <si>
    <t>กลุ่มงานเภสัชกรรม</t>
  </si>
  <si>
    <t>DBR/2570/0014</t>
  </si>
  <si>
    <t>วัสดุเภสัชกรรม</t>
  </si>
  <si>
    <t>DBR/2570/0015</t>
  </si>
  <si>
    <t>ทันตกรรม</t>
  </si>
  <si>
    <t>กลุ่มงานทันตกรรม</t>
  </si>
  <si>
    <t>DBR/2570/0016</t>
  </si>
  <si>
    <t>โภชนาการ</t>
  </si>
  <si>
    <t>งานโภชนาการ กลุ่มงาน โภชนศาตร์</t>
  </si>
  <si>
    <t>DBR/2570/0017</t>
  </si>
  <si>
    <t>แบบพิมพ์</t>
  </si>
  <si>
    <t>DBR/2570/0018</t>
  </si>
  <si>
    <t>ซ่อมเครื่องมือแพทย์</t>
  </si>
  <si>
    <t>ศูนย์เครื่องมือแพทย์</t>
  </si>
  <si>
    <t>DBR/2570/0019</t>
  </si>
  <si>
    <t>ผ่าตัด</t>
  </si>
  <si>
    <t>งานห้องผ่าตัด</t>
  </si>
  <si>
    <t>DBR/2570/0020</t>
  </si>
  <si>
    <t>การพยาบาล</t>
  </si>
  <si>
    <t>กลุ่มภารกิจด้านการพยาบาล</t>
  </si>
  <si>
    <t>DBR/2570/0021</t>
  </si>
  <si>
    <t>เฝือก</t>
  </si>
  <si>
    <t>กลุ่มงานออร์โธปิดิกส์</t>
  </si>
  <si>
    <t>DBR/2570/0022</t>
  </si>
  <si>
    <t>ไตเทียม</t>
  </si>
  <si>
    <t>DBR/2570/0023</t>
  </si>
  <si>
    <t>ตรวจสวนหัวใจ</t>
  </si>
  <si>
    <t>แผนกศัลยกรรมหัวใจ ทรวงอก และหลอดเลือด</t>
  </si>
  <si>
    <t>DBR/2570/0024</t>
  </si>
  <si>
    <t>วิสัญญี</t>
  </si>
  <si>
    <t>งานการพยาบาลวิสัญญี</t>
  </si>
  <si>
    <t>DBR/2570/0025</t>
  </si>
  <si>
    <t>ENT</t>
  </si>
  <si>
    <t>DBR/2570/0026</t>
  </si>
  <si>
    <t>โสต ศอ นาสิก</t>
  </si>
  <si>
    <t>DBR/2570/0027</t>
  </si>
  <si>
    <t>ทั่วไป</t>
  </si>
  <si>
    <t>DBR/2570/0028</t>
  </si>
  <si>
    <t>อื่นๆ</t>
  </si>
  <si>
    <t>DBR/2570/0029</t>
  </si>
  <si>
    <t>โฆษณา</t>
  </si>
  <si>
    <t>งานประชาสัมพันธ์</t>
  </si>
  <si>
    <t>DBR/2570/0030</t>
  </si>
  <si>
    <t>วัสดุคอมพิวเตอร์</t>
  </si>
  <si>
    <t>กลุ่มภารกิจสุขภาพดิจิทัล</t>
  </si>
  <si>
    <t>DBR/2570/0031</t>
  </si>
  <si>
    <t>Wellness</t>
  </si>
  <si>
    <t>ศูนย์ Wellness</t>
  </si>
  <si>
    <t>รวม</t>
  </si>
  <si>
    <t>ยอดในระบบดึงจากเอกสาร DBR/2570/0004 ถึง DBR/2570/0031 ในฐาน VPK-S1 วันที่ 12 ต.ค. 2569 แหล่งเงินเงินบำรุง ปีงบประมาณ 2570 สถานะฉบับร่าง DBR/2570/0004 วัสดุสำนักงาน 513 รายการ ยอด 8,614,565.05 บาท ชื่อรายการที่ซ้ำในเอกสารเดียวกันเติม (ลำดับ n) ตามที่บันทึกในระบบ รหัสสินค้าของแท็บยาคัดจากข้อความ รหัสในไฟล์ ในหมายเหตุ</t>
  </si>
  <si>
    <t>โรงพยาบาลวชิระภูเก็ต · คำของบวัสดุ ปี 2570 · แท็บ วัสดุสำนักงาน</t>
  </si>
  <si>
    <t>แหล่งเงิน</t>
  </si>
  <si>
    <t>เงินบำรุง</t>
  </si>
  <si>
    <t>ปีงบประมาณ</t>
  </si>
  <si>
    <t>สถานะ</t>
  </si>
  <si>
    <t>ฉบับร่าง</t>
  </si>
  <si>
    <t>ผลต่างจากรายการ</t>
  </si>
  <si>
    <t>ช่องรหัสสินค้าสีเหลืองกรอกหรือแก้รหัสได้ แท็บยาย้ายรหัสจากหมายเหตุมาไว้ในคอลัมน์นี้    ผลยืนยันเลือก ถูกต้อง / ต้องแก้ไข / ยังไม่ครบ / ข้าม    มูลค่าที่ของบคำนวณจากปริมาณที่ของบ × ราคา/หน่วยนับ    ยังไม่ผูกสินค้าในระบบ</t>
  </si>
  <si>
    <t>รหัสสินค้า</t>
  </si>
  <si>
    <t>รายการสินค้า</t>
  </si>
  <si>
    <t>ประเภทวัสดุ</t>
  </si>
  <si>
    <t>หน่วยนับ</t>
  </si>
  <si>
    <t>ปริมาณใช้ปี 2567</t>
  </si>
  <si>
    <t>ปริมาณใช้ปี 2568</t>
  </si>
  <si>
    <t>ปริมาณใช้ปี 2569</t>
  </si>
  <si>
    <t>ปริมาณคงเหลือยกมา</t>
  </si>
  <si>
    <t>มูลค่าคงเหลือยกมา</t>
  </si>
  <si>
    <t>ปริมาณที่ของบ</t>
  </si>
  <si>
    <t>ราคา/หน่วยนับ</t>
  </si>
  <si>
    <t>มูลค่าที่ของบ</t>
  </si>
  <si>
    <t>DRUM BROTNER DR -2255</t>
  </si>
  <si>
    <t>ค่าวัสดุสำนักงาน</t>
  </si>
  <si>
    <t>กล่อง</t>
  </si>
  <si>
    <t>Drum Ricch SP230 Unit (3019980)</t>
  </si>
  <si>
    <t>Drum 32A CF 232A</t>
  </si>
  <si>
    <t>DRUM BROTNER DR -2255 (ลำดับ 2)</t>
  </si>
  <si>
    <t>Drum DR2355</t>
  </si>
  <si>
    <t>Drum HP (19A)219A</t>
  </si>
  <si>
    <t>Drum HP(120) W1120A (3100011)</t>
  </si>
  <si>
    <t>Drum OKI 431</t>
  </si>
  <si>
    <t>Drum Toner DL-410</t>
  </si>
  <si>
    <t>Drum Xerox 325 (3100032)</t>
  </si>
  <si>
    <t>Mifare Care</t>
  </si>
  <si>
    <t>แผ่น</t>
  </si>
  <si>
    <t>เข็มซ่อนปลาย</t>
  </si>
  <si>
    <t>พวง</t>
  </si>
  <si>
    <t>เครื่องเจาะกระดาษ เบอร์70</t>
  </si>
  <si>
    <t>ตัว</t>
  </si>
  <si>
    <t>เครื่องเย็บกระดาษ เบอร์10</t>
  </si>
  <si>
    <t>เครื่องเย็บกระดาษ เบอร์260</t>
  </si>
  <si>
    <t>เครื่อง</t>
  </si>
  <si>
    <t>เครื่องเย็บกระดาษ เบอร์50</t>
  </si>
  <si>
    <t>เครื่องเย็บกระดาษ เบอร์70</t>
  </si>
  <si>
    <t>เครื่องคิดเลข</t>
  </si>
  <si>
    <t>เครื่องตัดกระดาษ ขนาด18x15นิ้ว</t>
  </si>
  <si>
    <t>แพ็ค</t>
  </si>
  <si>
    <t>เครื่องพิมพ์ฝ่าเท้าด้วยหมึก</t>
  </si>
  <si>
    <t>เครื่องอ่านสมาร์ทการ์ด</t>
  </si>
  <si>
    <t>เชือกห่อพัสดุขาว-แดง</t>
  </si>
  <si>
    <t>ม้วน</t>
  </si>
  <si>
    <t>เทปกั้น ขาว-แดง</t>
  </si>
  <si>
    <t>เทปกาวหนังไก่ สีเขียวแก่</t>
  </si>
  <si>
    <t>เทปกาวหนังไก่ สีเหลือง</t>
  </si>
  <si>
    <t>เทปกาวหนังไก่ สีแดง</t>
  </si>
  <si>
    <t>เทปกาวหนังไก่ สีชมพู</t>
  </si>
  <si>
    <t>เทปกาวหนังไก่ สีดำ</t>
  </si>
  <si>
    <t>เทปกาวหนังไก่ สีดำ ขนาด1.5</t>
  </si>
  <si>
    <t>เทปกาวหนังไก่ สีน้ำเงิน</t>
  </si>
  <si>
    <t>เทปกาวหนังไก่ สีฟ้า</t>
  </si>
  <si>
    <t>เทปกาวหนังไก่ สีม่วง</t>
  </si>
  <si>
    <t>เทปกาวหนังไก่ สีส้ม</t>
  </si>
  <si>
    <t>เสาพาติชั่น</t>
  </si>
  <si>
    <t>เล่ม</t>
  </si>
  <si>
    <t>เหล็กเสียบกระดาษ</t>
  </si>
  <si>
    <t>อัน</t>
  </si>
  <si>
    <t>เหล็กคั้นหนังสือ</t>
  </si>
  <si>
    <t>คู่</t>
  </si>
  <si>
    <t>เหล็กหนีบโลหะขาว 2นิ้ว</t>
  </si>
  <si>
    <t>เหล็กหนีบโลหะดำ 1.25นิ้ว No110</t>
  </si>
  <si>
    <t>เหล็กหนีบโลหะดำ 1.5นิ้ว 223/109</t>
  </si>
  <si>
    <t>เหล็กหนีบโลหะดำ 1/2นิ้ว ขนาด227/113</t>
  </si>
  <si>
    <t>เหล็กหนีบโลหะดำ 1/5นิ้ว 227/113</t>
  </si>
  <si>
    <t>เหล็กหนีบโลหะดำ 1นิ้ว 225/111</t>
  </si>
  <si>
    <t>เหล็กหนีบโลหะดำ 2นิ้ว 222/108</t>
  </si>
  <si>
    <t>เหล็กหนีบโลหะดำ 3/4นิ้ว 226/112</t>
  </si>
  <si>
    <t>แท่นเสียบป้ายชื่อพลิกได้ A4 แนวตั้ง</t>
  </si>
  <si>
    <t>แท่นเสียบป้ายชื่อพลิกได้ A4 แนวนอน</t>
  </si>
  <si>
    <t>แท่นเสียบป้ายชื่อพลิกได้ A5 แนวนอน</t>
  </si>
  <si>
    <t>แท่นตัดสก๊อตเทป(ใหญ่)</t>
  </si>
  <si>
    <t>แท่นประทับตรา สีแดง</t>
  </si>
  <si>
    <t>แท่นประทับตรา สีดำ</t>
  </si>
  <si>
    <t>แท่นประทับตรา สีน้ำเงิน</t>
  </si>
  <si>
    <t>แปรงลบกระดานไวท์บอร์ด</t>
  </si>
  <si>
    <t>แผ่น CD - R</t>
  </si>
  <si>
    <t>แผ่น CD R พร้อมกล่อง</t>
  </si>
  <si>
    <t>แผ่น CD-RW พร้อมกล่อง</t>
  </si>
  <si>
    <t>แผ่น DVD-R</t>
  </si>
  <si>
    <t>แผ่นพลาสวู๊ด</t>
  </si>
  <si>
    <t>แผ่นยางรัดตัด ขนาดA</t>
  </si>
  <si>
    <t>แผ่นรองตัดทึบ</t>
  </si>
  <si>
    <t>แฟ้ม 120</t>
  </si>
  <si>
    <t>แฟ้ม</t>
  </si>
  <si>
    <t>แฟ้ม 125</t>
  </si>
  <si>
    <t>แฟ้ม 210</t>
  </si>
  <si>
    <t>แฟ้ม 2ห่วง</t>
  </si>
  <si>
    <t>แฟ้ม 590</t>
  </si>
  <si>
    <t>แฟ้มเสนอเซ็นต์</t>
  </si>
  <si>
    <t>แฟ้มโชว์เอกสาร</t>
  </si>
  <si>
    <t>โฟอิส</t>
  </si>
  <si>
    <t>ใบมีดคัลเตอร์ 30 องศา</t>
  </si>
  <si>
    <t>ใบมีดคัลเตอร์เล็ก</t>
  </si>
  <si>
    <t>ใบมีดคัลเตอร์ใหญ่</t>
  </si>
  <si>
    <t>ห่อ</t>
  </si>
  <si>
    <t>ไม้บรรทัดเหล็ก12นิ้ว</t>
  </si>
  <si>
    <t>ไม้บรรทัดเหล็ก24นิ้ว</t>
  </si>
  <si>
    <t>ไม้บรรทัดพลาสติก12นิ้ว</t>
  </si>
  <si>
    <t>กรรไกร</t>
  </si>
  <si>
    <t>กรอบพลาสติก</t>
  </si>
  <si>
    <t>ชุด</t>
  </si>
  <si>
    <t>กรอบหลุยสีทอง พร้อมภาพ ขนาด 20x 24 นิ้ว (3015934)</t>
  </si>
  <si>
    <t>กระดานไม้ก๊อก</t>
  </si>
  <si>
    <t>กระดานไม้ก๊อก ขนาด60x90</t>
  </si>
  <si>
    <t>กระดานไวท์บอร์ด ขนาด120x180 ซม</t>
  </si>
  <si>
    <t>กระดานไวท์บอร์ด ขนาด40x60นิ้ว</t>
  </si>
  <si>
    <t>กระดานไวท์บอร์ด ขนาด60x90นิ้ว</t>
  </si>
  <si>
    <t>กระดาษ PIC 210G</t>
  </si>
  <si>
    <t>กระดาษPaper GL OSSY 220G</t>
  </si>
  <si>
    <t>กระดาษPVC 210G</t>
  </si>
  <si>
    <t>กระดาษเทอร์มอล ไม่พิมพ์ ขนาด 9.x6.5 ซม.</t>
  </si>
  <si>
    <t>กระดาษเทอร์มอล ไม่พิมพ์ ขนาด10.2 ซม.x100ม.</t>
  </si>
  <si>
    <t>กระดาษเทอร์มอล ขนาด56มม.x110มม.</t>
  </si>
  <si>
    <t>กระดาษเทอร์มอล ขนาด80x80มม.</t>
  </si>
  <si>
    <t>กระดาษโฟโต้ 4R 260G</t>
  </si>
  <si>
    <t>กระดาษโฟโต้ A3/180 G</t>
  </si>
  <si>
    <t>รีม</t>
  </si>
  <si>
    <t>กระดาษโฟโต้ A4 120G (50แผ่น)</t>
  </si>
  <si>
    <t>กระดาษโฟโต้A4</t>
  </si>
  <si>
    <t>กระดาษโฟโต้A4 210g</t>
  </si>
  <si>
    <t>กระดาษโฟโต้เจ็ทกึ่งมันกึ่งด้าน A4 260G</t>
  </si>
  <si>
    <t>กระดาษการ์ดสี F14 180G 50แผ่น</t>
  </si>
  <si>
    <t>กระดาษการ์ดสี F4 สีเขียว</t>
  </si>
  <si>
    <t>กระดาษกาว2หน้า แบบบาง 1/2 นิ้ว</t>
  </si>
  <si>
    <t>กระดาษกาว2หน้า แบบบาง 1นิ้ว</t>
  </si>
  <si>
    <t>กระดาษกาว2หน้า ม้วนใหญ่</t>
  </si>
  <si>
    <t>กระดาษกาวติดกล่อง สีน้ำตาล ขนาด2นิ้ว</t>
  </si>
  <si>
    <t>กระดาษกาวย่น 1นิ้ว</t>
  </si>
  <si>
    <t>กระดาษกาวย่น 2นิ้ว</t>
  </si>
  <si>
    <t>กระดาษกำมะหยี่ 60x90</t>
  </si>
  <si>
    <t>กระดาษคาร์บอนสีดำ</t>
  </si>
  <si>
    <t>กระดาษคาร์บอนสีน้ำเงิน</t>
  </si>
  <si>
    <t>กระดาษต่อเนื่อง ขนาด11x15นิ้ว 1ชั้น</t>
  </si>
  <si>
    <t>ลัง</t>
  </si>
  <si>
    <t>กระดาษต่อเนื่อง ขนาด9x12 3ชั้น</t>
  </si>
  <si>
    <t>กระดาษต่อเนื่อง ขนาด9x5.5 นิ้ว 2ชั้น</t>
  </si>
  <si>
    <t>กระดาษต่อเนื่องขนาด9x11นิ้ว 2ชั้น</t>
  </si>
  <si>
    <t>กระดาษถ่ายเอกสาร A3 80G</t>
  </si>
  <si>
    <t>กระดาษถ่ายเอกสารA4 70G</t>
  </si>
  <si>
    <t>กระดาษถ่ายเอกสารA4 80G</t>
  </si>
  <si>
    <t>กระดาษทำปกสีเขียว</t>
  </si>
  <si>
    <t>กระดาษทำปกสีเหลือง</t>
  </si>
  <si>
    <t>กระดาษทำปกสีครีม</t>
  </si>
  <si>
    <t>กระดาษทำปกสีชมพู</t>
  </si>
  <si>
    <t>กระดาษทำปกสีฟ้า</t>
  </si>
  <si>
    <t>กระดาษทำปกสีม่วง</t>
  </si>
  <si>
    <t>กระดาษทำปกสีส้ม</t>
  </si>
  <si>
    <t>กระดาษบวกเลข</t>
  </si>
  <si>
    <t>กระดาษพิมพ์ภาพ</t>
  </si>
  <si>
    <t>กระดาษพิมพ์ภาพ 170G /20G</t>
  </si>
  <si>
    <t>กระดาษมาร์ชแมลโลว์</t>
  </si>
  <si>
    <t>กระดาษสติ๊กเกอร์ (โฟโต้) A4 /210g</t>
  </si>
  <si>
    <t>กระดาษสติ๊กเกอร์ A4 ขาวด้าน</t>
  </si>
  <si>
    <t>กระดาษห่อพัสดุ</t>
  </si>
  <si>
    <t>กระดาษอิงเจ๊ค A50 90แกรม (200แผ่น)</t>
  </si>
  <si>
    <t>กล่องแฟ้ม 1 ช่อง</t>
  </si>
  <si>
    <t>ใบ</t>
  </si>
  <si>
    <t>กล่องแฟ้ม 2 ช่อง</t>
  </si>
  <si>
    <t>กล่องแฟ้ม 3 ช่อง</t>
  </si>
  <si>
    <t>กล่องใส่คีย์การ์ด</t>
  </si>
  <si>
    <t>กล่องทิ้งเศษของหมึก เครื่องปริ้น C3250W</t>
  </si>
  <si>
    <t>กล่องทิ้งเศษผงหมึก เครื่องปริ้น C325Dw</t>
  </si>
  <si>
    <t>กล่องพัสดุ ขนาด ข</t>
  </si>
  <si>
    <t>กล่องพัสดุ ขนาดก</t>
  </si>
  <si>
    <t>กล่องรับความคิดเห็น</t>
  </si>
  <si>
    <t>กล่องลิ้นชักพลาสติก 3ชั้น</t>
  </si>
  <si>
    <t>กล่องลิ้นชักพลาสติก 4ชั้น</t>
  </si>
  <si>
    <t>กล่องลิ้นชักพลาสติก5 ลิ้นชัก</t>
  </si>
  <si>
    <t>กาวตราช้าง</t>
  </si>
  <si>
    <t>หลอด</t>
  </si>
  <si>
    <t>กาวน้ำ</t>
  </si>
  <si>
    <t>ขวด</t>
  </si>
  <si>
    <t>กาวยูฮู</t>
  </si>
  <si>
    <t>กาวลาเท็กซ์</t>
  </si>
  <si>
    <t>ขายืด</t>
  </si>
  <si>
    <t>ชิ้น</t>
  </si>
  <si>
    <t>ครีมนับธนบัตร</t>
  </si>
  <si>
    <t>คลิบบอร์ด A4 ไม่มีปก</t>
  </si>
  <si>
    <t>คลิบบอร์ด A4 มีปก</t>
  </si>
  <si>
    <t>คลิบร้อยสาย</t>
  </si>
  <si>
    <t>ถุง</t>
  </si>
  <si>
    <t>ค่าฉากกั้นห้อง ขนาด7.00x2.60MM</t>
  </si>
  <si>
    <t>ค่าวอลเปเปอร์</t>
  </si>
  <si>
    <t>ฉากกั้น</t>
  </si>
  <si>
    <t>ฉากกั้น 3 พับ มีล้อ โครงสแตนเลส</t>
  </si>
  <si>
    <t>ชั้นวางสติ๊กเกอร์ แบบ 10 ช่อง</t>
  </si>
  <si>
    <t>ชั้นวางสติ๊กเกอร์ แบบ 2 ช่อง</t>
  </si>
  <si>
    <t>ชั้นวางสติ๊กเกอร์ แบบ 8 ช่อง</t>
  </si>
  <si>
    <t>ชาร์ทอลูมิเนียม</t>
  </si>
  <si>
    <t>ซองแฟ้มแคลตาล๊อค(ไส้แฟ้ม11รู)</t>
  </si>
  <si>
    <t>ซองแฟ้มสอดA4</t>
  </si>
  <si>
    <t>ซอง</t>
  </si>
  <si>
    <t>ซองใส่แผ่นซีดี</t>
  </si>
  <si>
    <t>ซองกันกระแทก</t>
  </si>
  <si>
    <t>ซองจดหมายราชการสีขาว ขนาด4x9นิ้ว</t>
  </si>
  <si>
    <t>ซองพลาสติก สีแนวตั้ง</t>
  </si>
  <si>
    <t>ซองพลาสติกใส่บัตร ขนาด 104x148มม.</t>
  </si>
  <si>
    <t>ซองสีน้ำตาล 10x15นิ้ว แบบหนา</t>
  </si>
  <si>
    <t>ซองสีน้ำตาล 10x15นิ้ว แบบหนา (ลำดับ 2)</t>
  </si>
  <si>
    <t>ซองสีน้ำตาล 11x17นิ้ว แบบหนา ขยายข้าง</t>
  </si>
  <si>
    <t>ซองสีน้ำตาล 7x10นิ้ว แบบหนา</t>
  </si>
  <si>
    <t>ซองสีน้ำตาล 9x12นิ้ว แบบหนา</t>
  </si>
  <si>
    <t>ซองสีน้ำตาล 9x12นิ้ว แบบหนา ขยายข้าง</t>
  </si>
  <si>
    <t>ซับหมึก Epson Main tenance</t>
  </si>
  <si>
    <t>ซับหมึก Main tenance Box</t>
  </si>
  <si>
    <t>ดินน้ำมัน</t>
  </si>
  <si>
    <t>ก้อน</t>
  </si>
  <si>
    <t>ดินสอ</t>
  </si>
  <si>
    <t>ด้าม</t>
  </si>
  <si>
    <t>ดินสอเขียนแก้ว</t>
  </si>
  <si>
    <t>ตรายาง 100บาท</t>
  </si>
  <si>
    <t>ตรายาง 150บาท</t>
  </si>
  <si>
    <t>ตรายาง 160บาท</t>
  </si>
  <si>
    <t>ตรายาง 180บาท</t>
  </si>
  <si>
    <t>ตรายาง 200บาท</t>
  </si>
  <si>
    <t>ตรายาง 220บาท</t>
  </si>
  <si>
    <t>ตรายาง 230บาท</t>
  </si>
  <si>
    <t>ตรายาง 250บาท</t>
  </si>
  <si>
    <t>ตรายาง 280บาท</t>
  </si>
  <si>
    <t>ตรายาง 300บาท</t>
  </si>
  <si>
    <t>ตรายาง 350บาท</t>
  </si>
  <si>
    <t>ตรายาง 380บาท</t>
  </si>
  <si>
    <t>ตรายาง 450บาท</t>
  </si>
  <si>
    <t>ตรายาง 480บาท</t>
  </si>
  <si>
    <t>ตรายาง 650บาท</t>
  </si>
  <si>
    <t>ตรายางกลุ่มเวชกรรมสังคม สาขาหยี่เต้ง</t>
  </si>
  <si>
    <t>ตรายางวันที่ตัวเลขไทย</t>
  </si>
  <si>
    <t>ตรายางวันที่ตัวเลขอารบิค</t>
  </si>
  <si>
    <t>ตรายางหอผุ้ป่วยวิกฤตกุมาร</t>
  </si>
  <si>
    <t>ตลับหมึก LQ2090</t>
  </si>
  <si>
    <t>ตลับหมึก LQ300</t>
  </si>
  <si>
    <t>ตลับหมึกคอมพิวเตอร์ Epson LQ590</t>
  </si>
  <si>
    <t>ตะแกรงเอกสาร3ชั้น</t>
  </si>
  <si>
    <t>ตาไก่ สีทอง NO.10</t>
  </si>
  <si>
    <t>ตาไก่ สีทอง NO.20</t>
  </si>
  <si>
    <t>ตุู้ลิ้นชักพลาสติก</t>
  </si>
  <si>
    <t>ตู้เอกสาร</t>
  </si>
  <si>
    <t>ถ่านไฟฉาย ขนาดกลาง สีดำ</t>
  </si>
  <si>
    <t>ถ่านไฟฉายก้อนเล็ก(4ก้อน/1ชุด)</t>
  </si>
  <si>
    <t>ถ่านไฟฉายก้อนใหญ่(2ก้อน/1ชุด)</t>
  </si>
  <si>
    <t>ถ่านไฟฉายอัลคาไลน์ ขนาดกลาง</t>
  </si>
  <si>
    <t>ถ่านไฟฉายอัลคาไลน์2A</t>
  </si>
  <si>
    <t>ถ่านไฟฉายอัลคาไลน์3A</t>
  </si>
  <si>
    <t>ถ่านดูราเซลล์ 9 โวล</t>
  </si>
  <si>
    <t>ที่เหลาดินสอ</t>
  </si>
  <si>
    <t>ที่ถอดลวดเย็บกระดาษ</t>
  </si>
  <si>
    <t>ธง สก. ขนาด80x120cm</t>
  </si>
  <si>
    <t>ผืน</t>
  </si>
  <si>
    <t>ธง สท. ขนาด80x120cm</t>
  </si>
  <si>
    <t>ธงชาติ ขนาด 2x3 เมตร</t>
  </si>
  <si>
    <t>ธงชาติ ขนาด80x120ซม.</t>
  </si>
  <si>
    <t>ธงรัชกาลที่10 ขนาด80x120ซม.</t>
  </si>
  <si>
    <t>นาฬิกาแขวนผนัง</t>
  </si>
  <si>
    <t>เรือน</t>
  </si>
  <si>
    <t>ปากกาเขียนสไสด์ สีน้ำเงิน (S)</t>
  </si>
  <si>
    <t>ปากกาเขียนสไสด์ ไซร์M สีน้ำเงิน</t>
  </si>
  <si>
    <t>ปากกาเคมี สีแดง</t>
  </si>
  <si>
    <t>ปากกาเคมี สีน้ำเงิน</t>
  </si>
  <si>
    <t>ปากกาเอส100 สีแดง</t>
  </si>
  <si>
    <t>ปากกาเอส100 สีน้ำเงิน</t>
  </si>
  <si>
    <t>ปากกาไวท์บอร์ด สีแดง</t>
  </si>
  <si>
    <t>ปากกาไวท์บอร์ด สีน้ำเงิน</t>
  </si>
  <si>
    <t>ปากกาลูกลื่น</t>
  </si>
  <si>
    <t>โหล</t>
  </si>
  <si>
    <t>ป้ายชื่อกันน้ำ</t>
  </si>
  <si>
    <t>ป้ายชื่อพร้อมคลิบ</t>
  </si>
  <si>
    <t>ป้ายตั้งโต๊ะ แนบแนวนอน</t>
  </si>
  <si>
    <t>ป้ายตั้งโต๊ะ แนวตั้งA4</t>
  </si>
  <si>
    <t>ป้ายตั้งโต๊ะ2ด้าน แนวตั้งA4</t>
  </si>
  <si>
    <t>ป้ายตั้งโต๊ะ2ด้าน แนวนอน</t>
  </si>
  <si>
    <t>ป้ายตั้งโต๊ะขนาดA5 แนวตั้ง</t>
  </si>
  <si>
    <t>ป้ายตั้งโต๊ะขนาดA5 แนวนอน</t>
  </si>
  <si>
    <t>ป้ายตั้งโต๊ะขนาดA7 แนวนอน</t>
  </si>
  <si>
    <t>ป้ายพลาสติกตั้งโต๊ะตัวที่ฐานไม้</t>
  </si>
  <si>
    <t>ผงหมึก Kyocevre รุ่น TK 410</t>
  </si>
  <si>
    <t>ผ้าม่าน เย็บแบบห่วงตาไก่ ขนาด1.8x1.70เมตร</t>
  </si>
  <si>
    <t>ผ้าม่าน เย็บแบบห่วงตาไก่ ขนาด4.5x1.70เมตร</t>
  </si>
  <si>
    <t>ผ้าม่าน เย็บแบบห่วงตาไก่ ขนาด5.0x1.70เมตร</t>
  </si>
  <si>
    <t>ผ้าม่าน ขนาด 5.90x 2.99 เมตร</t>
  </si>
  <si>
    <t>ผ้าม่าน ขนาด 2.06 x 2.25 เมตร</t>
  </si>
  <si>
    <t>ผ้าม่าน ขนาด 2.50 x 2.25 เมตร</t>
  </si>
  <si>
    <t>ผ้าม่าน ขนาด 2.65 x 2.99 เมตร</t>
  </si>
  <si>
    <t>ผ้าม่าน ขนาด 3.5 x 2.10 เมตร</t>
  </si>
  <si>
    <t>ผ้าม่าน ขนาด 4.0 x 2.99 เมตร</t>
  </si>
  <si>
    <t>ผ้าม่าน ขนาด 7.15 x 2.25 เมตร</t>
  </si>
  <si>
    <t>ผ้าม่าน ขนาด 7.54x 2.25 เมตร</t>
  </si>
  <si>
    <t>ผ้าม่าน ขนาด 8.40 x 2.99 เมตร</t>
  </si>
  <si>
    <t>ผ้าม่าน ซันสกรีน ขนาด 0.75x1.24 เมตร</t>
  </si>
  <si>
    <t>ผ้าม่าน ซันสกรีน ขนาด 0.78x1.24 เมตร</t>
  </si>
  <si>
    <t>ผ้าม่าน ซันสกรีน ขนาด 0.88x1.24 เมตร</t>
  </si>
  <si>
    <t>ผ้าม่าน ซันสกรีน ขนาด 0.89x1.24 เมตร</t>
  </si>
  <si>
    <t>ผ้าม่าน ซันสกรีน ขนาด 0.90x1.24 เมตร</t>
  </si>
  <si>
    <t>ผ้าม่าน ซันสกรีน ขนาด 0.93x1.24 เมตร</t>
  </si>
  <si>
    <t>ผ้าม่านเย็บแบบจีบ รางยู ขนาด1.20x1.30เมตร</t>
  </si>
  <si>
    <t>ผ้าม่านเย็บแบบจีบ รางยู ขนาด1.95x0.90เมตร</t>
  </si>
  <si>
    <t>ผ้าม่านเย็บแบบจีบ รางยู ขนาด3.10x0.60เมตร</t>
  </si>
  <si>
    <t>ผ้าม่านเย็บแบบจีบ รางยู ขนาด3.40x1.35เมตร</t>
  </si>
  <si>
    <t>ผ้าม่านเย็บแบบม่านลอน ผ้าทีบ+ผ้าโปร่ง ขนาด เมตร</t>
  </si>
  <si>
    <t>ผ้าม่านเย็บแบบม่านลอน ผ้าทีบ+ผ้าโปร่ง ขนาด เมตร (ลำดับ 2)</t>
  </si>
  <si>
    <t>ผ้าม่านเย็บแบบม่านลอน ผ้าทีบ+ผ้าโปร่ง ขนาด เมตร (ลำดับ 3)</t>
  </si>
  <si>
    <t>ผ้าม่านเย็บแบบม่านลอน ผ้าทีบ+ผ้าโปร่ง ขนาด เมตร (ลำดับ 4)</t>
  </si>
  <si>
    <t>ผ้าม่านกั้นเตียง ขนาด 255 x 180 เซนติเมตร</t>
  </si>
  <si>
    <t>ผ้าม่านกั้นเตียง พร้อมราง ขนาด 265 x 260 เซนติเมตร</t>
  </si>
  <si>
    <t>ผ้าม่านกันแสง ขนาด 2.80 x 2.98 เมตร</t>
  </si>
  <si>
    <t>ผ้าม่านกันแสงขนาด 3.24 x 2.98 เมตร</t>
  </si>
  <si>
    <t>ผ้าม่านตาไก่ รางโรงพยาบาล ขนาด 1.47x 2.0 เมตร</t>
  </si>
  <si>
    <t>ผ้าม่านตาไก่ รางโรงพยาบาล ขนาด 2.82 x 2.0 เมตร</t>
  </si>
  <si>
    <t>ผ้าม่านตาไก่ รางโรงพยาบาล ขนาด 3.01x 2.0 เมตร</t>
  </si>
  <si>
    <t>ผ้าม่านตาไก่ รางโรงพยาบาล ขนาด 3.34 x 2.0 เมตร</t>
  </si>
  <si>
    <t>ผ้าม่านตาไก่ รางโรงพยาบาล ขนาด 3.75x 2.0 เมตร</t>
  </si>
  <si>
    <t>ผ้าม่านตาไก่ รางโรงพยาบาล ขนาด 3.95 x 2.0 เมตร</t>
  </si>
  <si>
    <t>ผ้าม่านพร้อมราง ขนาด170x265ซม.</t>
  </si>
  <si>
    <t>ผ้าม่านพร้อมราง ขนาด183x352ซม.</t>
  </si>
  <si>
    <t>ผ้าม่านพร้อมราง ขนาด190x328ซม.</t>
  </si>
  <si>
    <t>ผ้าม่านพร้อมราง ขนาด214x352ซม.</t>
  </si>
  <si>
    <t>ผ้าหมึกEpson LQ2090</t>
  </si>
  <si>
    <t>ผ้าหมึกEpson LQ590-570-1070</t>
  </si>
  <si>
    <t>ผ้าหมึกเครื่องคิดเลข</t>
  </si>
  <si>
    <t>ผ้าหมึกพิมพ์ดีด</t>
  </si>
  <si>
    <t>พลาสติกเคลือบบัตร 65x95MM</t>
  </si>
  <si>
    <t>พลาสติกเคลือบบัตรA4</t>
  </si>
  <si>
    <t>พลาสวู๊ด4x8x3มม.</t>
  </si>
  <si>
    <t>พาเลสพลาสติกแบบหนา</t>
  </si>
  <si>
    <t>พาที่ชั่น</t>
  </si>
  <si>
    <t>พาที่ชั่นกัดลาย</t>
  </si>
  <si>
    <t>พาน เครื่องทองน้อยขนาด 14 ซม.</t>
  </si>
  <si>
    <t>พาน จัดดอกไม้ ขนาด 16 ซม.</t>
  </si>
  <si>
    <t>พานพุ่ม ดอกไม้</t>
  </si>
  <si>
    <t>ฟิล์มเคลือบด้านฟู่รุ่นหนา 1.3x 50 เมตร</t>
  </si>
  <si>
    <t>ฟิล์มกรองแสงลดความร้อน</t>
  </si>
  <si>
    <t>ฟิวเจอร์ ขนาด130x240ซม. สีแดง</t>
  </si>
  <si>
    <t>ฟิวเจอร์บอร์ด ขนาด 65x 120 เซนติเมตร</t>
  </si>
  <si>
    <t>ฟิวเจอร์บอร์ด ขนาด130x240 ซม. สีขาว</t>
  </si>
  <si>
    <t>ม่านกั้น ขนาด 1.68 x 2.99 เมตร</t>
  </si>
  <si>
    <t>ม่านกั้นเตียงคนไข้ ขนาด 4.90 x 2.98 เมตร</t>
  </si>
  <si>
    <t>ม่านกั้นเตียงคนไข้ ขนาด 5.70 x 2.98 เมตร</t>
  </si>
  <si>
    <t>ม่านตาไก่ รางโค้ง ขนาด 3.65 x 1.80 เมตร</t>
  </si>
  <si>
    <t>ม่านปรับแสง ขนาด 260 x 155 เซนติเมตร</t>
  </si>
  <si>
    <t>ม่านปรับแสง ขนาด 4.17x2.50 เมตร</t>
  </si>
  <si>
    <t>ม่านม้วน แบบทึบแสง ขนาด 1.20 x 1.67 เมตร</t>
  </si>
  <si>
    <t>ม่านม้วน แบบทึบแสง ขนาด 1.40 x 1.67 เมตร</t>
  </si>
  <si>
    <t>ม่านม้วน แบบทึบแสง ขนาด 1.50 x 1.67 เมตร</t>
  </si>
  <si>
    <t>ม่านม้วน แบบทึบแสง ขนาด 140 x 160 เซนติเมตร</t>
  </si>
  <si>
    <t>ม่านม้วน กันแสง ขนาด150x140ซม.</t>
  </si>
  <si>
    <t>ม่านม้วน กันแสง ขนาด175x210ซม.</t>
  </si>
  <si>
    <t>ม่านม้วน ขนาด 205 x 120 เซนติเมตร</t>
  </si>
  <si>
    <t>ม่านม้วน ขนาด0.84x1.61 เมตร</t>
  </si>
  <si>
    <t>ม่านม้วน ขนาด1.05x1.61 เมตร</t>
  </si>
  <si>
    <t>ม่านม้วน ขนาด1.47x1.85 เมตร</t>
  </si>
  <si>
    <t>ม่านม้วน สีเขียว</t>
  </si>
  <si>
    <t>ม่านม้วนขนาด 120 x 133 เซนติเมตร</t>
  </si>
  <si>
    <t>มีดคัลเตอร์เล็ก</t>
  </si>
  <si>
    <t>มีดคัลเตอร์ใหญ่</t>
  </si>
  <si>
    <t>ยางลบดินสอ</t>
  </si>
  <si>
    <t>ยางลบหมึก</t>
  </si>
  <si>
    <t>ลวดเย็บกระดาษ เบอร์10</t>
  </si>
  <si>
    <t>ลวดเย็บกระดาษ เบอร์23/10</t>
  </si>
  <si>
    <t>ลวดเย็บกระดาษ เบอร์23/13</t>
  </si>
  <si>
    <t>ลวดเย็บกระดาษ เบอร์23/15</t>
  </si>
  <si>
    <t>ลวดเย็บกระดาษ เบอร์23/17</t>
  </si>
  <si>
    <t>ลวดเย็บกระดาษ เบอร์23/20</t>
  </si>
  <si>
    <t>ลวดเย็บกระดาษ เบอร์23/8</t>
  </si>
  <si>
    <t>ลวดเย็บกระดาษ เบอร์35</t>
  </si>
  <si>
    <t>ลวดเย็บกระดาษ เบอร์8</t>
  </si>
  <si>
    <t>ลวดเสียบกระดาษ</t>
  </si>
  <si>
    <t>ลิ้นแฟ้ม</t>
  </si>
  <si>
    <t>สก๊อตเทปใส</t>
  </si>
  <si>
    <t>สติ๊เกอร์กระดาษโปสเตอร์สีสะท้อนแสง</t>
  </si>
  <si>
    <t>สติ๊กเกอร์ A5 (ลาเบล)</t>
  </si>
  <si>
    <t>สติ๊กเกอร์ A7</t>
  </si>
  <si>
    <t>สติ๊กเกอร์ Direct Termal ขนาด 10 x 10 ซม รพ.วชิระภูเก็ต ม้วนละ 500 ดวง</t>
  </si>
  <si>
    <t>สติ๊กเกอร์ PVC</t>
  </si>
  <si>
    <t>สติ๊กเกอร์ Tape For Brother TZ 651 Yellow</t>
  </si>
  <si>
    <t>สติ๊กเกอร์ Tape for Brother TZ-251 White</t>
  </si>
  <si>
    <t>สติ๊กเกอร์ Tape for Brother TZ-261 White ยาว26มม.</t>
  </si>
  <si>
    <t>สติ๊กเกอร์ ตราช้างA4 ขาวมัน</t>
  </si>
  <si>
    <t>สติ๊กเกอร์ ทึบ</t>
  </si>
  <si>
    <t>สติ๊กเกอร์ ลาเบล A4</t>
  </si>
  <si>
    <t>สติ๊กเกอร์ ลายฝ้า</t>
  </si>
  <si>
    <t>สติ๊กเกอร์ สีเขียว</t>
  </si>
  <si>
    <t>สติ๊กเกอร์ สีเหลือง</t>
  </si>
  <si>
    <t>สติ๊กเกอร์ สีแดง</t>
  </si>
  <si>
    <t>สติ๊กเกอร์ สีชมพู</t>
  </si>
  <si>
    <t>สติ๊กเกอร์ สีฟ้า</t>
  </si>
  <si>
    <t>สติ๊กเกอร์ สีม่วง</t>
  </si>
  <si>
    <t>สติ๊กเกอร์ สีส้ม</t>
  </si>
  <si>
    <t>สติ๊กเกอร์เทอร์มอลไม่พิมพ์ รพ.วชิระภูเก็ต ขนาด10x7ซม.</t>
  </si>
  <si>
    <t>สติ๊กเกอร์เทอร์มอลไม่พิมพ์ รพ.วชิระภูเก็ต2x5ซม.</t>
  </si>
  <si>
    <t>สติ๊กเกอร์เบอร์โลหิต ขนาด50x20มม.รันนิ่งนัมเบอร์</t>
  </si>
  <si>
    <t>สติ๊กเกอร์ใส ขนาด A4 (50 แผ่น)</t>
  </si>
  <si>
    <t>สติ๊กเกอร์ซีทรู ขนาด 146 x 50 เซนติเมตร</t>
  </si>
  <si>
    <t>สติ๊กเกอร์ซีทรู ขนาด 164 x 50 เซนติเมตร</t>
  </si>
  <si>
    <t>สติ๊กเกอร์ซีทรู ขนาด 38 x 125 เซนติเมตร</t>
  </si>
  <si>
    <t>สติ๊กเกอร์ซีทรู ขนาด 77 x 123 เซนติเมตร</t>
  </si>
  <si>
    <t>สติีกเกอร์ เทอร์มอลไม่พิมพ์ ขนาด 6.5x9ซม.</t>
  </si>
  <si>
    <t>สมุด 2/70</t>
  </si>
  <si>
    <t>สมุด 4/100</t>
  </si>
  <si>
    <t>สมุด 4/200</t>
  </si>
  <si>
    <t>สมุดทะเบียนรับ</t>
  </si>
  <si>
    <t>สมุดทะเบียนส่ง</t>
  </si>
  <si>
    <t>สมุดบัญชี</t>
  </si>
  <si>
    <t>สมุดปกอ่อน</t>
  </si>
  <si>
    <t>สายคล้องบัตร ขนาด15มิล</t>
  </si>
  <si>
    <t>เส้น</t>
  </si>
  <si>
    <t>หนังสือหนูน้อย ขนาด14.8x21ซม</t>
  </si>
  <si>
    <t>หมึก TN2260</t>
  </si>
  <si>
    <t>หมึก TN2280</t>
  </si>
  <si>
    <t>หมึกBrother BT 5000C</t>
  </si>
  <si>
    <t>หมึกBrother BT 5000M</t>
  </si>
  <si>
    <t>หมึกBrother BT 5000Y</t>
  </si>
  <si>
    <t>หมึกBrother TN1000</t>
  </si>
  <si>
    <t>หมึกBrother TN1001</t>
  </si>
  <si>
    <t>หมึกBrother TN2380</t>
  </si>
  <si>
    <t>หมึกBrother TN2480</t>
  </si>
  <si>
    <t>หมึกCanon 054BK</t>
  </si>
  <si>
    <t>หมึกCanon 054C</t>
  </si>
  <si>
    <t>หมึกCanon 054M</t>
  </si>
  <si>
    <t>หมึกCanon 054Y</t>
  </si>
  <si>
    <t>หมึกCanon 312BK</t>
  </si>
  <si>
    <t>หมึกCanon 328</t>
  </si>
  <si>
    <t>หมึกCanon 329C</t>
  </si>
  <si>
    <t>หมึกCanon 329M</t>
  </si>
  <si>
    <t>หมึกCanon 329Y</t>
  </si>
  <si>
    <t>หมึกCanon 331C</t>
  </si>
  <si>
    <t>หมึกCanon 331M</t>
  </si>
  <si>
    <t>หมึกCanon 337</t>
  </si>
  <si>
    <t>หมึกCanon CLI 751BK</t>
  </si>
  <si>
    <t>หมึกcanon CLI 751C</t>
  </si>
  <si>
    <t>หมึกcanon CLI 751Y</t>
  </si>
  <si>
    <t>หมึกCanon CLI726BK</t>
  </si>
  <si>
    <t>หมึกCanon CLI726C</t>
  </si>
  <si>
    <t>หมึกCanon CLI726GY</t>
  </si>
  <si>
    <t>หมึกCanon CLI726M</t>
  </si>
  <si>
    <t>หมึกCanon CLI726Y</t>
  </si>
  <si>
    <t>หมึกCanon CLI751C</t>
  </si>
  <si>
    <t>หมึกCanon CLI751M</t>
  </si>
  <si>
    <t>หมึกCanon CLI751Y</t>
  </si>
  <si>
    <t>หมึกCanon GL 750 PG BK</t>
  </si>
  <si>
    <t>หมึกcanon GL 790BK</t>
  </si>
  <si>
    <t>หมึกCanon GL 790C</t>
  </si>
  <si>
    <t>หมึกCanon GL 790M</t>
  </si>
  <si>
    <t>หมึกCanon GL 790Y</t>
  </si>
  <si>
    <t>หมึกCanon PG -57CO</t>
  </si>
  <si>
    <t>หมึกCLI 821BK</t>
  </si>
  <si>
    <t>หมึกCLI 8M</t>
  </si>
  <si>
    <t>หมึกCLI 8Y</t>
  </si>
  <si>
    <t>หมึกEpson 005BK (103Q100BK)</t>
  </si>
  <si>
    <t>หมึกEpson 008 T06G100 BK</t>
  </si>
  <si>
    <t>หมึกEpson 50611(C)</t>
  </si>
  <si>
    <t>หมึกEpson 50612(M)</t>
  </si>
  <si>
    <t>หมึกEpson 50614(BK)</t>
  </si>
  <si>
    <t>หมึกEpson ERC -38</t>
  </si>
  <si>
    <t>หมึกEpson Mainterance Box TO40 100(ชุดกล่องน้ำหมึก)</t>
  </si>
  <si>
    <t>หมึกEpson T00V100BK</t>
  </si>
  <si>
    <t>หมึกEpson T00V200C</t>
  </si>
  <si>
    <t>หมึกEpson T00V300 M</t>
  </si>
  <si>
    <t>หมึกEpson T00V400 Y</t>
  </si>
  <si>
    <t>หมึกEpson T143BK</t>
  </si>
  <si>
    <t>หมึกEpson T143C</t>
  </si>
  <si>
    <t>หมึกEpson T143M</t>
  </si>
  <si>
    <t>หมึกEpson T143Y</t>
  </si>
  <si>
    <t>หมึกEpson T664100 BK</t>
  </si>
  <si>
    <t>หมึกEpson T664200 C</t>
  </si>
  <si>
    <t>หมึกEpson T664300 M</t>
  </si>
  <si>
    <t>หมึกEpson T664400 Y</t>
  </si>
  <si>
    <t>หมึกEpson T673100 BK</t>
  </si>
  <si>
    <t>หมึกEpson T673200 C</t>
  </si>
  <si>
    <t>หมึกEpson T673300 M</t>
  </si>
  <si>
    <t>หมึกEpson T673400 Y</t>
  </si>
  <si>
    <t>หมึกEpson T673500 Light Cyan</t>
  </si>
  <si>
    <t>หมึกEpson T673500 Light Magente</t>
  </si>
  <si>
    <t>หมึกEpson To3Y 100BK</t>
  </si>
  <si>
    <t>หมึกEpson To3Y 200C</t>
  </si>
  <si>
    <t>หมึกEpson To3Y 300M</t>
  </si>
  <si>
    <t>หมึกEpson To3Y 400Y</t>
  </si>
  <si>
    <t>หมึกEpson Toov 200C</t>
  </si>
  <si>
    <t>หมึกEpson Toov 300M</t>
  </si>
  <si>
    <t>หมึกEpson Toov 400Y</t>
  </si>
  <si>
    <t>หมึกHP 21C9351A สีดำ</t>
  </si>
  <si>
    <t>หมึกHP 685 2122C</t>
  </si>
  <si>
    <t>หมึกHP 685 2123M</t>
  </si>
  <si>
    <t>หมึกHP (107)BK</t>
  </si>
  <si>
    <t>หมึกHP (130) 350A BK</t>
  </si>
  <si>
    <t>หมึกHP (202) CF 500A BK</t>
  </si>
  <si>
    <t>หมึกHP (202) CF 501A C</t>
  </si>
  <si>
    <t>หมึกHP (202) CF 502A Y</t>
  </si>
  <si>
    <t>หมึกHP (202) CF 503A M</t>
  </si>
  <si>
    <t>หมึกHP (680) BK 26AA 4675</t>
  </si>
  <si>
    <t>หมึกHP (680) Color 26AA 4675</t>
  </si>
  <si>
    <t>หมึกHP (682) BK</t>
  </si>
  <si>
    <t>หมึกHP (682) C</t>
  </si>
  <si>
    <t>หมึกHP (682)BK</t>
  </si>
  <si>
    <t>หมึกHP 119A (W2090A) BK</t>
  </si>
  <si>
    <t>หมึกHP 119A (W2091A) C</t>
  </si>
  <si>
    <t>หมึกHP 119A (W2092A) Y</t>
  </si>
  <si>
    <t>หมึกHP 119A (W2093A) M</t>
  </si>
  <si>
    <t>หมึกHP 136A</t>
  </si>
  <si>
    <t>หมึกHP 201 CF 401A C</t>
  </si>
  <si>
    <t>หมึกHP 201 CF 401A Y</t>
  </si>
  <si>
    <t>หมึกHP 201 CF 403A M</t>
  </si>
  <si>
    <t>หมึกHP 2025LE 505A BK</t>
  </si>
  <si>
    <t>หมึกHP 210A BK</t>
  </si>
  <si>
    <t>หมึกHP 211A C</t>
  </si>
  <si>
    <t>หมึกHP 212A Y</t>
  </si>
  <si>
    <t>หมึกHP 215A BK</t>
  </si>
  <si>
    <t>หมึกHP 215A C</t>
  </si>
  <si>
    <t>หมึกHP 215A M</t>
  </si>
  <si>
    <t>หมึกHP 215A Y</t>
  </si>
  <si>
    <t>หมึกHP 230A (30A)</t>
  </si>
  <si>
    <t>หมึกHP 2612A</t>
  </si>
  <si>
    <t>หมึกHP 26A</t>
  </si>
  <si>
    <t>หมึกHP 285A P1102</t>
  </si>
  <si>
    <t>หมึกHP 46 BK</t>
  </si>
  <si>
    <t>หมึกHP 46 CO</t>
  </si>
  <si>
    <t>หมึกHP 48 CF 248A BK</t>
  </si>
  <si>
    <t>หมึกHP 61CH561 WA BK</t>
  </si>
  <si>
    <t>หมึกHP 61CH562 WA CO</t>
  </si>
  <si>
    <t>หมึกHP 79A (279A)</t>
  </si>
  <si>
    <t>หมึกHP CB4322A Y</t>
  </si>
  <si>
    <t>หมึกHP CB435A</t>
  </si>
  <si>
    <t>หมึกHP DA Laser 283A</t>
  </si>
  <si>
    <t>หมึกHP Pantum TL-410</t>
  </si>
  <si>
    <t>หมึกHP สี 22 9352AA</t>
  </si>
  <si>
    <t>หมึกOKI B412DDN B432DN BK</t>
  </si>
  <si>
    <t>หมึกOKI BK ES5112</t>
  </si>
  <si>
    <t>หมึกOKI Toner 46505721 Y</t>
  </si>
  <si>
    <t>หมึกOKI Toner 46505722 M</t>
  </si>
  <si>
    <t>หมึกOKI Toner 46505723 C</t>
  </si>
  <si>
    <t>หมึกOKI Toner 46505724 BK</t>
  </si>
  <si>
    <t>หมึกRiooh Print Caritridge SP 230H</t>
  </si>
  <si>
    <t>หมึกSansumg 404S Cyan</t>
  </si>
  <si>
    <t>หมึกTN 302329</t>
  </si>
  <si>
    <t>หมึกTN XEROX CT2026 13Y</t>
  </si>
  <si>
    <t>หมึกTN XEROX CT202611Cyan</t>
  </si>
  <si>
    <t>หมึกToner (17A)2127A BK</t>
  </si>
  <si>
    <t>หมึกToner (17A)214A BK</t>
  </si>
  <si>
    <t>หมึกToner 278A BK</t>
  </si>
  <si>
    <t>หมึกToner P3435</t>
  </si>
  <si>
    <t>หมึกเติมเครื่องตีเบอร์ ตราม้าสีดำ</t>
  </si>
  <si>
    <t>หมึกเติมเครื่องรันนิ่งนับเบอร์</t>
  </si>
  <si>
    <t>หมึกเติมแท่นประทับตรา สีแดง</t>
  </si>
  <si>
    <t>หมึกเติมแท่นประทับตรา สีดำ</t>
  </si>
  <si>
    <t>หมึกเติมแท่นประทับตรา สีน้ำเงิน</t>
  </si>
  <si>
    <t>หมึกเติมตรายาง สีน้ำเงิน</t>
  </si>
  <si>
    <t>หมึกเติมปากกาเคมี สีแดง</t>
  </si>
  <si>
    <t>หมึกเติมปากกาเคมี สีน้ำเงิน</t>
  </si>
  <si>
    <t>หมึกเติมปากกาไวท์บอร์ด สีแดง</t>
  </si>
  <si>
    <t>หมึกเติมปากกาไวท์บอร์ด สีน้ำเงิน</t>
  </si>
  <si>
    <t>หมึกเติมรันนิ่งนับเบอร์</t>
  </si>
  <si>
    <t>หมึกพิมพ์สำหรับเครื่องจัดยาอัตโนมัติ ขนาด60มล.</t>
  </si>
  <si>
    <t>หมึกพิมพ์สำหรับเครื่องจัดยาอัตโนมัติ ขนาด60มล.300ม.</t>
  </si>
  <si>
    <t>หมุดสีติดบอร์ด</t>
  </si>
  <si>
    <t>อะคริลิค ขนาด 39x 47 เซนติเมตร</t>
  </si>
  <si>
    <t>รวม 513 รายการ · DBR/2570/0004 · แท็บ วัสดุสำนักงาน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</si>
  <si>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งานบ้าน</t>
  </si>
  <si>
    <t>เกลือ</t>
  </si>
  <si>
    <t>งานบ้าน+น้ำดื่ม</t>
  </si>
  <si>
    <t>กิโลกรัม</t>
  </si>
  <si>
    <t>เก้าอี้พนังพิงตั้งแขน สีขาว</t>
  </si>
  <si>
    <t>เก้าอี้ยืน สแตนเลสพร้อมแผ่นรองกันลื่น</t>
  </si>
  <si>
    <t>เก้าอี้หัวล้าน</t>
  </si>
  <si>
    <t>เครื่องชั่งพลาสติก</t>
  </si>
  <si>
    <t>เครื่องปั่นอาหารเหลว</t>
  </si>
  <si>
    <t>เชือกฟาง</t>
  </si>
  <si>
    <t>เซ็ทผ้าคลุมเตียง</t>
  </si>
  <si>
    <t>เตาแก๊ส 2 หัว</t>
  </si>
  <si>
    <t>เตาแก๊ส KBS</t>
  </si>
  <si>
    <t>เตาแก๊ส วางหัว เหลี่ยมสูงมีบังลม</t>
  </si>
  <si>
    <t>เทียนหอม</t>
  </si>
  <si>
    <t>เทียนอุ่นอาหาร</t>
  </si>
  <si>
    <t>เบาะรถเข็นเปลนอน</t>
  </si>
  <si>
    <t>หลัง</t>
  </si>
  <si>
    <t>เบาะรองนอน</t>
  </si>
  <si>
    <t>เสื้อกันฝน</t>
  </si>
  <si>
    <t>เหยือกน้ำ</t>
  </si>
  <si>
    <t>เหยือกน้ำพลาสติก1000</t>
  </si>
  <si>
    <t>เหยือกน้ำพลาสติก1000 ไม่มีสเกว</t>
  </si>
  <si>
    <t>แก้วกาแฟ</t>
  </si>
  <si>
    <t>แก้วน้ำ ขนาด 350 มิลลิลิตร</t>
  </si>
  <si>
    <t>แก้วน้ำ ขนาด4ออนซ์</t>
  </si>
  <si>
    <t>แก้วน้ำ ขนาด9ออนซ์</t>
  </si>
  <si>
    <t>แก้วพลาสติก 22ออนซ์</t>
  </si>
  <si>
    <t>แก้วพลาสติก 7ออนซ์</t>
  </si>
  <si>
    <t>แถว</t>
  </si>
  <si>
    <t>แก้วพลาสติก12ออนซ์</t>
  </si>
  <si>
    <t>แก้วพลาสติก6ออนซ์</t>
  </si>
  <si>
    <t>แก้วพลาสติกใส</t>
  </si>
  <si>
    <t>แชมพูผสมครีมนวด</t>
  </si>
  <si>
    <t>แกลลอน</t>
  </si>
  <si>
    <t>แปรงขัดพื้นไนล่อน</t>
  </si>
  <si>
    <t>แปรงถูพื้นด้ามยาวขนพลาสติก</t>
  </si>
  <si>
    <t>แปรงถูพื้นทองเหลืองด้ามยาว</t>
  </si>
  <si>
    <t>แปรงทรงเตารีด</t>
  </si>
  <si>
    <t>แปรงล้างขวดนม</t>
  </si>
  <si>
    <t>แปรงล้างห้องน้ำ</t>
  </si>
  <si>
    <t>แปรงสีฟัน+ยาสีฟัน</t>
  </si>
  <si>
    <t>แผ่นขัดแบบหยาบ สีแดง ขนาด18นิ้ว</t>
  </si>
  <si>
    <t>แผ่นขัดแบบหยาบ สีดำ ขนาด18นิ้ว</t>
  </si>
  <si>
    <t>แผ่นรองซับL</t>
  </si>
  <si>
    <t>แส้ตีไข่ใหญ่</t>
  </si>
  <si>
    <t>โคมไฟ</t>
  </si>
  <si>
    <t>โครงใส่ผ้าเปื้อนพร้อมฝาปิดสแตนเลส</t>
  </si>
  <si>
    <t>โต๊ะสนามหินอ่อน</t>
  </si>
  <si>
    <t>โถจจ่ายน้ำสแตนเลส บรรจุ 8 ลิตร</t>
  </si>
  <si>
    <t>ใบตองเทียม</t>
  </si>
  <si>
    <t>ใส้ผ้านวม</t>
  </si>
  <si>
    <t>ไดร์เป่าผม สีดำ</t>
  </si>
  <si>
    <t>ไม้เสียบลูกชิ้น 8นิ้ว</t>
  </si>
  <si>
    <t>ไม้แขวนเสื้อ ไม้สีธรรมชาติ</t>
  </si>
  <si>
    <t>ไม้กวาดก้านมะพร้าว</t>
  </si>
  <si>
    <t>ไม้กวาดดอกอ้อ</t>
  </si>
  <si>
    <t>ไม้กวาดหยากไย่</t>
  </si>
  <si>
    <t>ไม้จิ้มฟันแบบไม้ไผ่</t>
  </si>
  <si>
    <t>ไม้ดันฝุ่นขนาด18นิ้ว</t>
  </si>
  <si>
    <t>ไม้ดันฝุ่นพร้อมผ้า 18นิ้ว</t>
  </si>
  <si>
    <t>ไม้ถูพื้นฟองน้ำ ขนาด14นิ้ว</t>
  </si>
  <si>
    <t>ไม้ปาดน้ำ ขนาด24นิ้ว</t>
  </si>
  <si>
    <t>ไม้ม๊อบพื้น ขนาด8นิ้ว</t>
  </si>
  <si>
    <t>ไม้ม๊อบพื้นพร้อมผ้าม๊อบ ขนาด8นิ้ว</t>
  </si>
  <si>
    <t>กรรไกรตัดเล็บ</t>
  </si>
  <si>
    <t>กรวยกระดาษ(ลังละ25แถว)</t>
  </si>
  <si>
    <t>กรวยพลาสติก</t>
  </si>
  <si>
    <t>กระเป๋า</t>
  </si>
  <si>
    <t>กระโถนนอนสแตนเลส</t>
  </si>
  <si>
    <t>กระจก</t>
  </si>
  <si>
    <t>กระชอนตาถี่</t>
  </si>
  <si>
    <t>กระชอนตาถี่ ขนาด10นิ้ว</t>
  </si>
  <si>
    <t>กระชอนรูกลมด้ามสแตนเลส</t>
  </si>
  <si>
    <t>กระดาษเคลือบ</t>
  </si>
  <si>
    <t>กระดาษเคลือบ ขนาด12x12 (1กก./1ห่อ)</t>
  </si>
  <si>
    <t>กระดาษเช็ดปากแบบห่อ (1ลัง/36ห่อ)</t>
  </si>
  <si>
    <t>กระดาษเช็ดปากแบบห่อ ป๊อป อัพ(1ลัง/60ห่อ)</t>
  </si>
  <si>
    <t>กระดาษเช็ดมือเฉพาะ(24ห่อ/ลัง)</t>
  </si>
  <si>
    <t>กระดาษเช็ดมือแบบม้วน (6ม้วน/ลัง)</t>
  </si>
  <si>
    <t>กระดาษชำระVIP (36กล่อง/ลัง)</t>
  </si>
  <si>
    <t>กระดาษชำระแบบกล่องยาว</t>
  </si>
  <si>
    <t>กระดาษชำระตั้งโต๊ะ(1ลัง/48ห่อ)</t>
  </si>
  <si>
    <t>กระดาษชำระม้วนเล็ก(1ลัง/120ม้วน)</t>
  </si>
  <si>
    <t>กระดาษชำระม้วนใหญ่ (12ม้วน/ลัง)</t>
  </si>
  <si>
    <t>กระดาษรองกันเปื้อนไม่มีหลุม</t>
  </si>
  <si>
    <t>กระดาษห่ออาหารเคลือบ</t>
  </si>
  <si>
    <t>กระติกน้ำร้อน</t>
  </si>
  <si>
    <t>กระติกน้ำร้อนไฟฟ้า</t>
  </si>
  <si>
    <t>กระติกน้ำร้อนสแตนเลส</t>
  </si>
  <si>
    <t>กระติกอุณหภูมิคุมเลือด ขนาด 11 ลิตร</t>
  </si>
  <si>
    <t>กระติกอุณหภูมิคุมเลือด ขนาด 5.5 ลิตร</t>
  </si>
  <si>
    <t>กระบวย</t>
  </si>
  <si>
    <t>กระบอกไฟฉาย ขนาดเล็ก</t>
  </si>
  <si>
    <t>กระบอกไฟฉาย ขนาดใหญ่</t>
  </si>
  <si>
    <t>กระบอกปัสสาวะ</t>
  </si>
  <si>
    <t>กล่องโฟม</t>
  </si>
  <si>
    <t>กล่องใส</t>
  </si>
  <si>
    <t>กล่องพลาสติกล้อเลื่อนK1500</t>
  </si>
  <si>
    <t>กล่องลูกฟุก</t>
  </si>
  <si>
    <t>กล่องลูกฟุก (ทรงจัตุรัส)</t>
  </si>
  <si>
    <t>กล่องลูกฟุก (ทรงผืนผ้า)</t>
  </si>
  <si>
    <t>กล่องลูกฟูก</t>
  </si>
  <si>
    <t>กล่องสแตนเลส 4ช่อง</t>
  </si>
  <si>
    <t>กล่องสำหรับอุปกรณ์เครื่องมือ ขนาด 11.2 ลิตร สีแดง</t>
  </si>
  <si>
    <t>กล่องสำหรับอุปกรณ์เครื่องมือ ขนาด 35 ลิตร</t>
  </si>
  <si>
    <t>กล่องสำหรับอุปกรณ์เครื่องมือ ขนาด 42 ลิตร</t>
  </si>
  <si>
    <t>กล่องอาหาร B001 ขนาด600ML</t>
  </si>
  <si>
    <t>กะทะเคลือบ</t>
  </si>
  <si>
    <t>กะทะเคลือบหน้า2หู</t>
  </si>
  <si>
    <t>กะทะเคลือบหน้า2หู 26นิ้ว</t>
  </si>
  <si>
    <t>กะทะเคลือบหน้า2หู24นิ้ว</t>
  </si>
  <si>
    <t>กากน้ำตาล</t>
  </si>
  <si>
    <t>กาต้มน้ำร้อน</t>
  </si>
  <si>
    <t>กาต้มน้ำร้อน ขนาด 1.2 ลิตร</t>
  </si>
  <si>
    <t>กาต้มน้ำร้อนไฟฟ้า</t>
  </si>
  <si>
    <t>กาวดักหนูถาด</t>
  </si>
  <si>
    <t>ขวดใสหัวปั๊ม ขนาด 300 มิลลิลิตร ขวดเดียว</t>
  </si>
  <si>
    <t>ขวดน้ำพลาสติก</t>
  </si>
  <si>
    <t>ขวดน้ำยาเช็ดกระจก</t>
  </si>
  <si>
    <t>ขวดปั้มพลาสติก</t>
  </si>
  <si>
    <t>ขันน้ำพลาสติก</t>
  </si>
  <si>
    <t>ขันน้ำสแตนเลส ขนาด 16 เซนติเมตร</t>
  </si>
  <si>
    <t>ขี้วัว</t>
  </si>
  <si>
    <t>ขุยมะพร้าว</t>
  </si>
  <si>
    <t>กระสอบ</t>
  </si>
  <si>
    <t>ครีมอาบน้้ำ</t>
  </si>
  <si>
    <t>คลาสพลาสติก</t>
  </si>
  <si>
    <t>คลาสมาเลย์</t>
  </si>
  <si>
    <t>คัตตันบัส 4 ก้าน</t>
  </si>
  <si>
    <t>จานเหลี่ยมเล็ก</t>
  </si>
  <si>
    <t>จานใบบัว</t>
  </si>
  <si>
    <t>จานบัว</t>
  </si>
  <si>
    <t>จานรองกาแฟ</t>
  </si>
  <si>
    <t>ฉากกั้นเตียง ผ้าม่านตาข่าย ขนาด250x250 เมตร</t>
  </si>
  <si>
    <t>ฉากกั้นส่วน ห้องทางเดินขนาด1.20x2.46 เมตร</t>
  </si>
  <si>
    <t>ฉากกั้นส่วน ห้องส่วนตัว ขนาด2.86x2 เมตร</t>
  </si>
  <si>
    <t>ช้อนใหญ่ สีขาว SB10 SM</t>
  </si>
  <si>
    <t>ช้อนกลางสแตนเลส</t>
  </si>
  <si>
    <t>ช้อนกาแฟ</t>
  </si>
  <si>
    <t>ช้อนชาสแตนเลส</t>
  </si>
  <si>
    <t>คัน</t>
  </si>
  <si>
    <t>ช้อนพลาสติก สีขาว</t>
  </si>
  <si>
    <t>ช้อนส้อม</t>
  </si>
  <si>
    <t>ช้อนส้อมขอบตั้ง</t>
  </si>
  <si>
    <t>ช้อนหัวม้าลายเล็ก</t>
  </si>
  <si>
    <t>ชั้นเหล็กวางสินค้า</t>
  </si>
  <si>
    <t>ชั้นวางของ 3 ชั้น</t>
  </si>
  <si>
    <t>ชั้นวางของ 5ชั้น</t>
  </si>
  <si>
    <t>ชั้นวางของ 6 ชั้น</t>
  </si>
  <si>
    <t>ชั้นวางของติดผนัง 3ชั้น</t>
  </si>
  <si>
    <t>ชั้นวางรองเท้า 4ชั้น</t>
  </si>
  <si>
    <t>ชาม</t>
  </si>
  <si>
    <t>ชาม L005</t>
  </si>
  <si>
    <t>ชามซุป ขนาด 12 เซนติเมตร</t>
  </si>
  <si>
    <t>ชามซุป ขนาด 14 เซนติเมตร</t>
  </si>
  <si>
    <t>ชามผสมสแตนเลส</t>
  </si>
  <si>
    <t>ชุดเครื่องโกนหนวด</t>
  </si>
  <si>
    <t>ชุดกล่องข้าวสแตนเลส+ฝา บรรจุ 4ช่อง</t>
  </si>
  <si>
    <t>ชุดคว่ำจาน</t>
  </si>
  <si>
    <t>ชุดจ่ายสบู่พลาสติก</t>
  </si>
  <si>
    <t>ชุดช้อนส้อมสแตนเลส</t>
  </si>
  <si>
    <t>ชุดถ้วยกาแฟ</t>
  </si>
  <si>
    <t>ชุดทำความสะอาด</t>
  </si>
  <si>
    <t>ชุดสำลีก้าน</t>
  </si>
  <si>
    <t>ชุดอำนวยความสะดวกผู้ป่วย</t>
  </si>
  <si>
    <t>ชุดอุปกรณ์ เช็ดกระจก (ครบเซ็ท)</t>
  </si>
  <si>
    <t>ซองกระดาษดราฟ สีน้ำตาล</t>
  </si>
  <si>
    <t>ซองซิปใส 16x26 ซม.</t>
  </si>
  <si>
    <t>ซองซิปทึบแสง</t>
  </si>
  <si>
    <t>ซองซิปสีเหลือง ขนาด 12 x 20 เซนติเมตร</t>
  </si>
  <si>
    <t>ซองซิปสีเหลือง ขนาด 16 x 30 เซนติเมตร</t>
  </si>
  <si>
    <t>ซองซิปสีเหลือง ขนาด 16 x 36 เซนติเมตร</t>
  </si>
  <si>
    <t>ซามเซลามิค ขนาด 6 นิ้ว</t>
  </si>
  <si>
    <t>ด้ามไม้กวาด</t>
  </si>
  <si>
    <t>ด้ายกลุ่มตราต้นมะพร้าว</t>
  </si>
  <si>
    <t>ตะแกรง</t>
  </si>
  <si>
    <t>ตะแกรงพลาสติก 313</t>
  </si>
  <si>
    <t>ตะแกรงพลาสติก 314</t>
  </si>
  <si>
    <t>ตะแกรงพลาสติก 429</t>
  </si>
  <si>
    <t>ตะแกรงพลาสติก 8032</t>
  </si>
  <si>
    <t>ตะแกรงพลาสติก 8033</t>
  </si>
  <si>
    <t>ตะแกรงพลาสติก เบอร์ 313</t>
  </si>
  <si>
    <t>ตะแกรงลวด</t>
  </si>
  <si>
    <t>ตะแกรงลวด คละสี</t>
  </si>
  <si>
    <t>ตะกร้า 335</t>
  </si>
  <si>
    <t>ตะกร้าเหลี่ยมมีฝา</t>
  </si>
  <si>
    <t>ตะกร้าใส่ผ้า</t>
  </si>
  <si>
    <t>ตะกร้าใสผ้า 58ลิตร</t>
  </si>
  <si>
    <t>ตะกร้าพลาสติก เบอร์ 710-1</t>
  </si>
  <si>
    <t>ตะกร้าพลาสติกมีหูหิ้ว</t>
  </si>
  <si>
    <t>ตะกร้าสแตนเลสสำหรับใส่อุปกรณ์</t>
  </si>
  <si>
    <t>ตะหลิวก้ามไม้ยาว</t>
  </si>
  <si>
    <t>ตักของทอดด้ามไม้</t>
  </si>
  <si>
    <t>ตู้ลิ้นชัก</t>
  </si>
  <si>
    <t>ตู้ลิ้นชักทึบ</t>
  </si>
  <si>
    <t>ถ้วย</t>
  </si>
  <si>
    <t>ถ้วยกระดาษ มีหู (50ใบ)</t>
  </si>
  <si>
    <t>ถ้วยกาแฟกระดาษ 6.5ออนซ์</t>
  </si>
  <si>
    <t>ถ้วยขาว</t>
  </si>
  <si>
    <t>ถ้วยนึ่ง ขนาด 7ออนซ์</t>
  </si>
  <si>
    <t>ถังขยะ ขนาด120ลิตร</t>
  </si>
  <si>
    <t>ถังขยะ ชนิดสแตนเลส</t>
  </si>
  <si>
    <t>ถังขยะ สแตนเลส แบบเท้าเยียบ</t>
  </si>
  <si>
    <t>ถังขยะเท้าเหยียบ 2 ช่อง 2 สี</t>
  </si>
  <si>
    <t>ถังขยะเปิดด้วยเท้ามีโครงล้อเลื่อน</t>
  </si>
  <si>
    <t>ถังขยะเหยียบ ขนาด 240 ลิตร</t>
  </si>
  <si>
    <t>ถังขยะเหยียบกลม</t>
  </si>
  <si>
    <t>ถังขยะเหยียบกลมแยกประเภท ขนาด 32 ลิตร</t>
  </si>
  <si>
    <t>ถังขยะเหยียบทรงเหลี่ยม</t>
  </si>
  <si>
    <t>ถังขยะเหยียบพลาสติก</t>
  </si>
  <si>
    <t>ถังขยะเหยียบสแตนเลน ขนาด 12 ลิตร</t>
  </si>
  <si>
    <t>ถังขยะเหยียบสแตนเลน ขนาด 18 ลิตร</t>
  </si>
  <si>
    <t>ถังขยะแบบเหยียบ 9ลิตร</t>
  </si>
  <si>
    <t>ถังขยะแบบเหยียบ ขนาด 10ลิตร</t>
  </si>
  <si>
    <t>ถังขยะแบบเหยียบ ขนาด 18.5 ลิตร</t>
  </si>
  <si>
    <t>ถังขยะแบบเหยียบ ขนาด 18ลิตร</t>
  </si>
  <si>
    <t>ถังขยะแบบเหยียบ ขนาด 32 ลิตร</t>
  </si>
  <si>
    <t>ถังขยะแบบเหยียบ ขนาด 35ลิตร</t>
  </si>
  <si>
    <t>ถังขยะแบบเหยียบ ขนาด 5ลิตร</t>
  </si>
  <si>
    <t>ถังขยะแบบมีล้อ ไม่มีฝาปิด</t>
  </si>
  <si>
    <t>ถังขยะไม่มีเท้าเหยียบ มีล้อ</t>
  </si>
  <si>
    <t>ถังขยะไม่มีเท้าเหยียบ มีล้อและหูเหล็ก</t>
  </si>
  <si>
    <t>ถังขยะกลมสแตนเลส</t>
  </si>
  <si>
    <t>ถังขยะสแตนเลสแบบเหยียบ ทรงกลม ขนาด 40 ลิตร</t>
  </si>
  <si>
    <t>ถังขยะอัจฉริยะ</t>
  </si>
  <si>
    <t>ถังน้ำถูพื้นแบบสี่เหลี่ยม</t>
  </si>
  <si>
    <t>ถังน้ำพลาสติก200ลิตร</t>
  </si>
  <si>
    <t>ถังพร้อมล้อ</t>
  </si>
  <si>
    <t>ถังม๊อบพื้น</t>
  </si>
  <si>
    <t>ถาดนับยา</t>
  </si>
  <si>
    <t>ถาดสี่เหลี่ยม ขนาด 16 นิ้ว</t>
  </si>
  <si>
    <t>ถุงเทาโลโก้ ขนาด12x20นิ้ว</t>
  </si>
  <si>
    <t>ถุงเทาโลโก้ ขนาด36x36นิ้ว</t>
  </si>
  <si>
    <t>ถุงแดง ขนาด18x20นื้ว</t>
  </si>
  <si>
    <t>ถุงแดงโลโก้ ขนาด12z20นิ้ว</t>
  </si>
  <si>
    <t>ถุงแดงโลโก้ ขนาด15z30นิ้ว</t>
  </si>
  <si>
    <t>ถุงแดงโลโก้ ขนาด26z26นิ้ว</t>
  </si>
  <si>
    <t>ถุงแดงโลโก้ ขนาด36x36นิ้ว</t>
  </si>
  <si>
    <t>ถุงแดงโลโก้ ขนาด36z36นิ้ว</t>
  </si>
  <si>
    <t>ถุงกระดาษน้ำตาล</t>
  </si>
  <si>
    <t>ถุงกระดาษหูเกลียว พิมพ์น้ำตาล 23x15x23ซม.</t>
  </si>
  <si>
    <t>ถุงกระดาษหูเกลียว พิมพ์น้ำตาล 26x10x35ซม.</t>
  </si>
  <si>
    <t>ถุงขยะสีม่วง ขนาด 12 x 20 นิ้ว</t>
  </si>
  <si>
    <t>ถุงขยะสีม่วง ขนาด 18 x 26 นิ้ว</t>
  </si>
  <si>
    <t>ถุงขยะสีม่วง ขนาด 18 x 36 นิ้ว</t>
  </si>
  <si>
    <t>ถุงดำ ขนาด12x20นิ้ว</t>
  </si>
  <si>
    <t>ถุงดำ ขนาด15x30นิ้ว</t>
  </si>
  <si>
    <t>ถุงดำ ขนาด26x26นิ้ว</t>
  </si>
  <si>
    <t>ถุงดำ ขนาด36x36นิ้ว</t>
  </si>
  <si>
    <t>ถุงดำ ขนาด36x45นิ้ว</t>
  </si>
  <si>
    <t>ถุงพลาสติกสำหรับห่อผ้าม่านรอบเตียง</t>
  </si>
  <si>
    <t>ถุงพลาสติกสำหรับห่อผ้าม่านหน้าต่าง</t>
  </si>
  <si>
    <t>ถุงมือ เบอร์เอ็ม (NO.M)</t>
  </si>
  <si>
    <t>ถุงมือ เบอร์แอล (NO.L)</t>
  </si>
  <si>
    <t>ถุงมือพลาสติกทำอาหาร</t>
  </si>
  <si>
    <t>ถุงมือรัดข้อ เบอร์ L</t>
  </si>
  <si>
    <t>ถุงมือรัดข้อ เบอร์ M</t>
  </si>
  <si>
    <t>ถุงร้อน ขนาด 20 x 23 นิ้ว</t>
  </si>
  <si>
    <t>ถุงร้อน ขนาด4x6นิ้ว</t>
  </si>
  <si>
    <t>ถุงร้อน ขนาด5x8นิ้ว</t>
  </si>
  <si>
    <t>ถุงร้อน ขนาด6x10นิ้ว</t>
  </si>
  <si>
    <t>ถุงร้อน ขนาด6x12นิ้ว</t>
  </si>
  <si>
    <t>ถุงร้อน ขนาด9x16นิ้ว</t>
  </si>
  <si>
    <t>ถุงห่อแก้ว</t>
  </si>
  <si>
    <t>ถุงหิ้ว ขนาด12x20นิ้ว</t>
  </si>
  <si>
    <t>ถุงหิ้ว ขนาด15x30นิ้ว</t>
  </si>
  <si>
    <t>ถุงหิ้วใส</t>
  </si>
  <si>
    <t>มัด</t>
  </si>
  <si>
    <t>ถุงหิ้วใส ขนาด 8x16 นิ้ว</t>
  </si>
  <si>
    <t>ถุงหิ้วใส ขนาด26x40นิ้ว</t>
  </si>
  <si>
    <t>กก</t>
  </si>
  <si>
    <t>ถุงหิ้วใสปากตรง</t>
  </si>
  <si>
    <t>ทัพพีใหญ่</t>
  </si>
  <si>
    <t>ที่เช็ดกระจก แบบปรับได้</t>
  </si>
  <si>
    <t>ที่เช็ดกระจกด้ามยาว</t>
  </si>
  <si>
    <t>ที่แขวนขวดแอลกอฮอล์</t>
  </si>
  <si>
    <t>ที่โกยขยะพลาสติก</t>
  </si>
  <si>
    <t>ที่กดสบู่1ช่อง</t>
  </si>
  <si>
    <t>ที่คว่ำจาน</t>
  </si>
  <si>
    <t>ที่นอน 3 ฟุต</t>
  </si>
  <si>
    <t>ที่นอน 3.5ฟุต</t>
  </si>
  <si>
    <t>ที่นอน 5 ฟุต</t>
  </si>
  <si>
    <t>ที่นอน.</t>
  </si>
  <si>
    <t>ที่นอนผู้ป่วย</t>
  </si>
  <si>
    <t>ที่นอนสปิง ขนาด 3.5นิ้ว</t>
  </si>
  <si>
    <t>ที่นอนสปิง ขนาด 45 นิ้ว</t>
  </si>
  <si>
    <t>ที่หนีบสแตนเลส</t>
  </si>
  <si>
    <t>น้ำดื่ม เอส พี เอ(ขนาด600ml)</t>
  </si>
  <si>
    <t>น้ำดื่มPETขนาด350CC</t>
  </si>
  <si>
    <t>น้ำดื่มแซนด์บรรจุถังใส 19ลิตร</t>
  </si>
  <si>
    <t>ถัง</t>
  </si>
  <si>
    <t>น้ำดื่มถ้วย ขนาด220ซีซี</t>
  </si>
  <si>
    <t>น้ำตาลทรายแดง</t>
  </si>
  <si>
    <t>น้ำมันจักรซิงเกอร์</t>
  </si>
  <si>
    <t>น้ำยาเคมีซักฟอกสำหรับเครื่องชนิดน้ำ ขนาดบรรจุ20ลิตร</t>
  </si>
  <si>
    <t>น้ำยาเคมีฟอกผ้าขาวชนิดน้ำ ขนาดบรรจุ20ลิตร</t>
  </si>
  <si>
    <t>น้ำยาเคลือบเงาพื้นคอมพลีท</t>
  </si>
  <si>
    <t>น้ำยาเช็ดกระจก</t>
  </si>
  <si>
    <t>น้ำยาเสริมด่างชนิดเหลว ขนาดบรรจุ20ลิตร</t>
  </si>
  <si>
    <t>น้ำยาไฮเตอร์</t>
  </si>
  <si>
    <t>น้ำยาช่วยให้ภาชนะแห้งเร็ว ขนาด 20 ลิตร</t>
  </si>
  <si>
    <t>น้ำยาดันฝุ่น</t>
  </si>
  <si>
    <t>น้ำยาถูพื้นสไตรด์ฟลอรัล</t>
  </si>
  <si>
    <t>น้ำยาปรับผ้านุ่ม ขนาดบรรจุ 20ลิตร</t>
  </si>
  <si>
    <t>น้ำยาฟอกผ้าขาว(ชนิดน้ำ) ขนาดบรรจุ20ลิตร</t>
  </si>
  <si>
    <t>น้ำยาฟอกผ้าขาวและผ้าสี ขนาดบรรจุ20ลิตร</t>
  </si>
  <si>
    <t>น้ำยาฟอกผ้าขาวและผ้าสีชนิดน้ำ ขนาดบรรจุ30ลิตร</t>
  </si>
  <si>
    <t>น้ำยารองพื้นพล่าซ่า</t>
  </si>
  <si>
    <t>น้ำยาลอกแวกซ์ (ฟรีดอม)</t>
  </si>
  <si>
    <t>น้ำยาล้างเล็บ</t>
  </si>
  <si>
    <t>น้ำยาล้างขวดนม</t>
  </si>
  <si>
    <t>น้ำยาล้างจาน ขนาด 3.8 ลิตร</t>
  </si>
  <si>
    <t>น้ำยาล้างจาน20ลิตร</t>
  </si>
  <si>
    <t>น้ำยาล้างจานชนิดเติม</t>
  </si>
  <si>
    <t>น้ำยาล้างจานด้วยเครื่องล้างจาน ขนาด 20ลิตร</t>
  </si>
  <si>
    <t>น้ำยาล้างตะกรัน</t>
  </si>
  <si>
    <t>น้ำยาล้างผ้าชนิดน้ำ ขนาดบรรจุ20ลิตร</t>
  </si>
  <si>
    <t>น้ำยาล้างผ้าชนิดน้ำ(สารตกค้างของคลอรีน-ค่าง) ขนาดบรรจุ20ลิตร</t>
  </si>
  <si>
    <t>น้ำยาล้างห้องน้ำ</t>
  </si>
  <si>
    <t>บันไดขึ้นเตียง</t>
  </si>
  <si>
    <t>บันไดขึ้นเตียง 1 ชั้น</t>
  </si>
  <si>
    <t>ปลอกผ้านวม</t>
  </si>
  <si>
    <t>ปลอกหมอน</t>
  </si>
  <si>
    <t>ปืนยิงแก๊ส</t>
  </si>
  <si>
    <t>ปุ้ย16 -16 -16</t>
  </si>
  <si>
    <t>ปุ๋ยเร่งดอก</t>
  </si>
  <si>
    <t>ผงขัดพื้นพล่าซ่า</t>
  </si>
  <si>
    <t>ผงขัดพื้นพล่าต้า(PASTA)</t>
  </si>
  <si>
    <t>ผงซักฟอก</t>
  </si>
  <si>
    <t>ผ้าเช็ดตัว 24 ปอนด์ พร้อมโลโก้</t>
  </si>
  <si>
    <t>ผ้าโทเรหน้ากว้าง 60 นิ้ว</t>
  </si>
  <si>
    <t>หลา</t>
  </si>
  <si>
    <t>ผ้ากันเปื้อนเต็มตัว</t>
  </si>
  <si>
    <t>ผ้ากันเปื้อนพลาสติก แบบยาว</t>
  </si>
  <si>
    <t>ผ้ากันเปื้อนยาว</t>
  </si>
  <si>
    <t>ผ้ากันเปื้อนหมอน</t>
  </si>
  <si>
    <t>ผ้าขนหนู ขนาด18x28นิ้ว</t>
  </si>
  <si>
    <t>ผ้าขนหนู สีขาว ขนาด 18 x 28 นิ้ว</t>
  </si>
  <si>
    <t>ผ้าขนหนู สีขาว ขนาด15x30นิ้ว</t>
  </si>
  <si>
    <t>ผ้าขนหนู สีขาว ขนาด30x60นิ้ว</t>
  </si>
  <si>
    <t>ผ้าขนหนู สีขาว ขนาด35x30นิ้ว</t>
  </si>
  <si>
    <t>ผ้าคาดผม</t>
  </si>
  <si>
    <t>ผ้าซับใน 50นิ้ว</t>
  </si>
  <si>
    <t>ผ้าดันฝุ่น ขนาด18นิ้ว</t>
  </si>
  <si>
    <t>ผ้านวม ขนาด3.5ฟุต</t>
  </si>
  <si>
    <t>ผ้านวม+ผ้าปู</t>
  </si>
  <si>
    <t>ผ้าปูโต๊ะ</t>
  </si>
  <si>
    <t>ผ้าปูที่นอน 3.5 ฟุต</t>
  </si>
  <si>
    <t>ผ้าปูที่นอน 6 ฟุต</t>
  </si>
  <si>
    <t>ผ้าปูที่นอนรัดมุม</t>
  </si>
  <si>
    <t>ผ้าม๊อบพื้น</t>
  </si>
  <si>
    <t>ผ้ารองกันเปื้อน</t>
  </si>
  <si>
    <t>ผ้าห่มเช็ดพื้น</t>
  </si>
  <si>
    <t>ฝอยสแตนเลส</t>
  </si>
  <si>
    <t>ฝาแก้วเรียบไม่เจาะรู 95ซม.</t>
  </si>
  <si>
    <t>ฝาปิดโครงผ้าเปื้อน</t>
  </si>
  <si>
    <t>พรม</t>
  </si>
  <si>
    <t>พรม (ลำดับ 2)</t>
  </si>
  <si>
    <t>พรมเช็ดเท้า</t>
  </si>
  <si>
    <t>พรมดักฝุ่น</t>
  </si>
  <si>
    <t>พรมยาง 3M หน้ากว้าง 1.2มม</t>
  </si>
  <si>
    <t>ฟองน้ำแบบน๊อต ขนาด14นิ้ว</t>
  </si>
  <si>
    <t>ฟ้องน้ำกันลมสำหรับเครื่องวัดเสียง</t>
  </si>
  <si>
    <t>ฟองน้ำชิ้นใหญ่</t>
  </si>
  <si>
    <t>ฟิลม์ยืด ขนาด 12นิ้ว</t>
  </si>
  <si>
    <t>ฟิลม์ยืด ขนาด 16นิ้ว</t>
  </si>
  <si>
    <t>ฟิลม์ยืด ขนาด 16นิ้ว (ลำดับ 2)</t>
  </si>
  <si>
    <t>ฟิลม์ยืด ขนาด 18นิ้ว</t>
  </si>
  <si>
    <t>ฟิลม์ยืด ขนาด 8นิ้ว</t>
  </si>
  <si>
    <t>มะพร้าวสับ</t>
  </si>
  <si>
    <t>ม่านกั้นเตียง ขนาด 7.20 x 2.98 เมตร</t>
  </si>
  <si>
    <t>ม่านปรับแสง ห้องปรึกษา Cath Lab ขนาด 2.00 x 2.10 เมตร</t>
  </si>
  <si>
    <t>ม่านปรับแสง ห้องพัก-ปรึกษา Cath Lab ขนาด 2.58 x 1.80 เมตร</t>
  </si>
  <si>
    <t>ม่านม้วน ขนาด 1.68 x 2.50 เมตร</t>
  </si>
  <si>
    <t>ม้านม้วนกรองแสง ขนาด 0.92 x 2.50 เมตร</t>
  </si>
  <si>
    <t>ม้านม้วนกรองแสง ขนาด 0.98 x 2.50 เมตร</t>
  </si>
  <si>
    <t>ม้านม้วนกรองแสง ขนาด 1.03 x 2.50 เมตร</t>
  </si>
  <si>
    <t>ม้านม้วนกรองแสง ขนาด 1.05 x 2.50 เมตร</t>
  </si>
  <si>
    <t>ม่านม้วนทึบแสง ขนาด 1.00 x 2.10 เมตร</t>
  </si>
  <si>
    <t>ม่านม้วนทึบแสง ขนาด 1.03 x 2.10 เมตร</t>
  </si>
  <si>
    <t>ม่านม้วนทึบแสง ขนาด 1.04 x 2.10 เมตร</t>
  </si>
  <si>
    <t>ม่านม้วนทึบแสง ขนาด 1.05 x 2.10 เมตร</t>
  </si>
  <si>
    <t>ม่านม้วนทึบแสง ขนาด 1.25 x 2.10 เมตร</t>
  </si>
  <si>
    <t>ม่านม้วนทึบแสง ขนาด 1.26 x 2.10 เมตร</t>
  </si>
  <si>
    <t>ม่านม้วนทึบแสง ขนาด 1.27 x 2.10 เมตร</t>
  </si>
  <si>
    <t>ม่านม้วนทึบแสง ขนาด 1.28 x 2.10 เมตร</t>
  </si>
  <si>
    <t>ม่านม้วนทึบแสง ขนาด 1.29 x 2.10 เมตร</t>
  </si>
  <si>
    <t>ม่านม้วนทึบแสง ขนาด 1.30 x 2.10 เมตร</t>
  </si>
  <si>
    <t>ม่านม้วนทึบแสง ขนาด 1.35 x 2.10 เมตร</t>
  </si>
  <si>
    <t>ม่านม้วนทึบแสง ขนาด 1.77 x 2.10 เมตร</t>
  </si>
  <si>
    <t>ม่านม้วนทึบแสง ขนาด 1.77 x 2.97 เมตร</t>
  </si>
  <si>
    <t>ม่านม้วนห้อง Cath Lab ขนาด 2.37 x 1.17 เมตร</t>
  </si>
  <si>
    <t>มีดกีวี</t>
  </si>
  <si>
    <t>มีดกีวีโปรสไลซ์</t>
  </si>
  <si>
    <t>มีดตัดวุ้น ด้ามดำใหญ่</t>
  </si>
  <si>
    <t>มู่ลี่ไม้ ขนาด 0.73 x 2.50 เมตร</t>
  </si>
  <si>
    <t>มู่ลี่ไม้ ขนาด 0.99 x 2.50 เมตร</t>
  </si>
  <si>
    <t>รถเข็น+ฝา อเนกประสงค์</t>
  </si>
  <si>
    <t>รถเข็นแบบพับได้</t>
  </si>
  <si>
    <t>รถเข็นพลาสติกสำหรับใส่อุปกร์ทำความสะอาด</t>
  </si>
  <si>
    <t>รถเข็นอเนกประสงค์ 8 ล้อ มีฝาปิด</t>
  </si>
  <si>
    <t>ร่มสนาม</t>
  </si>
  <si>
    <t>รองเท้าบู๊ต เบอร์10</t>
  </si>
  <si>
    <t>รองเท้าบู๊ต เบอร์10.5</t>
  </si>
  <si>
    <t>รองเท้าบู๊ต เบอร์11</t>
  </si>
  <si>
    <t>รองเท้าบู๊ต เบอร์11.5</t>
  </si>
  <si>
    <t>รองเท้าบู๊ต เบอร์12</t>
  </si>
  <si>
    <t>รองเท้าฟองน้ำ เบอร์10</t>
  </si>
  <si>
    <t>รองเท้าฟองน้ำ เบอร์10.5</t>
  </si>
  <si>
    <t>รองเท้าฟองน้ำ เบอร์11</t>
  </si>
  <si>
    <t>รองเท้าฟองน้ำ เบอร์11.5</t>
  </si>
  <si>
    <t>รองเท้าสลิบเปอร์ ผ้าขนหนู</t>
  </si>
  <si>
    <t>ราวตากผ้าสแตนเลส</t>
  </si>
  <si>
    <t>ลังแก้วสูง</t>
  </si>
  <si>
    <t>สก็อตไบร์ทมีฟองน้ำ</t>
  </si>
  <si>
    <t>สก๊อตไบร์ทมีฟองน้ำ3เอ็ม แผ่นใหญ่ ขนาด3.5x6นิ้ว</t>
  </si>
  <si>
    <t>สก๊อตไบร์ทหน้าเดียว 3เอ็ม ขนาด6x9นิ้ว</t>
  </si>
  <si>
    <t>สบู่ซันไลต์</t>
  </si>
  <si>
    <t>สบู่ดินฮาลคลีน 5ลิตร</t>
  </si>
  <si>
    <t>สบู่ล้างมือ ขนาดบรรจุ 3.5ลิตร</t>
  </si>
  <si>
    <t>สายยางรัดของเส้นเล็ก</t>
  </si>
  <si>
    <t>สายยางรัดของเส้นใหญ่</t>
  </si>
  <si>
    <t>สายวัด</t>
  </si>
  <si>
    <t>หมวกคลุมผม</t>
  </si>
  <si>
    <t>หมวกอาบน้ำ</t>
  </si>
  <si>
    <t>หม้อโจ๊ก สแตนเลสใหญ่</t>
  </si>
  <si>
    <t>หมอน</t>
  </si>
  <si>
    <t>หมอนใยสงเคราะห์</t>
  </si>
  <si>
    <t>หมอนขนห่านเทียม</t>
  </si>
  <si>
    <t>หมอนผู้ป่วย</t>
  </si>
  <si>
    <t>หมอนหนุนใยสงเคราะห์</t>
  </si>
  <si>
    <t>หม้อนอนสแตนเลส</t>
  </si>
  <si>
    <t>หลอดดูดงอได้</t>
  </si>
  <si>
    <t>หลอดดูดสั้น</t>
  </si>
  <si>
    <t>หวี</t>
  </si>
  <si>
    <t>หัวเตาแก๊ส</t>
  </si>
  <si>
    <t>อาหารปลา</t>
  </si>
  <si>
    <t>อาหารปลา (ลำดับ 2)</t>
  </si>
  <si>
    <t>อาหารปลา เล็ก</t>
  </si>
  <si>
    <t>รวม 428 รายการ · DBR/2570/0005 · แท็บ งานบ้าน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</si>
  <si>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เชื้อเพลิง</t>
  </si>
  <si>
    <t>จำนวนประมาณการจะซื้อปี 70 แก๊ส LPG ขนาดบรรจุ 48 กิโลกรัม</t>
  </si>
  <si>
    <t>แก๊ส LPG</t>
  </si>
  <si>
    <t>จำนวนประมาณการจะซื้อปี 70 แก๊ส LPG ขนาดบรรจุ 48 กิโลกรัม (ลำดับ 2)</t>
  </si>
  <si>
    <t>เชื้อเพลิงยานพาหนะ</t>
  </si>
  <si>
    <t>เชื้อเพลิงรถยนต์</t>
  </si>
  <si>
    <t>รวม 3 รายการ · DBR/2570/0006 · แท็บ เชื้อเพลิง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</si>
  <si>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เครื่องแต่งกาย</t>
  </si>
  <si>
    <t>กางเกงผู้ป่วย มีหูรูด</t>
  </si>
  <si>
    <t>เครื่องแต่งกาย (ซักฟอกและตัดเย็บ)</t>
  </si>
  <si>
    <t>เสื้อเด็ก+กางเกงเด็กเล็ก (3015285)</t>
  </si>
  <si>
    <t>เสื้อเด็ก+กางเกงเด็กโค (3015286)</t>
  </si>
  <si>
    <t>เสื้อเด็กและกางเกงเด็ก</t>
  </si>
  <si>
    <t>เสื้อกั๊ก สีขาว</t>
  </si>
  <si>
    <t>เสื้อกาวน์ สีเขียวอ่อน</t>
  </si>
  <si>
    <t>เสื้อกาวน์แขนยาว</t>
  </si>
  <si>
    <t>เสื้อกิโมโนตัวยาว (3017845)</t>
  </si>
  <si>
    <t>เสื้อคลุมอาบน้ำ (3013931)</t>
  </si>
  <si>
    <t>เสื้อผ้าผู้ป่วย (3017587)</t>
  </si>
  <si>
    <t>เสื้อผ้าผู้ป่วย ป้ายหน้า (3018166)</t>
  </si>
  <si>
    <t>เสื้อผ้าผู้ป่วย ป้ายหน้า OR (3018612)</t>
  </si>
  <si>
    <t>เสื้อผู้ใหญ่ แต่งสาบ (3015284)</t>
  </si>
  <si>
    <t>เสื้อผู้ใหญ่ แต่งสาบ+ผ้านุ่ง ขนาด40x82นิ้ว (3019122)</t>
  </si>
  <si>
    <t>เสื้อผู้ป่วย สีเขียวเข้ม</t>
  </si>
  <si>
    <t>เสื้อผู้ป่วย สีเขียวโศก</t>
  </si>
  <si>
    <t>เสื้อผู้ป่วย สีไข่ไก่</t>
  </si>
  <si>
    <t>เสื้อผู้ป่วยผู้ใหญ่</t>
  </si>
  <si>
    <t>เสื้อผู้ป่วยผู้ใหญ่(คนอ้วน)</t>
  </si>
  <si>
    <t>กางเกงผู้ป่วย แผนไทย 5ส่วน (3018163)</t>
  </si>
  <si>
    <t>คลิบเด็กโต</t>
  </si>
  <si>
    <t>ชุดเจ้าหน้าที่ จ่ายกลาง ตำแหน่ง (3018288)</t>
  </si>
  <si>
    <t>ชุดเจ้าหน้าที่จ่ายกลาง (3013371)</t>
  </si>
  <si>
    <t>ชุดผู่ป่วย คนอ้วน (3018731)</t>
  </si>
  <si>
    <t>ซิป ขนาด22นิ้ว (3011336)</t>
  </si>
  <si>
    <t>ซิป ขนาด28นิ้ว (3019965)</t>
  </si>
  <si>
    <t>ด้ายเย็บ (3011059)</t>
  </si>
  <si>
    <t>ถุงเท้าคลอด ขนาด20x40นิ้ว (3016691)</t>
  </si>
  <si>
    <t>ถุงผ้าเปื้อนสีเขียวเข้ม ขนาด 42x35x28 นิ้ว</t>
  </si>
  <si>
    <t>ปลอกโต๊ะ 2ชั้น สีเขียวเข้ม ขนาด23x38นิ้ว</t>
  </si>
  <si>
    <t>ปลอกหมอน สีเขียวโศก 18x28x6นิ้ว</t>
  </si>
  <si>
    <t>ปลอกหมอน สีโอรส (3017589)</t>
  </si>
  <si>
    <t>ผ้าLAB SHEET 2ขั้น สีเขียว เจาะวงรี ขนาด45นิ้วไม่ผ่าติดกรัเป๋าด้านละ 2ใบ</t>
  </si>
  <si>
    <t>ผ้าLAB SHEET 2ชั้น เจาะวงรี ผ่าส่วนล่างติดกระเป๋า</t>
  </si>
  <si>
    <t>ผ้าเโทเรหนา สีไข่ไก่</t>
  </si>
  <si>
    <t>ผ้าเโทเรหนา สีกลีบบัว</t>
  </si>
  <si>
    <t>ผ้าเโทเรหนา สีม่วง</t>
  </si>
  <si>
    <t>ผ้าเขียวดิบ</t>
  </si>
  <si>
    <t>ผ้าเจาะกลางขนาด 28x28นิ้ว สีขาว</t>
  </si>
  <si>
    <t>ผ้าเจาะกลางขนาด 28x28นิ้ว สีน้ำเงิน</t>
  </si>
  <si>
    <t>ผ้าเจาะกลางขนาด 28x28นิ้ว สีน้ำเงิน (3014268)</t>
  </si>
  <si>
    <t>ผ้าเช็ดเด็ก สำลี 2ชั้น ขนาด75x75ซม.</t>
  </si>
  <si>
    <t>ผ้าเปลหามคนไข้ (ผ้าใบ)สีขาว 3.5ฟุตx7.5ฟุต</t>
  </si>
  <si>
    <t>ผ้าโทเร สีเขียวโศก</t>
  </si>
  <si>
    <t>ผ้าโทเร สีโอรส</t>
  </si>
  <si>
    <t>ผ้าขนหนู OR (3018207)</t>
  </si>
  <si>
    <t>ผ้าขนหนู ขนาด60x80นิ้ว (3010495)</t>
  </si>
  <si>
    <t>ผ้าขนหนู สีขาว ขนาด15x28นิ้ว (3019017)</t>
  </si>
  <si>
    <t>ผ้าขนหนู สีขาว ขนาด24x48นิ้ว (3011885)</t>
  </si>
  <si>
    <t>ผ้าขนหนู สีขาว ขนาด24x54นิ้ว (3010932)</t>
  </si>
  <si>
    <t>ผ้าขนหนู สีขาว ขนาด36ปอนด์</t>
  </si>
  <si>
    <t>ผ้าขนหนูเช็ดมือ สีขาว ขนาด12x20นิ้ว</t>
  </si>
  <si>
    <t>ผ้าขวางเคียง</t>
  </si>
  <si>
    <t>ผ้าคลุมเปลผู้ป่วย สีเลือดหมู ขนาด18x23x20นิ้ว</t>
  </si>
  <si>
    <t>ผ้าดิบ (3014261)</t>
  </si>
  <si>
    <t>ผ้าตาข่าย</t>
  </si>
  <si>
    <t>ผ้าถุง คนอ้วน</t>
  </si>
  <si>
    <t>ผ้าถุงผู้ป่วย</t>
  </si>
  <si>
    <t>ผ้าถุงผู้ป่วย สีเขียวโศก ขนาด 70x40 นิ้ว</t>
  </si>
  <si>
    <t>ผ้าปลอกเมโยตา2ชั้น เปิดปาก 1ข้าง สีเขียวอ่อน</t>
  </si>
  <si>
    <t>ผ้าปลอกโต๊ะ 2ชั้น (3019356)</t>
  </si>
  <si>
    <t>ผ้าปูเตียงรัดมุม</t>
  </si>
  <si>
    <t>ผ้าปูที่นอน สีเขียวโศก ขนาด60x108นิ้ว</t>
  </si>
  <si>
    <t>ผ้าปูที่นอน สีโอรส ขนาด60x108 นิ้ว</t>
  </si>
  <si>
    <t>ผ้าปูที่นอน สีฟ้า ขนาด 60 x 108 นิ้ว</t>
  </si>
  <si>
    <t>ผ้าปูที่นอน สีม่วง ขนาด 60 x 108 นิ้ว</t>
  </si>
  <si>
    <t>ผ้าปูรัดมุมขนาด24x34นิ้ว (3018531)</t>
  </si>
  <si>
    <t>ผ้ายาง (3010940)</t>
  </si>
  <si>
    <t>ผ้ายาง 2หน้า</t>
  </si>
  <si>
    <t>ผ้ารองหมอนขนาด14x20นิ้ว (3019335)</t>
  </si>
  <si>
    <t>ผ้ารับเด็ก ขนาด36x36นิ้ว (3018289)</t>
  </si>
  <si>
    <t>ผ้ารับเด็ก สีขาว ขนาด36x36นิ้ว</t>
  </si>
  <si>
    <t>ผ้าสามเหลี่ยมใหญ่ ขนาเ120x80x50ซม. (3018730)</t>
  </si>
  <si>
    <t>ผ้าสี่เเหลี่ยม 2ชั้น สีเขียวอ่อน</t>
  </si>
  <si>
    <t>ผ้าสี่เหลี่ยม 2ชั้น ขนาเ3.5x3.5นิ้ว (3018291)</t>
  </si>
  <si>
    <t>ผ้าสี่เหลี่ยม2ชั้น เจาะกลาง กว้าง5นิ้ว</t>
  </si>
  <si>
    <t>ผ้าสี่เหลี่ยม2ชั้น สีเขียวอ่อน</t>
  </si>
  <si>
    <t>ผ้าสี่เหลี่ยม2ชั้น(ใช้รองผู้ป่วย)</t>
  </si>
  <si>
    <t>ผ้าสี่เหลี่ยม2ชั้นมีรูเจาะ (เจาะกลางตาใหญ่) สีเขียวอ่อน</t>
  </si>
  <si>
    <t>ผ้าสี่เหลี่ยมเจาะกลาง 2ชั้น (3019333)</t>
  </si>
  <si>
    <t>ผ้าสี่เหลี่ยมเจาะกลาง 2ชั้น(ERตา) สีเขียวอ่อน</t>
  </si>
  <si>
    <t>ผ้าสี่เหลี่ยมชั้นเคียว สีเขียวเข้ม ขนาด23x36นิ้ว</t>
  </si>
  <si>
    <t>ผ้าสี่เหลี่ยมชั้นเดียวเจาะกลาง5นิ้ว สีเขียวเข้ม ขนาด60 x 70 นิ้ว</t>
  </si>
  <si>
    <t>ผ้าสี่เหลี่ยมปูโต๊ะ 2ชั้น ขนาด70x80นิ้ว สีเขียวเข้ม</t>
  </si>
  <si>
    <t>ผ้าสี่เหลี่ยมห่อใน 2ชั้น (ห่อเครื่องมือ) ขนาด32x32นิ้ว</t>
  </si>
  <si>
    <t>ผ้าสี่เหลี่ยมห่อใน 2ชั้น (ห่อเครื่องมือ) ขนาด32x32นิ้ว (3018182)</t>
  </si>
  <si>
    <t>ผ้าสี่เหลียมห่อใน 2ชั้น สีขาว-สีเขียวเข้ม ขนาด20x20นิ้ว</t>
  </si>
  <si>
    <t>ผ้าสี่เหลี่ยมห่อนอก 2ชั้น (ห่อเครื่องมือ) ขนาด32x32นิ้ว</t>
  </si>
  <si>
    <t>ผ้าสี่เหลี่ยมห่อนอก 2ชั้น (ห่อเครื่องมือ) ขนาด32x32นิ้ว (3019353)</t>
  </si>
  <si>
    <t>ผ้าสีเหลียมห่อนอก 2ชั้น สีขาว-สีเขียวเข้ม ขขนาด20x20นิ้ว</t>
  </si>
  <si>
    <t>ผ้าหน้าท้อง 2ชั้น (3014213)</t>
  </si>
  <si>
    <t>ผ้าห่มเด็กแรกเกิด สีชมพู</t>
  </si>
  <si>
    <t>ผ้าห่มขนหนู</t>
  </si>
  <si>
    <t>ผ้าห่มนอน สีขาว 36ปอนด์</t>
  </si>
  <si>
    <t>ผ้้าหลา 60นิ้ว พิมพ์ลายรพ. (3011888)</t>
  </si>
  <si>
    <t>ผ้าหลา 60นิ้ว พิมพ์ลายรพ. (3016051)</t>
  </si>
  <si>
    <t>ผ้้าหลา 60นิ้ว พิมพ์ลายรพ. (3016366)</t>
  </si>
  <si>
    <t>ผ้าอ้อม สีขาว ขนาด27x34นิ้ว</t>
  </si>
  <si>
    <t>รวม 99 รายการ · DBR/2570/0007 · แท็บ เครื่องแต่งกาย · หน่วยงาน งานซักฟอกและตัดเย็บ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</si>
  <si>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ออกซิเจนเหลว</t>
  </si>
  <si>
    <t>จำนวนประมาณการจะซื้อปี 70 ออกซิเจนเหลวทางการแพทย์บรรจุท่อพร้อมอุปกรณ์ลดแรงดัน ขนาด 0.7 ลูกบาศก์เมตร</t>
  </si>
  <si>
    <t>จำนวนประมาณการจะซื้อปี 70 แก๊สไนตรัสออกไซด์ทางการแพทย์อัดท่อแรงดันสูงขนาดบรรจุ 25 กิโลกรัม</t>
  </si>
  <si>
    <t>จำนวนประมาณการจะซื้อปี 70 ออกซิเจนเหลวทางการแพทย์</t>
  </si>
  <si>
    <t>รวม 3 รายการ · DBR/2570/0008 · แท็บ ออกซิเจนเหลว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</si>
  <si>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Lab</t>
  </si>
  <si>
    <t>EDTA K3 Tube 3 ml.</t>
  </si>
  <si>
    <t>LAB (ทั่วไป)</t>
  </si>
  <si>
    <t>เงินบำรุงรพ.งบ 70 e-bidding</t>
  </si>
  <si>
    <t>Lithium Heparin Tube 4 ml.</t>
  </si>
  <si>
    <t>Serum Clot Activator Tube 4 ml.</t>
  </si>
  <si>
    <t>Sodium Citrate Tube 3 ml.</t>
  </si>
  <si>
    <t>Sodium Fluoride Tube 2 ml.</t>
  </si>
  <si>
    <t>แถบตรวจน้ำตาลในเลือดปลายนิ้ว (Blood Glucose Strip)</t>
  </si>
  <si>
    <t>BUN</t>
  </si>
  <si>
    <t>เงินบำรุงรพ.งบ 70 e-bidding แผนการ 3 ปี (แผนการใช้ปีงบ 70)</t>
  </si>
  <si>
    <t>Creatinine (enzymatic)</t>
  </si>
  <si>
    <t>Sodium</t>
  </si>
  <si>
    <t>Potassium</t>
  </si>
  <si>
    <t>Chloride</t>
  </si>
  <si>
    <t>ECO2</t>
  </si>
  <si>
    <t>Glucose</t>
  </si>
  <si>
    <t>Hb A1C</t>
  </si>
  <si>
    <t>Cholesterol</t>
  </si>
  <si>
    <t>Triglyceride</t>
  </si>
  <si>
    <t>Direct HDL</t>
  </si>
  <si>
    <t>Direct LDL</t>
  </si>
  <si>
    <t>AST</t>
  </si>
  <si>
    <t>ALT</t>
  </si>
  <si>
    <t>ALP</t>
  </si>
  <si>
    <t>Total Bilirubin</t>
  </si>
  <si>
    <t>Direct Bilirubin</t>
  </si>
  <si>
    <t>Total Protein</t>
  </si>
  <si>
    <t>Albumin</t>
  </si>
  <si>
    <t>GGT</t>
  </si>
  <si>
    <t>Calcium</t>
  </si>
  <si>
    <t>Phosphorus</t>
  </si>
  <si>
    <t>Magnesium</t>
  </si>
  <si>
    <t>Uric Acid</t>
  </si>
  <si>
    <t>LDH</t>
  </si>
  <si>
    <t>Lactate</t>
  </si>
  <si>
    <t>CKMB</t>
  </si>
  <si>
    <t>CK</t>
  </si>
  <si>
    <t>Amylase</t>
  </si>
  <si>
    <t>Lipase</t>
  </si>
  <si>
    <t>Iron</t>
  </si>
  <si>
    <t>TIBC</t>
  </si>
  <si>
    <t>Microalbumin</t>
  </si>
  <si>
    <t>Protein CSF</t>
  </si>
  <si>
    <t>Urine Protein</t>
  </si>
  <si>
    <t>ADA</t>
  </si>
  <si>
    <t>HIV Ag/Ab</t>
  </si>
  <si>
    <t>HBs Ag</t>
  </si>
  <si>
    <t>Anti-HBs</t>
  </si>
  <si>
    <t>Anti-HBc</t>
  </si>
  <si>
    <t>HCV Ag</t>
  </si>
  <si>
    <t>Anti-HCV</t>
  </si>
  <si>
    <t>HBe Ag</t>
  </si>
  <si>
    <t>Anti HBe</t>
  </si>
  <si>
    <t>Anti HAV IgG</t>
  </si>
  <si>
    <t>Anti HAV IgM</t>
  </si>
  <si>
    <t>Anti HBc IgM</t>
  </si>
  <si>
    <t>Syphilis (T.pallidum Ab)</t>
  </si>
  <si>
    <t>Toxoplasma IgG</t>
  </si>
  <si>
    <t>TSH</t>
  </si>
  <si>
    <t>FT4</t>
  </si>
  <si>
    <t>FT3</t>
  </si>
  <si>
    <t>PTH (Parathyroid Hormone)</t>
  </si>
  <si>
    <t>CEA.</t>
  </si>
  <si>
    <t>AFP.</t>
  </si>
  <si>
    <t>PSA_total</t>
  </si>
  <si>
    <t>CA 125</t>
  </si>
  <si>
    <t>CA 19-9</t>
  </si>
  <si>
    <t>Total B-hCG</t>
  </si>
  <si>
    <t>FSH</t>
  </si>
  <si>
    <t>LH</t>
  </si>
  <si>
    <t>Prolactin</t>
  </si>
  <si>
    <t>Estradiol (E2)</t>
  </si>
  <si>
    <t>Cortisol</t>
  </si>
  <si>
    <t>Ferritin</t>
  </si>
  <si>
    <t>Dilantin (Phenytoin)</t>
  </si>
  <si>
    <t>Phenobarbital</t>
  </si>
  <si>
    <t>Valproic acid (Depakine level )</t>
  </si>
  <si>
    <t>Vitamin D (25-hydroxy vitamin D)</t>
  </si>
  <si>
    <t>ชุดน้ำยาตรวจนับเม็ดเลือดอัตโนมัติ (CBC)</t>
  </si>
  <si>
    <t>ชุดน้ำยาตรวจวิเคราะห์สารเคมีและตรวจวิเคราะห์ตะกอนในปัสสาวะ (Urine Analysis)</t>
  </si>
  <si>
    <t>ชุดทดสอบแยกเชื้อจุลชีพอัตโนมัติ (Mass spectrometry technic)</t>
  </si>
  <si>
    <t>Chocolate Agar Plate</t>
  </si>
  <si>
    <t>Sheep Blood Agar Plate</t>
  </si>
  <si>
    <t>Mueller-Hinton Agar Plate</t>
  </si>
  <si>
    <t>ชุดน้ำยาสำเร็จรูปสำหรับตรวจวิเคราะห์หาสารพันธุกรรมของเชื้อวัณโรคและเชื้อวัณโรคดื้อยา ด้วยเทคนิค Real-time PCR</t>
  </si>
  <si>
    <t>Influenza A/B (Rapid Test)</t>
  </si>
  <si>
    <t>เงินบำรุงรพ.งบ 70 เฉพาะเจาะจง</t>
  </si>
  <si>
    <t>Influenza A/B+RSV Ag</t>
  </si>
  <si>
    <t>EDTA Tube 0.5 ml.</t>
  </si>
  <si>
    <t>Lithium Heparin Tube 1 ml.</t>
  </si>
  <si>
    <t>Serum Clot Activator Tube 1 ml.</t>
  </si>
  <si>
    <t>Sodium Citrate Tube 1 ml.</t>
  </si>
  <si>
    <t>Stool Container</t>
  </si>
  <si>
    <t>Urine Container 40 ml.</t>
  </si>
  <si>
    <t>Urine Container 40 ml. PP Blue</t>
  </si>
  <si>
    <t>Urine Container 60 ml. (Yellow Cap)</t>
  </si>
  <si>
    <t>(Green Cap) 60 ml. Specimen Cont W/Label, PP Sterile</t>
  </si>
  <si>
    <t>(Red Cap) 60 ml. Specimen Cont W/Label, PP Sterile</t>
  </si>
  <si>
    <t>Cary Blair Gel Transport Swab</t>
  </si>
  <si>
    <t>Amies Gel Transport Swab</t>
  </si>
  <si>
    <t>1.5 Microtube, Natural, (1,000 pcs.)</t>
  </si>
  <si>
    <t>15 ml. Centrifuge Tube Bulk Sterile (500 pcs.)</t>
  </si>
  <si>
    <t>Beaker ขนาด 1,000 ml.</t>
  </si>
  <si>
    <t>Beaker ขนาด 500 ml.</t>
  </si>
  <si>
    <t>Blood Gas Capillaries Tube 100 mm. (250 pcs.)</t>
  </si>
  <si>
    <t>Blue Tip 100-1,000 ul. (1,000 pcs.)</t>
  </si>
  <si>
    <t>Centrifuge Tube for Urine 10 ml. (1,000 pcs.)</t>
  </si>
  <si>
    <t>Cover Glass 22x22 mm. (1,000 pcs.)</t>
  </si>
  <si>
    <t>End Cap for Blood Gas (250 pcs.)</t>
  </si>
  <si>
    <t>Hematocrit Tube Blue Code (10x100 pcs.)</t>
  </si>
  <si>
    <t>Hematocrit Tube Red Code (100 pcs.)</t>
  </si>
  <si>
    <t>Immersion Oil 500 ml.</t>
  </si>
  <si>
    <t>Laboratory Bottle ขนาด 1,000 ml.</t>
  </si>
  <si>
    <t>Laboratory Bottle ขนาด 500 ml.</t>
  </si>
  <si>
    <t>Lens paper (100 sheets.)</t>
  </si>
  <si>
    <t>LQ Qualitative Urine Toxicology Control,Positive 6x3 ml.</t>
  </si>
  <si>
    <t>LQ Qualitative Urine Toxicology Control,Nagative 6x3 ml.</t>
  </si>
  <si>
    <t>Medium mycolytic (Mycolytic F-vail)</t>
  </si>
  <si>
    <t>Microscope Slide Frosted (72 pcs.)</t>
  </si>
  <si>
    <t>Microscope Slide Plain (72 pcs.)</t>
  </si>
  <si>
    <t>Parafilm 4x125</t>
  </si>
  <si>
    <t>Stirrers for Blood Gas (250 pcs.)</t>
  </si>
  <si>
    <t>Stat Strip Lactate Test Strip (2x25 pcs.)</t>
  </si>
  <si>
    <t>Test Tube 13 x 100 mm. glass (72 pcs.)</t>
  </si>
  <si>
    <t>Test Tube 12x75 mm. PS (1,000 pcs.)</t>
  </si>
  <si>
    <t>Test Tube 13x75 mm. PS (1,000 pcs.)</t>
  </si>
  <si>
    <t>TIP Standard 10-5,000 ul. (100 pcs.)</t>
  </si>
  <si>
    <t>Transfer Pipette for Urine 1 ml. (1,000 pcs.)</t>
  </si>
  <si>
    <t>Transfer Pipette Sterile 3 ml. (500 pcs.)</t>
  </si>
  <si>
    <t>Wrights Stain 1,000 ml. พร้อม Buffer</t>
  </si>
  <si>
    <t>Yellow Tip 10-200 ul. (1,000 pcs.)</t>
  </si>
  <si>
    <t>กระดาษกรอง WHATMAN NO.1 ขนาด 24 cm.</t>
  </si>
  <si>
    <t>กล่องใส่แผ่นสไลด์</t>
  </si>
  <si>
    <t>สเปรย์พ่นฆ่าเชื้อพื้นผิว (Spray Surface Disinfectant free Alcohol 1 L.)</t>
  </si>
  <si>
    <t>หลอดไฟกล้องจุลทรรศน์ HALOGEN LAMP 6V 20W</t>
  </si>
  <si>
    <t>Vancomycin</t>
  </si>
  <si>
    <t>Ketone Test Strips</t>
  </si>
  <si>
    <t>Standard Bilirubin 5 ml.</t>
  </si>
  <si>
    <t>Seronorm Pediatric Control 6X3 ml.</t>
  </si>
  <si>
    <t>ชุดตรวจการติดเชื้อไวรัสไข้เลือดออก Dengue NS1Ag</t>
  </si>
  <si>
    <t>ชุดตรวจการติดเชื้อไวรัสไข้เลือดออก Dengue IgM/IgG</t>
  </si>
  <si>
    <t>ชุดตรวจการติดเชื้อไวรัสไข้เลือดออก Dengue NS1Ag/IgM/IgG</t>
  </si>
  <si>
    <t>Allergy Profile (36 allergens) (16 test)</t>
  </si>
  <si>
    <t>Anti ds DNA (50 test)</t>
  </si>
  <si>
    <t>ANA (500 test)</t>
  </si>
  <si>
    <t>ANA Profile (16 test)</t>
  </si>
  <si>
    <t>Anti-HIV (ชุดตรวจที่ 2)</t>
  </si>
  <si>
    <t>Anti-HIV (ชุดตรวจที่ 3)</t>
  </si>
  <si>
    <t>Cryptococcal Antigen lateral assay (50 test)</t>
  </si>
  <si>
    <t>Leptospira rapid lgM/lgG</t>
  </si>
  <si>
    <t>Rickettia IgG/IgM Combo Card</t>
  </si>
  <si>
    <t>RPR Carbon Kit (500 test)</t>
  </si>
  <si>
    <t>ชุดตรวจหาภาวะพร่องเอนไซม์ G6PD เชิงคุณภาพ</t>
  </si>
  <si>
    <t>Bleeding time lancet 1.0x2.50 mm. (50 pcs.)</t>
  </si>
  <si>
    <t>CAPP Expell 5,000 ul. (250 pcs.)</t>
  </si>
  <si>
    <t>Counting Chamber with V-Slash</t>
  </si>
  <si>
    <t>Cover chamber 20x26 mm. (10 pcs.)</t>
  </si>
  <si>
    <t>DCIP Test Kit (100 test)</t>
  </si>
  <si>
    <t>Giemsa Solution 500 ml.</t>
  </si>
  <si>
    <t>Malaria Ag P.f/P.v/Pan Rapid Test Cassette (25 test)</t>
  </si>
  <si>
    <t>C. difficlle Toxin A/B</t>
  </si>
  <si>
    <t>Pregnancy Test Strip (50 test)</t>
  </si>
  <si>
    <t>Methamphetamine Strip (ซองแยก)</t>
  </si>
  <si>
    <t>Morphine Cassette Test</t>
  </si>
  <si>
    <t>Occult Blood Test (LOD 100 ng/ml.)</t>
  </si>
  <si>
    <t>Occult Blood Test (LOD 50 ng/ml.)</t>
  </si>
  <si>
    <t>Sperm Counting Reagent 500 ml</t>
  </si>
  <si>
    <t>Sperm Vitality Assay Kit (20 test)</t>
  </si>
  <si>
    <t>THC Test Cassette</t>
  </si>
  <si>
    <t>Urine Strip 10 SG (100 test)</t>
  </si>
  <si>
    <t>Uriscan 2 GP Strip (100 test)</t>
  </si>
  <si>
    <t>กระดาษวัดค่า pH (pH Indicator Strips pH 0-14 range) (100 pcs.)</t>
  </si>
  <si>
    <t>Liquichek Urinalysis Control 12x12 ml.</t>
  </si>
  <si>
    <t>Macconkey Agar No.3 (500 g.)</t>
  </si>
  <si>
    <t>ชุดน้ำยาย้อมสีเรืองแสงด้วย Auramine O วิธี Fluorescence Acid Fast Staining สำหรับการตรวจหาเชื้อแบคทีเรียติดสีทนกรด (Acid Fast Bacills AFB)</t>
  </si>
  <si>
    <t>Premium Petri Dish (Sterile)</t>
  </si>
  <si>
    <t>ชุดสีย้อม Gram's Stain 475 ml. (4 bot/set)</t>
  </si>
  <si>
    <t>Prospore II (100 test)</t>
  </si>
  <si>
    <t>1 ul Samping loop (500 pcs.)</t>
  </si>
  <si>
    <t>10 ul Samping loop (500 pcs.)</t>
  </si>
  <si>
    <t>10% KOH 475 ml.</t>
  </si>
  <si>
    <t>15 ml. Screw Cap Culture Tubes with Phenolic Caps, 16x125 mm. (144 pcs.)</t>
  </si>
  <si>
    <t>10 ml. Serological Pipette, Sterile (100 pcs.)</t>
  </si>
  <si>
    <t>25 ml. Serological Pipette, Sterile (100 pcs.)</t>
  </si>
  <si>
    <t>15 ml. Centrifuge Tube,Bulk Pack,Sterile (500 pcs.)</t>
  </si>
  <si>
    <t>50 ml. Centrifuge Tube,Bulk Pack,Sterile (500 pcs.)</t>
  </si>
  <si>
    <t>AFB (Modified) 475 ml.</t>
  </si>
  <si>
    <t>AFB (Ziehl-Neelsen) 475 ml. (3 bot/set)</t>
  </si>
  <si>
    <t>Alkaline peptone water (500 g.)</t>
  </si>
  <si>
    <t>Azithromycin disc 15 mcg. (50 disc)</t>
  </si>
  <si>
    <t>Aztreonam disc 30 mcg. (50 disc)</t>
  </si>
  <si>
    <t>Amikacin disc 30 mcg. (50 disc)</t>
  </si>
  <si>
    <t>Amoxycylin/Clavulanic acid 30 mcg. (50 disc)</t>
  </si>
  <si>
    <t>Ampicillin disc 10 mcg. (50 disc)</t>
  </si>
  <si>
    <t>Ampicillin/Sulbactam disc 10 mcg. (50 disc)</t>
  </si>
  <si>
    <t>Autoclave deoderant (100 pcs.)</t>
  </si>
  <si>
    <t>Autoclave Tape (14x90 mm.)</t>
  </si>
  <si>
    <t>Bacitracin disc 0.04 Units (50 disc)</t>
  </si>
  <si>
    <t>Bile Esculin Agar (500 g.)</t>
  </si>
  <si>
    <t>Biocap 16 mm. ทรงสั้น (200 pcs.)</t>
  </si>
  <si>
    <t>Brilliant Green Bile 2% Broth (500 g.)</t>
  </si>
  <si>
    <t>Cefotaxime disc 30 mcg. (50 disc)</t>
  </si>
  <si>
    <t>Cefoxitin disc 30 mcg. (50 disc)</t>
  </si>
  <si>
    <t>Ceftazidime disc 30 mcg. (50 disc)</t>
  </si>
  <si>
    <t>Ceftriaxone disc 30 mcg. (50 disc)</t>
  </si>
  <si>
    <t>Ciprofloxacin 5 mcg. (50 disc)</t>
  </si>
  <si>
    <t>Clindamycin disc 2 mcg. (50 disc)</t>
  </si>
  <si>
    <t>Cryoinstant (100 vial)</t>
  </si>
  <si>
    <t>Durham Tube 6x50 mm. (100 pcs.)</t>
  </si>
  <si>
    <t>E.C.Broth Modified (500 g.)</t>
  </si>
  <si>
    <t>Ertapenem disc 10 mcg. (50 disc)</t>
  </si>
  <si>
    <t>Erythromycin disc 15 mcg. (50 disc)</t>
  </si>
  <si>
    <t>Etest-Benzylpenicilin PGL32 (30 test/box)</t>
  </si>
  <si>
    <t>Etest-Ceftriaxone TX 256 (30 test/box)</t>
  </si>
  <si>
    <t>Etest-Vancomycin VA256 (30 test/box)</t>
  </si>
  <si>
    <t>Fosfomycin/Trometamol 200 mcg. (50 disc)</t>
  </si>
  <si>
    <t>Gentamycin disc 120 mcg. (50 disc)</t>
  </si>
  <si>
    <t>Haemophilus Test Medium</t>
  </si>
  <si>
    <t>Imipenem 10 mcg. (50 disc)</t>
  </si>
  <si>
    <t>India Ink Stain 300 ml.</t>
  </si>
  <si>
    <t>India Ink Stain 50 x 0.5 ml.</t>
  </si>
  <si>
    <t>Iodine Resublimed (100 g.)</t>
  </si>
  <si>
    <t>Kovac's Reagent 100 ml.</t>
  </si>
  <si>
    <t>Lactose broth (500 g.)</t>
  </si>
  <si>
    <t>Levofloxacin disc 5 mcg. (50 disc)</t>
  </si>
  <si>
    <t>L-J Medium Agar, Slant (25 vials)</t>
  </si>
  <si>
    <t>Macconkey Agar Plate</t>
  </si>
  <si>
    <t>Malonate Broth 3 ml. (50 pcs.)</t>
  </si>
  <si>
    <t>Meropenem disc 10 mcg. (50 disc)</t>
  </si>
  <si>
    <t>Motility Indole Lysine 5 ml. (50 pcs.)</t>
  </si>
  <si>
    <t>Mueller-Hinton Broth (100 pcs.)</t>
  </si>
  <si>
    <t>Nitrofurantoin disc 300 mcg. (50 disc)</t>
  </si>
  <si>
    <t>Norfloxacin disc 10 mcg. (50 disc)</t>
  </si>
  <si>
    <t>Novobiocin disc 5 mcg. (50 disc)</t>
  </si>
  <si>
    <t>Nutrient Agar 500 g.</t>
  </si>
  <si>
    <t>Optochin disc 5 mcg. (50 disc)</t>
  </si>
  <si>
    <t>Oxacillin disc 1 mcg (50 disc)</t>
  </si>
  <si>
    <t>Oxidase 50 ampules</t>
  </si>
  <si>
    <t>Penicillin G 10 Units (50 disc)</t>
  </si>
  <si>
    <t>Pose-Dex Powder (1x120x16.2 gm.)</t>
  </si>
  <si>
    <t>Potassium Iodide (500 g.)</t>
  </si>
  <si>
    <t>PR Arabinose 4 ml. (50 pcs.)</t>
  </si>
  <si>
    <t>S.I.M Medium (500 g.)</t>
  </si>
  <si>
    <t>Sabouraud Dextrose Agar with Chloramphenicol 10 ml Slant (25 vials)</t>
  </si>
  <si>
    <t>Salmonella O GROUP A 2 ml.</t>
  </si>
  <si>
    <t>Salmonella O GROUP B 2 ml.</t>
  </si>
  <si>
    <t>Salmonella O GROUP C 2 ml.</t>
  </si>
  <si>
    <t>Salmonella O GROUP D 2 ml.</t>
  </si>
  <si>
    <t>Salmonella O GROUP E 2 ml.</t>
  </si>
  <si>
    <t>Salmonella O Group F 2 ml.</t>
  </si>
  <si>
    <t>Salmonella O Group G 2 ml.</t>
  </si>
  <si>
    <t>Salmonella O Group H 2 ml.</t>
  </si>
  <si>
    <t>Salmonella O Group I 2 ml.</t>
  </si>
  <si>
    <t>Salmonella O Group L 2 ml.</t>
  </si>
  <si>
    <t>Salmonella POL OMA 2 ml.</t>
  </si>
  <si>
    <t>Salmonella POL OMB 2 ml.</t>
  </si>
  <si>
    <t>Salmonella POL OMC 2 ml.</t>
  </si>
  <si>
    <t>Salmonella Vi antigen 2 ml.</t>
  </si>
  <si>
    <t>Samping loop (500 pcs.) (Needle)</t>
  </si>
  <si>
    <t>Sheep Blood Muller Hinton</t>
  </si>
  <si>
    <t>Simmons Citrate Agar (500 g.)</t>
  </si>
  <si>
    <t>SS Agar Modified (500 g.)</t>
  </si>
  <si>
    <t>Sulfa/Trimetho (BACTRIM) (50 disc)</t>
  </si>
  <si>
    <t>Screw Cap Tube 16x150 mm. (144 pcs.)</t>
  </si>
  <si>
    <t>Tazobactiam (Tazocin) (50 disc)</t>
  </si>
  <si>
    <t>Test Tube 16x125 mm. glass (72 pcs.)</t>
  </si>
  <si>
    <t>Test Tube 16x150 mm. glass (72 pcs.)</t>
  </si>
  <si>
    <t>TCBS Agar (300 g.)</t>
  </si>
  <si>
    <t>Tetrathionate Broth Base (500 g.)</t>
  </si>
  <si>
    <t>Thayer Martin Medium</t>
  </si>
  <si>
    <t>Thioglycollate Fluid Medium (500 g.)</t>
  </si>
  <si>
    <t>Triple Sugar Iron Agar (TSI) (500 g.)</t>
  </si>
  <si>
    <t>Tryptone Soya Agar (TSA) (500 g.)</t>
  </si>
  <si>
    <t>Tryptone Soya Broth (TSB) (500 g.)</t>
  </si>
  <si>
    <t>Urea 40% Solution 5 ml. (10 vials)</t>
  </si>
  <si>
    <t>Urea agar base (500 g.)</t>
  </si>
  <si>
    <t>V Factor disc (50 disc)</t>
  </si>
  <si>
    <t>Vancomycin disc 30 mcg. (50 disc)</t>
  </si>
  <si>
    <t>Vibrio Choleare O1 2 ml.</t>
  </si>
  <si>
    <t>Vibrio Choleare O139 2 ml.</t>
  </si>
  <si>
    <t>Vibrio Choleare Ogawa 2 ml.</t>
  </si>
  <si>
    <t>Vibrio Choleare polyvalent 2 ml.</t>
  </si>
  <si>
    <t>Vibrio Cholerae Inaba 2 ml.</t>
  </si>
  <si>
    <t>X Factor disc (50 disc)</t>
  </si>
  <si>
    <t>X+V Factor disc (50 disc)</t>
  </si>
  <si>
    <t>XLD Medium (500 g.)</t>
  </si>
  <si>
    <t>Glucose Beverage Powder 25 g. (1X10 pcs.)</t>
  </si>
  <si>
    <t>Sticker Barcode 50x20 mm. (2,000 pcs.) มีรอยปรุ (ขนาดแกน 1.5 นิ้ว)</t>
  </si>
  <si>
    <t>Sticker Barcode 50x30 mm. (1,400 pcs.) ไม่มีรอยปรุ (ขนาดแกน 2 นิ้ว)</t>
  </si>
  <si>
    <t>Sticker Barcode 50x30 mm. (2,000 pcs.) ไม่มีรอยปรุ (ขนาดแกน 1.5 นิ้ว)</t>
  </si>
  <si>
    <t>Vacuette Multts Needle No.21Gx1.5 (100 pcs.)</t>
  </si>
  <si>
    <t>กระดาษปริ้นเตอร์ 80x80 mm.</t>
  </si>
  <si>
    <t>Methamphetamine Strip (20 test)</t>
  </si>
  <si>
    <t>Nonvec Procoag Tube 13X75 mm. 4 ml. Screw Cap (1,200 pcs.)</t>
  </si>
  <si>
    <t>Syphilis Test Strip</t>
  </si>
  <si>
    <t>XL Nonvec EDTA Tube 13X75 mm. 3 ml. Screw Cap (1,200 pcs.)</t>
  </si>
  <si>
    <t>Urinanalysis Control Levels 1 and 2 12X12 ml.</t>
  </si>
  <si>
    <t>รวม 293 รายการ · DBR/2570/0009 · แท็บ Lab · หน่วยงาน กลุ่มงานเทคนิคการแพทย์ฯ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</si>
  <si>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LabCOVID</t>
  </si>
  <si>
    <t>ชุดทดสอบหาแอนติเจนต่อเชื้อ SARS-CoV-2 แบบรวดเร็ว (SARS-CoV-2 Rapid Antigen Test)</t>
  </si>
  <si>
    <t>LAB-COVID</t>
  </si>
  <si>
    <t>ชุดน้ำยาตรวจหาเชื้อไวรัสโคโรนา 2019-nCoV Ag และเชื้อไวรัสไข้หวัดใหญ่ ชนิดเอ, เชื้อไวรัสไข้หวัดใหญ่ ชนิดบี แบบรวดเร็ว</t>
  </si>
  <si>
    <t>รวม 2 รายการ · DBR/2570/0010 · แท็บ LabCOVID · หน่วยงาน กลุ่มงานเทคนิคการแพทย์ฯ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</si>
  <si>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พยาธิกายวิภาค</t>
  </si>
  <si>
    <t>Absolute Alcohol 2.5 L.</t>
  </si>
  <si>
    <t>Cover Glass 24 x 60 mm. (10X100 pcs.)</t>
  </si>
  <si>
    <t>Cytorich red,standard 3.8 L.</t>
  </si>
  <si>
    <t>EZ Megafunnel (25 EA)</t>
  </si>
  <si>
    <t>EZ Cytofunnel single (40 EA)</t>
  </si>
  <si>
    <t>Hydrochloric Acid 37% AR 2.5 ลิตร</t>
  </si>
  <si>
    <t>PAP1 Hematoxyline Solution 1,000 ml. (CV LAB)</t>
  </si>
  <si>
    <t>PAP1 Hematoxyline Solution 2,500 ml. (MERCK)</t>
  </si>
  <si>
    <t>PAP2 OG-6 1,000 ml. (CV LAB)</t>
  </si>
  <si>
    <t>PAP2 OG-6 2,500 ml. (MERCK)</t>
  </si>
  <si>
    <t>PAP3 EA-50 1,000 ml. (CV LAB)</t>
  </si>
  <si>
    <t>PAP3 EA-50 2,500 ml. (MERCK)</t>
  </si>
  <si>
    <t>Permout 500 ml.</t>
  </si>
  <si>
    <t>Slide superfrost (50 pcs.)</t>
  </si>
  <si>
    <t>Transfer Pipette Sterile 1 ml. (500 pcs.)</t>
  </si>
  <si>
    <t>Xylene 4 L</t>
  </si>
  <si>
    <t>ชุดน้ำยาและอุปกรณ์เตรียมสไลด์ Non-GYN EasyPrep</t>
  </si>
  <si>
    <t>ชุดอุปกรณ์เตรียมสไลด์ EasyPrep</t>
  </si>
  <si>
    <t>Forcep ขนาด 16 cm. (ไม่มีเขี้ยว ขนาด 6 นิ้ว)</t>
  </si>
  <si>
    <t>รวม 23 รายการ · DBR/2570/0011 · แท็บ พยาธิกายวิภาค · หน่วยงาน กลุ่มงานเทคนิคการแพทย์ฯ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</si>
  <si>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ธนาคารเลือด</t>
  </si>
  <si>
    <t>ถุงสำหรับบรรจุโลหิตชนิด 2 ถุง ขนาด 350 มิลลิลิตร</t>
  </si>
  <si>
    <t>เงินบำรุงรพ.งบ 70 E-Bidding</t>
  </si>
  <si>
    <t>ถุงสำหรับบรรจุโลหิตชนิด 2 ถุง ขนาด 450 มิลลิลิตร</t>
  </si>
  <si>
    <t>ถุงสำหรับบรรจุโลหิตชนิด 3 ถุง ขนาด 450 มิลลิลิตร</t>
  </si>
  <si>
    <t>ถุงสำหรับบรรจุโลหิตชนิด 4 ถุง ขนาด 450 มิลลิลิตร</t>
  </si>
  <si>
    <t>ถุงเจาะเลือดสำหรับกรองเม็ดเลือดขาวออกจากเม็ดเลือดแดง ชนิด 5 ถุง</t>
  </si>
  <si>
    <t>ชุดอุปกรณ์ตัดและเชื่อมสายถุงเลือดอัตโนมัติแบบปราศจากเชื้อ</t>
  </si>
  <si>
    <t>ชุดกรองเม็ดเลือดขาวออกจากเม็ดเลือดแดง</t>
  </si>
  <si>
    <t>น้ำยา Anti-Lea 1x2 ml.</t>
  </si>
  <si>
    <t>น้ำยา Anti-Leb 1x2 ml</t>
  </si>
  <si>
    <t>น้ำยา Anti-Jka 1x2 ml.</t>
  </si>
  <si>
    <t>น้ำยา Anti-Jkb 1x2 ml.</t>
  </si>
  <si>
    <t>น้ำยา Anti-C 1x5 ml.</t>
  </si>
  <si>
    <t>น้ำยา Anti-S 1x2 ml.</t>
  </si>
  <si>
    <t>น้ำยา Anti-s 1x2 ml. (ลำดับ 2)</t>
  </si>
  <si>
    <t>น้ำยา Anti-Fya 1x2 ml.</t>
  </si>
  <si>
    <t>น้ำยา Anti-Fyb 1x2 ml.</t>
  </si>
  <si>
    <t>เงินบำรุงรพ.งบ 70 E-Bidding 727800</t>
  </si>
  <si>
    <t>ชุดเจาะเก็บเม็ดเลือดแดงด้วยเครื่องตรวจอัตโนมัติ</t>
  </si>
  <si>
    <t>เงินบำรุงรพ.งบ 70 วิธีเฉพาะเจาะจงไม่เกินห้าแสน</t>
  </si>
  <si>
    <t>น้ำยารักษาสภาพเกล็ดโลหิต PAS (Platelet Additive Solution) 2 ยูนิต ขนาด 280 มล.</t>
  </si>
  <si>
    <t>ชุดกรองเม็ดเลือดขาวออกจากเกล็ดเลือด</t>
  </si>
  <si>
    <t>แผ่นตรวจค่าฮีโมโกลบิลในผู้บริจาคโลหิต</t>
  </si>
  <si>
    <t>ชุดให้เลือดสำหรับถุง</t>
  </si>
  <si>
    <t>ถุงบรรจุเก็บเกล็ดโลหิตรวม</t>
  </si>
  <si>
    <t>Vac EDTA tube 6 ml.</t>
  </si>
  <si>
    <t>Test tube 12x75 mm. Plastic</t>
  </si>
  <si>
    <t>น้ำยา Anti-e (RH5) 1x5 ml.</t>
  </si>
  <si>
    <t>น้ำยา Anti-K 1x5 ml</t>
  </si>
  <si>
    <t>น้ำยา Anti-k 1x5 ml (ลำดับ 2)</t>
  </si>
  <si>
    <t>เงินบำรุงรพ.งบ 70 วิธีเฉพาะเจาะจงไม่เกินห้าแสน 136500</t>
  </si>
  <si>
    <t>หลอดสกัดเกล็ดเลือดเข้มข้น (PRP Kit 20 CC)</t>
  </si>
  <si>
    <t>ชุดน้ำยาตรวจนับเม็ดเลือดขาวคงค้างในผลิตภัณฑ์โลหิต (ADAM-rWBC) (50 test/Box)</t>
  </si>
  <si>
    <t>เงินบำรุงรพ.งบ 70 วิธีเฉพาะเจาะจงไม่เกินแสน</t>
  </si>
  <si>
    <t>ชุดกรองเม็ดเลือดขาวออกจากเกล็ดเลือดพร้อมถุง Pooling Buffy Coat</t>
  </si>
  <si>
    <t>ชุดเจาะเก็บ Plasma exchange</t>
  </si>
  <si>
    <t>เข็มเจาะปลายนิ้ว</t>
  </si>
  <si>
    <t>ถุงสำหรับแบ่งบรรจุโลหิต ขนาด 150 CC</t>
  </si>
  <si>
    <t>ถุงสำหรับแบ่งบรรจุโลหิต ขนาด 300 CC</t>
  </si>
  <si>
    <t>Vac Serum Clot Activator tube 6 ml.</t>
  </si>
  <si>
    <t>Test tube 13x100 mm Plastic (1,000 pcs.)</t>
  </si>
  <si>
    <t>Rack for tube 7x15 ขนาด 15x15 mm.</t>
  </si>
  <si>
    <t>Pipette Tip 1-200 ul Yellow (1,000 pcs.)</t>
  </si>
  <si>
    <t>Pipette Tip 100-1000 ul Blue (1,000 pcs.)</t>
  </si>
  <si>
    <t>จุกพลาสติก Plug tite 12x13 mm (1,000 pcs.)</t>
  </si>
  <si>
    <t>Acid Elution</t>
  </si>
  <si>
    <t>Anti-D (PHOFINAKL) 10 ml.</t>
  </si>
  <si>
    <t>น้ำยา Anti-A (Murine MoAb) 10 ml.</t>
  </si>
  <si>
    <t>เงินบำรุงรพ.งบ 70 วิธีเฉพาะเจาะจงไม่เกินแสน ศูนย์บริการโลหิตแห่งชาติ สภากาชาดไทย</t>
  </si>
  <si>
    <t>น้ำยา Anti-B (Murine MoAb) 10 ml.</t>
  </si>
  <si>
    <t>น้ำยา Anti-AB (Murine MoAb) 10 ml.</t>
  </si>
  <si>
    <t>น้ำยา Anti-D (IgM/IgG) (Murine MoAb) 10 ml.</t>
  </si>
  <si>
    <t>น้ำยา Anti-Human Globulin (anti-IgG/anti-C3d) (Rabbid and Human MoAb) 10 ml.</t>
  </si>
  <si>
    <t>น้ำยา Anti-Human Globulin (anti-IgG) (Monospecific) Polyclonal Antibody (Rabbit) 10 ml.</t>
  </si>
  <si>
    <t>น้ำยา Alsever's solution (for red blood cells suspension) 400 ml.</t>
  </si>
  <si>
    <t>น้ำยา Anti-H (Murine MoAb) 10 ml.</t>
  </si>
  <si>
    <t>น้ำยา Anti-A1 (Murine MoAb) 10 ml.</t>
  </si>
  <si>
    <t>น้ำยา Anti-E (Murine MoAb) 5 ml.</t>
  </si>
  <si>
    <t>Anti-e (Human MoAb) 5 mL</t>
  </si>
  <si>
    <t>น้ำยา Anti-c (Murine MoAb) 5 ml.</t>
  </si>
  <si>
    <t>น้ำยา Anti-C (Human MoAb) 5 ml.</t>
  </si>
  <si>
    <t>น้ำยา Anti-Mia (Human Polyclonal Ab) 5 ml.</t>
  </si>
  <si>
    <t>น้ำยา Anti-M (Murine MoAb) 10 ml.</t>
  </si>
  <si>
    <t>น้ำยา Anti-N (Murine MoAb) 10 ml.</t>
  </si>
  <si>
    <t>น้ำยา Anti-P1 (Murine MoAb) 5 ml.</t>
  </si>
  <si>
    <t>น้ำยา Anti-Dia (Murine MoAb) 5 ml.</t>
  </si>
  <si>
    <t>น้ำยา 3% A cells,B cell (ABO reverse grouping) 10 ml. (2 bot./set)</t>
  </si>
  <si>
    <t>น้ำยา 3% O1 cells,O2 cells,O3 cells (Antibody screening) 10 ml. (3 bot./set)</t>
  </si>
  <si>
    <t>น้ำยา 3% Panel Cell (O1-O11) (Antibody Identification) 10 ml. (11 bot./set)</t>
  </si>
  <si>
    <t>3% Papainized screening cells (O1, O2, O3) (Antibody Screening) 10 mL</t>
  </si>
  <si>
    <t>น้ำยา 3% Papainized Panel Cell (O1-O11) 10 ml. (11 bot./set)</t>
  </si>
  <si>
    <t>น้ำยา 3% Coombs Control Cell (for antiglobulin test) 10 ml.</t>
  </si>
  <si>
    <t>น้ำยา 3% O Cells (Mia+,Dia+) (Antibody Screening) 10 ml.</t>
  </si>
  <si>
    <t>Leukocyte Poor Packed Red Cells (LPRC)</t>
  </si>
  <si>
    <t>เงินบำรุงรพ.งบ 70 ระเบียบข้อฯ 79 วรรคสอง ศูนย์บริการโลหิตแห่งชาติ สภากาชาดไทย</t>
  </si>
  <si>
    <t>Packed Red Cells (PRC)</t>
  </si>
  <si>
    <t>Leukocyte Poor Pooled Platelet Cone.(LPPC+PAS)</t>
  </si>
  <si>
    <t>Leukodepleted Packed Red Cells (LDPRC) 350 ml.</t>
  </si>
  <si>
    <t>Leukodepleted Packed Red Cells (LDPRC) 450 ml.</t>
  </si>
  <si>
    <t>Irradiated Leukodepleted Plateletpheresis PAS-C</t>
  </si>
  <si>
    <t>Leukodepleted Plateletpheresis PAS-C</t>
  </si>
  <si>
    <t>Heat Treated Freeze Dried Cryoprecipitate (HTFDC) (200 IU/Bottle)</t>
  </si>
  <si>
    <t>เงินบำรุงรพ.งบ 70 ศูนย์บริการโลหิตแห่งชาติ สภากาชาดไทย</t>
  </si>
  <si>
    <t>รวม 77 รายการ · DBR/2570/0012 · แท็บ ธนาคารเลือด · หน่วยงาน งานธนาคารเลือด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</si>
  <si>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ยา</t>
  </si>
  <si>
    <t>[ตลับ50g] UREA in TA1 cream 20% ตลับ50g</t>
  </si>
  <si>
    <t>ยา + ยาเอกซเรย์</t>
  </si>
  <si>
    <t>13933</t>
  </si>
  <si>
    <t>DOTAREM 10 mL (gadolinium contrast media) [X-RAY] 0.5 mmol/mL VIAL</t>
  </si>
  <si>
    <t>135</t>
  </si>
  <si>
    <t>Ergotamine 1 mg +Caffeine 100 mg tablet</t>
  </si>
  <si>
    <t>858</t>
  </si>
  <si>
    <t>LIDOCAINE 1% + EPINEPHRINE 50ML INJ.(1:200000) 1%+(1:200,000) VIAL</t>
  </si>
  <si>
    <t>857</t>
  </si>
  <si>
    <t>LIDOCAINE 2%+ EPINEPHRINE 50ML INJ. 2%+(1:200,000) VIAL</t>
  </si>
  <si>
    <t>13861</t>
  </si>
  <si>
    <t>Posaconazole 100 mg tablet</t>
  </si>
  <si>
    <t>784</t>
  </si>
  <si>
    <t>Ribavirin เฉพาะอายุรแพทย์ทางเดินอาหาร 200 mg TABLET</t>
  </si>
  <si>
    <t>662</t>
  </si>
  <si>
    <t>Vincristine 2 mg/2 mL injection</t>
  </si>
  <si>
    <t>916</t>
  </si>
  <si>
    <t>Voriconazole (VFEND) [งข1] 200 mg TABLET</t>
  </si>
  <si>
    <t>90</t>
  </si>
  <si>
    <t>Chlorpheniramine 4 mg tablet</t>
  </si>
  <si>
    <t>931</t>
  </si>
  <si>
    <t>CLOTRIMAZOLE EAR DROPS 15 mL (CANDID) 1%w/v BOTTLE</t>
  </si>
  <si>
    <t>736</t>
  </si>
  <si>
    <t>Nevirapine 10 mg/mL suspension, 60 mL</t>
  </si>
  <si>
    <t>603</t>
  </si>
  <si>
    <t>Methylene blue 1%, 5 mL injection</t>
  </si>
  <si>
    <t>252</t>
  </si>
  <si>
    <t>Clotrimazole 500 mg vaginal tablet</t>
  </si>
  <si>
    <t>213</t>
  </si>
  <si>
    <t>Primaquine 15 mg tablet</t>
  </si>
  <si>
    <t>673</t>
  </si>
  <si>
    <t>ยาแคปซูลผสมรางจืด 400 mg capsule</t>
  </si>
  <si>
    <t>369</t>
  </si>
  <si>
    <t>Balance salt solution (BSS) 15 mL 13.53%w/v BOTTLE</t>
  </si>
  <si>
    <t>78</t>
  </si>
  <si>
    <t>Salbutamol 2 mg tablet</t>
  </si>
  <si>
    <t>597</t>
  </si>
  <si>
    <t>ยาเม็ดจันทร์ลีลา 500 mg</t>
  </si>
  <si>
    <t>725</t>
  </si>
  <si>
    <t>Albendazole 400 mg/10 mL suspension</t>
  </si>
  <si>
    <t>656</t>
  </si>
  <si>
    <t>ยาธรณีสัณฑฆาต 500 mg CAPSULE</t>
  </si>
  <si>
    <t>35</t>
  </si>
  <si>
    <t>Amiloride 5 mg + Hydrochlorothiazide 50 mg tablet</t>
  </si>
  <si>
    <t>671</t>
  </si>
  <si>
    <t>ยาสหัสธารา 500 mg CAPSULE</t>
  </si>
  <si>
    <t>50</t>
  </si>
  <si>
    <t>Captopril 25 mg tablet</t>
  </si>
  <si>
    <t>655</t>
  </si>
  <si>
    <t>ยาเบญจกูลแคปซูล</t>
  </si>
  <si>
    <t>421</t>
  </si>
  <si>
    <t>Benzthropine mesilate 2 mg/2 mL injection</t>
  </si>
  <si>
    <t>503</t>
  </si>
  <si>
    <t>Ofloxacin 200 mg tablet</t>
  </si>
  <si>
    <t>15685</t>
  </si>
  <si>
    <t>Oxymetazoline 0.025%, 10 mL bottle</t>
  </si>
  <si>
    <t>218</t>
  </si>
  <si>
    <t>Pyrimethamine 25 mg tablet</t>
  </si>
  <si>
    <t>674</t>
  </si>
  <si>
    <t>ยาขิง 500 mg capsule</t>
  </si>
  <si>
    <t>46</t>
  </si>
  <si>
    <t>Prazosin 1 mg tablet</t>
  </si>
  <si>
    <t>10797</t>
  </si>
  <si>
    <t>Loratadine 5 mg/5 mL syrup, 60 mL</t>
  </si>
  <si>
    <t>15531</t>
  </si>
  <si>
    <t>Cyclopentolate 1%, 0.5 mL nebule</t>
  </si>
  <si>
    <t>688</t>
  </si>
  <si>
    <t>ยาตรีผลา capsule</t>
  </si>
  <si>
    <t>18</t>
  </si>
  <si>
    <t>Loperamide 2 mg capsule</t>
  </si>
  <si>
    <t>757</t>
  </si>
  <si>
    <t>Aromatic spirit ammonia 450 mL</t>
  </si>
  <si>
    <t>200</t>
  </si>
  <si>
    <t>Griseofulvin 500 mg tablet</t>
  </si>
  <si>
    <t>431</t>
  </si>
  <si>
    <t>พญายอครีม 5 g</t>
  </si>
  <si>
    <t>14387</t>
  </si>
  <si>
    <t>insulin human 30 iu/mL+isophane insulin 70 iu/mL, 3 mL</t>
  </si>
  <si>
    <t>217</t>
  </si>
  <si>
    <t>Artesunate 60 mg injection</t>
  </si>
  <si>
    <t>332</t>
  </si>
  <si>
    <t>Magnesium sulfate 10%, 10 mL injection</t>
  </si>
  <si>
    <t>632</t>
  </si>
  <si>
    <t>Salbutamol 5 mg/mL nebuliser solution, 20 mL</t>
  </si>
  <si>
    <t>211</t>
  </si>
  <si>
    <t>Zidovudine 10 mg/mL syrup, 60 mL</t>
  </si>
  <si>
    <t>182</t>
  </si>
  <si>
    <t>ERYTHROMYCIN dry syrup 60 mL 125 mg/5 mL BOTTLE</t>
  </si>
  <si>
    <t>452</t>
  </si>
  <si>
    <t>Lamivudine 10 mg/mL, 60 mL syrup</t>
  </si>
  <si>
    <t>653</t>
  </si>
  <si>
    <t>ยามะระขี้นก 500 mg capsule</t>
  </si>
  <si>
    <t>84</t>
  </si>
  <si>
    <t>Aminophylline 250 mg injection</t>
  </si>
  <si>
    <t>596</t>
  </si>
  <si>
    <t>ยาประสะไพลแคปซูล 500 mg</t>
  </si>
  <si>
    <t>384</t>
  </si>
  <si>
    <t>Betamethasone 0.1%+Salicylic acid 3% ointment, 5 g</t>
  </si>
  <si>
    <t>13767</t>
  </si>
  <si>
    <t>Dolutegravir 10 mg dispersible tablet</t>
  </si>
  <si>
    <t>11708</t>
  </si>
  <si>
    <t>Etoposide 25 mg capsule</t>
  </si>
  <si>
    <t>686</t>
  </si>
  <si>
    <t>ยาชงหญ้าดอกขาว 2 g</t>
  </si>
  <si>
    <t>27</t>
  </si>
  <si>
    <t>Digoxin 0.5 mg/2 mL injection</t>
  </si>
  <si>
    <t>372</t>
  </si>
  <si>
    <t>Miconazole oral gel - 10 g</t>
  </si>
  <si>
    <t>499</t>
  </si>
  <si>
    <t>Lidocaine 2% + adrenaline 1:100,000, 1.8 mL</t>
  </si>
  <si>
    <t>426</t>
  </si>
  <si>
    <t>Flumazenil 0.5 mg/5 mL injection</t>
  </si>
  <si>
    <t>325</t>
  </si>
  <si>
    <t>Vitamin B complex injection</t>
  </si>
  <si>
    <t>534</t>
  </si>
  <si>
    <t>Aminophylline 100 mg tablet</t>
  </si>
  <si>
    <t>342</t>
  </si>
  <si>
    <t>Diclofenac 25 mg tablet</t>
  </si>
  <si>
    <t>733</t>
  </si>
  <si>
    <t>LINEZOLID (ZYVOX) (งข1) 600 mg TABLET</t>
  </si>
  <si>
    <t>9111</t>
  </si>
  <si>
    <t>Fluorescein sodium 10% inj., 5 mL</t>
  </si>
  <si>
    <t>387</t>
  </si>
  <si>
    <t>Podophylline paint 15 mL</t>
  </si>
  <si>
    <t>308</t>
  </si>
  <si>
    <t>Sodium bicarbonate 7.5% injection, 10 mL</t>
  </si>
  <si>
    <t>198</t>
  </si>
  <si>
    <t>Sulfamethoxazole 200 mg+Trimethoprim 40 mg susp., 60 mL</t>
  </si>
  <si>
    <t>850</t>
  </si>
  <si>
    <t>Lidocaine 2.5% + Prilocaine 2.5% cream, 30 g</t>
  </si>
  <si>
    <t>248</t>
  </si>
  <si>
    <t>Methylergometrine maleate 0.2 mg/1 mL injection</t>
  </si>
  <si>
    <t>205</t>
  </si>
  <si>
    <t>Pyrazinamide 500 mg tablet</t>
  </si>
  <si>
    <t>14036</t>
  </si>
  <si>
    <t>Mitoxantrone 10 mg/5 mL injection</t>
  </si>
  <si>
    <t>251</t>
  </si>
  <si>
    <t>Clotrimazole 100 mg vaginal tablet</t>
  </si>
  <si>
    <t>423</t>
  </si>
  <si>
    <t>Naloxone 0.4 mg injection</t>
  </si>
  <si>
    <t>96</t>
  </si>
  <si>
    <t>Diazepam 2 mg tablet</t>
  </si>
  <si>
    <t>12916</t>
  </si>
  <si>
    <t>PAXLOVID[Box](Nirmatrelvir 150mg 2s+Ritonavir 100mg 1s) [NED](COVID 19) เฉพาะแพทย์ ID (150 mg)x2+100 mg BOX</t>
  </si>
  <si>
    <t>15858</t>
  </si>
  <si>
    <t>ลูกประคบสมุนไพร 200g</t>
  </si>
  <si>
    <t>14993</t>
  </si>
  <si>
    <t>Tetracaine 0.5% eye drops, 1 mL</t>
  </si>
  <si>
    <t>397</t>
  </si>
  <si>
    <t>Thiopental sodium 1 g injection</t>
  </si>
  <si>
    <t>493</t>
  </si>
  <si>
    <t>Vitamin B12 1,000 mcg injection</t>
  </si>
  <si>
    <t>136</t>
  </si>
  <si>
    <t>Cyproheptadine 4 mg tablet</t>
  </si>
  <si>
    <t>127</t>
  </si>
  <si>
    <t>Paracetamol 325 mg tablet</t>
  </si>
  <si>
    <t>290</t>
  </si>
  <si>
    <t>Acetate ringers solution + Dextrose 5%, 1 L</t>
  </si>
  <si>
    <t>12541</t>
  </si>
  <si>
    <t>Famotidine 20 mg tablet</t>
  </si>
  <si>
    <t>418</t>
  </si>
  <si>
    <t>เซรุ่มแก้พิษงูกะปะ (Malayan pit viper), 10 mL</t>
  </si>
  <si>
    <t>416</t>
  </si>
  <si>
    <t>เซรุ่มแก้พิษงูเขียวหางไหม้ (Green pit viper), 10 mL</t>
  </si>
  <si>
    <t>490</t>
  </si>
  <si>
    <t>เซรุ่มแก้พิษงูทับสมิงคลา (Malayan krait) 10 mL vial</t>
  </si>
  <si>
    <t>419</t>
  </si>
  <si>
    <t>เซรุ่มแก้พิษงูแมวเซา (Russells viper), 10 mL</t>
  </si>
  <si>
    <t>414</t>
  </si>
  <si>
    <t>เซรุ่มแก้พิษงูสามเหลี่ยม (Banded krait), 10 mL</t>
  </si>
  <si>
    <t>415</t>
  </si>
  <si>
    <t>เซรุ่มแก้พิษงูเห่า (Cobra), 10 mL</t>
  </si>
  <si>
    <t>571</t>
  </si>
  <si>
    <t>ยาเพชรสังฆาต 500 mg capsule</t>
  </si>
  <si>
    <t>388</t>
  </si>
  <si>
    <t>Phenol+Salicylic acid 1.5+25% solution, 15 mL</t>
  </si>
  <si>
    <t>125</t>
  </si>
  <si>
    <t>Dimenhydrinate 50 mg injection</t>
  </si>
  <si>
    <t>835</t>
  </si>
  <si>
    <t>Triamcinolone acetonide 10 mg injection</t>
  </si>
  <si>
    <t>458</t>
  </si>
  <si>
    <t>Sodium chloride 0.45%, 500 mL</t>
  </si>
  <si>
    <t>324</t>
  </si>
  <si>
    <t>Vitamin C 500 mg/2 mL injection</t>
  </si>
  <si>
    <t>222</t>
  </si>
  <si>
    <t>Hydrogen peroxide 450 mL</t>
  </si>
  <si>
    <t>360</t>
  </si>
  <si>
    <t>Phenylephrine 10% eye drops, 5 mL</t>
  </si>
  <si>
    <t>71</t>
  </si>
  <si>
    <t>Gemfibrozil 600 mg tablet</t>
  </si>
  <si>
    <t>339</t>
  </si>
  <si>
    <t>ibuprofen 100 mg/5 mL suspension, 60 mL</t>
  </si>
  <si>
    <t>199</t>
  </si>
  <si>
    <t>Sulfadiazine 500 mg tablet</t>
  </si>
  <si>
    <t>442</t>
  </si>
  <si>
    <t>Pseudoephedrine 60 mg tablet</t>
  </si>
  <si>
    <t>4</t>
  </si>
  <si>
    <t>Simethicone 60 mg/0.6 mL drops, 15 mL</t>
  </si>
  <si>
    <t>338</t>
  </si>
  <si>
    <t>Aspirin 300 mg tablet</t>
  </si>
  <si>
    <t>398</t>
  </si>
  <si>
    <t>Ketamine 50mg/mL - 10 mL injection</t>
  </si>
  <si>
    <t>11913</t>
  </si>
  <si>
    <t>Bismuth subsalicylate 1,048 mg tablet</t>
  </si>
  <si>
    <t>91</t>
  </si>
  <si>
    <t>Hydroxyzine 10 mg tablet</t>
  </si>
  <si>
    <t>377</t>
  </si>
  <si>
    <t>Permetrin 1% cream, 20 g (เหา)</t>
  </si>
  <si>
    <t>11343</t>
  </si>
  <si>
    <t>Favipiravir เฉพาะ COVID-19 [NC] 200 mg TABLET</t>
  </si>
  <si>
    <t>3</t>
  </si>
  <si>
    <t>Carminative mixture 180 mL</t>
  </si>
  <si>
    <t>409</t>
  </si>
  <si>
    <t>Lidocaine 1% injection, 50 mL</t>
  </si>
  <si>
    <t>294</t>
  </si>
  <si>
    <t>Dextrose 10% + Sodium chloride 0.9%, 1 L</t>
  </si>
  <si>
    <t>790</t>
  </si>
  <si>
    <t>Mebeverin 135 mg tablet</t>
  </si>
  <si>
    <t>212</t>
  </si>
  <si>
    <t>Chloroquine 250 mg tablet</t>
  </si>
  <si>
    <t>422</t>
  </si>
  <si>
    <t>Activated charcoal 5 g powder</t>
  </si>
  <si>
    <t>746</t>
  </si>
  <si>
    <t>Albendazole 400 mg tablet</t>
  </si>
  <si>
    <t>432</t>
  </si>
  <si>
    <t>ฟ้าทะลายโจรแคปซูล</t>
  </si>
  <si>
    <t>10610</t>
  </si>
  <si>
    <t>Lidocaine 2% (preservative free), 10 mL injection</t>
  </si>
  <si>
    <t>26</t>
  </si>
  <si>
    <t>Digoxin 250 mcg tablet</t>
  </si>
  <si>
    <t>449</t>
  </si>
  <si>
    <t>Tramadol 50 mg injection</t>
  </si>
  <si>
    <t>14390</t>
  </si>
  <si>
    <t>isophane insulin 1,000 iu/10 mL susp injection</t>
  </si>
  <si>
    <t>428</t>
  </si>
  <si>
    <t>Folinic acid 50 mg injection</t>
  </si>
  <si>
    <t>133</t>
  </si>
  <si>
    <t>Pethidine 50mg/mL injection</t>
  </si>
  <si>
    <t>880</t>
  </si>
  <si>
    <t>Lamivudine 150 mg + Zidovudine 300 mg film-coated tablet</t>
  </si>
  <si>
    <t>9</t>
  </si>
  <si>
    <t>Metoclopramide 10 mg tablet</t>
  </si>
  <si>
    <t>694</t>
  </si>
  <si>
    <t>Indomethacin 1 mg injection</t>
  </si>
  <si>
    <t>106</t>
  </si>
  <si>
    <t>Haloperidol 5 mg/mL injection</t>
  </si>
  <si>
    <t>510</t>
  </si>
  <si>
    <t>Regular insulin 30 iu/mL+Isophane insulin 70 iu/mL, 10 mL vial</t>
  </si>
  <si>
    <t>97</t>
  </si>
  <si>
    <t>Diazepam 5 mg tablet</t>
  </si>
  <si>
    <t>450</t>
  </si>
  <si>
    <t>Leucovorin 15 mg tablet</t>
  </si>
  <si>
    <t>15570</t>
  </si>
  <si>
    <t>Betamethasone 0.05%+Salicylic acid 3% ointment, 15 g</t>
  </si>
  <si>
    <t>299</t>
  </si>
  <si>
    <t>Dextrose 5% + Sodium chloride 0.18%, 500 mL</t>
  </si>
  <si>
    <t>124</t>
  </si>
  <si>
    <t>Dimenhydrinate 50 mg tablet</t>
  </si>
  <si>
    <t>109</t>
  </si>
  <si>
    <t>Thioridazine 25 mg tablet</t>
  </si>
  <si>
    <t>846</t>
  </si>
  <si>
    <t>Triamcinolone acetonide 0.1% oral paste, 1 g</t>
  </si>
  <si>
    <t>533</t>
  </si>
  <si>
    <t>Nifedipine 20 mg tablet</t>
  </si>
  <si>
    <t>594</t>
  </si>
  <si>
    <t>ยาธาตุอบเชย 120 mL</t>
  </si>
  <si>
    <t>88</t>
  </si>
  <si>
    <t>Chlorpheniramine 10 mg injection</t>
  </si>
  <si>
    <t>336</t>
  </si>
  <si>
    <t>Vitamin C 100 mg tablet</t>
  </si>
  <si>
    <t>12621</t>
  </si>
  <si>
    <t>Penicillamine 250 mg capsule</t>
  </si>
  <si>
    <t>417</t>
  </si>
  <si>
    <t>เซรุ่มแก้พิษงูจงอาง (King cobra) 10 mL</t>
  </si>
  <si>
    <t>166</t>
  </si>
  <si>
    <t>Penicillin G Sodium 5 MU injection</t>
  </si>
  <si>
    <t>28</t>
  </si>
  <si>
    <t>Digoxin 50 mcg/mL solution, 60 mL</t>
  </si>
  <si>
    <t>677</t>
  </si>
  <si>
    <t>Ritonavir [NC] (RTV) 100 mg TABLET</t>
  </si>
  <si>
    <t>16</t>
  </si>
  <si>
    <t>Lauromacrogol400 1%, 2 mL injection</t>
  </si>
  <si>
    <t>731</t>
  </si>
  <si>
    <t>Capsaicin 0.025% gel - 15 g</t>
  </si>
  <si>
    <t>695</t>
  </si>
  <si>
    <t>FERROUS FUMARATE SYRUP 60 mL (Fe) 25 mg/5 mL BOTTLE</t>
  </si>
  <si>
    <t>253</t>
  </si>
  <si>
    <t>Levonorgestrel 0.15 mg+Ethinylestradiol 0.03 mg tablet</t>
  </si>
  <si>
    <t>386</t>
  </si>
  <si>
    <t>Mometasone 0.1% cream, 5 g</t>
  </si>
  <si>
    <t>165</t>
  </si>
  <si>
    <t>Penicillin V 250 mg tablet</t>
  </si>
  <si>
    <t>361</t>
  </si>
  <si>
    <t>Mydriacyl 1% eye drops, 15 mL</t>
  </si>
  <si>
    <t>316</t>
  </si>
  <si>
    <t>Vitamin K 10 mg/mL injection</t>
  </si>
  <si>
    <t>13237</t>
  </si>
  <si>
    <t>น้ำมันกัญชา THC 1.3% , 5 mL</t>
  </si>
  <si>
    <t>430</t>
  </si>
  <si>
    <t>เจลว่านหางจระเข้</t>
  </si>
  <si>
    <t>239</t>
  </si>
  <si>
    <t>Conjugated estrogens 0.625 mg tablet</t>
  </si>
  <si>
    <t>407</t>
  </si>
  <si>
    <t>Lidocaine 2% injection, 50 mL</t>
  </si>
  <si>
    <t>685</t>
  </si>
  <si>
    <t>Permetrin 5% cream, 30 g</t>
  </si>
  <si>
    <t>41</t>
  </si>
  <si>
    <t>Propranolol 40 mg tablet</t>
  </si>
  <si>
    <t>247</t>
  </si>
  <si>
    <t>Desmopressin 4 mcg/mL injection</t>
  </si>
  <si>
    <t>300</t>
  </si>
  <si>
    <t>Dextrose 5% + Sodium chloride 0.9%, 500 mL</t>
  </si>
  <si>
    <t>63</t>
  </si>
  <si>
    <t>Ephedrine 30 mg/mL injection</t>
  </si>
  <si>
    <t>89</t>
  </si>
  <si>
    <t>Chlorpheniramine 2 mg/5 mL syrup, 60 mL</t>
  </si>
  <si>
    <t>599</t>
  </si>
  <si>
    <t>ยาเถาวัลย์เปรียง 200 mg แคปซูล</t>
  </si>
  <si>
    <t>475</t>
  </si>
  <si>
    <t>Mitomycin C 2 mg injection</t>
  </si>
  <si>
    <t>654</t>
  </si>
  <si>
    <t>ยาหอมเทพจิตร</t>
  </si>
  <si>
    <t>568</t>
  </si>
  <si>
    <t>เซรุ่มแก้พิษงู รวมระบบประสาท, 10 mL</t>
  </si>
  <si>
    <t>567</t>
  </si>
  <si>
    <t>เซรุ่มแก้พิษงู รวมระบบโลหิต, 10 mL</t>
  </si>
  <si>
    <t>139</t>
  </si>
  <si>
    <t>Phenobarbital 60 mg tablet</t>
  </si>
  <si>
    <t>20</t>
  </si>
  <si>
    <t>Bisacodyl 5 mg tablet</t>
  </si>
  <si>
    <t>107</t>
  </si>
  <si>
    <t>Perphenazine 2 mg tablet</t>
  </si>
  <si>
    <t>115</t>
  </si>
  <si>
    <t>Amitriptyline 25 mg tablet</t>
  </si>
  <si>
    <t>7</t>
  </si>
  <si>
    <t>Domperidone 1 mg/mL suspension, 30 mL</t>
  </si>
  <si>
    <t>12858</t>
  </si>
  <si>
    <t>Molnupiravir (MOLCOVIR 200) [ทุกสิทธิ] 200 mg TABLET</t>
  </si>
  <si>
    <t>214</t>
  </si>
  <si>
    <t>Quinine sulfate 300 mg tablet</t>
  </si>
  <si>
    <t>379</t>
  </si>
  <si>
    <t>Calamine lotion 60 mL</t>
  </si>
  <si>
    <t>53</t>
  </si>
  <si>
    <t>Isosorbide dinitrate 5 mg tablet</t>
  </si>
  <si>
    <t>11593</t>
  </si>
  <si>
    <t>Diazoxide 25 mg capsule</t>
  </si>
  <si>
    <t>950</t>
  </si>
  <si>
    <t>Dantrolene 20 mg injection</t>
  </si>
  <si>
    <t>709</t>
  </si>
  <si>
    <t>Clarithromycin 125 mg/5 mL suspension, 60 mL</t>
  </si>
  <si>
    <t>380</t>
  </si>
  <si>
    <t>Betamethasone 0.1% cream, 5 g</t>
  </si>
  <si>
    <t>197</t>
  </si>
  <si>
    <t>Sulfamethoxazole 400 mg+Trimethoprim 80 mg tablet</t>
  </si>
  <si>
    <t>202</t>
  </si>
  <si>
    <t>Isoniazid 100 mg tablet</t>
  </si>
  <si>
    <t>443</t>
  </si>
  <si>
    <t>Sodium chloride 3%, 500 mL</t>
  </si>
  <si>
    <t>58</t>
  </si>
  <si>
    <t>Verapamil 40 mg tablet</t>
  </si>
  <si>
    <t>861</t>
  </si>
  <si>
    <t>Sodium phosphate 2.4 g+diSodium phosphate 0.9 g, 90 mL bottle</t>
  </si>
  <si>
    <t>291</t>
  </si>
  <si>
    <t>Dextrose 10% + Sodium chloride 0.45%, 1 L</t>
  </si>
  <si>
    <t>410</t>
  </si>
  <si>
    <t>Lidocaine 10%, 50 mL spray</t>
  </si>
  <si>
    <t>33</t>
  </si>
  <si>
    <t>Mannitol 20%, 500 mL</t>
  </si>
  <si>
    <t>853</t>
  </si>
  <si>
    <t>Tuberculin purified protien derivative 20 iu</t>
  </si>
  <si>
    <t>574</t>
  </si>
  <si>
    <t>Peritoneal dialysis (PD4)+Dextrose 4.25%, 2 L</t>
  </si>
  <si>
    <t>79</t>
  </si>
  <si>
    <t>Terbutaline sulfate 0.5 mg/1 mL injection</t>
  </si>
  <si>
    <t>362</t>
  </si>
  <si>
    <t>Acetazolamide 250 mg tablet</t>
  </si>
  <si>
    <t>179</t>
  </si>
  <si>
    <t>Doxycycline 100 mg capsule</t>
  </si>
  <si>
    <t>104</t>
  </si>
  <si>
    <t>Haloperidol 2 mg tablet</t>
  </si>
  <si>
    <t>15129</t>
  </si>
  <si>
    <t>Lacosamide 200 mg/20 mL injection</t>
  </si>
  <si>
    <t>745</t>
  </si>
  <si>
    <t>Dicloxacillin 62.5 mg/5 mL dry syrup 60 mL</t>
  </si>
  <si>
    <t>76</t>
  </si>
  <si>
    <t>Salbutamol 100 mcg inhalation, 200 dose</t>
  </si>
  <si>
    <t>15362</t>
  </si>
  <si>
    <t>Sodium chloride 0.9%, 2 L</t>
  </si>
  <si>
    <t>319</t>
  </si>
  <si>
    <t>Multivitamin syrup 60 mL</t>
  </si>
  <si>
    <t>180</t>
  </si>
  <si>
    <t>Gentamicin sulfate 80 mg/2 mL injection</t>
  </si>
  <si>
    <t>75</t>
  </si>
  <si>
    <t>Procaterol 5 mcg/mL syrup, 60 mL bottle</t>
  </si>
  <si>
    <t>321</t>
  </si>
  <si>
    <t>Vitamin B6 50 mg tablet</t>
  </si>
  <si>
    <t>915</t>
  </si>
  <si>
    <t>Voriconazole (VFEND) INJ [งข1] 200 mg VIAL</t>
  </si>
  <si>
    <t>513</t>
  </si>
  <si>
    <t>Oxymetazoline 0.05% nasal spray 10 mL</t>
  </si>
  <si>
    <t>357</t>
  </si>
  <si>
    <t>Fluorometholone 0.1% eye drops, 5 mL</t>
  </si>
  <si>
    <t>231</t>
  </si>
  <si>
    <t>insulin regular 1,000 iu/10 mL injection</t>
  </si>
  <si>
    <t>11331</t>
  </si>
  <si>
    <t>Testosterone enantate 250 mg/1 mL injection</t>
  </si>
  <si>
    <t>577</t>
  </si>
  <si>
    <t>Ethambutol 500 mg tablet</t>
  </si>
  <si>
    <t>259</t>
  </si>
  <si>
    <t>Methotrexate 50 mg injection</t>
  </si>
  <si>
    <t>613</t>
  </si>
  <si>
    <t>Lidocaine 2% + Adrenaline 1:200,000 inj., 20 mL</t>
  </si>
  <si>
    <t>237</t>
  </si>
  <si>
    <t>Propylthiouracil 50 mg tablet</t>
  </si>
  <si>
    <t>593</t>
  </si>
  <si>
    <t>Gemcitabine 200 mg injection</t>
  </si>
  <si>
    <t>13494</t>
  </si>
  <si>
    <t>Multivitamin (oil soluble) emulsion for infusion 10 mL</t>
  </si>
  <si>
    <t>553</t>
  </si>
  <si>
    <t>Triamcinolone 0.1% lotion 30 g</t>
  </si>
  <si>
    <t>14935</t>
  </si>
  <si>
    <t>Emtricitabine + TAF (NC) 200+25 mg TABLET</t>
  </si>
  <si>
    <t>441</t>
  </si>
  <si>
    <t>Hyoscine-n-butylbromide 20 mg injection</t>
  </si>
  <si>
    <t>643</t>
  </si>
  <si>
    <t>Milrinone 10 mg/10 mL injection</t>
  </si>
  <si>
    <t>363</t>
  </si>
  <si>
    <t>Pilocarpine 2% eye drops, 15 mL</t>
  </si>
  <si>
    <t>642</t>
  </si>
  <si>
    <t>Dexamethasone 4 mg tablet</t>
  </si>
  <si>
    <t>254</t>
  </si>
  <si>
    <t>Medroxyprogesterone acetate 150mg/3 mL injection</t>
  </si>
  <si>
    <t>134</t>
  </si>
  <si>
    <t>Methadone 10 mg/mL solution</t>
  </si>
  <si>
    <t>543</t>
  </si>
  <si>
    <t>Oxymetholone 50 mg tablet</t>
  </si>
  <si>
    <t>552</t>
  </si>
  <si>
    <t>Cetirizine 5 mg/5 mL syrup, 60 mL</t>
  </si>
  <si>
    <t>658</t>
  </si>
  <si>
    <t>Etoposide 50 mg capsule</t>
  </si>
  <si>
    <t>5849</t>
  </si>
  <si>
    <t>Iopamidol 370 mg/mL, 50 mL injection</t>
  </si>
  <si>
    <t>523</t>
  </si>
  <si>
    <t>Metronidazole 400 mg tablet</t>
  </si>
  <si>
    <t>959</t>
  </si>
  <si>
    <t>Ivermectin 6 mg tablet</t>
  </si>
  <si>
    <t>95</t>
  </si>
  <si>
    <t>Diazepam 10 mg injection</t>
  </si>
  <si>
    <t>487</t>
  </si>
  <si>
    <t>Lamivudine 150 mg tablet</t>
  </si>
  <si>
    <t>23</t>
  </si>
  <si>
    <t>Benzocaine + Hydrocortisone + Zinc oxide suppository</t>
  </si>
  <si>
    <t>94</t>
  </si>
  <si>
    <t>Dextromethorphan 15 mg tablet</t>
  </si>
  <si>
    <t>116</t>
  </si>
  <si>
    <t>Imipramine 25 mg tablet</t>
  </si>
  <si>
    <t>773</t>
  </si>
  <si>
    <t>Carbamazepine 400 mg tablet</t>
  </si>
  <si>
    <t>203</t>
  </si>
  <si>
    <t>Fluconazole 200 mg capsule</t>
  </si>
  <si>
    <t>896</t>
  </si>
  <si>
    <t>Tenofovir 300 mg tablet</t>
  </si>
  <si>
    <t>274</t>
  </si>
  <si>
    <t>Vinblastine 10 mg injection</t>
  </si>
  <si>
    <t>631</t>
  </si>
  <si>
    <t>Tramadol 50 mg capsule</t>
  </si>
  <si>
    <t>506</t>
  </si>
  <si>
    <t>Phenobarbital 200 mg/1 mL inj.</t>
  </si>
  <si>
    <t>16106</t>
  </si>
  <si>
    <t>Mannitol 20%, 250 mL</t>
  </si>
  <si>
    <t>238</t>
  </si>
  <si>
    <t>Norethisterone 5 mg tablet</t>
  </si>
  <si>
    <t>331</t>
  </si>
  <si>
    <t>Dipotassium phosphate injection - 20 mL</t>
  </si>
  <si>
    <t>10021</t>
  </si>
  <si>
    <t>Clofazimine 50 mg capsule</t>
  </si>
  <si>
    <t>188</t>
  </si>
  <si>
    <t>Norfloxacin 400 mg tablet</t>
  </si>
  <si>
    <t>741</t>
  </si>
  <si>
    <t>Cefoperazone 500 mg +Sulbactam 500 mg injection</t>
  </si>
  <si>
    <t>505</t>
  </si>
  <si>
    <t>Cytarabine 100 mg/5 mL injection</t>
  </si>
  <si>
    <t>201</t>
  </si>
  <si>
    <t>Ethambutol 400 mg tablet</t>
  </si>
  <si>
    <t>196</t>
  </si>
  <si>
    <t>Sulfamethoxazole 400 mg+Trimethoprim 80 mg injection</t>
  </si>
  <si>
    <t>712</t>
  </si>
  <si>
    <t>Tetracosactide 0.25 mg injection</t>
  </si>
  <si>
    <t>648</t>
  </si>
  <si>
    <t>dT vaccine</t>
  </si>
  <si>
    <t>283</t>
  </si>
  <si>
    <t>Sodium chloride 0.45%, 1 L</t>
  </si>
  <si>
    <t>13936</t>
  </si>
  <si>
    <t>Nitrofurantoin 100 mg tablet</t>
  </si>
  <si>
    <t>528</t>
  </si>
  <si>
    <t>Hydrochlorothiazide 25 mg tablet</t>
  </si>
  <si>
    <t>781</t>
  </si>
  <si>
    <t>Itraconazole 100 mg capsule</t>
  </si>
  <si>
    <t>240</t>
  </si>
  <si>
    <t>Estradiol valerate 2 mg tablet</t>
  </si>
  <si>
    <t>918</t>
  </si>
  <si>
    <t>Fludrocortisone 0.1 mg tablet</t>
  </si>
  <si>
    <t>297</t>
  </si>
  <si>
    <t>Dextrose 5% + Sodium chloride 0.3%, 500 mL</t>
  </si>
  <si>
    <t>295</t>
  </si>
  <si>
    <t>Dextrose 5% + Sodium chloride 0.45%, 500 mL</t>
  </si>
  <si>
    <t>181</t>
  </si>
  <si>
    <t>Amikacin 500 mg/2 mL injection</t>
  </si>
  <si>
    <t>14592</t>
  </si>
  <si>
    <t>Caffeine citrate 20 mg/mL injection</t>
  </si>
  <si>
    <t>258</t>
  </si>
  <si>
    <t>Fluorouracil 500 mg injection</t>
  </si>
  <si>
    <t>646</t>
  </si>
  <si>
    <t>Hydrocortisone 10 mg tablet</t>
  </si>
  <si>
    <t>520</t>
  </si>
  <si>
    <t>Povidone iodine 10% solution, 450 mL</t>
  </si>
  <si>
    <t>559</t>
  </si>
  <si>
    <t>Loratadine 10 mg tablet</t>
  </si>
  <si>
    <t>15062</t>
  </si>
  <si>
    <t>Olopatadine 0.1% eye drops, 5 mL</t>
  </si>
  <si>
    <t>110</t>
  </si>
  <si>
    <t>Thioridazine 100 mg tablet</t>
  </si>
  <si>
    <t>175</t>
  </si>
  <si>
    <t>RIFAMPICIN 450 mg CAPSULE</t>
  </si>
  <si>
    <t>429</t>
  </si>
  <si>
    <t>ขมิ้นชันแคปซูล</t>
  </si>
  <si>
    <t>129</t>
  </si>
  <si>
    <t>Paracetamol 60 mg/0.6 mL drops, 15 mL</t>
  </si>
  <si>
    <t>257</t>
  </si>
  <si>
    <t>Cyclophosphamide 50 mg capsule</t>
  </si>
  <si>
    <t>340</t>
  </si>
  <si>
    <t>ibuprofen 400 mg tablet</t>
  </si>
  <si>
    <t>12617</t>
  </si>
  <si>
    <t>TLD Tablet:Tenofovir+Lamivudine+Dolutegravir [NC] (300+300+50) mg TABLET</t>
  </si>
  <si>
    <t>663</t>
  </si>
  <si>
    <t>Dextrose 5% for injection, 50 mL</t>
  </si>
  <si>
    <t>742</t>
  </si>
  <si>
    <t>Vitamin K1 1 mg/0.5 mL injection</t>
  </si>
  <si>
    <t>61</t>
  </si>
  <si>
    <t>Dopamine 250 mg/10 mL injection</t>
  </si>
  <si>
    <t>11863</t>
  </si>
  <si>
    <t>Mitomycin C 10 mg injection</t>
  </si>
  <si>
    <t>382</t>
  </si>
  <si>
    <t>Triamcinolone 0.02% cream</t>
  </si>
  <si>
    <t>13969</t>
  </si>
  <si>
    <t>Gadoteric acid 5 mmol/10 mL injection</t>
  </si>
  <si>
    <t>889</t>
  </si>
  <si>
    <t>Levofloxacin 500 mg tablet</t>
  </si>
  <si>
    <t>489</t>
  </si>
  <si>
    <t>Dapsone 100 mg tablet</t>
  </si>
  <si>
    <t>14720</t>
  </si>
  <si>
    <t>Zinc oxide 7.5% cream, 25 g tube</t>
  </si>
  <si>
    <t>155</t>
  </si>
  <si>
    <t>Amoxicillin 250 mg/5 mL dry syrup, 60 mL</t>
  </si>
  <si>
    <t>350</t>
  </si>
  <si>
    <t>Gramicidin + Neomycin + Polymyxin B, eye drops, 10 mL</t>
  </si>
  <si>
    <t>Gramicidin + Neomycin + Polymyxin B, eye drops, 10 mL (ลำดับ 2)</t>
  </si>
  <si>
    <t>80</t>
  </si>
  <si>
    <t>Procaterol 50 mcg tablet</t>
  </si>
  <si>
    <t>147</t>
  </si>
  <si>
    <t>Trihexyphenidyl 2 mg tablet</t>
  </si>
  <si>
    <t>42</t>
  </si>
  <si>
    <t>Sodium nitroprusside 50 mg injection</t>
  </si>
  <si>
    <t>36</t>
  </si>
  <si>
    <t>Amiodarone 200 mg tablet</t>
  </si>
  <si>
    <t>420</t>
  </si>
  <si>
    <t>Atropine sulfate 0.6 mg/1 mL injection</t>
  </si>
  <si>
    <t>994</t>
  </si>
  <si>
    <t>Vinorelbine 50 mg/5 mL injection</t>
  </si>
  <si>
    <t>408</t>
  </si>
  <si>
    <t>Lidocaine 2% oromucosal solution, 100 mL</t>
  </si>
  <si>
    <t>113</t>
  </si>
  <si>
    <t>Amitriptyline 10 mg tablet</t>
  </si>
  <si>
    <t>6</t>
  </si>
  <si>
    <t>Domperidone 10 mg tablet</t>
  </si>
  <si>
    <t>204</t>
  </si>
  <si>
    <t>Amphotericin B 50 mg injection</t>
  </si>
  <si>
    <t>271</t>
  </si>
  <si>
    <t>Etoposide 100 mg injection</t>
  </si>
  <si>
    <t>447</t>
  </si>
  <si>
    <t>Fluconazole 100mg/50 mL injection</t>
  </si>
  <si>
    <t>10749</t>
  </si>
  <si>
    <t>Tropicamide 0.8%+ Phenylephrine 5%, 5 mL</t>
  </si>
  <si>
    <t>40</t>
  </si>
  <si>
    <t>Propranolol 10 mg tablet</t>
  </si>
  <si>
    <t>759</t>
  </si>
  <si>
    <t>FLUVOXAMINE (FAVERIN)(NED) 100 mg TABLET</t>
  </si>
  <si>
    <t>641</t>
  </si>
  <si>
    <t>Morphine sulfate 10 mg IR tablet</t>
  </si>
  <si>
    <t>272</t>
  </si>
  <si>
    <t>Melphalan 2 mg tablet</t>
  </si>
  <si>
    <t>15027</t>
  </si>
  <si>
    <t>Umeclidinium 62.5 mcg+Vilanterol 25 mcg, 30 dose</t>
  </si>
  <si>
    <t>855</t>
  </si>
  <si>
    <t>Etomidate 20 mg/10 mL injection</t>
  </si>
  <si>
    <t>225</t>
  </si>
  <si>
    <t>Clarithromycin 500 mg tablet</t>
  </si>
  <si>
    <t>370</t>
  </si>
  <si>
    <t>Ofloxacin 0.3% ear drops, 5 mL</t>
  </si>
  <si>
    <t>356</t>
  </si>
  <si>
    <t>Antazoline 0.05%+Tetrazoline 0.04% eye drops, 10 mL</t>
  </si>
  <si>
    <t>15682</t>
  </si>
  <si>
    <t>Aspirin 100 mg tablet</t>
  </si>
  <si>
    <t>54</t>
  </si>
  <si>
    <t>Isosorbide dinitrate 10 mg tablet</t>
  </si>
  <si>
    <t>14845</t>
  </si>
  <si>
    <t>Cytisinicline 1.5 mg tablet</t>
  </si>
  <si>
    <t>827</t>
  </si>
  <si>
    <t>Alendronate sodium 70 mg tablet</t>
  </si>
  <si>
    <t>105</t>
  </si>
  <si>
    <t>Haloperidol 5 mg tablet</t>
  </si>
  <si>
    <t>345</t>
  </si>
  <si>
    <t>Colchicine 0.6 mg tablet</t>
  </si>
  <si>
    <t>190</t>
  </si>
  <si>
    <t>Ciprofloxacin 500 mg tablet</t>
  </si>
  <si>
    <t>570</t>
  </si>
  <si>
    <t>Propafenone 150 mg tablet</t>
  </si>
  <si>
    <t>15943</t>
  </si>
  <si>
    <t>Cyanocobalamin 1 mg tablet</t>
  </si>
  <si>
    <t>676</t>
  </si>
  <si>
    <t>Custodiol 1000 mL</t>
  </si>
  <si>
    <t>146</t>
  </si>
  <si>
    <t>Levodopa 250 mg + Carbidopa 25 mg tablet</t>
  </si>
  <si>
    <t>723</t>
  </si>
  <si>
    <t>Hydralazine 20 mg injection</t>
  </si>
  <si>
    <t>13201</t>
  </si>
  <si>
    <t>Vincristine 1 mg/1 mL injection</t>
  </si>
  <si>
    <t>249</t>
  </si>
  <si>
    <t>Oxytocin 10 iu injection</t>
  </si>
  <si>
    <t>13492</t>
  </si>
  <si>
    <t>Multivitamin (water soluble) powder for injection</t>
  </si>
  <si>
    <t>817</t>
  </si>
  <si>
    <t>Trace element 10 mL injection</t>
  </si>
  <si>
    <t>612</t>
  </si>
  <si>
    <t>Lidocaine 1% + Adrenaline 1:200,000 inj., 20 mL</t>
  </si>
  <si>
    <t>541</t>
  </si>
  <si>
    <t>Cisplatin 50 mg injection</t>
  </si>
  <si>
    <t>117</t>
  </si>
  <si>
    <t>Fluoxetine 20 mg tablet</t>
  </si>
  <si>
    <t>30</t>
  </si>
  <si>
    <t>Furosemide 250 mg/25 mL injection</t>
  </si>
  <si>
    <t>740</t>
  </si>
  <si>
    <t>Chloramphenicol+Dexamethasone+etc 0.5+0.1% eye drops, 5 mL</t>
  </si>
  <si>
    <t>177</t>
  </si>
  <si>
    <t>Imipenam 500 mg + Cilastatin 500 mg injection</t>
  </si>
  <si>
    <t>359</t>
  </si>
  <si>
    <t>Atropine 1% eye drops, 5 mL</t>
  </si>
  <si>
    <t>425</t>
  </si>
  <si>
    <t>Desferrioxamine 500 mg injection</t>
  </si>
  <si>
    <t>969</t>
  </si>
  <si>
    <t>Erlotinib 150 mg tablet</t>
  </si>
  <si>
    <t>114</t>
  </si>
  <si>
    <t>Lithium carbonate 300 mg capsule</t>
  </si>
  <si>
    <t>60</t>
  </si>
  <si>
    <t>Nimodipine 30 mg tablet</t>
  </si>
  <si>
    <t>985</t>
  </si>
  <si>
    <t>Estradiol 0.06% gel , 80 g</t>
  </si>
  <si>
    <t>413</t>
  </si>
  <si>
    <t>Acetylcysteine 300 mg/3 mL injection</t>
  </si>
  <si>
    <t>70</t>
  </si>
  <si>
    <t>Streptokinase 1.5 mu injection</t>
  </si>
  <si>
    <t>659</t>
  </si>
  <si>
    <t>Methylprednisolone 40 mg injection</t>
  </si>
  <si>
    <t>836</t>
  </si>
  <si>
    <t>Triamcinolone acetonide 40 mg injection</t>
  </si>
  <si>
    <t>15342</t>
  </si>
  <si>
    <t>Peritoneal dialysis (PD4)+Dextrose 4.25%, 5 L</t>
  </si>
  <si>
    <t>10578</t>
  </si>
  <si>
    <t>Rituximab 100 mg/10 mL injection</t>
  </si>
  <si>
    <t>111</t>
  </si>
  <si>
    <t>Clozapine 25 mg tablet</t>
  </si>
  <si>
    <t>390</t>
  </si>
  <si>
    <t>Antibody D 1,500 iu/2 mL injection</t>
  </si>
  <si>
    <t>38</t>
  </si>
  <si>
    <t>Atenolol 50 mg tablet</t>
  </si>
  <si>
    <t>807</t>
  </si>
  <si>
    <t>Bicalutamide 50 mg tablet</t>
  </si>
  <si>
    <t>10</t>
  </si>
  <si>
    <t>Metoclopramide 10 mg/2 mL injection</t>
  </si>
  <si>
    <t>10055</t>
  </si>
  <si>
    <t>indocyanine green 25 mg injection</t>
  </si>
  <si>
    <t>304</t>
  </si>
  <si>
    <t>Dextrose 5% for injection, 1 L</t>
  </si>
  <si>
    <t>143</t>
  </si>
  <si>
    <t>Carbamazepine 200 mg tablet</t>
  </si>
  <si>
    <t>45</t>
  </si>
  <si>
    <t>Clonidine 0.15 mg tablet</t>
  </si>
  <si>
    <t>293</t>
  </si>
  <si>
    <t>Dextrose 10% + Sodium chloride 0.18%, 500 mL</t>
  </si>
  <si>
    <t>347</t>
  </si>
  <si>
    <t>Neostigmine 2.5 mg/mL injection</t>
  </si>
  <si>
    <t>13240</t>
  </si>
  <si>
    <t>Flucytosine 500 mg capsule</t>
  </si>
  <si>
    <t>700</t>
  </si>
  <si>
    <t>TENO-EM (FTC/TDF) [NC] 300 + 200 mg TABLET</t>
  </si>
  <si>
    <t>796</t>
  </si>
  <si>
    <t>Tranexamic acid 250 mg capsule</t>
  </si>
  <si>
    <t>910</t>
  </si>
  <si>
    <t>Dacarbazine 100 mg injection</t>
  </si>
  <si>
    <t>320</t>
  </si>
  <si>
    <t>Thiamine (B1) 100 mg/ 1 mL injection</t>
  </si>
  <si>
    <t>273</t>
  </si>
  <si>
    <t>Mercaptopurine 50 mg tablet</t>
  </si>
  <si>
    <t>532</t>
  </si>
  <si>
    <t>Epoetin alfa 4,000 iu vial</t>
  </si>
  <si>
    <t>841</t>
  </si>
  <si>
    <t>Neomycin + Polymyxin b + Dexamethasone, 3.5 g eye oint.</t>
  </si>
  <si>
    <t>189</t>
  </si>
  <si>
    <t>Ciprofloxacin 400 mg/200 mL injection</t>
  </si>
  <si>
    <t>223</t>
  </si>
  <si>
    <t>Povidone iodine 10% solution, 5 L</t>
  </si>
  <si>
    <t>610</t>
  </si>
  <si>
    <t>Lidocaine 1% injection, 20 mL</t>
  </si>
  <si>
    <t>411</t>
  </si>
  <si>
    <t>Bupivacaine (isobaric) 0.5%, 4 mL injection</t>
  </si>
  <si>
    <t>582</t>
  </si>
  <si>
    <t>Risperidone 1 mg/mL solution, 30 mL</t>
  </si>
  <si>
    <t>14709</t>
  </si>
  <si>
    <t>Factor VIII (r) 250 iu injection</t>
  </si>
  <si>
    <t>364</t>
  </si>
  <si>
    <t>Timolol 0.5% eye drops, 5 mL</t>
  </si>
  <si>
    <t>934</t>
  </si>
  <si>
    <t>Trospium 20 mg tablet</t>
  </si>
  <si>
    <t>494</t>
  </si>
  <si>
    <t>Rabies immunoglobulin, human 300 iu/2 mL</t>
  </si>
  <si>
    <t>164</t>
  </si>
  <si>
    <t>Cloxacillin 1 g injection</t>
  </si>
  <si>
    <t>330</t>
  </si>
  <si>
    <t>Calcium gluconate 10% injection, 10 mL</t>
  </si>
  <si>
    <t>102</t>
  </si>
  <si>
    <t>Chlorpromazine 100 mg tablet</t>
  </si>
  <si>
    <t>170</t>
  </si>
  <si>
    <t>Cefotaxime 1 g injection</t>
  </si>
  <si>
    <t>433</t>
  </si>
  <si>
    <t>ไพลครีม 14%, 15 g</t>
  </si>
  <si>
    <t>186</t>
  </si>
  <si>
    <t>Azithromycin 200 mg/5 mL dry syrup, 15 mL</t>
  </si>
  <si>
    <t>17</t>
  </si>
  <si>
    <t>Oral Rehydration Salt (ORS)</t>
  </si>
  <si>
    <t>12144</t>
  </si>
  <si>
    <t>Desmopressin 0.01% nasal drops, 2.5 mL</t>
  </si>
  <si>
    <t>306</t>
  </si>
  <si>
    <t>Potassium chloride 20 meq/10 mL injection</t>
  </si>
  <si>
    <t>12788</t>
  </si>
  <si>
    <t>Peritoneal dialysis (2.3% CAPD19-PD4), 2 L</t>
  </si>
  <si>
    <t>445</t>
  </si>
  <si>
    <t>Dactinomycin 500 mcg injection</t>
  </si>
  <si>
    <t>310</t>
  </si>
  <si>
    <t>Dextrose 10% for injection, 500 mL</t>
  </si>
  <si>
    <t>444</t>
  </si>
  <si>
    <t>Benserazide 25 mg + Levodopa 100 mg disp. tablet</t>
  </si>
  <si>
    <t>14464</t>
  </si>
  <si>
    <t>Tacrolimus 0.5 mg capsule</t>
  </si>
  <si>
    <t>455</t>
  </si>
  <si>
    <t>Urea 20% cream</t>
  </si>
  <si>
    <t>Urea 20% cream (ลำดับ 2)</t>
  </si>
  <si>
    <t>865</t>
  </si>
  <si>
    <t>Montelukast 4 mg granules</t>
  </si>
  <si>
    <t>161</t>
  </si>
  <si>
    <t>Benzathine Penicillin 1.2 MU injection</t>
  </si>
  <si>
    <t>481</t>
  </si>
  <si>
    <t>ยาอมแก้ไอมะแว้ง</t>
  </si>
  <si>
    <t>29</t>
  </si>
  <si>
    <t>Furosemide 20 mg/2 mL injection</t>
  </si>
  <si>
    <t>856</t>
  </si>
  <si>
    <t>Lidocaine 2%, 30 g gel</t>
  </si>
  <si>
    <t>547</t>
  </si>
  <si>
    <t>Alcohol 70% solution, 450 mL</t>
  </si>
  <si>
    <t>675</t>
  </si>
  <si>
    <t>Medroxyprogesterone acetate 5 mg tablet</t>
  </si>
  <si>
    <t>645</t>
  </si>
  <si>
    <t>Morphine sulfate 10 mg/5 mL solution, 60 mL</t>
  </si>
  <si>
    <t>77</t>
  </si>
  <si>
    <t>Salbutamol 2.5 mg nebuliser solution 2.5 mL</t>
  </si>
  <si>
    <t>412</t>
  </si>
  <si>
    <t>Bupivacaine 0.5%, 20 mL injection</t>
  </si>
  <si>
    <t>724</t>
  </si>
  <si>
    <t>Hepatitis B immunoglobulin 180 iu injection</t>
  </si>
  <si>
    <t>367</t>
  </si>
  <si>
    <t>Carbomer 0.2%+Cetimide 0.01%, 10 g</t>
  </si>
  <si>
    <t>404</t>
  </si>
  <si>
    <t>Suxamethonium chloride 500 mg injection</t>
  </si>
  <si>
    <t>704</t>
  </si>
  <si>
    <t>Benzbromarone 100 mg tablet</t>
  </si>
  <si>
    <t>754</t>
  </si>
  <si>
    <t>Codeine 10 mg + Guaifenesin 100 mg tablet</t>
  </si>
  <si>
    <t>12616</t>
  </si>
  <si>
    <t>น้ำมันกัญชา CBD 10% cannabis oil, bottle</t>
  </si>
  <si>
    <t>13451</t>
  </si>
  <si>
    <t>Sucralfate 1 g tablet</t>
  </si>
  <si>
    <t>824</t>
  </si>
  <si>
    <t>Peditrace 10 mL injection</t>
  </si>
  <si>
    <t>375</t>
  </si>
  <si>
    <t>Clotrimazole 1% cream, 15 g</t>
  </si>
  <si>
    <t>557</t>
  </si>
  <si>
    <t>Cefixime 100 mg/5 mL suspension, 30 mL</t>
  </si>
  <si>
    <t>403</t>
  </si>
  <si>
    <t>Rocuronium 50 mg injection</t>
  </si>
  <si>
    <t>5</t>
  </si>
  <si>
    <t>Simethicone 80 mg tablet</t>
  </si>
  <si>
    <t>8</t>
  </si>
  <si>
    <t>Hyoscine-n-butylbromide 10 mg tablet</t>
  </si>
  <si>
    <t>535</t>
  </si>
  <si>
    <t>Mesna 400 mg/4 mL injection</t>
  </si>
  <si>
    <t>108</t>
  </si>
  <si>
    <t>Perphenazine 8 mg tablet</t>
  </si>
  <si>
    <t>680</t>
  </si>
  <si>
    <t>Eptifibatide 20 mg/10 mL injection</t>
  </si>
  <si>
    <t>381</t>
  </si>
  <si>
    <t>Clobetasol 0.05% cream</t>
  </si>
  <si>
    <t>261</t>
  </si>
  <si>
    <t>Dexamethasone 4 mg/1 mL injection</t>
  </si>
  <si>
    <t>521</t>
  </si>
  <si>
    <t>Acyclovir 400 mg tablet</t>
  </si>
  <si>
    <t>333</t>
  </si>
  <si>
    <t>Magnesium sulfate 50%, 2 mL injection</t>
  </si>
  <si>
    <t>118</t>
  </si>
  <si>
    <t>Mianserin 30 mg tablet</t>
  </si>
  <si>
    <t>148</t>
  </si>
  <si>
    <t>Trihexyphenidyl 5 mg tablet</t>
  </si>
  <si>
    <t>885</t>
  </si>
  <si>
    <t>Cycloserine 250 mg tablet</t>
  </si>
  <si>
    <t>268</t>
  </si>
  <si>
    <t>Bleomycin 15 mg injection</t>
  </si>
  <si>
    <t>647</t>
  </si>
  <si>
    <t>Mitoxantrone 20 mg/10 mL injection</t>
  </si>
  <si>
    <t>15161</t>
  </si>
  <si>
    <t>Apixaban 5 mg tablet</t>
  </si>
  <si>
    <t>13768</t>
  </si>
  <si>
    <t>Multivitamin (infant) emulsion for infusion 10 mL</t>
  </si>
  <si>
    <t>478</t>
  </si>
  <si>
    <t>Peritoneal dialysis (2.3% CAPD4), 2 L</t>
  </si>
  <si>
    <t>303</t>
  </si>
  <si>
    <t>Dextrose 5% for injection, 500 mL</t>
  </si>
  <si>
    <t>525</t>
  </si>
  <si>
    <t>Clindamycin 300 mg capsule</t>
  </si>
  <si>
    <t>825</t>
  </si>
  <si>
    <t>Sodium chloride 300 mg tablet</t>
  </si>
  <si>
    <t>85</t>
  </si>
  <si>
    <t>Theophylline 200 mg PR tablet</t>
  </si>
  <si>
    <t>540</t>
  </si>
  <si>
    <t>Adenosine 6 mg/2 mL injection</t>
  </si>
  <si>
    <t>112</t>
  </si>
  <si>
    <t>Clozapine 100 mg tablet</t>
  </si>
  <si>
    <t>317</t>
  </si>
  <si>
    <t>Multivitamin tablet</t>
  </si>
  <si>
    <t>121</t>
  </si>
  <si>
    <t>Ondansetron 8 mg/4 mL injection</t>
  </si>
  <si>
    <t>103</t>
  </si>
  <si>
    <t>Fluphenazine 25 mg/mL injection</t>
  </si>
  <si>
    <t>748</t>
  </si>
  <si>
    <t>Amoxicillin 400 mg+Clavulanate 57 mg susp, 70 mL</t>
  </si>
  <si>
    <t>100</t>
  </si>
  <si>
    <t>Dipotassium clorazepate 5 mg capsule</t>
  </si>
  <si>
    <t>15829</t>
  </si>
  <si>
    <t>Sofosbuvir 400 mg + Velpatasvir 100 mg tablet</t>
  </si>
  <si>
    <t>122</t>
  </si>
  <si>
    <t>Ondansetron 8 mg tablet</t>
  </si>
  <si>
    <t>92</t>
  </si>
  <si>
    <t>Cetirizine 10 mg tablet</t>
  </si>
  <si>
    <t>126</t>
  </si>
  <si>
    <t>Paracetamol 120 mg/5 mL susp, 60 mL</t>
  </si>
  <si>
    <t>55</t>
  </si>
  <si>
    <t>Isosorbide mononitrate 20 mg tablet</t>
  </si>
  <si>
    <t>772</t>
  </si>
  <si>
    <t>Vigabatrin 500 mg tablet</t>
  </si>
  <si>
    <t>9043</t>
  </si>
  <si>
    <t>Peritoneal dialysis (PD4)+Dextrose 1.5%, 5 L</t>
  </si>
  <si>
    <t>64</t>
  </si>
  <si>
    <t>Adrenaline 1 mg/1 mL injection</t>
  </si>
  <si>
    <t>24</t>
  </si>
  <si>
    <t>Oxybutynin 5 mg tablet</t>
  </si>
  <si>
    <t>14</t>
  </si>
  <si>
    <t>Pantoprazole 40 mg injection</t>
  </si>
  <si>
    <t>527</t>
  </si>
  <si>
    <t>Lamivudine 300 mg tablet</t>
  </si>
  <si>
    <t>9214</t>
  </si>
  <si>
    <t>Calcitriol 0.25 mcg capsule</t>
  </si>
  <si>
    <t>12690</t>
  </si>
  <si>
    <t>Dexmedetomidine 200 mcg/2 mL injection</t>
  </si>
  <si>
    <t>344</t>
  </si>
  <si>
    <t>Allopurinol 100 mg tablet</t>
  </si>
  <si>
    <t>9904</t>
  </si>
  <si>
    <t>Labetalol 100 mg/20 mL injection</t>
  </si>
  <si>
    <t>451</t>
  </si>
  <si>
    <t>Nimodipine 10 mg/50 mL injection</t>
  </si>
  <si>
    <t>987</t>
  </si>
  <si>
    <t>Progesterone 200 mg capsule</t>
  </si>
  <si>
    <t>302</t>
  </si>
  <si>
    <t>Dextrose 5% for injection, 100 mL</t>
  </si>
  <si>
    <t>1</t>
  </si>
  <si>
    <t>Aluminium+Magnesium hydroxide susp, 240 mL bottle</t>
  </si>
  <si>
    <t>131</t>
  </si>
  <si>
    <t>Morphine sulfate 10 mg/1 mL injection</t>
  </si>
  <si>
    <t>687</t>
  </si>
  <si>
    <t>(หน่วย:เม็ด/จ่ายเต็มกล่อง 30 เม็ด) Dasatinib [CMT, บัตรทอง ปสก, ห้างร้าน, จ2] 70 mg TABLET</t>
  </si>
  <si>
    <t>945</t>
  </si>
  <si>
    <t>Entecavir 500 mcg tablet</t>
  </si>
  <si>
    <t>368</t>
  </si>
  <si>
    <t>Balance salt solution 500 mL</t>
  </si>
  <si>
    <t>31</t>
  </si>
  <si>
    <t>Furosemide 40 mg tablet</t>
  </si>
  <si>
    <t>778</t>
  </si>
  <si>
    <t>Azithromycin 500 mg injection</t>
  </si>
  <si>
    <t>464</t>
  </si>
  <si>
    <t>Aluminium hydroxide 500 mg chewable tablet</t>
  </si>
  <si>
    <t>639</t>
  </si>
  <si>
    <t>Tetanus immunoglobulin, human (TIg) 250 iu/mL injection</t>
  </si>
  <si>
    <t>1053</t>
  </si>
  <si>
    <t>Zoledronic acid 4 mg/5 mL injection</t>
  </si>
  <si>
    <t>974</t>
  </si>
  <si>
    <t>Dorzolamide 2%+Timolol 0.5% eye drops, 5 mL</t>
  </si>
  <si>
    <t>14128</t>
  </si>
  <si>
    <t>Dasatinib 70 mg tablet</t>
  </si>
  <si>
    <t>531</t>
  </si>
  <si>
    <t>Epoetin alfa 4,000 iu injection</t>
  </si>
  <si>
    <t>373</t>
  </si>
  <si>
    <t>Silver sulfadiazine 1% cream, 500 g</t>
  </si>
  <si>
    <t>140</t>
  </si>
  <si>
    <t>Phenytoin 50 mg tablet</t>
  </si>
  <si>
    <t>791</t>
  </si>
  <si>
    <t>Methyldopa 250 mg tablet</t>
  </si>
  <si>
    <t>2</t>
  </si>
  <si>
    <t>Milk of magnesia suspension 240 mL</t>
  </si>
  <si>
    <t>160</t>
  </si>
  <si>
    <t>Ampicillin 1 g injection</t>
  </si>
  <si>
    <t>849</t>
  </si>
  <si>
    <t>Betamethasone 0.5 mg + Calcipotriol 50 mcg oint, 15 g</t>
  </si>
  <si>
    <t>334</t>
  </si>
  <si>
    <t>Ferrous fumarate 15 mg/0.6 mL drops, 15 mL</t>
  </si>
  <si>
    <t>142</t>
  </si>
  <si>
    <t>Sodium valproate 200 mg/mL oral solution, 60 mL</t>
  </si>
  <si>
    <t>405</t>
  </si>
  <si>
    <t>Midazolam 5 mg/mL injection</t>
  </si>
  <si>
    <t>564</t>
  </si>
  <si>
    <t>Gemcitabine 1 g injection</t>
  </si>
  <si>
    <t>149</t>
  </si>
  <si>
    <t>Baclofen 10 mg tablet</t>
  </si>
  <si>
    <t>576</t>
  </si>
  <si>
    <t>Docetaxel 20 mg injection</t>
  </si>
  <si>
    <t>11706</t>
  </si>
  <si>
    <t>Dolutegravir 50 mg tablet</t>
  </si>
  <si>
    <t>83</t>
  </si>
  <si>
    <t>Alcohol 95% solution 18 ลิตร</t>
  </si>
  <si>
    <t>874</t>
  </si>
  <si>
    <t>Triptorelin 11.25 mg injection</t>
  </si>
  <si>
    <t>67</t>
  </si>
  <si>
    <t>Warfarin sodium 5 mg tablet</t>
  </si>
  <si>
    <t>307</t>
  </si>
  <si>
    <t>Ringers lactate solution 1 L</t>
  </si>
  <si>
    <t>14404</t>
  </si>
  <si>
    <t>Cefixime 100 mg capsule</t>
  </si>
  <si>
    <t>710</t>
  </si>
  <si>
    <t>Fluticasone 100 mcg + Salmeterol 50 mcg, 60 dose actuation</t>
  </si>
  <si>
    <t>814</t>
  </si>
  <si>
    <t>Amino acid 7.2%, 500 mL injection</t>
  </si>
  <si>
    <t>12019</t>
  </si>
  <si>
    <t>Mesalazine 1 g suppository</t>
  </si>
  <si>
    <t>235</t>
  </si>
  <si>
    <t>Levothyroxine sodium 100 mcg tablet</t>
  </si>
  <si>
    <t>13757</t>
  </si>
  <si>
    <t>Bortezomib 3.5 mg injection</t>
  </si>
  <si>
    <t>305</t>
  </si>
  <si>
    <t>Dextrose 50% injection, 50 mL</t>
  </si>
  <si>
    <t>168</t>
  </si>
  <si>
    <t>Amoxicillin 1 g+Clavulanate 0.2 g injection</t>
  </si>
  <si>
    <t>62</t>
  </si>
  <si>
    <t>Dobutamine 250 mg/20 mL injection</t>
  </si>
  <si>
    <t>15385</t>
  </si>
  <si>
    <t>Oseltamivir 6 mg/mL suspension, 60 mL</t>
  </si>
  <si>
    <t>270</t>
  </si>
  <si>
    <t>Doxorubicin 50 mg injection</t>
  </si>
  <si>
    <t>12020</t>
  </si>
  <si>
    <t>Mesalazine 1 g enema</t>
  </si>
  <si>
    <t>158</t>
  </si>
  <si>
    <t>Amoxicillin 500 mg capsule</t>
  </si>
  <si>
    <t>514</t>
  </si>
  <si>
    <t>Methotrexate 1 g injection</t>
  </si>
  <si>
    <t>14875</t>
  </si>
  <si>
    <t>Peritoneal dialysis (PD4)+Dextrose 1.5%, 5 L (ลำดับ 2)</t>
  </si>
  <si>
    <t>14400</t>
  </si>
  <si>
    <t>Morphine sulfate 10 mg PR tablet</t>
  </si>
  <si>
    <t>32</t>
  </si>
  <si>
    <t>Furosemide 500 mg tablet</t>
  </si>
  <si>
    <t>49</t>
  </si>
  <si>
    <t>Enalapril maleate 20 mg tablet</t>
  </si>
  <si>
    <t>145</t>
  </si>
  <si>
    <t>Phenytoin sodium 250 mg/5 mL injection</t>
  </si>
  <si>
    <t>1059</t>
  </si>
  <si>
    <t>Olodaterol 2.5 mcg +Tiotropium 2.5 mcg, 60 dose</t>
  </si>
  <si>
    <t>266</t>
  </si>
  <si>
    <t>Tamoxifen 20 mg tablet</t>
  </si>
  <si>
    <t>236</t>
  </si>
  <si>
    <t>Methimazole 5 mg tablet</t>
  </si>
  <si>
    <t>10313</t>
  </si>
  <si>
    <t>Brimonidine 0.2% eye drops, 5 mL</t>
  </si>
  <si>
    <t>162</t>
  </si>
  <si>
    <t>Dicloxacillin 250 mg capsule</t>
  </si>
  <si>
    <t>318</t>
  </si>
  <si>
    <t>Multivitamin drops, 15 mL</t>
  </si>
  <si>
    <t>52</t>
  </si>
  <si>
    <t>Glyceryl trinitrate 50 mg/10 mL injection</t>
  </si>
  <si>
    <t>524</t>
  </si>
  <si>
    <t>Hepatitis B vaccine 20 mcg/mL injection</t>
  </si>
  <si>
    <t>192</t>
  </si>
  <si>
    <t>Metronidazole 500 mg/100 mL injection</t>
  </si>
  <si>
    <t>383</t>
  </si>
  <si>
    <t>Triamcinolone acetonide 0.1% cream</t>
  </si>
  <si>
    <t>9602</t>
  </si>
  <si>
    <t>Cyclophosphamide 1 g injection</t>
  </si>
  <si>
    <t>14629</t>
  </si>
  <si>
    <t>Peritoneal dialysis (2.3% CAPD19 COL) 6 L</t>
  </si>
  <si>
    <t>207</t>
  </si>
  <si>
    <t>Acyclovir 250 mg injection</t>
  </si>
  <si>
    <t>9751</t>
  </si>
  <si>
    <t>Imatinib 100 mg tablet</t>
  </si>
  <si>
    <t>14349</t>
  </si>
  <si>
    <t>Amantadine hydrochloride 100 mg tablet</t>
  </si>
  <si>
    <t>435</t>
  </si>
  <si>
    <t>Sodium valproate 400 mg injection</t>
  </si>
  <si>
    <t>130</t>
  </si>
  <si>
    <t>Fentanyl 0.1 mg/2 mL injection</t>
  </si>
  <si>
    <t>394</t>
  </si>
  <si>
    <t>Rabies immunoglobulin, horse 1,000 iu/5 mL (ERIG)</t>
  </si>
  <si>
    <t>48</t>
  </si>
  <si>
    <t>Enalapril maleate 5 mg tablet</t>
  </si>
  <si>
    <t>14574</t>
  </si>
  <si>
    <t>Gabapentin 100 mg capsule</t>
  </si>
  <si>
    <t>14621</t>
  </si>
  <si>
    <t>ยาน้ำแก้ไอผสมมะขามป้อม</t>
  </si>
  <si>
    <t>233</t>
  </si>
  <si>
    <t>Glipizide 5 mg tablet</t>
  </si>
  <si>
    <t>206</t>
  </si>
  <si>
    <t>Rifampicin 300 mg capsule</t>
  </si>
  <si>
    <t>15220</t>
  </si>
  <si>
    <t>Peritoneal dialysis (PD4)+Dextrose 2.5%, 5 L</t>
  </si>
  <si>
    <t>301</t>
  </si>
  <si>
    <t>Dextrose 5% + Sodium chloride 0.9%, 1 L</t>
  </si>
  <si>
    <t>193</t>
  </si>
  <si>
    <t>Clindamycin phosphate 600 mg/4 mL injection</t>
  </si>
  <si>
    <t>854</t>
  </si>
  <si>
    <t>Bupivacaine (spinal heavy) 0.5%, 4 mL injection</t>
  </si>
  <si>
    <t>476</t>
  </si>
  <si>
    <t>Norepinephrine 4 mg/4 mL injection</t>
  </si>
  <si>
    <t>437</t>
  </si>
  <si>
    <t>Diethylcarbamazine 300 mg tablet</t>
  </si>
  <si>
    <t>11540</t>
  </si>
  <si>
    <t>Olanzapine 10 mg tablet</t>
  </si>
  <si>
    <t>797</t>
  </si>
  <si>
    <t>Tranexamic acid 250 mg, 5 mL injection</t>
  </si>
  <si>
    <t>25</t>
  </si>
  <si>
    <t>Ursodeoxycholic acid 250 mg capsule</t>
  </si>
  <si>
    <t>288</t>
  </si>
  <si>
    <t>Water for injection, 100 mL</t>
  </si>
  <si>
    <t>37</t>
  </si>
  <si>
    <t>Amiodarone 150 mg/3 mL injection</t>
  </si>
  <si>
    <t>185</t>
  </si>
  <si>
    <t>Azithromycin 250 mg capsule</t>
  </si>
  <si>
    <t>10579</t>
  </si>
  <si>
    <t>Rituximab 500 mg/50 mL injection</t>
  </si>
  <si>
    <t>636</t>
  </si>
  <si>
    <t>Mesalazine 400 mg tablet</t>
  </si>
  <si>
    <t>337</t>
  </si>
  <si>
    <t>Ferrous fumarate 200 mg tablet</t>
  </si>
  <si>
    <t>902</t>
  </si>
  <si>
    <t>Colistin 150 mg injection</t>
  </si>
  <si>
    <t>73</t>
  </si>
  <si>
    <t>Verapamil 240 mg SR tablet</t>
  </si>
  <si>
    <t>454</t>
  </si>
  <si>
    <t>Urea 10% cream</t>
  </si>
  <si>
    <t>Urea 10% cream (ลำดับ 2)</t>
  </si>
  <si>
    <t>882</t>
  </si>
  <si>
    <t>Sodium chloride 0.9%, 5 mL</t>
  </si>
  <si>
    <t>705</t>
  </si>
  <si>
    <t>Warfarin sodium 2 mg tablet</t>
  </si>
  <si>
    <t>558</t>
  </si>
  <si>
    <t>Omeprazole 40 mg injection</t>
  </si>
  <si>
    <t>309</t>
  </si>
  <si>
    <t>Sodium bicarbonate 7.5%, 50 mL injection</t>
  </si>
  <si>
    <t>618</t>
  </si>
  <si>
    <t>Betahistine 12 mg tablet</t>
  </si>
  <si>
    <t>262</t>
  </si>
  <si>
    <t>Hydrocortisone 100 mg injection</t>
  </si>
  <si>
    <t>99</t>
  </si>
  <si>
    <t>Lorazepam 1 mg tablet</t>
  </si>
  <si>
    <t>278</t>
  </si>
  <si>
    <t>Megestrol acetate 160 mg tablet</t>
  </si>
  <si>
    <t>156</t>
  </si>
  <si>
    <t>Topiramate 50 mg tablet</t>
  </si>
  <si>
    <t>66</t>
  </si>
  <si>
    <t>Warfarin sodium 3 mg tablet</t>
  </si>
  <si>
    <t>47</t>
  </si>
  <si>
    <t>Doxazosin 2 mg tablet</t>
  </si>
  <si>
    <t>119</t>
  </si>
  <si>
    <t>Trazodone 50 mg tablet</t>
  </si>
  <si>
    <t>69</t>
  </si>
  <si>
    <t>Water for injection, 1 L</t>
  </si>
  <si>
    <t>282</t>
  </si>
  <si>
    <t>Sodium bicarbonate 300 mg tablet</t>
  </si>
  <si>
    <t>14394</t>
  </si>
  <si>
    <t>Sildenafil 20 mg tablet</t>
  </si>
  <si>
    <t>14405</t>
  </si>
  <si>
    <t>Finasteride 5 mg tablet</t>
  </si>
  <si>
    <t>14603</t>
  </si>
  <si>
    <t>Desoximethasone 0.25% cream, 30 g</t>
  </si>
  <si>
    <t>34</t>
  </si>
  <si>
    <t>Spironolactone 25 mg tablet</t>
  </si>
  <si>
    <t>738</t>
  </si>
  <si>
    <t>Prednisolone 1% eye drops, 5 mL</t>
  </si>
  <si>
    <t>171</t>
  </si>
  <si>
    <t>Ceftazidime 1 g injection</t>
  </si>
  <si>
    <t>565</t>
  </si>
  <si>
    <t>Iodine 0.15 mg+Folic acid 0.4 mg+Iron 60.81 mg tablet</t>
  </si>
  <si>
    <t>44</t>
  </si>
  <si>
    <t>Hydralazine 25 mg tablet</t>
  </si>
  <si>
    <t>427</t>
  </si>
  <si>
    <t>Protamine sulfate 50 mg/5 mL injection</t>
  </si>
  <si>
    <t>1000</t>
  </si>
  <si>
    <t>Amino acid 3%+ Dextrose 7.5% injection, 1 L</t>
  </si>
  <si>
    <t>822</t>
  </si>
  <si>
    <t>Amino acid 10% solution,100 mL</t>
  </si>
  <si>
    <t>1068</t>
  </si>
  <si>
    <t>BCG, live attenuated 200 million cfu injection</t>
  </si>
  <si>
    <t>13454</t>
  </si>
  <si>
    <t>Quetiapine 200 mg tablet</t>
  </si>
  <si>
    <t>747</t>
  </si>
  <si>
    <t>Peritoneal dialysis (PD4)+Dextrose 2.5%, 5 L (ลำดับ 2)</t>
  </si>
  <si>
    <t>14347</t>
  </si>
  <si>
    <t>Dolutegravir 50 mg + Emtricitabine 200 mg + Tenofovir (TAF) 25 mg tablet</t>
  </si>
  <si>
    <t>713</t>
  </si>
  <si>
    <t>Lipid emulsion 20%, 100 mL</t>
  </si>
  <si>
    <t>624</t>
  </si>
  <si>
    <t>Hypromellose 0.3% eye drops, 10 mL</t>
  </si>
  <si>
    <t>667</t>
  </si>
  <si>
    <t>Folinic acid 300 mg injection</t>
  </si>
  <si>
    <t>128</t>
  </si>
  <si>
    <t>Paracetamol 500 mg tablet</t>
  </si>
  <si>
    <t>925</t>
  </si>
  <si>
    <t>Risperidone 1 mg tablet</t>
  </si>
  <si>
    <t>82</t>
  </si>
  <si>
    <t>Fenoterol 50 mcg+Ipratropium 20 mcg, 200 dose actuation</t>
  </si>
  <si>
    <t>961</t>
  </si>
  <si>
    <t>Levetiracetam 100 mg/mL solution, 300 mL</t>
  </si>
  <si>
    <t>12786</t>
  </si>
  <si>
    <t>Peritoneal dialysis (1.5% CAPD17-PD4), 2 L</t>
  </si>
  <si>
    <t>11641</t>
  </si>
  <si>
    <t>Naproxen sodium 275 mg tablet</t>
  </si>
  <si>
    <t>263</t>
  </si>
  <si>
    <t>Prednisolone 5 mg tablet</t>
  </si>
  <si>
    <t>929</t>
  </si>
  <si>
    <t>Ispaghula husk 3.5 g/5 g granules</t>
  </si>
  <si>
    <t>289</t>
  </si>
  <si>
    <t>Acetate ringers solution, 1 L</t>
  </si>
  <si>
    <t>496</t>
  </si>
  <si>
    <t>Aspirin 81 mg tablet</t>
  </si>
  <si>
    <t>285</t>
  </si>
  <si>
    <t>Sodium chloride 0.9%, 500 mL</t>
  </si>
  <si>
    <t>14463</t>
  </si>
  <si>
    <t>Tacrolimus 1 mg capsule</t>
  </si>
  <si>
    <t>536</t>
  </si>
  <si>
    <t>Cytarabine 2 g injection</t>
  </si>
  <si>
    <t>374</t>
  </si>
  <si>
    <t>Mupirocin 2% ointment, 5 g</t>
  </si>
  <si>
    <t>154</t>
  </si>
  <si>
    <t>Fenoterol 31.25 mg+Ipratropium 12.5 mg, 4 mL nebule</t>
  </si>
  <si>
    <t>459</t>
  </si>
  <si>
    <t>Potassium chloride 100 mg/mL syrup</t>
  </si>
  <si>
    <t>864</t>
  </si>
  <si>
    <t>Carvedilol 25 mg tablet</t>
  </si>
  <si>
    <t>13587</t>
  </si>
  <si>
    <t>Pancreatin 400 mg capsule</t>
  </si>
  <si>
    <t>39</t>
  </si>
  <si>
    <t>Metoprolol 100 mg tablet</t>
  </si>
  <si>
    <t>226</t>
  </si>
  <si>
    <t>Ganciclovir 500 mg injection</t>
  </si>
  <si>
    <t>911</t>
  </si>
  <si>
    <t>Dacarbazine 500 mg injection</t>
  </si>
  <si>
    <t>12887</t>
  </si>
  <si>
    <t>Iopamidol 370 mg/mL, 100 mL injection</t>
  </si>
  <si>
    <t>265</t>
  </si>
  <si>
    <t>Methylprednisolone 1 g injection</t>
  </si>
  <si>
    <t>614</t>
  </si>
  <si>
    <t>Fluticasone propionate 125 mcg, 120 dose actuation</t>
  </si>
  <si>
    <t>280</t>
  </si>
  <si>
    <t>Folic acid 5 mg tablet</t>
  </si>
  <si>
    <t>371</t>
  </si>
  <si>
    <t>Budesonide 64 mcg spray-120 dose</t>
  </si>
  <si>
    <t>509</t>
  </si>
  <si>
    <t>Fluticasone 125 mcg + Salmeterol 25 mcg, 120 dose actuation</t>
  </si>
  <si>
    <t>701</t>
  </si>
  <si>
    <t>Capecitabine 500 mg tablet</t>
  </si>
  <si>
    <t>872</t>
  </si>
  <si>
    <t>Amoxicillin 875 mg+Clavulanate 125 mg tablet</t>
  </si>
  <si>
    <t>12930</t>
  </si>
  <si>
    <t>Epoetin alfa 4,000 iu injection (ลำดับ 2)</t>
  </si>
  <si>
    <t>851</t>
  </si>
  <si>
    <t>Acitretin 10 mg capsule</t>
  </si>
  <si>
    <t>312</t>
  </si>
  <si>
    <t>Peritoneal dialysis (PD4)+Dextrose 2.5%, 2 L</t>
  </si>
  <si>
    <t>195</t>
  </si>
  <si>
    <t>Vancomycin 500 mg injection</t>
  </si>
  <si>
    <t>153</t>
  </si>
  <si>
    <t>Fentanyl 25 mcg/1 hr transdermal patch</t>
  </si>
  <si>
    <t>561</t>
  </si>
  <si>
    <t>Montelukast sodium 5 mg tablet</t>
  </si>
  <si>
    <t>260</t>
  </si>
  <si>
    <t>Methotrexate 2.5 mg tablet</t>
  </si>
  <si>
    <t>15020</t>
  </si>
  <si>
    <t>Amino acid+Dextrose+Lipids (Peripheral) emulsion for infusion, 1448 mL</t>
  </si>
  <si>
    <t>9114</t>
  </si>
  <si>
    <t>Infliximab 100 mg injection</t>
  </si>
  <si>
    <t>14386</t>
  </si>
  <si>
    <t>isophane insulin 300 iu/3 mL injection</t>
  </si>
  <si>
    <t>591</t>
  </si>
  <si>
    <t>Letrozole 2.5 mg tablet</t>
  </si>
  <si>
    <t>526</t>
  </si>
  <si>
    <t>Pioglitazone 30 mg tablet</t>
  </si>
  <si>
    <t>914</t>
  </si>
  <si>
    <t>Potassium chloride 500 mg tablet</t>
  </si>
  <si>
    <t>549</t>
  </si>
  <si>
    <t>Peritoneal dialysis (PD2) +Dextrose 1.5%, 5 L</t>
  </si>
  <si>
    <t>550</t>
  </si>
  <si>
    <t>Peritoneal dialysis (PD2)+Dextrose 2.5%, 5 L</t>
  </si>
  <si>
    <t>581</t>
  </si>
  <si>
    <t>Epoetin alfa 4,000 iu vial (ลำดับ 2)</t>
  </si>
  <si>
    <t>87</t>
  </si>
  <si>
    <t>Montelukast sodium 10 mg tablet</t>
  </si>
  <si>
    <t>264</t>
  </si>
  <si>
    <t>Azathioprine 50 mg tablet</t>
  </si>
  <si>
    <t>9595</t>
  </si>
  <si>
    <t>Fluorouracil (5-FU) 1 g, 20 mL injection</t>
  </si>
  <si>
    <t>150</t>
  </si>
  <si>
    <t>Benserazide 25 mg + Levodopa 100 mg PR capsule</t>
  </si>
  <si>
    <t>572</t>
  </si>
  <si>
    <t>Peritoneal dialysis (PD4)+Dextrose 1.5%, 2 L</t>
  </si>
  <si>
    <t>396</t>
  </si>
  <si>
    <t>Propofol 1% injection - 20 mL</t>
  </si>
  <si>
    <t>13399</t>
  </si>
  <si>
    <t>Amino acid+Dextrose+Lipids (Central) emulsion, 986 mL</t>
  </si>
  <si>
    <t>13448</t>
  </si>
  <si>
    <t>Ropinirole 4 mg tablet</t>
  </si>
  <si>
    <t>349</t>
  </si>
  <si>
    <t>Hydroxychloroquine 200 mg tablet</t>
  </si>
  <si>
    <t>952</t>
  </si>
  <si>
    <t>Desflurane 240 mL</t>
  </si>
  <si>
    <t>296</t>
  </si>
  <si>
    <t>Dextrose 5% + Sodium chloride 0.45%, 1 L</t>
  </si>
  <si>
    <t>19</t>
  </si>
  <si>
    <t>Sulfasalazine 500 mg tablet</t>
  </si>
  <si>
    <t>15</t>
  </si>
  <si>
    <t>Octreotide 0.1 mg/mL injection</t>
  </si>
  <si>
    <t>630</t>
  </si>
  <si>
    <t>Nicardipine 10 mg/10 mL injection</t>
  </si>
  <si>
    <t>395</t>
  </si>
  <si>
    <t>Rabies vaccine 2.5 iu/0.5 mL injection</t>
  </si>
  <si>
    <t>276</t>
  </si>
  <si>
    <t>Hydroxycarbamide 500 mg capsule</t>
  </si>
  <si>
    <t>869</t>
  </si>
  <si>
    <t>Donepezil 10 mg tablet</t>
  </si>
  <si>
    <t>65</t>
  </si>
  <si>
    <t>Heparin sodium 25,000 unit/5 mL</t>
  </si>
  <si>
    <t>378</t>
  </si>
  <si>
    <t>Methyl salicylate 12.5% cream, 25 g</t>
  </si>
  <si>
    <t>12124</t>
  </si>
  <si>
    <t>Poractant alfa 120 mg/1.5 mL injection</t>
  </si>
  <si>
    <t>322</t>
  </si>
  <si>
    <t>Vitamin B complex tablet</t>
  </si>
  <si>
    <t>895</t>
  </si>
  <si>
    <t>Deferiprone 500 mg tablet</t>
  </si>
  <si>
    <t>15824</t>
  </si>
  <si>
    <t>Pancreatin 300 mg capsule</t>
  </si>
  <si>
    <t>14627</t>
  </si>
  <si>
    <t>Peritoneal dialysis (1.5% CAPD17 COL) 6 L</t>
  </si>
  <si>
    <t>512</t>
  </si>
  <si>
    <t>Idarubicin 10 mg injection</t>
  </si>
  <si>
    <t>744</t>
  </si>
  <si>
    <t>Fentanyl 0.5 mg/10 mL injection</t>
  </si>
  <si>
    <t>152</t>
  </si>
  <si>
    <t>Tizanidine 4 mg tablet</t>
  </si>
  <si>
    <t>43</t>
  </si>
  <si>
    <t>Hydralazine 50 mg tablet</t>
  </si>
  <si>
    <t>573</t>
  </si>
  <si>
    <t>Peritoneal dialysis (PD2)+Dextrose 2.5%, 2 L</t>
  </si>
  <si>
    <t>11385</t>
  </si>
  <si>
    <t>Ethiodized oil (131-iodine) 480 mg/mL injection, 10 mL</t>
  </si>
  <si>
    <t>492</t>
  </si>
  <si>
    <t>Midazolam 15 mg/3 mL injection</t>
  </si>
  <si>
    <t>617</t>
  </si>
  <si>
    <t>Entacapone 200 mg tablet</t>
  </si>
  <si>
    <t>98</t>
  </si>
  <si>
    <t>Clonazepam 2 mg tablet</t>
  </si>
  <si>
    <t>818</t>
  </si>
  <si>
    <t>Ferrous saccharate 100 mg/5 mL injection</t>
  </si>
  <si>
    <t>275</t>
  </si>
  <si>
    <t>Carboplatin 450 mg/45 mL injection</t>
  </si>
  <si>
    <t>538</t>
  </si>
  <si>
    <t>ifosfamide 1 g injection</t>
  </si>
  <si>
    <t>782</t>
  </si>
  <si>
    <t>Oseltamivir 75 mg capsule</t>
  </si>
  <si>
    <t>578</t>
  </si>
  <si>
    <t>Docetaxel 80 mg injection</t>
  </si>
  <si>
    <t>554</t>
  </si>
  <si>
    <t>Macrogol 4000+electrolyte powder for oral solution</t>
  </si>
  <si>
    <t>883</t>
  </si>
  <si>
    <t>Deferasirox 250 mg tablet</t>
  </si>
  <si>
    <t>660</t>
  </si>
  <si>
    <t>Sodium chloride 0.9%, 50 mL</t>
  </si>
  <si>
    <t>191</t>
  </si>
  <si>
    <t>Levofloxacin 250 mg injection</t>
  </si>
  <si>
    <t>619</t>
  </si>
  <si>
    <t>Fosfomycin 4 g injection</t>
  </si>
  <si>
    <t>311</t>
  </si>
  <si>
    <t>Peritoneal dialysis (PD2)+Dextrose 1.5%, 2 L</t>
  </si>
  <si>
    <t>120</t>
  </si>
  <si>
    <t>Methylphenidate 10 mg tablet</t>
  </si>
  <si>
    <t>10582</t>
  </si>
  <si>
    <t>Trastuzumab 440 mg injection</t>
  </si>
  <si>
    <t>346</t>
  </si>
  <si>
    <t>Pyridostigmine 60 mg tablet</t>
  </si>
  <si>
    <t>923</t>
  </si>
  <si>
    <t>Sertraline 50 mg tablet</t>
  </si>
  <si>
    <t>11440</t>
  </si>
  <si>
    <t>Tenofovir alafenamide 25 mg tablet</t>
  </si>
  <si>
    <t>132</t>
  </si>
  <si>
    <t>Morphine sulfate 20 mg SR capsule</t>
  </si>
  <si>
    <t>169</t>
  </si>
  <si>
    <t>Cefazolin 1 g injection</t>
  </si>
  <si>
    <t>903</t>
  </si>
  <si>
    <t>Ezetimibe 10 mg tablet</t>
  </si>
  <si>
    <t>323</t>
  </si>
  <si>
    <t>Calciferol (vitamin D2) 20,000 unit capsule</t>
  </si>
  <si>
    <t>141</t>
  </si>
  <si>
    <t>Phenytoin sodium 100 mg PR capsule</t>
  </si>
  <si>
    <t>314</t>
  </si>
  <si>
    <t>Calcium polystyrene sulfonate 5 g</t>
  </si>
  <si>
    <t>1061</t>
  </si>
  <si>
    <t>Ticagrelor 90 mg tablet</t>
  </si>
  <si>
    <t>279</t>
  </si>
  <si>
    <t>Paclitaxel 300 mg/50 mL injection</t>
  </si>
  <si>
    <t>9153</t>
  </si>
  <si>
    <t>Calcium carbonate 1,000 mg tablet</t>
  </si>
  <si>
    <t>924</t>
  </si>
  <si>
    <t>Risperidone 2 mg tablet</t>
  </si>
  <si>
    <t>287</t>
  </si>
  <si>
    <t>Sodium chloride 0.9% for irrigation, 1 L</t>
  </si>
  <si>
    <t>592</t>
  </si>
  <si>
    <t>Cisatracurium 10 mg/5 mL injection</t>
  </si>
  <si>
    <t>13535</t>
  </si>
  <si>
    <t>Etonogestrel 68 mg implant</t>
  </si>
  <si>
    <t>56</t>
  </si>
  <si>
    <t>Amlodipine 5 mg tablet</t>
  </si>
  <si>
    <t>15386</t>
  </si>
  <si>
    <t>Oxaliplatin 150 mg injection</t>
  </si>
  <si>
    <t>563</t>
  </si>
  <si>
    <t>Gabapentin 400 mg capsule</t>
  </si>
  <si>
    <t>703</t>
  </si>
  <si>
    <t>Insulin aspart 300 iu/3 mL cartrigde</t>
  </si>
  <si>
    <t>8933</t>
  </si>
  <si>
    <t>Water for irrigation 1 L</t>
  </si>
  <si>
    <t>436</t>
  </si>
  <si>
    <t>Alfuzosin 10 mg tablet</t>
  </si>
  <si>
    <t>546</t>
  </si>
  <si>
    <t>Carvedilol 6.25 mg tablet</t>
  </si>
  <si>
    <t>706</t>
  </si>
  <si>
    <t>Lercanidipine 20 mg tablet</t>
  </si>
  <si>
    <t>22</t>
  </si>
  <si>
    <t>Lactulose 66.7% syrup, 100 mL</t>
  </si>
  <si>
    <t>548</t>
  </si>
  <si>
    <t>Fluticasone 500 mcg + Salmeterol 50 mcg, 60 dose actuation</t>
  </si>
  <si>
    <t>9581</t>
  </si>
  <si>
    <t>Lamotrigine 100 mg tablet</t>
  </si>
  <si>
    <t>551</t>
  </si>
  <si>
    <t>Simvastatin 20 mg tablet</t>
  </si>
  <si>
    <t>[ตลับ50g] UREA in TA1 cream 10% ตลับ50g</t>
  </si>
  <si>
    <t>13284</t>
  </si>
  <si>
    <t>Ceftriaxone 2 g injection</t>
  </si>
  <si>
    <t>151</t>
  </si>
  <si>
    <t>Levodopa 200 mg + Benseraside 50 mg tablet</t>
  </si>
  <si>
    <t>477</t>
  </si>
  <si>
    <t>Peritoneal dialysis (1.5% CAPD2), 2 L</t>
  </si>
  <si>
    <t>13150</t>
  </si>
  <si>
    <t>Adalimumab 40 mg/0.8 mL injection</t>
  </si>
  <si>
    <t>15234</t>
  </si>
  <si>
    <t>Nilotinib 200 mg capsule</t>
  </si>
  <si>
    <t>13268</t>
  </si>
  <si>
    <t>Budesonide 1 mg/2 mL nebuliser suspension</t>
  </si>
  <si>
    <t>13793</t>
  </si>
  <si>
    <t>Brinzolamide 1% +Timolol 0.5% ED, 5 mL bottle</t>
  </si>
  <si>
    <t>519</t>
  </si>
  <si>
    <t>Clopidogrel 75 mg tablet</t>
  </si>
  <si>
    <t>12</t>
  </si>
  <si>
    <t>Omeprazole 20 mg capsule</t>
  </si>
  <si>
    <t>873</t>
  </si>
  <si>
    <t>Ertapenem sodium 1 g injection</t>
  </si>
  <si>
    <t>242</t>
  </si>
  <si>
    <t>Desmopressin 0.1 mg tablet</t>
  </si>
  <si>
    <t>101</t>
  </si>
  <si>
    <t>ยาระบายมะขามแขก</t>
  </si>
  <si>
    <t>495</t>
  </si>
  <si>
    <t>Mycophenolate mofetil 250 mg capsule</t>
  </si>
  <si>
    <t>401</t>
  </si>
  <si>
    <t>Cisatracurium 150 mg/30 mL injection</t>
  </si>
  <si>
    <t>770</t>
  </si>
  <si>
    <t>Levetiracetam 500 mg tablet</t>
  </si>
  <si>
    <t>284</t>
  </si>
  <si>
    <t>Sodium chloride 0.9%, 100 mL</t>
  </si>
  <si>
    <t>232</t>
  </si>
  <si>
    <t>Metformin 500 mg tablet</t>
  </si>
  <si>
    <t>281</t>
  </si>
  <si>
    <t>Filgrastim 300 mcg/1 mL prefilled-syringe</t>
  </si>
  <si>
    <t>9647</t>
  </si>
  <si>
    <t>Insulin aspart 30 iu+aspart protamine 70 iu, 3 mL cartridge</t>
  </si>
  <si>
    <t>15514</t>
  </si>
  <si>
    <t>Intravenous immunoglobulin 5 g/100 mL injection</t>
  </si>
  <si>
    <t>792</t>
  </si>
  <si>
    <t>Insulin glargine 300 iu/3 mL pre-filled pen</t>
  </si>
  <si>
    <t>1032</t>
  </si>
  <si>
    <t>Leflunomide 20 mg tablet</t>
  </si>
  <si>
    <t>286</t>
  </si>
  <si>
    <t>Sodium chloride 0.9%, 1 L</t>
  </si>
  <si>
    <t>697</t>
  </si>
  <si>
    <t>Manidipine 20 mg tablet</t>
  </si>
  <si>
    <t>227</t>
  </si>
  <si>
    <t>Meropenem 1 g injection</t>
  </si>
  <si>
    <t>935</t>
  </si>
  <si>
    <t>Fluticasone furoate 27.5 mcg, 120 dose nasal spray</t>
  </si>
  <si>
    <t>400</t>
  </si>
  <si>
    <t>Sevoflurane 250 mL</t>
  </si>
  <si>
    <t>14320</t>
  </si>
  <si>
    <t>Iopromide 370 mg/mL, 100 mL injection</t>
  </si>
  <si>
    <t>9447</t>
  </si>
  <si>
    <t>Leuprorelin acetate 11.25 mg injection</t>
  </si>
  <si>
    <t>664</t>
  </si>
  <si>
    <t>budesonide 160 mcg + formoterol 4.5 mcg, 60 dose</t>
  </si>
  <si>
    <t>497</t>
  </si>
  <si>
    <t>Losartan 50 mg tablet</t>
  </si>
  <si>
    <t>178</t>
  </si>
  <si>
    <t>Piperacillin 4.0 g+Tazobactam 0.5 g injection</t>
  </si>
  <si>
    <t>529</t>
  </si>
  <si>
    <t>Epoetin alfa 4,000 iu injection (ลำดับ 3)</t>
  </si>
  <si>
    <t>938</t>
  </si>
  <si>
    <t>Levetiracetam 500 mg injection</t>
  </si>
  <si>
    <t>81</t>
  </si>
  <si>
    <t>Fluticasone 250 mcg + Salmeterol 50 mcg, 60 dose actuation</t>
  </si>
  <si>
    <t>949</t>
  </si>
  <si>
    <t>Bevacizumab 100 mg/4 mL injection</t>
  </si>
  <si>
    <t>438</t>
  </si>
  <si>
    <t>Alteplase 50 mg/50 mL injection</t>
  </si>
  <si>
    <t>756</t>
  </si>
  <si>
    <t>Tiotropium 18 mcg inhalation capsule</t>
  </si>
  <si>
    <t>14708</t>
  </si>
  <si>
    <t>Factor VIII (r) 500 iu injection</t>
  </si>
  <si>
    <t>579</t>
  </si>
  <si>
    <t>Ciclosporin 25 mg capsule</t>
  </si>
  <si>
    <t>144</t>
  </si>
  <si>
    <t>Valproate sodium 500 mg PR tablet</t>
  </si>
  <si>
    <t>813</t>
  </si>
  <si>
    <t>Albumin 20%, 50 mL</t>
  </si>
  <si>
    <t>14383</t>
  </si>
  <si>
    <t>insulin human 300 iu/3 mL</t>
  </si>
  <si>
    <t>14153</t>
  </si>
  <si>
    <t>Ciclosporin 100 mg capsule</t>
  </si>
  <si>
    <t>1057</t>
  </si>
  <si>
    <t>Febuxostat 80 mg tablet</t>
  </si>
  <si>
    <t>68</t>
  </si>
  <si>
    <t>Enoxaparin sodium 60 mg/0.6 mL injection</t>
  </si>
  <si>
    <t>615</t>
  </si>
  <si>
    <t>Atorvastatin 40 mg tablet</t>
  </si>
  <si>
    <t>14341</t>
  </si>
  <si>
    <t>Abemaciclib 150 mg tablet</t>
  </si>
  <si>
    <t>14925</t>
  </si>
  <si>
    <t>Human fibrinogen + thrombin solution for sealant, 4 mL</t>
  </si>
  <si>
    <t>12885</t>
  </si>
  <si>
    <t>IOPAMIRO 370 (iopamidol) INJ 100 mL [X-RAY, CATHLAB] 370 mg.Iodine/50 mL VIAL</t>
  </si>
  <si>
    <t>10436</t>
  </si>
  <si>
    <t>PRISMASOL B0 5000 mL</t>
  </si>
  <si>
    <t>15691</t>
  </si>
  <si>
    <t>Semaglutide 3 mg (RYBELSUS) tablet</t>
  </si>
  <si>
    <t>15690</t>
  </si>
  <si>
    <t>Semaglutide 7 mg (RYBELSUS) tablet</t>
  </si>
  <si>
    <t>739</t>
  </si>
  <si>
    <t>Vinorelbine (VINOBEL) INJ [CMT] 10 mg/mL VIAL</t>
  </si>
  <si>
    <t>1041</t>
  </si>
  <si>
    <t>Vortioxetine 10 mg tablet</t>
  </si>
  <si>
    <t>786</t>
  </si>
  <si>
    <t>Clomiphen citrate 50 mg tablet</t>
  </si>
  <si>
    <t>775</t>
  </si>
  <si>
    <t>Nifedipine 5 mg capsule</t>
  </si>
  <si>
    <t>123</t>
  </si>
  <si>
    <t>Cinnarizine 25 mg tablet</t>
  </si>
  <si>
    <t>1024</t>
  </si>
  <si>
    <t>Triptorelin 0.1 mg injection</t>
  </si>
  <si>
    <t>183</t>
  </si>
  <si>
    <t>Erythromycin 250 mg tablet</t>
  </si>
  <si>
    <t>998</t>
  </si>
  <si>
    <t>ยากระเทียมแคปซูล</t>
  </si>
  <si>
    <t>1044</t>
  </si>
  <si>
    <t>Drotaverine 40 mg tablet</t>
  </si>
  <si>
    <t>14711</t>
  </si>
  <si>
    <t>Varicella zoster, live attenuated 1350 pfu/0.5mL INJ</t>
  </si>
  <si>
    <t>1013</t>
  </si>
  <si>
    <t>EXEMESTANE (AROMASIN) TAB (30Tab/Bx)(NED) (งข2/1) 25 mg BOX</t>
  </si>
  <si>
    <t>755</t>
  </si>
  <si>
    <t>Salbutamol expectorant 60 mL</t>
  </si>
  <si>
    <t>15658</t>
  </si>
  <si>
    <t>Sumatriptan 50 mg tablet</t>
  </si>
  <si>
    <t>978</t>
  </si>
  <si>
    <t>ยาน้ำแก้ไอมะแว้ง 60 mL</t>
  </si>
  <si>
    <t>927</t>
  </si>
  <si>
    <t>Minoxidil 5 mg tablet</t>
  </si>
  <si>
    <t>1028</t>
  </si>
  <si>
    <t>Activated charcoal 260 mg capsule</t>
  </si>
  <si>
    <t>14193</t>
  </si>
  <si>
    <t>Choriogonadotropin alfa 250 mcg/0.5 mL injection</t>
  </si>
  <si>
    <t>972</t>
  </si>
  <si>
    <t>Dicyclomine 5mg/5mL + Simeticone 50mg/5mL susp, 60 mL</t>
  </si>
  <si>
    <t>774</t>
  </si>
  <si>
    <t>Acyclovir 5%, 1 g cream</t>
  </si>
  <si>
    <t>862</t>
  </si>
  <si>
    <t>Sodium chloride 15% rectal solution, 10 mL</t>
  </si>
  <si>
    <t>15774</t>
  </si>
  <si>
    <t>Ferric polymaltose complex 50 mg/5 mL, 60 mL</t>
  </si>
  <si>
    <t>816</t>
  </si>
  <si>
    <t>Gelofusine infusion 500 mL</t>
  </si>
  <si>
    <t>14406</t>
  </si>
  <si>
    <t>Cefdinir 125 mg/5 mL suspension, 30 mL</t>
  </si>
  <si>
    <t>892</t>
  </si>
  <si>
    <t>Levonorgestrel 52 mg delivery system set</t>
  </si>
  <si>
    <t>765</t>
  </si>
  <si>
    <t>Zolpidem 10 mg tablet</t>
  </si>
  <si>
    <t>811</t>
  </si>
  <si>
    <t>Dextran 10% + Sodium chloride 0.9%, 500 mL</t>
  </si>
  <si>
    <t>15488</t>
  </si>
  <si>
    <t>Degarelix 80 mg injection</t>
  </si>
  <si>
    <t>14534</t>
  </si>
  <si>
    <t>Paracetamol 1 g/100 mL injection</t>
  </si>
  <si>
    <t>15671</t>
  </si>
  <si>
    <t>Benzydamine 3 mg/mL oral spray, 15 mL</t>
  </si>
  <si>
    <t>14624</t>
  </si>
  <si>
    <t>Brigatinib 90 mg tablet</t>
  </si>
  <si>
    <t>137</t>
  </si>
  <si>
    <t>Flunarizine 5 mg capsule</t>
  </si>
  <si>
    <t>12436</t>
  </si>
  <si>
    <t>REMDesivir (CIPREMI) INJ [NC] 100 mg VIAL</t>
  </si>
  <si>
    <t>751</t>
  </si>
  <si>
    <t>Bromhexine 8 mg tablet</t>
  </si>
  <si>
    <t>971</t>
  </si>
  <si>
    <t>Chlorpheniramine 2 mg/5 mL+Phenylephrine 5 mg/5 mL, 60 mL</t>
  </si>
  <si>
    <t>930</t>
  </si>
  <si>
    <t>Dexpanthenol 5%, 20 mL nasal spray</t>
  </si>
  <si>
    <t>764</t>
  </si>
  <si>
    <t>PIRIBEDIL (TRIVASTAL RETARD) [NED, งข1] 50 mg TABLET</t>
  </si>
  <si>
    <t>15672</t>
  </si>
  <si>
    <t>RSV vaccine</t>
  </si>
  <si>
    <t>13894</t>
  </si>
  <si>
    <t>Diquafosol sodium 3% eye drops, 5 mL</t>
  </si>
  <si>
    <t>979</t>
  </si>
  <si>
    <t>Cefditoren 50 mg powder</t>
  </si>
  <si>
    <t>14360</t>
  </si>
  <si>
    <t>Ferric carboxymaltose 1,800 mg/10 mL injection</t>
  </si>
  <si>
    <t>14905</t>
  </si>
  <si>
    <t>Temozolomide 20 mg capsule</t>
  </si>
  <si>
    <t>876</t>
  </si>
  <si>
    <t>Eperisone 50 mg tablet</t>
  </si>
  <si>
    <t>819</t>
  </si>
  <si>
    <t>Vitamin B1-6-12 tablet</t>
  </si>
  <si>
    <t>15084</t>
  </si>
  <si>
    <t>Multiple electrolytes solution 1 L</t>
  </si>
  <si>
    <t>14511</t>
  </si>
  <si>
    <t>Brolucizumab 120 mg/mL injection</t>
  </si>
  <si>
    <t>805</t>
  </si>
  <si>
    <t>Misoprostol 200 mcg tablet</t>
  </si>
  <si>
    <t>1021</t>
  </si>
  <si>
    <t>Everolimus 5 mg tablet</t>
  </si>
  <si>
    <t>463</t>
  </si>
  <si>
    <t>Formaline solution 450 mL</t>
  </si>
  <si>
    <t>14077</t>
  </si>
  <si>
    <t>Ciclosporin 0.1% eye drops, 0.3 mL</t>
  </si>
  <si>
    <t>821</t>
  </si>
  <si>
    <t>Hydroxyethyl starch (130/0.4) 6%+NaCl 0.9%, 500 mL</t>
  </si>
  <si>
    <t>12856</t>
  </si>
  <si>
    <t>Diclofenac 1% gel, 25 g</t>
  </si>
  <si>
    <t>926</t>
  </si>
  <si>
    <t>Carbocysteine 100 mg/5 mL syrup, 60 mL</t>
  </si>
  <si>
    <t>842</t>
  </si>
  <si>
    <t>Moxifloxacin 0.5% eye drops, 5 mL</t>
  </si>
  <si>
    <t>14508</t>
  </si>
  <si>
    <t>Hepatitis A virus vaccine 160 iu/0.5 mL injection</t>
  </si>
  <si>
    <t>14764</t>
  </si>
  <si>
    <t>Ipilimumab 50 mg/10 mL injection</t>
  </si>
  <si>
    <t>9198</t>
  </si>
  <si>
    <t>Levocetirizine 5 mg tablet</t>
  </si>
  <si>
    <t>15017</t>
  </si>
  <si>
    <t>TdaP Vaccine 0.5 mL prefilled syringe</t>
  </si>
  <si>
    <t>750</t>
  </si>
  <si>
    <t>Bromhexine 4 mg/5 mL syrup, 60 mL</t>
  </si>
  <si>
    <t>1048</t>
  </si>
  <si>
    <t>Ketorolac tromethamine 30 mg/1 mL injection</t>
  </si>
  <si>
    <t>14545</t>
  </si>
  <si>
    <t>Sulodexide 250 LSU capsule</t>
  </si>
  <si>
    <t>11393</t>
  </si>
  <si>
    <t>Sugammadex 200 mg/2 mL injection</t>
  </si>
  <si>
    <t>831</t>
  </si>
  <si>
    <t>Meloxicam 7.5 mg tablet</t>
  </si>
  <si>
    <t>15000</t>
  </si>
  <si>
    <t>Degarelix 120 mg injection</t>
  </si>
  <si>
    <t>789</t>
  </si>
  <si>
    <t>Drospirenone 2 mg+Estradiol 1 mg tablet</t>
  </si>
  <si>
    <t>15734</t>
  </si>
  <si>
    <t>Vitamin D3 5,000 IU soft capsule</t>
  </si>
  <si>
    <t>16144</t>
  </si>
  <si>
    <t>Tolvaptan [งข1/3] เฉพาะ nephrologist, cardiologist 15 mg TABLET</t>
  </si>
  <si>
    <t>947</t>
  </si>
  <si>
    <t>Mefenamic acid 500 mg tablet</t>
  </si>
  <si>
    <t>771</t>
  </si>
  <si>
    <t>Pentifylline 400 mg tablet</t>
  </si>
  <si>
    <t>353</t>
  </si>
  <si>
    <t>Oxytetracycline 0.5%+Polymyxin B ointment, 3.5 g</t>
  </si>
  <si>
    <t>14909</t>
  </si>
  <si>
    <t>Thalidomide 50 mg capsule</t>
  </si>
  <si>
    <t>9255</t>
  </si>
  <si>
    <t>Bimatoprost 0.03%+Timolol 0.5% eye drops, 0.4 mL</t>
  </si>
  <si>
    <t>834</t>
  </si>
  <si>
    <t>Tolperisone 50 mg tablet</t>
  </si>
  <si>
    <t>15738</t>
  </si>
  <si>
    <t>Paliperidone 3 mg PR tablet</t>
  </si>
  <si>
    <t>14622</t>
  </si>
  <si>
    <t>Panitumumab 100 mg/5 mL injection</t>
  </si>
  <si>
    <t>777</t>
  </si>
  <si>
    <t>Povidone iodine scrub - 450 mL</t>
  </si>
  <si>
    <t>14730</t>
  </si>
  <si>
    <t>Octreotide 30 mg/2 mL injection</t>
  </si>
  <si>
    <t>964</t>
  </si>
  <si>
    <t>Digestive enzymes tablet</t>
  </si>
  <si>
    <t>14490</t>
  </si>
  <si>
    <t>Perampanel 4 mg tablet</t>
  </si>
  <si>
    <t>15653</t>
  </si>
  <si>
    <t>Romosozumab 105 mg/1.17 mL solution for injection</t>
  </si>
  <si>
    <t>51</t>
  </si>
  <si>
    <t>Valsartan 160 mg tablet</t>
  </si>
  <si>
    <t>981</t>
  </si>
  <si>
    <t>Perindopril 5 mg tablet</t>
  </si>
  <si>
    <t>12097</t>
  </si>
  <si>
    <t>Bendamustine 100 mg injection</t>
  </si>
  <si>
    <t>14528</t>
  </si>
  <si>
    <t>Tadalafil 5 mg tablet</t>
  </si>
  <si>
    <t>15764</t>
  </si>
  <si>
    <t>Finerenone 20 mg tablet</t>
  </si>
  <si>
    <t>15388</t>
  </si>
  <si>
    <t>Abrocitinib 200 mg tablet</t>
  </si>
  <si>
    <t>15052</t>
  </si>
  <si>
    <t>Eribulin 1 mg/2 mL injection</t>
  </si>
  <si>
    <t>1002</t>
  </si>
  <si>
    <t>Pemetrexed 100 mg injection</t>
  </si>
  <si>
    <t>354</t>
  </si>
  <si>
    <t>Tobramycin 0.3% eye drops, 5 mL</t>
  </si>
  <si>
    <t>14538</t>
  </si>
  <si>
    <t>Atezolizumab 1.2 g/20 mL injection</t>
  </si>
  <si>
    <t>15659</t>
  </si>
  <si>
    <t>Aztreonam 1 g injection</t>
  </si>
  <si>
    <t>14926</t>
  </si>
  <si>
    <t>Temozolomide 250 mg capsule</t>
  </si>
  <si>
    <t>908</t>
  </si>
  <si>
    <t>Anagrelide 0.5 mg capsule</t>
  </si>
  <si>
    <t>10602</t>
  </si>
  <si>
    <t>Ceritinib 150 mg capsule</t>
  </si>
  <si>
    <t>15657</t>
  </si>
  <si>
    <t>Prucalopride 2 mg tablet</t>
  </si>
  <si>
    <t>13439</t>
  </si>
  <si>
    <t>Articaine 4% + Adrenaline 5 mcg, 1.7 mL cartrigde</t>
  </si>
  <si>
    <t>767</t>
  </si>
  <si>
    <t>Oxcarbazepine 600 mg tablet</t>
  </si>
  <si>
    <t>970</t>
  </si>
  <si>
    <t>Chlorpheniramine 4 mg+Phenylephrine 10 mg tablet</t>
  </si>
  <si>
    <t>15594</t>
  </si>
  <si>
    <t>iloprost 20 mcg/2 mL inh. solution</t>
  </si>
  <si>
    <t>14999</t>
  </si>
  <si>
    <t>irsogladine 4 mg orodispersible tablet</t>
  </si>
  <si>
    <t>14492</t>
  </si>
  <si>
    <t>Medroxyprogesterone acetate 500 mg tablet</t>
  </si>
  <si>
    <t>15391</t>
  </si>
  <si>
    <t>Silodosin 4 mg tablet</t>
  </si>
  <si>
    <t>12433</t>
  </si>
  <si>
    <t>Fulvestrant 250 mg/5 mL injection</t>
  </si>
  <si>
    <t>14424</t>
  </si>
  <si>
    <t>Palbociclib 100 mg tablet</t>
  </si>
  <si>
    <t>14630</t>
  </si>
  <si>
    <t>Ioversol 350 mg/mL, 50 mL injection</t>
  </si>
  <si>
    <t>14880</t>
  </si>
  <si>
    <t>Palonosetron 250 mcg/5 mL injection</t>
  </si>
  <si>
    <t>766</t>
  </si>
  <si>
    <t>Mirtazapine 30 mg orodispersible tablet</t>
  </si>
  <si>
    <t>976</t>
  </si>
  <si>
    <t>Memantine 10 mg tablet</t>
  </si>
  <si>
    <t>1005</t>
  </si>
  <si>
    <t>Sitafloxacin 50 mg tablet</t>
  </si>
  <si>
    <t>1043</t>
  </si>
  <si>
    <t>Estriol 0.03 mg + L. acidophilus tablet</t>
  </si>
  <si>
    <t>174</t>
  </si>
  <si>
    <t>Cefuroxime sodium 750 mg injection</t>
  </si>
  <si>
    <t>832</t>
  </si>
  <si>
    <t>Paracetamol 450 mg + Orphenadrine 35 mg tablet</t>
  </si>
  <si>
    <t>802</t>
  </si>
  <si>
    <t>Dinoprostone 3 mg vaginal tablet</t>
  </si>
  <si>
    <t>14726</t>
  </si>
  <si>
    <t>Lenalidomide 10 mg capsule</t>
  </si>
  <si>
    <t>14633</t>
  </si>
  <si>
    <t>Human fibrinogen + thrombin solution for sealant, 2 mL prefilled syr</t>
  </si>
  <si>
    <t>973</t>
  </si>
  <si>
    <t>Methylphenidate 36 mg PR tablet</t>
  </si>
  <si>
    <t>15735</t>
  </si>
  <si>
    <t>Montelukast 4 mg chewable tablet</t>
  </si>
  <si>
    <t>13864</t>
  </si>
  <si>
    <t>Influenza A, B virus vaccine 0.5 mL</t>
  </si>
  <si>
    <t>871</t>
  </si>
  <si>
    <t>Citicoline 1 g/4 mL injection</t>
  </si>
  <si>
    <t>12329</t>
  </si>
  <si>
    <t>Pazopanib 200 mg tablet</t>
  </si>
  <si>
    <t>13450</t>
  </si>
  <si>
    <t>Itopride 50 mg tablet</t>
  </si>
  <si>
    <t>12222</t>
  </si>
  <si>
    <t>Glycerol 10%+NaCl 0.9%+Fluctose 5%, 500 mL</t>
  </si>
  <si>
    <t>788</t>
  </si>
  <si>
    <t>Estradiol valerate 2 mg+Norgestrel 0.5 mg tablet (21 เม็ด/กล่อง)</t>
  </si>
  <si>
    <t>14222</t>
  </si>
  <si>
    <t>Dengue tetravalent vaccine 0.5 mL injection</t>
  </si>
  <si>
    <t>1006</t>
  </si>
  <si>
    <t>Nepafenac 0.1% eye drops, susp., 5 mL</t>
  </si>
  <si>
    <t>15681</t>
  </si>
  <si>
    <t>Melatonin 2 mg tablet</t>
  </si>
  <si>
    <t>801</t>
  </si>
  <si>
    <t>Trimetazidine 35 mg tablet</t>
  </si>
  <si>
    <t>9096</t>
  </si>
  <si>
    <t>Idarucizumab 2.5 g/50 mL injection</t>
  </si>
  <si>
    <t>15825</t>
  </si>
  <si>
    <t>Lanreotide 120 mg/0.5 mL injection</t>
  </si>
  <si>
    <t>15670</t>
  </si>
  <si>
    <t>Lemborexant 5 mg tablet</t>
  </si>
  <si>
    <t>14351</t>
  </si>
  <si>
    <t>Azelastine 137 mcg+Fluticasone 50 mcg spray, 120 dose</t>
  </si>
  <si>
    <t>1050</t>
  </si>
  <si>
    <t>Aflibercept 2 mg injection</t>
  </si>
  <si>
    <t>15384</t>
  </si>
  <si>
    <t>Darolutamide 300 mg tablet</t>
  </si>
  <si>
    <t>14632</t>
  </si>
  <si>
    <t>Ioversol 350 mg/mL, 100 mL injection</t>
  </si>
  <si>
    <t>917</t>
  </si>
  <si>
    <t>Chlorhexidine 1%+Ethyl alcohol 60.8%, 500 mL bottle</t>
  </si>
  <si>
    <t>14846</t>
  </si>
  <si>
    <t>Epoetin alfa 10,000 iu/1 mL injection</t>
  </si>
  <si>
    <t>15546</t>
  </si>
  <si>
    <t>Nimotuzumab 50 mg/10 mL injection</t>
  </si>
  <si>
    <t>12017</t>
  </si>
  <si>
    <t>SUTENT (sunitinib) (28 cap/กล่อง) [งข3] 12.5 mg BOX</t>
  </si>
  <si>
    <t>243</t>
  </si>
  <si>
    <t>Bromocriptine 2.5 mg tablet</t>
  </si>
  <si>
    <t>15261</t>
  </si>
  <si>
    <t>Cabozantinib 60 mg tablet</t>
  </si>
  <si>
    <t>951</t>
  </si>
  <si>
    <t>Racecadotril 10 mg oral powder</t>
  </si>
  <si>
    <t>15245</t>
  </si>
  <si>
    <t>Rivaroxaban 20 mg tablet</t>
  </si>
  <si>
    <t>1037</t>
  </si>
  <si>
    <t>Hyaluronate sodium 25 mg/2.5 mL prefilled syringe</t>
  </si>
  <si>
    <t>12164</t>
  </si>
  <si>
    <t>Sofosbuvir+Velpatasvir [NC] 400/100 mg TABLET</t>
  </si>
  <si>
    <t>15652</t>
  </si>
  <si>
    <t>Semaglutide 3.2 mg/1 mL solution for injection,3 mL</t>
  </si>
  <si>
    <t>928</t>
  </si>
  <si>
    <t>Cefditoren 100 mg tablet</t>
  </si>
  <si>
    <t>863</t>
  </si>
  <si>
    <t>Sodium chloride 15% rectal solution, 100 mL</t>
  </si>
  <si>
    <t>763</t>
  </si>
  <si>
    <t>Paroxetine 20 mg tablet</t>
  </si>
  <si>
    <t>14402</t>
  </si>
  <si>
    <t>Desvenlafaxine 50 mg PR tablet</t>
  </si>
  <si>
    <t>14625</t>
  </si>
  <si>
    <t>Brigatinib 180 mg tablet</t>
  </si>
  <si>
    <t>11164</t>
  </si>
  <si>
    <t>Factor VIII inhibitor bypassing activity 500 iu</t>
  </si>
  <si>
    <t>15046</t>
  </si>
  <si>
    <t>Dolutegravir 50 mg + Lamivudine 300 mg tablet</t>
  </si>
  <si>
    <t>14888</t>
  </si>
  <si>
    <t>Trastuzumab emtansine 100 mg injection</t>
  </si>
  <si>
    <t>897</t>
  </si>
  <si>
    <t>Tretinoin 10 mg capsule</t>
  </si>
  <si>
    <t>982</t>
  </si>
  <si>
    <t>Betahistine 24 mg tablet</t>
  </si>
  <si>
    <t>57</t>
  </si>
  <si>
    <t>Diltiazem CR 120 mg tablet</t>
  </si>
  <si>
    <t>1027</t>
  </si>
  <si>
    <t>Sodium glycerophosphate 20 mL injection</t>
  </si>
  <si>
    <t>15607</t>
  </si>
  <si>
    <t>Polymyxin B 500,000 iu injection</t>
  </si>
  <si>
    <t>852</t>
  </si>
  <si>
    <t>Tacrolimus 0.1% ointment, 10 g</t>
  </si>
  <si>
    <t>785</t>
  </si>
  <si>
    <t>Bisoprolol fumarate 2.5 mg tablet</t>
  </si>
  <si>
    <t>868</t>
  </si>
  <si>
    <t>Paracetamol 300 mg + Codeine 15 mg tablet</t>
  </si>
  <si>
    <t>14727</t>
  </si>
  <si>
    <t>Lenalidomide 25 mg capsule</t>
  </si>
  <si>
    <t>804</t>
  </si>
  <si>
    <t>Potassium Sodium Hydrogen citrate complex 280 g</t>
  </si>
  <si>
    <t>13536</t>
  </si>
  <si>
    <t>Cilostazol 100 mg tablet</t>
  </si>
  <si>
    <t>13464</t>
  </si>
  <si>
    <t>House dust mites allergen ext. 12 SQ-HDM tablet</t>
  </si>
  <si>
    <t>829</t>
  </si>
  <si>
    <t>Celecoxib 200 mg capsule</t>
  </si>
  <si>
    <t>937</t>
  </si>
  <si>
    <t>Sitagliptin 100 mg tablet</t>
  </si>
  <si>
    <t>977</t>
  </si>
  <si>
    <t>Serenoa repens extract 160 mg capsule</t>
  </si>
  <si>
    <t>15016</t>
  </si>
  <si>
    <t>Megestrol acetate 40 mg/mL susp. 120 mL bottle</t>
  </si>
  <si>
    <t>1001</t>
  </si>
  <si>
    <t>Pemetrexed 500 mg injection</t>
  </si>
  <si>
    <t>15568</t>
  </si>
  <si>
    <t>Durvalumab 500 mg/10 mL injection</t>
  </si>
  <si>
    <t>1040</t>
  </si>
  <si>
    <t>Risedronate sodium 150 mg tablet</t>
  </si>
  <si>
    <t>907</t>
  </si>
  <si>
    <t>Etanercept 50 mg injection</t>
  </si>
  <si>
    <t>893</t>
  </si>
  <si>
    <t>Tigecycline 50 mg injection</t>
  </si>
  <si>
    <t>14861</t>
  </si>
  <si>
    <t>Alectinib 150 mg capsule</t>
  </si>
  <si>
    <t>1019</t>
  </si>
  <si>
    <t>Abiraterone 250 mg tablet</t>
  </si>
  <si>
    <t>875</t>
  </si>
  <si>
    <t>Irinotecan 100 mg/5 mL injection</t>
  </si>
  <si>
    <t>14544</t>
  </si>
  <si>
    <t>Testosterone 1% gel, 5 g sachet</t>
  </si>
  <si>
    <t>1011</t>
  </si>
  <si>
    <t>Prasugrel 10 mg tablet</t>
  </si>
  <si>
    <t>13497</t>
  </si>
  <si>
    <t>Tamsulosin 0.4 mg PR tablet</t>
  </si>
  <si>
    <t>10104</t>
  </si>
  <si>
    <t>Biapenem 300 mg injection</t>
  </si>
  <si>
    <t>1003</t>
  </si>
  <si>
    <t>Mometasone furoate 50 mcg spray, 140 dose</t>
  </si>
  <si>
    <t>859</t>
  </si>
  <si>
    <t>Diosmin 450 mg + Hesperidin 50 mg tablet</t>
  </si>
  <si>
    <t>12669</t>
  </si>
  <si>
    <t>Sulbactam 2 g injection</t>
  </si>
  <si>
    <t>14767</t>
  </si>
  <si>
    <t>Gimeracil 5.8 mg+Oteracil 19.6 mg+Tegafur 20 mg capsule</t>
  </si>
  <si>
    <t>10093</t>
  </si>
  <si>
    <t>Nivolumab 40 mg injection</t>
  </si>
  <si>
    <t>14623</t>
  </si>
  <si>
    <t>Azacitidine 100 mg injection</t>
  </si>
  <si>
    <t>15680</t>
  </si>
  <si>
    <t>Ramucirumab 500 mg injection</t>
  </si>
  <si>
    <t>887</t>
  </si>
  <si>
    <t>Somatropin 4 iu for injection</t>
  </si>
  <si>
    <t>15524</t>
  </si>
  <si>
    <t>Coagulation factors II, VII, IX, X (4-factor) 500 iu</t>
  </si>
  <si>
    <t>14485</t>
  </si>
  <si>
    <t>Donepezil 23 mg PR tablet</t>
  </si>
  <si>
    <t>14998</t>
  </si>
  <si>
    <t>Acotiamide 100 mg tablet</t>
  </si>
  <si>
    <t>14529</t>
  </si>
  <si>
    <t>Aripiprazole 400 mg PR susp. injection</t>
  </si>
  <si>
    <t>15683</t>
  </si>
  <si>
    <t>Faricimab 120 mg/mL, 0.24 mL vial</t>
  </si>
  <si>
    <t>870</t>
  </si>
  <si>
    <t>Nicergoline 30 mg tablet</t>
  </si>
  <si>
    <t>14620</t>
  </si>
  <si>
    <t>Ribociclib 200 mg tablet</t>
  </si>
  <si>
    <t>15656</t>
  </si>
  <si>
    <t>Pitavastatin 4 mg tablet</t>
  </si>
  <si>
    <t>1018</t>
  </si>
  <si>
    <t>Azilsartan 40 mg tablet</t>
  </si>
  <si>
    <t>975</t>
  </si>
  <si>
    <t>Quetiapine 25 mg tablet</t>
  </si>
  <si>
    <t>1064</t>
  </si>
  <si>
    <t>Omega-3-acid ethyl esters 1 g capsule</t>
  </si>
  <si>
    <t>708</t>
  </si>
  <si>
    <t>Bimatoprost 0.01% eye drops, 3 mL bottle</t>
  </si>
  <si>
    <t>838</t>
  </si>
  <si>
    <t>Etoricoxib 60 mg tablet</t>
  </si>
  <si>
    <t>15737</t>
  </si>
  <si>
    <t>Trimetazidine 80 mg PR capsule</t>
  </si>
  <si>
    <t>14868</t>
  </si>
  <si>
    <t>Paclitaxel 100 mg (Nab) injection</t>
  </si>
  <si>
    <t>15608</t>
  </si>
  <si>
    <t>Bosentan 125 mg tablet</t>
  </si>
  <si>
    <t>14513</t>
  </si>
  <si>
    <t>Lurasidone 40 mg tablet</t>
  </si>
  <si>
    <t>15383</t>
  </si>
  <si>
    <t>Tislelizumab 100 mg/10 mL injection</t>
  </si>
  <si>
    <t>14514</t>
  </si>
  <si>
    <t>Agomelatine 25 mg tablet</t>
  </si>
  <si>
    <t>888</t>
  </si>
  <si>
    <t>Olmesartan 40 mg tablet</t>
  </si>
  <si>
    <t>13863</t>
  </si>
  <si>
    <t>Rosuvastatin 20 mg tablet</t>
  </si>
  <si>
    <t>15015</t>
  </si>
  <si>
    <t>Apixaban 2.5 mg tablet</t>
  </si>
  <si>
    <t>14348</t>
  </si>
  <si>
    <t>Zoledronic acid 5 mg/100 mL injection</t>
  </si>
  <si>
    <t>14350</t>
  </si>
  <si>
    <t>Potassium bicarbonate 0.2 g+Sodium alginate 1 g susp., 10 mL</t>
  </si>
  <si>
    <t>1047</t>
  </si>
  <si>
    <t>Ivabradine 5 mg tablet</t>
  </si>
  <si>
    <t>14375</t>
  </si>
  <si>
    <t>icosapent ethyl 20 mg capsule (45 เม็ด/ซอง)</t>
  </si>
  <si>
    <t>10736</t>
  </si>
  <si>
    <t>Carbetocin 100 mcg/1 mL injection</t>
  </si>
  <si>
    <t>991</t>
  </si>
  <si>
    <t>Fenofibrate 160 mg capsule</t>
  </si>
  <si>
    <t>15131</t>
  </si>
  <si>
    <t>Golimumab 50 mg/4 mL injection</t>
  </si>
  <si>
    <t>15686</t>
  </si>
  <si>
    <t>Semaglutide 14 mg tablet</t>
  </si>
  <si>
    <t>15692</t>
  </si>
  <si>
    <t>Aflibercept 8 mg injection</t>
  </si>
  <si>
    <t>15823</t>
  </si>
  <si>
    <t>Somatropin 12 mg/3 mL solution for injection</t>
  </si>
  <si>
    <t>1039</t>
  </si>
  <si>
    <t>Carboxymethylcellulose 0.5% eye drops, 0.4 mL nebule</t>
  </si>
  <si>
    <t>14512</t>
  </si>
  <si>
    <t>Levodopa+Carbidopa+Entacapone 200/50/200 mg tablet</t>
  </si>
  <si>
    <t>1016</t>
  </si>
  <si>
    <t>Cetuximab 100 mg/20mL solution for infusion</t>
  </si>
  <si>
    <t>11542</t>
  </si>
  <si>
    <t>Acetylcysteine 600 mg powder</t>
  </si>
  <si>
    <t>15647</t>
  </si>
  <si>
    <t>Azilsartan 40 mg + Chlortalidone 12.5 mg tablet</t>
  </si>
  <si>
    <t>14937</t>
  </si>
  <si>
    <t>Pneumococcal-20 conjugate vaccine</t>
  </si>
  <si>
    <t>13403</t>
  </si>
  <si>
    <t>Limaprost 5 mcg tablet</t>
  </si>
  <si>
    <t>13438</t>
  </si>
  <si>
    <t>Cinacalcet 25 mg tablet</t>
  </si>
  <si>
    <t>1017</t>
  </si>
  <si>
    <t>Gliclazide 60 mg tablet</t>
  </si>
  <si>
    <t>14378</t>
  </si>
  <si>
    <t>Edoxaban 60 mg tablet</t>
  </si>
  <si>
    <t>1031</t>
  </si>
  <si>
    <t>Bilastine 20 mg tablet</t>
  </si>
  <si>
    <t>15557</t>
  </si>
  <si>
    <t>Sunitinib 12.5 mg capsule</t>
  </si>
  <si>
    <t>15938</t>
  </si>
  <si>
    <t>Amivantamab 350 mg/7 mL injection</t>
  </si>
  <si>
    <t>14609</t>
  </si>
  <si>
    <t>Lenvatinib 10 mg capsule</t>
  </si>
  <si>
    <t>14516</t>
  </si>
  <si>
    <t>Pramipexole 375 mcg PR tablet</t>
  </si>
  <si>
    <t>15651</t>
  </si>
  <si>
    <t>Semaglutide 1.34 mg/1 mL solution for injection,3 mL</t>
  </si>
  <si>
    <t>9215</t>
  </si>
  <si>
    <t>Escitalopram 1 mg/drop, oral drops, 15 mL</t>
  </si>
  <si>
    <t>15073</t>
  </si>
  <si>
    <t>Tipiracil 8.19 mg+Trifluridine 20 mg tablet</t>
  </si>
  <si>
    <t>10125</t>
  </si>
  <si>
    <t>Tafluprost 1.5 mcg/mL eye drops, 0.3 mL</t>
  </si>
  <si>
    <t>13440</t>
  </si>
  <si>
    <t>Brexpiprazole 2 mg tablet</t>
  </si>
  <si>
    <t>13655</t>
  </si>
  <si>
    <t>Levosimendan 12.5 mg/5 mL injection</t>
  </si>
  <si>
    <t>14996</t>
  </si>
  <si>
    <t>Trastuzumab deruxtecan 100 mg injection</t>
  </si>
  <si>
    <t>833</t>
  </si>
  <si>
    <t>Parecoxib 40 mg injection</t>
  </si>
  <si>
    <t>14510</t>
  </si>
  <si>
    <t>Safinamide 50 mg tablet</t>
  </si>
  <si>
    <t>13452</t>
  </si>
  <si>
    <t>Mirabegron 50 mg tablet</t>
  </si>
  <si>
    <t>5854</t>
  </si>
  <si>
    <t>Ioversol 300 mg/mL injection, 50 mL</t>
  </si>
  <si>
    <t>14362</t>
  </si>
  <si>
    <t>Fluticasone furoate 100 mcg+Umeclidinium 62.5 mcg+Vilanterol 25 mcg, 30 dose</t>
  </si>
  <si>
    <t>13971</t>
  </si>
  <si>
    <t>Gadobutrol 7.5 mL injection</t>
  </si>
  <si>
    <t>15299</t>
  </si>
  <si>
    <t>Carfilzomib 30 mg injection</t>
  </si>
  <si>
    <t>14051</t>
  </si>
  <si>
    <t>Palbociclib 125 mg tablet</t>
  </si>
  <si>
    <t>921</t>
  </si>
  <si>
    <t>Diacerein 50 mg capsule</t>
  </si>
  <si>
    <t>760</t>
  </si>
  <si>
    <t>Galantamine 8 mg capsule</t>
  </si>
  <si>
    <t>14725</t>
  </si>
  <si>
    <t>Daratumumab 100 mg/5 mL injection</t>
  </si>
  <si>
    <t>15650</t>
  </si>
  <si>
    <t>insulin degludec 100 iu/mL+Liraglutide 3.6 mg/mL, 3 mL</t>
  </si>
  <si>
    <t>15324</t>
  </si>
  <si>
    <t>Pertuzumab 1,200mg+Trastuzumab 600mg, 15mL inj</t>
  </si>
  <si>
    <t>11751</t>
  </si>
  <si>
    <t>Vonoprazan 10 mg tablet</t>
  </si>
  <si>
    <t>13449</t>
  </si>
  <si>
    <t>Dienogest 2 mg tablet</t>
  </si>
  <si>
    <t>14771</t>
  </si>
  <si>
    <t>Nivolumab 100 mg/10mL injection</t>
  </si>
  <si>
    <t>6499</t>
  </si>
  <si>
    <t>VISIPAQUE (iodixanol 320 mg/mL (50 ml) injection</t>
  </si>
  <si>
    <t>810</t>
  </si>
  <si>
    <t>Liposomal doxorubicin 20 mg/10 mL injection</t>
  </si>
  <si>
    <t>15472</t>
  </si>
  <si>
    <t>DTaP-IPV-HB-Hib vaccine 0.5 mL (6 สายพันธ์ุ)</t>
  </si>
  <si>
    <t>14423</t>
  </si>
  <si>
    <t>Thioctic acid 600 mg tablet</t>
  </si>
  <si>
    <t>15654</t>
  </si>
  <si>
    <t>Tirzepatide 5 mg/0.6 mL solution for injection, 2.4 mL prefilled pen</t>
  </si>
  <si>
    <t>Faricimab 120 mg/mL, 0.24 mL vial (ลำดับ 2)</t>
  </si>
  <si>
    <t>13972</t>
  </si>
  <si>
    <t>Gadoxetate disodium 10 mL injection</t>
  </si>
  <si>
    <t>9301</t>
  </si>
  <si>
    <t>Rivastigmine 13.3 mg/24 hr patch</t>
  </si>
  <si>
    <t>14615</t>
  </si>
  <si>
    <t>Evolocumab 140 mg/1 mL prefilled pen</t>
  </si>
  <si>
    <t>14483</t>
  </si>
  <si>
    <t>Amino acids 600 mg tablet</t>
  </si>
  <si>
    <t>12377</t>
  </si>
  <si>
    <t>Baricitinib 4 mg tablet</t>
  </si>
  <si>
    <t>8937</t>
  </si>
  <si>
    <t>Dabigatran 110 mg tablet</t>
  </si>
  <si>
    <t>15012</t>
  </si>
  <si>
    <t>Eltrombopag 25 mg tablet</t>
  </si>
  <si>
    <t>14234</t>
  </si>
  <si>
    <t>Varicella zoster vaccine 50 mcg injection</t>
  </si>
  <si>
    <t>1066</t>
  </si>
  <si>
    <t>Epoetin alfa 8,000 iu injection</t>
  </si>
  <si>
    <t>15925</t>
  </si>
  <si>
    <t>Vortioxetine 20 mg film-coated tablet</t>
  </si>
  <si>
    <t>1035</t>
  </si>
  <si>
    <t>Lapatinib 250 mg tablet</t>
  </si>
  <si>
    <t>13239</t>
  </si>
  <si>
    <t>Esomeprazole 20 mg EC tablet</t>
  </si>
  <si>
    <t>14509</t>
  </si>
  <si>
    <t>BDDE-crosslinked sodium hyaluronate 60 mg/3 mL inj</t>
  </si>
  <si>
    <t>14928</t>
  </si>
  <si>
    <t>Ruxolitinib 5 mg tablet</t>
  </si>
  <si>
    <t>10801</t>
  </si>
  <si>
    <t>Sevelamer carbonate 800 mg powder</t>
  </si>
  <si>
    <t>15390</t>
  </si>
  <si>
    <t>Bempedoic acid 180 mg + Ezetimibe 10 mg tablet</t>
  </si>
  <si>
    <t>15655</t>
  </si>
  <si>
    <t>Tirzepatide 10 mg/0.6 mL solution for injection, 2.4 mL prefilled pen</t>
  </si>
  <si>
    <t>14646</t>
  </si>
  <si>
    <t>Nintedanib 150 mg capsule</t>
  </si>
  <si>
    <t>6500</t>
  </si>
  <si>
    <t>XENETIX 300 (iobitridol 300 mg/mL) injection, 50 mL</t>
  </si>
  <si>
    <t>1022</t>
  </si>
  <si>
    <t>Alogliptin 25 mg+Pioglitazone 30 mg tablet</t>
  </si>
  <si>
    <t>14493</t>
  </si>
  <si>
    <t>Hyaluronate sodium 0.18% eye drops, 10 mL</t>
  </si>
  <si>
    <t>14241</t>
  </si>
  <si>
    <t>Human papillomavirus vaccine 0.5 mL injection</t>
  </si>
  <si>
    <t>13149</t>
  </si>
  <si>
    <t>Secukinumab 150 mg injection</t>
  </si>
  <si>
    <t>15634</t>
  </si>
  <si>
    <t>Teriparatide 600 mcg/2.4 mL solution for injection</t>
  </si>
  <si>
    <t>8943</t>
  </si>
  <si>
    <t>Apixaban 5 mg tablet (ลำดับ 2)</t>
  </si>
  <si>
    <t>13455</t>
  </si>
  <si>
    <t>Pregabalin 50 mg capsule</t>
  </si>
  <si>
    <t>1033</t>
  </si>
  <si>
    <t>Ginkgo biloba ext. 120 mg tablet</t>
  </si>
  <si>
    <t>15326</t>
  </si>
  <si>
    <t>Pertuzumab 600 mg+Trastuzumab 600 mg, 15 mL inj</t>
  </si>
  <si>
    <t>1060</t>
  </si>
  <si>
    <t>Dapagliflozin 10 mg tablet</t>
  </si>
  <si>
    <t>1062</t>
  </si>
  <si>
    <t>Sacubitril 49 mg + Valsartan 51 mg tablet</t>
  </si>
  <si>
    <t>14728</t>
  </si>
  <si>
    <t>Daratumumab 400 mg/20 mL injection</t>
  </si>
  <si>
    <t>9116</t>
  </si>
  <si>
    <t>Dutasteride 0.5 mg + Tamsulosin 0.4 mg capsule</t>
  </si>
  <si>
    <t>14197</t>
  </si>
  <si>
    <t>Olaparib 150 mg tablet</t>
  </si>
  <si>
    <t>9104</t>
  </si>
  <si>
    <t>Denosumab 60 mg/1 mL injection</t>
  </si>
  <si>
    <t>881</t>
  </si>
  <si>
    <t>Lansoprazole 30 mg orodispersible tablet</t>
  </si>
  <si>
    <t>14417</t>
  </si>
  <si>
    <t>Pembrolizumab 100 mg/4 mL injection</t>
  </si>
  <si>
    <t>13243</t>
  </si>
  <si>
    <t>Empagliflozin 25 mg tablet</t>
  </si>
  <si>
    <t>1055</t>
  </si>
  <si>
    <t>Osimertinib 80 mg tablet</t>
  </si>
  <si>
    <t>13238</t>
  </si>
  <si>
    <t>Semaglutide 4 mg/3 mL pre-filled pen</t>
  </si>
  <si>
    <t>848</t>
  </si>
  <si>
    <t>[ตลับ50g] Vaseline . ตลับ50g</t>
  </si>
  <si>
    <t>1052</t>
  </si>
  <si>
    <t>(หน่วย:เม็ด/จ่ายเต็มกล่อง 20 เม็ด) Lenvatinib (LENVIMA) [NED, OCPA] เฉพาะอายุรแพทย์โรคมะเร็ง 10 mg CAPSULE</t>
  </si>
  <si>
    <t>867</t>
  </si>
  <si>
    <t>BOTULINUM TOXIN A (DYSPORT) INJ [งข1] 500 iu VIAL</t>
  </si>
  <si>
    <t>12511</t>
  </si>
  <si>
    <t>Botulinum Toxin Type A INJ (BOTOX) (งข3) 100 unit VIAL</t>
  </si>
  <si>
    <t>8929</t>
  </si>
  <si>
    <t>MICAFUNGIN sodium (MYCAMINE) INJ [งข1] 50 mg VIAL</t>
  </si>
  <si>
    <t>936</t>
  </si>
  <si>
    <t>PARACETAMOL SUPPO(NED) 125 mg TABLET</t>
  </si>
  <si>
    <t>12218</t>
  </si>
  <si>
    <t>ULTRAVIST 370 (iopromide) INJ 100 mL [X-RAY] 100 mL VIAL</t>
  </si>
  <si>
    <t>716</t>
  </si>
  <si>
    <t>(KIVEXA) ABACAVIR + LAMIVUDINE 600+300 mg TABLET</t>
  </si>
  <si>
    <t>717</t>
  </si>
  <si>
    <t>ABACAVIR(ZIAGENAVIR) 300 mg TABLET</t>
  </si>
  <si>
    <t>799</t>
  </si>
  <si>
    <t>ALPROSTADIL (Prostin VR, PGE-1) INJ 0.5 mg/mL AMPULE</t>
  </si>
  <si>
    <t>683</t>
  </si>
  <si>
    <t>ยาหอมนวโกฐ (โกฐทั้ง๙+เทียนทั้ง๙) [แผนไทย] 12 g ซอง</t>
  </si>
  <si>
    <t>714</t>
  </si>
  <si>
    <t>Darunavir (DRV) 600 mg TABLET</t>
  </si>
  <si>
    <t>504</t>
  </si>
  <si>
    <t>Asparaginase 10,000 iu</t>
  </si>
  <si>
    <t>21</t>
  </si>
  <si>
    <t>Castor oil (น้ำมันระหุ่ง) 450 mL</t>
  </si>
  <si>
    <t>รวม 1059 รายการ · DBR/2570/0013 · แท็บ ยา · หน่วยงาน กลุ่มงานเภสัชกรรม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</si>
  <si>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วัสดุเภสัชกรรม</t>
  </si>
  <si>
    <t>70% Sorbitol</t>
  </si>
  <si>
    <t>เวชภัณฑ์เภสัช</t>
  </si>
  <si>
    <t>CMC Sodium 1500 (450 gm.)</t>
  </si>
  <si>
    <t>กรัม</t>
  </si>
  <si>
    <t>Cethyl Alcohol</t>
  </si>
  <si>
    <t>Cetomacrogol (1 kg.)</t>
  </si>
  <si>
    <t>Chloral Hydrate 500 mg</t>
  </si>
  <si>
    <t>Chlorhexidine Cream 50 gm.</t>
  </si>
  <si>
    <t>Cidex OPA 0.55%</t>
  </si>
  <si>
    <t>Citric Acid (450 gm.)</t>
  </si>
  <si>
    <t>กระปุก</t>
  </si>
  <si>
    <t>Coal Tar (450 ml.)</t>
  </si>
  <si>
    <t>Dettol</t>
  </si>
  <si>
    <t>Dimethyl sulphoxide ( DMSO)</t>
  </si>
  <si>
    <t>Disodium hydrogen phosphate anhydrous AR</t>
  </si>
  <si>
    <t>Glutaraldehyde Solution 2% - 5,000ML(Pose-dex)</t>
  </si>
  <si>
    <t>Glycerine (6 kg.)</t>
  </si>
  <si>
    <t>Gyro Disc Syringe Filter 0.2 UM</t>
  </si>
  <si>
    <t>Iodine crystal ( 450 GM )</t>
  </si>
  <si>
    <t>Liquid Paraffin (450 cc./ ขวด)</t>
  </si>
  <si>
    <t>Magnesium chloride hexahydrate (450gm.)</t>
  </si>
  <si>
    <t>Menthol Crystal (450 gm. )</t>
  </si>
  <si>
    <t>Methyl Paraben (450 gm.)</t>
  </si>
  <si>
    <t>Normaline (ผงเกลือล้างจมูกนอร์มาลีน)</t>
  </si>
  <si>
    <t>Parafilm 4 x 125</t>
  </si>
  <si>
    <t>Phosphoric acid 85% AR</t>
  </si>
  <si>
    <t>Potassium Chloride</t>
  </si>
  <si>
    <t>Potassium Iodide</t>
  </si>
  <si>
    <t>Propyl Paraben</t>
  </si>
  <si>
    <t>Propylene Glycol</t>
  </si>
  <si>
    <t>Q-Bac 2%- 400ml Chlorhexidine Gluconate</t>
  </si>
  <si>
    <t>Q-Bac 4% Liquid soap (Hibiscrb)</t>
  </si>
  <si>
    <t>Red Cap Combi Stopper</t>
  </si>
  <si>
    <t>Saccharin Sodium</t>
  </si>
  <si>
    <t>Salicylic Acid</t>
  </si>
  <si>
    <t>Silver Nitrate</t>
  </si>
  <si>
    <t>Sodium Benzoate</t>
  </si>
  <si>
    <t>Sodium Chloride</t>
  </si>
  <si>
    <t>Sodium Citrate</t>
  </si>
  <si>
    <t>Soft paraffin (White Vaselin) 50 กรัม</t>
  </si>
  <si>
    <t>Stearyl Alcohol</t>
  </si>
  <si>
    <t>Syrup Simplex</t>
  </si>
  <si>
    <t>Trichloroacetic Acid</t>
  </si>
  <si>
    <t>Urea FK</t>
  </si>
  <si>
    <t>Urea 10%+TA0.1% Cream (50 กรัม)</t>
  </si>
  <si>
    <t>Urea 20%+TA0.1% Cream (50 กรัม)</t>
  </si>
  <si>
    <t>Zinc Oxide Powder</t>
  </si>
  <si>
    <t>กรวยสแตนเลส 5 นิ้ว แบบไม่มีกรอง</t>
  </si>
  <si>
    <t>กระบอกตวงแก้ว 100ml.</t>
  </si>
  <si>
    <t>กระบอกตวงแก้ว 50ml.</t>
  </si>
  <si>
    <t>กระบอกตวงแก้วสเกลสีฟ้า 250ml.</t>
  </si>
  <si>
    <t>กระปุกยาครีม 150 กรัม</t>
  </si>
  <si>
    <t>กระปุกใส่ครีม 500 กรัม</t>
  </si>
  <si>
    <t>กลิ่นรส Sala Cider SDF 998 (flavor)</t>
  </si>
  <si>
    <t>กลิ่นรส Sweet Orange No.1 EA(flavor)(500 Ml.)</t>
  </si>
  <si>
    <t>โกร่งบดยา ขนาด 10 ซม.</t>
  </si>
  <si>
    <t>โกร่งบดยา ขนาด 13 ซม.</t>
  </si>
  <si>
    <t>โกร่งบดยา ขนาด 8 ซม.</t>
  </si>
  <si>
    <t>ขวดน้ำพลาสติก ขนาด 120 ซีซี</t>
  </si>
  <si>
    <t>ขวดน้ำพลาสติก ขนาด 240 ซีซี</t>
  </si>
  <si>
    <t>ขวดน้ำพลาสติก ขนาด 30 ซีซี</t>
  </si>
  <si>
    <t>ขวดน้ำพลาสติก ขนาด 60 ซีซี</t>
  </si>
  <si>
    <t>ขวดยา 500 cc. ( 120 ใบ)</t>
  </si>
  <si>
    <t>ขวดยาฉีด TYPE II ขนาด 8 ซีซี</t>
  </si>
  <si>
    <t>ขวดยาหยอดตา ( แบบพลาสติก) ขนาด 10 ml.</t>
  </si>
  <si>
    <t>ขวดหัวปั้ม size 300 cc</t>
  </si>
  <si>
    <t>ขวดหัวปั้ม size 600 cc</t>
  </si>
  <si>
    <t>ขวดแก้วสีชา 30 ซีซี พร้อมจุกและฝา</t>
  </si>
  <si>
    <t>ขวดแก้วสีชา 60 ซีซี พร้อมฝาเกลียว</t>
  </si>
  <si>
    <t>ขวดแก้วสีชา มีด๊อปเปอร์ 10 ซีซี</t>
  </si>
  <si>
    <t>จุกยางปิดขวด ขนาด 50 ซีซี (20 MM)</t>
  </si>
  <si>
    <t>ซองซิปทึบแสงขนาด 12x22 ซม.พิมพ์ยาเสี่ยงสูง (5,000ใบ/ห่อ)</t>
  </si>
  <si>
    <t>ซองซิปทึบแสงขนาด 16x26 ซม.พิมพ์ยาเสี่ยงสูง (2,500ใบ/ห่อ)</t>
  </si>
  <si>
    <t>ซองซิปทึบแสงขนาด 9x13 ซม. พิมพ์ยาเสี่ยงสูง</t>
  </si>
  <si>
    <t>ซองซิปสีชา 9*13 ไม่มีแถบ</t>
  </si>
  <si>
    <t>ซองซิปสีชา ขนาด 18X28cm</t>
  </si>
  <si>
    <t>ซองซิปสีชา ขนาด12 X20</t>
  </si>
  <si>
    <t>ซองซิปสีแดงพิมพ์ High Alert Drug 12x22 ซม.</t>
  </si>
  <si>
    <t>ซองซิปสีแดงพิมพ์ High Alert Drug 25x35 ซม.</t>
  </si>
  <si>
    <t>ซองซิปใส 12X20 CM.</t>
  </si>
  <si>
    <t>ซองซิปใส 12x20 CM. (แถบสีฟ้า ยาชนิดเดียวกัน)</t>
  </si>
  <si>
    <t>ซองซิปใส 16X26cm (แช่เย็น)</t>
  </si>
  <si>
    <t>ซองซิปใส 16x26 CM (แถบสีฟ้า ยาชนิดเดียวกัน)</t>
  </si>
  <si>
    <t>ซองซิปใส 16x26 ซม.(พิมพ์ยาด่วน)</t>
  </si>
  <si>
    <t>ซองซิปใส 18 x 28 ซม.</t>
  </si>
  <si>
    <t>ซองซิปใส 20x30 ซม.</t>
  </si>
  <si>
    <t>ซองซิปใส 23x35 ซม.</t>
  </si>
  <si>
    <t>ซองซิปใส 5X7cm</t>
  </si>
  <si>
    <t>ซองซิปใส 9x13 CM. ไม่มีแถบ</t>
  </si>
  <si>
    <t>ซองยา (Cellophane Paper)</t>
  </si>
  <si>
    <t>ซีลล์รัดคอขวด ขนาด 240 cc.(ขนาดใหญ่)</t>
  </si>
  <si>
    <t>ซีลล์รัดคอขวด ขนาด 60 cc. (ขนาดเล็ก)</t>
  </si>
  <si>
    <t>ตลับยาครีม ขนาด 10 กรัม</t>
  </si>
  <si>
    <t>ตลับ</t>
  </si>
  <si>
    <t>ตลับยาครีม ขนาด 30 กรัม</t>
  </si>
  <si>
    <t>ถุงกระดาษสีน้ำตาลเข้มหนา 50 แกรมไม่พิมพ์ 13x8x22 ซม.( 2000 ใบ )</t>
  </si>
  <si>
    <t>น้ำหอมกลิ่น Rose White</t>
  </si>
  <si>
    <t>บีกเกอร์แก้ว 1000 ml.</t>
  </si>
  <si>
    <t>บีกเกอร์แก้ว 100 ml.</t>
  </si>
  <si>
    <t>บีกเกอร์แก้ว 2000 ml.</t>
  </si>
  <si>
    <t>บีกเกอร์แก้ว 200 ml.</t>
  </si>
  <si>
    <t>บีกเกอร์แก้ว 30 ml.</t>
  </si>
  <si>
    <t>บีกเกอร์แก้ว 600 ml.</t>
  </si>
  <si>
    <t>บีกเกอร์แก้ว ขนาด 250 ซีซี</t>
  </si>
  <si>
    <t>สติ๊กเกอร์ต่อเนื่อง Prepack ขนาด 8.5x4.8 / 6 พิมพ์สีน้ำเงินกระดาษขาวด้าน</t>
  </si>
  <si>
    <t>สติ๊กเกอร์ม้วน ขนาด 8.5x8 ซม. กระดาษไดเร็กซ์</t>
  </si>
  <si>
    <t>สติ๊กเกอร์ไดเร็ทเทอร์มอล ขนาด8.5x6.1 (หยี่เต้ง)</t>
  </si>
  <si>
    <t>หัวปั้ม size 300 cc.</t>
  </si>
  <si>
    <t>สบู่เหลว ( Pose Liquid Soap)</t>
  </si>
  <si>
    <t>สบู่เหลวล้างเครื่องแก้ว LE-SOFT</t>
  </si>
  <si>
    <t>แผ่นรองซับชนิดผนึกด้วยพีวีซี</t>
  </si>
  <si>
    <t>รวม 108 รายการ · DBR/2570/0014 · แท็บ วัสดุเภสัชกรรม · หน่วยงาน กลุ่มงานเภสัชกรรม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</si>
  <si>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ทันตกรรม</t>
  </si>
  <si>
    <t>DIAMOND BUR FG 861EF/010</t>
  </si>
  <si>
    <t>DIAMOND BUR FG 862EF/012</t>
  </si>
  <si>
    <t>DIAMOND BUR FG 862F/014</t>
  </si>
  <si>
    <t>DIAMOND BUR FG 862G/014</t>
  </si>
  <si>
    <t>DIAMOND BUR FG 862G/016</t>
  </si>
  <si>
    <t>DIAMOND BUR FG 862EF/014</t>
  </si>
  <si>
    <t>DIAMOND BUR FG 858EF/012</t>
  </si>
  <si>
    <t>DIAMOND BUR FG 858EF/014</t>
  </si>
  <si>
    <t>DIAMOND BUR FG 858F/014</t>
  </si>
  <si>
    <t>DIAMOND BUR FG 858F/012</t>
  </si>
  <si>
    <t>DIAMOND BUR FG 858/012</t>
  </si>
  <si>
    <t>DIAMOND BUR FG 858/010</t>
  </si>
  <si>
    <t>DIAMOND BUR FG 847G/014</t>
  </si>
  <si>
    <t>DIAMOND BUR FG 847G/016</t>
  </si>
  <si>
    <t>DIAMOND BUR FG 848EF/016</t>
  </si>
  <si>
    <t>DIAMOND BUR FG 849F/016</t>
  </si>
  <si>
    <t>DIAMOND BUR FG 849G/016</t>
  </si>
  <si>
    <t>DIAMOND BUR FG 849/016</t>
  </si>
  <si>
    <t>DIAMOND BUR FG 850EF/014</t>
  </si>
  <si>
    <t>DIAMOND BUR FG 850EF/016</t>
  </si>
  <si>
    <t>DIAMOND BUR FG 850F/014</t>
  </si>
  <si>
    <t>DIAMOND BUR FG 850F/016</t>
  </si>
  <si>
    <t>DIAMOND BUR FG 850G/016</t>
  </si>
  <si>
    <t>DIAMOND BUR FG 835/010</t>
  </si>
  <si>
    <t>DIAMOND BUR FG 835/012</t>
  </si>
  <si>
    <t>DIAMOND BUR FG 835/014</t>
  </si>
  <si>
    <t>DIAMOND BUR FG 835/016</t>
  </si>
  <si>
    <t>DIAMOND BUR FG 830/023</t>
  </si>
  <si>
    <t>DIAMOND BUR FG 830F/023</t>
  </si>
  <si>
    <t>DIAMOND BUR FG 830F/016</t>
  </si>
  <si>
    <t>DIAMOND BUR FG 830EF/016</t>
  </si>
  <si>
    <t>DIAMOND BUR FG 831EF/016</t>
  </si>
  <si>
    <t>DIAMOND BUR FG 830F/018</t>
  </si>
  <si>
    <t>DIAMOND BUR FG 830EF/018</t>
  </si>
  <si>
    <t>DIAMOND BUR FG 811L/032</t>
  </si>
  <si>
    <t>DIAMOND BUR FG 801/009</t>
  </si>
  <si>
    <t>DIAMOND BUR FG 801/010</t>
  </si>
  <si>
    <t>DIAMOND BUR FG 801/012</t>
  </si>
  <si>
    <t>DIAMOND BUR FG 801/014</t>
  </si>
  <si>
    <t>DIAMOND BUR FG 801/016</t>
  </si>
  <si>
    <t>DIAMOND BUR FG 801/018</t>
  </si>
  <si>
    <t>DIAMOND BUR FG 801F/018</t>
  </si>
  <si>
    <t>DIAMOND BUR FG 801EF/016</t>
  </si>
  <si>
    <t>DIAMOND BUR FG 801EF/018</t>
  </si>
  <si>
    <t>DIAMOND BUR FG 801EF/021</t>
  </si>
  <si>
    <t>DIAMOND BUR FG 801/021</t>
  </si>
  <si>
    <t>POLISHERS BROWN 9310F</t>
  </si>
  <si>
    <t>POLISHERS GREEN 9574G HP .055</t>
  </si>
  <si>
    <t>POLISHERS GREEN</t>
  </si>
  <si>
    <t>POLISHERS GREY 9574M HP .055</t>
  </si>
  <si>
    <t>POLISHERS YELLOW</t>
  </si>
  <si>
    <t>POLISHERS YELLOW 9574F HP .055</t>
  </si>
  <si>
    <t>CARBIDE CA 1/010</t>
  </si>
  <si>
    <t>CARBIDE CA 1/012</t>
  </si>
  <si>
    <t>CARBIDE CA 1/014</t>
  </si>
  <si>
    <t>CARBIDE FG 1/016</t>
  </si>
  <si>
    <t>CARBIDE FG 1/018</t>
  </si>
  <si>
    <t>CARBIDE FG 1/021</t>
  </si>
  <si>
    <t>CARBIDE FG 1/023</t>
  </si>
  <si>
    <t>CARBIDE LONGSHANK LSIS/010</t>
  </si>
  <si>
    <t>CARBIDE BUR HPCX79/045</t>
  </si>
  <si>
    <t>CARBIDE BUR HPCX486/023</t>
  </si>
  <si>
    <t>CARBIDE BUR HPCX487/023</t>
  </si>
  <si>
    <t>CARBIDE BUR HPCX251/060</t>
  </si>
  <si>
    <t>Zir Gloss Chairside Set 1441</t>
  </si>
  <si>
    <t>LS Gloss Chairside Set 1440</t>
  </si>
  <si>
    <t>Steel Cutter HP71/050</t>
  </si>
  <si>
    <t>Kit silicone Polisher Composit</t>
  </si>
  <si>
    <t>SICvantage Std Abutment</t>
  </si>
  <si>
    <t>เสื้อกาวน์กันน้ำเนื้อหนา สีฟ้า</t>
  </si>
  <si>
    <t>เสื้อกาวน์กันน้ำเนื้อหนา สีขาว</t>
  </si>
  <si>
    <t>TOPGEL Topical Gel</t>
  </si>
  <si>
    <t>กระจก Front surface</t>
  </si>
  <si>
    <t>กระจกส่องปาก Seplus</t>
  </si>
  <si>
    <t>เข็มฉีดยาพลาสติก #27x1</t>
  </si>
  <si>
    <t>ตลับแก้วขนาดเล็ก</t>
  </si>
  <si>
    <t>ถาดสี่เหลี่ยมตื้น 9</t>
  </si>
  <si>
    <t>2% Chlorhixidine Gluconate Solution</t>
  </si>
  <si>
    <t>Contra Angle Latch</t>
  </si>
  <si>
    <t>Contra Angle Latch (ลำดับ 2)</t>
  </si>
  <si>
    <t>DRILL #0.5 FOR D.T. LIGHT-POST</t>
  </si>
  <si>
    <t>DRILL #1 FOR D.T. LIGHT-POST</t>
  </si>
  <si>
    <t>DRILL #3 FOR D.T. LIGHT-POST</t>
  </si>
  <si>
    <t>DT Light ILLUSION X-RO Posts #0.5</t>
  </si>
  <si>
    <t>DT Light ILLUSION X-RO Posts #1</t>
  </si>
  <si>
    <t>DT Light ILLUSION X-RO Posts #2</t>
  </si>
  <si>
    <t>Drauss Partial Tray หมุนได้ #S</t>
  </si>
  <si>
    <t>Drauss Partial Tray หมุนได้ #M</t>
  </si>
  <si>
    <t>Drauss Partial Tray หมุนได้ #L</t>
  </si>
  <si>
    <t>EXPASYL REFILL SET</t>
  </si>
  <si>
    <t>Krauss Mouth gag Molt #14 cm.</t>
  </si>
  <si>
    <t>Krauss Endodontic Box</t>
  </si>
  <si>
    <t>Krauss Instruments Tray for 7 Instruments with silicon Grip</t>
  </si>
  <si>
    <t>Krauss Cotton Pliers 15cm.</t>
  </si>
  <si>
    <t>Kohler Probes 17/23 ด้ามกลม</t>
  </si>
  <si>
    <t>Kohler College Cotton pliers</t>
  </si>
  <si>
    <t>Kohler Hemostatic Forceps Kelly curved 14 cm.</t>
  </si>
  <si>
    <t>Kohler Rubberdam punch</t>
  </si>
  <si>
    <t>Newtron HP Slim B.LED</t>
  </si>
  <si>
    <t>Nishika Calcipex II</t>
  </si>
  <si>
    <t>OCCLUFAST ROCK</t>
  </si>
  <si>
    <t>Universal Autoclavable wrench</t>
  </si>
  <si>
    <t>URM PERIO TIP H3</t>
  </si>
  <si>
    <t>TROPICALGIN LL</t>
  </si>
  <si>
    <t>Silicone Mono.</t>
  </si>
  <si>
    <t>ELITE H-D+ PUTTY SOFT NORMAL SET</t>
  </si>
  <si>
    <t>ELITE H-D+ PUTTY SOFT Fast SET</t>
  </si>
  <si>
    <t>ELITE H-D+ REGULAR BODY NORMAL TUBE (สีม่วง)</t>
  </si>
  <si>
    <t>ELITE H-D+ LIGHT BODY Normal SET</t>
  </si>
  <si>
    <t>ELITE H-D+ LIGHT BODY NORMAL TUBE (สีฟ้า)</t>
  </si>
  <si>
    <t>ELITE H-D+ LIGHT BODY Fast SET</t>
  </si>
  <si>
    <t>ESTE SIGMA QUICK SYRINGE A1</t>
  </si>
  <si>
    <t>ESTE SIGMA QUICK SYRINGE A2</t>
  </si>
  <si>
    <t>ESTE SIGMA QUICK SYRINGE A3</t>
  </si>
  <si>
    <t>ESTE SIGMA QUICK SYRINGE A3.5</t>
  </si>
  <si>
    <t>ESTE SIGMA QUICK SYRINGE A4</t>
  </si>
  <si>
    <t>ESTE SIGMA QUICK SYRINGE BW</t>
  </si>
  <si>
    <t>ESTE SIGMA QUICK SYRINGE OA1</t>
  </si>
  <si>
    <t>ESTE SIGMA QUICK SYRINGE OA2</t>
  </si>
  <si>
    <t>Retro MTA</t>
  </si>
  <si>
    <t>Machou-Plugger 1-2 (สีแดง)</t>
  </si>
  <si>
    <t>Machou-Plugger 2-4 (สีเทา)</t>
  </si>
  <si>
    <t>Mirror handles</t>
  </si>
  <si>
    <t>MUCODERM 15x20 MM.</t>
  </si>
  <si>
    <t>Mouth prob ผู้ใหญ่</t>
  </si>
  <si>
    <t>C TISEN Micro Applicator-Fine</t>
  </si>
  <si>
    <t>C TISEN Micro Applicator-Super Fine</t>
  </si>
  <si>
    <t>C TISEN Micro brush(9-10mm)</t>
  </si>
  <si>
    <t>POSE-CLORITE Sodium hypochlorite 2.5%</t>
  </si>
  <si>
    <t>EDTA 17% Solution</t>
  </si>
  <si>
    <t>ET BD TIP</t>
  </si>
  <si>
    <t>Sanctuary Dental Dams 5x5 Blue Mint</t>
  </si>
  <si>
    <t>Shimstock Foil 8 micron</t>
  </si>
  <si>
    <t>Sticky wax</t>
  </si>
  <si>
    <t>T-band เด็ก Puipdent</t>
  </si>
  <si>
    <t>TorVM Kit of Small Matrices</t>
  </si>
  <si>
    <t>TorVM Kit of Medium Matrices</t>
  </si>
  <si>
    <t>TorVM Kit of Large Matrices</t>
  </si>
  <si>
    <t>TorVM Strips. Universal Kit</t>
  </si>
  <si>
    <t>TorVM Kit of Medium Matrices with ledge</t>
  </si>
  <si>
    <t>TorVM Kit of Large Matrices with ledge</t>
  </si>
  <si>
    <t>TIP NO.1</t>
  </si>
  <si>
    <t>ActiveEtch</t>
  </si>
  <si>
    <t>ADULT APRON WITH COLLAR</t>
  </si>
  <si>
    <t>Aluwax</t>
  </si>
  <si>
    <t>Bausch Arti-paper 200 micron Red Box</t>
  </si>
  <si>
    <t>Arti-paper 300 Strips Red 100 Micron</t>
  </si>
  <si>
    <t>Saliva Ejector WW-Removable</t>
  </si>
  <si>
    <t>ใบมีด Feather No.11</t>
  </si>
  <si>
    <t>ใบมีด Feather No.12</t>
  </si>
  <si>
    <t>ใบมีด Feather No.15C</t>
  </si>
  <si>
    <t>Interproximal Carver, Hidy</t>
  </si>
  <si>
    <t>Interproximal Carver, (HC) Hidy</t>
  </si>
  <si>
    <t>Burnisher 27-29</t>
  </si>
  <si>
    <t>Brush Tip, Black Standard</t>
  </si>
  <si>
    <t>Cord packer</t>
  </si>
  <si>
    <t>Face Shield Denta PLUS</t>
  </si>
  <si>
    <t>Glide Finders 21mm #8 MANI</t>
  </si>
  <si>
    <t>Glide Finders 21mm #10 MANI</t>
  </si>
  <si>
    <t>Glide Finders 25mm #8 MANI</t>
  </si>
  <si>
    <t>Glide Finders 25mm #10 MANI</t>
  </si>
  <si>
    <t>K-File 21mm #6 MANI</t>
  </si>
  <si>
    <t>K-File 21mm #8 MANI</t>
  </si>
  <si>
    <t>K-File 21mm #10 MANI</t>
  </si>
  <si>
    <t>K-File 25mm #6 MANI</t>
  </si>
  <si>
    <t>K-File 25mm #8 MANI</t>
  </si>
  <si>
    <t>K-File 25mm #10 MANI</t>
  </si>
  <si>
    <t>K-File 31mm#10,15MANI</t>
  </si>
  <si>
    <t>Rocka Red</t>
  </si>
  <si>
    <t>Lentulo 21mm #25</t>
  </si>
  <si>
    <t>Glass Petri Dish 4, 4-Sectional</t>
  </si>
  <si>
    <t>Gate drills 28mm #1</t>
  </si>
  <si>
    <t>Gate drills 28mm #2</t>
  </si>
  <si>
    <t>Gate drills 32mm #3</t>
  </si>
  <si>
    <t>HHN Matrix band 0.04 mm. #12</t>
  </si>
  <si>
    <t>HHN Matrix band 0.04 mm. #15</t>
  </si>
  <si>
    <t>HHN Matrix band 0.04 mm. #16</t>
  </si>
  <si>
    <t>Band Topflemire</t>
  </si>
  <si>
    <t>Medesy Scalpel Handles No.3ด้ามมีด</t>
  </si>
  <si>
    <t>Intraoral tips type 1 clear</t>
  </si>
  <si>
    <t>Short Barbed Broaches 21mm. #2</t>
  </si>
  <si>
    <t>Short Barbed Broaches 21mm. #3</t>
  </si>
  <si>
    <t>Short Barbed Broaches 21mm. #4</t>
  </si>
  <si>
    <t>Short Barbed Broaches 21mm. #5</t>
  </si>
  <si>
    <t>Short Barbed Broaches 21mm. #6</t>
  </si>
  <si>
    <t>X-Ray Flim Carestream Ultra-Speed DF-58 Size 2</t>
  </si>
  <si>
    <t>X-Ray Flim Carestream Ultra-Speed DF-54 Size 0</t>
  </si>
  <si>
    <t>T-Ball burnisher</t>
  </si>
  <si>
    <t>T4 Line BH 40 Straight-Angle 1:1</t>
  </si>
  <si>
    <t>Paper point #S</t>
  </si>
  <si>
    <t>Paper point #M</t>
  </si>
  <si>
    <t>Paper point #L</t>
  </si>
  <si>
    <t>U or Minnesota 1T Proximal Carver, Hidy</t>
  </si>
  <si>
    <t>Mandrel pop on</t>
  </si>
  <si>
    <t>ยาง Silicone Type E</t>
  </si>
  <si>
    <t>Instrument Cassette 5 inst, 3x8x0.8 Hinged Cover</t>
  </si>
  <si>
    <t>Instrument Cassette 10 inst, 5.5x8x1.25, Hinged Cover</t>
  </si>
  <si>
    <t>Intensiv FG D16</t>
  </si>
  <si>
    <t>Intensiv FG D8</t>
  </si>
  <si>
    <t>Intensiv FG D2</t>
  </si>
  <si>
    <t>ถุงมือไม่มีแป้ง #XS</t>
  </si>
  <si>
    <t>ถ้วยสแตนเลส</t>
  </si>
  <si>
    <t>บีกเกอร์ 600 ML.</t>
  </si>
  <si>
    <t>น้ำยาล้างฟิล์ม Fixer</t>
  </si>
  <si>
    <t>น้ำยาล้างฟิล์ม Developer</t>
  </si>
  <si>
    <t>Rubber cup มีก้าน สีดำ</t>
  </si>
  <si>
    <t>Rubber Brush มีก้าน สีขาว</t>
  </si>
  <si>
    <t>Floss refill</t>
  </si>
  <si>
    <t>Pink wax</t>
  </si>
  <si>
    <t>Wedge #S</t>
  </si>
  <si>
    <t>Wedge #M</t>
  </si>
  <si>
    <t>Wedge #L</t>
  </si>
  <si>
    <t>Band Palaodent 3.5mm.</t>
  </si>
  <si>
    <t>Band Palaodent 4.5mm.</t>
  </si>
  <si>
    <t>Band Palaodent 5.5mm.</t>
  </si>
  <si>
    <t>Band Palaodent 6.5mm.</t>
  </si>
  <si>
    <t>Ring V3 Universal</t>
  </si>
  <si>
    <t>Ring V3 Narrow</t>
  </si>
  <si>
    <t>Enhance #Point</t>
  </si>
  <si>
    <t>Cord #0</t>
  </si>
  <si>
    <t>Cord #00</t>
  </si>
  <si>
    <t>Cord #000</t>
  </si>
  <si>
    <t>Cord #1</t>
  </si>
  <si>
    <t>Cord #2</t>
  </si>
  <si>
    <t>Navi Tips 20pk 25mm. Blue</t>
  </si>
  <si>
    <t>UltraCal XS Single</t>
  </si>
  <si>
    <t>Panavia V5 Standard Kit (A2)</t>
  </si>
  <si>
    <t>Panavia V5 Standard Kit (Clear)</t>
  </si>
  <si>
    <t>Panavia V5 (Clear)</t>
  </si>
  <si>
    <t>Panavia V5 (White)</t>
  </si>
  <si>
    <t>Panavia V5 (Brown A4)</t>
  </si>
  <si>
    <t>Panavia V5 (Opaque)</t>
  </si>
  <si>
    <t>Alloy Primer</t>
  </si>
  <si>
    <t>Clearfil SE Bond</t>
  </si>
  <si>
    <t>Colored Plastic Air Water Syring Tips</t>
  </si>
  <si>
    <t>Steel Burs 1/104/050</t>
  </si>
  <si>
    <t>Steel Burs 38/104/021</t>
  </si>
  <si>
    <t>Steel Instruments 169RF/104/023</t>
  </si>
  <si>
    <t>Carbide Burs H141A/104/031</t>
  </si>
  <si>
    <t>Carbide Cutter H251E/104/060</t>
  </si>
  <si>
    <t>DIAMOND INSTRUMENT 4ZR/314/014</t>
  </si>
  <si>
    <t>DIAMOND INSTRUMENT 6878/314/014</t>
  </si>
  <si>
    <t>DIAMOND INSTRUMENT 6878/314/016</t>
  </si>
  <si>
    <t>Mini Distal End Cutter, Long handle</t>
  </si>
  <si>
    <t>Ligature 20 stick Black</t>
  </si>
  <si>
    <t>Plastic Chain</t>
  </si>
  <si>
    <t>Three Jaw Plier</t>
  </si>
  <si>
    <t>Wire 325 Pliers with 1groove 12.5cm.</t>
  </si>
  <si>
    <t>ULTRA-TUFF THREAD GREY .025</t>
  </si>
  <si>
    <t>UTILITY PLIER</t>
  </si>
  <si>
    <t>RLTRA BAND LOCK BLUE</t>
  </si>
  <si>
    <t>SS OPEN COIL SPRING</t>
  </si>
  <si>
    <t>SS. CLOSED COIL SPRING .010 X 030</t>
  </si>
  <si>
    <t>SUPER CHAIN สีฟ้า</t>
  </si>
  <si>
    <t>SUPER CHAIN สีเหลือง</t>
  </si>
  <si>
    <t>ASSURE ALL SURFACE BOND RESIN</t>
  </si>
  <si>
    <t>BONDABLE SINGLE TUBES STANDARD .022 (UR, LL) #16, 36</t>
  </si>
  <si>
    <t>BONDABLE SINGLE TUBES STANDARD .022 (UL, LR) #26, 46</t>
  </si>
  <si>
    <t>ORTHOCRYL EQ POWDER LEAR ผงทำแนม</t>
  </si>
  <si>
    <t>Orthocryl liquid, Transpaent Pink</t>
  </si>
  <si>
    <t>OCCLUSAL TITANIUM MIRROR</t>
  </si>
  <si>
    <t>PIN &amp; LIGATURE CUTTER EQ1</t>
  </si>
  <si>
    <t>กล่องใส่ลวด 20 ช่อง</t>
  </si>
  <si>
    <t>SE-NITI .012 UPPER</t>
  </si>
  <si>
    <t>SE-NITI .012 LOWER</t>
  </si>
  <si>
    <t>SE-NITI .014 UPPER</t>
  </si>
  <si>
    <t>SE-NITI .014 LOWER</t>
  </si>
  <si>
    <t>SE-NITI .016 UPPER</t>
  </si>
  <si>
    <t>SE-NITI .016 LOWER</t>
  </si>
  <si>
    <t>SE-NITI .018 UPPER</t>
  </si>
  <si>
    <t>SE-NITI .018 LOWER</t>
  </si>
  <si>
    <t>SE-NITI .016 X 016 UPPER</t>
  </si>
  <si>
    <t>SE-NITI .016 X 016 UPPER (ลำดับ 2)</t>
  </si>
  <si>
    <t>SE-NITI .016 X 022 UPPER</t>
  </si>
  <si>
    <t>SE-NITI .016 X 022 UPPER (ลำดับ 2)</t>
  </si>
  <si>
    <t>SE-NITI .017 X 025 UPPER</t>
  </si>
  <si>
    <t>SE-NITI .017 X 025 UPPER (ลำดับ 2)</t>
  </si>
  <si>
    <t>Face Mask</t>
  </si>
  <si>
    <t>SOFT LINER</t>
  </si>
  <si>
    <t>PIP PASTE</t>
  </si>
  <si>
    <t>Buser</t>
  </si>
  <si>
    <t>Dentin conditoner</t>
  </si>
  <si>
    <t>Cavitron White 30 gm.</t>
  </si>
  <si>
    <t>RACESTYPTINE HAEMOSTATIC SOLUTION AGENT</t>
  </si>
  <si>
    <t>G-AENIAL SYRINGE A2</t>
  </si>
  <si>
    <t>G-AENIAL SYRINGE A3</t>
  </si>
  <si>
    <t>G-AENIAL SYRINGE A3.5</t>
  </si>
  <si>
    <t>G-AENIAL SYRINGE B1</t>
  </si>
  <si>
    <t>G-AENIAL SYRINGE B2</t>
  </si>
  <si>
    <t>GC EXACLEAR</t>
  </si>
  <si>
    <t>GC GOLD LABEL 1 LUTING&amp;LINING 1-1</t>
  </si>
  <si>
    <t>GC GOLD LABEL II LC CAPSULE BOX OF 30 A3</t>
  </si>
  <si>
    <t>GC GOLD LABEL VII EP CAPSULE BOX OF 30 PINK</t>
  </si>
  <si>
    <t>GC GOLD LABEL 2LC (Powder) A3</t>
  </si>
  <si>
    <t>GC GOLD LABEL 2LC (Liqid) A3</t>
  </si>
  <si>
    <t>GOLD LABEL IX EXTRA CAPSULE A3</t>
  </si>
  <si>
    <t>GOLD LABE 9 HS POST EXTRA 1-1</t>
  </si>
  <si>
    <t>GC EQUIA FORTE HT, REFILL PACK, A3</t>
  </si>
  <si>
    <t>GC EQUIA FORTE COAT FLIPCAP 4ML PACK WEP</t>
  </si>
  <si>
    <t>Rubber packing</t>
  </si>
  <si>
    <t>INTERPROXMAL CARVER #TNCVIPC</t>
  </si>
  <si>
    <t>RED 10 INSTRUMENT CASSETTE</t>
  </si>
  <si>
    <t>SCALER SATIN STEEL #SH6/76</t>
  </si>
  <si>
    <t>PROBE SATIN STEEL #PCPUNC156 ละเอียด</t>
  </si>
  <si>
    <t>24G PERIOSTEAL, #4 HDL #P24G6</t>
  </si>
  <si>
    <t>UNIFAST TRAD LIQUID</t>
  </si>
  <si>
    <t>UNIFAST TRAD POWDER IVORY</t>
  </si>
  <si>
    <t>UNIFAST POWDER PINK</t>
  </si>
  <si>
    <t>COLGATE DURAPHAT VARNISH</t>
  </si>
  <si>
    <t>PERIODONTAL #CSOLT3/46</t>
  </si>
  <si>
    <t>ORBAN DE KNIFE, SATIN STEEL #KO1/26</t>
  </si>
  <si>
    <t>PERIOSTEAL, SHORT #P24GSP</t>
  </si>
  <si>
    <t>MICRO MIRROR ROUND 9MM x 3MM #MMB</t>
  </si>
  <si>
    <t>MICRO MIRROR ROUND 5.0MM #MM5</t>
  </si>
  <si>
    <t>BACK ACTION DE CHISEL #C36/376</t>
  </si>
  <si>
    <t>SUGARMAN #FS1/2S</t>
  </si>
  <si>
    <t>PR3 PRICHARD PERIOSTEAL #6HANDLE #PPR36</t>
  </si>
  <si>
    <t>EXPLORER #EXDG16</t>
  </si>
  <si>
    <t>EPITEX EXTRA FINE 10MM.</t>
  </si>
  <si>
    <t>EXPLORER SATIN STEEL #EXD11/126</t>
  </si>
  <si>
    <t>GRACEY CURETTE SATIN STEEL #SG13/14</t>
  </si>
  <si>
    <t>GRACEY CURETTE SATIN STEEL #SG11/12</t>
  </si>
  <si>
    <t>GRACEY CURETTE SATIN STEEL #SG7/8</t>
  </si>
  <si>
    <t>GRACEY CURETTE SATIN STEEL #SAS11/12</t>
  </si>
  <si>
    <t>GRACEY CURETTE SATIN STEEL #SAS13/14</t>
  </si>
  <si>
    <t>GLICK PLASTIC #RCPGL1</t>
  </si>
  <si>
    <t>COE-PAK PERIODONTAL</t>
  </si>
  <si>
    <t>LUXATING ELVE, 2MM STRAIGHT BLACKLINE</t>
  </si>
  <si>
    <t>LUXATING ELVE, 4MM STRAIGHT BLACKLINE</t>
  </si>
  <si>
    <t>LUXATING ELVE, 4MM CURVED BLACKLINE</t>
  </si>
  <si>
    <t>Collar plug</t>
  </si>
  <si>
    <t>KAVO IDOT IMPLATE PLATES SET Size 0</t>
  </si>
  <si>
    <t>KAVO IDOT IMPLATE PLATES SET Size 2</t>
  </si>
  <si>
    <t>KAVO IDOT IMPLATE PLATES SET Size 3</t>
  </si>
  <si>
    <t>OCCLUSAL 4C ACCESSORY KIT KAVO</t>
  </si>
  <si>
    <t>Bone Life Net DFDBA 0.25cc. / DGC120</t>
  </si>
  <si>
    <t>Bone LifeNet FDBA 0.25cc/GC120</t>
  </si>
  <si>
    <t>Bio-Men 15x20</t>
  </si>
  <si>
    <t>Screws 0.9 mm. L 7 mm.</t>
  </si>
  <si>
    <t>Screws 0.9 mm. L 10 mm.</t>
  </si>
  <si>
    <t>ด้ามกรอฟันช้าความเร็วต่ำ ชนิดด้ามตรง Sirona T4 Line BH40</t>
  </si>
  <si>
    <t>Bone Graft Material (BOS 1-2mm) 0.5</t>
  </si>
  <si>
    <t>Bio-Oss (0.25-1mm) 0.25 g</t>
  </si>
  <si>
    <t>Bio-Oss (0.25-1mm) 0.5 g</t>
  </si>
  <si>
    <t>Bio-Guide 25x25 mm.</t>
  </si>
  <si>
    <t>Bio-Guide 13x25 mm.</t>
  </si>
  <si>
    <t>Auto Tac Titanium Tack Vial, pkg of 5</t>
  </si>
  <si>
    <t>RC BASAK SCREW, TAN</t>
  </si>
  <si>
    <t>Fixture TI SLA(stramann)</t>
  </si>
  <si>
    <t>Implant Analog</t>
  </si>
  <si>
    <t>Implant Posst,for closed tray</t>
  </si>
  <si>
    <t>Variobase Abutment</t>
  </si>
  <si>
    <t>Healing</t>
  </si>
  <si>
    <t>SICMilling Blank CAD/CAM</t>
  </si>
  <si>
    <t>Mayo-Hegar Needle Holder</t>
  </si>
  <si>
    <t>Dental Foreps For Childen</t>
  </si>
  <si>
    <t>Vlrox Alcohol Free Wipes</t>
  </si>
  <si>
    <t>น้ำยาล้างSuction</t>
  </si>
  <si>
    <t>Forcep.Engl.Pattern, F.34</t>
  </si>
  <si>
    <t>Forcep.Engl.Pattern, F.35N</t>
  </si>
  <si>
    <t>Forcep.Engl.Pattern, F.36M</t>
  </si>
  <si>
    <t>Heamostatic Forceps, 16 cm. Curved</t>
  </si>
  <si>
    <t>Kocher, Bone Clamp Straight, 16 cm.</t>
  </si>
  <si>
    <t>Extract, Forceps Engl.Pattern F.13</t>
  </si>
  <si>
    <t>Green Clean</t>
  </si>
  <si>
    <t>Artipaper Full Arch 40 ไมครอน</t>
  </si>
  <si>
    <t>Artipaper ครึ่ง Arch 40 ไมครอน</t>
  </si>
  <si>
    <t>Artipaper Full Arch 65 ไมครอน</t>
  </si>
  <si>
    <t>Artipaper ครึ่ง Arch 65 ไมครอน</t>
  </si>
  <si>
    <t>Fine Dam</t>
  </si>
  <si>
    <t>RADENT JAR</t>
  </si>
  <si>
    <t>Pumice ละเอียด</t>
  </si>
  <si>
    <t>Topical gel/F</t>
  </si>
  <si>
    <t>FRACTURE FINDER</t>
  </si>
  <si>
    <t>แผ่น Mouthguard splint #040</t>
  </si>
  <si>
    <t>DURA WHITE STONE FG 12 PCS FL2 0244</t>
  </si>
  <si>
    <t>DURA WHITE STONE CA 12 PCS FL2 0223</t>
  </si>
  <si>
    <t>DURA WHITE STONE CA 12 PCS RD10227</t>
  </si>
  <si>
    <t>DURA GREEN STONE CA 12 PCS FL2 0060</t>
  </si>
  <si>
    <t>DURA WHITE STONE FG 12 PCS RD1 0247</t>
  </si>
  <si>
    <t>DURA GREEN STONE CA 12 PCS FL2 0104</t>
  </si>
  <si>
    <t>DURA GREEN DIA HP#TC4</t>
  </si>
  <si>
    <t>DURA GREEN DIA HP#KN7</t>
  </si>
  <si>
    <t>NEEDLE FOR SUPER ENDO, 24MM. G25</t>
  </si>
  <si>
    <t>ALEGRA Straight handpiece</t>
  </si>
  <si>
    <t>BL-BGPSOFT GUTTA PERCHA SOFT แบบแท่ง</t>
  </si>
  <si>
    <t>DIS SPRAY TUBE F.IMPLANTMED</t>
  </si>
  <si>
    <t>HE-43 ALEGRA Straight handpiece</t>
  </si>
  <si>
    <t>Rcprep</t>
  </si>
  <si>
    <t>น้ำมันสเปรย์ใส่เครื่อง</t>
  </si>
  <si>
    <t>Mixing tip DYNAMIC</t>
  </si>
  <si>
    <t>Intra Oral tip</t>
  </si>
  <si>
    <t>Surgical Contra-Angle 20:1</t>
  </si>
  <si>
    <t>TG-97L SYNEA FUSION TURBINE</t>
  </si>
  <si>
    <t>TG-97L SYNEA FUSION TURBINE+RQ-24 ROTO QUICK-COUPLING</t>
  </si>
  <si>
    <t>Triple Syringe</t>
  </si>
  <si>
    <t>ZILMASTER FINE HP BULLER #PN0652</t>
  </si>
  <si>
    <t>ZILMASTER COARSE HP BULLED #0640</t>
  </si>
  <si>
    <t>ZILMASTER MEDIUM HP BULLED #0646</t>
  </si>
  <si>
    <t>DURA GREEN DIA HP#KN7 (ลำดับ 2)</t>
  </si>
  <si>
    <t>HE-43 ALEGRA Straight handpiece (ลำดับ 2)</t>
  </si>
  <si>
    <t>TG-97L SYNEA FUSION TURBINE (ลำดับ 2)</t>
  </si>
  <si>
    <t>TG-97L SYNEA FUSION TURBINE+RQ-24 ROTO QUICK-COUPLING (ลำดับ 2)</t>
  </si>
  <si>
    <t>Triple Syringe (ลำดับ 2)</t>
  </si>
  <si>
    <t>Topical gel ยาซาเจล</t>
  </si>
  <si>
    <t>Fixture Remover 5, L : 15</t>
  </si>
  <si>
    <t>Disinfection Impression</t>
  </si>
  <si>
    <t>Torque Driver Extra Short</t>
  </si>
  <si>
    <t>Torque Driver for Torque Wrench</t>
  </si>
  <si>
    <t>Torque WrenchBar Type</t>
  </si>
  <si>
    <t>Fixture osstem</t>
  </si>
  <si>
    <t>Pre-milled</t>
  </si>
  <si>
    <t>Healing osstem</t>
  </si>
  <si>
    <t>Contra Angle NSK FX23</t>
  </si>
  <si>
    <t>Hi-Clean spray</t>
  </si>
  <si>
    <t>HONORE GLOVES POWDER FREE</t>
  </si>
  <si>
    <t>Excite</t>
  </si>
  <si>
    <t>Multicore flow refill</t>
  </si>
  <si>
    <t>Endo-frost cold spray</t>
  </si>
  <si>
    <t>Ceraseal</t>
  </si>
  <si>
    <t>Cera Putty</t>
  </si>
  <si>
    <t>Ivolean</t>
  </si>
  <si>
    <t>Optragate small refill</t>
  </si>
  <si>
    <t>Biodentine</t>
  </si>
  <si>
    <t>ป้ายติดสถานะเครื่องมือ พร้อม Autoclave</t>
  </si>
  <si>
    <t>Medpark A1 OSS Allograft (0.25cc)</t>
  </si>
  <si>
    <t>683067AN OptraSculpt Starter Kit</t>
  </si>
  <si>
    <t>639791AN OptraSculpt Pad Assortment</t>
  </si>
  <si>
    <t>SPONGOSTAN DENTAL</t>
  </si>
  <si>
    <t>SONICFILL 3 COMPOSITE A3</t>
  </si>
  <si>
    <t>NX3 REFILL AUTOMIX DUAL-CURE SYRINGE CLEAR</t>
  </si>
  <si>
    <t>NX3 REFILL AUTOMIX DUAL-CURE SYRINGE WHITE</t>
  </si>
  <si>
    <t>NX3 REFILL AUTOMIX DUAL-CURE SYRINGE YELLOW</t>
  </si>
  <si>
    <t>NX3 REFILL AUTOMIX DUAL-CURE SYRINGE BLEACH</t>
  </si>
  <si>
    <t>NX3 REFILL AUTOMIX DUAL-CURE SYRINGE WHITE OPAQU</t>
  </si>
  <si>
    <t>ENHANCE FINISH POINT REF, 30S</t>
  </si>
  <si>
    <t>ANTI-MICROBIAL DENTAL STONE TYPE3</t>
  </si>
  <si>
    <t>ANTI-MICROBIAL DENTAL STONE ORTHO</t>
  </si>
  <si>
    <t>GUTTA-PERCHA POINTS #20</t>
  </si>
  <si>
    <t>SDR PLUS COMPULA REFILL UNIVERSAL</t>
  </si>
  <si>
    <t>AH PLUS STANDARD PACK</t>
  </si>
  <si>
    <t>IRM CEMENT IVORY</t>
  </si>
  <si>
    <t>PROTAPER GOLD S1 25MM</t>
  </si>
  <si>
    <t>PROTAPER GOLD S2 25MM</t>
  </si>
  <si>
    <t>PROTAPER GOLD F1 25MM</t>
  </si>
  <si>
    <t>PROTAPER GOLD F2 25MM</t>
  </si>
  <si>
    <t>PROTAPER GOLD F2 25MM (ลำดับ 2)</t>
  </si>
  <si>
    <t>PROTAPER GOLD F4 25MM</t>
  </si>
  <si>
    <t>PROTAPER GOLD F5 25MM</t>
  </si>
  <si>
    <t>PROTAPER GOLD S1 21MM</t>
  </si>
  <si>
    <t>PROTAPER GOLD S2 21MM</t>
  </si>
  <si>
    <t>PROTAPER GOLD F1 21MM</t>
  </si>
  <si>
    <t>PROTAPER GOLD F2 21MM</t>
  </si>
  <si>
    <t>PROTAPER GOLD F3 21MM</t>
  </si>
  <si>
    <t>PROTAPER GOLD GUTTAPERCHA F2</t>
  </si>
  <si>
    <t>PROTAPER GOLD GUTTAPERCHA F3</t>
  </si>
  <si>
    <t>PROTAPER GOLD GUTTAPERCHA F4-F5</t>
  </si>
  <si>
    <t>PROGLIDER 3FILE STERILE 25MM.</t>
  </si>
  <si>
    <t>GEMINI MBT 022 FULL KIT</t>
  </si>
  <si>
    <t>GEMINI MBT 022 FULL KIT (ลำดับ 2)</t>
  </si>
  <si>
    <t>TRANSBOND PLUS COLOR CHANGE</t>
  </si>
  <si>
    <t>TRANSBOND MIP BOTTLE</t>
  </si>
  <si>
    <t>C+ FILE READYSTEEL 18MM 010</t>
  </si>
  <si>
    <t>C+ FILE READYSTEEL 21MM 008</t>
  </si>
  <si>
    <t>C+ FILE READYSTEEL 21MM 010</t>
  </si>
  <si>
    <t>C+ FILE READYSTEEL 21MM 015</t>
  </si>
  <si>
    <t>C+ FILE READYSTEEL 25MM 010</t>
  </si>
  <si>
    <t>PROGLIDER 3FILE STERILE 21MM</t>
  </si>
  <si>
    <t>PROGLIDER 3FILE STERILE 25MM</t>
  </si>
  <si>
    <t>E-Flex Mini Tapper 6%</t>
  </si>
  <si>
    <t>Gutta-percha</t>
  </si>
  <si>
    <t>Rotary File</t>
  </si>
  <si>
    <t>Clinpro sealant refill 6 ml</t>
  </si>
  <si>
    <t>VITREBOND KIT, LIGHT CURE</t>
  </si>
  <si>
    <t>A2B Z350 XT SYR</t>
  </si>
  <si>
    <t>A3B Z350 XT SYR</t>
  </si>
  <si>
    <t>A3.5B Z350 XT SYR</t>
  </si>
  <si>
    <t>A4B Z350 XT SYR</t>
  </si>
  <si>
    <t>Scotchbond Etching</t>
  </si>
  <si>
    <t>4931SF SOF.EXTRA THIN SUP FINE, 1/2</t>
  </si>
  <si>
    <t>4930SF SOF.EXTRA THIN SUP.FINE, 3/8</t>
  </si>
  <si>
    <t>4930C SOF.EXTRA THIN COARSE, 1/2</t>
  </si>
  <si>
    <t>4931C SOF.EXTRA THIN COARSE, 1/2</t>
  </si>
  <si>
    <t>4930M SOF.EXTRA THIN MEDIUM, 3/8</t>
  </si>
  <si>
    <t>4931F SOF.EXTRA THIN FINE, 1/2</t>
  </si>
  <si>
    <t>4931M SOF.EXTRA MEDIUM, 1/2</t>
  </si>
  <si>
    <t>4930F</t>
  </si>
  <si>
    <t>PROTEMP 4</t>
  </si>
  <si>
    <t>FILTEK Z350 SUPREME XT FLOWABLE</t>
  </si>
  <si>
    <t>CLINPRO WHITE VARNISH 100EA MELON</t>
  </si>
  <si>
    <t>MIXING PAD-LARGE</t>
  </si>
  <si>
    <t>VPS TRAY ADHSIVE</t>
  </si>
  <si>
    <t>BENDABLE BRUSHES 120/BAG</t>
  </si>
  <si>
    <t>SCOTCHBOND UNIV PLUS RF, 5ML.</t>
  </si>
  <si>
    <t>RELYX UNIVERSAL VALUE PACK A1</t>
  </si>
  <si>
    <t>RELY X FIBER POST INTRO KIT</t>
  </si>
  <si>
    <t>FIBER POST DRILL SIZE 0</t>
  </si>
  <si>
    <t>FIBER POST SIZE 0</t>
  </si>
  <si>
    <t>FIBER POST SIZE 1</t>
  </si>
  <si>
    <t>SOF-LEX PRE-POLISH SPIRAL สีเหลือง</t>
  </si>
  <si>
    <t>SOF-LEX DIAMOND POLISH SPIRAL สีชมพู</t>
  </si>
  <si>
    <t>SOF-LEK FINISH.STRIP</t>
  </si>
  <si>
    <t>A1B Z350 XT SYR APAC</t>
  </si>
  <si>
    <t>A2 Filtek one Bulk Fill, Syr 4g</t>
  </si>
  <si>
    <t>A3 Filtek one Bulk Fill, Syr 4g</t>
  </si>
  <si>
    <t>A2 Filtek one Bulk Fill CAPS</t>
  </si>
  <si>
    <t>Disposable brush tip</t>
  </si>
  <si>
    <t>INTRAORAL TIPS YELLOW</t>
  </si>
  <si>
    <t>H-File</t>
  </si>
  <si>
    <t>FILE NITIFLEX</t>
  </si>
  <si>
    <t>PALODENT V3 FORCEP REFILL</t>
  </si>
  <si>
    <t>PALODENT V3 MATRICES REFILL 3.5MM.</t>
  </si>
  <si>
    <t>PALODENT V3 MATRICES REFILL 4.5MM.</t>
  </si>
  <si>
    <t>PALODENT V3 MATRICES REFILL 5.5MM.</t>
  </si>
  <si>
    <t>PALODENT V3 MATRICES REFILL 6.5MM.</t>
  </si>
  <si>
    <t>Ring Palodent V3 Universal</t>
  </si>
  <si>
    <t>DYCAL STANDARD PACK IVORY</t>
  </si>
  <si>
    <t>Ring Palodent V3 Narow</t>
  </si>
  <si>
    <t>GRENGLOO SYRING KIT</t>
  </si>
  <si>
    <t>OPTIBADW ULTRA BLUE CL KIT SYN5</t>
  </si>
  <si>
    <t>MSTPOUCH 15 4H 5 16 HVY WALRUS</t>
  </si>
  <si>
    <t>MASTER POUCH 15 6H 1 2 HVY WHALE</t>
  </si>
  <si>
    <t>ZOO MSTPACK 2E 3 16 HVY KANGAROO</t>
  </si>
  <si>
    <t>ZOO MASTER PACK 3E 1 4 HVY BEAR</t>
  </si>
  <si>
    <t>ZOO MSTPACK 2D 3 16 MH RABBICT</t>
  </si>
  <si>
    <t>ZOO MSTPACK 2F 3 16 EH IMPALA</t>
  </si>
  <si>
    <t>ZOO MASTER PACK 3F 1 4 E H RAM</t>
  </si>
  <si>
    <t>907042-2 U UNITEK SSC PRI ANTE, CUSPID</t>
  </si>
  <si>
    <t>907043-3 U UNITEK SSC PRI ANTE, CUSPID</t>
  </si>
  <si>
    <t>907051-1 U UNITEK SSC PRI ANTE, CUSPID</t>
  </si>
  <si>
    <t>907053-3 U UNITEK SSC PRI ANTE, CUSPID</t>
  </si>
  <si>
    <t>907054-4 U UNITEK SSC PRI ANTE, CUSPID</t>
  </si>
  <si>
    <t>907024-4 UL UNITEK SSC PRI ANTE, LATERAL</t>
  </si>
  <si>
    <t>SSC PRIMARY MOLAR</t>
  </si>
  <si>
    <t>SUPERMAT ASSORTMENT</t>
  </si>
  <si>
    <t>SILANE PRIMER</t>
  </si>
  <si>
    <t>Green stick Compound</t>
  </si>
  <si>
    <t>TEMP-BOND NE UNIDOSE</t>
  </si>
  <si>
    <t>OPTIBOND S BOTTLE REFILL</t>
  </si>
  <si>
    <t>Occlusal indicator wax</t>
  </si>
  <si>
    <t>ยาชา2%</t>
  </si>
  <si>
    <t>ยาชา4%</t>
  </si>
  <si>
    <t>OROTOL PLUS</t>
  </si>
  <si>
    <t>DENTAL NEEDLE 27G x 1-3/16IN</t>
  </si>
  <si>
    <t>DENTAL NEEDLE 30G x 13/16IN</t>
  </si>
  <si>
    <t>Monobond N</t>
  </si>
  <si>
    <t>RelyX UNIVERSAL Micro tip</t>
  </si>
  <si>
    <t>Rely X Unicem Elongation tip</t>
  </si>
  <si>
    <t>ZOOM CHAIRSDE</t>
  </si>
  <si>
    <t>รวม 550 รายการ · DBR/2570/0015 · แท็บ ทันตกรรม · หน่วยงาน กลุ่มงานทันตกรรม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</si>
  <si>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โภชนาการ</t>
  </si>
  <si>
    <t>ข้าวกล้องหอมมะลิ</t>
  </si>
  <si>
    <t>โภชนศาสตร์</t>
  </si>
  <si>
    <t>วัสดุบริโภคหมวดขนมหวาน</t>
  </si>
  <si>
    <t>สัญญาจะซื้อจะขายฯ</t>
  </si>
  <si>
    <t>แป้งบัวลอยสำเร็จรูป</t>
  </si>
  <si>
    <t>วงเงินคงเหลือ ณ สิงหาคม 2569 10,600.00 บาท</t>
  </si>
  <si>
    <t>แป้งครองแครง</t>
  </si>
  <si>
    <t>เม็ดทับทิมกรอบสำเร็จรูป</t>
  </si>
  <si>
    <t>มะพร้าวขูด</t>
  </si>
  <si>
    <t>วัสดุบริโภคหมวดของแห้ง</t>
  </si>
  <si>
    <t>กระเทียมเจียว 500ก.</t>
  </si>
  <si>
    <t>กะปิแกง</t>
  </si>
  <si>
    <t>กก.</t>
  </si>
  <si>
    <t>สัญญาจะซื้อจะขายฯ วัสดุบริโภค 20 รายการ</t>
  </si>
  <si>
    <t>กะปิพริก</t>
  </si>
  <si>
    <t>กุ้งแห้ง (ขนาดเล็ก)</t>
  </si>
  <si>
    <t>ขนมปัง ฟาร์มเฮ้าส์ โฮลวีต</t>
  </si>
  <si>
    <t>ขนมปัง ฟาร์มเฮ้าส์</t>
  </si>
  <si>
    <t>ข้าวเหนียวดำ</t>
  </si>
  <si>
    <t>ขิงชง สูตรต้นตำรับ</t>
  </si>
  <si>
    <t>ขิงชง สูตรไม่ผสมน้ำตาล</t>
  </si>
  <si>
    <t>เครื่องตุ๋นยาจีน</t>
  </si>
  <si>
    <t>เครื่องแกง ผัดเผ็ด</t>
  </si>
  <si>
    <t>เครื่องแกง ข้าวหมก</t>
  </si>
  <si>
    <t>เครื่องแกง กะทิ</t>
  </si>
  <si>
    <t>เครื่องแกง กะหรี่</t>
  </si>
  <si>
    <t>เครื่องแกง เขียวหวาน</t>
  </si>
  <si>
    <t>เครื่องแกง คั่วกลิ้ง</t>
  </si>
  <si>
    <t>เครื่องแกง พริก</t>
  </si>
  <si>
    <t>เครื่องแกง พะแนง</t>
  </si>
  <si>
    <t>เครื่องแกง มัสมั่น</t>
  </si>
  <si>
    <t>เครื่องแกง ส้ม</t>
  </si>
  <si>
    <t>เครื่องแกง ฉู่ฉี่</t>
  </si>
  <si>
    <t>ซุปครีมไก่</t>
  </si>
  <si>
    <t>ซุปครีมข้าวโพด</t>
  </si>
  <si>
    <t>ซุปมะเขือเทศ</t>
  </si>
  <si>
    <t>เต้าหู้ห่อใบตอง</t>
  </si>
  <si>
    <t>เต้าหู้ไข่ไก่</t>
  </si>
  <si>
    <t>เต้าหู้ปลา</t>
  </si>
  <si>
    <t>เต้าหู้เหลือง</t>
  </si>
  <si>
    <t>ถั่วเขียว</t>
  </si>
  <si>
    <t>ถั่วเขียวซีก</t>
  </si>
  <si>
    <t>ถั่วดำ</t>
  </si>
  <si>
    <t>ถั่วแดงหลวง</t>
  </si>
  <si>
    <t>น้ำมันมะกอก</t>
  </si>
  <si>
    <t>ถั่วนางแดง</t>
  </si>
  <si>
    <t>ถั่วลิสงคั่ว</t>
  </si>
  <si>
    <t>ทอดมันปลา</t>
  </si>
  <si>
    <t>น้ำจิ้มไก่</t>
  </si>
  <si>
    <t>น้ำจิ้มสุกี้</t>
  </si>
  <si>
    <t>น้ำสลัด งาคั่วญี่ปุ่น</t>
  </si>
  <si>
    <t>น้ำสลัด ซีอิ๊วญี่ปุ่น</t>
  </si>
  <si>
    <t>น้ำสลัด เมโยเมจิก</t>
  </si>
  <si>
    <t>น้ำสลัดครีม</t>
  </si>
  <si>
    <t>น้ำสลัดใส</t>
  </si>
  <si>
    <t>เนยก้อน</t>
  </si>
  <si>
    <t>ใบกระวาน</t>
  </si>
  <si>
    <t>ปูนแดง</t>
  </si>
  <si>
    <t>ปูอัด</t>
  </si>
  <si>
    <t>ผงกะหรี่</t>
  </si>
  <si>
    <t>ผงวุ้นนางเงือก</t>
  </si>
  <si>
    <t>ผงวุ้นนางเงือก25ก.</t>
  </si>
  <si>
    <t>ผงลาบ คนอร์</t>
  </si>
  <si>
    <t>ผักรวมแช่แข็ง</t>
  </si>
  <si>
    <t>พริกไทยดำป่น</t>
  </si>
  <si>
    <t>พุทราจีน แห้ง</t>
  </si>
  <si>
    <t>ฟองเต้าหู้</t>
  </si>
  <si>
    <t>ฟองเต้าหู้เส้น</t>
  </si>
  <si>
    <t>ฟองเต้าหู้เส้น (ลำดับ 2)</t>
  </si>
  <si>
    <t>ฟองเต้าหู้โบว์</t>
  </si>
  <si>
    <t>ฟองเต้าหู้โบว์ (ลำดับ 2)</t>
  </si>
  <si>
    <t>ฟูชิลลี แบบเกลียว</t>
  </si>
  <si>
    <t>มะกะโรนี ข้องอ</t>
  </si>
  <si>
    <t>เม็ดพริกไทยดำ</t>
  </si>
  <si>
    <t>เม็ดมะม่วงซีก</t>
  </si>
  <si>
    <t>ไม้หวาน อบเชย</t>
  </si>
  <si>
    <t>แยมตลับ รสสตอเบอรี่</t>
  </si>
  <si>
    <t>แยมตลับ รสส้ม</t>
  </si>
  <si>
    <t>ลูกเกดขาว</t>
  </si>
  <si>
    <t>ลูกเกดดำ</t>
  </si>
  <si>
    <t>ลูกชิด</t>
  </si>
  <si>
    <t>ลูกชิ้นปลาใหญ่</t>
  </si>
  <si>
    <t>ลูกชิ้นปลาจัมโบ้</t>
  </si>
  <si>
    <t>ลูกเดือย</t>
  </si>
  <si>
    <t>วุ้นดำ (เฉาก๊วย)</t>
  </si>
  <si>
    <t>สาคู คลองแงะ</t>
  </si>
  <si>
    <t>สาคูเม็ดเล็ก</t>
  </si>
  <si>
    <t>เส้นก๋วยเตี๊ยว</t>
  </si>
  <si>
    <t>เส้นเล็ก</t>
  </si>
  <si>
    <t>เส้นหมี่ขาว</t>
  </si>
  <si>
    <t>เส้นหมี่กลาง</t>
  </si>
  <si>
    <t>ไส้กรอกไก่</t>
  </si>
  <si>
    <t>หมี่เหลือง</t>
  </si>
  <si>
    <t>หอมเจียว500ก.</t>
  </si>
  <si>
    <t>เห็ดหอมแห้ง เล็ก</t>
  </si>
  <si>
    <t>เห็ดหอมแห้ง กลาง</t>
  </si>
  <si>
    <t>เห็ดหูหนูขาว</t>
  </si>
  <si>
    <t>แฮมไก่</t>
  </si>
  <si>
    <t>เบสท์ฟู้ดส์ ซีซาร์ เดรสซิ่ง 1 กก</t>
  </si>
  <si>
    <t>ทาคูมิ-อายิ ซอสเทอริยากิ 1000 มล.</t>
  </si>
  <si>
    <t>แผ่นเกี๊ยวไข่</t>
  </si>
  <si>
    <t>ใบเมี่ยงญวน 340 กรัม</t>
  </si>
  <si>
    <t>กะทิธัญพืช</t>
  </si>
  <si>
    <t>เบกกิ้งโซดา</t>
  </si>
  <si>
    <t>น้ำส้มสายชู</t>
  </si>
  <si>
    <t>ผัก (พื้นถิ่น)</t>
  </si>
  <si>
    <t>ดอกแค</t>
  </si>
  <si>
    <t>ใบชะพลู</t>
  </si>
  <si>
    <t>วงเงินคงเหลือ ณ สิงหาคม 2569 92,650.00 บาท</t>
  </si>
  <si>
    <t>ใบชะมวง</t>
  </si>
  <si>
    <t>ผักเหลียง</t>
  </si>
  <si>
    <t>ยอดมะขาม</t>
  </si>
  <si>
    <t>ยอดส้มปอย</t>
  </si>
  <si>
    <t>หยวกอ่อน</t>
  </si>
  <si>
    <t>วัสดุบริโภคหมวดเครื่องดื่ม</t>
  </si>
  <si>
    <t>วัสดุบริโภคหมวดเครื่องดื่ม จำนวน 17 รายการ</t>
  </si>
  <si>
    <t>น้ำผลไม้กล่อง 100 % สตรอเบอรี่ผสมผลไม้รวม ขนาด 200 ml</t>
  </si>
  <si>
    <t>ส.ค.69-มิ.ย.70</t>
  </si>
  <si>
    <t>น้ำผลไม้กล่อง 100 %แอปเปิ้ล ขนาด 200 ml</t>
  </si>
  <si>
    <t>น้ำผลไม้กล่อง 100 %องุ่นแดง ขนาด 200 ml</t>
  </si>
  <si>
    <t>น้ำผลไม้กล่อง 100 %สับปะรด ขนาด 200 ml</t>
  </si>
  <si>
    <t>น้ำผลไม้กล่อง 100 %ทับทิมผสมผลไม้รวม ขนาด 200 ml</t>
  </si>
  <si>
    <t>น้ำผลไม้กล่อง 100 %ส้มเขียวหวาน ขนาด 200 ml</t>
  </si>
  <si>
    <t>น้ำผลไม้กล่อง 100 %ส้มสายน้ำผึ้ง ขนาด 200 ml</t>
  </si>
  <si>
    <t>น้ำผลไม้กล่อง องุ่นขาวผสมเสาวรส ขนาด 180 ml</t>
  </si>
  <si>
    <t>น้ำผลไม้กล่อง ลิ้นจี่ ขนาด 180 ml</t>
  </si>
  <si>
    <t>น้ำผลไม้กล่อง สตรอเบอรี่ ขนาด 180 ml</t>
  </si>
  <si>
    <t>นมถั่วเหลือง UHT</t>
  </si>
  <si>
    <t>นมถั่วเหลือง โลชูการ์</t>
  </si>
  <si>
    <t>นม UHT จืด</t>
  </si>
  <si>
    <t>นม UHT พร่องมันเนย</t>
  </si>
  <si>
    <t>เฮลซ์บลูบอย ครีมโซดา</t>
  </si>
  <si>
    <t>เฮลซ์บลูบอย สละ</t>
  </si>
  <si>
    <t>เฮลซ์บลูบอย มะลิ</t>
  </si>
  <si>
    <t>หมวดนมถั่วเหลือง</t>
  </si>
  <si>
    <t>นมถั่วเหลือง แคลเซียมสูง ๕๐%</t>
  </si>
  <si>
    <t>รอบริษัท มาทำสัญญา</t>
  </si>
  <si>
    <t>นมถั่วเหลือง แคลเซียมสูง สูตรมัลติเกรน</t>
  </si>
  <si>
    <t>นมถั่วเหลือง สูตรอัลมอนด์</t>
  </si>
  <si>
    <t>นมถั่วเหลือง สูตรงาดำ มอลด์</t>
  </si>
  <si>
    <t>นมถั่วเหลือง สูตรฟิสตาชิโอ</t>
  </si>
  <si>
    <t>นมถั่วเหลือง สูตรน้ำตาลน้อย</t>
  </si>
  <si>
    <t>นมถั่วเหลือง สูตรไม่มีน้ำตาล</t>
  </si>
  <si>
    <t>วัสดุบริโภคหมวดขนม</t>
  </si>
  <si>
    <t>ท็อปฟี่เค้ก</t>
  </si>
  <si>
    <t>เค้กกล้วยหอม 2 ลูกเล็ก</t>
  </si>
  <si>
    <t>เค้กมะพร้าว</t>
  </si>
  <si>
    <t>แยมโรล 4 ชิ้น</t>
  </si>
  <si>
    <t>เค้กกล้วยตาก</t>
  </si>
  <si>
    <t>กะหรี่ปั๊บ</t>
  </si>
  <si>
    <t>ฟรุตเค้ก</t>
  </si>
  <si>
    <t>ขนมชั้น 2 ดอก</t>
  </si>
  <si>
    <t>ขนมปังไส้ชินิมอล</t>
  </si>
  <si>
    <t>ขนมปังมะพร้าว</t>
  </si>
  <si>
    <t>ซาลาเปาไส้ไก่แดง</t>
  </si>
  <si>
    <t>เค้กฝอยทอง</t>
  </si>
  <si>
    <t>ซิฟฟ่อนเค้ก</t>
  </si>
  <si>
    <t>ตะโก้ 2 กระทง</t>
  </si>
  <si>
    <t>บราวนี่</t>
  </si>
  <si>
    <t>เบอร์เกอร์มินิ</t>
  </si>
  <si>
    <t>ขนมบ้าบิ่น</t>
  </si>
  <si>
    <t>โกสุ้ย</t>
  </si>
  <si>
    <t>ขนมปังไส้กรอก</t>
  </si>
  <si>
    <t>เค้กใบเตย</t>
  </si>
  <si>
    <t>แซนวิซ</t>
  </si>
  <si>
    <t>ฟรุตโรล</t>
  </si>
  <si>
    <t>คุกกี้ 2 ชิ้นใหญ่</t>
  </si>
  <si>
    <t>ขนมปังทูน่า</t>
  </si>
  <si>
    <t>ทาร์ตผลไม้</t>
  </si>
  <si>
    <t>ขนมปังไส้ไก่หยอง</t>
  </si>
  <si>
    <t>เค้กหน้าแยม</t>
  </si>
  <si>
    <t>เค้กส้ม</t>
  </si>
  <si>
    <t>หยกมณี</t>
  </si>
  <si>
    <t>เอแคลร์ 4 ลูก</t>
  </si>
  <si>
    <t>บัตเตอร์เค้ก</t>
  </si>
  <si>
    <t>ขนมปังเนย</t>
  </si>
  <si>
    <t>โดนัท</t>
  </si>
  <si>
    <t>นมผงสำหรับทารก คลอดปกติ</t>
  </si>
  <si>
    <t>นมผงสำหรับทารก คลอดก่อนกำหนด</t>
  </si>
  <si>
    <t>แพทย์แผนไทย</t>
  </si>
  <si>
    <t>ตะไคร้</t>
  </si>
  <si>
    <t>ลูกมะกรูด</t>
  </si>
  <si>
    <t>หัวไพล</t>
  </si>
  <si>
    <t>ขมิ้นชัน</t>
  </si>
  <si>
    <t>เกลือเม็ด</t>
  </si>
  <si>
    <t>วัสดุบริโภค (ธนาคารเลือด)</t>
  </si>
  <si>
    <t>ยูโร่เค้ก</t>
  </si>
  <si>
    <t>ฟูโด้เค้ก</t>
  </si>
  <si>
    <t>นมโอวัลติน UHT</t>
  </si>
  <si>
    <t>เฮลซ์บลูบอย</t>
  </si>
  <si>
    <t>รวมเจาะจง</t>
  </si>
  <si>
    <t>วัสดุบริโภคหมวดเนื้อสัตว์ (หมู ) จำนวน 3 รายการ</t>
  </si>
  <si>
    <t>เสนอราคาวันที่ 7 ก.ย.69</t>
  </si>
  <si>
    <t>หมูเนื้อแดงบด</t>
  </si>
  <si>
    <t>หมูเนื้อแดงหั่น</t>
  </si>
  <si>
    <t>เลือดหมู</t>
  </si>
  <si>
    <t>วัสดุบริโภคอาหารทะเล จำนวน 3 รายการ</t>
  </si>
  <si>
    <t>ปลาตัวแล่เนื้อ</t>
  </si>
  <si>
    <t>เนื้อปลากระพงสไลด์ติดหนัง</t>
  </si>
  <si>
    <t>กุ้งปอกเปลือก</t>
  </si>
  <si>
    <t>วัสดุบริโภคหมวดเนื้อสัตว์ (ไก่ ) จำนวน 9 รายการ</t>
  </si>
  <si>
    <t>ไก่บด</t>
  </si>
  <si>
    <t>ไก่หั่น</t>
  </si>
  <si>
    <t>ไก่สดสับชิ้น</t>
  </si>
  <si>
    <t>อกไก่ล้วนชิ้น</t>
  </si>
  <si>
    <t>โครงไก่</t>
  </si>
  <si>
    <t>โคนปีกไก่บน</t>
  </si>
  <si>
    <t>น่องไก่</t>
  </si>
  <si>
    <t>ปีกไก่กลาง</t>
  </si>
  <si>
    <t>เลือดไก่</t>
  </si>
  <si>
    <t>ข้าวสารหอมมะลิ 100%</t>
  </si>
  <si>
    <t>รายงานผลราคากลาง</t>
  </si>
  <si>
    <t>ไข่ไก่สด เบอร์ ๓</t>
  </si>
  <si>
    <t>แผง</t>
  </si>
  <si>
    <t>วัสดุบริโภค จำนวน ๒ หมวด (หมวดผักและหมวดผลไม้)</t>
  </si>
  <si>
    <t>ต้นหอม</t>
  </si>
  <si>
    <t>ผักชีไทย</t>
  </si>
  <si>
    <t>ผักชีใบเลื่อย</t>
  </si>
  <si>
    <t>คื่นฉ่าย</t>
  </si>
  <si>
    <t>ใบกะเพรา</t>
  </si>
  <si>
    <t>กระเทียมปอก</t>
  </si>
  <si>
    <t>แครอท</t>
  </si>
  <si>
    <t>มะเขือเทศ</t>
  </si>
  <si>
    <t>มะเขือเทศราชินี</t>
  </si>
  <si>
    <t>มะเขือยาวเขียว</t>
  </si>
  <si>
    <t>มะเขือพวงเด็ด</t>
  </si>
  <si>
    <t>มะเขือเปราะ</t>
  </si>
  <si>
    <t>มะเขืออ้อร้อ ม่วง(แบบกลม)</t>
  </si>
  <si>
    <t>มะเขือไข่เต่า ม่วง(แบบวงรี)</t>
  </si>
  <si>
    <t>มะเขือเทศสีดา</t>
  </si>
  <si>
    <t>บวบปอกเหลี่ยม</t>
  </si>
  <si>
    <t>พริกขี้หนูแดงเด็ด</t>
  </si>
  <si>
    <t>พริกขี้หนูเขียวเด็ด</t>
  </si>
  <si>
    <t>พริกชี้ฟ้าแดง</t>
  </si>
  <si>
    <t>พริกชี้ฟ้าเขียว</t>
  </si>
  <si>
    <t>พริกยักษ์เขียว</t>
  </si>
  <si>
    <t>พริกยักษ์แดง</t>
  </si>
  <si>
    <t>พริกยักษ์เหลือง</t>
  </si>
  <si>
    <t>พริกไทยอ่อน</t>
  </si>
  <si>
    <t>ผักกาดขาว</t>
  </si>
  <si>
    <t>ผักกาดหอม</t>
  </si>
  <si>
    <t>ผักกาดหอมจีน</t>
  </si>
  <si>
    <t>ผักกาดแก้ว</t>
  </si>
  <si>
    <t>ดอกหอม</t>
  </si>
  <si>
    <t>ดอกกะหล่ำ</t>
  </si>
  <si>
    <t>ฟักทอง</t>
  </si>
  <si>
    <t>ฟักเขียว</t>
  </si>
  <si>
    <t>ใบรา</t>
  </si>
  <si>
    <t>สับปะรดแกง</t>
  </si>
  <si>
    <t>แตงร้าน</t>
  </si>
  <si>
    <t>แตงกวาเล็ก</t>
  </si>
  <si>
    <t>กวางตุ้ง</t>
  </si>
  <si>
    <t>กวางตุ้งไต้หวัน</t>
  </si>
  <si>
    <t>หอมใหญ่</t>
  </si>
  <si>
    <t>กะหล่ำปลี</t>
  </si>
  <si>
    <t>กะหล่ำปลีม่วง</t>
  </si>
  <si>
    <t>ขิงซอย</t>
  </si>
  <si>
    <t>ขิงแก่</t>
  </si>
  <si>
    <t>ข่า</t>
  </si>
  <si>
    <t>กระชายฝอย</t>
  </si>
  <si>
    <t>ขมิ้นสด</t>
  </si>
  <si>
    <t>ใบเตย</t>
  </si>
  <si>
    <t>พริกหยวก</t>
  </si>
  <si>
    <t>มันฝรั่ง</t>
  </si>
  <si>
    <t>บล็อคโคลี่</t>
  </si>
  <si>
    <t>เห็ดหอมสด</t>
  </si>
  <si>
    <t>เห็ดหูหนู</t>
  </si>
  <si>
    <t>เห็ดฟาง</t>
  </si>
  <si>
    <t>เห็ดนางฟ้า</t>
  </si>
  <si>
    <t>เห็ดชิเมจิดำ</t>
  </si>
  <si>
    <t>เห็ดหลินจือขาว</t>
  </si>
  <si>
    <t>เห็ดหลินจือขาว (ลำดับ 2)</t>
  </si>
  <si>
    <t>เห็ดหลินจือดำ</t>
  </si>
  <si>
    <t>เห็ดหลินจือดำ (ลำดับ 2)</t>
  </si>
  <si>
    <t>เห็ดออรินจิ</t>
  </si>
  <si>
    <t>เห็ดเข็มทอง</t>
  </si>
  <si>
    <t>หอมพม่า</t>
  </si>
  <si>
    <t>หัวไชเท้า</t>
  </si>
  <si>
    <t>ใบโหระพา</t>
  </si>
  <si>
    <t>เผือก</t>
  </si>
  <si>
    <t>ข้าวโพดฝัก ปอก</t>
  </si>
  <si>
    <t>ข้าวโพดอ่อน ปอก</t>
  </si>
  <si>
    <t>ใบแมงลัก</t>
  </si>
  <si>
    <t>ใบกุยฉ่าย</t>
  </si>
  <si>
    <t>ถั่วงอก</t>
  </si>
  <si>
    <t>ถั่วฝักยาว</t>
  </si>
  <si>
    <t>ถั่วลันเตาหวาน</t>
  </si>
  <si>
    <t>ถั่วลันเตา</t>
  </si>
  <si>
    <t>ถั่วพู</t>
  </si>
  <si>
    <t>มันเทศเหลือง</t>
  </si>
  <si>
    <t>มันแกวล้าง</t>
  </si>
  <si>
    <t>กระเจี๊ยบเขียว</t>
  </si>
  <si>
    <t>มะละกอดิบ</t>
  </si>
  <si>
    <t>ผักบุ้งจีน</t>
  </si>
  <si>
    <t>ผักบุ้งไทย</t>
  </si>
  <si>
    <t>มะระ</t>
  </si>
  <si>
    <t>คะน้า</t>
  </si>
  <si>
    <t>ตะไคร้ (ลำดับ 2)</t>
  </si>
  <si>
    <t>ตะไคร้หั่น</t>
  </si>
  <si>
    <t>มะนาว</t>
  </si>
  <si>
    <t>ใบมะกรูด</t>
  </si>
  <si>
    <t>ใบสาระแหน่</t>
  </si>
  <si>
    <t>แขนง</t>
  </si>
  <si>
    <t>สลัดแก้ว</t>
  </si>
  <si>
    <t>มะขามเนื้อ</t>
  </si>
  <si>
    <t>กรีนโอ๊ต</t>
  </si>
  <si>
    <t>เรดโอ๊ค</t>
  </si>
  <si>
    <t>ผักสลัดคอส</t>
  </si>
  <si>
    <t>หมวดผลไม้ จำนวน 18 รายการ</t>
  </si>
  <si>
    <t>แก้วมังกร</t>
  </si>
  <si>
    <t>แอปเปิ้ลเขียว</t>
  </si>
  <si>
    <t>แอปเปิ้ลฟูจิ</t>
  </si>
  <si>
    <t>ฝรั่งกิมจู</t>
  </si>
  <si>
    <t>กล้วยน้ำหว้า</t>
  </si>
  <si>
    <t>ส้มสายน้ำผึ้ง</t>
  </si>
  <si>
    <t>ส้มเขียวหวาน</t>
  </si>
  <si>
    <t>แตงโม</t>
  </si>
  <si>
    <t>แคนตาลูปส้ม</t>
  </si>
  <si>
    <t>ขนุนแกะ</t>
  </si>
  <si>
    <t>สับปะรดสุก</t>
  </si>
  <si>
    <t>มังคุด</t>
  </si>
  <si>
    <t>ส้มวาเลนเซีย</t>
  </si>
  <si>
    <t>มะละกอสุก</t>
  </si>
  <si>
    <t>เงาะ</t>
  </si>
  <si>
    <t>ลองกอง</t>
  </si>
  <si>
    <t>องุ่นแดง</t>
  </si>
  <si>
    <t>สตอเบอรี่สด 250 กรัม</t>
  </si>
  <si>
    <t>อาหารทางการแพทย์</t>
  </si>
  <si>
    <t>อาหารสำหรับผู้ป่วยที่ต้องการโปรตีนและพลังงานสูง</t>
  </si>
  <si>
    <t>กระป๋อง</t>
  </si>
  <si>
    <t>อาหารสำหรับเด็กที่มีปัญหาการย่อยและการดูดซึมอาหาร</t>
  </si>
  <si>
    <t>อาหารสำหรับผู้ป่วยทั่วไป</t>
  </si>
  <si>
    <t>อาหารสำหรับผู้ป่วยเบาหวาน</t>
  </si>
  <si>
    <t>อาหารสำหรับลดน้ำหนัก,ลดโรคและชนิดดื่มเสริมทางปาก</t>
  </si>
  <si>
    <t>อาหารสูตรครบถ้วนทางการแพทย์สูตรครบถ้วนผสมใยอาหาร</t>
  </si>
  <si>
    <t>อาหารสำหรับผู้ป่วยที่มีภาวะขาดสารอาหารประเภทโปรตีน</t>
  </si>
  <si>
    <t>อาหารสำหรับผู้ป่วยที่ต้องการโปรตีนสูง สูตรเปปไทด์</t>
  </si>
  <si>
    <t>รวม 326 รายการ · DBR/2570/0016 · แท็บ โภชนาการ · หน่วยงาน งานโภชนาการ กลุ่มงาน โภชนศาตร์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</si>
  <si>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แบบพิมพ์</t>
  </si>
  <si>
    <t>กระดาษรองถาดอาหาร ข้อพึ่งปฎิบัติ 12ประการ</t>
  </si>
  <si>
    <t>กระดาษรองถาดอาหาร โรคเก๊าท์</t>
  </si>
  <si>
    <t>กระดาษรองถาดอาหาร โรคความดันโลหิต</t>
  </si>
  <si>
    <t>กระดาษรองถาดอาหาร โรคไต</t>
  </si>
  <si>
    <t>กระดาษรองถาดอาหาร โรคเบาหวาน</t>
  </si>
  <si>
    <t>กระดาษรองถาดอาหาร โรคมะเร็ง</t>
  </si>
  <si>
    <t>กระดาษรองถาดอาหาร โรคหัวใจขาดเลือด</t>
  </si>
  <si>
    <t>กินให้ครบทุกกลุ่มให้สัดส่วนที่เหมาะสมของแต่ละคน</t>
  </si>
  <si>
    <t>การ์ดยา สีชมพู</t>
  </si>
  <si>
    <t>การ์ดยา สีฟ้า</t>
  </si>
  <si>
    <t>การ์ดยา สีเหลือง</t>
  </si>
  <si>
    <t>แบบบันทึกข้อมูลเฝ้าระวังการบาดเจ็บ</t>
  </si>
  <si>
    <t>แบบบันทึกบาดแผล (การ์ตูน)</t>
  </si>
  <si>
    <t>ใบ Doctor Order for one day</t>
  </si>
  <si>
    <t>ใบ Doctor Order Sheet (PRE OP ODER FOR)</t>
  </si>
  <si>
    <t>ใบ Doctor Order Sheet (POST operative order for ESS)</t>
  </si>
  <si>
    <t>ใบ Doctor Order Sheet (Post operative order for tonsillectomy and adenonidectomy)</t>
  </si>
  <si>
    <t>ใบ Doctor Order Sheet (POST operative order for Tryroid Iobectomy )</t>
  </si>
  <si>
    <t>ใบ Doctor Order Sheet (PRE OP ODER TRACHOSTOMY)</t>
  </si>
  <si>
    <t>ใบDoctor order sheet(ADMISSION FORM)</t>
  </si>
  <si>
    <t>ใบ PADLIATRIC NEONATAL</t>
  </si>
  <si>
    <t>ใบขอเลือด สีขาว</t>
  </si>
  <si>
    <t>ใบขอเลือด สีชมพู</t>
  </si>
  <si>
    <t>ใบขอแลกเปลี่ยนเวร</t>
  </si>
  <si>
    <t>ใบคล้องเลือด สีชมพู</t>
  </si>
  <si>
    <t>ใบคล้องเลือด สีฟ้า</t>
  </si>
  <si>
    <t>ใบคล้องเลือด สีเหลือง</t>
  </si>
  <si>
    <t>ใบคำยินยอมให้แพทย์ทำการรักาาและผ่าตัด(บส.12)</t>
  </si>
  <si>
    <t>ใบจำหน่าย</t>
  </si>
  <si>
    <t>ใบตรวจร่างกายรูปคน</t>
  </si>
  <si>
    <t>ใบติดขวดน้ำเกลือ</t>
  </si>
  <si>
    <t>ใบบันทึกการพยาบาล (รพ.7)</t>
  </si>
  <si>
    <t>ใบบันทึกการพยาบาล รพ.7(ใบต่อ)</t>
  </si>
  <si>
    <t>ใบบันทึกการพยาบาลผู้ป่วยวิกฤต</t>
  </si>
  <si>
    <t>ใบบันทึกการวางแผนจำหน่าย(ส่วนที่1)</t>
  </si>
  <si>
    <t>ใบบันทึกการวางแผนจำหน่าย(ส่วนที่2)</t>
  </si>
  <si>
    <t>ใบบันทึกการให้อาหารและสารน้ำทางสายยาง</t>
  </si>
  <si>
    <t>ใบบันทึกข้อมูล งานอุบัติเหตุและฉุกเฉิน</t>
  </si>
  <si>
    <t>ใบบันทึกบาดแผล งานอุบัติเหตุและฉุกเฉิน</t>
  </si>
  <si>
    <t>ใบบันทึกผลการตวจน้ำตาลในเลือด</t>
  </si>
  <si>
    <t>ใบประเมินภาวะสุขภาพ20A</t>
  </si>
  <si>
    <t>ใบประเมินภาวะสุขภาพ20B</t>
  </si>
  <si>
    <t>ใบประเมินภาวะสุขภาพ20C</t>
  </si>
  <si>
    <t>ใบปริมาณงานนอกเวลาราชการ</t>
  </si>
  <si>
    <t>ใบปริมาณน้ำที่ร่างกายได้รับและสูญเสียใน24ชม.</t>
  </si>
  <si>
    <t>ใบปรึกษาผู้ป่วยระหว่างกลุ่มงาน</t>
  </si>
  <si>
    <t>ใบปลิว A4 ภาษาไทย Cancer Center</t>
  </si>
  <si>
    <t>ใบปลิว A4 ภาษาอังกฤษ Cancer Center</t>
  </si>
  <si>
    <t>ใบยอดผู้ป่วยประจำวัน</t>
  </si>
  <si>
    <t>ใบวัดชีพจร</t>
  </si>
  <si>
    <t>ใบส่งตรวจรังสี</t>
  </si>
  <si>
    <t>ใบเสร็จรับเงิน</t>
  </si>
  <si>
    <t>ใบเสร็จรับเงินแบบต่อเนื่อง</t>
  </si>
  <si>
    <t>ใบแสดงเจตนาขอรับการตรวจรักษาพยาบาล</t>
  </si>
  <si>
    <t>ป้ายชื่อติดชาร์ทประวัติผู้ป่วย สีขาว</t>
  </si>
  <si>
    <t>ป้ายชื่อติดชาร์ทประวัติผู้ป่วย สีเขียว</t>
  </si>
  <si>
    <t>ป้ายชื่อติดชาร์ทประวัติผู้ป่วย สีชมพู</t>
  </si>
  <si>
    <t>ป้ายชื่อติดชาร์ทประวัติผู้ป่วย สีเทา</t>
  </si>
  <si>
    <t>ป้ายชื่อติดชาร์ทประวัติผู้ป่วย สีเหลือง</t>
  </si>
  <si>
    <t>ป้ายชื่อติดชาร์ทประวัติผู้ป่วย สีฟ้า</t>
  </si>
  <si>
    <t>ป้ายชื่อติดชาร์ทประวัติผู้ป่วย สีม่วง</t>
  </si>
  <si>
    <t>ป้ายชื่อติดชาร์ทประวัติผู้ป่วย สีส้ม</t>
  </si>
  <si>
    <t>ป้ายชื่อผู้ป่วย สีชมพู</t>
  </si>
  <si>
    <t>ป้ายชื่อผู้ป่วย สีฟ้า</t>
  </si>
  <si>
    <t>ป้ายชื่อผู้ป่วย สีเหลือง</t>
  </si>
  <si>
    <t>ป้ายเตียง สีขาว</t>
  </si>
  <si>
    <t>ป้ายเตียง สีเขียว</t>
  </si>
  <si>
    <t>ป้ายเตียง สีชมพู</t>
  </si>
  <si>
    <t>ป้ายเตียง สีเทา</t>
  </si>
  <si>
    <t>ป้ายเตียง สีฟ้า</t>
  </si>
  <si>
    <t>ป้ายเตียง สีม่วง</t>
  </si>
  <si>
    <t>ป้ายเตียง สีส้ม</t>
  </si>
  <si>
    <t>ป้ายเตียง สีเหลือง</t>
  </si>
  <si>
    <t>ผ.026แผนการรักษาประจำวัน</t>
  </si>
  <si>
    <t>ฟอร์มติดLAB</t>
  </si>
  <si>
    <t>ฟอร์มติดใบ EKG/ECG</t>
  </si>
  <si>
    <t>ฟอร์มติดใบ EKG/ECG (ลำดับ 2)</t>
  </si>
  <si>
    <t>ฟอร์มติดใบ EKG/ECG (ลำดับ 3)</t>
  </si>
  <si>
    <t>ฟอร์มติดใบป้ายถุงเลือด</t>
  </si>
  <si>
    <t>ฟอร์มปรอท(รบ2ต02)</t>
  </si>
  <si>
    <t>รบ 2 ต 04 ใบสั่งการรักษาของแพทย์</t>
  </si>
  <si>
    <t>สติ๊กเกอร์ติดขวด Alteplase(rt-PA)</t>
  </si>
  <si>
    <t>สติ๊กเกอร์ติดขวด IV 3% Na CI</t>
  </si>
  <si>
    <t>สติ๊กเกอร์ วงกลม (ขอบคุณ'ฮิโร")</t>
  </si>
  <si>
    <t>สติ๊กเกอร์ 2%</t>
  </si>
  <si>
    <t>สติ๊กเกอร์ 95%</t>
  </si>
  <si>
    <t>สติ๊กเกอร์ Hibiscrum</t>
  </si>
  <si>
    <t>สติ๊กเกอร์ Watcrkss</t>
  </si>
  <si>
    <t>สติ๊กเกอร์ ขยะทางการแพทย์</t>
  </si>
  <si>
    <t>สติ๊กเกอร์ ขยะอินทรีย์</t>
  </si>
  <si>
    <t>สติ๊กเกอร์ ช่วยจำ ห้ามรับประทาน</t>
  </si>
  <si>
    <t>สติ๊กเกอร์ ถังขยะติดเชื้อ</t>
  </si>
  <si>
    <t>สติ๊กเกอร์ ถังขยะทั่วไป</t>
  </si>
  <si>
    <t>สติ๊กเกอร์ถังขยะอันตราย</t>
  </si>
  <si>
    <t>สติ๊กเกอร์ น้ำยาล้างมือชนิดไม่ต้องใช้น้ำ</t>
  </si>
  <si>
    <t>สติ๊กเกอร์วงกลม (ขอบคุณ ฮีโร่)</t>
  </si>
  <si>
    <t>ดวง</t>
  </si>
  <si>
    <t>สติ๊กเกอร์สบู่เหลว</t>
  </si>
  <si>
    <t>สติ๊กเกอร์ ฉลากน้ำยาฆ่าเชื้อ Hibtane in water</t>
  </si>
  <si>
    <t>สติ๊กเกอร์ ฉลากน้ำยาสบู่เหลว</t>
  </si>
  <si>
    <t>สติ๊กเกอร์ ฉลากยา Cream base</t>
  </si>
  <si>
    <t>สติ๊กเกอร์ ฉลากยา Povidone Solution</t>
  </si>
  <si>
    <t>สติ๊กเกอร์ ฉลากยา 3%</t>
  </si>
  <si>
    <t>สติ๊กเกอร์ พิมพ์ยา (ดมยา)</t>
  </si>
  <si>
    <t>สติ๊กเกอร์ติดขวด IV CALCIUM GLUCONATE</t>
  </si>
  <si>
    <t>สติ๊กเกอร์ติดขวด IV Dipotassium Phosphate</t>
  </si>
  <si>
    <t>สติ๊กเกอร์ติดขวด IV Dopamine</t>
  </si>
  <si>
    <t>สติ๊กเกอร์ติดขวด IV Heparin</t>
  </si>
  <si>
    <t>สติ๊กเกอร์ติดขวด IV Magnesiuan</t>
  </si>
  <si>
    <t>สติ๊กเกอร์ติดขวด IV Na Niteoprusside</t>
  </si>
  <si>
    <t>สติ๊กเกอร์ติดขวด IV Nitroglycerin</t>
  </si>
  <si>
    <t>สติ๊กเกอร์ติดขวด IV Potassium</t>
  </si>
  <si>
    <t>สติ๊กเกอร์ติดขวดน้ำ</t>
  </si>
  <si>
    <t>สติ๊กเกอร์ติดแฟ้มผู้ป่วย</t>
  </si>
  <si>
    <t>สมุดOrder Post Op Parathyroid</t>
  </si>
  <si>
    <t>สมุดDocter Order Sheet</t>
  </si>
  <si>
    <t>สมุดขออนุมัติเบิกวัสดุ-ครุภัณฑ์</t>
  </si>
  <si>
    <t>สมุดคำร้องทั่วไป</t>
  </si>
  <si>
    <t>สมุดจ่ายยาเสพติดให้โทษประเภท 2</t>
  </si>
  <si>
    <t>สมุดฉีดวัคซีนป้องกันบาดทะยัก</t>
  </si>
  <si>
    <t>สมุดซ่อมบำรุงครุภัณฑ์คอมพิวเตอร์</t>
  </si>
  <si>
    <t>สมุดเซ็นยินยอมทำหมัน</t>
  </si>
  <si>
    <t>สมุดแบบสำหรับส่งผู้ป่วยไปรับการตรวจหรือรักษาต่อ บส.08</t>
  </si>
  <si>
    <t>สมุดใบเบิก-ใบส่งคืน</t>
  </si>
  <si>
    <t>สมุดใบเบิก-ใบส่งคืน งานช่าง</t>
  </si>
  <si>
    <t>สมุดใบเบิกเวชภัณฑ์</t>
  </si>
  <si>
    <t>สมุดใบรับรองแพทย์ ภาษาอังกฤษ</t>
  </si>
  <si>
    <t>สมุดใบรับรองแพทย์แบบรับรองการเจ็บป่วย</t>
  </si>
  <si>
    <t>สมุดใบรับรองแพทย์แบบสมัครงาน</t>
  </si>
  <si>
    <t>สมุดรับรองการตาย</t>
  </si>
  <si>
    <t>สมุดประจำตัวผู้ป่วยรับยาเคมีบำบัด</t>
  </si>
  <si>
    <t>สมุดรายการฝากนึ่งอุปกรณ์</t>
  </si>
  <si>
    <t>สมุดรายการแลกอบแก๊ส</t>
  </si>
  <si>
    <t>สมุดลงทะเบียนผู้ป่วยใน</t>
  </si>
  <si>
    <t>สมุดลงเวลาราชการปฎิบัติงาน</t>
  </si>
  <si>
    <t>สมุดขออนุมัติเบิกวัสดุงานช่าง</t>
  </si>
  <si>
    <t>สมุดส่งตรวจรังสีพิเศษ</t>
  </si>
  <si>
    <t>สุขภาพดีด้วยวิธีง่ายๆ</t>
  </si>
  <si>
    <t>รวม 137 รายการ · DBR/2570/0017 · แท็บ แบบพิมพ์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</si>
  <si>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ซ่อมเครื่องมือแพทย์</t>
  </si>
  <si>
    <t>จ้างซ่อมกรรไกรห้องผ่าตัด/ตัดชิ้นเนื้อกระดูกงู,ข้อต่อด้ามกรอเร็ว,คมตัดชิ้นเนื้อ,คีมจับชิ้นเนื้อ,คีมขนตา,ด้ามกรอเร็ว,ช้า, ตัดกระดูกขนาดเล็ก,ครื่องมือเจาะกระดูกขนาดเล็ก,ชุดระบบการผ่าตัดรวม,มอเตอร์แฮนพีช,ปืนมอเตอร์,ปืนเจาะกระดูก,เครื่องสเปรย์หัวกรอ,สายลม</t>
  </si>
  <si>
    <t>วัสดุการแพทย์ (ซ่อม)</t>
  </si>
  <si>
    <t>จ้างซ่อมเครื่องฆ่าเชื้อด้วยระบบไอน้ำ,นึ่งฆ่าเชื้อจุลินทรีย์,นึ่งฆ่าเชื้อด้วยระบบไอน้ำ,เครื่องอบฆ่าเชื้อด้วยรังสียูวี,หม้อต้มเครื่องมือ}เครื่องเผาลูบไฟฟ้า</t>
  </si>
  <si>
    <t>จ้างซ่อมกล้องส่องทางเดินปัสสาวะ,ภายในช่องท้อง,กระเพาะอาหาร,เครื่องมือผ่าตัดผ่านกล้อง,เครื่องส่องตรวจท่อน้ำดี,กล้องส่องตรวจทางจักษุ,กล้องสำหรับผ่าตัดตาส่วน,เลนส์กล้องส่องตรวจข้อต่อ</t>
  </si>
  <si>
    <t>จ้างซ่อมเครื่องกระตุกหัวใจด้วยไฟฟ้า</t>
  </si>
  <si>
    <t>จ้างซ่อมเครื่องควบคุมการให้สารละลายทางหลอดเลือดดำ</t>
  </si>
  <si>
    <t>จ้างซ่อมเครื่องจิ้และตัดความไฟฟ้า,ตัดเนื้อเยือ,ผ่าตัดสมอง</t>
  </si>
  <si>
    <t>จ้างซ่อมเครื่องช่วยหายใจ</t>
  </si>
  <si>
    <t>จ้างซ่อมเครื่องตรวจวิเคราะห์คลื่นไฟฟ้า,วิเคราะห์การไหลเวียนเครื่องให้การรักษาด้วนคลื่นหัวใจ12}500</t>
  </si>
  <si>
    <t>จ้างซ่อมเครื่องติดตามการทำงานของหัวใจและสัญญาณชีพ ,เฝ้าระวังติดตามสัญญาณชีพ</t>
  </si>
  <si>
    <t>จ้างซ่อมเครื่องไตเทียม</t>
  </si>
  <si>
    <t>จ้างซ่อมเครื่องบันทึกการบีบตัวของมดลูก</t>
  </si>
  <si>
    <t>จ้างซ่อมเครื่องปั่นเหวี่ยงตกตะกอน,แยกสาร</t>
  </si>
  <si>
    <t>จ้างซ่อมเครื่องผลิตน้ำบริสุทธิ์,ทำระบบน้ำ RO</t>
  </si>
  <si>
    <t>จ้างซ่อมเครื่องผลิตออกซิเจน</t>
  </si>
  <si>
    <t>จ้างซ่อมเครื่องวัดความดันโลหิตแบบดิจิตอล</t>
  </si>
  <si>
    <t>จ้างซ่อมเครื่องให้อากาศผสมออกซิเจน</t>
  </si>
  <si>
    <t>จ้างซ่อมเครื่องเอกซเรย์ทั่วไป,ฟันทั้งปาก</t>
  </si>
  <si>
    <t>จ้างซ่อมตู้ดูดกลิ่นสารเคมี,ตู้ป้องกันความปลอดภัย,ตู้อบฆ่าเชื้อด้วยก๊าซเอทธีน</t>
  </si>
  <si>
    <t>จ้างซ่อมตู้อบเด็ก</t>
  </si>
  <si>
    <t>จ้างซ่อมเตียงตรวจภายใน</t>
  </si>
  <si>
    <t>จ้างซ่อมเตียงผ่าตัด</t>
  </si>
  <si>
    <t>จ้างซ่อมยูนิตทำฟัน</t>
  </si>
  <si>
    <t>จ้างสอบเทียบเครื่องมือ</t>
  </si>
  <si>
    <t>จ้างซ่อมเครื่องอัลตร้าซาวด์</t>
  </si>
  <si>
    <t>จ้างซ่อมเครื่องชั่งน้ำหนักเด็ก</t>
  </si>
  <si>
    <t>จ้างซ่อมเครื่องตรวจหาบิลิรูบิน</t>
  </si>
  <si>
    <t>จ้างซ่อมโคมไฟส่องตรวจ</t>
  </si>
  <si>
    <t>จ้างซ่อมเครื่องกรองอากาศ</t>
  </si>
  <si>
    <t>จ้างซ่อมเครื่องกำเนิดแสง</t>
  </si>
  <si>
    <t>จ้างเปลี่ยนแผ่นรับและแปลงสัญญาณภาพ</t>
  </si>
  <si>
    <t>จ้างเปลี่ยนอะไหล่ชุดเครื่องยนต์สูบ</t>
  </si>
  <si>
    <t>จ้างซ่อมครุภัณฑ์</t>
  </si>
  <si>
    <t>รวม 32 รายการ · DBR/2570/0018 · แท็บ ซ่อมเครื่องมือแพทย์ · หน่วยงาน ศูนย์เครื่องมือแพทย์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</si>
  <si>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ผ่าตัด</t>
  </si>
  <si>
    <t>วัสดุห้ามเลือดแบบขี้ผึ้ง (1029754 BONE WAX2.5G)</t>
  </si>
  <si>
    <t>การแพทย์ผ่าตัด</t>
  </si>
  <si>
    <t>แผ่นตาข่ายสำหรับซ่อมและปิดหน้าท้อง (1065040 OPTILENE MESH10X15CM)</t>
  </si>
  <si>
    <t>วัสดุห้ามเลือดชนิดคอลลาเจน (1069152 LYOSTYPT 5X8CM)</t>
  </si>
  <si>
    <t>กาวทางการแพทย์สำหรับศัลยกรรม (1050052 HISTOACRYL B 0,5ML)</t>
  </si>
  <si>
    <t>วัสดุเย็บแผลสังเคราะห์ชนิดไม่ละลายแบบเส้นเดี่ยว เบอร์ 10/0 เข็มคู่ ขนาด 6 มิลลิเมตร (G1118765 DAFLON BK10/0 30 2DLM6S)</t>
  </si>
  <si>
    <t>วัสดุเย็บแผลสังเคราะห์ชนิดไม่ละลายแบบเส้นเดี่ยว เบอร์ 4/0 เข็มคัตติ้ง ขนาด 19 มิลลิเมตร (C0936731 DAFILON B 4/0 75 DSMP19)</t>
  </si>
  <si>
    <t>วัสดุเย็บแผลสังเคราะห์ชนิดไม่ละลายแบบเส้นเดี่ยว เบอร์ 2/0 เข็มคัตติ้ง ขนาด 39 มิลลิเมตร (C0932558 DAFILON B 2/0 75CM DS39)</t>
  </si>
  <si>
    <t>วัสดุเย็บแผลจากธรรมชาติ ชนิดไม่ละลายแบบเส้นถัก เบอร์ 2/0 เข็มกลม ขนาด 26 มิลลิเมตร (C0760420 SILKAM BK 2/0 75CM HR26)</t>
  </si>
  <si>
    <t>วัสดุเย็บแผลจากธรรมชาติ ชนิดไม่ละลายแบบเส้นถัก เบอร์ 3/0 เข็มกลม ขนาด 22 มิลลิเมตร (C0760307 SILKAM BK 3/0 75CM HR22)</t>
  </si>
  <si>
    <t>วัสดุเย็บแผลจากธรรมชาติชนิดไม่ละลายแบบเส้นถัก เบอร์ 4/0 เข็มกลม ขนาด 17 มิลลิเมตร (C0760137 SILKAM BK 4/0 75CM HR17)</t>
  </si>
  <si>
    <t>วัสดุเย็บแผลจากธรรมชาติ ชนิดไม่ละลายแบบเส้นถัก เบอร์ 3-0 ชนิดไม่ติดเข็ม (C0284858 SILKAM BK 3/0 15X60CM)</t>
  </si>
  <si>
    <t>วัสดุเย็บแผลจากธรรมชาติ ชนิดไม่ละลายแบบเส้นถัก เบอร์ 4-0 ชนิดไม่ติดเข็ม (C0284840 SILKAM BK 4/0 15X60CM)</t>
  </si>
  <si>
    <t>วัสดุเย็บแผลจากธรรมชาติ ชนิดไม่ละลายแบบเส้นถัก เบอร์ 2-0 ชนิดไม่ติดเข็ม (B0284866 SILKAM BK 2/0 15X60CM)</t>
  </si>
  <si>
    <t>วัสดุเย็บแผลจากธรรมชาติ ชนิดไม่ละลายแบบเส้นถัก เบอร์ 1 ชนิดไม่ติดเข็ม (B0284890 SILKAM BK 1 15X60CM)</t>
  </si>
  <si>
    <t>วัสดุเย็บแผลสังเคราะห์ชนิดละลายได้ แบบเส้นเดี่ยว ชนิดเข็มคัตติ้ง (C0022141 MONOSYN V4/0 70CM DSMP19)</t>
  </si>
  <si>
    <t>วัสดุเย็บแผลสังเคราะห์ชนิดละลายได้ แบบเส้นถักเกลียว ชนิดเคลือบด้วยสารต้านแบคทีเรีย เข็มราวด์ ขนาด 40 มิลลิเมตร (1068557 NOVOSYN C V 1 90CM HR40S)</t>
  </si>
  <si>
    <t>วัสดุเย็บแผลสังเคราะห์ชนิดละลายได้ แบบเส้นถักเกลียว เบอร์ 2/0 เข็มราวด์ ขนาด 26 มิลลิเมตร (C0068542N1 NOVO V 2/0 90 HR26)</t>
  </si>
  <si>
    <t>วัสดุเย็บแผลสังเคราะห์ชนิดละลายได้ แบบเส้นถักเกลียว เบอร์ 3/0 เข็มราวด์ ขนาด 26 มิลลิเมตร (C0068041N1 NOVO V 3/0 70 HR26)</t>
  </si>
  <si>
    <t>วัสดุเย็บแผลสังเคราะห์ชนิดละลายได้ แบบเส้นถักเกลียว เบอร์ 4/0 เข็มราวด์ ขนาด 17 มิลลิเมตร (C0068013 NOVOSYN V 4/0 70CM HR17)</t>
  </si>
  <si>
    <t>วัสดุเย็บแผลสังเคราะห์ชนิดละลายได้ แบบเส้นถักเกลียว เบอร์ 2/0 เข็มคัตติ้ง ขนาด 24 มิลลิเมตร (C0068865 NOVOSYN V 2/0 70 DSMP24)</t>
  </si>
  <si>
    <t>วัสดุเย็บแผลสังเคราะห์ชนิดละลายได้ แบบเส้นถักเกลียว เบอร์ 3/0 เข็มคัตติ้ง ขนาด 24 มิลลิเมตร (C0069556 NOVOSYN U3/0 DSMP24 70CM)</t>
  </si>
  <si>
    <t>วัสดุเย็บแผลสังเคราะห์ชนิดละลายได้ แบบเส้นถักเกลียว ชนิดเข็มคัตติ้ง (C0069326 NOVOSYN U4/0 DSMP16 70CM)</t>
  </si>
  <si>
    <t>วัสดุเย็บแผลสังเคราะห์ชนิดละลายได้แบบเส้นถักเกลียว ชนิดเคลือบด้วยสารต้านแบคทีเรีย เข็มคัตติ้ง ขนาด 40 มิลลิเมตร (B1068487 NOVOSYN C V 1 90CM HS40)</t>
  </si>
  <si>
    <t>วัสดุเย็บแผลสังเคราะห์ชนิดละลายได้ แบบเส้นถักเกลียว เบอร์ 5/0 เข็มคัตติ้ง ขนาด 11 มิลลิเมตร (C0069608 NOVOSYN U5/045CMDSMP11)</t>
  </si>
  <si>
    <t>วัสดุเย็บแผลจากธรรมชาติ ชนิดละลายได้ เบอร์ 1 เข็มราวด์ ขนาด 37 มิลลิเมตร (CHROMIC #1 37MM 1/2 ROUND C137)</t>
  </si>
  <si>
    <t>วัสดุเย็บแผลจากธรรมชาติ ชนิดละลายได้ เบอร์ 2 เข็มราวด์ ขนาด 30 มิลลิเมตร (CHROMIC 2/0 30MM 1/2 ROUND C2030)</t>
  </si>
  <si>
    <t>วัสดุเย็บแผลจากธรรมชาติ ชนิดละลายได้ เบอร์ 2 เข็มราวด์ ขนาด 26 มิลลิเมตร (CHROMIC 2/0 26MM 1/2 ROUND C2026)</t>
  </si>
  <si>
    <t>วัสดุเย็บแผลจากธรรมชาติ ชนิดละลายได้ เบอร์ 3 เข็มราวด์ ขนาด 26 มิลลิเมตร (CHROMIC 3/0 26MM 1/2 ROUND C3026)</t>
  </si>
  <si>
    <t>วัสดุเย็บแผลสังเคราะห์เส้นเดี่ยวชนิดไม่ละลาย เบอร์ 10/0 เข็ม C-3 ยาว 30 เซนติเมตร (SUTURE ๑๐-0 NYLON C-3 12)</t>
  </si>
  <si>
    <t>วัสดุเย็บแผลสังเคราะห์ ชนิดละลายเร็ว แบบเส้นถัก เบอร์ 4 เข็มคัตติ้ง ขนาด 16 มิลลิเมตร (NOVASORB QUICK 4/0 16MM 3/8 REV CUT Q4016P-U)</t>
  </si>
  <si>
    <t>วัสดุเย็บแผลแบบสังเคราะห์เส้นเดี่ยว ชนิดไม่ละลาย เบอร์ 3 เข็มคัตติ้ง ขนาด 24 มิลลิเมตร (SOFILON 3/0 24MM 3/8 REV CUT N3024)</t>
  </si>
  <si>
    <t>วัสดุเย็บแผลสังเคราะห์ ชนิดละลายเร็ว แบบเส้นถัก เบอร์ 5 เข็มคัตติ้ง ขนาด 11 มิลลิเมตร (NOVASORB QUICK 5/0 11MM 3/8 REV CUT Q5011P-U)</t>
  </si>
  <si>
    <t>เข็มสำหรับดูดระบายชนิดปลายอ่อนนุ่ม ขนาดเส้นผ่านศูนย์กลาง 0.3 มิลลิเมตร (SOFT TIP NEED ๒๓GA)</t>
  </si>
  <si>
    <t>เข็มสำหรับดูดระบายชนิดปลายอ่อนนุ่ม ขนาดเส้นผ่านศูนย์กลาง 0.5 มิลลิเมตร (SOFT TIP NEED ๒5GA)</t>
  </si>
  <si>
    <t>วัสดุเย็บเเผลสังเคราะห์ชนิดไม่ละลาย เเบบเส้นถัก ขนาด ๔/๐ ความยาว ๔๕ เซนติเมตร เข็มคู่ ๘ มิลลิเมตร (เอทธิบอนด์ 4/0 45 เซนติเมตร เข็มคู่ 8 มิลลิเมตร สเปททูลา W882)</t>
  </si>
  <si>
    <t>ไหมเย็บแผลสังเคราะห์เส้นถัก ชนิดละลายได้ เบอร์ 6/0 เข็ม 1/4 8.0 มิลลิเมตร ความยาวไหม 45 เซนติเมตร (Ophthalmic PGA ๖/๐ Violet ๔๕cm ๒xVLZ-๘ ๐-๓๐๐)</t>
  </si>
  <si>
    <t>ไหมเย็บแผลสังเคราะห์เส้นถัก ชนิดละลายได้ เบอร์ 8/0 เข็ม 3/8 6.4 มิลลิเมตร ความยาวไหม 30 เซนติเมตร (Ophthalmic PGA 8/0,Violet,30cm,2xDLZ-6.4-200)</t>
  </si>
  <si>
    <t>ไหมเย็บเเผลสังเคราะห์เเบบเส้นถัก ชนิดละลายได้ เบอร์ ๒/๐ เข็มเดี่ยวขนาด ๑/๒ เทเปอร์คัท ๓๖ มิลลิเมตร ความยาวไหม ๙๐ เซนติเมตร (Optime R 2/0, Undyed 1/2KL 36mm 90cm)</t>
  </si>
  <si>
    <t>วัสดุห้ามเลือดเเบบแผ่นถัก (W1913T)</t>
  </si>
  <si>
    <t>วัสดุห้ามเลือดชนิดไม่ถักไม่ทอชนิดลอกออกได้เป็นชิ้นบางๆ ขนาด 1x2 นิ้ว (fibilar 1*2 (1961)</t>
  </si>
  <si>
    <t>วัสดุห้ามเลือดชนิดไม่ถักไม่ทอชนิดลอกออกได้เป็นชิ้นบางๆ ขนาด 2x4 นิ้ว (fibilar 2*4 (1962)</t>
  </si>
  <si>
    <t>วัสดุห้ามเลือดแบบแผ่นไม่ถักไม่ทอชนิดโครงสร้างเส้นใยแบบสอดประสาน ขนาด 1x2 นิ้ว (snow 1*2 (2081)</t>
  </si>
  <si>
    <t>วัสดุห้ามเลือดแบบแผ่นไม่ถักไม่ทอชนิดโครงสร้างเส้นใยแบบสอดประสาน ขนาด 2x4 นิ้ว (snow 2*4 (2082)</t>
  </si>
  <si>
    <t>วัสดุเย็บแผลสังเคราะห์แบบถัก ชนิดละลายได้ เบอร์ 1, ยาว 75 ชม. ขนาดเข็ม 31 มม เจ เทปเปอร์คัท (W9335)</t>
  </si>
  <si>
    <t>วัสดุเย็บแผลสังเคราะห์ชนิดไม่ละลาย แบบเส้นถัก เบอร์ 2-0 เข็ม 26 มม เทเปอร์คัท (W6977)</t>
  </si>
  <si>
    <t>วัสดุเย็บแผล ชนิดไม่ละลายแบบเส้นเดี่ยว เบอร์ 8/0, ยาว 13 ซม. เข็ม 4.7 มม ราวด์ (W2812)</t>
  </si>
  <si>
    <t>วัสดุเย็บแผล ชนิดไม่ละลายแบบเส้นเดี่ยว เบอร์ 10/0, ยาว 13 ซม เข็ม 4.70 มม ราวด์ (W2860)</t>
  </si>
  <si>
    <t>วัสดุเย็บแผล ชนิดไม่ละลายแบบเส้นเดี่ยว เบอร์ 4/0 ยาว 90 ซม. เข็ม 17 มม ราวค์ (8557H)</t>
  </si>
  <si>
    <t>วัสดุเย็บแผล ชนิดไม่ละลายแบบเส้นเดี่ยว เบอร์ 5/0 ยาว 90 ซม. เข็ม 17 มม ราวด์ (8556G)</t>
  </si>
  <si>
    <t>เครื่องมือเย็บแผลชนิดไม่ต้องผูกปม เคลือบสารต่อต้านแบคทีเรีย ละลายได้ ๒ เข็ม เบอร์ ๐ ยาว ๔๕x๔๕ เซนติเมตร เข็ม ๓๖ มิลลิเมตร (SXPP๒B๔๓๔)</t>
  </si>
  <si>
    <t>วัสดุห้ามเลือดผสมทรอมบิน ชนิดละลายได้ ๘ มิลลิลิตร (MS๐๐๑๒)</t>
  </si>
  <si>
    <t>วัสดุเย็บแผลสังเคราะห์ชนิดไม่ละลาย แบบเส้นถัก เบอร์ 2 ยาว 4x75 ซม.เข็ม 45 มม.(X4843G)</t>
  </si>
  <si>
    <t>วัสดุเย็บแผล ชนิดไม่ละลายแบบเส้นเดี่ยว เบอร์ 6/0 ยาว 45 ซม. เข็ม 11 มม ไพร์ม (W8003T)</t>
  </si>
  <si>
    <t>วัสดุเย็บแผล ชนิดไม่ละลายแบบเส้นเดี่ยว เบอร์ 2/0 ยาว 90 ซม. เข็ม 26 มม (W8977)</t>
  </si>
  <si>
    <t>วัสดุเย็บแผลสังเคราะห์แบบเส้นเดี่ยว เคลือบสารต่อต้านแบคทีเรีย ชนิดละลายได้ ลูป เบอร์ 1 ยาว 150 ซม. เข็ม 40 มม. (PDP9237T)</t>
  </si>
  <si>
    <t>วัสดุเย็บแผลสังเคราะห์แบบเส้นเดี่ยว เคลือบสารต่อต้านแบคทีเรีย ชนิดละลายได้ ขนาด 5/0 ยาว 70 ซม.เข็ม 16 มม (MCP500H)</t>
  </si>
  <si>
    <t>วัสดุเย็บแผลสังเคราะห์แบบเส้นเดี่ยว เคลือบสารต่อต้านแบคทีเรีย ชนิดละลายได้ เบอร์ 5/0 ยาว 45 ซม.เข็ม 13 มม (MCP493G)</t>
  </si>
  <si>
    <t>วัสดุเย็บแผล ชนิดไม่ละลายแบบเส้นเดี่ยว เบอร์ 2/0 ยาว 90 ซม. เข็ม 26 มม. คัทติ้ง (F2418H)</t>
  </si>
  <si>
    <t>วัสดุเย็บแผล ชนิดไม่ละลายแบบเส้นเดี่ยว เบอร์ 2 ยาว 2X1ม. ไม่มีเข็ม (W186)</t>
  </si>
  <si>
    <t>วัสดุเย็บแผลสังเคราะห์ชนิดไม่ละลาย แบบเส้นถัก เบอร์ 2 เข็ม 22 มม ยาว 75 ซม รีเวิร์สคัทติ้ง (X519H)</t>
  </si>
  <si>
    <t>วัสดุเย็บแผล ชนิดไม่ละลายแบบเส้นเดี่ยว เบอร์ 1 ยาว 1.5 ม. เข็ม 48 มม ราวด์ (W748)</t>
  </si>
  <si>
    <t>วัสดุเย็บแผล ชนิดไม่ละลายแบบเส้นเดี่ยว เบอร์ 7/0 เข็ม 11 มม. ยาว 45 ซม (1696G)</t>
  </si>
  <si>
    <t>เครื่องมือเย็บแผลชนิดไม่ต้องผูกปม เคลือบสารต่อต้านแบคทีเรีย ละลายได้ เบอร์ 0 ยาว 23 ซม (SXPP1A425)</t>
  </si>
  <si>
    <t>เครื่องมือเย็บแผลชนิดไม่ต้องผูกปม เคลือบสารต่อต้านแบคทีเรีย ละลายได้ เบอร์ 0 ยาว 30 ซม (SXPP1A433)</t>
  </si>
  <si>
    <t>วัสดุเย็บแผลสังเคราะห์แบบเส้นเดี่ยว เคลือบสารต่อต้านแบคทีเรีย ชนิดละลายได้ เบอร์ 4/0 ยาว 70 ซม.เข็ม17 มม.(PDP9077H)</t>
  </si>
  <si>
    <t>วัสดุเย็บแผล ชนิดไม่ละลายแบบเส้นเดี่ยว เบอร์ 1, ยาว 1 ม.เข็ม 40 มม ราวด์ (W747)</t>
  </si>
  <si>
    <t>วัสดุเย็บแผลสังเคราะห์แบบเส้นเดี่ยว เคลือบสารต่อต้านแบคทีเรีย ชนิดละลายได้ เบอร์ 6/0 ยาว 70 ซม.เข็ม 11 มม. (MCP489H)</t>
  </si>
  <si>
    <t>วัสดุเย็บแผล ชนิดไม่ละลายแบบเส้นเดี่ยว เบอร์ 6/0, ยาว 45 ซม. เข็ม 11 มม. (G697G)</t>
  </si>
  <si>
    <t>วัสดุเย็บแผล ชนิดไม่ละลายแบบเส้นเดี่ยว เบอร์ 5/0 , ยาว 45 ซม.เข็ม 16 มม. คัทติ้ง (1865G)</t>
  </si>
  <si>
    <t>เครื่องมือเย็บแผลชนิดไม่ต้องผูกปม เคลือบสารต่อต้านแบคทีเรีย ละลายได้ เบอร์ 1 ยาว 36+36 ซม.(SXPP2B202)</t>
  </si>
  <si>
    <t>เครื่องมือเย็บแผลชนิดไม่ต้องผูกปม เคลือบสารต่อต้านแบคทีเรีย ละลายได้ เบอร์ ๔-๐ ยาว ๓๐ ซม.(SXMP๑B๑๑๗)</t>
  </si>
  <si>
    <t>กาวติดผิวหนังสำหรับใช้ภายนอก ๐.๗๐ มิลลิลิตร (ANX๑๒)</t>
  </si>
  <si>
    <t>วัสดุเย็บแผลสังเคราะห์แบบเส้นถัก เคลือบสารต่อต้านแบคทีเรีย ชนิดละลายได้ เบอร์ 3/0 ยาว 70 ซม.เข็ม 17 มม.(VCP305H)</t>
  </si>
  <si>
    <t>วัสดุเย็บแผลสังเคราะห์แบบเส้นถัก เคลือบสารต่อต้านแบคทีเรีย ชนิดละลายได้ เบอร์ 3/0 ยาว 70 ซม.เข็มตรง 60 มม. (VCP663H)</t>
  </si>
  <si>
    <t>วัสดุเย็บแผลสังเคราะห์แบบเส้นเดี่ยว เคลือบสารต่อต้านแบคทีเรีย ชนิดละลายได้ เบอร์ 5/0 ยาว 45 ซม. เข็ม 13 มม. (PDP9101H)</t>
  </si>
  <si>
    <t>กาวติดผิวหนังสำหรับใช้ภายนอก ๐.๓๖ มิลลิลิตร (AHVM๑๒)</t>
  </si>
  <si>
    <t>ลวดเย็บกระดูกหน้าอกชนิดไม่ละลาย เบอร์ ๕ เข็มเดี่ยว ๑/๒ เทเปอร์คัท ๔๘ มิลลิเมตร ยาว ๔๕ เซนติเมตร (Steel 5)</t>
  </si>
  <si>
    <t>วัสดุเย็บแผลสังเคราะห์ชนิดไม่ละลาย แบบเส้นถัก เบอร์ ๒/๐ เข็มคู่ ๑/๒ เทเปอร์คัท ๑๘ มิลลิเมตร ยาว ๙๐ เซนติเมตร (Cardioxyl 2/0)</t>
  </si>
  <si>
    <t>วัสดุเย็บแผลสังเคราะห์ชนิดไม่ละลาย แบบเส้นเดี่ยว ขนาด ๘-๐ ขนาดเข็ม ๖ มิลลิเมตร ติดเข็มคู่ (Surgipro 8-0)</t>
  </si>
  <si>
    <t>วัสดุเย็บแผลสังเคราะห์ชนิดไม่ละลาย แบบเส้นเดี่ยว ขนาด ๗-๐ ขนาดเข็ม ๘ มิลลิเมตร ติดเข็มคู่ (Surgipro 7-0)</t>
  </si>
  <si>
    <t>วัสดุเย็บแผลสังเคราะห์ชนิดไม่ละลาย แบบเส้นเดี่ยว ขนาด 6-๐ ขนาดเข็ม 11 มิลลิเมตร ติดเข็มคู่ (Surgipro 6-0)</t>
  </si>
  <si>
    <t>วัสดุเย็บแผลสังเคราะห์ชนิดไม่ละลาย แบบเส้นถักเกลียว ขนาด 2-๐ ยาว 90 เซนติเมตร ขนาดเข็ม 20 มิลลิเมตร ติดเข็มคู่ (TICRON 2-0 90 369-51)</t>
  </si>
  <si>
    <t>วัสดุเย็บแผลสังเคราะห์ชนิดไม่ละลาย แบบเส้นเดี่ยว ขนาด 5-๐ ขนาดเข็ม 17 มิลลิเมตร ติดเข็มคู่ (Surgipro 5-0)</t>
  </si>
  <si>
    <t>วัสดุเย็บแผลสังเคราะห์ชนิดไม่ละลาย แบบเส้นถักเกลียว ขนาด 2-๐ ยาว 75 เซนติเมตร ขนาดเข็ม 20 มิลลิเมตร ติดเข็มคู่ (B&amp;W 10x75 385-56)</t>
  </si>
  <si>
    <t>วัสดุเย็บแผลสังเคราะห์ชนิดไม่ละลาย แบบเส้นเดี่ยว เข็มเรียวพิเศษ เข็มขนาด ๔/๐ เข็มคู่ ๒๐ มิลลิเมตร ยาว ๙๐ เซนติเมตร (HS6861H)</t>
  </si>
  <si>
    <t>วัสดุเย็บแผลสังเคราะห์ชนิดไม่ละลาย แบบเส้นเดี่ยว เข็มเรียวพิเศษ เข็มขนาด ๔/๐ เข็มคู่ 26 มิลลิเมตร ยาว ๙๐ เซนติเมตร (HS6855H)</t>
  </si>
  <si>
    <t>วัสดุเย็บแผลสังเคราะห์ชนิดไม่ละลาย แบบเส้นถัก เข็มขนาด ๒-๐ เข็ม ๒๖ มิลลิเมตร ยาว ๗๕ เซนติเมตร มีเพจเจ็ต พีทีเอฟอี ๖x๓x๑.๕ มิลลิเมตร (W10B77)</t>
  </si>
  <si>
    <t>วัสดุเย็บแผลสังเคราะห์ชนิดไม่ละลาย แบบเส้นเดี่ยว เข็มคมและแข็งแรงพิเศษ เข็มขนาด ๖/๐ ยาว ๖๐ เซนติเมตร เข็มคู่ 11 มิลลิเมตร (EP8610H)</t>
  </si>
  <si>
    <t>วัสดุเย็บแผลสังเคราะห์ชนิดไม่ละลาย แบบเส้นเดี่ยว เข็มคมและแข็งแรงพิเศษ เข็มขนาด ๖/๐ ยาว ๖๐ เซนติเมตร เข็มคู่ ๙.๓ มิลลิเมตร (EP8805H)</t>
  </si>
  <si>
    <t>วัสดุเย็บแผลสังเคราะห์ชนิดไม่ละลาย แบบเส้นเดี่ยว เข็มคมและแข็งแรงพิเศษ เข็มขนาด ๗/๐ ยาว ๖๐ เซนติเมตร เข็มคู่ ๘ มิลลิเมตร (EP8735H)</t>
  </si>
  <si>
    <t>วัสดุเย็บแผลสังเคราะห์ชนิดไม่ละลาย แบบเส้นเดี่ยว เข็มคมและแข็งแรงพิเศษ เข็มขนาด ๘/๐ ยาว ๖๐ เซนติเมตร เข็มคู่ ๖.๕ มิลลิเมตร (EP8732H)</t>
  </si>
  <si>
    <t>ไหมเย็บแผลชนิดละลายแบบไม่ต้องผูกปม (VLOCL0316 V-LOC 180 0 GRN 30CM GS21)</t>
  </si>
  <si>
    <t>วัสดุเย็บแผลชนิดละลายได้ เบอร์ ๑ เข็มราวด์ปลายทู่ ขนาด ๖๔ มิลลิเมตร (MONOSYN V ๑ ๙๐CM DRN๖๔ B๐๐๒๒๔๐๐)</t>
  </si>
  <si>
    <t>วัสดุเย็บแผลสังเคราะห์ชนิดไม่ละลาย แบบเส้นเดี่ยว เบอร์ 10-0 (ETHILON BV75-3 2870G)</t>
  </si>
  <si>
    <t>ลวดเย็บกระดูกหน้าอกชนิดไม่ละลาย เบอร์ 3 เข็มเดี่ยว ๑/๒ เทเปอร์คัท 40 มิลลิเมตร ยาว ๔๕ เซนติเมตร (Steel ๓ ๑/๒ KL๔๐ ๔๕CM P๕ (PET)) ใช้สำหรับเคสเด็กน้อย</t>
  </si>
  <si>
    <t>สารป้องกันพังผืดและสารห้ามเลือด สำหรับการผ่าตัดทางสูตินรีเวช ขนาด 1.5 มิลลิลิตร (PROTESCAL 1.5ML)</t>
  </si>
  <si>
    <t>สารป้องกันพังผืดและสารห้ามเลือด สำหรับการผ่าตัดทางสูตินรีเวช ขนาด 5.0 มิลลิลิตร (PROTESCAL 5.0ML)</t>
  </si>
  <si>
    <t>น้ำยาเตรียมผิวหนังก่อนการผ่าตัด ขนาด 26 มิลลิลิตร (DURAPREP)</t>
  </si>
  <si>
    <t>แผ่นคลุมผิวปราศจากเชื้อก่อนการผ่าตัด ชนิดมีไอโอดีน ขนาด 60 เซนติเมตร x 45 เซนติเมตร (IOBAN)</t>
  </si>
  <si>
    <t>ตลับทดน้ำเเละสารน้ำใช้สำหรับการผ่าตัดต้อกระจก (ACTIVE)</t>
  </si>
  <si>
    <t>ตลับทดน้ำใช้สำหรับผ่าตัดต้อกระจก (GRAVITY)</t>
  </si>
  <si>
    <t>สารหนืดสำหรับผ่าตัดตา สารละลายโซเดียมไฮยาลูโรเนท ๒% (VISIOL)</t>
  </si>
  <si>
    <t>สารหนืดสำหรับผ่าตัดตา สารละลายโซเดียมไฮยาลูโรเนท ๑.๘% w/v (PE-HA-LURON F ๑.๘)</t>
  </si>
  <si>
    <t>สีย้อมตา (Trypan blue solution 0.06% w/v)</t>
  </si>
  <si>
    <t>สีย้อมจอประสาทตา (Brilliant Blue G solution 0.05% w/v)</t>
  </si>
  <si>
    <t>น้ำมันซิลิโคนสำหรับกดจอประสาทตา (VRL600)</t>
  </si>
  <si>
    <t>สารหนืดสำหรับผ่าตัดต้อกระจก (AMVICS)</t>
  </si>
  <si>
    <t>คาสเซทสำหรับผ่าตัดต้อกระจก (BL5111)</t>
  </si>
  <si>
    <t>ชุดผ่าตัดน้ำวุ้นลูกตาส่วนหลัง ​​​​​ขนาด ๒๓G แบบ AFI (THBL5423WV) ​​​​​</t>
  </si>
  <si>
    <t>ชุดผ่าตัดน้ำวุ้นลูกตาส่วนหลัง ขนาด ๒๓G แบบ Combined AFI (THBL5523WV)</t>
  </si>
  <si>
    <t>ชุดผ่าตัดน้ำวุ้นลูกตาส่วนหลัง ขนาด ๒5G แบบ Combined AFI (SE5525WV)</t>
  </si>
  <si>
    <t>สายดูดเลือดและสารคัดหลั่งชนิดปราศจากเชื้อ (SUCTION N610)</t>
  </si>
  <si>
    <t>ภาชนะรองรับเลือดและสารคัดหลั่ง ขนาด ๓,๐๐๐ ลูกบาศก์เซนติเมตร (LINER 3000cc FLEX)</t>
  </si>
  <si>
    <t>กระบอกฉีดสารละลาย ขนาด ๖๐ ซีซี (Asepto syringe clear bulb type 60 cc)</t>
  </si>
  <si>
    <t>ขวดรองรับเลือด ขนาด ๔๐๐ ซีซี (ขวดเดรน 400 cc)</t>
  </si>
  <si>
    <t>สายรองรับเลือดโดยระบบสุญญากาศ ขนาด ๑๐ มิลลิเมตร (สายเดรนแบน 10 mm)</t>
  </si>
  <si>
    <t>ท่อระบายของเหลวออกจากแผลหลังผ่าตัด (Jackson-Pratt Wound Drainage สายกลม 15fr)</t>
  </si>
  <si>
    <t>ชุดเก็บเสมหะและสารคัดหลั่ง (Mucous Extractor)</t>
  </si>
  <si>
    <t>อุปกรณ์สำหรับจับบริเวณก้านโคมไฟชนิดใช้แล้วทิ้ง (Light handle cover)</t>
  </si>
  <si>
    <t>กระดาษห่อเครื่องมือแพทย์ ขนาด 75x75 เซนติเมตร</t>
  </si>
  <si>
    <t>กระดาษห่อเครื่องมือแพทย์ ขนาด 120x120 เซนติเมตร</t>
  </si>
  <si>
    <t>ก็อสพับขนาด ๔ นิ้ว x ๔ นิ้ว ๘ ชั้น ปราศจากเชื้อ</t>
  </si>
  <si>
    <t>ก็อสพับขนาด ๔ นิ้ว x ๔ นิ้ว ๘ ชั้น มีเส้น X-Ray ปราศจากเชื้อ</t>
  </si>
  <si>
    <t>ขวดสุญญากาศชนิดใช้ครั้งเดียว เเบบระบบปิด (ขวดเดรน 200,600 CC)</t>
  </si>
  <si>
    <t>สายดูดเลือดและสารคัดหลั่งจากผู้ป่วย แบบระบบปิด (สายเดรน No.8-12)</t>
  </si>
  <si>
    <t>ใบมีดผ่าตัดสแตนเลส (All size) (No.10,11,12,15,23)</t>
  </si>
  <si>
    <t>อุปกรณ์เจาะช่องท้องสำหรับใส่เครื่องมือผ่าตัดผ่านกล้อง (All size) (No.12x150,12x108 B+O,5x100B+O)</t>
  </si>
  <si>
    <t>ท่อเจาะคอผู้ใหญ่ มีคัฟ บลูซีเล็ค (All size) (No.6,7,7.5,8,8.5)</t>
  </si>
  <si>
    <t>เข็มเก็บชิ้นเนื้อแบบอัตโนมัติ (All size) (No.14x10,16x10,18x20 biopsy ตับ ไต เต้านม)</t>
  </si>
  <si>
    <t>สายสวนท่อไต พร้อมขดเส้นลวดนำ (All size) (No.4.7,6)</t>
  </si>
  <si>
    <t>คลิปหนีบเส้นเลือดโป่งพองในสมองแบบ Sugita ขนาดมาตรฐาน (All size)</t>
  </si>
  <si>
    <t>คลิปหนีบเส้นเลือดโป่งพองในสมองแบบ Sugita แบบคร่อมเส้นเลือด (All Size)</t>
  </si>
  <si>
    <t>อุปกรณ์เจาะผ่านรูผิวหนังเพื่อระบายน้ำปัสสาวะจากไต (All size) (pigtail No.6,8,10,12,14)</t>
  </si>
  <si>
    <t>อุปกรณ์เย็บปิดและตัดเนื้อเยื่อแบบปรับมุมได้ (EGIA 60)</t>
  </si>
  <si>
    <t>ตลับบรรจุลวดตัดและเย็บแนวตรง (GIA 80-100)</t>
  </si>
  <si>
    <t>ชุดเครื่องมือผ่าตัดกระเพาะสำหรับโรคอ้วน (ETILON 60)</t>
  </si>
  <si>
    <t>อุปกรณ์สำหรับเจาะผนังหน้าท้องปลายทู่ แบบท่อตรงมีบอลลูนยึดผนังหน้าท้อง ขนาด 12x100 มิลลิเมตร (COR47)</t>
  </si>
  <si>
    <t>อุปกรณ์สำหรับเจาะผนังหน้าท้องชนิดมีใบมีดและไม่มีใบมีด แบบท่อเกลียว ขนาด 5x55 มิลลิเมตร</t>
  </si>
  <si>
    <t>อุปกรณ์สำหรับเจาะผนังหน้าท้องชนิดมีใบมีดและไม่มีใบมีด แบบท่อเกลียว ขนาด 5x100 มิลลิเมตร</t>
  </si>
  <si>
    <t>อุปกรณ์สำหรับเจาะผนังหน้าท้องชนิดมีใบมีดและไม่มีใบมีด แบบท่อเกลียว ขนาด 12x150 มิลลิเมตร</t>
  </si>
  <si>
    <t>อุปกรณ์สำหรับเจาะผนังหน้าท้องชนิดมีใบมีดและไม่มีใบมีด แบบท่อเกลียว ขนาด 12x100 มิลลิเมตร</t>
  </si>
  <si>
    <t>อุปกรณ์เจาะหน้าท้องปลายมน ขนาด 10x100 มิลลิเมตร</t>
  </si>
  <si>
    <t>ตลับบรรจุสารละลายไฮโดรเจนเปอร์ออกไซด์ความเข้มข้น ๕๘% (๑๐๐เอส คาสเซ็ท ๕ รอบ)</t>
  </si>
  <si>
    <t>สายตัดรูเปิดท่อน้ำดีชนิดหมุนปลายได้ (Truetome)</t>
  </si>
  <si>
    <t>สายตัดรูเปิดท่อน้ำดี (Ultratome XL)</t>
  </si>
  <si>
    <t>มีดตัดรูเปิดท่อน้ำดี (Microknife XL)</t>
  </si>
  <si>
    <t>บอลลูนถ่างขยายท่อทางเดินอาหารและทางเดินน้ำดี (CRE Balloon dilator) (All size)</t>
  </si>
  <si>
    <t>อุปกรณ์ขยายท่อน้ำดี (Hurricane Biliary Balloon)</t>
  </si>
  <si>
    <t>ตะกร้อลากนิ่วในท่อน้ำดี (Trapezoid Basket)</t>
  </si>
  <si>
    <t>ท่อระบายน้ำดีชนิดโลหะ (WallFlex Biliary Stent) (All size)</t>
  </si>
  <si>
    <t>หลอดอาหารเทียมชนิดโลหะ (WallFlex Esophageal Stent)</t>
  </si>
  <si>
    <t>ท่อถ่างขยายลำไส้ชนิดโลหะ (Wallflex Enteral Stent)</t>
  </si>
  <si>
    <t>เข็มเจาะดูดเซลล์ไต้เยื่อบุทางเดินอาหารโดยใช้ร่วมกับเครื่องอัลตราซาวด์ (Expect Needle)</t>
  </si>
  <si>
    <t>เข็มเจาะดูดเนื้อเยื่อไต้เยื่อบุทางเดินอาหารโดยใช้ร่วมกับเครื่องอัลตราซาวด์ (Acquire EUS FNB Needle)</t>
  </si>
  <si>
    <t>ยางรัดเส้นเลือดดำโป่งพองในหลอดอาหาร (Speedband Super ๗)</t>
  </si>
  <si>
    <t>ลวดนำทางชนิดแข็ง ขนาด ๐.๐๒๕ ยาว ๔๕๐ เซนติเมตร (Guide wire 0.025x450)</t>
  </si>
  <si>
    <t>ลวดนำทางชนิดแข็ง ขนาด ๐.๐๓๕ ยาว ๔๕๐ เซนติเมตร (Guide wire 0.035x450)</t>
  </si>
  <si>
    <t>ท่อระบายน้ำดีตับอ่อนชนิดพลาสติก (All size) (Biliary Drainage Catheter)</t>
  </si>
  <si>
    <t>บอลลูนลากนิ่วชนิดเปลี่ยนเร็ว (All size) (Stone Extraction Catheter)</t>
  </si>
  <si>
    <t>แผ่นรองตัวผู้ป่วยพร้อมสาย (GP202S-TC)</t>
  </si>
  <si>
    <t>แผ่นรองตัวผู้ป่วยไร้สาย (GP202S-T)</t>
  </si>
  <si>
    <t>แผ่นรองตัวผู้ป่วยเด็กแรกเกิดพร้อมสาย (GP202S-IC)</t>
  </si>
  <si>
    <t>แผ่นรองตัวผู้ป่วยเด็กพร้อมสาย (GP202S-PC)</t>
  </si>
  <si>
    <t>ด้ามจี้ผ่าตัดด้วยไฟฟ้า ชนิดปรับระดับได้ (CP1001 (ยืดหด))</t>
  </si>
  <si>
    <t>ลวดเย็บผิวหนัง (K1635183)</t>
  </si>
  <si>
    <t>ท่อระบายของเหลวจากแผลผ่าตัด ชนิดรางเกลียว ขนาด ๒๔ มิลลิเมตร (Kardia 24)</t>
  </si>
  <si>
    <t>คลิปหนีบเส้นเลือด</t>
  </si>
  <si>
    <t>สายยางลาเท็กซ์ เบอร์ 201</t>
  </si>
  <si>
    <t>น้ำมันสเปรย์สำหรับทำความสะอาดและหล่อลื่น (PANA SPRAY Plus)</t>
  </si>
  <si>
    <t>น้ำยาล้างเครื่องมือแพทย์ชนิดเอ็มไซด์ โนโซซามด์ ๖ พลัส</t>
  </si>
  <si>
    <t>สเปร์ยโฟมชนิดเอนไซม์ ขนาด ๑ ลิตร (POSE Prewash)</t>
  </si>
  <si>
    <t>ถุงพลาสติกคลุมหลอดเอกซเรย์หรือส่วนรับภาพแบบยางยืด</t>
  </si>
  <si>
    <t>ปากกา Skin Marker แบบ 2 หัว</t>
  </si>
  <si>
    <t>แผ่นกาวดักฝุ่นชนิดแผ่น ขนาด ๒๖x๔๕ นิ้ว</t>
  </si>
  <si>
    <t>สายยางเดรน ยาว ๑๘ นิ้ว (เพรนโรสทุกขนาด) 1/2,1/4,5/8</t>
  </si>
  <si>
    <t>ผ้าสว๊อฟ ๑๐x๑๔ ๑๐ ชั้น ผ้าสาลู-มีหู มี x-ray line</t>
  </si>
  <si>
    <t>ผ้าสว๊อฟ 5x18 8 ชั้น ผ้าสาลู-มีหู มี x-ray line</t>
  </si>
  <si>
    <t>ถุงครอบกล้อง (Camera Sleeve)</t>
  </si>
  <si>
    <t>ผ้าสว๊อฟซับช่องท้อง ขนาด ๖x๑๘</t>
  </si>
  <si>
    <t>ผ้าสว๊อฟซับช่องท้อง ขนาด ๑๘x๑๘</t>
  </si>
  <si>
    <t>สำลีม้วนบริสุทธิ์ชนิดปราศจากเชื้อ (Cotton noid Non X-Ray Sterile Size S)</t>
  </si>
  <si>
    <t>สำลีม้วนบริสุทธิ์ชนิดปราศจากเชื้อ (Cotton noid Non X-Ray Sterile Size M)</t>
  </si>
  <si>
    <t>สำลีม้วนบริสุทธิ์ชนิดปราศจากเชื้อ (Cotton noid Non X-Ray Sterile Size L)</t>
  </si>
  <si>
    <t>แว่นตาพลาสติกชนิดใช้แล้วทิ้ง ทรงสูง</t>
  </si>
  <si>
    <t>สายนำของเสียออกจากปอด แบบมีแกนเหล็กนำ (โธคาร์ ทุกเบอร์)</t>
  </si>
  <si>
    <t>สายนำของเสียออกจากปอด แบบไม่มีแกนเหล็กนำ (โธแรคสิค ทุกเบอร์)</t>
  </si>
  <si>
    <t>เข็มเย็บแผล cutting Sheath (กลาง) No.๑๕๐๔-๑๑</t>
  </si>
  <si>
    <t>เข็มเย็บแผล cutting Sheath (กลาง) No.๑๕๐๔-๑๔</t>
  </si>
  <si>
    <t>เข็มเย็บแผล cutting Sheath (กลาง) No.๑๕๐๐-๑๓</t>
  </si>
  <si>
    <t>เข็มเย็บเเผล round ๑/๒ No.๑๕๑๒-๓๑</t>
  </si>
  <si>
    <t>เข็มเย็บแผล cutting skin (เล็ก) No.๑๕๐๐-๑7</t>
  </si>
  <si>
    <t>เข็มเย็บ Hernia เบอร์ 1790-4</t>
  </si>
  <si>
    <t>เข็มเย็บแผล cutting 3/8 No.1500-7</t>
  </si>
  <si>
    <t>วัสดุซับเลือดในโพรงจมูก (Merocel)</t>
  </si>
  <si>
    <t>ชุดผ้าและอุปกรณ์ดรายป์สำหรับผ่าตัดสมอง/เปิดกะโหลกศีรษะ ชนิดปราศจากเชื้อ (Craniotomy Pack G)</t>
  </si>
  <si>
    <t>แม็กซ์เย็บผิวหนังชนิดใช้ครั้งเดียวทิ้ง (Skin Stapler Wide, 35 Staples)</t>
  </si>
  <si>
    <t>ผ้าคลุมผ่าตัดใต้สะโพกแบบมีถุงรองรับของเหลว ชนิดปราศจากเชื้อ (UNDER-BUTTOCKS DRAPE W/POUCH)</t>
  </si>
  <si>
    <t>ใบมีดตัดกระโหลกศีรษะ ขนาดกลาง</t>
  </si>
  <si>
    <t>ดอกสว่านสำหรับเจาะกระดูกขนาด ๑.๕ มิลลิเมตร</t>
  </si>
  <si>
    <t>หัวกรอชนิดกลม แบบสั้น (ทุกขนาด)</t>
  </si>
  <si>
    <t>หัวกรอชนิด Coarse Diamond แบบสั้น (ทุกขนาด)</t>
  </si>
  <si>
    <t>หัวเจาะกะโหลกแบบใช้แล้วทิ้ง</t>
  </si>
  <si>
    <t>ผงแป้งปราศจากเชื้อ ขนาด ๔ กรัม (steritalc F4)</t>
  </si>
  <si>
    <t>สายสวนเส้นเลือดอุดตัน แบบดูดหรือล้างลิ่มเลือด (forgaty all size)</t>
  </si>
  <si>
    <t>ห่วงไฟฟ้าตัดติ่งเนื้อในระบบทางเดินอาหาร (Polypectomy Snare ๑๕ mm)</t>
  </si>
  <si>
    <t>แผ่นนตรวจการติดเชื้อ เฮลิโคแบคเตอร์ ไพโลไร (Helicobacter Pylori Urease Test)</t>
  </si>
  <si>
    <t>เข็มฉีดห้ามเลือดในท่อระบบทางเดินอาหาร (ทุกขนาด)</t>
  </si>
  <si>
    <t>คลิปหนีบห้ามเลือดในกระเพาะอาหารและลำไส้ ขนาด 16 มิลลิเมตร</t>
  </si>
  <si>
    <t>คลิปโพลิเมอร์หนีบเส้นเลือด ทุกขนาด (Ligation Clips)</t>
  </si>
  <si>
    <t>อุปกรณ์เจาะตัดชิ้นเนื้อผิวหนัง ทุกขนาด (BIOPSY PUNCH 3.0,4.0)</t>
  </si>
  <si>
    <t>เฝือกชั่วคราวสังเคราะห์สำเร็จรูป ขนาด 3x12</t>
  </si>
  <si>
    <t>เฝือกชั่วคราวสังเคราะห์สำเร็จรูป ขนาด 4x15</t>
  </si>
  <si>
    <t>เฝือกชั่วคราวสังเคราะห์สำเร็จรูป ขนาด 4x30</t>
  </si>
  <si>
    <t>เฝือกชั่วคราวสังเคราะห์สำเร็จรูป ขนาด 3x35</t>
  </si>
  <si>
    <t>เฝือกชั่วคราวสังเคราะห์สำเร็จรูป ขนาด 5x30</t>
  </si>
  <si>
    <t>วัสดุห้ามเลือดและยับยั้งการเจริญเติบโตของแบคทีเรียในโพรงจมูก</t>
  </si>
  <si>
    <t>น้ำยาล้างทำความสะอาดเครื่องมือทางการแพทย์ชนิดผสมเอนไซม์ ขนาด 5 ลิตร</t>
  </si>
  <si>
    <t>ชุดเดรปสำหรับผ่าตัดตา</t>
  </si>
  <si>
    <t>ชุดคลุมสำหรับผ่าตัดชนิดใช้แล้วทิ้ง (ระดับการป้องกันระดับ ๒)</t>
  </si>
  <si>
    <t>ชุดเดรปสำหรับผ่าตัดส่องกล้องทางเดินปัสสาวะ</t>
  </si>
  <si>
    <t>ชุดเดรปสำหรับผ่าตัดกระดูกรยางค์ส่วนล่าง</t>
  </si>
  <si>
    <t>ชุดเดรปสำหรับผ่าตัดกระดูกรยางค์ส่วนบน</t>
  </si>
  <si>
    <t>ชุดเดรปสำหรับผ่าตัดทางสูตินรีเวชท่าขึ้นขาหยั่งชนิดแยกปลอกขา</t>
  </si>
  <si>
    <t>ชุดเดรปสำหรับผ่าตัดส่องกล้องทางสูตินารีเวช</t>
  </si>
  <si>
    <t>เดรปสำหรับผ่าตัดขนาดเล็ก</t>
  </si>
  <si>
    <t>ชุดเดรปสำหรับผ่าตัดเล็ก</t>
  </si>
  <si>
    <t>ชุดเดรปสำหรับผ่าตัดกระดูกรยางค์ส่วนล่างทั้งสองข้าง</t>
  </si>
  <si>
    <t>ชุดเดรปสำหรับผ่าตัดสะโพก</t>
  </si>
  <si>
    <t>ชุดผ้าปูผ่าตัดคลอดทางหน้าท้องชนิดใยสังเคราะห์</t>
  </si>
  <si>
    <t>ชุดคลุมสำหรับผ่าตัดชนิดใช้แล้วทิ้ง (ระดับการป้องกันระดับ ๔)</t>
  </si>
  <si>
    <t>ชุดคลุมสำหรับผ่าตัดชนิดใช้แล้วทิ้ง (ระดับการป้องกันระดับ ๓)</t>
  </si>
  <si>
    <t>ชุดผ้าคลุมผ่าตัดทั่วไปชนิดใยสังเคราะห์</t>
  </si>
  <si>
    <t>ชุดผ้าคลุมผ่าตัดศัลยกรรมทั่วไปแบบมีถุงรองรับของเหลว ด้านข้างชนิดใยสังเคราะห์</t>
  </si>
  <si>
    <t>ด้ามจี้และตัดเนื้อเยื่อด้วยแอดว้านซ์ไบโพล่าร์แบบปากโค้ง (NSLX137C)</t>
  </si>
  <si>
    <t>ด้ามจี้และตัดเนื้อเยื่อด้วยแอดว้านซ์ไบโพล่าร์แบบปากใหญ่ (NSLX120L)</t>
  </si>
  <si>
    <t>หัวจี้ตัดกรรไกรแบบโค้ง ขนาด ๓๖ เซนติเมตร (HAR36)</t>
  </si>
  <si>
    <t>เครื่องมือเชื่อมปิดหลอดเลือดชนิดปลายตรงปากโค้งสำหรับการผ่าตัดแบบส่องกล้อง ขนาดเส้นผ่านศูนย์กลางก้าน 5 มิลลิเมตร (LF2019)</t>
  </si>
  <si>
    <t>กรรไกรเชื่อมปิดหลอดเลือดตัวใหญ่สำหรับใช้ในการผ่าตัดแผลเปิด (LF4418,LF1937)</t>
  </si>
  <si>
    <t>เครื่องมือจี้ห้ามเลือดและตัดเนื้อเยื่อด้วยคลื่นความถี่สูงแบบไร้สาย ชนิดปลายปากโค้ง สำหรับการผ่าตัดแบบเปิดขนาดความยาว 13 เซนติเมตร (SCDA13)</t>
  </si>
  <si>
    <t>เครื่องมือจี้ห้ามเลือดและตัดเนื้อเยื่อด้วยคลื่นความถี่สูงแบบไร้สาย ชนิดปลายปากโค้ง สำหรับการผ่าตัดแบบเปิดขนาดความยาว 26 เซนติเมตร (SCDA26)</t>
  </si>
  <si>
    <t>เครื่องมือจี้ห้ามเลือดและตัดเนื้อเยื่อด้วยคลื่นความถี่สูงแบบไร้สาย ชนิดปลายปากโค้ง สำหรับการผ่าตัดแบบเปิดขนาดความยาว 39 เซนติเมตร (SCDA39)</t>
  </si>
  <si>
    <t>อุปกรณ์เชื่อมปิดหลอดเลือดสำหรับผ่าตัดผ่านกล้อง (TB-0535FCS)</t>
  </si>
  <si>
    <t>อุปกรณ์เชื่อมปิดหลอดเลือดสำหรับผ่าตัดแบบเปิด (TB-09200E)</t>
  </si>
  <si>
    <t>เครื่องมือตัดและต่อลำไส้ชนิดวงกลม ขนาด 28 มิลลิเมตร (CDH29)</t>
  </si>
  <si>
    <t>เครื่องมือตัดและต่อลำไส้ชนิดวงกลม ขนาด 29 มิลลิเมตร (EEA28)</t>
  </si>
  <si>
    <t>ตลับลวดแม็กซ์เย็บผ่าตัดชนิดหัวโค้งสำหรับเนื้อเยื่อหนา (ECHELON CONTOUR GST RELOAD GREEN GCR๔๐G)</t>
  </si>
  <si>
    <t>ด้ามอุปกรณ์จี้พลาสม่า ใช้ในการตัดเนื้อเยื่อเเละห้ามเลือด สำหรับการผ่าตัดในโพรงจมูกเเละช่องปาก (PROCISE EZ VIEW)</t>
  </si>
  <si>
    <t>ตัวล็อคกล่องอลูมิเนียมบรรจุเครื่องมือทางการแพทย์เพื่อทำให้ปราศจากเชื้อ</t>
  </si>
  <si>
    <t>ถ้วยไอโอดีน ๒ ออนซ์</t>
  </si>
  <si>
    <t>ชามรูปไตเล็ก ๖ นิ้ว</t>
  </si>
  <si>
    <t>ชามรูปไตใหญ่ ๑๒ นิ้ว</t>
  </si>
  <si>
    <t>เครื่องมือถอดสับเปลี่ยนชนิดสิ่ว</t>
  </si>
  <si>
    <t>ปากคีบจับลวด ขนาด 170 มิลลิเมตร</t>
  </si>
  <si>
    <t>ชุดเครื่องมือผ่าตัดศัลยกรรมกระดูกขนาดเล็ก</t>
  </si>
  <si>
    <t>ชุดเครื่องมือผ่าตัดศัลยกรรมกระดูกขนาดใหญ่</t>
  </si>
  <si>
    <t>ชุดเครื่องมือคีมจับกระดูกเชิงกรานชนิดเปลี่ยนหัวได้</t>
  </si>
  <si>
    <t>ใบเลื่อยผ่าตัดกระดูกหน้าอกชนิดชัก</t>
  </si>
  <si>
    <t>อุปกรณ์ให้น้ำยารักษาสภาพกล้ามเนื้อเเบบทางตรงชนิดทางเดียว ทุกขนาด</t>
  </si>
  <si>
    <t>แผ่นทดสอบระยะเวลาการแข็งตัวของเลือดชนิด ACT</t>
  </si>
  <si>
    <t>ท่อนำเลือดแดงสำหรับเด็ก ทุกขนาด</t>
  </si>
  <si>
    <t>สายสวนหลอดเลือดเพื่อการวินิจฉัย</t>
  </si>
  <si>
    <t>ชุดสายนำเลือดสำหรับการฟอกเลือดด้วยเครื่องไตเทียม (MDT Plus Hemodialysis Tubing Set)</t>
  </si>
  <si>
    <t>น้ำยาตรวจวิเคราะห์ความเป็นกรดด่างในเลือด จำนวน ๓๐๐ เทสต์</t>
  </si>
  <si>
    <t>ชุดสำหรับเครื่องพยุงการทำงานของหัวใจและปอดแบบเคลื่อนที่ (Transport ECMO set)</t>
  </si>
  <si>
    <t>ชุดสำหรับเครื่องพยุงการทำงานของหัวใจและปอดแบบเคลื่อนที่สำหรับเด็กเล็ก (Transport ECMO set)</t>
  </si>
  <si>
    <t>ชุดสายยางและปอดเทียมเพื่อพยุงหัวใจและปอดที่ใช้ภายนอกผู้ใหญ่ (ECMO SET)</t>
  </si>
  <si>
    <t>สายสวนหลอดเลือดแดงสำหรับเครื่องปอดและหัวใจสังเคราะห์ ทุกขนาด (ECMO arterial Cannula)</t>
  </si>
  <si>
    <t>สายสวนหลอดเลือดดำสำหรับเครื่องปอดและหัวใจสังเคราะห์ ทุกขนาด (ECMO Venous Cannula)</t>
  </si>
  <si>
    <t>สายสวนหลอดเลือดดำชนิดสั้น ทุกขนาด (Venous Short Cannula)</t>
  </si>
  <si>
    <t>ชุดแทงเส้นเลือด (Percutaneous lnsertion Kit)</t>
  </si>
  <si>
    <t>สายระบายลม/ระบายเลือดในหัวใจชนิดพีวีซี (PVC Vent Catheter / Venting Catheter)</t>
  </si>
  <si>
    <t>สายและข้อต่อสำหรับเครื่องหัวใจและปอด (Cardioplegia adapter straight)</t>
  </si>
  <si>
    <t>สายดูดเลือดออกจากหัวใจเข้าสู่เครื่องหัวใจและปอด (Venous Cannula)</t>
  </si>
  <si>
    <t>ตัวกรองแบบพิเศษดูดซับสารพิษชนิดเรซิ่น (Disposable Hemoperfusion Cartridge)</t>
  </si>
  <si>
    <t>ชุดปอดเทียม สำหรับผู้ใหญ่ (INSPIRE ๖F)</t>
  </si>
  <si>
    <t>แผ่นเซนเซอร์วัดอุณหภูมิ/การเต้นของหัวใจแบบติดผิวหนังชนิดใช้ครั้งเดียว</t>
  </si>
  <si>
    <t>ข้อต่อสายตรงแบบล็อก สำหรับวงจรเครื่องหัวใจและปอด ทุกขนาด</t>
  </si>
  <si>
    <t>ชุดตัวกรองเลือดในหลอดเลือดแดงสำหรับทารกแรกเกิด</t>
  </si>
  <si>
    <t>ชุดสายยางวงจรเครื่องหัวใจและปอดสำหรับเด็ก</t>
  </si>
  <si>
    <t>ท่อดูดเลือดห้องหัวใจแบบแกนสลัก</t>
  </si>
  <si>
    <t>ข้อต่อสำหรับวัดความเข้มข้นออกซิเจนในเลือดดำ</t>
  </si>
  <si>
    <t>ตัวกรองไตเทียมประสิทธิภาพสูง พร้อมชุดสายยางดึงน้ำ (Hemoconcentrator)</t>
  </si>
  <si>
    <t>ตัวกรองเลือดสำหรับการฟอกเลือดด้วยเครื่องไตเทียม</t>
  </si>
  <si>
    <t>ชุดปั่นล้างและแยกเม็ดเลือดแดงจากการผ่าตัด Autotranfusion set (Cell saver)</t>
  </si>
  <si>
    <t>สายดูดของเหลว Suction line (Cell saver)</t>
  </si>
  <si>
    <t>สายต่อ Vacuum Sterile Combi-pack (Cell saver)</t>
  </si>
  <si>
    <t>ชุดปลอกนำสายยางเข้าเส้นเลือด</t>
  </si>
  <si>
    <t>อุปกรณ์เย็บปิดแผลหลอดเลือดแบบใช้ไหมเย็บ</t>
  </si>
  <si>
    <t>ชุดปลอกนำสายสวนเข้าหลอดเลือด ทุกขนาด</t>
  </si>
  <si>
    <t>ชุดสายสวนนำเข้าหลอดเลือด</t>
  </si>
  <si>
    <t>อุปกรณ์ให้น้ำยารักษาสภาพกล้ามเนื้อหัวใจชนิดทางตรง</t>
  </si>
  <si>
    <t>ท่อนำเลือดเข้าหลอดเลือดแดงชนิดปลายโลหะ สำหรับเครื่องหัวใจและปอดเทียม</t>
  </si>
  <si>
    <t>สายดูดระบายเลือดออกจากหัวใจห้องซ้าย สำหรับเครื่องหัวใจและปอดเทียม ขนาดเล็ก</t>
  </si>
  <si>
    <t>สายดูดระบายเลือดออกจากหัวใจห้องซ้าย สำหรับเครื่องหัวใจและปอดเทียม ขนาดใหญ่</t>
  </si>
  <si>
    <t>สายนำน้ำยาถนอมกล้ามเนื้อหัวใจเข้าโคนหลอดเลือดแดงใหญ่ (Aortic root cannula)</t>
  </si>
  <si>
    <t>สายนำเลือดเข้าหลอดเลือดแดงสำหรับเด็ก ชนิดชิ้นเดียว สำหรับเครื่องหัวใจและปอดเทียม ทุกขนาด</t>
  </si>
  <si>
    <t>ชุดสายแยกนำสารละลายทำให้หัวใจหยุดเต้นชนิดหลายทาง (DLP Multiple perfusion)</t>
  </si>
  <si>
    <t>ตลับทดสอบระยะเวลาการแข็งตัวของเลือด (สำหรับการตรวจ ACT)</t>
  </si>
  <si>
    <t>สายดูดระบายเลือดออกจากหัวใจและเส้นเลือดดำชนิดสองตำแหน่ง ทุกขนาด</t>
  </si>
  <si>
    <t>สายดูดเสมหะ/สายดูดของเหลวชนิดปลายนุ่ม ขนาด 6 เฟรนช์ ยาว 6.5 นิ้ว</t>
  </si>
  <si>
    <t>สายดูดระบายเลือดออกจากหัวใจและเส้นเลือดดำชนิดตำแหน่งเดียว ทุกขนาด</t>
  </si>
  <si>
    <t>อุปกรณ์กรองฟองอากาศทางเดินเลือดแดง (CAPIOX ATERIAL FILTER FOR PEDI)</t>
  </si>
  <si>
    <t>ท่อระบายลมในหูชั้นกลาง ทุกขนาด</t>
  </si>
  <si>
    <t>ท่อเจาะคอแบบมีท่อในชนิดมี cuff และ ไม่มี cuff</t>
  </si>
  <si>
    <t>แผ่นเฝือกดามจมูกภายใน ( AIRWAY SET)</t>
  </si>
  <si>
    <t>อุปกรณ์ท่อสวนสำหรับห้ามเลือดด้านหลังโพรงจมูก (CATHETER EPISTAT NASAL)</t>
  </si>
  <si>
    <t>หัวบุรย์เพชรสำหรับกรอกระดูกในการผ่าตัดถุงน้ำตา ขนาด 2.5 มิลลิเมตร</t>
  </si>
  <si>
    <t>หัวบุรย์กรอกระดูกแบบตัด ชนิดความยาว 15 เซนติเมตร ขนาด 4 มิลลิเมตร เอียง 15 องศา (สำหรับเครื่องกรอกระดูกความเร็วสูง)</t>
  </si>
  <si>
    <t>สายสำหรับใช้กับเครื่องจี้เเละตัดชิ้นเนื้อด้วยคลื่นวิทยุความถี่สูง (ด้ามจับหัวจี้)</t>
  </si>
  <si>
    <t>สายสำหรับใช้กับเครื่องจี้เเละตัดชิ้นเนื้อด้วยคลื่นวิทยุความถี่สูง (สายไบโพลาร์ใช้กับเครื่องจี้)</t>
  </si>
  <si>
    <t>เข็มจี้เเบบมีฉนวนเคลือบขนาดเล็กพิเศษใช้สำหรับการจี้กำจัดขนเเละจี้รักษาเส้นเลือดฝอย</t>
  </si>
  <si>
    <t>ฝาครอบตาป้องกันหลังผ่าตัด (PROCUL-S-AJL,AJL EYE SHIELD)</t>
  </si>
  <si>
    <t>แผ่นแทรกกรอง / แผ่นรองกระจายการไหลของสารกรอง</t>
  </si>
  <si>
    <t>คีมจับจี้ตัดห้ามเลือดด้วยไฟฟ้าขั้วคู่ ชนิดปลายงอ ขนาด 0.45 มิลลิเมตร</t>
  </si>
  <si>
    <t>คีมจับเข็มเย็บแผลขนาดเล็ก ชนิดปลายงอ มีล๊อก</t>
  </si>
  <si>
    <t>คีมจับเข็มเย็บแผลแบบแอนนิส ปากคีมโค้งยาว ๙ มิลลิเมตร ปลายขนาด ๐.๖ มิลลิเมตร ชนิดมีล็อค</t>
  </si>
  <si>
    <t>ตะขอเกี่ยวเนื้อเลนส์ แบบซินสกี้รุ่นสอง ก้านหักมุม ปลายตะขอมีขนาด ๐.๒ มิลลิเมตร</t>
  </si>
  <si>
    <t>ปากคีบจับกระจกตา แบบเทนเนนท์ ชนิดมีเขี้ยว ๑x๒ เขี้ยว ขนาด ๐.๑๒ มิลลิเมตร</t>
  </si>
  <si>
    <t>ปากคีบจับเลนส์แก้วตาเทียมหรือจับไหม แบบเคลแมน-แมคเฟอร์สันก้านหักมุมยาว ๗.๕ มิลลิเมตร ด้ามเป็นูกลมเรียงตามยาวของด้าม</t>
  </si>
  <si>
    <t>ปากคีบฉีกเยื่อหุ้มเลนส์แบบมาสเก็ท ปลายมนก้านหักมุมยาว ๑๑ มิลลิเมตร</t>
  </si>
  <si>
    <t>กล่องใส่เครื่องมือสำหรับนึ่งฆ่าเชื้อโรคขนาด ๒๖๐x๑๗๐x๔๐ มิลลิเมตร</t>
  </si>
  <si>
    <t>กรรไกรตัดเนื้อเยื่อตาชนิดปลายตรง</t>
  </si>
  <si>
    <t>เครื่องมือเขี่ย/หมุนแกนเลนส์ตา ชนิดปลายแบน (หรือ อุปกรณ์จัดตำแหน่งเลนส์ตา แบบไดรส์เดล)</t>
  </si>
  <si>
    <t>สารย้อมสีจอตาและวุ้นตาชนิดผสมลูทีนเข้มข้น (สำหรับย้อมพังผืดและเยื่อบุจอตา)</t>
  </si>
  <si>
    <t>ชุดด้ามสลายต้อกระจกและชุดดูดเศษเลนส์</t>
  </si>
  <si>
    <t>หัวเข็มดูดและล้างเศษเลนส์ตา ชนิดปลายหุ้มซิลิโคน ขนาด 20 เกจ ปลายตรง รูเปิด 0.4 มิลลิเมตร</t>
  </si>
  <si>
    <t>เข็มฉีด/จ่ายสารล้างและยึดเหนี่ยวขนาดเล็กพิเศษ ขนาด 2.2 มิลลิเมตร (หรือ เข็มไมโครฟโลว์สำหรับผ่าตัดตา)</t>
  </si>
  <si>
    <t>ชุดอะไหล่และชิ้นส่วนอะไหล่ขนาดเล็ก 0.9 มิลลิเมตร สำหรับหัวตัด/ดูดในการผ่าตัดวุ้นตา (SMALL PART KIT ๐.๙)</t>
  </si>
  <si>
    <t>ตะขอเกี่ยวรั้งรูม่านตาแบบซิลิโคน/ไนลอน (FLEX IRIS RETRACT)</t>
  </si>
  <si>
    <t>ประแจหกเหลี่ยมสำหรับถอดเปลี่ยน/ขันหัวตัดวุ้นตา ชนิดนำกลับมาใช้ซ้ำได้</t>
  </si>
  <si>
    <t>เข็มสลายต้อกระจกด้วยคลื่นเสียงความถี่สูง ขนาด 0.9 มิลลิเมตร ปลายเอียง 45 องศา</t>
  </si>
  <si>
    <t>ท่อซิลิโคนให้อาหารทางหน้าท้อง</t>
  </si>
  <si>
    <t>ท่อดูดของเหลว ทุกขนาด</t>
  </si>
  <si>
    <t>คลิปหนีบเส้นเลือดขนาดมาตรฐาน ชนิดถาวร ปลายปากตรง ความยาวปลายปาก ๗.๑ มิลลิเมตร</t>
  </si>
  <si>
    <t>คลิปหนีบเส้นเลือดขนาดมาตรฐาน ชนิดถาวร ปลายปากตรง ความยาวปลายปาก ๙.๐ มิลลิเมตร</t>
  </si>
  <si>
    <t>คลิปหนีบเส้นเลือดขนาดมาตรฐาน ชนิดถาวร ปลายปากตรง ความยาวปลายปาก ๑๑.๐ มิลลิเมตร</t>
  </si>
  <si>
    <t>คลิปหนีบเส้นเลือดขนาดมาตรฐาน ชนิดถาวร ปลายปากตรง ความยาวปลายปาก ๑๕.๐ มิลลิเมตร</t>
  </si>
  <si>
    <t>คลิปหนีบเส้นเลือดขนาดมาตรฐาน ชนิดถาวร ปลายปากตรง ความยาวปลายปาก ๒๐.๐ มิลลิเมตร</t>
  </si>
  <si>
    <t>คลิปหนีบเส้นเลือดขนาดมาตรฐาน ชนิดถาวร ปลายปากโค้ง ความยาวปลายปาก ๘.๓ มิลลิเมตร</t>
  </si>
  <si>
    <t>คลิปหนีบเส้นเลือดขนาดมาตรฐาน ชนิดถาวร ปลายปากโค้ง ความยาวปลายปาก ๑๐.๒ มิลลิเมตร</t>
  </si>
  <si>
    <t>คลิปหนีบเส้นเลือดขนาดมาตรฐาน ชนิดถาวร ปลายปากโค้ง ความยาวปลายปาก ๑๓.๗ มิลลิเมตร</t>
  </si>
  <si>
    <t>คลิปหนีบเส้นเลือดขนาดมาตรฐาน ชนิดถาวร ปลายปากโค้ง ความยาวปลายปาก ๑๕.๓ มิลลิเมตร</t>
  </si>
  <si>
    <t>คลิปหนีบเส้นเลือดขนาดมาตรฐาน ชนิดชั่วคราว ปลายปากตรง ความยาวปลายปาก ๙ มิลลิเมตร</t>
  </si>
  <si>
    <t>คลิปหนีบเส้นเลือดขนาดมาตรฐาน ชนิดชั่วคราว ปลายปากตรง ความยาวปลายปาก ๑๑ มิลลิเมตร</t>
  </si>
  <si>
    <t>คลิปหนีบเส้นเลือดขนาดมาตรฐาน ชนิดถาวร แบบ Fenestrated ความยาวปลายปาก ๙.๐ มิลลิเมตร</t>
  </si>
  <si>
    <t>คลิปหนีบเส้นเลือด ขนาดมาตรฐาน ชนิดถาวร แบบ Fenestrated ปลายปากทำมุม ๔๕ องศา ความยาวปลายปาก ๗.๕ มิลลิเมตร</t>
  </si>
  <si>
    <t>คลิปหนีบเส้นเลือด ขนาดเล็ก ชนิดชั่วคราว ปลายตรง ความยาวปลายปาก ๓.๐ มิลลิเมตร</t>
  </si>
  <si>
    <t>คลิปหนีบเส้นเลือด ขนาดเล็ก ชนิดชั่วคราว ปลายตรง ความยาวปลายปาก ๕.๐ มิลลิเมตร</t>
  </si>
  <si>
    <t>คลิปหนีบเส้นเลือด ขนาดเล็ก ชนิดถาวร ปลายปากตรง ความยาวปลายปาก ๕.๐ มิลลิเมตร</t>
  </si>
  <si>
    <t>คลิปหนีบเส้นเลือด ขนาดเล็ก ชนิดถาวร ปลายปากตรง ความยาวปลายปาก ๕.๒ มิลลิเมตร</t>
  </si>
  <si>
    <t>อุปกรณ์หนีบจับคลิปหนีบเส้นเลือดขนาดมาตรฐาน ขนาดความยาวใช้งาน ๑๑๐ มิลลิเมตร</t>
  </si>
  <si>
    <t>อุปกรณ์หนีบจับคลิปหนีบเส้นเลือดขนาดเล็ก ปลายปากตรง ขนาดความยาวใช้งาน ๙๐ มิลลิเมตร</t>
  </si>
  <si>
    <t>อุปกรณ์หนีบจับคลิปออกจากเส้นเลือดขนาดมาตรฐาน ขนาดความยาวใช้งาน ๙๐ มิลลิเมตร</t>
  </si>
  <si>
    <t>อุปกรณ์หนีบจับคลิปหนีบเส้นเลือดขนาดเล็ก ขนาดความยาวใช้งาน ๙๐ มิลลิเมตร</t>
  </si>
  <si>
    <t>อุปกรณ์ใส่คลิปหนีบเส้นเลือดโป่งพองในสมอง</t>
  </si>
  <si>
    <t>เครื่องมือขบตัดกระดูกสันหลังแบบ Ferris-smith-Kerrison ปากหงายทำมุม ๔๐ องศา แบบ Thin plate ขนาดปาก ๑ มิลลิเมตร ความยาวส่วนการใช้งาน ๒๐๐ มิลลิเมตร</t>
  </si>
  <si>
    <t>เครื่องมือขบตัดกระดูกสันหลังแบบ Ferris-smith-Kerrison ปากหงายทำมุม ๔๐ องศา แบบ Thin plate ขนาดปาก ๒ มิลลิเมตร ความยาวส่วนการใช้งาน ๒๐๐ มิลลิเมตร</t>
  </si>
  <si>
    <t>เครื่องมือขบตัดกระดูกสันหลังแบบ Ferris-smith-Kerrison ปากหงายทำมุม ๔๐ องศา แบบ Thin plate ขนาดปาก ๓ มิลลิเมตร ความยาวส่วนการใช้งาน ๒๐๐ มิลลิเมตร</t>
  </si>
  <si>
    <t>เครื่องมือขบตัดกระดูกสันหลังแบบ Ferris-smith-Kerrison ปากหงายทำมุม ๔๐ องศา แบบ Thin plate ขนาดปาก ๔ มิลลิเมตร ความยาวส่วนการใช้งาน ๒๐๐ มิลลิเมตร</t>
  </si>
  <si>
    <t>เครื่องมือขบตัดกระดูกสันหลังแบบ Ferris-smith-Kerrison ปากหงายทำมุม ๔๐ องศา แบบ Thin plate ขนาดปาก ๕ มิลลิเมตร ความยาวส่วนการใช้งาน ๒๐๐ มิลลิเมตร</t>
  </si>
  <si>
    <t>สายระบายผ่านทางหน้าท้องกระเพาะปัสสาวะ (Drainage Catheter Set ๑๖F)</t>
  </si>
  <si>
    <t>อุปกรณ์ควบคุมการไหลของน้ำสำหรับกล้องส่องตรวจระบบทางเดินปัสสาวะชนิดมือบีบชนิดใช้ครั้งเดียว (Smart Bulb lrrigation System)</t>
  </si>
  <si>
    <t>หัวปากคีบจับก้อนนิ่วหรือเนื้อเยื่อ ขนาด 5 เฟรนช์ (เฉพาะส่วนปลาย สำหรับกล้องส่องทางเดินปัสสาวะ/โพรงมดลูก)</t>
  </si>
  <si>
    <t>หัวโพรบสลายนิ่วด้วยระบบลมดัน ขนาด 1.0 มิลลิเมตร ยาว 605 มิลลิเมตร</t>
  </si>
  <si>
    <t>ชุดสายน้ำเกลือล้างแผลผ่าตัดชนิดนำไปอบฆ่าเชื้อได้</t>
  </si>
  <si>
    <t>ช้อนขูดกระดูกและเนื้อเยื่อรอบรากฟัน แบบลูคัส เบอร์ 86</t>
  </si>
  <si>
    <t>ช้อนขูดกระดูกและเนื้อเยื่อรอบรากฟัน ชนิดปลายเล็ก เบอร์ 85</t>
  </si>
  <si>
    <t>สายใยแก้วนำแสงขนาดเส้นผ่าศูนย์กลาง ๒๗๐ um ยาว ๓ เมตร</t>
  </si>
  <si>
    <t>สายใยแก้วนำแสงขนาดเส้นผ่าศูนย์กลาง ๔๐๐ um ยาว ๓ เมตร</t>
  </si>
  <si>
    <t>ปากคีบจุลผ่าตัดสมองแบบยาซาร์กิล ปลายช้อน 3.0 มิลลิเมตร ยาว 220 มิลลิเมตร</t>
  </si>
  <si>
    <t>ปากคีบจุลผ่าตัดสมองแบบยาซาร์กิล ปลาย 3.0 มิลลิเมตร ยาว 220 มิลลิเมตร</t>
  </si>
  <si>
    <t>ปากคีบจุลผ่าตัดสมองแบบยาซาร์กิล ปลาย 5.0 มิลลิเมตร ยาว 220 มิลลิเมตร</t>
  </si>
  <si>
    <t>หัวจี้ตัดไฟฟ้าสำหรับตัดเนื้อเยื่อแบบเส้นลวดทรงกลม ขนาด 5 มิลลิเมตร ด้ามจับ 2.4 มิลลิเมตร</t>
  </si>
  <si>
    <t>หัวจี้ตัดไฟฟ้าสำหรับตัดเนื้อเยื่อแบบเส้นลวดทรงกลม ขนาด 10 มิลลิเมตร ด้ามจับ 2.4 มิลลิเมตร</t>
  </si>
  <si>
    <t>คีมจับเข็มเย็บแผลจุลผ่าตัด ชนิดด้ามแบน ปลายตรง ยาว 185 มิลลิเมตร</t>
  </si>
  <si>
    <t>คีมจับเข็มเย็บแผลจุลผ่าตัด แบบไม่มีสลักล็อก ปลายตรง ยาว 160 มิลลิเมตร</t>
  </si>
  <si>
    <t>ท่อดูดจับ/ท่อดูดเสลดทางการแพทย์แบบเอลสเบิร์ก ขนาด 5 เฟรนช์ (ท่อดูดสุญญากาศสำหรับศัลยกรรมประสาท)</t>
  </si>
  <si>
    <t>ห่วงคล้องรัดชิ้นเนื้อสำหรับห้ามเลือด</t>
  </si>
  <si>
    <t>อุปกรณ์เก็บชิ้นเนื้อชนิดปากวงรี</t>
  </si>
  <si>
    <t>ปากคีบจับสิ่งแปลกปลอมชนิดฟันหนู</t>
  </si>
  <si>
    <t>ลวดนำอุปกรณ์สำหรับใส่ท่อทางเดินน้ำดี ๐.๐๒๕ นิ้ว ชนิดปลายตรง</t>
  </si>
  <si>
    <t>ถุงคลุมกล้องผ่าตัด</t>
  </si>
  <si>
    <t>สายให้อาหารผ่านรูจมูกสู่ลำไส้เล็ก</t>
  </si>
  <si>
    <t>แปรงล้างกล้องส่องตรวจทางเดินอาหาร</t>
  </si>
  <si>
    <t>น้ำยาล้างกล้องสำหรับผ่าตัดส่องกล้อง ขนาด ๘๗๕ มิลลิลิตร</t>
  </si>
  <si>
    <t>อุปกรณ์คีบจับเนื้อเยื่อภายในช่องท้องแบบปากหยัก (Clinching)</t>
  </si>
  <si>
    <t>อุปกรณ์เลาะเนื้อเยื่อภายในช่องท้อง (Maryland)</t>
  </si>
  <si>
    <t>อุปกรณ์กรรไกรตัดเนื้อเยื่อภายในช่องท้อง (Metzenbaum)</t>
  </si>
  <si>
    <t>อุปกรณ์คีบจับเนื้อเยื่อภายในช่องท้องแบบไม่ทำลายเนื้อเยื่อ (Johan)</t>
  </si>
  <si>
    <t>อุปกรณ์คีบจับเนื้อเยื่อภายในช่องท้องแบบไม่ทำลายเนื้อเยื่อชนิดปากยาว (Long Johan)</t>
  </si>
  <si>
    <t>ปลอกสำหรับสวมปากคีบจับเนื้อเยื่อ (Shaft)</t>
  </si>
  <si>
    <t>ด้ามจับชนิดล็อคและปลดล็อคได้ในด้ามเดียวกัน (Handle Deactivatable Ratchet)</t>
  </si>
  <si>
    <t>ด้ามจับแบบต่อจี้ไฟฟ้าโมโนโพลาร์ (Handle Monopolar)</t>
  </si>
  <si>
    <t>กล่องบรรจุอุปกรณ์เพื่อฆ่าเชื้อพร้อมฝาปิด</t>
  </si>
  <si>
    <t>ถาดกลางสำหรับวางอุปกรณ์</t>
  </si>
  <si>
    <t>อุปกรณ์คีบจับชิ้นเนื้อชนิดปากหยัก (Clinching)</t>
  </si>
  <si>
    <t>ปลอกสำหรับสวมปากคีบจับเนื้อเยื่อ (Shaft) (ลำดับ 2)</t>
  </si>
  <si>
    <t>ด้ามจับชนิดล็อคและปลดล็อคได้ในด้ามเดียวกัน (Handle Deactivatable Ratchet) (ลำดับ 2)</t>
  </si>
  <si>
    <t>ลวดจี้ตัดต่อมลูกหมาก แบบขั้วไฟฟ้าเดี่ยว ๒ ขา</t>
  </si>
  <si>
    <t>เส้นลวดจี้ตัดต่อมลูกหมาก</t>
  </si>
  <si>
    <t>ท่อและแกนนำส่องตรวจทางเดินปัสสาวะและกระเพาะอาหาร ขนาด 22 เฟรนช์ (ชุดปลอกส่องตรวจกระเพาะปัสสาวะ)</t>
  </si>
  <si>
    <t>ข้อต่อสายทางการแพทย์แบบล็อกเกลียว / ข้อต่อหลอดสายยางระบบลูเออร์ล็อก</t>
  </si>
  <si>
    <t>กระบอกฉีดยาแก้วแบบเจเน็ต ขนาด 50 มิลลิลิตร</t>
  </si>
  <si>
    <t>ถังน้ำ TUR ขนาดบรรจุ ๕ ลิตร</t>
  </si>
  <si>
    <t>ถังน้ำ TUR ขนาดบรรจุ ๑๐ ลิตร</t>
  </si>
  <si>
    <t>อุปกรณ์ส่องตรวจช่องทวารหนักและลำไส้ใหญ่ส่วนปลาย ขนาดเส้นผ่านศูนย์กลาง 14 มิลลิเมตร ความยาวปาก 40 มิลลิเมตร พร้อมแกนนำ</t>
  </si>
  <si>
    <t>อุปกรณ์ส่องตรวจช่องทวารหนักและลำไส้ใหญ่ส่วนปลาย ขนาดเส้นผ่านศูนย์กลาง 16 มิลลิเมตร ความยาวปาก 60 มิลลิเมตร พร้อมด้ามจับยาว 160 มิลลิเมตร และแกนนำ</t>
  </si>
  <si>
    <t>อุปกรณ์ส่องตรวจช่องทวารหนักและลำไส้ใหญ่ส่วนปลาย ขนาดเส้นผ่านศูนย์กลาง 20 มิลลิเมตร ความยาวปาก 60 มิลลิเมตร พร้อมด้ามจับยาว 160 มิลลิเมตร และแกนนำ</t>
  </si>
  <si>
    <t>อุปกรณ์ส่องตรวจช่องทวารหนักและลำไส้ใหญ่ส่วนปลาย ขนาดเส้นผ่านศูนย์กลาง 24 มิลลิเมตร ความยาวปาก 60 มิลลิเมตร พร้อมด้ามจับยาว 160 มิลลิเมตร และแกนนำ</t>
  </si>
  <si>
    <t>อุปกรณ์ส่องตรวจทางเดินปัสสาวะและกระเพาะปัสสาวะชนิดโค้งงอได้ ขนาด 16.5 เฟรนช์ ช่องทำงาน 7.2 เฟรนช์</t>
  </si>
  <si>
    <t>อุปกรณ์ส่องตรวจและผ่าตัดท่อไตและไตชนิดสายอ่อนแบบใช้ครั้งเดียวทิ้ง</t>
  </si>
  <si>
    <t>อุปกรณ์ขยายช่องว่างระหว่างเนื้อเยื่อ</t>
  </si>
  <si>
    <t>ตัวยึดแผ่นใยสังเคราะห์แทนผนังหน้าท้องชนิดถาวร</t>
  </si>
  <si>
    <t>แผ่นใยสังเคราะห์แทนผนังหน้าท้องชนิดเมมเบรน (๖.๔ cm)</t>
  </si>
  <si>
    <t>แผ่นใยสังเคราะห์แทนผนังหน้าท้องชนิดเมมเบรน (๘.๐ cm)</t>
  </si>
  <si>
    <t>ชุดหัวด้ามผ่าตัดตัดแต่งบาดแผลด้วยพลังงานน้ำแรงดันสูงชนิดใช้ครั้งเดียวทิ้ง มุม 45 องศา ขนาด 14 มิลลิเมตร (VERSAJET II EXACT)</t>
  </si>
  <si>
    <t>สิ่วตอกกระดูกขนาดเล็กแบบแลมบอต ทุกขนาด</t>
  </si>
  <si>
    <t>เครื่องมือด่างขยายแผลผ่าตัดชนิดล็อกตำแหน่งได้เอง แบบเจลปี-ล็อกไทต์ ยาว 11 เซนติเมตร</t>
  </si>
  <si>
    <t>เครื่องมือส่อง/ถ่างขยายโพรงจมูกแบบคิลเลียน ขนาดปลายถ่าง 50 มิลลิเมตร พร้อมน็อตยึดปรับระดับ ความยาว 13 เซนติเมตร</t>
  </si>
  <si>
    <t>เครื่องมือส่อง/ถ่างขยายโพรงจมูกแบบคิลเลียน ขนาดปลายถ่าง 75 มิลลิเมตร พร้อมน็อตยึดปรับระดับ ความยาว 13 เซนติเมตร</t>
  </si>
  <si>
    <t>ปากคีบจับเนื้อเยื่อแบบทรงปากหงอนไก่ (ทรงแซกโซโฟน) ยาว 16 เซนติเมตร</t>
  </si>
  <si>
    <t>เครื่องมือดูดสารคัดหลั่ง และส่งน้ำ สำหรับการผ่าตัดผ่านกล้องวิดีทัศน์ (แบบเดี๋ยว)</t>
  </si>
  <si>
    <t>เครื่องมือดูดสารคัดหลั่ง ส่งน้ำ และเครื่องมือจี้ห้ามเลือดชนิดโมโนโพลาร์ สำหรับการผ่าตัดผ่านกล้องวิดีทัศน์</t>
  </si>
  <si>
    <t>หัวกำเนิดพลังงานความร้อนชนิดนำกลับมาใช้ใหม่ได้ ขนาด 7 มิลลิเมตร (หัวกำเนิดพลังงานฮาร์โมนิก/คลื่นเสียงความถี่สูง)</t>
  </si>
  <si>
    <t>ด้ามเครื่องมือเชื่อมปิดหลอดเลือดและเลาะแยกเนื้อเยื่อด้วยพลังงานไฟฟ้าแบบเปิด ปลายเรียวโค้งผอม ยาว 21 เซนติเมตร (ชนิดใช้ครั้งเดียวทิ้ง) LF2019</t>
  </si>
  <si>
    <t>ด้ามบรรจุลวดเย็บแบบเกลียวเพื่อยึดแผ่นตาข่าย ขนาด ๓๐ นัด ชนิดไม่ละลาย</t>
  </si>
  <si>
    <t>ท่อสอดและแกนทึบปลายมนสำหรับผ่าตัดผ่านกล้อง ขนาด 10 มิลลิเมตร (อุปกรณ์เจาะหน้าท้องปลายมน)</t>
  </si>
  <si>
    <t>ด้ามเครื่องมือเชื่อมปิดหลอดเลือดและตัดเนื้อเยื่อด้วยพลังงานไฟฟ้าแบบเปิด ปลายโค้งแมรี่แลนด์ ยาว 23 เซนติเมตร (ชนิดใช้ครั้งเดียวทิ้ง) LF1923</t>
  </si>
  <si>
    <t>แผ่นใยสังเคราะห์แทนผนังหน้าท้องชนิดเมมเบรน ขนาด 15*10 เซนติเมตร</t>
  </si>
  <si>
    <t>แผ่นใยสังเคราะห์แทนผนังหน้าท้องชนิดเมมเบรน ขนาด 20*15 เซนติเมตร</t>
  </si>
  <si>
    <t>แผ่นใยสังเคราะห์แทนผนังหน้าท้องชนิดเมมเบรน ขนาด 25*20 เซนติเมตร</t>
  </si>
  <si>
    <t>แผ่นใยสังเคราะห์แทนผนังหน้าท้องชนิดเมมเบรน ขนาด 30*20 เซนติเมตร</t>
  </si>
  <si>
    <t>เข็มเจาะดูดและเก็บตัวอย่างชิ้นเนื้อแบบชิบะ ขนาด 18 เกจ ยาว 16 เซนติเมตร (เข็มเจาะตรวจชิ้นเนื้อปลายเฉียง)</t>
  </si>
  <si>
    <t>สายลวดนำทางชนิดเซนเซอร์ ปลายโค้งนิ่ม ขนาด 0.035 นิ้ว ยาว 150 เซนติเมตร (ลวดนำทางแบบไฮโดรฟิลิกพร้อมแกน stiff)</t>
  </si>
  <si>
    <t>สายยางขยายท่อไตด้วยบอลลูนแรงดันสูง ขนาดบอลลูน 5 มิลลิเมตร ยาว 4 เซนติเมตร</t>
  </si>
  <si>
    <t>ท่อสอดขยายทางเข้าไตแบบแอมพลาตซ์ ขนาด 30 เฟรนช์ ยาว 20 เซนติเมตร (ท่อสอดสร้างทางเข้าไตสำหรับการผ่าตัดนิ่ว)</t>
  </si>
  <si>
    <t>สายสวนเส้นเลือดที่ไช้ไกค์วายร่วมด้วย</t>
  </si>
  <si>
    <t>ปากคีบจับเนื้อเยื่อไมโครแอดสัน ชนิดมีเขี้ยว 1x2 ขนาด 120 มิลลิเมตร (คีมจิ๋วจับเนื้อเยื่อปลายเขี้ยว)</t>
  </si>
  <si>
    <t>ปากคีบจับเนื้อเยื่อไมโครแอดสัน ชนิดมีเขี้ยว 1x2 ขนาด 150 มิลลิเมตร (คีมจิ๋วจับเนื้อเยื่อปลายเขี้ยว แบบด้ามยาว)</t>
  </si>
  <si>
    <t>ปากคีบไมโครแอดสัน ชนิดไม่มีเขี้ยว/ปลายหยัก ขนาด 150 มิลลิเมตร (คีมจิ๋วจับเนื้อเยื่อปลายเรียบละเอียด แบบด้ามยาว)</t>
  </si>
  <si>
    <t>ขอเกี่ยวรั้งเนื้อเยื่อแบบ 2 คม ปลายโค้งใหญ่ ความยาว 165 มิลลิเมตร (ตะขอรั้งแผลชนิดปลายแหลม 2 ส้อม)</t>
  </si>
  <si>
    <t>ตัวรั้งเนื้อเยื่ออ่อนและแก้มแบบออบเวเกเซอร์ ปลายดัดโค้งลง ขนาดปลาย 25x7 มิลลิเมตร ยาว 215 มิลลิเมตร (ตะขอรั้งแผล/เนื้อเยื่อสำหรับช่องปากและช่องหน้า)</t>
  </si>
  <si>
    <t>อุปกรณ์สำหรับกันคนไข้กัดกล้องส่องตรวจ (Bite Block)</t>
  </si>
  <si>
    <t>สายให้อาหารทางหน้าท้องชนิดผ่านกล้องโดยไม่ต้องผ่าตัด เบอร์ ๒๔</t>
  </si>
  <si>
    <t>เครื่องมือสอดหมุนปรับทิศทางมดลูก ความยาว 26.5 เซนติเมตร (อุปกรณ์ควบคุมและยึดดึงมดลูก)</t>
  </si>
  <si>
    <t>ปากคีบจับเข็มเย็บเนื้อเยื่อภายในช่องท้อง ปากโค้งขวา (Needle holder right curved)</t>
  </si>
  <si>
    <t>ด้ามจับปากคีบ (Handle Asymmatric Ratchet)</t>
  </si>
  <si>
    <t>อุปกรณ์ใช้สำหรับช่วยถ่างขยายแผลผ่าตัด ๑5๐x๑๕๐ MM</t>
  </si>
  <si>
    <t>อุปกรณ์ใช้สำหรับช่วยถ่างขยายแผลผ่าตัด ๑๘๐x๑๕๐ MM</t>
  </si>
  <si>
    <t>อุปกรณ์ใช้สำหรับช่วยถ่างขยายแผลผ่าตัด 200x๑8๐ MM</t>
  </si>
  <si>
    <t>น้ำยาห้ามเลือด ๕๐๐ ml</t>
  </si>
  <si>
    <t>ไส้กรองสำหรับกรองกลิ่นและดูดควันที่เกิดจากการใช้เครื่องจี้ผ่าตัดด้วยไฟฟ้า</t>
  </si>
  <si>
    <t>สายจ่ายน้ำสำหรับผ่าตัดผ่านกล้อง</t>
  </si>
  <si>
    <t>ด้ามจับหัวจี้ชนิดควบคุมด้วยมือ เเบบ ๓ ปุ่ม</t>
  </si>
  <si>
    <t>ด้ามจับหัวจี้</t>
  </si>
  <si>
    <t>หัวจี้ชนิดหัวบอลขนาด ๕ มิลลิเมตร</t>
  </si>
  <si>
    <t>กรรไกรสำหรับตัดเนื้อเยื่อในโพรงมดลูก</t>
  </si>
  <si>
    <t>หัวจี้ชนิดลูกกลิ้ง สำหรับผ่าตัดในโพรงมดลูก</t>
  </si>
  <si>
    <t>หัวจี้ชนิดเข็ม สำหรับผ่าตัดในโพรงมดลูก</t>
  </si>
  <si>
    <t>สายน้ำสำหรับงานผ่าตัดผ่านกล้อง</t>
  </si>
  <si>
    <t>อุปกรณ์สำหรับปิดช่องทำความสะอาด</t>
  </si>
  <si>
    <t>สายน้ำชนิดใช้ครั้งเดียว (Laparoscope)</t>
  </si>
  <si>
    <t>สายน้ำชนิดใช้ครั้งเดียว (Hysteroscope)</t>
  </si>
  <si>
    <t>ตัวคีบจับแบบทำลายเนื้อเยื่อสำหรับการผ่าตัดผ่านทางช่องท้อง</t>
  </si>
  <si>
    <t>อินเสิร์ทกรรไกรสำหรับการผ่าตัดผ่านทางช่องท้องแบบโค้ง</t>
  </si>
  <si>
    <t>กรรไกรสำหรับการผ่าตัดผ่านทางช่องท้องแบบโค้ง</t>
  </si>
  <si>
    <t>น้ำยาเคลือบหัวเครื่องจี้ไฟฟ้า ๔ ml</t>
  </si>
  <si>
    <t>ปากคีบผ่าตัดหนีบจับและจี้หยุดเลือดระบบไบโพลาห์ด้วยพลังงานไฟฟ้าสำหรับผ่าตัดผ่านกล้อง</t>
  </si>
  <si>
    <t>ชุดแท่งขยายปากมดลูกแบบเฮการ์ ขนาด 4.0 ถึง 12.0 มิลลิเมตร พร้อมกล่องบรรจุ (แท่งถ่างขยายช่องปากมดลูก)</t>
  </si>
  <si>
    <t>ด้ามสำหรับเครื่องปั่นย่อยมดลูกผ่านทางหน้าท้อง</t>
  </si>
  <si>
    <t>เข็มแทงผ่านผนังหน้าท้องเพื่ออัดก๊าซชนิดใช้ครั้งเดียวทิ้ง</t>
  </si>
  <si>
    <t>คีมคีบนิ้วในไตแบบแรนดอล ความยาวรวม 225 มิลลิเมตร (9 นิ้ว)</t>
  </si>
  <si>
    <t>ท่อดูดและฉีดล้างสารน้ำชนิดเปลี่ยนปลายได้ สำหรับระบบผ่าตัดผ่านกล้อง (ชุดท่อดูด-ฉีดล้างน้ำในช่องท้อง)</t>
  </si>
  <si>
    <t>ด้ามจับแบบปืนสั้นพร้อมวาล์ว 2 ทางชนิดไม่ต้องบำรุงรักษา สำหรับชุดท่อดูดและฉีดล้างสารน้ำชนิดเปลี่ยนปลายได้ (เฉพาะตัวด้ามจับ)</t>
  </si>
  <si>
    <t>หัวจี้ไฟฟ้าแบบฉากพร้อมด้ามจับในตัว ปลายเซรามิก ระบบโมโนโพลาห์ ขนาด 5 มิลลิเมตร ยาว 340 มิลลิเมตร ( ก้านจี้ไฟฟ้าตัดเลาะปลายงอฉาก)</t>
  </si>
  <si>
    <t>สายพร้อมขั้วจี้ไฟฟ้าแบบไบโพลาห์ ปลายทรงโดมขนาดเล็กชนิดดัดงอได้ ขนาด 2 มิลลิเมตร ยาว 14 เซนติเมตร</t>
  </si>
  <si>
    <t>ผลิตภัณฑ์เสริมการห้ามเลือดชนิดผง ขนาด ๓ กรัม</t>
  </si>
  <si>
    <t>ผลิตภัณฑ์เสริมการห้ามเลือดชนิดผง ขนาด ๑ กรัม</t>
  </si>
  <si>
    <t>ชุดตรวจแก๊สสารอิเล็กโตรไลท์และเมตาโบไลท์ในเลือด</t>
  </si>
  <si>
    <t>โลหะดามใส่ในโพรงกระดูกชนิดมีรูล็อกสำหรับเชื่อมกระดูกข้อเท้า แบบหักมุม</t>
  </si>
  <si>
    <t>โลหะดามใส่ในโพรงกระดูกชนิดมีรูล็อกสำหรับเชื่อมกระดูกข้อเท้า แบบตรง</t>
  </si>
  <si>
    <t>เส้นเอ็นเทียมใช้สำหรับบริเวณมือ</t>
  </si>
  <si>
    <t>หัวกระดูกเรดียสเทียม</t>
  </si>
  <si>
    <t>ชุดกระดุมพร้อมไหมสำหรับยึดข้อต่อแบบ MINI EXPERT</t>
  </si>
  <si>
    <t>ชุดกระดุมพร้อมไหมสำหรับยึดข้อต่อแบบ EXPERT KNOTLESS</t>
  </si>
  <si>
    <t>ชุดกระดุมพร้อมไหมสำหรับยึดข้อต่อแบบ DUO EXPERT</t>
  </si>
  <si>
    <t>ลิ้นหัวใจเทียมชนิดมีจานแบน 2 แผ่น ปิด-เปิด</t>
  </si>
  <si>
    <t>ลิ้นหัวใจเทียมชนิดมีส่วนต่อของหลอดเลือดเทียม</t>
  </si>
  <si>
    <t>ลิ้นหัวใจเทียมชนิดเนื้อเยื่อทำจากเยื่อบุหัวใจวัว(Perimount Magna ease and Perimount Magna Mitral ease )</t>
  </si>
  <si>
    <t>ลิ้นหัวใจเทียมที่ทำจากเยื่อบุหัวใจวัวชนิดแบบบรรจุแห้ง (INSPIRIS RESILIA Aortic Valve and MITRIS Resilia Mitral Valve)</t>
  </si>
  <si>
    <t>ลิ้นหัวใจเทียมชนิดเนื้อเยื่อทำจากเยื่อบุหัวใจวัวชนิดบรรจุแบบแห้งพร้อมหลอดเลือดหัวใจเทียม</t>
  </si>
  <si>
    <t>ขอบลิ้นหัวใจเทียม (Physio Annuloplasty Ring Mitral and Cosgrove Annuloplasty System and MC3 Tricuspid Annuloplasty Ring)</t>
  </si>
  <si>
    <t>แผ่นเนื้อเยื่อทำจากเยื่อหุ้มหัวใจวัว</t>
  </si>
  <si>
    <t>กาวสำหรับศัลยกรรมในการเชื่อมต่อและปิดรอยรั่วของหลอดเลือด ขนาด ๒ มิลลิลิตร</t>
  </si>
  <si>
    <t>กาวสำหรับศัลยกรรมในการเชื่อม ต่อและปิดรอยรั่วของหลอดเลือด ขนาด ๔ มิลลิลิตร</t>
  </si>
  <si>
    <t>ลิ้นหัวใจเทียมชนิดเนื้อเยื่อทำจากเยื่อบุหัวใจวัว</t>
  </si>
  <si>
    <t>ลิ้นหัวใจเทียมชนิดจานแบน ๒ แผ่น ปิด-เปิด</t>
  </si>
  <si>
    <t>ขอบลิ้นหัวใจเทียม</t>
  </si>
  <si>
    <t>ข้อเข่าชนิดส่วนรับน้ำหนักไม่สามารถเคลื่อนไหวได้ชนิดออกแบบสำหรับงอเข่าองศาสูงและชนิดออกแบบสำหรับสรีระที่มีขนาดกระดูกแคบ สำหรับใช้ร่วมกับหุ่นยนต์ผ่าตัด</t>
  </si>
  <si>
    <t>ข้อเข่าเทียมชนิดส่วนรับน้ำหนักไม่สามารถเคลื่อนไหวได้ชนิดหน้าแข้งส่วนบนแบบกายวิภาคเฉพาะบุคคลสำหรับใช้ร่วมกับหุ่นยนต์ผ่าตัด</t>
  </si>
  <si>
    <t>อุปกรณ์ชนิดใช้ครั้งเดียวสำหรับใช้ร่วมกับหุ่นยนต์ผ่าตัดข้อเข่า</t>
  </si>
  <si>
    <t>ข้อเข่าเทียมแบบที่ส่วนรับน้ำหนักเคลื่อนไหวไม่ได้เลียนแบบกายวิภาคของกระดูกจริง ชนิดใช้สารยึดกระดูก</t>
  </si>
  <si>
    <t>ข้อเข่าเทียมแบบที่ส่วนรับน้ำหนักเคลื่อนไหวไม่ได้ชนิดใช้สารยึดกระดูก แบบเลียนแบบกายวิภาคของข้อเข่าและไม่เก็บเอ็นไขว้หลัง</t>
  </si>
  <si>
    <t>อุปกรณ์ชนิดใช้ครั้งเดียวสำหรับใช้ร่วมกับหุ่นยนต์ผ่าตัดข้อเข่า (ลำดับ 2)</t>
  </si>
  <si>
    <t>ข้อสะโพกเทียมชนิดไม่มีเบ้าแบบไบโพล่าร์ ชนิดไม่ใช้สารยึดกระดูก</t>
  </si>
  <si>
    <t>สกรูยึดเอ็นข้อเข่า</t>
  </si>
  <si>
    <t>กระดุมยึดเอ็นข้อเข่าXO Button</t>
  </si>
  <si>
    <t>อุปกรณ์เย็บซ่อมหมองรองกระดูกข้อเข่า</t>
  </si>
  <si>
    <t>ใบมีดตัดเนื้อเยื่อในข้อ</t>
  </si>
  <si>
    <t>สายนำสารละลายเข้าสู่ข้อ</t>
  </si>
  <si>
    <t>วัสดุลิ้นเปลืองในการผ่าตัดด้วยกล้องส่องตรวจ</t>
  </si>
  <si>
    <t>ไหมชนิดความแข็งแรงสูงพร้อมเข็ม</t>
  </si>
  <si>
    <t>หัวจี้ใต้น้ำ</t>
  </si>
  <si>
    <t>กระดุมยึดเอ็นข้อเข่าแบบปรับความยาวของห่วงเชือกได้</t>
  </si>
  <si>
    <t>กระดุมยึดเอ็นข้อเข่าTibia Button</t>
  </si>
  <si>
    <t>สมอยึดกระดูกเข้ากับเนื้อเยื่อ Mini Revo 2.7, Super Revo 5.0</t>
  </si>
  <si>
    <t>สมอยึดกระดูกเข้ากับเนื้อเยื่อ PressFT 2.6</t>
  </si>
  <si>
    <t>สมอยึดกระดูกเข้ากับเนื้อเยื่อ CrossFTBC - Suture Anchor</t>
  </si>
  <si>
    <t>สมอยึดกระดูกเข้ากับเนื้อเยื่อCrossFT - Suture Anchor</t>
  </si>
  <si>
    <t>สมอยึดกระดูกเข้ากับเนื้อเยื่อแถวที่สอง</t>
  </si>
  <si>
    <t>เข็มเย็บเนื้อเยื่อข้อไหล่</t>
  </si>
  <si>
    <t>วัสดุลิ้นเปลืองสำหรับใช้ร่วมกับอุปกรณ์จัดท่าในการผ่าตัดหัวไหล่กับข้อเข่า</t>
  </si>
  <si>
    <t>สมอยึดกระดูกเข้ากับเนื้อเยื่อ Y-knot Pro RC with Ribbons 2.8</t>
  </si>
  <si>
    <t>แผ่นโลหะดามกระดูกชนิดมีหัวพยุง ขนาด 2.5 มิลลิเมตร</t>
  </si>
  <si>
    <t>แผ่นโลหะดามกระดูกชนิดมีหัวพยุง ขนาด 2.5 มิลลิเมตร ชนิดมาตรฐาน</t>
  </si>
  <si>
    <t>สกรูชนิดมีหัวพยุง</t>
  </si>
  <si>
    <t>สกรูชนิดไม่มีหัวพยุง</t>
  </si>
  <si>
    <t>โลหะดามกระดูกสันหลังชนิด Mono Screw</t>
  </si>
  <si>
    <t>โลหะดามกระดูกสันหลังชนิด Poly Screw</t>
  </si>
  <si>
    <t>ตัวล็อคสกรู Innie (Nut)</t>
  </si>
  <si>
    <t>แท่งเหล็กทรงกลมยาว (Rod) ขนาด 50-80 มิลลิเมตร</t>
  </si>
  <si>
    <t>แท่งเหล็กทรงกลมยาว (Rod) ขนาด 90-120 มิลลิเมตร</t>
  </si>
  <si>
    <t>แท่งเหล็กทรงกลมยาว (Rod) ขนาด 130-250 มิลลิเมตร</t>
  </si>
  <si>
    <t>ตัวเชื่อมระหว่างแท่งเหล็กทรงกลมเพื่อเพิ่มความแข็งแรง (Transverse connector)</t>
  </si>
  <si>
    <t>หมอนรองกระดูกสันหลังส่วนเอว (PEEK)</t>
  </si>
  <si>
    <t>สารทดแทนกระดูกเพื่อการสร้างกระดูก (Bone graft Bonalive)</t>
  </si>
  <si>
    <t>MIS POLY screw</t>
  </si>
  <si>
    <t>MIS NUT</t>
  </si>
  <si>
    <t>ROD 1 ระดับ</t>
  </si>
  <si>
    <t>ROD ๒ ระดับ</t>
  </si>
  <si>
    <t>ROD ๓ ระดับ</t>
  </si>
  <si>
    <t>ROD ๔ ระดับ</t>
  </si>
  <si>
    <t>ROD ๕ ระดับ</t>
  </si>
  <si>
    <t>ROD ๖ ระดับ</t>
  </si>
  <si>
    <t>ROD ๗ ระดับ</t>
  </si>
  <si>
    <t>Banana Lumbar Cage</t>
  </si>
  <si>
    <t>Cervical plate 4 hole</t>
  </si>
  <si>
    <t>Cervical plate ๖ hole</t>
  </si>
  <si>
    <t>Cervical plate ๘ hole</t>
  </si>
  <si>
    <t>Cervical plate ๑๐ hole</t>
  </si>
  <si>
    <t>Cervical screw</t>
  </si>
  <si>
    <t>Cervical Peek</t>
  </si>
  <si>
    <t>Anterior Cervical Interbody Fusion Cage</t>
  </si>
  <si>
    <t>Polyaxial Pedicle Screw (OCT)</t>
  </si>
  <si>
    <t>nut</t>
  </si>
  <si>
    <t>Titanium Rod (OCT) 3.5 mm</t>
  </si>
  <si>
    <t>Occiput plate 31,37 mm</t>
  </si>
  <si>
    <t>Pre bend rod</t>
  </si>
  <si>
    <t>OC Lateral Washer</t>
  </si>
  <si>
    <t>Thread Press screw</t>
  </si>
  <si>
    <t>Occiput bone screw</t>
  </si>
  <si>
    <t>Dual-Diameter Rod</t>
  </si>
  <si>
    <t>ชุดสายน้ำ</t>
  </si>
  <si>
    <t>Monoaxial Screw</t>
  </si>
  <si>
    <t>Polyaxial Screw</t>
  </si>
  <si>
    <t>Reduction Axial Screw</t>
  </si>
  <si>
    <t>ตัวล็อกแท่งโลหะยึดกระดูก (Set Screw)</t>
  </si>
  <si>
    <t>แท่งโลหะยึดกระดูก (Rod) ขนาด 30 มิลลิเมตร- 140 มิลลิเมตร</t>
  </si>
  <si>
    <t>แท่งโลหะยึดกระดูก (Rod) ขนาด 150 มิลลิเมตร-400 มิลลิเมตร</t>
  </si>
  <si>
    <t>ตัวล็อกแท่งโลหะยึดกระดูกส่วนขวาง (Cross link)</t>
  </si>
  <si>
    <t>ชุดวัสดุชีวภาพใส่ระหว่างกระดูก (Lumba PEEK)</t>
  </si>
  <si>
    <t>แผ่นโลหะเชื่อมกระดูกสันหลังส่วนคอ 1 ระดับ</t>
  </si>
  <si>
    <t>แผ่นโลหะเชื่อมกระดูกสันหลังส่วนคอ 2 ระดับ</t>
  </si>
  <si>
    <t>แผ่นโลหะเชื่อมกระดูกสันหลังส่วนคอ 3 ระดับ</t>
  </si>
  <si>
    <t>แผ่นโลหะเชื่อมกระดูกสันหลังส่วนคอ 4 ระดับ</t>
  </si>
  <si>
    <t>สกรูยึดแผ่นโลหะ (Screw)</t>
  </si>
  <si>
    <t>ชุดวัสดุชีวภาพใส่ระหว่างกระดูก (Cervical Peek)</t>
  </si>
  <si>
    <t>สกรูยึดกระดูกสันหลัง (Pedicle Screw)</t>
  </si>
  <si>
    <t>ตัวล็อกสกรู (Set Screw)</t>
  </si>
  <si>
    <t>แผ่นโลหะดามกะโหลกด้านหลังส่วนคอ</t>
  </si>
  <si>
    <t>สกรูยึดแผ่นโลหะดามกะโหลกด้านหลังส่วนคอ</t>
  </si>
  <si>
    <t>ตัวต่อระหว่างแท่งโลหะดามกระดูกสันหลัง (Connector Rod)</t>
  </si>
  <si>
    <t>ชุดไหมเย็บหัวไทเทเนี่ยม</t>
  </si>
  <si>
    <t>ชุดไหมเย็บหัวคาร์บอนไฟเบอร์</t>
  </si>
  <si>
    <t>ชุดไหมเย็บหัวสว่านไทเทเนี่ยม</t>
  </si>
  <si>
    <t>ชุดไหมเย็บดึงแน่น</t>
  </si>
  <si>
    <t>โลหะดามกระดูกและใส่ในโพรงกระดูก ชนิดแยกชิ้น (PFNA) รวมสกรู</t>
  </si>
  <si>
    <t>โลหะดามกระดูกและใส่ในโพรงกระดูก ชนิดแยกชิ้น (Tibial Interlocking Nail (ETN)) รวมสกรู</t>
  </si>
  <si>
    <t>โลหะดามกระดูกและใส่ในโพรงกระดูก ชนิดแยกชิ้น (Femer Interlocking Nail (EFN)) รวมสกรู</t>
  </si>
  <si>
    <t>โลหะดามกระดูกและใส่ในโพรงกระดูก ชนิดแยกชิ้น (Femoral Recon locking Nail (EFN)) รวมสกรู</t>
  </si>
  <si>
    <t>แผ่นโลหะดามกระดูก ชนิดมีหัวสกรูพยุง (Locking Plate)</t>
  </si>
  <si>
    <t>สกรูยึดแผ่นโลหะชนิดหัวล็อก (Locking Screw)</t>
  </si>
  <si>
    <t>สกรูยึดแผ่นโลหะชนิดหัวสอด แบบไม่มีหัวเกลียว (Cortex Screw)</t>
  </si>
  <si>
    <t>แผ่นโลหะดามกระดูกหน้าแข้ง ส่วนปลายด้านนอก ชนิดมีหัวสกรูพยุง</t>
  </si>
  <si>
    <t>แผ่นโลหะดามกระดูกหน้าแข้ง ส่วนปลายด้านใน ชนิดมีหัวสกรูพยุง</t>
  </si>
  <si>
    <t>แผ่นโลหะดามกระดูกน่องส่วนปลายด้านนอก ชนิดมีหัวสกรูพยุง</t>
  </si>
  <si>
    <t>แผ่นโลหะดามกระดูกหน้าแข้ง ส่วนบนด้านใน ๓.๕ มม. แบบตัวที ชนิดมีหัวสกรูพยุง</t>
  </si>
  <si>
    <t>แผ่นโลหะดามกระดูกหน้าแข้ง ส่วนบนด้านนอก ๓.๕ มม. แบบตัวแอล ชนิดมีหัวสกรูพยุง</t>
  </si>
  <si>
    <t>แผ่นโลหะดามกระดูกหน้าแข้ง ส่วนบนด้านหลัง ชนิดมีหัวสกรูพยุง</t>
  </si>
  <si>
    <t>แผ่นโลหะดามกระดูกส่วนต้นแขนส่วนบน ชนิดมีหัวสกรูพยุง</t>
  </si>
  <si>
    <t>แผ่นโลหะดามกระดูกไหปลาร้าส่วนกลางด้านบนชนิดมีหัวสกรูพยุง</t>
  </si>
  <si>
    <t>แผ่นโลหะดามกระดูกไหปลาร้าส่วนปลายด้านนอกชนิดมีหัวสกรูพยุง</t>
  </si>
  <si>
    <t>แผ่นโลหะดามกระดูกเรเดียสส่วนปลาย ชนิดมีหัวสกรูพยุง</t>
  </si>
  <si>
    <t>สกรูยึดแผ่นโลหะดามกระดูกชนิดหัวมีเกลียวล็อค ๓.๕ มม.</t>
  </si>
  <si>
    <t>สกรูยึดแผ่นโลหะดามกระดูกชนิดหัวมีเกลียวล็อค ๒.๗ มม.</t>
  </si>
  <si>
    <t>สกรูยึดแผ่นโลหะดามกระดูกแบบ Cortical Screw ๓.๕ มม.</t>
  </si>
  <si>
    <t>สกรูยึดแผ่นโลหะดามกระดูกชนิดหัวมีเกลียวล็อค แบบเปลี่ยนแปลงมุมได้ ๒.๔ มม.</t>
  </si>
  <si>
    <t>สกรูยึดแผ่นโลหะดามกระดูกชนิดหัวมีเกลียวล็อค ๒.๔ มม.</t>
  </si>
  <si>
    <t>สกรูยึดแผ่นโลหะดามกระดูกแบบ Cortical Screw ๒.๔ มม.</t>
  </si>
  <si>
    <t>แผ่นโลหะดามกระดูกขนาด 1.2/1.5 มม. ชนิด HOOK PLATE</t>
  </si>
  <si>
    <t>แผ่นโลหะดามกระดูกขนาด 1.5 มม. ชนิด MINI PLATE</t>
  </si>
  <si>
    <t>สกรูชนิดหัวล็อก ขนาด 1.5 มม.</t>
  </si>
  <si>
    <t>สกรูชนิดหัวไม่ล็อก ขนาด 1.5 มม.</t>
  </si>
  <si>
    <t>แผ่นโลหะดามกระดูกขนาด 2.0 มม. ชนิด MINI PLATE</t>
  </si>
  <si>
    <t>แผ่นโลหะดามกระดูกขนาด 2.0 มม. ชนิด RADIAL HEAD PLATE</t>
  </si>
  <si>
    <t>แผ่นโลหะดามกระดูกขนาด 2.0 มม. ชนิด CORONOID PLATE</t>
  </si>
  <si>
    <t>สกรูชนิดหัวล็อก ขนาด 2.0 มม.</t>
  </si>
  <si>
    <t>สกรูชนิดหัวไม่ล็อก ขนาด 2.0 มม.</t>
  </si>
  <si>
    <t>แผ่นโลหะดามกระดูกขนาด 2.5 มม. ชนิด DISTAL RADIUS PLATE</t>
  </si>
  <si>
    <t>แผ่นโลหะดามกระดูกขนาด 2.5 มม. ชนิด DISTAL RADIUS XL PLATE</t>
  </si>
  <si>
    <t>แผ่นโลหะดามกระดูกขนาด 2.5 มม. ชนิด DISTAL ULNA PLATE</t>
  </si>
  <si>
    <t>สกรูชนิดหัวล็อก ขนาด 2.5 มม.</t>
  </si>
  <si>
    <t>สกรูชนิดหัวไม่ล็อก ขนาด 2.5 มม.</t>
  </si>
  <si>
    <t>แผ่นโลหะดามกระดูกขนาด 2.8 มม. ชนิด OLECRANON PLATE</t>
  </si>
  <si>
    <t>แผ่นโลหะดามกระดูกขนาด 2.8 มม. ชนิด DISTAL HUMERUS PLATE</t>
  </si>
  <si>
    <t>แผ่นโลหะดามกระดูกขนาด 2.8 มม. ชนิด RADIUS/ ULNA SHAFT PLATE</t>
  </si>
  <si>
    <t>แผ่นโลหะดามกระดูกขนาด 2.8 มม. ชนิด LATERAL CLAVICLE PLATE</t>
  </si>
  <si>
    <t>แผ่นโลหะดามกระดูกขนาด 2.8 มม. ชนิด CLAVICLE PLATE</t>
  </si>
  <si>
    <t>แผ่นโลหะดามกระดูกขนาด 2.8 มม. ชนิด DISTAL FIBULA PLATE</t>
  </si>
  <si>
    <t>แผ่นโลหะดามกระดูกขนาด 2.8/3.5 มม. ชนิด DISTAL FIBULA / DISTAL TIBIA PLATE</t>
  </si>
  <si>
    <t>แผ่นโลหะดามกระดูกขนาด 3.5 มม. ชนิด DISTAL TIBIA T/L PLATE</t>
  </si>
  <si>
    <t>สกรูชนิดหัวล็อก ขนาด 2.8 มม.</t>
  </si>
  <si>
    <t>สกรูชนิดหัวไม่ล็อก ขนาด 2.8 มม.</t>
  </si>
  <si>
    <t>สกรูชนิดหัวล็อก ขนาด 3.5 มม.</t>
  </si>
  <si>
    <t>สกรูชนิดหัวไม่ล็อก ขนาด 3.5 มม.</t>
  </si>
  <si>
    <t>สกรูชนิดมีรูสอดแกนนำทางชนิด ขนาด 4.0 มม.</t>
  </si>
  <si>
    <t>สกรูชนิดมีรูสอดแกนนำทางชนิด ขนาด 5.0 มม.</t>
  </si>
  <si>
    <t>สกรูชนิดมีรูสอดแกนนำทางชนิด ขนาด 7.0 มม.</t>
  </si>
  <si>
    <t>แผ่นโลหะดามกระดูกขนาด 1.2 มม. ชนิด MINI PLATE</t>
  </si>
  <si>
    <t>แผ่นโลหะดามกระดูกขนาด 1.6 มม. ชนิด MINI PLATE</t>
  </si>
  <si>
    <t>แผ่นโลหะดามกระดูกขนาด 2.7/ 3.5 มม. ชนิด 1-3 TUBULAR LOCKING PLATE</t>
  </si>
  <si>
    <t>แผ่นโลหะดามกระดูกขนาด 2.7/3.5 มม. ชนิด DISTAL FIBULA PLATE</t>
  </si>
  <si>
    <t>แผ่นโลหะดามกระดูกขนาด 2.7/3.5 มม. ชนิด ANTERIOR DISTAL TIBIA PLATE</t>
  </si>
  <si>
    <t>แผ่นโลหะดามกระดูกขนาด 2.7/3.5 มม. ชนิด DISTAL TIBIA PLATE</t>
  </si>
  <si>
    <t>แผ่นโลหะดามกระดูกขนาด 2.7/3.5 มม. ชนิด UNIVERSAL HOOK PLATE</t>
  </si>
  <si>
    <t>แผ่นโลหะดามกระดูกขนาด 2.7/3.5 มม. ชนิด FOOT PLATE</t>
  </si>
  <si>
    <t>สกรูชนิดหัวไม่ล็อก ขนาด 1.2 มม.</t>
  </si>
  <si>
    <t>สกรูชนิดหัวล็อก ขนาด 1.6 มม.</t>
  </si>
  <si>
    <t>สกรูชนิดหัวไม่ล็อก ขนาด 1.6 มม.</t>
  </si>
  <si>
    <t>สกรูชนิดหัวล็อก ขนาด 2.7 มม.</t>
  </si>
  <si>
    <t>สกรูชนิดหัวไม่ล็อก ขนาด 2.7 มม.</t>
  </si>
  <si>
    <t>สกรูชนิดหัวล็อก ขนาด 3.5 มม. (ลำดับ 2)</t>
  </si>
  <si>
    <t>สกรูชนิดหัวไม่ล็อก ขนาด 3.5 มม. (ลำดับ 2)</t>
  </si>
  <si>
    <t>สกรูชนิดมีรูสอดแกนนำทางชนิด ขนาด 2.0 มม.</t>
  </si>
  <si>
    <t>สกรูชนิดมีรูสอดแกนนำทางชนิด ขนาด 2.4 มม.</t>
  </si>
  <si>
    <t>สกรูชนิดมีรูสอดแกนนำทางชนิด ขนาด 3.0 มม.</t>
  </si>
  <si>
    <t>สกรูชนิดมีรูสอดแกนนำทางชนิด ขนาด 4.0 มม. (ลำดับ 2)</t>
  </si>
  <si>
    <t>แผ่นโลหะดามกระดูกขนาด 2.7/ 3.5 มม. ชนิด FIBULA PLATE</t>
  </si>
  <si>
    <t>แผ่นโลหะดามกระดูกขนาด 2.7/ 3.5 มม. ชนิด DISTAL TIBIA PLATE</t>
  </si>
  <si>
    <t>แผ่นโลหะดามกระดูกขนาด 2.7 มม. ชนิด MEDIAL DISTAL TIBIA PLATE</t>
  </si>
  <si>
    <t>แผ่นโลหะดามกระดูกขนาด 3.5 มม. ชนิด ONE-THIRD TUBULAR PLATE</t>
  </si>
  <si>
    <t>แผ่นโลหะดามกระดูกขนาด 2.7 มม. ชนิด SMALL FRAGMENT PLATE</t>
  </si>
  <si>
    <t>แผ่นโลหะดามกระดูกขนาด 3.5 มม. ชนิด CALCANEAL PLATE</t>
  </si>
  <si>
    <t>แผ่นโลหะดามกระดูกขนาด 2.7/3.5 มม. ชนิด OLECRANON PLATE</t>
  </si>
  <si>
    <t>แผ่นโลหะดามกระดูกขนาด 2.7 มม. ชนิด CORONOID PLATE</t>
  </si>
  <si>
    <t>สกรูชนิดหัวล็อก ขนาด 2.7 มม. (ลำดับ 2)</t>
  </si>
  <si>
    <t>สกรูชนิดหัวไม่ล็อก ขนาด 2.7 มม. (ลำดับ 2)</t>
  </si>
  <si>
    <t>สกรูชนิดหัวล็อก ขนาด 3.5 มม. (ลำดับ 3)</t>
  </si>
  <si>
    <t>สกรูชนิดหัวไม่ล็อก ขนาด 3.5 มม. (ลำดับ 3)</t>
  </si>
  <si>
    <t>สกรูชนิดหัวล็อก ขนาด 2.3 มม. ชนิด CORTICAL LOCKING PEG</t>
  </si>
  <si>
    <t>แผ่นโลหะดามกระดูกขนาด 2.4/ 2.7 มม. ชนิด DISTAL RADIUS/ DISTAL ULNA PLATE</t>
  </si>
  <si>
    <t>แผ่นโลหะดามกระดูกขนาด 2.4/ 2.7 มม. ชนิด RADIAL HEAD PLATE</t>
  </si>
  <si>
    <t>แผ่นโลหะดามกระดูกขนาด 3.5 มม. ชนิด DISTAL LATERAL FIBULA PLATE</t>
  </si>
  <si>
    <t>แผ่นโลหะดามกระดูกขนาด 3.5 มม. ชนิด OLECRANON PLATE</t>
  </si>
  <si>
    <t>แผ่นโลหะดามกระดูกขนาด 3.5 มม. ชนิด DISTAL HUMERUS PLATE</t>
  </si>
  <si>
    <t>แผ่นโลหะดามกระดูกขนาด 3.5 มม. ชนิด CLAVICLE PLATE</t>
  </si>
  <si>
    <t>แผ่นโลหะดามกระดูกขนาด 3.5 มม. ชนิด PROXIMAL HUMERUS PLATE</t>
  </si>
  <si>
    <t>แผ่นโลหะดามกระดูกขนาด 3.5 มม. ชนิด SCAPULA PLATE</t>
  </si>
  <si>
    <t>แผ่นโลหะดามกระดูกขนาด 3.5 มม. ชนิด PROXIMAL LATERAL TIBIA PLATE</t>
  </si>
  <si>
    <t>สกรูชนิดหัวล็อก ขนาด 2.4 มม. แบบ VARIABLE ANGLE LOCKING</t>
  </si>
  <si>
    <t>สกรูชนิดหัวล็อก ขนาด 2.4 มม.</t>
  </si>
  <si>
    <t>สกรูชนิดหัวล็อก ขนาด 2.7 มม. (ลำดับ 3)</t>
  </si>
  <si>
    <t>สกรูชนิดหัวไม่ล็อก ขนาด 2.7 มม. (ลำดับ 3)</t>
  </si>
  <si>
    <t>สกรูชนิดหัวล็อก ขนาด 3.5 มม. แบบ VARIABLE ANGLE LOCKING</t>
  </si>
  <si>
    <t>สกรูชนิดหัวล็อก ขนาด 3.5 มม. (ลำดับ 4)</t>
  </si>
  <si>
    <t>สกรูชนิดหัวไม่ล็อก ขนาด 3.5 มม. (ลำดับ 4)</t>
  </si>
  <si>
    <t>แผ่นโลหะดามกระดูกขนาด 3.5 มม. ชนิด SYMPHYSIS PUBIS PLATE</t>
  </si>
  <si>
    <t>แผ่นโลหะดามกระดูกขนาด 3.5 มม. ชนิด PELVIC RECONSTRUCTION PLATE</t>
  </si>
  <si>
    <t>แผ่นโลหะดามกระดูกขนาด 3.5 มม. ชนิด HOOKED TUBULAR PLATE</t>
  </si>
  <si>
    <t>แผ่นโลหะดามกระดูกขนาด 3.5 มม. ชนิด CURVED RECONTSTRUCTION PLATE</t>
  </si>
  <si>
    <t>แผ่นโลหะดามกระดูกขนาด 3.5 มม. ชนิด ACETABULA PLATE</t>
  </si>
  <si>
    <t>สกรูชนิดหัวล็อก ขนาด 3.5 มม. (ลำดับ 5)</t>
  </si>
  <si>
    <t>สกรูชนิดหัวไม่ล็อก ขนาด 3.5 มม. (ลำดับ 5)</t>
  </si>
  <si>
    <t>แผ่นโลหะดามกระดูกขนาด 5.0 มม. ชนิด FEMORAL NECK PLATE</t>
  </si>
  <si>
    <t>สกรูชนิดหัวล็อก ขนาด 5.0 มม. แบบ VARIABLE ANGLE LOCKING</t>
  </si>
  <si>
    <t>สมอยึดกระดูกเข้ากับเนื้อเยื่อ ขนาด 1.3/ 1.8 มม.</t>
  </si>
  <si>
    <t>สมอยึดกระดูกเข้ากับเนื้อเยื่อ ขนาด 2.0/ 2.8/ 3.5/ 5.0 มม.</t>
  </si>
  <si>
    <t>สกรูที่ไม่สามารถเคลื่อนที่ได้ (Monoaxial Screw)</t>
  </si>
  <si>
    <t>สกรูที่มีส่วนหัวที่สามารถเคลื่อนไหวได้รอบทิศทางหรือปรับมุมได้ (Polyaxial Screw)</t>
  </si>
  <si>
    <t>สกรูที่ออกแบบให้หัวสกรูมีความยาวพิเศษ (Reduction Polyaxial Screw)</t>
  </si>
  <si>
    <t>ตัวล็อคแท่งโลหะยึดกระดูก (Nut หรือ Set Screw)</t>
  </si>
  <si>
    <t>แท่งโลหะทรงกลม (Rod)</t>
  </si>
  <si>
    <t>วัสดุล็อคแท่งโลหะดามกระดูกส่วนขวาง (Crosslink)</t>
  </si>
  <si>
    <t>ตะขอเกี่ยวดามกระดูกสันหลังส่วนอกเอว (Larminar Hook)</t>
  </si>
  <si>
    <t>วัสดุต่อแท่งโลหะดามกระดูกสันหลัง (Rod Connector)</t>
  </si>
  <si>
    <t>ชุดวัสดุเชื่อมกระดูกสันหลัง ส่วนอก-เอว (PEEK)</t>
  </si>
  <si>
    <t>โลหะดามกระดูกสันหลังชนิดเปิดแผลขนาดเล็กทางด้านหลัง (Percutaneous Screw)</t>
  </si>
  <si>
    <t>ตัวล็อคแท่งโลหะยึดกระดูก ขนาด ๑๐ มิลลิเมตร (Nut หรือ Set Screw)</t>
  </si>
  <si>
    <t>แท่งโลหะทรงกลม ดัดโค้ง (Rod)</t>
  </si>
  <si>
    <t>แผ่นโลหะดามกระดูกสันหลังส่วนคอ ๑ ระดับ (Cervical Plate 1 level)</t>
  </si>
  <si>
    <t>แผ่นโลหะดามกระดูกสันหลังส่วนคอ ๒ ระดับ (Cervical Plate 2 level)</t>
  </si>
  <si>
    <t>แผ่นโลหะดามกระดูกสันหลังส่วนคอ ๓ ระดับ (Cervical Plate 3 level)</t>
  </si>
  <si>
    <t>แผ่นโลหะดามกระดูกสันหลังส่วนคอ ๔ ระดับ (Cervical Plate 4 level)</t>
  </si>
  <si>
    <t>สกรูยึดแผ่นโลหะดามกระดูกสันหลังส่วนคอ (Cervical Screw)</t>
  </si>
  <si>
    <t>ชุดวัสดุเชื่อมกระดูกสันหลังเพื่อเชื่อมกระดูกสันหลังส่วนคอ (Cervical Interbody Fusion)</t>
  </si>
  <si>
    <t>ชุดวัสดุเชื่อมกระดูกสันหลังเพื่อเชื่อมกระดูกสันหลังส่วนคอแบบมีสกรูยึด 2 ชิ้น (Stand Alone Cervical cage)</t>
  </si>
  <si>
    <t>สกรูสำหรับยึดวัสดุเชื่อมกระดูกสันหลังส่วนคอ (Stand Alone Cervical Screw)</t>
  </si>
  <si>
    <t>โลหะดามกระดูกสันหลังเพื่อทดแทนกระดูกสันหลัง (Titanium Mesh)</t>
  </si>
  <si>
    <t>สกรูสำหรับกระดูกสันหลังส่วนคอ (Cervical Polyaxial Screw)</t>
  </si>
  <si>
    <t>แท่งโลหะทรงกลมขนาด 3.5 มิลลิเมตร (Cervical Rod)</t>
  </si>
  <si>
    <t>แท่งโลหะดามกระดูกสันหลังที่มีขนาดเส้นผ่าศูนย์กลาง 2 ขนาดในแท่งเดียวกัน (Transition Rod)</t>
  </si>
  <si>
    <t>แท่งโลหะดามกระดูกสันหลังที่ดัดงอมุม (OCP Pre-Bending Rod)</t>
  </si>
  <si>
    <t>ตัวล็อคแท่งโลหะยึดกระดูก ขนาด 7.0 มิลลิเมตร (Nut หรือ Set Screw)</t>
  </si>
  <si>
    <t>ตะขอเกี่ยวดามกระดูกสันหลังส่วนคอ (Cervical Hook)</t>
  </si>
  <si>
    <t>วัสดุต่อแท่งโลหะดามกระดูกสันหลังส่วนคอ (Cervical Connector)</t>
  </si>
  <si>
    <t>แผ่นโลหะยึดกระดูกศีรษะส่วนท้ายทอย (Occipital Plate)</t>
  </si>
  <si>
    <t>สกรูยึดกระดูกศีรษะส่วนท้ายทอย (Occipital Screw)</t>
  </si>
  <si>
    <t>สารยึดกระดูกชนิดธรรมดา Opacity+ (Bone cement)</t>
  </si>
  <si>
    <t>อุปกรณ์ใช้สำหรับเจาะกระดูกสันหลัง (Percutaneous Access Device)</t>
  </si>
  <si>
    <t>สารทดแทนกระดูกเพื่อการสร้างกระดูก (HYDROXYAPATITE)</t>
  </si>
  <si>
    <t>สารเสริมสร้างและช่วยทดแทนกระดูก (Calcium phosphates)</t>
  </si>
  <si>
    <t>สารทดแทนกระดูกเพื่อการสร้างกระดูก ปริมาณ 0.5 ซีซี (Demineralized Bone Matrix 0.5 cc.)</t>
  </si>
  <si>
    <t>สารทดแทนกระดูกเพื่อการสร้างกระดูก ปริมาณ 1 ซีซี (Demineralized Bone Matrix 1 cc.)</t>
  </si>
  <si>
    <t>สารทดแทนกระดูกเพื่อการสร้างกระดูก ปริมาณ 3 ซีซี (Demineralized Bone Matrix 3 cc.)</t>
  </si>
  <si>
    <t>สารเสริมสร้างและช่วยทดแทนกระดูก เบต้า-ไตรแคลเซียมฟอสเฟต ปริมาณ 1 ซีซี (Beta T-CP 1 cc.)</t>
  </si>
  <si>
    <t>สารเสริมสร้างและช่วยทดแทนกระดูก เบต้า-ไตรแคลเซียมฟอสเฟต ปริมาณ 2 ซีซี (Beta T-CP 2 cc.)</t>
  </si>
  <si>
    <t>โลหะดามกระดูกสันหลังชนิดก้านสกรูมีหนึ่งเกลียว (Rapidfix Poly Screw)</t>
  </si>
  <si>
    <t>โลหะดามกระดูกสันหลังชนิดก้านสกรูมีหนึ่งเกลียวออกแบบให้หัวสกรูมีความยาวพิเศษ (Reduction Polyaxial Screw)</t>
  </si>
  <si>
    <t>โลหะดามกระดูกสันหลังชนิดก้านสกรูมีหนึ่งเกลียวปลายสกรูออกแบบให้มีรูปล่อยซีเมนต์ (Polyaxial cannulated Screw)</t>
  </si>
  <si>
    <t>โลหะดามกระดูกสันหลังชนิดก้านสกรูมีสองเกลียว (Polyaxial Double Threaded Screw)</t>
  </si>
  <si>
    <t>โลหะดามกระดูกสันหลังชนิดก้านสกรูมีสองเกลียวออกแบบให้หัวสกรูมีความยาวพิเศษ (Reduction Polyaxial Double Threaded Screw)</t>
  </si>
  <si>
    <t>โลหะดามกระดูกสันหลังชนิดก้านสกรูมีสองเกลียวออกแบบให้ปลายสกรูมีรูปล่อยซีเมนต์ (Polyaxial cannulated Double Threaded Screw)</t>
  </si>
  <si>
    <t>ตัวล็อคแท่งโลหะยึดกระดูกสำหรับโลหะดามกระดูกสันหลังชนิดก้านสกรูมีสองเกลียว (Nut หรือ Set Screw)</t>
  </si>
  <si>
    <t>แท่งโลหะทรงกลมสำหรับโลหะดามกระดูกสันหลังชนิดก้านสกรูมีสองเกลียว (Rod)</t>
  </si>
  <si>
    <t>วัสดุล็อคแท่งโลหะดามกระดูกส่วนขวางสำหรับโลหะดามกระดูกสันหลังชนิดก้านสกรูมีสองเกลียว (Crosslink)</t>
  </si>
  <si>
    <t>ชุดวัสดุเชื่อมกระดูกสันหลัง ส่วนอก-เอวชนิด ไทเทเนียม (Ti-Cage)</t>
  </si>
  <si>
    <t>ท่อนำซีเมนต์ (Cemented Injection)</t>
  </si>
  <si>
    <t>แผ่นโลหะดามกระดูกต้นแขนส่วนต้น ชนิดมีหัวสกรูพยุง (Proximal Humerus LCP)</t>
  </si>
  <si>
    <t>แผ่นโลหะดามกระดูกต้นแขนส่วนปลายด้านใน ชนิดมีหัวสกรูพยุง (Distal Humerus medial LCP)</t>
  </si>
  <si>
    <t>แผ่นโลหะดามกระดูกต้นแขนส่วนปลายด้านนอก ชนิดมีหัวสกรูพยุง (Distal Humerus Lateral LCP)</t>
  </si>
  <si>
    <t>แผ่นโลหะดามกระดูกปลายแขนส่วนต้น ชนิดมีหัวสกรูพยุง (Radial Head LCP)</t>
  </si>
  <si>
    <t>แผ่นโลหะดามกระดูกข้อมือ ชนิดมีหัวสกรูพยุง (Distal Radius LCP)</t>
  </si>
  <si>
    <t>แผ่นโลหะดามกระดูกข้อมือแบบตัวที ชนิดมีหัวสกรูพยุง (Distal Radius small T LCP)</t>
  </si>
  <si>
    <t>แผ่นโลหะดามกระดูกไหปลาร้าแบบมีขอเกี่ยว ชนิดมีหัวสกรูพยุง (Clavicle Hook LCP)</t>
  </si>
  <si>
    <t>แผ่นโลหะดามกระดูกไหปลาร้าแบบเอส ชนิดมีหัวสกรูพยุง (S Clavicle LCP)</t>
  </si>
  <si>
    <t>แผ่นโลหะดามกระดูกไหปลาร้าส่วนปลาย ชนิดมีหัวสกรูพยุง (Distal Clavicle LCP)</t>
  </si>
  <si>
    <t>แผ่นโลหะดามกระดูกปลายแขนส่วนต้น ชนิดมีหัวสกรูพยุง (Olecranon LCP)</t>
  </si>
  <si>
    <t>แผ่นโลหะดามกระดูกต้นขาส่วนต้น ชนิดมีหัวสกรูพยุง (Proximal femur LCP)</t>
  </si>
  <si>
    <t>แผ่นโลหะดามกระดูกต้นขาส่วนปลาย ชนิดมีหัวสกรูพยุง (Distal femur LCP)</t>
  </si>
  <si>
    <t>แผ่นโลหะดามกระดูกขาชิ้นนอกส่วนปลาย ชนิดมีหัวสกรูพยุง (Distal Fibula LCP)</t>
  </si>
  <si>
    <t>แผ่นโลหะดามกระดูกหน้าแข้งส่วนปลายด้านนอก ชนิดมีหัวสกรูพยุง (Distal tibia lateral LCP)</t>
  </si>
  <si>
    <t>แผ่นโลหะดามกระดูกหน้าแข้งส่วนปลายด้านใน ชนิดมีหัวสกรูพยุง (Distal tibia medial LCP)</t>
  </si>
  <si>
    <t>แผ่นโลหะดามกระดูกหน้าแข้งส่วนต้นด้านใน ชนิดมีหัวสกรูพยุง (Proximal tibia medial LCP)</t>
  </si>
  <si>
    <t>แผ่นโลหะดามกระดูกหน้าแข้งส่วนต้นด้านนอก ชนิดมีหัวสกรูพยุง (Proximal tibia Lateral LCP ๓.๕)</t>
  </si>
  <si>
    <t>แผ่นโลหะดามกระดูกหน้าแข้งส่วนต้นด้านนอก ชนิดมีหัวสกรูพยุง (Proximal tibia Lateral LCP ๕.๐)</t>
  </si>
  <si>
    <t>แผ่นโลหะดามกระดูกขนาดเล็ก ชนิดมีหัวสกรูพยุง (Small LCP)</t>
  </si>
  <si>
    <t>แผ่นโลหะดามกระดูกชนิดแคบ ชนิดมีหัวสกรูพยุง (Narrow LCP)</t>
  </si>
  <si>
    <t>แผ่นโลหะดามกระดูกขนาดใหญ่ ชนิดมีหัวสกรูพยุง (Broad LCP)</t>
  </si>
  <si>
    <t>แผ่นโลหะดามกระดูกขนาดใหญ่ ชนิดมีหัวสกรูพยุง (Broad Curve LCP)</t>
  </si>
  <si>
    <t>แผ่นโลหะดามกระดูกส้นเท้า ชนิดมีหัวพยุง (Calcaneus LCP)</t>
  </si>
  <si>
    <t>แผ่นโลหะดามกระดูกสะบ้าหัวเข่า (Patella LCP)</t>
  </si>
  <si>
    <t>แผ่นโลหะดามกระดูก (Posteromedial Proximal Tibia)</t>
  </si>
  <si>
    <t>แผ่นโลหะดามกระดูกชนิดดัดได้ แบบตรงขนาด 3.5 มิลลิเมตร ชนิดมีหัวสกรูพยุง Reconstruction Locking Plate</t>
  </si>
  <si>
    <t>แผ่นโลหะดามกระดูกปลายแขน แบบ extra-articular ชนิดมีหัวสกรูพยุง (distal humerus extra-articular LCP)</t>
  </si>
  <si>
    <t>แผ่นโลหะดามกระดูกเชิงกราน แบบโค้งขนาด ๓.๕ มิลลิเมตร ชนิดมีหัวสกรูพยุง (Pelvic Reconstruction LCP)</t>
  </si>
  <si>
    <t>สกรูยึดแผ่นโลหะดามกระดูกชนิดมีเกลียวล๊อค ขนาด ๒.๕ มิลลิเมตร (Locking Screw ๒.๕ mm)</t>
  </si>
  <si>
    <t>สกรูยึดแผ่นโลหะดามกระดูกชนิดมีเกลียวล๊อค ขนาด ๒.๗ มิลลิเมตร (Locking Screw ๒.๗ mm)</t>
  </si>
  <si>
    <t>สกรูยึดแผ่นโลหะดามกระดูกชนิดมีเกลียวล๊อค ขนาด ๓.๕ มิลลิเมตร (Locking Screw ๓.๕ mm)</t>
  </si>
  <si>
    <t>สกรูยึดแผ่นโลหะดามกระดูกชนิดมีเกลียวล๊อค ขนาด ๕.๐ มิลลิเมตร (Locking Screw ๕.๐ mm)</t>
  </si>
  <si>
    <t>สกรูยึดแผ่นโลหะดามกระดูกชนิดไม่มีเกลียวล๊อค ขนาด ๒.๕ มิลลิเมตร (Cortex Screw ๒.๕ mm)</t>
  </si>
  <si>
    <t>สกรูยึดแผ่นโลหะดามกระดูกชนิดไม่มีเกลียวล๊อค ขนาด ๒.๗ มิลลิเมตร (Cortex Screw ๒.๗ mm)</t>
  </si>
  <si>
    <t>สกรูยึดแผ่นโลหะดามกระดูกชนิดไม่มีเกลียวล๊อค ขนาด ๓.๕ มิลลิเมตร (Cortex Screw ๓.๕ mm)</t>
  </si>
  <si>
    <t>สกรูยึดแผ่นโลหะดามกระดูกชนิดไม่มีเกลียวล๊อค ขนาด ๔.๕ มิลลิเมตร (Cortex Screw ๔.๕ mm)</t>
  </si>
  <si>
    <t>โลหะดามกระดูกและใส่ในโพรงกระดูกชนิดแยกชิ้นรวมสกรู (สั้น+ยาว) (PFNA)</t>
  </si>
  <si>
    <t>ข้อเข่าเทียมชนิดส่วนรับน้ำหนักไม่สามารถเคลื่อนไหวได้</t>
  </si>
  <si>
    <t>ชุดข้อสะโพกเทียมชนิด ๒ ชั้น แบบไม่ใช้สารยึดกระดูก (Bipolar Cementless)</t>
  </si>
  <si>
    <t>ข้อเข่าเทียมชนิดส่วนรับน้ำหนักสามารถเคลื่อนไหวได้</t>
  </si>
  <si>
    <t>ข้อเข่าเทียมส่วนทดแทนกระดูกหน้าแข้งแบบเคลื่อนไหวได้</t>
  </si>
  <si>
    <t>อุปกรณ์ข้อสะโพกเทียมชนิดใช้สารยึดกระดูก (ชนิด Corail)</t>
  </si>
  <si>
    <t>ชุดข้อเข่าเทียมชนิดใช้สารยึดกระดูกแบบส่วนรับน้ำหนักเคลื่อนไหวไม่ได้ สำหรับผู้ป่วยที่ไม่สามารถคาดการณ์ระดับความสึกได้</t>
  </si>
  <si>
    <t>ข้อสะโพกเทียมชนิดไม่ใช้สารยึดกระดูก Corail Pinnacle (COP)</t>
  </si>
  <si>
    <t>ข้อสะโพกเทียมชนิดไม่ใช้สารยึดกระดูก Actis Gription</t>
  </si>
  <si>
    <t>ชุดสมอสำหรับเย็บซ่อมหมอนรองกระดูกเข่า</t>
  </si>
  <si>
    <t>แผ่นโลหะสำหรับยึดกะโหลกศีรษะชนิดตรง ๒ รู</t>
  </si>
  <si>
    <t>แผ่นโลหะสำหรับยึดกะโหลกศีรษะชนิดตรง ๖ รู</t>
  </si>
  <si>
    <t>แผ่นโลหะสำหรับยึดกะโหลกศีรษะชนิดกลม</t>
  </si>
  <si>
    <t>สกรูสำหรับยึดใบหน้าและกะโหลกศีรษะ</t>
  </si>
  <si>
    <t>ชุดท่อต่อจากโพรงสมองออกสู่ภายนอกเพื่อตรวจวัดระดับน้าหล่อสมองและไขสันหลัง</t>
  </si>
  <si>
    <t>เยื่อหุ้มสมองเทียม แบบแปะบาง ขนาด 2.5 เซนติเมตร x 2.5 เซนติเมตร</t>
  </si>
  <si>
    <t>เยื่อหุ้มสมองเทียม แบบแปะบาง ขนาด 2.5 เซนติเมตร x 7.5 เซนติเมตร</t>
  </si>
  <si>
    <t>เยื่อหุ้มสมองเทียม แบบแปะบาง ขนาด 5 เซนติเมตร x 5 เซนติเมตร</t>
  </si>
  <si>
    <t>เยื่อหุ้มสมองเทียม แบบแปะหนา ขนาด 2.5 เซนติเมตร x 2.5 เซนติเมตร</t>
  </si>
  <si>
    <t>เยื่อหุ้มสมองเทียม แบบแปะหนา ขนาด 2.5 เซนติเมตร x 7.5 เซนติเมตร</t>
  </si>
  <si>
    <t>เยื่อหุ้มสมองเทียม แบบแปะหนา ขนาด 5 เซนติเมตร x 5 เซนติเมตร</t>
  </si>
  <si>
    <t>เยื่อหุ้มสมองเทียม แบบเย็บ ขนาด 2.5 เซนติเมตร x 2.5 เซนติเมตร</t>
  </si>
  <si>
    <t>เยื่อหุ้มสมองเทียม แบบเย็บ ขนาด 2.5 เซนติเมตร x 7.5 เซนติเมตร</t>
  </si>
  <si>
    <t>เยื่อหุ้มสมองเทียม แบบเย็บ ขนาด 5 เซนติเมตร x 5 เซนติเมตร</t>
  </si>
  <si>
    <t>หลอดเลือดเทียมสำหรับการผ่าตัดหลอดเลือดส่วนปลาย</t>
  </si>
  <si>
    <t>ชุดปอดเทียม ชนิด Integrated arterial filter</t>
  </si>
  <si>
    <t>หลอดเลือดเทียมแบบเส้นตรง</t>
  </si>
  <si>
    <t>หลอดเลือดเทียมแบบเส้นแยก 2 ทาง</t>
  </si>
  <si>
    <t>หลอดเลือดเทียมแบบมีแขนง 1 ทาง</t>
  </si>
  <si>
    <t>หลอดเลือดเทียมแบบมีแขนง 4 ทาง</t>
  </si>
  <si>
    <t>สายสวนเพื่อการขยายหลอดเลือดแดงใหญ่เอออร์ต้าด้วยขดลวดหุ้มกราฟท์ ที่ใช้ในเส้นเลือดแดงใหญ่ช่องอก</t>
  </si>
  <si>
    <t>สายสวนเพื่อการขยายหลอดเลือดแดงใหญ่เอออร์ต้าด้วยขดลวดหุ้มกราฟท์ ที่ใช้ในเส้นเลือดแดงใหญ่ช่องท้อง</t>
  </si>
  <si>
    <t>สายสวนเพื่อการขยายหลอดเลือดแดงส่วนปลายด้วยขดลวดหุ้มกราฟท์ ที่ใช้ในช่องท้อง</t>
  </si>
  <si>
    <t>ชุดสายยางประกอบระบบการไหลเวียนโลหิตภายนอกร่างกาย สำหรับผู้ใหญ่</t>
  </si>
  <si>
    <t>ชุดสายยางประกอบการให้น้ำยารักษาสภาพกล้ามเนื้อหัวใจ แบบควบคุมอุณหภูมิ</t>
  </si>
  <si>
    <t>สกรูขนาด 3.5 มิลลิเมตร เจาะยึดกระดูกใช้ร่วมกับเพลด ชนิดเป็นเกลียวในตัว ความยาวของสกรู 10-95 มิลลิเมตร</t>
  </si>
  <si>
    <t>สกรูขนาด 4.5 มิลลิเมตร เจาะยึดกระดูกใช้ร่วมกับเพลด ชนิดเป็นเกลียวในตัว ความยาวของสกรู 14-80 มิลลิเมตร</t>
  </si>
  <si>
    <t>แหวนรองสกรู ขนาดเส้นผ่านศูนย์กลางภายนอก 7 มิลลิเมตร และภายใน 4 มิลลิเมตร</t>
  </si>
  <si>
    <t>แหวนรองสกรู ขนาดเส้นผ่านศูนย์กลางภายนอก 13 มิลลิเมตร และภายใน 6.8 มิลลิเมตร</t>
  </si>
  <si>
    <t>แผ่นโลหะดามกระดูก ชนิดดัดได้ตามรูปทรงที่ต้องการ มีขนาด 3-22 รู</t>
  </si>
  <si>
    <t>แผ่นโลหะดามกระดูกรูปตัวที ขนาด 3x3, 5x3, 4x4 และ 6x4 รู</t>
  </si>
  <si>
    <t>แผ่นโลหะดามกระดูกรูปตัวที ส่วนหัวตัวทีเอียงเล็กน้อย ขนาด 3x3, 4x3 และ 5x3 รู</t>
  </si>
  <si>
    <t>สกรู Cancellous 4.0 มิลลิเมตร เจาะยึดกระดูกใช้ร่วมกับเพลด ชนิดเกลียวเต็ม ความยาวของสกรู 10-80 มิลลิเมตร</t>
  </si>
  <si>
    <t>สกรู Cancellous 4.0 มิลลิเมตร เจาะยึดกระดูกใช้ร่วมกับเพลด ชนิดเกลียวสั้น ความยาวของสกรู 10-80 มิลลิเมตร</t>
  </si>
  <si>
    <t>สกรู Cancellous 6.5 มิลลิเมตร เจาะยึดกระดูกใช้ร่วมกับเพลด ชนิดเกลียวยาว 16 มิลลิเมตร ความยาวของสกรู 30-110 มิลลิเมตร</t>
  </si>
  <si>
    <t>สกรู Cancellous 6.5 มิลลิเมตร เจาะยึดกระดูกใช้ร่วมกับเพลด ชนิดเกลียวยาว 32 มิลลิเมตร ความยาวของสกรู 45-110 มิลลิเมตร</t>
  </si>
  <si>
    <t>สกรู Cancellous 6.5 มิลลิเมตร เจาะยึดกระดูกใช้ร่วมกับเพลด ชนิดเกลียวเต็ม ความยาวของสกรู 25-110 มิลลิเมตร</t>
  </si>
  <si>
    <t>แผ่นโลหะมีลักษณะเป็นแผ่นมุมโค้ง 1/3 ของวงกลม ลักษณะรูของแผ่นโลหะเป็นรูปไข่ มีขนาด 2-16 รู</t>
  </si>
  <si>
    <t>แผ่นโลหะดามกระดูกขนาดเล็ก ลักษณะรูของแผ่นโลหะเป็นรูปวงรี ขนาด 2-16 รู</t>
  </si>
  <si>
    <t>แผ่นโลหะดามกระดูกชนิด Narrow ลักษณะรูเป็นวงรีขนาด 2-20 รู</t>
  </si>
  <si>
    <t>แผ่นโลหะดามกระดูกชนิด Broad ลักษณะรูเป็นวงกลมขนาด 4-20 รู</t>
  </si>
  <si>
    <t>แท่งโลหะแบบ Schanz Screw ปลายแหลมมีเกลียวสำหรับเจาะยึดกับกระดูก ความยาว 150-250 มิลลิเมตร เส้นผ่านศูนย์กลาง 4.5-5.0 มิลลิเมตร</t>
  </si>
  <si>
    <t>อุปกรณ์ต่อกับแท่งโลหะเพื่อใช้ยึดกับอุปกรณ์เครื่องมือชนิดอื่น เพื่อใช้เจาะยึดกระดูกที่แตกหักไม่ให้มีการเคลื่อนไหว</t>
  </si>
  <si>
    <t>อุปกรณ์ยึดปรับเพื่อดามกระดูกภายนอกร่างกาย</t>
  </si>
  <si>
    <t>อุปกรณ์สำหรับยึดท่อเหล็กสองท่อเข้าด้วยกัน หรือจับยึดท่อเหล็กเข้ากับโครงสร้าง สำหรับล็อกท่อเหล็กให้อยู่กับที่</t>
  </si>
  <si>
    <t>ท่อเหล็กวงกลมชนิดมีรูผ่านตลอดขนาดเส้นผ่านศูนย์กลาง 11 มิลลิเมตร มีความยาว 200-500 มิลลิเมตร</t>
  </si>
  <si>
    <t>แท่งโลหะแบบ Krischner Wire ชนิดปลายแหลม 2 ด้าน มีขนาดเส้นผ่านศูนย์กลาง 0.8-3.0 มิลลิเมตร และมีขนาดความยาว 150-310 มิลลิเมตร</t>
  </si>
  <si>
    <t>สกรูไทเทเนียม 2.0 x 4 - 6 มิลลิเมตร</t>
  </si>
  <si>
    <t>สกรูไทเทเนียม 2.0 x 8 มิลลิเมตร</t>
  </si>
  <si>
    <t>สกรูไทเทเนียม 2.0 x 10 มิลลิเมตร</t>
  </si>
  <si>
    <t>สกรูไทเทเนียม 2.0 x 12 - 14 มิลลิเมตร</t>
  </si>
  <si>
    <t>สกรูไทเทเนียม 2.3 x 6 - 8 มิลลิเมตร</t>
  </si>
  <si>
    <t>แผ่นโลหะไทเทเนียมดามกระดูก แบบชนิดตรง 16 รู หนา 1.0 มิลลิเมตร</t>
  </si>
  <si>
    <t>แผ่นโลหะไทเทเนียมดามกระดูก รูปตัวแอล ชนิด 4 รู บาร์สั้น ข้างซ้าย - ขวา หนา 1.0 มิลลิเมตร</t>
  </si>
  <si>
    <t>แผ่นโลหะดามกระดูกไทเทเนียม รูปตัวแอล ชนิด 4 รู บาร์ยาว ข้างซ้าย - ขวา หนา 1.0 มิลลิเมตร</t>
  </si>
  <si>
    <t>แผ่นโลหะดามกระดูกบริเวณคาง หนา ๐.๖ มิลลิเมตร มีระยะห่าง ๔.๐-๘.๐ มิลลิเมตร</t>
  </si>
  <si>
    <t>แผ่นตะแกรงโลหะดามกระดูกใบหน้า มีขนาด 99 x 74 x 0.2 มิลลิเมตร</t>
  </si>
  <si>
    <t>ดอกสว่านสำหรับใช้เจาะกระดูก ขนาด 1.5 x 50 มิลลิเมตร มีความยาวของเกลียว 20 มิลลิเมตร</t>
  </si>
  <si>
    <t>สกรูไทเทเนียม 1.6 x 4 - 6 มิลลิเมตร</t>
  </si>
  <si>
    <t>สกรูไทเทเนียม 1.9 x 6 มิลลิเมตร</t>
  </si>
  <si>
    <t>แผ่นโลหะไททาเนียมดามกระดูก แบบชนิด ตรง 16 รู หนา 0.6 มม.</t>
  </si>
  <si>
    <t>แผ่นโลหะไทเทเนียมดามกระดูก รูปตัวแอล ชนิด 4 รู บาร์สั้น ข้างซ้าย - ขวา หนา 0.6 มิลลิเมตร</t>
  </si>
  <si>
    <t>แผ่นโลหะดามกระดูกไทเทเนียม รูปตัวแอล ชนิด 4 รู บาร์ยาว ข้างซ้าย - ขวา หนา 0.6 มิลลิเมตร</t>
  </si>
  <si>
    <t>สกรูไททาเนียมสำหรับใช้ยึดกระดูกขากรรไกร-ล่าง ขนาด 2.4 x 8 - 16 มิลลิเมตร</t>
  </si>
  <si>
    <t>สกรูไททาเนียมสำหรับใช้ยึดกระดูกขากรรไกร-ล่าง ขนาด 2.7 x 12 มิลลิเมตร</t>
  </si>
  <si>
    <t>แผ่นโลหะดามกระดูกขากรรไกร-ล่าง ชนิด 15 รู – ตรง แบบมีหัวสกรูพยุงหนา 2.5 มิลลิเมตร</t>
  </si>
  <si>
    <t>แผ่นโลหะดามกระดูกขากรรไกร-ล่าง ชนิด 21 รู – ตรง แบบมีหัวสกรูพยุงหนา 2.5 มิลลิเมตร</t>
  </si>
  <si>
    <t>แผ่นโลหะดามกระดูกขากรรไกร-ล่าง ชนิด 25 รู – ตรง แบบมีหัวสกรูพยุงหนา 2.5 มิลลิเมตร</t>
  </si>
  <si>
    <t>แผ่นโลหะดามกระดูกขากรรไกร-ล่าง รูปตัว แอล ข้างซ้าย - ขวา ชนิด 19 รูแบบมีหัวสกรูพยุง หนา 2.5 มิลลิเมตร</t>
  </si>
  <si>
    <t>แผ่นโลหะดามกระดูกขากรรไกร-ล่าง รูปตัว ยู ชนิด 23 รู แบบมีหัวสกรูพยุง หนา 2.5 มิลลิเมตร</t>
  </si>
  <si>
    <t>อุปกรณ์ใช้กับผู้ป่วยเฉพาะบุคคลที่มีกระดูกหักที่ซับซ้อน</t>
  </si>
  <si>
    <t>ชุดสายสวนเพื่อรักษาโรคหลอดเลือดดำผิดปกติด้วยกาวทางการแพทย์</t>
  </si>
  <si>
    <t>ลิ้นหัวใจเทียมชนิดทำจากเนื้อเยื่อหัวใจหมู</t>
  </si>
  <si>
    <t>สายอุปกรณ์อุดห้ามเลือดระหว่างการผ่าตัด (Pruitt Aortic Occlusion Catheter)</t>
  </si>
  <si>
    <t>สายอุปกรณ์เพื่อให้เลือดไปเลี้ยงอวัยวะขณะผ่าตัด (Distal Perfusion Catheter)</t>
  </si>
  <si>
    <t>หลอดเลือดเทียมสำหรับการผ่าตัดหลอดเลือดส่วนปลาย (LifeSpan ePTFE Vascular Graft-Regular Wall)</t>
  </si>
  <si>
    <t>วัสดุสำหรับทำกะโหลกศีรษะเทียม (Cranioplasty Cement)</t>
  </si>
  <si>
    <t>สายสวนใช้ในการระบายเลือดออกหรือนำเลือดเข้าหลอดเลือดส่วนปลาย</t>
  </si>
  <si>
    <t>ลิ้นหัวใจเทียมชนิดเนื้อเยื่อทำจากหมู (ชนิดมีโครง)</t>
  </si>
  <si>
    <t>ขอบลิ้นหัวใจเทียมตำแหน่งไมทรัล</t>
  </si>
  <si>
    <t>ลิ้นหัวใจเทียมและหลอดเลือดเทียมชนิดเอเยื่อจากหลอดเลือดดำที่คอของวัว</t>
  </si>
  <si>
    <t>รวม 874 รายการ · DBR/2570/0019 · แท็บ ผ่าตัด · หน่วยงาน งานห้องผ่าตัด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</si>
  <si>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การพยาบาล</t>
  </si>
  <si>
    <t>Transfer BAG 300 ML / 25 Bag</t>
  </si>
  <si>
    <t>เวชภัณฑ์การพยาบาล</t>
  </si>
  <si>
    <t>ถุงพลาสติกสำหรับแบ่งและถ่ายแยกส่วนประกอบของเลือด ปราศจากเชื้อ ขนาด 300 มิลลิลิตร</t>
  </si>
  <si>
    <t>Nutri-Bag 500 ml.</t>
  </si>
  <si>
    <t>Nutriline-C</t>
  </si>
  <si>
    <t>ถุงรองรับเลือด/ตวงเลือดสำหรับห้องคลอด</t>
  </si>
  <si>
    <t>หมวกอาบน้ำพลาสติกป้องกันเอดส์</t>
  </si>
  <si>
    <t>5.5FRx13 CM 3- Lumen Central Venc Catheter</t>
  </si>
  <si>
    <t>ชุดสายสวนเข้าหลอดเลือดดำใหญ่ส่วนกลาง ชนิด 3 ช่องทาง ขนาดเส้นผ่านศูนย์กลาง 5.5 ยาว 13 ซม.</t>
  </si>
  <si>
    <t>Careflow Double lumen 4 FR x 5 cm.(Pediatic Two-Lumen Central Venous)</t>
  </si>
  <si>
    <t>ชุดสายสวนเข้าหลอดเลือดดำใหญ่ส่วนกลาง ชนิด 2 ช่องทาง ขนาดเส้นผ่านศูนย์กลาง 4 ยาว 5 ซม.</t>
  </si>
  <si>
    <t>Careflow Double lumen 4 FR x 13 cm.(Pediatic Two-Lumen Central Venous)</t>
  </si>
  <si>
    <t>ชุดสายสวนเข้าหลอดเลือดดำใหญ่ส่วนกลาง ชนิด 2 ช่องทาง ขนาดเส้นผ่านศูนย์กลาง 4 ยาว 13 ซม.</t>
  </si>
  <si>
    <t>Connecting Tube 1.8 m.</t>
  </si>
  <si>
    <t>สายต่อเครื่องดูดเสมหะ ขนาดความยาว 1.8 เมตร</t>
  </si>
  <si>
    <t>Connecting Tube 3 m.</t>
  </si>
  <si>
    <t>สายต่อเครื่องดูดเสมหะ ขนาดความยาว 3 เมตร</t>
  </si>
  <si>
    <t>Simplastic Suprapublic Puncture No.16</t>
  </si>
  <si>
    <t>Triple Lumen Central Venous Cat.</t>
  </si>
  <si>
    <t>Active Life Drain PCH 19-64 mm.</t>
  </si>
  <si>
    <t>ถุงเก็บสิ่งขับถ่ายจากลำไส้ชนิด 1 ชิ้น</t>
  </si>
  <si>
    <t>Little Ones drain ( แป้น+ถุง) สำหรับเด็ก</t>
  </si>
  <si>
    <t>ชุดถุงและแป้นรองรับสิ่งขับถ่ายทางหน้าท้องที่ออกแบบเป็นพิเศษสำหรับทารกและเด็ก</t>
  </si>
  <si>
    <t>Sur-Fit Natura Drain 32 mm.</t>
  </si>
  <si>
    <t>ถุงเก็บสิ่งขับถ่ายจากลำไส้ ชนิด 2 ชิ้น เด็กเล็ก</t>
  </si>
  <si>
    <t>Sur-Fit Natura Drain 38 mm.</t>
  </si>
  <si>
    <t>ถุงเก็บสิ่งขับถ่ายจากลำไส้ ชนิด 2 ชิ้น ขนาด 38 มิลลิเมตร</t>
  </si>
  <si>
    <t>Sur-Fit Natura Drain.45 mm.</t>
  </si>
  <si>
    <t>ถุงเก็บสิ่งขับถ่ายจากลำไส้ ชนิด 2 ชิ้น ขนาด 45 มิลลิเมตร</t>
  </si>
  <si>
    <t>Sur-Fit Natura Drain. 57 mm.</t>
  </si>
  <si>
    <t>ถุงเก็บสิ่งขับถ่ายจากลำไส้ ชนิด 2 ชิ้น ขนาด 57 มิลลิเมตร</t>
  </si>
  <si>
    <t>Sur-Fit Natura Drain. 70 mm.</t>
  </si>
  <si>
    <t>ถุงเก็บสิ่งขับถ่ายจากลำไส้ ชนิด 2 ชิ้น ขนาด 70 มิลลิเมตร</t>
  </si>
  <si>
    <t>ถุงเก็บอุจจาระหน้าท้องแบบชิ้นเดียวชนิดใส ปราศจากเชื้อ ขนาด 12-85 มิลลิเมตร</t>
  </si>
  <si>
    <t>ถุงยางอนามัย ขนาด 49mm.</t>
  </si>
  <si>
    <t>ถุงยางอนามัย ขนาด 52mm.</t>
  </si>
  <si>
    <t>ห่วงอนามัยคุมกำเนิด</t>
  </si>
  <si>
    <t>Connector 7x7 mm. ข้อต่อสายดูดเสมหะสีขาว</t>
  </si>
  <si>
    <t>Edward Three Way Spike (H3051)</t>
  </si>
  <si>
    <t>T-Piece / 3way ด้านเท่า</t>
  </si>
  <si>
    <t>T-Piece / 3way ด้านไม่เท่า</t>
  </si>
  <si>
    <t>จุกขวด Chest Drain 2 ทาง (สั้น/ยาว)</t>
  </si>
  <si>
    <t>จุกยาง 2 ทาง แบบปีกพร้อมหลอดแก้ว แบบ สั้น/สั้น</t>
  </si>
  <si>
    <t>Canister 500 ml with gel infovac</t>
  </si>
  <si>
    <t>กระปุกเก็บสารคัดหลั่งขนาด 500 มิลลิลิตร ชนิดใส่เจลเปลี่ยนของเหลวให้เป็นก้อน สำหรับเครื่องควบคุมแรงดันลบดูแลบาดแผล</t>
  </si>
  <si>
    <t>Renasys Touch Canister 300 ml.</t>
  </si>
  <si>
    <t>Sealed Canister 800 CC</t>
  </si>
  <si>
    <t>ขวด CHEST DRAIN</t>
  </si>
  <si>
    <t>Isolation Gown No.M</t>
  </si>
  <si>
    <t>Surgical Gown size L</t>
  </si>
  <si>
    <t>ผ้าห่อเครื่องมือแพทย์ สีเขียว ขนาด 30 ซม.x 30 ซม</t>
  </si>
  <si>
    <t>ผ้าห่อเครื่องมือแพทย์ สีเขียว ขนาด 30 ซม.x 30 ซม.</t>
  </si>
  <si>
    <t>ผ้าห่อเครื่องมือแพทย์ สีเขียว ขนาด 40 ซม. x 40 ซม.</t>
  </si>
  <si>
    <t>ผ้าห่อเครื่องมือแพทย์ สีเขียว ขนาด 50 ซม. x 50 ซม.</t>
  </si>
  <si>
    <t>ผ้าห่อเครื่องมือแพทย์ สีเขียว ขนาด 60 ซม. x 60 ซม.</t>
  </si>
  <si>
    <t>ผ้าห่อเครื่องมือแพทย์ สีเขียว ขนาด 70 ซม. x 70 ซม.</t>
  </si>
  <si>
    <t>ผ้าห่อเครื่องมือแพทย์ สีฟ้า ขนาด 90 ซม. x 90 ซม.</t>
  </si>
  <si>
    <t>ผ้าห่อเครื่องมือแพทย์ สีฟ้า ขนาด 120 ซม. x 120 ซม.</t>
  </si>
  <si>
    <t>ผ้าห่อเครื่องมือแพทย์ สีม่วง ขนาด 40 ซม. x 40 ซม.</t>
  </si>
  <si>
    <t>ผ้าห่อเครื่องมือแพทย์ สีม่วง ขนาด 50 ซม. x 50 ซม.</t>
  </si>
  <si>
    <t>ผ้าห่อเครื่องมือแพทย์ สีม่วง ขนาด 60 ซม. x 60 ซม.</t>
  </si>
  <si>
    <t>ผ้าห่อเครื่องมือแพทย์ สีม่วง ขนาด 70 ซม. x 70 ซม.</t>
  </si>
  <si>
    <t>ผ้าห่อเครื่องมือแพทย์ สีม่วง ขนาด 80 ซม. x 80 ซม.</t>
  </si>
  <si>
    <t>ผ้าห่อเครื่องมือแพทย์ สีม่วง ขนาด 90 ซม. x 90 ซม.</t>
  </si>
  <si>
    <t>ผ้าห่อเครื่องมือแพทย์ สีม่วง ขนาด 120 ซม. x 120 ซม.</t>
  </si>
  <si>
    <t>ผ้าห่อเครื่องมือแพทย์ สีม่วง ขนาด 150 ซม. x 150 ซม.</t>
  </si>
  <si>
    <t>ผ้าห่มส่วนบน</t>
  </si>
  <si>
    <t>ผ้าห่มควบคุมอุณหภูมิร่างกายส่วนบน</t>
  </si>
  <si>
    <t>ผ้าห่มเด็ก</t>
  </si>
  <si>
    <t>ผ้าห่มควบคุมอุณหภูมิสำหรับเด็ก</t>
  </si>
  <si>
    <t>ผ้าห่มเต็มตัว</t>
  </si>
  <si>
    <t>ผ้าห่มควบคุมอุณหภูมิร่างกายชนิดเต็มตัว</t>
  </si>
  <si>
    <t>Aquacel AG Extra 10X10 cm</t>
  </si>
  <si>
    <t>แผ่นปิดแผลไฮโดรไฟเบอร์ผสมซิลเวอร์ ขนาด 10 ซม.x10 ซม.</t>
  </si>
  <si>
    <t>Aquacel AG Extra 20X30 cm</t>
  </si>
  <si>
    <t>แผ่นปิดแผลไฮโดรไฟเบอร์ผสมซิลเวอร์ ขนาด 20 ซม.x30 ซม.</t>
  </si>
  <si>
    <t>Aqualcel AG Foam 10x10cm.</t>
  </si>
  <si>
    <t>แผ่นปิดแผลไฮโดรไฟเบอร์ชนิดโฟมผสมซิลเวอร์แบบไม่มีกาว ขนาด 10 ซม.x10 ซม.</t>
  </si>
  <si>
    <t>Aqualcel Foam N/ADH 15x20cm.</t>
  </si>
  <si>
    <t>แผ่นปิดแผล ไฮโดรไฟเบอร์ชนิดโฟมผสมซิลเวอร์แบบไม่มีกาว</t>
  </si>
  <si>
    <t>Askina Dressil 10x10 cm.</t>
  </si>
  <si>
    <t>วัสดุปิดแผลชนิดโฟมโพลียูรีเทนเคลือบซิลิโคน ปราศจากเชื้อ ขนาด 10x10 เซนติเมตร</t>
  </si>
  <si>
    <t>Bactigras 10 x 10 cm.</t>
  </si>
  <si>
    <t>ผ้าก๊อซชุบพาราฟินผสมสารฆ่าเชื้อคลอร์เฮกซิดิน ปราศจากเชื้อ ขนาด 10x10 เซนติเมตร</t>
  </si>
  <si>
    <t>Blumembrane 20x28 cm.</t>
  </si>
  <si>
    <t>แผ่นปิดแผลนาโนไบโอเซลลูโลสเคลือบโลหะเงินนาโนสีฟ้า ขนาด 20x28 เซนติเมตร</t>
  </si>
  <si>
    <t>Brava Elastic Tape C</t>
  </si>
  <si>
    <t>แผ่นไฮโดรคอลลอยด์ยืดหยุ่นชนิดโค้งสำหรับยึดติดขอบแป้นรองถุงเก็บอุจจาระหน้าท้อง</t>
  </si>
  <si>
    <t>Cavilon ADV Skin Protect 0.7 ml.</t>
  </si>
  <si>
    <t>ฟิล์มเหลวเคลือบป้องกันผิวหนังและเคลือบปิดแผลตื้น ชนิดปราศจากแอลกอฮอล์ ปริมาณ 0.7 มิลลิลิตร</t>
  </si>
  <si>
    <t>Cavilon Durable Barrier 28g.</t>
  </si>
  <si>
    <t>ครีมเข้มข้นสูตรปกป้องผิวหนังจากการกัดเซาะและระคายเคือง ชนิดปราศจากสารพาราเบน ขนาด 28 กรัม</t>
  </si>
  <si>
    <t>Dermodacyn Post Procedure Hydrogel 45 g.</t>
  </si>
  <si>
    <t>ไฮโดรเจลสูตรลดการอักเสบและฆ่าเชื้อ ใช้สำหรับทาบำรุงและปกป้องผิวหนังหลังทำหัตถการทางการแพทย์</t>
  </si>
  <si>
    <t>Dermodacyn Wound Care spray 990 ml.</t>
  </si>
  <si>
    <t>สเปรย์น้ำยาทำความสะอาดและฆ่าเชื้อบริเวณบาดแผลที่มีส่วนผสมของ Hypochlorous Acid (HOCl) ช่วยขจัดแบคทีเรีย ไวรัส และสิ่งหลั่ง</t>
  </si>
  <si>
    <t>Dermodacyn Wound Hydrogel 500 g.</t>
  </si>
  <si>
    <t>เจลบำรุงและให้ความชุ่มชื้นแก่บาดแผลช่วยฆ่าเชื้อและเร่งกระบวนการสมานแผล</t>
  </si>
  <si>
    <t>Duoderm CGF 4นิ้ว*4นิ้ว</t>
  </si>
  <si>
    <t>แผ่นปิดแผลไฮโดรคอลลอยด์แบบหนา ขนาด 10 ซม.x10 ซม.</t>
  </si>
  <si>
    <t>Duoderm Extra Thin 4x4</t>
  </si>
  <si>
    <t>แผ่นปิดแผลไฮโดรคอลลอยด์ แบบบาง ขนาด 10 ซม.x10 ซม.</t>
  </si>
  <si>
    <t>Granulox Spray 10% 12ml</t>
  </si>
  <si>
    <t>สเปรย์ฮีโมโกลบินช่วยเพิ่มออกซิเจนให้เนื้อเยื่อบริเวณบาดแผล เหมาะสำหรับแผลเรื้อรังที่หายช้า</t>
  </si>
  <si>
    <t>Mepilex AG 10x10</t>
  </si>
  <si>
    <t>Mepilex Transfer AG</t>
  </si>
  <si>
    <t>Prontosan 350 ml.</t>
  </si>
  <si>
    <t>น้ำยาล้างและทำความสะอาดแผลเรื้อรัง/แผลติดเชื้อ</t>
  </si>
  <si>
    <t>Sensatrac, Medium Granufoam Dressing (สีดำ M)</t>
  </si>
  <si>
    <t>Tegaderm 4.4x4.4 CM (1622)</t>
  </si>
  <si>
    <t>แผ่นฟิล์มใสกันน้ำชนิดโปร่งแสง ป้องกันน้ำและเชื้อโรค ขนาด 4.4x4.4 ซม.</t>
  </si>
  <si>
    <t>Tegaderm 6x7 CM (1623)</t>
  </si>
  <si>
    <t>แผ่นฟิล์มใสกันน้ำชนิดโปร่งแสง ป้องกันน้ำและเชื้อโรค ขนาด 6x7 ซม. ตัดแต่งช่อง</t>
  </si>
  <si>
    <t>Tegaderm 6x7 CM (1624)</t>
  </si>
  <si>
    <t>แผ่นฟิล์มใสกันน้ำชนิดโปร่งแสง ป้องกันน้ำและเชื้อโรค ขนาด 6x7 ซม.</t>
  </si>
  <si>
    <t>Tegaderm 10x12 CM (1626)</t>
  </si>
  <si>
    <t>แผ่นฟิล์มใสกันน้ำชนิดโปร่งแสง ป้องกันน้ำและเชื้อโรค ขนาด 10x12 ซม.</t>
  </si>
  <si>
    <t>Tegaderm CHG 8.5cm x 11.2cm. 1657R</t>
  </si>
  <si>
    <t>แผ่นฟิล์มใสพร้อมเจล Chlorhexidine Gluconate ใช้ปิดล็อกและฆ่าเชื้อบริเวณจุดใส่สายสวนเข้าเส้นเลือดดำ</t>
  </si>
  <si>
    <t>Urgotul Silver Box 15x20 cm.</t>
  </si>
  <si>
    <t>ตาข่ายปิดแผลเทคโนโลยี TLC ผสมซิลเวอร์ ป้องกันแผลติดเชื้อและไม่ติดเนื้อเยื่อ</t>
  </si>
  <si>
    <t>ชุดโฟมใช้กับเครื่องสุญญากาศ/พอร์ต-กลาง</t>
  </si>
  <si>
    <t>ชุดทำแผล Dressing Set</t>
  </si>
  <si>
    <t>Red Dot Infant เด็กแรกเกิด</t>
  </si>
  <si>
    <t>แผ่นอิเล็กโทรดสำหรับทารกแรกเกิด</t>
  </si>
  <si>
    <t>Red Dot Ped micropore เด็กโต</t>
  </si>
  <si>
    <t>แผ่นอิเล็กโทรดสำหรับเด็กโต</t>
  </si>
  <si>
    <t>Red Dot ผู้ใหญ่ ซองละ 50 ชิ้น</t>
  </si>
  <si>
    <t>แผ่นอิเล็กโทรดสำหรับผู้ใหญ่</t>
  </si>
  <si>
    <t>Red Dot แผ่นอิเลคโทรด สำหรับเด็กแรกเกิด</t>
  </si>
  <si>
    <t>แผ่นอิเลคโทรดใช้ตรวจติดตามคลื่นไฟฟ้าหัวใจเด็ก (EKG Electrode)</t>
  </si>
  <si>
    <t>Defibrillation Electrodes Pads</t>
  </si>
  <si>
    <t>แผ่นนำไฟฟ้าสำหรับใช้ร่วมกับเครื่องกระตุกหัวใจด้วยไฟฟ้า (AED / Defibrillator)</t>
  </si>
  <si>
    <t>Vaseline Gauze 4x4 นิ้วx 8 ชั้น</t>
  </si>
  <si>
    <t>Vaseline Gauze Drain 1นิ้วx6 หลา</t>
  </si>
  <si>
    <t>Contact Gel</t>
  </si>
  <si>
    <t>เจลนำไฟฟ้า</t>
  </si>
  <si>
    <t>EKG ครีม</t>
  </si>
  <si>
    <t>ครีมนำไฟฟ้าวัดคลื่นไฟฟ้าหัวใจ</t>
  </si>
  <si>
    <t>Pose-Jel</t>
  </si>
  <si>
    <t>เจลหล่อลื่นทางการแพทย์ชนิดปราศจากเชื้อ</t>
  </si>
  <si>
    <t>เจลอุลตร้าซาวด์ ( Ultrasound Jell )</t>
  </si>
  <si>
    <t>เจลอุลตร้าซาวด์</t>
  </si>
  <si>
    <t>Artery Forceps CRILE Cvd. 14 cm.</t>
  </si>
  <si>
    <t>คีมหนีบจับเส้นเลือดปลายโค้ง ขนาด 14 เซนติเมตร</t>
  </si>
  <si>
    <t>Artery Forceps CRILE Str. 14 cm.</t>
  </si>
  <si>
    <t>คีมหนีบจับเส้นเลือดปลายตรง ขนาด 14 เซนติเมตร</t>
  </si>
  <si>
    <t>BD Surgical Clipper Blade (ใบมีดกำจัดขน)</t>
  </si>
  <si>
    <t>ใบมีดโกนขน</t>
  </si>
  <si>
    <t>ใบมีดกำจัดขน</t>
  </si>
  <si>
    <t>ใบมีดผ่าตัด No.11</t>
  </si>
  <si>
    <t>ใบมีดผ่าตัด No.15</t>
  </si>
  <si>
    <t>ใบมีดโกน (Feather)</t>
  </si>
  <si>
    <t>ใบมีดโกน</t>
  </si>
  <si>
    <t>Disposable Mask แบบคล้องหู</t>
  </si>
  <si>
    <t>หน้ากากอนามัย แบบคล้องหู</t>
  </si>
  <si>
    <t>หน้ากากป้องกันฝุ่นละออง N.95 1870</t>
  </si>
  <si>
    <t>ชุดทดสอบความกระชับของหน้ากาก รุ่น FT-10</t>
  </si>
  <si>
    <t>ชุดทดสอบความกระชับของหน้ากาก รุ่น FT-10 (ลำดับ 2)</t>
  </si>
  <si>
    <t>ชุดป้องกันสารเคมีและฝุ่นละออง size S (PPE)</t>
  </si>
  <si>
    <t>ชุดป้องกันสารเคมีและฝุ่นละออง size L (PPE)</t>
  </si>
  <si>
    <t>ชุดป้องกันสารเคมีและฝุ่นละออง size M (PPE)</t>
  </si>
  <si>
    <t>ชุดป้องกันสารเคมีและฝุ่นละออง size XL (PPE)</t>
  </si>
  <si>
    <t>ชุดป้องกันสารเคมีและฝุ่นละออง size 2XL (PPE)</t>
  </si>
  <si>
    <t>ผ้ากันเปื้อนพลาสติก/เอี๊ยมพลาสติก</t>
  </si>
  <si>
    <t>เสื้อกันเปื้อนแบบมีแขน ( HB Cpe Gown )</t>
  </si>
  <si>
    <t>เสื้อกันเปื้อนแบบมีแขน</t>
  </si>
  <si>
    <t>กระดาษ ECG รุ่น MAC 1200</t>
  </si>
  <si>
    <t>กระดาษพับสำหรับเครื่องบันทึกคลื่นไฟฟ้าหัวใจรุ่น MAC 1200</t>
  </si>
  <si>
    <t>กระดาษ EKG Mortaraeli 250-210</t>
  </si>
  <si>
    <t>พับ</t>
  </si>
  <si>
    <t>กระดาษพิมพ์ผลสำหรับเครื่อง EKG ขนาด 210 mm</t>
  </si>
  <si>
    <t>กระดาษ EKG (A054)Nihon Kohden FQW210-3-140</t>
  </si>
  <si>
    <t>กระดาษพับตารางสีชมพู/ส้ม สำหรับเครื่อง EKG</t>
  </si>
  <si>
    <t>กระดาษ EKG ขนาด 50x30 m (FOLD)</t>
  </si>
  <si>
    <t>กระดาษพิมพ์ผลแบบพับ ขนาด 50x30 m สำหรับเครื่อง EKG ขนาดเล็ก/เครื่องพกพา</t>
  </si>
  <si>
    <t>กระดาษ EKG ขนาด 50x30 m (ROLL TYPE)</t>
  </si>
  <si>
    <t>กระดาษพิมพ์ผลแบบม้วน ขนาด 50x30 m สำหรับเครื่อง EKG ขนาดเล็ก/เครื่องพกพา</t>
  </si>
  <si>
    <t>กระดาษ เครื่อง ECG 12 Lead สำหรับเครื่อง Philips</t>
  </si>
  <si>
    <t>กระดาษพิมพ์ผลคลื่นไฟฟ้าหัวใจ 12 สายสัญญาณ สำหรับเครื่อง ECG</t>
  </si>
  <si>
    <t>กระดาษ Defib สำหรับเครื่อง DFM100</t>
  </si>
  <si>
    <t>กระดาษความร้อนพิมพ์ผลการกระตุกหัวใจ/คลื่นหัวใจ สำหรับเครื่อง Defibrillator</t>
  </si>
  <si>
    <t>กระดาษ EKG Zoll DM 90mm.x90 mm.(NHK-H305)</t>
  </si>
  <si>
    <t>กระดาษความร้อนพิมพ์ผลสำหรับเครื่องกระตุกหัวใจและเฝ้าระวังสัญญาณชีพ</t>
  </si>
  <si>
    <t>กระดาษ Fetal Monitor เครื่อง NST HPM 1911A</t>
  </si>
  <si>
    <t>กระดาษตารางบันทึกการเต้นของหัวใจทารกในครรภ์และการหดรัดตัวของมดลูก</t>
  </si>
  <si>
    <t>กระดาษวัดความดันอัตโนมัติ UDEX Twin</t>
  </si>
  <si>
    <t>กระดาษความร้อนม้วนเล็ก สำหรับพิมพ์ค่าความดันโลหิตและอัตราการเต้นหัวใจจากเครื่องวัดความดันอัตโนมัติ</t>
  </si>
  <si>
    <t>กระดาษอุลตร้าซาวด์ ( ฟิมล์ SONO )</t>
  </si>
  <si>
    <t>กระดาษความร้อนความละเอียดสูง สำหรับพิมพ์ภาพถ่ายจากการตรวจอัลตราซาวด์</t>
  </si>
  <si>
    <t>กระดาษความร้อน ขนาด 90x100 mm. x 1 cm.</t>
  </si>
  <si>
    <t>กระดาษความร้อนขนาดมาตรฐานต่างๆ สำหรับใช้กับเครื่องมือตรวจวิเคราะห์ทางการแพทย์ ขนาด 90x100 mm.</t>
  </si>
  <si>
    <t>กระดาษ Thermal ขนาด 90 mm.X180m. หน้ากว้าง 9 ซม.</t>
  </si>
  <si>
    <t>กระดาษความร้อนขนาดมาตรฐานต่างๆ สำหรับใช้กับเครื่องมือตรวจวิเคราะห์ทางการแพทย์ ขนาด 90x180 mm.</t>
  </si>
  <si>
    <t>กระดาษ Print เครื่องอบแก๊ส EO</t>
  </si>
  <si>
    <t>กระดาษพิมพ์บันทึกอุณหภูมิ แรงดัน และเวลาการทำงานของเครื่องอบฆ่าเชื้อด้วยแก๊สเอทิลีนออกไซด์ (Ethylene Oxide)</t>
  </si>
  <si>
    <t>กระดาษปริ้นสำหรับเครื่องนึ่งไฟฟ้า</t>
  </si>
  <si>
    <t>กระดาษพิมพ์ผลการทำงานและค่าพารามิเตอร์ของเครื่องอบนึ่งฆ่าเชื้อด้วยแรงดัน steam (Autoclave)</t>
  </si>
  <si>
    <t>กระดาษพิมพ์ผลการทำงานสำหรับเครื่องล้าง</t>
  </si>
  <si>
    <t>กระดาษพิมพ์รายงานวงจรการล้างและทำความสะอาดของเครื่องล้างและทำลายเชื้ออุปกรณ์ทางการแพทย์ (Washer Disinfector)</t>
  </si>
  <si>
    <t>สติ๊กเกอร์ Direct Themal ขนาด 5x2 cm.</t>
  </si>
  <si>
    <t>สติ๊กเกอร์ transfer wit Autoclave Indicator 5x4.8 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</si>
  <si>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</si>
  <si>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</si>
  <si>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Cold Hot Pack แบบผู้ใหญ่</t>
  </si>
  <si>
    <t>ถุงเจลประคบร้อนและเย็นสำหรับผู้ใหญ่</t>
  </si>
  <si>
    <t>Cold Hot Pack แบบเด็ก</t>
  </si>
  <si>
    <t>ถุงเจลประคบร้อนและเย็นสำหรับเด็ก</t>
  </si>
  <si>
    <t>Air Way No.0</t>
  </si>
  <si>
    <t>ท่อเปิดทางเดินหายใจทางปาก เบอร์ 0</t>
  </si>
  <si>
    <t>Air Way No.1</t>
  </si>
  <si>
    <t>ท่อเปิดทางเดินหายใจทางปาก เบอร์ 1</t>
  </si>
  <si>
    <t>Air Way No.2</t>
  </si>
  <si>
    <t>ท่อเปิดทางเดินหายใจทางปาก เบอร์ 2</t>
  </si>
  <si>
    <t>Air Way No.3</t>
  </si>
  <si>
    <t>ท่อเปิดทางเดินหายใจทางปาก เบอร์ 3</t>
  </si>
  <si>
    <t>Air Way No.4 (ผู้ใหญ่)</t>
  </si>
  <si>
    <t>ท่อเปิดทางเดินหายใจทางปาก เบอร์ 4 สำหรับผู้ใหญ่</t>
  </si>
  <si>
    <t>Air Way No.5 (ผู้ใหญ่)</t>
  </si>
  <si>
    <t>ท่อเปิดทางเดินหายใจทางปาก เบอร์ 5 สำหรับผู้ใหญ่</t>
  </si>
  <si>
    <t>Ambu Bag Silcone ผู้ใหญ่</t>
  </si>
  <si>
    <t>ชุดช่วยหายใจชนิดใช้มือบีบทำจากซิลิโคนสำหรับผู้ใหญ่</t>
  </si>
  <si>
    <t>Ambu Bag Silcone เด็กเล็ก</t>
  </si>
  <si>
    <t>ชุดช่วยหายใจชนิดใช้มือบีบทำจากซิลิโคนสำหรับเด็กเล็ก</t>
  </si>
  <si>
    <t>Ambu Bag Silcone เด็กโต</t>
  </si>
  <si>
    <t>ชุดช่วยหายใจชนิดใช้มือบีบทำจากซิลิโคนสำหรับเด็กโต</t>
  </si>
  <si>
    <t>Aquapak 440 ml.Sterile Water W/040 Adaptor</t>
  </si>
  <si>
    <t>ชุดขวดน้ำกลั่นปราศจากเชื้อสำหรับให้ความชื้นออกซิเจนระบบปิด ขนาด 440 มิลลิลิตร พร้อมหัวต่อ</t>
  </si>
  <si>
    <t>Bacteria filter Clear-Guard 3</t>
  </si>
  <si>
    <t>ชุดตัวกรองเชื้อแบคทีเรียและไวรัสสำหรับระบบทางเดินหายใจ (Bacteria filter Clear-Guard 3)</t>
  </si>
  <si>
    <t>Collar Mask (ผู้ใหญ่)</t>
  </si>
  <si>
    <t>หน้ากากให้ออกซิเจนสำหรับผู้ป่วยเจาะคอสำหรับผู้ใหญ่</t>
  </si>
  <si>
    <t>Corrugate Tubing 6นิ้ว</t>
  </si>
  <si>
    <t>สายออกซิเจนงวงช้าง ระยะตัดต่อ 6 นิ้ว</t>
  </si>
  <si>
    <t>Corrugated Tubing 150 cm.</t>
  </si>
  <si>
    <t>ท่อวงสปริง/ท่อลอนงอสำหรับต่อเข้ากับวงจรช่วยหายใจ หรืออุปกรณ์ให้ออกซิเจนบำบัด</t>
  </si>
  <si>
    <t>Expiratory Filter, Reusable</t>
  </si>
  <si>
    <t>แผ่นกรองแบคทีเรีย/ไวรัสทางฝั่งหายใจออก สำหรับใช้กับเครื่องช่วยหายใจ ชนิดล้างทำความสะอาดและอบฆ่าเชื้อเพื่อนำกลับมาใช้ซ้ำได้</t>
  </si>
  <si>
    <t>HYDROX,uwc Prefilled Humidifiuer</t>
  </si>
  <si>
    <t>ขวดน้ำกลั่นสำหรับอมพ่น/ทำความชื้นออกซิเจน ชนิดเติมสำเร็จแบบใช้แล้วทิ้ง ขนาด 450 มิลลิลิตร</t>
  </si>
  <si>
    <t>Mounth Piece 22 F and 22 M Connection</t>
  </si>
  <si>
    <t>Mucus Extractor / หลอดเก็บเสมหะ</t>
  </si>
  <si>
    <t>Nebulizer Only (กระเปาะพ่นยา)</t>
  </si>
  <si>
    <t>Oxygen Mask Wresevoir (ผู้ใหญ่)</t>
  </si>
  <si>
    <t>หน้ากากออกซิเจนแบบมีถุงลม สำหรับผู้ใหญ่</t>
  </si>
  <si>
    <t>Oxygen Cannular สายออกซิเจนสำหรับผู้ใหญ่</t>
  </si>
  <si>
    <t>สายออกซิเจนสำหรับผู้ใหญ่</t>
  </si>
  <si>
    <t>Oxygen Cannular สายออกซิเจนสำหรับเด็กทารก</t>
  </si>
  <si>
    <t>สายออกซิเจนสำหรับเด็กทารก</t>
  </si>
  <si>
    <t>Oxygen Cannular สายออกซิเจนสำหรับเด็กโต</t>
  </si>
  <si>
    <t>สายออกซิเจนสำหรับเด็กโต</t>
  </si>
  <si>
    <t>Oxygen Mask Wresevoir (เด็ก)</t>
  </si>
  <si>
    <t>หน้ากากออกซิเจนแบบมีถุงลม สำหรับเด็ก</t>
  </si>
  <si>
    <t>Oxygen Treatment Hood</t>
  </si>
  <si>
    <t>กล่องครอบศีรษะให้ออกซิเจน</t>
  </si>
  <si>
    <t>ชุดพ่นยาสำหรับผู้ใหญ่ ( AIR LIFE )</t>
  </si>
  <si>
    <t>ชุดพ่นยาสำหรับเด็ก ( AIR LIFE เด็ก)</t>
  </si>
  <si>
    <t>สายออกซิเจนสีเขียว (O2) หัวเล็ก 7 ฟุต</t>
  </si>
  <si>
    <t>สายออกซิเจนสีเขียว (O2) หัวโต 7 ฟุต</t>
  </si>
  <si>
    <t>ซองสเตอร์ไรด์ชนิดขอบขยาย 6นิ้ว ตัดตามขนาด</t>
  </si>
  <si>
    <t>ซองสเตอร์ไรด์ชนิดขอบเรียบ 10นิ้ว ตัดตามขนาด</t>
  </si>
  <si>
    <t>ซองสเตอร์ไรด์ชนิดขอบเรียบ 12นิ้วตัดตามขนาด</t>
  </si>
  <si>
    <t>ซองสเตอร์ไรด์ชนิดขอบเรียบ 3นิ้ว ตัดตามขนาด.</t>
  </si>
  <si>
    <t>ซองสเตอร์ไรด์ชนิดขอบเรียบ 4นิ้ว ตัดตามขนาด</t>
  </si>
  <si>
    <t>ซองสเตอร์ไรด์ชนิดขอบเรียบ 6นิ้ว ตัดตามขนาด</t>
  </si>
  <si>
    <t>ซองอบ plasma ชนิด 10นิ้ว(ไทเวค)</t>
  </si>
  <si>
    <t>ซองอบ plasma ชนิด 3นิ้ว(ไทเวค)</t>
  </si>
  <si>
    <t>ซองอบ plasma ชนิด 6นิ้ว(ไทเวค)</t>
  </si>
  <si>
    <t>ซองอบ plasma ชนิด 12นิ้ว(ไทเวค)</t>
  </si>
  <si>
    <t>ซองอบ plasma ชนิด 4นิ้ว(ไทเวค)</t>
  </si>
  <si>
    <t>ซองอบแก๊ส EO + ไอน้ำ ขนาด 10นิ้ว (ซ้อนขอบ)</t>
  </si>
  <si>
    <t>ซองอบแก๊ส EO + ไอน้ำ ขนาด 10นิ้ว (แบบเรียบ)</t>
  </si>
  <si>
    <t>ซองอบแก๊ส EO + ไอน้ำ ขนาด 12นิ้ว (ซ้อนขอบ)</t>
  </si>
  <si>
    <t>ซองอบแก๊ส EO + ไอน้ำ ขนาด 12นิ้ว (แบบเรียบ)</t>
  </si>
  <si>
    <t>ซองอบแก๊ส EO + ไอน้ำ ขนาด 3นิ้ว (แบบเรียบ)</t>
  </si>
  <si>
    <t>ซองอบแก๊ส EO + ไอน้ำ ขนาด 3นิ้ว (ซ้อนขอบ)</t>
  </si>
  <si>
    <t>ซองอบแก๊ส EO + ไอน้ำ ขนาด 4นิ้ว (แบบเรียบ)</t>
  </si>
  <si>
    <t>ซองอบแก๊ส EO + ไอน้ำ ขนาด 6นิ้ว (ซ้อนขอบ)</t>
  </si>
  <si>
    <t>ซองอบแก๊ส EO + ไอน้ำ ขนาด 6นิ้ว (แบบเรียบ)</t>
  </si>
  <si>
    <t>Attest For H2O2 (1295) / หลอดเพาะเชื้อ</t>
  </si>
  <si>
    <t>หลอดทดสอบประสิทธิภาพการฆ่าเชื้อทางชีวภาพชนิดรู้ผลเร็ว สำหรับระบบฆ่าเชื้อด้วยแก๊สไฮโดรเจนเปอร์ออกไซด์</t>
  </si>
  <si>
    <t>Autclave Tape 3/4 นิ้ว ยาว 60 หลา</t>
  </si>
  <si>
    <t>เทปตรวจสอบทางเคมีภายนอกร่างกาย ๓/๔ นิ้ว</t>
  </si>
  <si>
    <t>BDS Tests (PNN)</t>
  </si>
  <si>
    <t>แผ่นทดสอบประสิทธิภาพของเครื่องนึ่งเชื้อด้วยไอน้ำ</t>
  </si>
  <si>
    <t>Seal check Med ตัวตรวจสอบประสิทธิภาพเครื่องซีล</t>
  </si>
  <si>
    <t>แผ่นทดสอบประสิทธิภาพและรอยซีลของเครื่องปิดปากถุงซองอบ</t>
  </si>
  <si>
    <t>ตัวตรวจสอบ ATP (แทน คลีน-เทรซ)</t>
  </si>
  <si>
    <t>ชุดตรวจสอบเพื่อพิสูจน์ความสะอาดโดยการตรวจสอบ ATP</t>
  </si>
  <si>
    <t>ห่อทดสอบ BOWIE-DICK สำเร็จรูป</t>
  </si>
  <si>
    <t>ชุดห่อทดสอบประสิทธิภาพการฆ่าเชื้อชนิดอ่านผลเร็วพิเศษ</t>
  </si>
  <si>
    <t>ห่อสำเร็จรูปทางชีวภาพ/เคมีอ่านผลเร็วมาก</t>
  </si>
  <si>
    <t>Test Material ชุดทดสอบเครื่องมือแพทย์</t>
  </si>
  <si>
    <t>1298 Rapid Attest EO</t>
  </si>
  <si>
    <t>ตัวตรวจสอบทางเคมีภายในสำหรับการอบฆ่าเชื้อด้วยแก๊ส EO</t>
  </si>
  <si>
    <t>1348 ตัวบ่งชี้ทางเคมีสำหรับไฮโดรเจนเปอร์ออกไซด์</t>
  </si>
  <si>
    <t>ตัวบ่งชี้ทางเคมีภายในสำหรับไฮโดรเจนเปอร์ออกไซด์ 1348</t>
  </si>
  <si>
    <t>CD29 ตัวบ่งชี้ทางเคมีภายในหีบห่อ Type 4 สำหรับการนึ่งฆ่าเชื้อด้วยไอน้ำ</t>
  </si>
  <si>
    <t>ตัวบ่งชี้ทางเคมีภายในหีบห่อ Type 4 สำหรับการนึ่งฆ่าเชื้อด้วยไอน้ำ</t>
  </si>
  <si>
    <t>CDWA4 ตัวทดสอบประสิทธภาพฯเครื่องอัตโนมัติ</t>
  </si>
  <si>
    <t>ตัวทดสอบประสิทธภาพการล้างเครื่องมือด้วยเครื่องล้างอัตโนมัติ</t>
  </si>
  <si>
    <t>CDWUตัวทดสอบประสิทธิภาพการล้างด้วยเครื่องอัลตร้าโซนิก</t>
  </si>
  <si>
    <t>ตัวทดสอบประสิทธิภาพการล้างด้วยเครื่องอัลตร้าโซนิก</t>
  </si>
  <si>
    <t>Comply EO Indicator (1251)</t>
  </si>
  <si>
    <t>ตัวบ่งชี้ทางเคมีภายในสำหรับการอบฆ่าเชื้อด้วยแก๊ส EO</t>
  </si>
  <si>
    <t>Comply Steam Indicator (1243) ไอน้ำ</t>
  </si>
  <si>
    <t>ตัวบ่งชี้หรือแผ่นตรวจสอบทางเคมีภายในหีบห่อ Type ๕ สำหรับการนึ่งฆ่าเชื้อด้วยไอน้ำ</t>
  </si>
  <si>
    <t>Alcohol Blister Pack 0.35</t>
  </si>
  <si>
    <t>สำลีชุบแอลกอฮอล์สำหรับฆ่าเชื้อชนิดแผง ขนาด 0.35 กรัม</t>
  </si>
  <si>
    <t>Alcohol Pad</t>
  </si>
  <si>
    <t>แอลกอฮอล์สำเร็จรูป ชนิดแผ่น</t>
  </si>
  <si>
    <t>Cavilon 1 ML Wipe</t>
  </si>
  <si>
    <t>แผ่นใยสังเคราะห์ชุบของเหลวเคลือบปกป้องผิวหนัง ชนิดปราศจากแอลกอฮอล์ ปริมาณ 1 มิลลิลิตร</t>
  </si>
  <si>
    <t>หลอดแก๊สเอทธิลินออกไซด์ สเตอริแก็สB-170</t>
  </si>
  <si>
    <t>หลอดบรรจุแก๊สเอทิลีนออกไซด์ 100% สำหรับเครื่องอบฆ่าเชื้อ</t>
  </si>
  <si>
    <t>Caviwipes</t>
  </si>
  <si>
    <t>แผ่นใยสังเคราะห์ชุบน้ำยาฆ่าเชื้อแบคทีเรียและไวรัสระดับกลางสำหรับเช็ดทำความสะอาดพื้นผิวเครื่องมือแพทย์</t>
  </si>
  <si>
    <t>Hand sanitizer (Virulex) แอลกอฮอล์เครื่องจ่ายอัตโนมัติ</t>
  </si>
  <si>
    <t>แอลกอฮอล์เครื่องจ่ายอัตโนมัติ</t>
  </si>
  <si>
    <t>Neodisher IR Size 1L.</t>
  </si>
  <si>
    <t>น้ำยาล้างเครื่องมือแพทย์ชนิดเข้มข้นสำหรับขจัดคราบสนิมและคราบอนินทรีย์ฝังแน่น ขนาดไม่น้อยกว่า ๑ ลิตร</t>
  </si>
  <si>
    <t>Nosoclean 5L.</t>
  </si>
  <si>
    <t>น้ำยาทำความสะอาดเครื่องมือแพทย์ที่มีฤทธิ์เป็นด่างอ่อน ประสิทธิภาพสูง</t>
  </si>
  <si>
    <t>Pose All Cleaner</t>
  </si>
  <si>
    <t>สารละลายทำความสะอาดอเนกประสงค์สำหรับเครื่องมือและพื้นผิวทางการแพทย์</t>
  </si>
  <si>
    <t>Poseclean</t>
  </si>
  <si>
    <t>น้ำยาล้างขจัดคราบเลือด สารคัดหลั่ง และโปรตีน สำหรับเครื่องมือแพทย์</t>
  </si>
  <si>
    <t>Purell 1200 ml. refill (แอลกอฮอล์ล้างมือ )</t>
  </si>
  <si>
    <t>เจลแอลกอฮอล์ล้างมือ</t>
  </si>
  <si>
    <t>Sterrad 100NX Cassette</t>
  </si>
  <si>
    <t>น้ำยาบรรจุไฮโดรเจนเปอร์ออกไซด์ความเข้มข้น 58% สำหรับเครื่องอบฆ่าเชื้ออุณหภูมิต่ำ ขนาดไม่น้อยกว่า 152 ลิตร</t>
  </si>
  <si>
    <t>Sterrad 100S Cassette</t>
  </si>
  <si>
    <t>V-Wipes แผ่นเช็ดทำความสะอาด</t>
  </si>
  <si>
    <t>น้ำยาล้าง Deconex Prozyme ALKA</t>
  </si>
  <si>
    <t>น้ำยาล้างทำความสะอาดเครื่องมือแพทย์ผสมเอนไซม์</t>
  </si>
  <si>
    <t>น้ำยาไฮโดรเจนเพอร์ออกไซด์ 58%</t>
  </si>
  <si>
    <t>สารช่วยเพิ่มความชุ่มชื่นให้เครื่องมือ</t>
  </si>
  <si>
    <t>Durahesive Moldable 45 mm. (S หลุมตื้น)</t>
  </si>
  <si>
    <t>แป้นปิดรอบลำไส้แบบเรียบชนิดปั้นแต่ง ขนาด 45 มิลลิเมตร เบอร์ S</t>
  </si>
  <si>
    <t>Durahesive Moldable 57 mm</t>
  </si>
  <si>
    <t>แป้นปิดรอบลำไส้แบบเรียบชนิดปั้นแต่ง ขนาด 57 มิลลิเมตร</t>
  </si>
  <si>
    <t>Durahesive Moldable 70 mm</t>
  </si>
  <si>
    <t>แป้นปิดรอบลำไส้แบบเรียบชนิดปั้นแต่งขนาด 70 มิลลิเมตร</t>
  </si>
  <si>
    <t>Durahesive Moldable 45 mm. (แบบนูน)</t>
  </si>
  <si>
    <t>แป้นปิดรอบลำไส้แบบนูนชนิดปั้นแต่ง ขนาด 45 มิลลิเมตร</t>
  </si>
  <si>
    <t>Durahesive Moldable 45 mm. (M หลุมตื้น)</t>
  </si>
  <si>
    <t>แป้นปิดรอบลำไส้แบบเรียบชนิดปั้นแต่ง ขนาด 45 มิลลิเมตร เบอร์ M</t>
  </si>
  <si>
    <t>Stomahesive 38 mm. (แป้น)</t>
  </si>
  <si>
    <t>แป้นปิดรอบลำไส้แบบเรียบ ขนาด 38 มิลลิเมตร</t>
  </si>
  <si>
    <t>Stomahesive 45 mm. แป้น</t>
  </si>
  <si>
    <t>แป้นปิดรอบลำไส้แบบเรียบ ขนาด 45 มิลลิเมตร</t>
  </si>
  <si>
    <t>Stomahesive 57 mm. แป้น</t>
  </si>
  <si>
    <t>แป้นปิดรอบลำไส้แบบเรียบ ขนาด 57 มิลลิเมตร</t>
  </si>
  <si>
    <t>Stomahesive 70 mm. แป้น</t>
  </si>
  <si>
    <t>แป้นปิดรอบลำไส้แบบเรียบ ขนาด 70 มิลลิเมตร</t>
  </si>
  <si>
    <t>Stomahesive Ostomy Seal Thin 48 mm.</t>
  </si>
  <si>
    <t>แผ่นปิดรักษาแผลเปื่อย ขนาด 48 มิลลิเมตร</t>
  </si>
  <si>
    <t>Stomashesive Paste 2 ออนซ์</t>
  </si>
  <si>
    <t>กาวสิ่งอุดปกป้องผิวหนังชนิดครีม/กาวทารอบแผลทวารเทียม</t>
  </si>
  <si>
    <t>Stomashesive Powder 1 ออนซ์</t>
  </si>
  <si>
    <t>ผงแป้งไฮโดรคอลลอยด์ปกป้องผิวหนังรอบทวารเทียม</t>
  </si>
  <si>
    <t>Little Ones Flex 32 mm. (แบบแป้น)</t>
  </si>
  <si>
    <t>แป้นปิดรอบลำไส้แบบเรียบของเด็กขนาด 32 มิลลิเมตร</t>
  </si>
  <si>
    <t>Close Suction System No. 14</t>
  </si>
  <si>
    <t>ชุดสายดูดเสมหะระบบปิด เบอร์ 14</t>
  </si>
  <si>
    <t>Close Suction System, Pediatric CH 6</t>
  </si>
  <si>
    <t>ชุดสายดูดเสมหะระบบปิดสำหรับเด็ก เบอร์ 6</t>
  </si>
  <si>
    <t>Close Suction System, Pediatric CH 8</t>
  </si>
  <si>
    <t>ชุดสายดูดเสมหะระบบปิดสำหรับเด็ก เบอร์ 8</t>
  </si>
  <si>
    <t>Empty Ultrafil Tartion Bag (EMC 3188 ) ห่อละ 9 อัน</t>
  </si>
  <si>
    <t>Suction Dispos/CRD LINER</t>
  </si>
  <si>
    <t>ภาชนะรองรับเลือดและสารคัดหลั่งจากผู้ป่วยชนิดใช้ครั้งเดียว</t>
  </si>
  <si>
    <t>ชุดอุปกรณ์พยุงมดลูก No.3</t>
  </si>
  <si>
    <t>ชุดอุปกรณ์พยุงมดลูก No.4</t>
  </si>
  <si>
    <t>ชุดเก็บตัวอย่างเนื้อเยื่อในโพรงมดลูก</t>
  </si>
  <si>
    <t>Endotracheal Tube No. 2.0</t>
  </si>
  <si>
    <t>ฟอช่วยหายใจ ชนิดไม่มีศัฟท์ เบอร์ 2.0</t>
  </si>
  <si>
    <t>Endotracheal Tube No. 2.5</t>
  </si>
  <si>
    <t>ฟอช่วยหายใจ ชนิดไม่มีศัฟท์ เบอร์ 2.5</t>
  </si>
  <si>
    <t>Endotracheal Tube No. 3.0</t>
  </si>
  <si>
    <t>ฟอช่วยหายใจ ชนิดไม่มีศัฟท์ เบอร์ 3.0</t>
  </si>
  <si>
    <t>Endotracheal Tube No. 3.5</t>
  </si>
  <si>
    <t>ฟอช่วยหายใจ ชนิดไม่มีศัฟท์ เบอร์ 3.5</t>
  </si>
  <si>
    <t>Endotracheal Tube No. 4.0</t>
  </si>
  <si>
    <t>ฟอช่วยหายใจ ชนิดไม่มีศัฟท์ เบอร์ 4.0</t>
  </si>
  <si>
    <t>Endotracheal Tube No. 4.5</t>
  </si>
  <si>
    <t>ฟอช่วยหายใจ ชนิดไม่มีศัฟท์ เบอร์ 4.5</t>
  </si>
  <si>
    <t>Endotracheal Tube No. 5.0 มี cuff</t>
  </si>
  <si>
    <t>ฟอช่วยหายใจ ชนิดมีศัฟท์ เบอร์ 5.0</t>
  </si>
  <si>
    <t>Endotracheal Tube No. 5.0 ไม่มี cuff</t>
  </si>
  <si>
    <t>ฟอช่วยหายใจ ชนิดไม่มีศัฟท์ เบอร์ 5.0</t>
  </si>
  <si>
    <t>Endotracheal Tube No. 5.5 มี cuff</t>
  </si>
  <si>
    <t>ฟอช่วยหายใจ ชนิดมีศัฟท์ เบอร์ 5.5</t>
  </si>
  <si>
    <t>Endotracheal Tube No. 5.5 ไม่มี cuff</t>
  </si>
  <si>
    <t>ฟอช่วยหายใจ ชนิดไม่มีศัฟท์ เบอร์ 5.5</t>
  </si>
  <si>
    <t>Endotracheal Tube No. 6.0 มี cuff</t>
  </si>
  <si>
    <t>ฟอช่วยหายใจ ชนิดมีศัฟท์ เบอร์ 6.0</t>
  </si>
  <si>
    <t>Endotracheal Tube No. 6.5 มี cuff</t>
  </si>
  <si>
    <t>ฟอช่วยหายใจ ชนิดมีศัฟท์ เบอร์ 6.5</t>
  </si>
  <si>
    <t>Endotracheal Tube No. 7.0 มี cuff</t>
  </si>
  <si>
    <t>ฟอช่วยหายใจ ชนิดมีศัฟท์ เบอร์ 7.0</t>
  </si>
  <si>
    <t>Endotracheal Tube No. 7.5 มี cuff</t>
  </si>
  <si>
    <t>ฟอช่วยหายใจ ชนิดมีศัฟท์ เบอร์ 7.5</t>
  </si>
  <si>
    <t>Endotracheal Tube No. 8.0 มี cuff</t>
  </si>
  <si>
    <t>ฟอช่วยหายใจ ชนิดมีศัฟท์ เบอร์ 8.0</t>
  </si>
  <si>
    <t>Endotracheal Tube No. 8.5 มี cuff</t>
  </si>
  <si>
    <t>ฟอช่วยหายใจ ชนิดมีศัฟท์ เบอร์ 8.5</t>
  </si>
  <si>
    <t>สไตเลท เบอร์ 1.5</t>
  </si>
  <si>
    <t>อุปกรณ์นำทางท่อช่วยหายใจ เบอร์ 1.5</t>
  </si>
  <si>
    <t>สไตเลท เบอร์ 10</t>
  </si>
  <si>
    <t>อุปกรณ์นำทางท่อช่วยหายใจ เบอร์ 10</t>
  </si>
  <si>
    <t>สไตเลท เบอร์ 2.6</t>
  </si>
  <si>
    <t>อุปกรณ์นำทางท่อช่วยหายใจ เบอร์ 2.6</t>
  </si>
  <si>
    <t>สไตเลท เบอร์ 6</t>
  </si>
  <si>
    <t>อุปกรณ์นำทางท่อช่วยหายใจ เบอร์ 6</t>
  </si>
  <si>
    <t>สไตเลท เบอร์14</t>
  </si>
  <si>
    <t>อุปกรณ์นำทางท่อช่วยหายใจ เบอร์ 14</t>
  </si>
  <si>
    <t>Tracheostomy Tube / Regular size 5</t>
  </si>
  <si>
    <t>ท่อเจาะคอช่วยการหายใจ ชนิดทำด้วยโลหะที่ไม่ขึ้นสนิม แบบยาว เบอร์ 5</t>
  </si>
  <si>
    <t>Tracheostomy Tube / Regular size 7</t>
  </si>
  <si>
    <t>ท่อเจาะคอช่วยการหายใจ ชนิดทำด้วยโลหะที่ไม่ขึ้นสนิม แบบยาว เบอร์ 7</t>
  </si>
  <si>
    <t>Tracheostomy Tube / Regular size 8</t>
  </si>
  <si>
    <t>ท่อเจาะคอช่วยการหายใจ ชนิดทำด้วยโลหะที่ไม่ขึ้นสนิม แบบยาว เบอร์ 8</t>
  </si>
  <si>
    <t>Tracheostomy Tube / Regular size 9</t>
  </si>
  <si>
    <t>ท่อเจาะคอช่วยการหายใจ ชนิดทำด้วยโลหะที่ไม่ขึ้นสนิม แบบยาว เบอร์ 9</t>
  </si>
  <si>
    <t>Tracheostomy Tube No.1(5 mm.)</t>
  </si>
  <si>
    <t>ท่อเจาะคอช่วยการหายใจ ชนิดทำด้วยโลหะที่ไม่ขึ้นสนิม</t>
  </si>
  <si>
    <t>Tracheostomy Tube No.2 (6mm.)</t>
  </si>
  <si>
    <t>ท่อเจาะคอช่วยการหายใจ (Tracheostomy tube) ชนิดทำด้วยโลหะที่ไม่ขึ้นสนิม</t>
  </si>
  <si>
    <t>Tracheostomy Tube No.3 (7mm.)</t>
  </si>
  <si>
    <t>Tracheostomy Tube No.4 (8mm.)</t>
  </si>
  <si>
    <t>Tracheostomy Tube No.5 (9mm.)</t>
  </si>
  <si>
    <t>Tracheostomy Tube No.6 (10mm.)</t>
  </si>
  <si>
    <t>Tracheostomy Tube No.7 (11.0 mm )</t>
  </si>
  <si>
    <t>Tracheostomy Tube No.8 (12.0 mm)</t>
  </si>
  <si>
    <t>Tracheostomy Tube No.9 (13 mm.)</t>
  </si>
  <si>
    <t>Cuticle scissors Eco 11.5 cm</t>
  </si>
  <si>
    <t>กรรไกรตัดหนังขอบเล็บ</t>
  </si>
  <si>
    <t>Diamond Nail File, 16 cm</t>
  </si>
  <si>
    <t>DT5880 115 HP Diatwister Supercoa</t>
  </si>
  <si>
    <t>หัวกรอทางการแพทย์</t>
  </si>
  <si>
    <t>Extraction Cup 50 mm.</t>
  </si>
  <si>
    <t>Stethe Scope ชุดหูฟังผู้ใหญ่</t>
  </si>
  <si>
    <t>Stethe Scope ชุดหูฟังเด็กเล็ก</t>
  </si>
  <si>
    <t>Stethe Scope ชุดหูฟังเด็กโต</t>
  </si>
  <si>
    <t>Towel clips 11 cm.</t>
  </si>
  <si>
    <t>คีมจับผ้า/หนีบผ้า</t>
  </si>
  <si>
    <t>ตัวล็อคกรรไกร/เครื่องมือ กลาง 89x171 mm.</t>
  </si>
  <si>
    <t>ตัวล็อคกรรไกร/เครื่องมือ เล็ก 44x210 mm.</t>
  </si>
  <si>
    <t>ตัวล็อคกรรไกร/เครื่องมือ ใหญ่ 140x241 mm.</t>
  </si>
  <si>
    <t>กล่องใส่เข็มใช้แล้ว /กล่องแดงพลาสติก 5นิ้วx10นิ้ว</t>
  </si>
  <si>
    <t>ขวดแก้ว size 15 cc. By EO</t>
  </si>
  <si>
    <t>ขวดแก้ว size 50 cc. By EO</t>
  </si>
  <si>
    <t>ขวดแก้วปากกว้าง 60 CC.</t>
  </si>
  <si>
    <t>ถ้วยยาเม็ดพลาสติก</t>
  </si>
  <si>
    <t>HA330-II Disposable Hemoperfusion</t>
  </si>
  <si>
    <t>Hemoperfusion Cartridge (รุ่น HA330-II)</t>
  </si>
  <si>
    <t>Microcuvette 4X50 pcs Hb 201 (เด็ก)</t>
  </si>
  <si>
    <t>ตลับแก้วตรวจวัดระดับฮีโมโกลบิน สำหรับเครื่องตรวจวัดฮีโมโกลบิน HemoCue Hb 201</t>
  </si>
  <si>
    <t>Oxiris Set</t>
  </si>
  <si>
    <t>Prismaflex M100 Set สำหรับเครื่องไตเทียมแบบต่อเนื่อง CRRT</t>
  </si>
  <si>
    <t>Prismaflex TPE2000 SET</t>
  </si>
  <si>
    <t>Prismocitrate 18/0 Non-PVC</t>
  </si>
  <si>
    <t>Prisma Ocal B22 ขนาด 5 ลิตร</t>
  </si>
  <si>
    <t>ชุดสายยางประกอบการไหลเวียนนอกร่างกาย ( ผู้ใหญ่)</t>
  </si>
  <si>
    <t>ตัวกรองไตเทียมแบบประสิทธิภาพสูง (HF12)</t>
  </si>
  <si>
    <t>ตัวกรองไตเทียมแบบประสิทธิภาพสูง (HF19 )</t>
  </si>
  <si>
    <t>น้ำยา Monsel's Solution</t>
  </si>
  <si>
    <t>ป้ายข้อมือผู้ใหญ่</t>
  </si>
  <si>
    <t>ป้ายข้อมือเด็ก</t>
  </si>
  <si>
    <t>ลูกสูบยาง เบอร์ 5</t>
  </si>
  <si>
    <t>ลูก</t>
  </si>
  <si>
    <t>ลูกสูบยางเบอร์ 2 (Sterile)</t>
  </si>
  <si>
    <t>สายยางรับเบอร์ทิ้ว 200</t>
  </si>
  <si>
    <t>สายยางรับเบอร์ทิ้ว 204</t>
  </si>
  <si>
    <t>สายรัดข้อมือ ขนาด 26x2.5 ซม.พิมพ์สีม่วง</t>
  </si>
  <si>
    <t>เข็มขัดคาดถุง 1 เส้น</t>
  </si>
  <si>
    <t>แก้วยาน้ำพลาสติก</t>
  </si>
  <si>
    <t>แปรงล้างอุปกรณ์/เครื่องมือ ชนิดขนแปรงปานกลาง</t>
  </si>
  <si>
    <t>แปรงล้างอุปกรณ์/เครื่องมือ ชนิดขนแปรงอ่อน</t>
  </si>
  <si>
    <t>แปรงล้างอุปกรณ์/เครื่องมือ ชนิดแข็ง</t>
  </si>
  <si>
    <t>แปรงล้างเครื่องมือแบบท่อกลวงยาว 30 cm.</t>
  </si>
  <si>
    <t>แปรงล้างเครื่องมือแบบท่อกลวงยาว 25 cm.</t>
  </si>
  <si>
    <t>แปรงล้างเครื่องมือแบบท่อกลวงยาว 50 cm.</t>
  </si>
  <si>
    <t>แปรงล้างเครื่องมือแบบท่อกลวง 3-4mm., 4-5mm.</t>
  </si>
  <si>
    <t>ไม้ Pap Smear (100 อัน)</t>
  </si>
  <si>
    <t>ไม้กดลิ้น Dispose</t>
  </si>
  <si>
    <t>ไม้เคาะเข่า</t>
  </si>
  <si>
    <t>เข็มเจาะปอด Set pleural biopsy</t>
  </si>
  <si>
    <t>เข็มเจาะ bone marrow aspirate</t>
  </si>
  <si>
    <t>แว่นตากันของเหลว แบบขาหนีบ</t>
  </si>
  <si>
    <t>เครื่องวัดอุณหภูมิในร่างกายทางหน้าผาก</t>
  </si>
  <si>
    <t>Uno Meter Safety Plus</t>
  </si>
  <si>
    <t>ชุดถุงตวงและเก็บปัสสาวะระบบปิดชนิดควบคุมการติดเชื้อพร้อมมาตรวัดปริมาตรความละเอียดสูง</t>
  </si>
  <si>
    <t>Urostomy Pouch 45 mm.ถุง-ก๊อก</t>
  </si>
  <si>
    <t>Concave General Purpose Nipper 13</t>
  </si>
  <si>
    <t>Nail corner scissors Eco</t>
  </si>
  <si>
    <t>Excavator Round Head, 15 cm</t>
  </si>
  <si>
    <t>Nil Excavator 15 cm</t>
  </si>
  <si>
    <t>รวม 324 รายการ · DBR/2570/0020 · แท็บ การพยาบาล · หน่วยงาน กลุ่มภารกิจด้านการพยาบาล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</si>
  <si>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เฝือก</t>
  </si>
  <si>
    <t>Gypsona S 10 cm. (เฝือกปูน 4นิ้ว)</t>
  </si>
  <si>
    <t>Gypsona S 15 cm. (เฝือกปูน 6นิ้ว)</t>
  </si>
  <si>
    <t>Gypsona S 5 cm. (เฝือกปูน 2นิ้ว)</t>
  </si>
  <si>
    <t>Gypsona S 7.5 cm. (เฝือกปูน 3นิ้ว)</t>
  </si>
  <si>
    <t>Cast Comfort 200 ML.</t>
  </si>
  <si>
    <t>Adjustable Collar สำหรับผู้ใหญ่ (Collar Hard)</t>
  </si>
  <si>
    <t>เฝือกดามคอชนิดแข็งสำหรับผู้ใหญ่แบบปรับระดับได้</t>
  </si>
  <si>
    <t>Adjustable Collar สำหรับเด็ก (Collar Hard)</t>
  </si>
  <si>
    <t>เฝือกดามคอชนิดแข็งสำหรับเด็กแบบปรับระดับได้</t>
  </si>
  <si>
    <t>Altrasling No.L</t>
  </si>
  <si>
    <t>ผ้าคล้องแขนชนิดตาข่ายระบายอากาศได้ดี ขนาดใหญ่ (L)</t>
  </si>
  <si>
    <t>Altrasling No.M</t>
  </si>
  <si>
    <t>ผ้าคล้องแขนชนิดตาข่ายระบายอากาศได้ดี ขนาดกลาง (M)</t>
  </si>
  <si>
    <t>Altrasling No.S</t>
  </si>
  <si>
    <t>ผ้าคล้องแขนชนิดตาข่ายระบายอากาศได้ดี ขนาดเล็ก (S)</t>
  </si>
  <si>
    <t>Arm - Sling Interlocking No.L</t>
  </si>
  <si>
    <t>Arm -Sling Interlocking No.M</t>
  </si>
  <si>
    <t>Arm - Sling Interlocking No.S</t>
  </si>
  <si>
    <t>Arm - Sling No. L</t>
  </si>
  <si>
    <t>Arm - Sling No. M</t>
  </si>
  <si>
    <t>Arm - Sling No. S</t>
  </si>
  <si>
    <t>Arm - Sling No. XS</t>
  </si>
  <si>
    <t>Finger Splint 3/4 นิ้ว</t>
  </si>
  <si>
    <t>Finger Splint 1 นิ้ว</t>
  </si>
  <si>
    <t>Finger Splint 1/2 นิ้ว</t>
  </si>
  <si>
    <t>Ankle Support (ปรับขนาด) =Adjustable Ankle ( Futuro )</t>
  </si>
  <si>
    <t>Ankle Support No.L (เซฟฟ่า)</t>
  </si>
  <si>
    <t>Ankle Support No.M (เซฟฟา)</t>
  </si>
  <si>
    <t>Ankle Support No.S (เซฟฟ่า)</t>
  </si>
  <si>
    <t>Clavicle Support No.L</t>
  </si>
  <si>
    <t>Clavicle Support No.M</t>
  </si>
  <si>
    <t>Clavicle Support No.S</t>
  </si>
  <si>
    <t>Clavicle Support No.XL</t>
  </si>
  <si>
    <t>Soffban Natural 2นิ้ว (สำลีรองเฝือก)</t>
  </si>
  <si>
    <t>Soffban Natural 4นิ้ว (สำลีรองเฝือก)</t>
  </si>
  <si>
    <t>Soffban Natural 6นิ้ว (สำลีรองเฝือก)</t>
  </si>
  <si>
    <t>D1 Walker size L (ยาว)</t>
  </si>
  <si>
    <t>D1 Walker size L (สั้น)</t>
  </si>
  <si>
    <t>D1 Walker size M (ยาว)</t>
  </si>
  <si>
    <t>D1 Walker size M (สั้น)</t>
  </si>
  <si>
    <t>D1 Walker size S (ยาว)</t>
  </si>
  <si>
    <t>D1 Walker size S (สั้น)</t>
  </si>
  <si>
    <t>D1 Walker size XL (สั้น)</t>
  </si>
  <si>
    <t>Deluxe Thumb Stabilizer S-M</t>
  </si>
  <si>
    <t>Deluxe Thumb Stabilizier L-XL</t>
  </si>
  <si>
    <t>Dynacast Green 2นิ้ว (เฝือกพลาสติก 2นิ้ว)</t>
  </si>
  <si>
    <t>Dynacast Green 3นิ้ว (เฝือกพลาสติก 3นิ้ว)</t>
  </si>
  <si>
    <t>Dynacast White 4นิ้ว (เฝือกพลาสติก 4นิ้ว)</t>
  </si>
  <si>
    <t>Dynacast White 5นิ้ว (เฝือกพลาสติก 5นิ้ว)</t>
  </si>
  <si>
    <t>FT.Therapeutic Arch Support</t>
  </si>
  <si>
    <t>Hinge Knee Support (Long) No.L/XL</t>
  </si>
  <si>
    <t>Hinge Knee Support (Long) No.S/M</t>
  </si>
  <si>
    <t>Hinge Knee Support (short) No.L/XL</t>
  </si>
  <si>
    <t>Hinge Knee Support (short) No.S/M</t>
  </si>
  <si>
    <t>Knee O Support No.L มีรู</t>
  </si>
  <si>
    <t>Knee O Support No.M มีรู</t>
  </si>
  <si>
    <t>Knee O Support No.S มีรู</t>
  </si>
  <si>
    <t>Knee O Support No.XL มีรู</t>
  </si>
  <si>
    <t>Knee Support Adjustable (สีดำ)</t>
  </si>
  <si>
    <t>Knee Support No.L</t>
  </si>
  <si>
    <t>Knee Support No.L ( Futuro )</t>
  </si>
  <si>
    <t>Knee Support No.M</t>
  </si>
  <si>
    <t>Knee Support No.M (Futuro)</t>
  </si>
  <si>
    <t>Knee Support No.S</t>
  </si>
  <si>
    <t>Knee Support No.S ( Futuro )</t>
  </si>
  <si>
    <t>Knee Support No.XL</t>
  </si>
  <si>
    <t>Pro Splint 3นิ้ว (เฝือกสำเร็จรูป3นิ้ว)</t>
  </si>
  <si>
    <t>ProSplint 4 นิ้ว (ฝือกสำเร็จรูป4นิ้ว)</t>
  </si>
  <si>
    <t>Pro Splint 6นิ้ว (เฝือกสำเร็จรูป6นิ้ว)</t>
  </si>
  <si>
    <t>Skin Traction Kits (ผู้ใหญ่)</t>
  </si>
  <si>
    <t>Skin Traction Kits (เด็ก)</t>
  </si>
  <si>
    <t>Splint Polyester 4 x 15 นิ้ว(415 )</t>
  </si>
  <si>
    <t>Splint Polyester 4 x 30นิ้ว (430)</t>
  </si>
  <si>
    <t>Splint Polyester 5นิ้ว x30นิ้ว(530)</t>
  </si>
  <si>
    <t>Splint Polyester 5นิ้ว x 45นิ้ว</t>
  </si>
  <si>
    <t>Stabilizing Knee Support No.L</t>
  </si>
  <si>
    <t>Stabilizing Knee Support No.M</t>
  </si>
  <si>
    <t>Stockinet 2 นิ้ว x 20 M. (ผ้ายืดรองเฝือก)</t>
  </si>
  <si>
    <t>Stockinet 3 นิ้ว x 20 M. (ผ้ายืดรองเฝือก)</t>
  </si>
  <si>
    <t>Stockinet 6 นิ้ว x 20 M. (ผ้ายืดรองเฝือก)</t>
  </si>
  <si>
    <t>Tennis Elbow Support No.L/XL</t>
  </si>
  <si>
    <t>Tennis Elbow Support No.S/M</t>
  </si>
  <si>
    <t>Thumb Support No.M</t>
  </si>
  <si>
    <t>Thumb Support No.S</t>
  </si>
  <si>
    <t>Wrist Support Adj.</t>
  </si>
  <si>
    <t>Wrist Support No.L</t>
  </si>
  <si>
    <t>Wrist Support No.M</t>
  </si>
  <si>
    <t>Wrist Support No.S</t>
  </si>
  <si>
    <t>รวม 83 รายการ · DBR/2570/0021 · แท็บ เฝือก · หน่วยงาน กลุ่มงานออร์โธปิดิกส์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</si>
  <si>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ไตเทียม</t>
  </si>
  <si>
    <t>MDT Plus AVF Needle,Rotating Wing 15G</t>
  </si>
  <si>
    <t>MDT Plus AVF Needle,Rotating Wing 16G (แหลม)</t>
  </si>
  <si>
    <t>MDT Plus AVF Needle,Rotating Wing 17G</t>
  </si>
  <si>
    <t>MDT Plus AVF Needle,Rotating Wing 16ทู่</t>
  </si>
  <si>
    <t>BCM-IS9100 PERASAN COLD STERILANT 5000</t>
  </si>
  <si>
    <t>MDT PLUS HEMODIALYSIS TUBING SET</t>
  </si>
  <si>
    <t>11.5FR x 12CM. SIDE BY SIDE TEMPORARY SET</t>
  </si>
  <si>
    <t>11.5FR x 13CM. SIDE BY SIDE TEMPORARY SET</t>
  </si>
  <si>
    <t>11.5FR x 24CM.Duo-flow XTP DBL TEMPORARY Set</t>
  </si>
  <si>
    <t>13F x 12CM Duo-Split Raulerson Intermal Jugular Catheter</t>
  </si>
  <si>
    <t>13F x 15CM Duo-Split Raulerson Intermal Jugular Catheter</t>
  </si>
  <si>
    <t>11.5FR x 12CM Raulerson.Duo-flow IJTEMPORARY Set</t>
  </si>
  <si>
    <t>11.5FR x 20CM. SIDE BY SIDE TEMPORARY SET</t>
  </si>
  <si>
    <t>13FR x 24CM. (9x1/2นิ้ว) Duo-Split DBL Catheter Set</t>
  </si>
  <si>
    <t>13.5 FR x 24 cm. (9x1/2) Silicone Double Lumen Temporary Set</t>
  </si>
  <si>
    <t>Mahugar kit 11.5FR X13.5 CM</t>
  </si>
  <si>
    <t>MAHURKAR KIT CE 13.5FR x 24 CM.</t>
  </si>
  <si>
    <t>Hemoflow HF 80 S</t>
  </si>
  <si>
    <t>Hemoflow HF 100 S</t>
  </si>
  <si>
    <t>Citrosteril Disinfectant 5 L.</t>
  </si>
  <si>
    <t>DIALYZER FDX-150 GW</t>
  </si>
  <si>
    <t>DIALYZER FDY-18 GW</t>
  </si>
  <si>
    <t>DIALYZER FDX-210 GW</t>
  </si>
  <si>
    <t>Peracitic acid-based (Sanacide-R7)</t>
  </si>
  <si>
    <t>Elisio 15 L</t>
  </si>
  <si>
    <t>ELISIO 170 HR</t>
  </si>
  <si>
    <t>ELISIO-190 HR</t>
  </si>
  <si>
    <t>ELISIO-210 HR</t>
  </si>
  <si>
    <t>dialyzer polysulpho HF 2.0 (Almedico)</t>
  </si>
  <si>
    <t>Citra-Lock4%</t>
  </si>
  <si>
    <t>STERILE - AVF SET</t>
  </si>
  <si>
    <t>STERILE - DLC SET</t>
  </si>
  <si>
    <t>เอชดี5.2ไฮโปรคลีน</t>
  </si>
  <si>
    <t>น้ำยาล้างเครื่อง HD 3.0 Clean up</t>
  </si>
  <si>
    <t>EzB 5.5 L</t>
  </si>
  <si>
    <t>EzA Normal Cal. (Ca=3.5,K=2) 5.5 L</t>
  </si>
  <si>
    <t>EzA low cal ( Ca=2.5,K=2) 5.5 L</t>
  </si>
  <si>
    <t>EzA K=3 Normal Cal.(Ca=3.5,K=3) 5.5 L</t>
  </si>
  <si>
    <t>EzA low cal. K=3 (Ca=2.5,K=3) 5.5 L</t>
  </si>
  <si>
    <t>Dialyzer high flux HiF20</t>
  </si>
  <si>
    <t>Theranova 500</t>
  </si>
  <si>
    <t>QUINTON CURL CATH 2 cuff 62 cm.</t>
  </si>
  <si>
    <t>TENCKHOFF PERITOREAL DIALYSIS CATHETER KIT (โค้ง) 57 cm</t>
  </si>
  <si>
    <t>OUT-PORT CLAMP (Baxter)</t>
  </si>
  <si>
    <t>MINI - TRANSFER SET (Baxter)</t>
  </si>
  <si>
    <t>Catheter Adaptor Luer-Lock ( Fresenius)</t>
  </si>
  <si>
    <t>Catheter Extension Luer 40 cm.</t>
  </si>
  <si>
    <t>ORGANIZER</t>
  </si>
  <si>
    <t>STAY SAFE DISINFECTION CAP ( 40 )</t>
  </si>
  <si>
    <t>MINICAP DISCONNECT SOLUTION</t>
  </si>
  <si>
    <t>รวม 50 รายการ · DBR/2570/0022 · แท็บ ไตเทียม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</si>
  <si>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ตรวจสวนหัวใจ</t>
  </si>
  <si>
    <t>ขดลวดค้ำยันหลอดเลือดหัวใจเคลือบยาชนิด Everolimus (Boston) Synergy</t>
  </si>
  <si>
    <t>ขดลวดค้ำยันหลอดเลือดหัวใจเคลือบยาชนิด Sirolimus (Terumo) Ultimaster Nagomi</t>
  </si>
  <si>
    <t>ขดลวดค้ำยันหลอดเลือดหัวใจเคลือบยาชนิด Sirolimus (ฺBiotronik) Orsiro</t>
  </si>
  <si>
    <t>ขดลวดค้ำยันหลอดเลือดหัวใจเคลือบยาชนิด Biolimus A9 (ฺBiosensors) BioFreedom Ultra</t>
  </si>
  <si>
    <t>ขดลวดค้ำยันหลอดเลือดหัวใจเคลือบยาชนิด Rapamycin (ฺMicroPort) Fihawk Liberty</t>
  </si>
  <si>
    <t>ขดลวดค้ำยันหลอดเลือดหัวใจเคลือบยาชนิด Sirolimus (SMT) Cruz Supraflex</t>
  </si>
  <si>
    <t>ขดลวดค้ำยันหลอดเลือดหัวใจเคลือบยาชนิด Zotarolimus (Medtronic) Onyx frontier</t>
  </si>
  <si>
    <t>ขดลวดค้ำยันหลอดเลือดหัวใจเคลือบยาชนิด Everolimus (Abbott) Xience skypoint</t>
  </si>
  <si>
    <t>ขดลวดค้ำยันหลอดเลือดหัวใจเคลือบยาชนิด Sirolimus (Meril Life Science) Biomime</t>
  </si>
  <si>
    <t>Freesolve RMS (all size)</t>
  </si>
  <si>
    <t>Papyrus (stent graft)</t>
  </si>
  <si>
    <t>Artimes SC balloon</t>
  </si>
  <si>
    <t>Apollo NC balloon</t>
  </si>
  <si>
    <t>Conqueror NC balloon</t>
  </si>
  <si>
    <t>Conqueror SC balloon</t>
  </si>
  <si>
    <t>Pipit SC Balloon</t>
  </si>
  <si>
    <t>Pipit NC Balloon</t>
  </si>
  <si>
    <t>Emerge SC Balloon</t>
  </si>
  <si>
    <t>Emerge NC Balloon</t>
  </si>
  <si>
    <t>Ryurei Balloon</t>
  </si>
  <si>
    <t>Ryurei CTO Balloon</t>
  </si>
  <si>
    <t>Accuforce Balloon</t>
  </si>
  <si>
    <t>Sprinter legend Balloon</t>
  </si>
  <si>
    <t>NC sprinter Balloon</t>
  </si>
  <si>
    <t>Euphora NC balloon</t>
  </si>
  <si>
    <t>Mini trek Balloon</t>
  </si>
  <si>
    <t>Trek Balloon</t>
  </si>
  <si>
    <t>NC trek Balloon</t>
  </si>
  <si>
    <t>NC Neo Trek Balloon</t>
  </si>
  <si>
    <t>Pantera Pro Balloon</t>
  </si>
  <si>
    <t>Pantera LEO Balloon</t>
  </si>
  <si>
    <t>Raiden Balloon</t>
  </si>
  <si>
    <t>Ikazushi balloon</t>
  </si>
  <si>
    <t>Fire Fighter SC Balloon</t>
  </si>
  <si>
    <t>Fire Fighter NC Balloon</t>
  </si>
  <si>
    <t>Foxtrot Nc Balloon</t>
  </si>
  <si>
    <t>Mozec SC Balloon (Meril Life Science)</t>
  </si>
  <si>
    <t>Mozec NC Balloon (Meril Life Science)</t>
  </si>
  <si>
    <t>Guiding Launcher</t>
  </si>
  <si>
    <t>Guiding Heartrail</t>
  </si>
  <si>
    <t>Guiding Vistra Brite Tip</t>
  </si>
  <si>
    <t>Rinato</t>
  </si>
  <si>
    <t>Sion</t>
  </si>
  <si>
    <t>Sion blue</t>
  </si>
  <si>
    <t>Sion black</t>
  </si>
  <si>
    <t>Fielder FC</t>
  </si>
  <si>
    <t>Fielder XT</t>
  </si>
  <si>
    <t>Fielder XT-A</t>
  </si>
  <si>
    <t>Fielder XT-R</t>
  </si>
  <si>
    <t>Gaia next 1</t>
  </si>
  <si>
    <t>Gaia next 2</t>
  </si>
  <si>
    <t>Gaia next 3</t>
  </si>
  <si>
    <t>Conquest Pro</t>
  </si>
  <si>
    <t>Conquest Pro 12</t>
  </si>
  <si>
    <t>Conquest Pro 8-20</t>
  </si>
  <si>
    <t>SUOH3</t>
  </si>
  <si>
    <t>Gladiud EX</t>
  </si>
  <si>
    <t>Ultimate Bros</t>
  </si>
  <si>
    <t>Miracle</t>
  </si>
  <si>
    <t>Extension wire</t>
  </si>
  <si>
    <t>Runthrough wire (all size)</t>
  </si>
  <si>
    <t>AnyreachC guide wire</t>
  </si>
  <si>
    <t>Opticross (IVUS)</t>
  </si>
  <si>
    <t>OCT Dragonfly</t>
  </si>
  <si>
    <t>Truevision IVUS imagine</t>
  </si>
  <si>
    <t>Agent DCB</t>
  </si>
  <si>
    <t>Prevail DCB</t>
  </si>
  <si>
    <t>pantera Lux DCB</t>
  </si>
  <si>
    <t>Bioascend A9 DCB</t>
  </si>
  <si>
    <t>Selution SLR DCB</t>
  </si>
  <si>
    <t>Sequent please neo DCB</t>
  </si>
  <si>
    <t>Wolverine Cutting Balloon</t>
  </si>
  <si>
    <t>Wedge NC Scoring Balloon</t>
  </si>
  <si>
    <t>Aperta NSE Scoring Balloon</t>
  </si>
  <si>
    <t>NC Score flex</t>
  </si>
  <si>
    <t>Pressure wire X</t>
  </si>
  <si>
    <t>Comet II pressure wire</t>
  </si>
  <si>
    <t>Guidezilla</t>
  </si>
  <si>
    <t>Guideplus</t>
  </si>
  <si>
    <t>Tornus (all size)</t>
  </si>
  <si>
    <t>Corsair pro XS</t>
  </si>
  <si>
    <t>Caravel (all size)</t>
  </si>
  <si>
    <t>Corsair Pro</t>
  </si>
  <si>
    <t>Sasuke</t>
  </si>
  <si>
    <t>Finecross</t>
  </si>
  <si>
    <t>Crusade</t>
  </si>
  <si>
    <t>Mizuki</t>
  </si>
  <si>
    <t>Eliminate</t>
  </si>
  <si>
    <t>Extractor Aspiration</t>
  </si>
  <si>
    <t>Thrombuster</t>
  </si>
  <si>
    <t>Rota wire</t>
  </si>
  <si>
    <t>Rota advancer</t>
  </si>
  <si>
    <t>Rota Burr</t>
  </si>
  <si>
    <t>Diamondback 360 Orbital artherectomy Device</t>
  </si>
  <si>
    <t>ViperWire advance coronary Guidewire</t>
  </si>
  <si>
    <t>Diamond-Coated 1.25 mm Classic Crown</t>
  </si>
  <si>
    <t>Spider FX</t>
  </si>
  <si>
    <t>Snare Micro</t>
  </si>
  <si>
    <t>Set pericardiocentesis</t>
  </si>
  <si>
    <t>Brockenbrough</t>
  </si>
  <si>
    <t>Mullin sheath</t>
  </si>
  <si>
    <t>PTMC Balloon with Accessories</t>
  </si>
  <si>
    <t>Simvalve force PTA Balloon catheter</t>
  </si>
  <si>
    <t>Cocoon Septal Occluder (ASD)</t>
  </si>
  <si>
    <t>Cocoon Septal Occluder accessories set (ASD)</t>
  </si>
  <si>
    <t>Cocoon Septal Occluder (PDA)</t>
  </si>
  <si>
    <t>Cocoon Septal Occluder accessories set (PDA)</t>
  </si>
  <si>
    <t>Amplatzer duct occluder PDA</t>
  </si>
  <si>
    <t>Amplatzer toqvue delivery system</t>
  </si>
  <si>
    <t>Amplatzer Septal occluder</t>
  </si>
  <si>
    <t>เครื่อง AICD</t>
  </si>
  <si>
    <t>สาย lead AICD</t>
  </si>
  <si>
    <t>เครื่อง PPM</t>
  </si>
  <si>
    <t>สาย lead PPM</t>
  </si>
  <si>
    <t>เครื่อง PPM เข้า MRI ได้</t>
  </si>
  <si>
    <t>ชุดสายสวนลิ้นหัวใจเอออร์ติก รุ่น Evolute pro (self Expandable)</t>
  </si>
  <si>
    <t>ชุดสายสวนลิ้นหัวใจเอออร์ติก รุ่น Evolute FX (self Expandable)</t>
  </si>
  <si>
    <t>ชุดสายสวนลิ้นหัวใจเอออร์ติก Edwards Sapien 3 Ultra</t>
  </si>
  <si>
    <t>ชุดสายสวนลิ้นหัวใจเอออร์ติก Edwards Sapien 3</t>
  </si>
  <si>
    <t>ชุดสายสวนลิ้นหัวใจเอออร์ติก Myval (BalloonExpandable)</t>
  </si>
  <si>
    <t>ชุดสายสวนลิ้นหัวใจเอออร์ติก Hydra Aortic Valve</t>
  </si>
  <si>
    <t>PASCAL Precision Transcatheter Valve Repair System</t>
  </si>
  <si>
    <t>Navitor vision replacement system</t>
  </si>
  <si>
    <t>MitralClip percutaneous and Steerable guide catheter</t>
  </si>
  <si>
    <t>Amplatz SS ST 0.035x260 cm</t>
  </si>
  <si>
    <t>Amplatz SS Jtip 0.035x260 cm</t>
  </si>
  <si>
    <t>Mustang Balloon peripheral</t>
  </si>
  <si>
    <t>Covera stent (stent graft peripheral)</t>
  </si>
  <si>
    <t>Safari wire (Extra small)</t>
  </si>
  <si>
    <t>Optiray (350) 50 cc</t>
  </si>
  <si>
    <t>Optiray (350) 100 cc</t>
  </si>
  <si>
    <t>wire 0.035 x 150,180 cm (all size)</t>
  </si>
  <si>
    <t>wire 0.035 x 260 cm</t>
  </si>
  <si>
    <t>Terumo wire 0.035 x 150 cm</t>
  </si>
  <si>
    <t>Terumo wire 0.035 x 260 cm</t>
  </si>
  <si>
    <t>wire 0.032 x 150 cm</t>
  </si>
  <si>
    <t>Transducer Dome monitor pressure</t>
  </si>
  <si>
    <t>Pressure line 180 cm</t>
  </si>
  <si>
    <t>Pressure line 30 cm</t>
  </si>
  <si>
    <t>Manifoid</t>
  </si>
  <si>
    <t>เข็ม puncture</t>
  </si>
  <si>
    <t>Sheath ขา (all size)</t>
  </si>
  <si>
    <t>Set Transradial sheath + TR band</t>
  </si>
  <si>
    <t>Transradial sheath (all size)</t>
  </si>
  <si>
    <t>Glidesheath slender (all size)</t>
  </si>
  <si>
    <t>Long sheath 24 cm (all size)</t>
  </si>
  <si>
    <t>Long sheath 45 cm (all size)</t>
  </si>
  <si>
    <t>Sheath แขน</t>
  </si>
  <si>
    <t>Indeflator</t>
  </si>
  <si>
    <t>Femoral Angiography Pack AU4</t>
  </si>
  <si>
    <t>Femoral Angiography Pack</t>
  </si>
  <si>
    <t>Optitorqe Diagnotic Catheter</t>
  </si>
  <si>
    <t>Dxterity Diagnotic Catheter</t>
  </si>
  <si>
    <t>รวม 153 รายการ · DBR/2570/0023 · แท็บ ตรวจสวนหัวใจ · หน่วยงาน แผนกศัลยกรรมหัวใจ ทรวงอก และหลอดเลือด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</si>
  <si>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วิสัญญี</t>
  </si>
  <si>
    <t>BLADE 350-005-000 VL MAC S3x50</t>
  </si>
  <si>
    <t>BLADE 350-013-000 VL MAC S4x50</t>
  </si>
  <si>
    <t>MCGRATH 3.6 V BATTERY</t>
  </si>
  <si>
    <t>BRONCHO CATH LEFT 28 FR</t>
  </si>
  <si>
    <t>BRONCHO CATH LEFT 32 FR</t>
  </si>
  <si>
    <t>BRONCHO CATH LEFT 35 FR</t>
  </si>
  <si>
    <t>BRONCHO CATH LEFT 37 FR</t>
  </si>
  <si>
    <t>BRONCHO CATH LEFT 39 FR</t>
  </si>
  <si>
    <t>i-gel supraglottic airway size 1</t>
  </si>
  <si>
    <t>i-gel supraglottic airway size 1.5</t>
  </si>
  <si>
    <t>i-gel supraglottic airway size 2</t>
  </si>
  <si>
    <t>i-gel supraglottic airway size 2.5</t>
  </si>
  <si>
    <t>i-gel supraglottic airway size 3</t>
  </si>
  <si>
    <t>i-gel supraglottic airway size 4</t>
  </si>
  <si>
    <t>i-gel supraglottic airway size 5</t>
  </si>
  <si>
    <t>Laryngeal mask Airway No.1</t>
  </si>
  <si>
    <t>Laryngeal mask Airway No.1.5</t>
  </si>
  <si>
    <t>Laryngeal mask Airway No.2</t>
  </si>
  <si>
    <t>Laryngeal mask Airway No.2.5</t>
  </si>
  <si>
    <t>Laryngeal mask Airway No.3</t>
  </si>
  <si>
    <t>Laryngeal mask Airway No.4</t>
  </si>
  <si>
    <t>Nasopharyngeal Airway No.7.0</t>
  </si>
  <si>
    <t>Nasopharyngeal Airway No.7.5</t>
  </si>
  <si>
    <t>HYGROBABY</t>
  </si>
  <si>
    <t>HYGROBOY</t>
  </si>
  <si>
    <t>SODALIME (Drager)</t>
  </si>
  <si>
    <t>Flexible fixed elbow (ข้องอ + EnCO2)</t>
  </si>
  <si>
    <t>Flexible fixed elbow (ข้องอ)</t>
  </si>
  <si>
    <t>Flexible fixed elbow (ข้อตรง)</t>
  </si>
  <si>
    <t>Sinotrans IBP transduser-Songle</t>
  </si>
  <si>
    <t>Sinotrans IBP transduser-Double</t>
  </si>
  <si>
    <t>Clear-Guard 3 Bacteria + virus filter</t>
  </si>
  <si>
    <t>Clear-Guard 3 Bacteria+virus filter</t>
  </si>
  <si>
    <t>Spinal needle No.25*4 3/4</t>
  </si>
  <si>
    <t>Spinal needle No.25*3.5</t>
  </si>
  <si>
    <t>Spinal needle No.26*4 3/4</t>
  </si>
  <si>
    <t>Spinal needle No.27*3.5</t>
  </si>
  <si>
    <t>Touhy needle No.18</t>
  </si>
  <si>
    <t>ContiplexTouhy ultra 360 18G*4</t>
  </si>
  <si>
    <t>Stimuplex ultra (3600) 20G*4</t>
  </si>
  <si>
    <t>Epidural minipack system#4 No.16</t>
  </si>
  <si>
    <t>Epidural minipack system#4 No.18</t>
  </si>
  <si>
    <t>Disposable Pads for Defibrillator Philip</t>
  </si>
  <si>
    <t>Disposable Anesthesia Breathing Circuit</t>
  </si>
  <si>
    <t>REINFORCED No.6.5</t>
  </si>
  <si>
    <t>REINFORCED No.7.0</t>
  </si>
  <si>
    <t>REINFORCED No.7.5</t>
  </si>
  <si>
    <t>REINFORCED No.8.0</t>
  </si>
  <si>
    <t>MLT ENDOTRACHEAL TUBE No.4.0</t>
  </si>
  <si>
    <t>MLT ENDOTRACHEAL TUBE No.5.0</t>
  </si>
  <si>
    <t>MLT ENDOTRACHEAL TUBE No.6.0</t>
  </si>
  <si>
    <t>RAE ORAL ENDOTRACHEAL TUBE NO.5.0</t>
  </si>
  <si>
    <t>RAE ORAL ENDOTRACHEAL TUBE NO.5.0 CUFF</t>
  </si>
  <si>
    <t>RAE ORAL ENDOTRACHEAL TUBE NO.5.5</t>
  </si>
  <si>
    <t>RAE ORAL ENDOTRACHEAL TUBE NO.5.5 CUFF</t>
  </si>
  <si>
    <t>RAE ORAL ENDOTRACHEAL TUBE NO.6.0 CUFF</t>
  </si>
  <si>
    <t>RAE ORAL ENDOTRACHEAL TUBE NO.6.5 CUFF</t>
  </si>
  <si>
    <t>RAE ORAL ENDOTRACHEAL TUBE NO.7.0 CUFF</t>
  </si>
  <si>
    <t>RAE ORAL ENDOTRACHEAL TUBE NO.7.5 CUFF</t>
  </si>
  <si>
    <t>RAE ORAL ENDOTRACHEAL TUBE NO.8.0 CUFF</t>
  </si>
  <si>
    <t>Nasal Rae Tube No.4.5</t>
  </si>
  <si>
    <t>Nasal Rae Tube No.5.0</t>
  </si>
  <si>
    <t>Nasal Rae Tube No.5.0 Cuff</t>
  </si>
  <si>
    <t>Nasal Rae Tube No.5.5</t>
  </si>
  <si>
    <t>Nasal Rae Tube No.5.5 Cuff</t>
  </si>
  <si>
    <t>RAE NASAL ENDOTRACHEAL 6.0 CUFF</t>
  </si>
  <si>
    <t>RAE NASAL ENDOTRACHEAL 6.5 CUFF</t>
  </si>
  <si>
    <t>RAE NASAL ENDOTRACHEAL 7.0 CUFF</t>
  </si>
  <si>
    <t>RAE NASAL ENDOTRACHEAL 7.5 CUFF</t>
  </si>
  <si>
    <t>Endotracheal Tube No.3.5</t>
  </si>
  <si>
    <t>Endotracheal Tube No.4.5</t>
  </si>
  <si>
    <t>Endotracheal Tube No.5.0</t>
  </si>
  <si>
    <t>Endotracheal Tube No.5.5</t>
  </si>
  <si>
    <t>Endotracheal Tube No. 4.5 (Cuff)</t>
  </si>
  <si>
    <t>Endotracheal Tube No.5.5(Cuff)</t>
  </si>
  <si>
    <t>Endotracheal Tube No. 6.0(Cuff)</t>
  </si>
  <si>
    <t>Endotracheal Tube No. 6.5(Cuff)</t>
  </si>
  <si>
    <t>Endotracheal Tube No. 7.0(Cuff)</t>
  </si>
  <si>
    <t>Endotracheal Tube No. 7.5(Cuff)</t>
  </si>
  <si>
    <t>Endotracheal Tube No. 8.0(Cuff)</t>
  </si>
  <si>
    <t>สไตเลท เบอร์ 14</t>
  </si>
  <si>
    <t>SC Trach Tube oral/nasal #2.5, 10s</t>
  </si>
  <si>
    <t>SC Trach Tube oral/nasal #3.0, 10s</t>
  </si>
  <si>
    <t>SC Trach Tube oral/nasal #3.5, 10s</t>
  </si>
  <si>
    <t>SC Trach Tube oral/nasal #4.0, 10s</t>
  </si>
  <si>
    <t>SC Trach Tube oral/nasal #4.5, 10s</t>
  </si>
  <si>
    <t>SC Trach Tube oral/nasal #5.0, 10s</t>
  </si>
  <si>
    <t>SC Trach Tube oral/nasal #5.5, 10s</t>
  </si>
  <si>
    <t>Endotracheal Tube No.5.0(Cuff) (Metonic)</t>
  </si>
  <si>
    <t>Endotracheal Tube No.5.5(Cuff) (Metonic)</t>
  </si>
  <si>
    <t>Endotracheal Tube No. 6.0(Cuff) (Metonic)</t>
  </si>
  <si>
    <t>Endotracheal Tube No. 6.5(Cuff) (Metonic)</t>
  </si>
  <si>
    <t>Endotracheal Tube No. 7.0(Cuff) (Metonic)</t>
  </si>
  <si>
    <t>Endotracheal Tube No. 7.5(Cuff) (Metonic)</t>
  </si>
  <si>
    <t>Endotracheal Tube No. 8.0(Cuff) (Metonic)</t>
  </si>
  <si>
    <t>Sosalime (JPP Care)</t>
  </si>
  <si>
    <t>Endotracheal Tube No. 6.0(Cuff) (SINO)</t>
  </si>
  <si>
    <t>Endotracheal Tube No. 7.0(Cuff) (SINO)</t>
  </si>
  <si>
    <t>Endotracheal Tube No. 7.5(Cuff) (SINO)</t>
  </si>
  <si>
    <t>Endotracheal Tube No. 8.0(Cuff) (SINO)</t>
  </si>
  <si>
    <t>Endotracheal Tube No. 7.0(Cuff) (Realmed)</t>
  </si>
  <si>
    <t>Endotracheal Tube No.7.5(Cuff) (Realmed)</t>
  </si>
  <si>
    <t>Endotracheal Tube No. 8.0(Cuff) (Realmed)</t>
  </si>
  <si>
    <t>รวม 108 รายการ · DBR/2570/0024 · แท็บ วิสัญญี · หน่วยงาน งานการพยาบาลวิสัญญี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</si>
  <si>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ENT</t>
  </si>
  <si>
    <t>เครื่องช่วยฟังแบบทัดหลังหู ระบบดิจิตอล ไม่น้อยกว่า 8 ช่องสัญญาณ (ชนิดปรับแต่งด้วยคอมพิวเตอร์) สำหรับผู้มีประสาทหูเสื่อมระดับปานกลางถึงมาก</t>
  </si>
  <si>
    <t>โสต ศอ นาสิก ลาริงซ์</t>
  </si>
  <si>
    <t>เครื่องช่วยฟังแบบทัดหลังหู ระบบดิจิตอล ไม่น้อยกว่า 12 ช่องสัญญาณ (ชนิดปรับแต่งด้วยคอมพิวเตอร์) สำหรับผู้มีประสาทหูเสื่อมระดับปานกลางถึงมาก (ชนิดความถี่สูง)</t>
  </si>
  <si>
    <t>เครื่องช่วยฟังแบบทัดหลังหู ระบบดิจิตอล ไม่น้อยกว่า 12 ช่องสัญญาณ (ชนิดปรับแต่งด้วยคอมพิวเตอร์) สำหรับผู้มีประสาทหูเสื่อมระดับเล็กน้อยถึงปานกลาง</t>
  </si>
  <si>
    <t>เครื่องช่วยฟังแบบทัดหลังหู ระบบดิจิตอล ไม่น้อยกว่า 8 ช่องสัญญาณ (ชนิดปรับแต่งด้วยคอมพิวเตอร์) สำหรับผู้มีประสาทหูเสื่อมระดับมากถึงรุนแรง</t>
  </si>
  <si>
    <t>เครื่องช่วยฟังแบบทัดหลังหู ระบบดิจิตอล ไม่น้อยกว่า 16 ช่องสัญญาณ (ชนิดปรับแต่งด้วยคอมพิวเตอร์) สำหรับผู้สูญเสียการได้ยินระดับมากถึงรุนแรง</t>
  </si>
  <si>
    <t>เครื่องช่วยฟังแบบทัดหลังหู ระบบดิจิตอล ไม่น้อยกว่า 12 ช่องสัญญาณ (ชนิดปรับแต่งด้วยคอมพิวเตอร์) สำหรับผู้มีประสาทหูเสื่อมระดับปานกลางถึงมาก</t>
  </si>
  <si>
    <t>เครื่องช่วยฟังแบบทัดหลังหู ระบบดิจิตอล ไม่น้อยกว่า 16 ช่องสัญญาณ (ชนิดปรับแต่งด้วยคอมพิวเตอร์) สำหรับผู้มีประสาทหูเสื่อมระดับปานกลางถึงมาก</t>
  </si>
  <si>
    <t>เครื่องช่วยฟังแบบทัดหลังหู ระบบดิจิตอล ไม่น้อยกว่า 12 ช่องสัญญาณ (ชนิดปรับแต่งด้วยคอมพิวเตอร์) สำหรับผู้มีประสาทหูเสื่อมระดับรุนแรง</t>
  </si>
  <si>
    <t>รวม 8 รายการ · DBR/2570/0025 · แท็บ ENT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</si>
  <si>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โสต ศอ นาสิก</t>
  </si>
  <si>
    <t>Alligator Ear forceps ขนาด 6 mm.</t>
  </si>
  <si>
    <t>Alligator Ear forceps ขนาด 8 mm.</t>
  </si>
  <si>
    <t>Ear Specula No.4 (500 ชิ้น/กล่อง)</t>
  </si>
  <si>
    <t>Ear Specula No.5 (500 ชิ้น/กล่อง)</t>
  </si>
  <si>
    <t>เครื่องช่วยฟัง MODEL TARGA P5</t>
  </si>
  <si>
    <t>เครื่องช่วยฟัง MODEL TARGA HP5</t>
  </si>
  <si>
    <t>เครื่องช่วยฟัง MODEL Mosaic P10 E1</t>
  </si>
  <si>
    <t>เครื่องช่วยฟัง MODEL Mosaic M10 E1</t>
  </si>
  <si>
    <t>เครื่องช่วยฟัง MODEL SHINE REV +UP</t>
  </si>
  <si>
    <t>เครื่องช่วยฟัง MODEL XTM P P6</t>
  </si>
  <si>
    <t>เครื่องช่วยฟัง MODEL XTM P P8</t>
  </si>
  <si>
    <t>เครื่องช่วยฟัง MODEL XTM XP P6</t>
  </si>
  <si>
    <t>เหล็กกดลิ้น</t>
  </si>
  <si>
    <t>รวม 13 รายการ · DBR/2570/0026 · แท็บ โสต ศอ นาสิก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</si>
  <si>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ทั่วไป</t>
  </si>
  <si>
    <t>หมวกตัวหนอนสีเขียว</t>
  </si>
  <si>
    <t>เวชภัณฑ์ทั่วไป</t>
  </si>
  <si>
    <t>Foley Cath 3 Way 16 FR 30 CC.</t>
  </si>
  <si>
    <t>สายสวนปัสสาวะ ชนิดใช้ระยะยาว ชนิด 3 หาง เบอร์ 16</t>
  </si>
  <si>
    <t>Foley Cath 3 Way 18 FR 30 CC.</t>
  </si>
  <si>
    <t>สายสวนปัสสาวะ ชนิดใช้ระยะยาว ชนิด 3 หาง เบอร์ 18</t>
  </si>
  <si>
    <t>Foley Cath 3 Way 20 FR 30 CC.</t>
  </si>
  <si>
    <t>สายสวนปัสสาวะ ชนิดใช้ระยะยาว ชนิด 3 หาง เบอร์ 20</t>
  </si>
  <si>
    <t>Foley Cath 3 Way 22 FR 30 CC.</t>
  </si>
  <si>
    <t>สายสวนปัสสาวะ ชนิดใช้ระยะยาว ชนิด 3 หาง เบอร์ 22</t>
  </si>
  <si>
    <t>Foley Cath 3 Way 24 FR 30 CC.</t>
  </si>
  <si>
    <t>สายสวนปัสสาวะ ชนิดใช้ระยะยาว ชนิด 3 หาง เบอร์ 24</t>
  </si>
  <si>
    <t>Foley Catheter No.10</t>
  </si>
  <si>
    <t>สายสวนปัสสาวะ ชนิดใช้ระยะยาว ชนิด 2 หาง เบอร์ 10</t>
  </si>
  <si>
    <t>Foley Catheter No.12</t>
  </si>
  <si>
    <t>สายสวนปัสสาวะ ชนิดใช้ระยะยาว ชนิด 2 หาง เบอร์ 12</t>
  </si>
  <si>
    <t>Foley Catheter No.14</t>
  </si>
  <si>
    <t>สายสวนปัสสาวะ ชนิดใช้ระยะยาว ชนิด 2 หาง เบอร์ 14</t>
  </si>
  <si>
    <t>Foley Catheter No.16</t>
  </si>
  <si>
    <t>สายสวนปัสสาวะ ชนิดใช้ระยะยาว ชนิด 2 หาง เบอร์ 16</t>
  </si>
  <si>
    <t>Foley Catheter No.18</t>
  </si>
  <si>
    <t>สายสวนปัสสาวะ ชนิดใช้ระยะยาว ชนิด 2 หาง เบอร์ 18</t>
  </si>
  <si>
    <t>Foley Catheter No.20</t>
  </si>
  <si>
    <t>สายสวนปัสสาวะ ชนิดใช้ระยะยาว ชนิด 2 หาง เบอร์ 20</t>
  </si>
  <si>
    <t>Foley Catheter No.22</t>
  </si>
  <si>
    <t>สายสวนปัสสาวะ ชนิดใช้ระยะยาว ชนิด 2 หาง เบอร์ 22</t>
  </si>
  <si>
    <t>Foley Catheter No.24</t>
  </si>
  <si>
    <t>สายสวนปัสสาวะ ชนิดใช้ระยะยาว ชนิด 2 หาง เบอร์ 24</t>
  </si>
  <si>
    <t>Foley Catheter No.6</t>
  </si>
  <si>
    <t>สายสวนปัสสาวะสำหรับเด็ก เบอร์ 6</t>
  </si>
  <si>
    <t>Foley Catheter No.8</t>
  </si>
  <si>
    <t>สายสวนปัสสาวะสำหรับเด็ก เบอร์ 8</t>
  </si>
  <si>
    <t>Polyurethane Umbilical Catheter3.5FR.</t>
  </si>
  <si>
    <t>สายสวนหลอดเลือดแดงหรือหลอดเลือดดำบริเวณสะดือทารกแรกเกิด ทำจากวัสดุโพลียูรีเทน ปราศจากเชื้อ ขนาด 3.5 แฟรนช์</t>
  </si>
  <si>
    <t>Polyurethane Umbilical Catheter5.0FR.</t>
  </si>
  <si>
    <t>สายสวนหลอดเลือดแดงหรือหลอดเลือดดำบริเวณสะดือทารกแรกเกิด ทำจากวัสดุโพลียูรีเทน ปราศจากเชื้อ ขนาด 5.0 แฟรนช์</t>
  </si>
  <si>
    <t>Self Cath เด็กชาย</t>
  </si>
  <si>
    <t>สายสวนปัสสาวะทิ้งเป็นครั้งคราวปราศจากเชื้อ สำหรับผู้ป่วยเด็กชาย</t>
  </si>
  <si>
    <t>Self Cath เด็กหญิง</t>
  </si>
  <si>
    <t>สายสวนปัสสาวะทิ้งเป็นครั้งคราวปราศจากเชื้อ สำหรับผู้ป่วยเด็กหญิง</t>
  </si>
  <si>
    <t>Self Cathetor Female ( 5 ชุด/กล่อง)</t>
  </si>
  <si>
    <t>ชุดสายสวนปัสสาวะทิ้งเป็นครั้งคราวปราศจากเชื้อ สำหรับผู้ป่วยเพศหญิง</t>
  </si>
  <si>
    <t>Self Cathetor Male (5 ชุด/กล่อง)</t>
  </si>
  <si>
    <t>ชุดสายสวนปัสสาวะทิ้งเป็นครั้งคราวปราศจากเชื้อ สำหรับผู้ป่วยเพศชาย</t>
  </si>
  <si>
    <t>Urine Cathetor ยางแดง No.10 Sterile</t>
  </si>
  <si>
    <t>สายสวนปัสสาวะชนิดสวนทิ้งทำจากยางธรรมชาติ ปราศจากเชื้อ ขนาดเบอร์ 10</t>
  </si>
  <si>
    <t>Urine Cathetor ยางแดง No.12 Sterile</t>
  </si>
  <si>
    <t>สายสวนปัสสาวะชนิดสวนทิ้งทำจากยางธรรมชาติ ปราศจากเชื้อ ขนาดเบอร์ 12</t>
  </si>
  <si>
    <t>Urine Cathetor ยางแดง No.14 Sterile</t>
  </si>
  <si>
    <t>สายสวนปัสสาวะชนิดสวนทิ้งทำจากยางธรรมชาติ ปราศจากเชื้อ ขนาดเบอร์ 14</t>
  </si>
  <si>
    <t>Urine Cathetor ยางแดง No.8 Sterile</t>
  </si>
  <si>
    <t>สายสวนปัสสาวะชนิดสวนทิ้งทำจากยางธรรมชาติ ปราศจากเชื้อ ขนาดเบอร์ 8</t>
  </si>
  <si>
    <t>Surgical Drapes 150x150 cm</t>
  </si>
  <si>
    <t>ผ้าสี่เหลี่ยมเจาะกลาง/ไม่เจาะกลางสำหรับคลุมผ่าตัด ขนาด 150x150 เซนติเมตร</t>
  </si>
  <si>
    <t>Surgical Drapes 60x60 cm. Mid Drill 4นิ้วx4นิ้ว</t>
  </si>
  <si>
    <t>ผ้าคลุมผ่าตัดชนิดเจาะช่องกลาง ขนาด 60x60 เซนติเมตร โดยมีช่องเจาะขนาด 4x4 นิ้ว</t>
  </si>
  <si>
    <t>Heparin Locked Needle</t>
  </si>
  <si>
    <t>ชุดอุปกรณ์คาหลอดเลือดดำสำหรับให้ยาและสารน้ำ</t>
  </si>
  <si>
    <t>Gauze 2x2 Sterile By EO Set 10</t>
  </si>
  <si>
    <t>ผ้าก๊อซพับ ปราศจากเชื้อด้วยแก๊สเอทิลีนออกไซด์ ขนาด 2x2 นิ้ว บรรจุแพ็คละ 10 ชิ้น</t>
  </si>
  <si>
    <t>Gauze 2x2 Sterile By EO Set 5</t>
  </si>
  <si>
    <t>ผ้าก๊อซพับ ปราศจากเชื้อด้วยแก๊สเอทิลีนออกไซด์ ขนาด 2x2 นิ้ว บรรจุแพ็คละ 5 ชิ้น</t>
  </si>
  <si>
    <t>Gauze 2x2 นิ้ว</t>
  </si>
  <si>
    <t>ผ้าก๊อซพับ ชนิดไม่ปราศจากเชื้อ ขนาด 2x2 นิ้ว</t>
  </si>
  <si>
    <t>Gauze 3x4 นิ้ว</t>
  </si>
  <si>
    <t>ผ้าก๊อซพับ ชนิดไม่ปราศจากเชื้อ ขนาด 3x4 นิ้ว</t>
  </si>
  <si>
    <t>Gauze 4X4 นิ้ว</t>
  </si>
  <si>
    <t>ผ้าก๊อซพับ ชนิดไม่ปราศจากเชื้อ ขนาด 4x4 นิ้ว</t>
  </si>
  <si>
    <t>Gauze Drain 0.25 นิ้ว</t>
  </si>
  <si>
    <t>ผ้าก๊อซเส้นสำหรับใส่ช่องระบายแผล ขนาด 0.25 นิ้ว</t>
  </si>
  <si>
    <t>Gauze Drain 0.5นิ้วX 4 YARD</t>
  </si>
  <si>
    <t>ผ้าก๊อซเส้นสำหรับใส่ช่องระบายแผล ขนาด 0.5 นิ้ว ความยาว 4 หลา</t>
  </si>
  <si>
    <t>Gauze Sterile 3x4 นิ้ว 8 ชั้น(2 ชิ้น)</t>
  </si>
  <si>
    <t>ผ้าก๊อซพับ ปราศจากเชื้อ ขนาด 3x4 นิ้ว ความหนา 8 ชั้น บรรจุแพ็คละ 2 ชิ้น</t>
  </si>
  <si>
    <t>Gauze Sterile 3x4 นิ้ว 8 ชั้น(5 ชิ้น)</t>
  </si>
  <si>
    <t>ผ้าก๊อซพับ ปราศจากเชื้อ ขนาด 3x4 นิ้ว ความหนา 8 ชั้น บรรจุแพ็คละ 5 ชิ้น</t>
  </si>
  <si>
    <t>Gauze Sterile 6X6 นิ้ว (10 ชิ้น)</t>
  </si>
  <si>
    <t>ผ้าก๊อซพับ ปราศจากเชื้อ ขนาด 6x6 นิ้ว บรรจุแพ็คละ 10 ชิ้น</t>
  </si>
  <si>
    <t>Gauze Topdressing 5X 8นิ้ว ( 5 ชิ้น)</t>
  </si>
  <si>
    <t>ผ้าก๊อซหุ้มสำลี ปราศจากเชื้อ ขนาด 5x8 นิ้ว บรรจุแพ็คละ 5 ชิ้น</t>
  </si>
  <si>
    <t>Top Dressing 12 X 24 นิ้ว (Sterile)</t>
  </si>
  <si>
    <t>ผ้าก๊อซหุ้มสำลี ปราศจากเชื้อ ขนาด 12x24 นิ้ว</t>
  </si>
  <si>
    <t>ก๊อสพับ 50x100x32 ชิ้น ( 5 ชิ้น/ซอง )</t>
  </si>
  <si>
    <t>ผ้าก๊อซพับ ปราศจากเชื้อ ความหนา 32 ชั้น ขนาด 50x100 เซนติเมตร</t>
  </si>
  <si>
    <t>Fixomull 4นิ้ว / Hypafix 10mm,x10mm.</t>
  </si>
  <si>
    <t>แผ่นปิดแผลอเนกประสงค์ 10 ซม.x10 ม.</t>
  </si>
  <si>
    <t>Micropore 1/2นิ้ว</t>
  </si>
  <si>
    <t>เทปกาวติดผ้าก๊อซชนิดเยื่อกระดาษสำหรับผิวแพ้ง่าย ขนาด 1/2 นิ้ว</t>
  </si>
  <si>
    <t>Micropore 1นิ้ว</t>
  </si>
  <si>
    <t>เทปกาวติดผ้าก๊อซชนิดเยื่อกระดาษสำหรับผิวแพ้ง่าย ขนาด 1 นิ้ว</t>
  </si>
  <si>
    <t>Multipore Dry 1/2 inch</t>
  </si>
  <si>
    <t>เทปแต่งแผลชนิดผ้าหนานุ่มหน้ากว้างยืดหยุ่นสูง ขนาด 1/2 นิ้ว</t>
  </si>
  <si>
    <t>Multipore Dry 1 inch</t>
  </si>
  <si>
    <t>เทปแต่งแผลชนิดผ้าหนานุ่มหน้ากว้างยืดหยุ่นสูง ขนาด 1 นิ้ว</t>
  </si>
  <si>
    <t>Opsite Flexifix 10cm x10m (พลาสเตอร์กันน้ำ)</t>
  </si>
  <si>
    <t>ฟิล์มใสโพลียูรีเทนกันน้ำชนิดม้วน ปราศจากเชื้อ ขนาด 10 เซนติเมตร x 10 เมตร</t>
  </si>
  <si>
    <t>Plaster Transpore 1/2นิ้ว</t>
  </si>
  <si>
    <t>เทปแต่งแผลชนิดพลาสติกใสมีรูระบายอากาศ ขนาด 1/2 นิ้ว</t>
  </si>
  <si>
    <t>Plaster Transpore 3นิ้ว</t>
  </si>
  <si>
    <t>เทปแต่งแผลชนิดพลาสติกใสมีรูระบายอากาศ ขนาด 3 นิ้ว</t>
  </si>
  <si>
    <t>Plaster ผ้า 2นิ้ว ( 6 ม้วน/กล่อง)</t>
  </si>
  <si>
    <t>พลาสเตอร์ยาชนิดผ้า ขนาด 2 นิ้ว</t>
  </si>
  <si>
    <t>Plaster ยา , 100 ชิ้น</t>
  </si>
  <si>
    <t>พลาสเตอร์ยาสำเร็จรูปชนิดใช้ครั้งเดียว</t>
  </si>
  <si>
    <t>Sterile Strip R 1541 1/4x3 ( 1541 )</t>
  </si>
  <si>
    <t>เทปพลาสเตอร์สเตอไรด์สำหรับปิดยึดผิวหนังทดแทนการเย็บแผล ขนาด 1/4 x 3 นิ้ว ( 1541 )</t>
  </si>
  <si>
    <t>Sterile Strip R 1547 1/2x4 ( 1547 )</t>
  </si>
  <si>
    <t>เทปพลาสเตอร์สเตอไรด์สำหรับปิดยึดผิวหนังทดแทนการเย็บแผล ขนาด 1/2 x 4 นิ้ว ( 1547 )</t>
  </si>
  <si>
    <t>Suction Tube No.10</t>
  </si>
  <si>
    <t>สายดูดเสมหะปราศจากเชื้อ ขนาดเบอร์ 10 (สำหรับเด็กโต)</t>
  </si>
  <si>
    <t>Suction Tube No.12</t>
  </si>
  <si>
    <t>สายดูดเสมหะปราศจากเชื้อ ขนาดเบอร์ 12</t>
  </si>
  <si>
    <t>Suction Tube No.14</t>
  </si>
  <si>
    <t>สายดูดเสมหะปราศจากเชื้อ ขนาดเบอร์ 14</t>
  </si>
  <si>
    <t>Suction Tube No.16</t>
  </si>
  <si>
    <t>สายดูดเสมหะปราศจากเชื้อ ขนาดเบอร์ 16</t>
  </si>
  <si>
    <t>Suction Tube No.5</t>
  </si>
  <si>
    <t>สายดูดเสมหะปราศจากเชื้อ ขนาดเบอร์ 5 (สำหรับทารกแรกเกิด)</t>
  </si>
  <si>
    <t>Suction Tube No.8</t>
  </si>
  <si>
    <t>สายดูดเสมหะปราศจากเชื้อ ขนาดเบอร์ 8 (สำหรับเด็กเล็ก)</t>
  </si>
  <si>
    <t>Needle DiSpos No.18X1.5นิ้ว</t>
  </si>
  <si>
    <t>เข็มฉีดยาปราศจากเชื้อ ชนิดใช้ครั้งเดียว เบอร์ 18 x 1.5 นิ้ว</t>
  </si>
  <si>
    <t>Needle DiSpos No.20X1นิ้ว</t>
  </si>
  <si>
    <t>เข็มฉีดยาปราศจากเชื้อ ชนิดใช้ครั้งเดียว เบอร์ 20X1นิ้ว</t>
  </si>
  <si>
    <t>Needle DiSpos No.20X1.5นิ้ว</t>
  </si>
  <si>
    <t>เข็มฉีดยาปราศจากเชื้อ ชนิดใช้ครั้งเดียว เบอร์ 20X1.5นิ้ว</t>
  </si>
  <si>
    <t>Needle DiSpos No.22X1.5นิ้ว</t>
  </si>
  <si>
    <t>เข็มฉีดยาปราศจากเชื้อ ชนิดใช้ครั้งเดียว เบอร์ 22X1.5นิ้ว</t>
  </si>
  <si>
    <t>Needle DiSpos No.22X1นิ้ว</t>
  </si>
  <si>
    <t>เข็มฉีดยาปราศจากเชื้อ ชนิดใช้ครั้งเดียว เบอร์ 22X1นิ้ว</t>
  </si>
  <si>
    <t>Needle DiSpos No.24x1.5นิ้ว</t>
  </si>
  <si>
    <t>เข็มฉีดยาปราศจากเชื้อ ชนิดใช้ครั้งเดียว เบอร์ 24x1.5นิ้ว</t>
  </si>
  <si>
    <t>Needle DiSpos No.25X1นิ้ว</t>
  </si>
  <si>
    <t>เข็มฉีดยาปราศจากเชื้อ ชนิดใช้ครั้งเดียว เบอร์ 25X1นิ้ว</t>
  </si>
  <si>
    <t>Needle DiSpose No.27X0.5นิ้ว</t>
  </si>
  <si>
    <t>เข็มฉีดยาปราศจากเชื้อ ชนิดใช้ครั้งเดียว เบอร์ 27X0.5นิ้ว</t>
  </si>
  <si>
    <t>Needle DiSpos No.30X0.5นิ้ว</t>
  </si>
  <si>
    <t>เข็มฉีดยาปราศจากเชื้อ ชนิดใช้ครั้งเดียว เบอร์ 30X0.5นิ้ว</t>
  </si>
  <si>
    <t>Scalp Vein No.21 (50 อัน/กล่อง)</t>
  </si>
  <si>
    <t>ชุดเข็มเจาะและให้สารน้ำทางหลอดเลือดดำชนิดมีปีกผีเสื้อ ปราศจากเชื้อ ขนาดเบอร์ 21</t>
  </si>
  <si>
    <t>Scalp Vein No.23 ( 50 อัน/กล่อง)</t>
  </si>
  <si>
    <t>ชุดเข็มเจาะและให้สารน้ำทางหลอดเลือดดำชนิดมีปีกผีเสื้อ ปราศจากเชื้อ ขนาดเบอร์ 23</t>
  </si>
  <si>
    <t>Scalp Vein No.25 ( 50 อัน/กล่อง)</t>
  </si>
  <si>
    <t>ชุดเข็มเจาะและให้สารน้ำทางหลอดเลือดดำชนิดมีปีกผีเสื้อ ปราศจากเชื้อ ขนาดเบอร์ 25</t>
  </si>
  <si>
    <t>Spinal Needle No.18</t>
  </si>
  <si>
    <t>เข็มเจาะระบายน้ำหล่อเลี้ยงสมองและไขสันหลัง ปราศจากเชื้อ ขนาดเบอร์ 18</t>
  </si>
  <si>
    <t>Spinal Needle No.20</t>
  </si>
  <si>
    <t>เข็มเจาะระบายน้ำหล่อเลี้ยงสมองและไขสันหลัง ปราศจากเชื้อ ขนาดเบอร์ 20</t>
  </si>
  <si>
    <t>Spinal Needle No.22X3.5นิ้ว</t>
  </si>
  <si>
    <t>เข็มเจาะระบายน้ำหล่อเลี้ยงสมองและไขสันหลัง ปราศจากเชื้อ ขนาดเบอร์ 22X3.5นิ้ว</t>
  </si>
  <si>
    <t>Coban 1นิ้ว</t>
  </si>
  <si>
    <t>เทปพันแผลยืดหยุ่นชนิดยึดเกาะได้ด้วยตัวเอง ขนาด 1 นิ้ว</t>
  </si>
  <si>
    <t>Coban 4นิ้ว</t>
  </si>
  <si>
    <t>เทปพันแผลยืดหยุ่นชนิดยึดเกาะได้ด้วยตัวเอง ขนาด 4 นิ้ว</t>
  </si>
  <si>
    <t>Conformingl K - Band 3 นิ้ว</t>
  </si>
  <si>
    <t>ผ้าก๊อซพันแผลชนิดยืดขอบไม่รุ่ย ขนาด 3 นิ้ว</t>
  </si>
  <si>
    <t>Conformingl K - Band 4 นิ้ว</t>
  </si>
  <si>
    <t>ผ้าก๊อซพันแผลชนิดยืดขอบไม่รุ่ย ขนาด 4 นิ้ว</t>
  </si>
  <si>
    <t>Elastic Bandge 3นิ้ว</t>
  </si>
  <si>
    <t>ผ้ายืดพันแผล ขนาด 3 นิ้ว</t>
  </si>
  <si>
    <t>Elastic Bandge 4นิ้ว</t>
  </si>
  <si>
    <t>ผ้ายืดพันแผล ขนาด 4 นิ้ว</t>
  </si>
  <si>
    <t>Elastic Bandge 6นิ้ว</t>
  </si>
  <si>
    <t>Elastomull 1นิ้ว / Easifix</t>
  </si>
  <si>
    <t>ผ้าก๊อซพันแผลชนิดยืดหยุ่นสูง ขนาด 1 นิ้ว</t>
  </si>
  <si>
    <t>Elastomull 4นิ้ว</t>
  </si>
  <si>
    <t>ผ้าก๊อซพันแผลชนิดยืดหยุ่นสูง ขนาด 4 นิ้ว</t>
  </si>
  <si>
    <t>Gauze Bandage 4นิ้ว ,12 Roll</t>
  </si>
  <si>
    <t>ผ้าก๊อซม้วนพันแผล ขนาด 4 นิ้ว</t>
  </si>
  <si>
    <t>K-Band 3นิ้ว (60 ม้วน/กล่อง)</t>
  </si>
  <si>
    <t>K-Band 4นิ้ว (60 ม้วน/กล่อง)</t>
  </si>
  <si>
    <t>Cotton Bud 100 ชิ้น</t>
  </si>
  <si>
    <t>สำลีก้านชนิดไม่ปราศจากเชื้อ บรรจุ 100 ชิ้น</t>
  </si>
  <si>
    <t>Cotton Bud Sterile (10 ก้าน/ห่อ)</t>
  </si>
  <si>
    <t>สำลีพันก้านปราศจากเชื้อ บรรจุซองละ 10 ก้าน</t>
  </si>
  <si>
    <t>Cotton Wool 450 gm</t>
  </si>
  <si>
    <t>สำลีบริสุทธิ์ชนิดม้วน น้ำหนัก 450 กรัม</t>
  </si>
  <si>
    <t>Cotton ปั้นก้อนเล็ก 0.35 gm (450 gm)</t>
  </si>
  <si>
    <t>สำลีก้อนบริสุทธิ์ ขนาดเล็ก น้ำหนัก 0.35 กรัม</t>
  </si>
  <si>
    <t>Cotton ปั้นก้อนใหญ่ 1.40 gm (450 gm)</t>
  </si>
  <si>
    <t>สำลีก้อนบริสุทธิ์ ขนาดใหญ่ น้ำหนัก 1.40 กรัม</t>
  </si>
  <si>
    <t>สำลีก้อน 1.40 กรัม Sterile (10 ก้อน)</t>
  </si>
  <si>
    <t>สำลีก้อนกลม ชนิดปราศจากเชื้อ ขนาด 1.40 กรัม (บรรจุ 10 ก้อน/ซอง)</t>
  </si>
  <si>
    <t>สำลีก้อน 1.40 กรัม Sterile (5 ก้อน)</t>
  </si>
  <si>
    <t>สำลีก้อนกลม ชนิดปราศจากเชื้อ ขนาด 1.40 กรัม (บรรจุ 5 ก้อน/ซอง)</t>
  </si>
  <si>
    <t>สำลีก้อนกลม 0.35 g Sterile (2 ก้อน)</t>
  </si>
  <si>
    <t>สำลีก้อนกลม ชนิดปราศจากเชื้อ ขนาด 0.35 กรัม (บรรจุ 2 ก้อน/ซอง)</t>
  </si>
  <si>
    <t>สำลีก้อนกลม 0.35 g. Sterile (5 ก้อน)</t>
  </si>
  <si>
    <t>สำลีก้อนกลม ชนิดปราศจากเชื้อ ขนาด 0.35 กรัม (บรรจุ 5 ก้อน/ซอง)</t>
  </si>
  <si>
    <t>ไม้พันสำลี Sterile No.L ( 5 ก้าน)</t>
  </si>
  <si>
    <t>ไม้พันสำลี ชนิดปราศจากเชื้อ เบอร์ L (บรรจุ 5 ก้าน/ห่อ)</t>
  </si>
  <si>
    <t>ไม้พันสำลี Sterile No.M (5 ก้าน)</t>
  </si>
  <si>
    <t>ไม้พันสำลี ชนิดปราศจากเชื้อ เบอร์ M (บรรจุ 5 ก้าน/ห่อ)</t>
  </si>
  <si>
    <t>ไม้พันสำลี Sterile No.S</t>
  </si>
  <si>
    <t>ไม้พันสำลี ชนิดปราศจากเชื้อ เบอร์ S (บรรจุ 100 ก้าน/กล่อง)</t>
  </si>
  <si>
    <t>ไม้พันสำลี เบอร์ L</t>
  </si>
  <si>
    <t>Extension Tube No.12นิ้ว</t>
  </si>
  <si>
    <t>สายต่อพ่วงชุดให้สารน้ำเข้าหลอดเลือดดำ ความยาว 12 นิ้ว</t>
  </si>
  <si>
    <t>Extension Tube No.18 นิ้ว</t>
  </si>
  <si>
    <t>สายต่อพ่วงชุดให้สารน้ำเข้าหลอดเลือดดำ ความยาว 18 นิ้ว</t>
  </si>
  <si>
    <t>Extension Tube No.36นิ้ว</t>
  </si>
  <si>
    <t>สายต่อพ่วงชุดให้สารน้ำเข้าหลอดเลือดดำ ความยาว 36 นิ้ว</t>
  </si>
  <si>
    <t>Glove ARM Band Size L</t>
  </si>
  <si>
    <t>ปลอกแขนยางยืดสำหรับยึดขอบถุงมือผ่าตัด ขนาดใหญ่ (L)</t>
  </si>
  <si>
    <t>Glove ARM Band Size M</t>
  </si>
  <si>
    <t>ปลอกแขนยางยืดสำหรับยึดขอบถุงมือผ่าตัด ขนาดกลาง (M)</t>
  </si>
  <si>
    <t>Glove ARM Band Size S</t>
  </si>
  <si>
    <t>ปลอกแขนยางยืดสำหรับยึดขอบถุงมือผ่าตัด ขนาดเล็ก (S)</t>
  </si>
  <si>
    <t>Glove Dispos No.L (100 ชิ้น)</t>
  </si>
  <si>
    <t>ถุงมือยางสำหรับการตรวจโรคชนิดไม่ปราศจากเชื้อใช้ครั้งเดียวแบบมีแป้ง เบอร์ L</t>
  </si>
  <si>
    <t>Glove Dispos No.M (100 ชิ้น)</t>
  </si>
  <si>
    <t>ถุงมือยางสำหรับการตรวจโรคชนิดไม่ปราศจากเชื้อใช้ครั้งเดียวแบบมีแป้ง เบอร์ M</t>
  </si>
  <si>
    <t>Glove Dispos No.S</t>
  </si>
  <si>
    <t>ถุงมือยางสำหรับการตรวจโรคชนิดไม่ปราศจากเชื้อใช้ครั้งเดียวแบบมีแป้ง เบอร์ S</t>
  </si>
  <si>
    <t>Glove Dispos No.XS (100 ชิ้น)</t>
  </si>
  <si>
    <t>ถุงมือยางสำหรับการตรวจโรคชนิดไม่ปราศจากเชื้อใช้ครั้งเดียวแบบมีแป้ง เบอร์ XS</t>
  </si>
  <si>
    <t>Glove Dispos No.S ( ไม่มีแป้ง )</t>
  </si>
  <si>
    <t>ถุงมือยางสำหรับการตรวจโรค ไม่ปราศจากเชื้อ ชนิดใช้ครั้งเดียว แบบไม่มีแป้ง เบอร์ S</t>
  </si>
  <si>
    <t>Glove Dispos No.M ( ไม่มีแป้ง )</t>
  </si>
  <si>
    <t>ถุงมือยางสำหรับการตรวจโรค ไม่ปราศจากเชื้อ ชนิดใช้ครั้งเดียว แบบไม่มีแป้ง เบอร์ M</t>
  </si>
  <si>
    <t>Glove Dispos No.XS ( ไม่มีแป้ง )</t>
  </si>
  <si>
    <t>ถุงมือยางสำหรับการตรวจโรค ไม่ปราศจากเชื้อ ชนิดใช้ครั้งเดียว แบบไม่มีแป้ง เบอร์ XS</t>
  </si>
  <si>
    <t>ถุงมือไนไตร เบอร์ L</t>
  </si>
  <si>
    <t>ถุงมือยางไนไตรล์ไม่ปราศจากเชื้อ ชนิดไม่มีแป้ง L</t>
  </si>
  <si>
    <t>ถุงมือไนไตร เบอร์ M</t>
  </si>
  <si>
    <t>ถุงมือยางไนไตรล์ไม่ปราศจากเชื้อ ชนิดไม่มีแป้ง M</t>
  </si>
  <si>
    <t>ถุงมือไนไตร เบอร์ S</t>
  </si>
  <si>
    <t>ถุงมือยางไนไตรล์ไม่ปราศจากเชื้อ ชนิดไม่มีแป้ง S</t>
  </si>
  <si>
    <t>Glove Sterile By EO Size M</t>
  </si>
  <si>
    <t>ถุงมือยางสำหรับการตรวจโรคชนิดปราศจากเชื้อ ชนิดใช้ครั้งเดียวแบบมีแป้ง M</t>
  </si>
  <si>
    <t>Glove Sterile By EO Size S</t>
  </si>
  <si>
    <t>ถุงมือยางสำหรับการตรวจโรคชนิดปราศจากเชื้อ ชนิดใช้ครั้งเดียวแบบมีแป้ง S</t>
  </si>
  <si>
    <t>Glove Sterile No.6.0 (ไม่มีแป้ง)</t>
  </si>
  <si>
    <t>ถุงมือศัลยกรรมปราศจากเชื้อ แบบไม่มีแป้ง ขนาด 6.0</t>
  </si>
  <si>
    <t>Glove Sterile No.6.5 (ไม่มีแป้ง)</t>
  </si>
  <si>
    <t>ถุงมือศัลยกรรมปราศจากเชื้อ แบบไม่มีแป้ง ขนาด 6.5</t>
  </si>
  <si>
    <t>Glove Sterile No.7.0 (ไม่มีแป้ง)</t>
  </si>
  <si>
    <t>ถุงมือศัลยกรรมปราศจากเชื้อ แบบไม่มีแป้ง ขนาด 7.0</t>
  </si>
  <si>
    <t>Glove Sterile No.7.5 (ไม่มีแป้ง)</t>
  </si>
  <si>
    <t>ถุงมือศัลยกรรมปราศจากเชื้อ แบบไม่มีแป้ง ขนาด 7.5</t>
  </si>
  <si>
    <t>Glove Sterile No.8.0 (ไม่มีแป้ง)</t>
  </si>
  <si>
    <t>ถุงมือศัลยกรรมปราศจากเชื้อ แบบไม่มีแป้ง ขนาด 8.0</t>
  </si>
  <si>
    <t>Glove Sterile No.8.5 (ไม่มีแป้ง)</t>
  </si>
  <si>
    <t>ถุงมือศัลยกรรมปราศจากเชื้อ แบบไม่มีแป้ง ขนาด 8.5</t>
  </si>
  <si>
    <t>Glove Sterile No.9.0 (ไม่มีแป้ง)</t>
  </si>
  <si>
    <t>ถุงมือศัลยกรรมปราศจากเชื้อ แบบไม่มีแป้ง ขนาด 9.0</t>
  </si>
  <si>
    <t>ถุงมือทำคลอด เบอร์ 6 NO.S</t>
  </si>
  <si>
    <t>ถุงมือยางสำหรับทำคลอดและศัลยกรรมชนิดยาวพิเศษ ปราศจากเชื้อ ขนาดเบอร์ 6 (S)</t>
  </si>
  <si>
    <t>ถุงมือทำคลอด เบอร์ 6.5 NO.M</t>
  </si>
  <si>
    <t>ถุงมือยางสำหรับทำคลอดและศัลยกรรมชนิดยาวพิเศษ ปราศจากเชื้อ ขนาดเบอร์ 6.5 (M)</t>
  </si>
  <si>
    <t>ถุงมือทำคลอด เบอร์ 7 NO.L</t>
  </si>
  <si>
    <t>ถุงมือยางสำหรับทำคลอดและศัลยกรรมชนิดยาวพิเศษ ปราศจากเชื้อ ขนาดเบอร์ 7 (L)</t>
  </si>
  <si>
    <t>IV Catheter No.16 /Medicut No.16</t>
  </si>
  <si>
    <t>ชุดเข็มสำหรับแทงและคาหลอดเลือดดำ ขนาดเบอร์ 16 (IV Catheter)</t>
  </si>
  <si>
    <t>IV Catheter No.18 /Medicut No.18</t>
  </si>
  <si>
    <t>ชุดเข็มสำหรับแทงและคาหลอดเลือดดำ ขนาดเบอร์ 18 (IV Catheter)</t>
  </si>
  <si>
    <t>IV Catheter No.18 x 1.25นิ้ว เจเอสวิชั่น</t>
  </si>
  <si>
    <t>ชุดเข็มสำหรับแทงและคาหลอดเลือดดำ ขนาดเบอร์ 18 x 1.25นิ้ว เจเอสวิชั่น</t>
  </si>
  <si>
    <t>IV Catheter No.18 x 1.75นิ้ว เจเอสวิชั่น</t>
  </si>
  <si>
    <t>ชุดเข็มสำหรับแทงและคาหลอดเลือดดำ ขนาดเบอร์ 18 x 1.75นิ้ว เจเอสวิชั่น</t>
  </si>
  <si>
    <t>IV Catheter No.20x1.25 เจเอสวิชั่น</t>
  </si>
  <si>
    <t>ชุดเข็มสำหรับแทงและคาหลอดเลือดดำ ขนาดเบอร์ 20x1.25 เจเอสวิชั่น</t>
  </si>
  <si>
    <t>IV Catheter No.20x1.25/Medicut No.20</t>
  </si>
  <si>
    <t>ชุดเข็มสำหรับแทงและคาหลอดเลือดดำ (IV Catheter) ขนาดเบอร์ 20</t>
  </si>
  <si>
    <t>IV Catheter No.20x1.75 เจเอสวิชั่น</t>
  </si>
  <si>
    <t>ชุดเข็มสำหรับแทงและคาหลอดเลือดดำ ขนาดเบอร์ 20x1.75 เจเอสวิชั่น</t>
  </si>
  <si>
    <t>IV Catheter No.22 /Medicut No.22</t>
  </si>
  <si>
    <t>ชุดเข็มสำหรับแทงและคาหลอดเลือดดำ (IV Catheter) ขนาดเบอร์ 22</t>
  </si>
  <si>
    <t>IV Catheter No.22 x 1 เจเอสวิชั่น</t>
  </si>
  <si>
    <t>ชุดเข็มสำหรับแทงและคาหลอดเลือดดำ ขนาดเบอร์ 22x1 เจเอสวิชั่น</t>
  </si>
  <si>
    <t>IV Catheter No.24 /Medicut No.24</t>
  </si>
  <si>
    <t>ชุดเข็มสำหรับแทงและคาหลอดเลือดดำ (IV Catheter) ขนาดเบอร์ 24</t>
  </si>
  <si>
    <t>IV Catheter No.24 x 0.75 เจเอสวิชั่น</t>
  </si>
  <si>
    <t>ชุดเข็มสำหรับแทงและคาหลอดเลือดดำ ขนาดเบอร์ 24 x 0.75 เจเอสวิชั่น</t>
  </si>
  <si>
    <t>IV Infusion Set VL ST00 (แทน LF600 )</t>
  </si>
  <si>
    <t>ชุดสายให้สารน้ำทางหลอดเลือดดำ ชนิดใช้ร่วมกับเครื่องควบคุมการให้สารน้ำอัตโนมัติ</t>
  </si>
  <si>
    <t>IV Infusion Set ผู้ใหญ่ /ชุดให้น้ำเกลือผู้ใหญ่</t>
  </si>
  <si>
    <t>ชุดให้สารน้ำทางหลอดเลือดดำปราศจากเชื้อสำหรับผู้ใหญ่</t>
  </si>
  <si>
    <t>IV Infusion Set เด็ก/ ชุดให้น้ำเกลือเด็ก</t>
  </si>
  <si>
    <t>ชุดให้สารน้ำทางหลอดเลือดดำปราศจากเชื้อสำหรับเด็ก</t>
  </si>
  <si>
    <t>IV Solution Administration Set</t>
  </si>
  <si>
    <t>ชุดอุปกรณ์บริหารและให้สารน้ำทางหลอดเลือดดำปราศจากเชื้อ</t>
  </si>
  <si>
    <t>Intrafix P Primelene Classic</t>
  </si>
  <si>
    <t>ชุดให้สารละลายทางหลอดเลือดดำสำหรับใช้กับเครื่องควบคุมการให้สารละลายทางหลอดเลือดดำ</t>
  </si>
  <si>
    <t>Terufution Set</t>
  </si>
  <si>
    <t>ชุดให้น้ำเกลือใช้กับเครื่องควบคุมการให้สารละลายทางหลอดเลือดดำ</t>
  </si>
  <si>
    <t>Eye Pad No. L</t>
  </si>
  <si>
    <t>แผ่นผ้าก๊อซปิดตาปราศจากเชื้อ ขนาดใหญ่ (L)</t>
  </si>
  <si>
    <t>Eye Pad No. M</t>
  </si>
  <si>
    <t>แผ่นผ้าก๊อซปิดตาปราศจากเชื้อ ขนาดกลาง (M)</t>
  </si>
  <si>
    <t>Eye Shield Left</t>
  </si>
  <si>
    <t>ฝาครอบตาพลาสติกชนิดมีรูระบายสำหรับตาซ้าย</t>
  </si>
  <si>
    <t>Eye Shield Right</t>
  </si>
  <si>
    <t>T-Way</t>
  </si>
  <si>
    <t>ข้อต่อทางระบายรูปตัวที ชนิดปราศจากเชื้อ</t>
  </si>
  <si>
    <t>T-Way (Terumo)</t>
  </si>
  <si>
    <t>ข้อต่อทางระบายรูปตัวที ชนิดปราศจากเชื้อ สำหรับเด็ก</t>
  </si>
  <si>
    <t>Surplug Needle-Free Connector with Extension</t>
  </si>
  <si>
    <t>ชุดสายต่อพ่วงให้น้ำเกลือชนิดมีข้อต่อแบบปราศจากเข็ม</t>
  </si>
  <si>
    <t>Syringe Disposs Irrigate 50 ml</t>
  </si>
  <si>
    <t>กระบอกสำหรับให้อาหารทางสายยาง ขนาด 50 มิลลิลิตร</t>
  </si>
  <si>
    <t>Syringe Dispos 0.5ml/100 iu x31G (OR)</t>
  </si>
  <si>
    <t>กระบอกฉีดยาปราศจากเชื้อชนิดใช้ครั้งเดียวทิ้ง ขนาด 0.5 มิลลิลิตร ติดเข็ม 31 กรัม</t>
  </si>
  <si>
    <t>Syringe Dispos 0.5ml/100 iu x 26G</t>
  </si>
  <si>
    <t>กระบอกฉีดยาปราศจากเชื้อชนิดใช้ครั้งเดียวทิ้ง ขนาด 0.5 มิลลิลิตร ติดเข็ม 26 กรัม</t>
  </si>
  <si>
    <t>Syringe Dispos 10 ml LUER (TPC)</t>
  </si>
  <si>
    <t>กระบอกฉีดยาพลาสติกชนิดใช้ครั้งเดียวทิ้ง ขนาด 10 มิลลิลิตร หัวต่อแบบทั่วไป</t>
  </si>
  <si>
    <t>Syringe Dispos 10 ml</t>
  </si>
  <si>
    <t>กระบอกฉีดยาปราศจากเชื้อชนิดใช้ครั้งเดียวทิ้ง ขนาด 10 มิลลิลิตร</t>
  </si>
  <si>
    <t>Syringe Dispos 10 ml หัว Lock</t>
  </si>
  <si>
    <t>กระบอกฉีดยาปราศจากเชื้อชนิดใช้ครั้งเดียวทิ้ง ขนาด 10 มิลลิลิตร แบบหัว Lock</t>
  </si>
  <si>
    <t>Syringe Dispos 1ml/100 iu</t>
  </si>
  <si>
    <t>กระบอกฉีดยาปราศจากเชื้อชนิดใช้ครั้งเดียวทิ้ง สำหรับฉีดอินซูลิน พร้อมเข็มฉีดยาชนิดถอดหัวเข็มได้ ขนาด 1 มิลลิลิตร</t>
  </si>
  <si>
    <t>Syringe Dispos 1ml/100 iu fickเข็ม</t>
  </si>
  <si>
    <t>กระบอกฉีดยาปราศจากเชื้อชนิดใช้ครั้งเดียวทิ้ง สำหรับฉีดอินซูลิน ขนาด 1 มล. (100 iu) ชนิดเข็มติดแน่น</t>
  </si>
  <si>
    <t>Syringe Dispos 20 ml</t>
  </si>
  <si>
    <t>กระบอกฉีดยาปราศจากเชื้อชนิดใช้ครั้งเดียวทิ้ง ขนาด 20 มิลลิลิตร</t>
  </si>
  <si>
    <t>Syringe Dispos 3 ml</t>
  </si>
  <si>
    <t>กระบอกฉีดยาปราศจากเชื้อชนิดใช้ครั้งเดียวทิ้ง ขนาด 3 มิลลิลิตร</t>
  </si>
  <si>
    <t>Syringe Dispos 3 ml หัว Lock</t>
  </si>
  <si>
    <t>กระบอกฉีดยาปราศจากเชื้อชนิดใช้ครั้งเดียวทิ้ง ขนาด 3 มิลลิลิตร แบบหัว Lock</t>
  </si>
  <si>
    <t>Syringe Dispos 5 ml</t>
  </si>
  <si>
    <t>กระบอกฉีดยาปราศจากเชื้อชนิดใช้ครั้งเดียวทิ้ง ขนาด 5 มิลลิลิตร</t>
  </si>
  <si>
    <t>Syringe Dispos 5 ml หัว Lock</t>
  </si>
  <si>
    <t>กระบอกฉีดยาปราศจากเชื้อชนิดใช้ครั้งเดียวทิ้ง ขนาด 5 มิลลิลิตร แบบหัว Lock</t>
  </si>
  <si>
    <t>Syringe Dispos 50 ml</t>
  </si>
  <si>
    <t>กระบอกฉีดยาปราศจากเชื้อชนิดใช้ครั้งเดียวทิ้ง ขนาด 50 มิลลิลิตร</t>
  </si>
  <si>
    <t>Syringe Dispos 50 ml หัว Lock</t>
  </si>
  <si>
    <t>กระบอกฉีดยาปราศจากเชื้อชนิดใช้ครั้งเดียวทิ้ง ขนาด 50 มิลลิลิตร แบบหัว Lock</t>
  </si>
  <si>
    <t>Syringe Irrigate 50 ml</t>
  </si>
  <si>
    <t>กระบอกสำหรับให้อาหารทางสายยาง ขนาด 50 มิลลิลิตร ชนิดแก้ว</t>
  </si>
  <si>
    <t>Syringe Posiflush SP 5 ml.</t>
  </si>
  <si>
    <t>กระบอกฉีดยาบรรจุน้ำเกลือ 0.9% Sodium Chloride ขนาด 5 มิลลิลิตร</t>
  </si>
  <si>
    <t>Thermometer (ทางปาก)</t>
  </si>
  <si>
    <t>ปรอทวัดอุณหภูมิร่างกายทางปาก</t>
  </si>
  <si>
    <t>Thermometer ทางทวารหนัก</t>
  </si>
  <si>
    <t>ปรอทวัดอุณหภูมิร่างกายทางทวารหนัก</t>
  </si>
  <si>
    <t>Feeding Tube 5/ 100 CM</t>
  </si>
  <si>
    <t>สายให้อาหารผ่านรูจมูกปราศจากเชื้อ ขนาด 5 แฟรนช์ ความยาว 100 เซนติเมตร</t>
  </si>
  <si>
    <t>Feeding Tube 5/ 40-50 CM</t>
  </si>
  <si>
    <t>สายให้อาหารผ่านรูจมูกปราศจากเชื้อ ขนาด 5 แฟรนช์ ความยาว 40-50 เซนติเมตร</t>
  </si>
  <si>
    <t>Feeding Tube 8/ 100 CM</t>
  </si>
  <si>
    <t>สายให้อาหารผ่านรูจมูกปราศจากเชื้อ ขนาด 8 แฟรนช์ ความยาว 100 เซนติเมตร</t>
  </si>
  <si>
    <t>Feeding Tube 8/ 40-50 CM</t>
  </si>
  <si>
    <t>สายให้อาหารผ่านรูจมูกปราศจากเชื้อ ขนาด 8 แฟรนช์ ความยาว 40-50 เซนติเมตร</t>
  </si>
  <si>
    <t>NG. Tube No.10</t>
  </si>
  <si>
    <t>สายให้อาหารผ่านรูจมูกสู่กระเพาะอาหาร (Nasastric tube) ระยะสั้น เบอร์ 10</t>
  </si>
  <si>
    <t>NG. Tube No.12</t>
  </si>
  <si>
    <t>สายให้อาหารผ่านรูจมูกสู่กระเพาะอาหาร (Nasastric tube) ระยะสั้น เบอร์ 12</t>
  </si>
  <si>
    <t>NG. Tube No.14</t>
  </si>
  <si>
    <t>สายให้อาหารผ่านรูจมูกสู่กระเพาะอาหาร (Nasastric tube) ระยะสั้น เบอร์ 14</t>
  </si>
  <si>
    <t>NG. Tube No.16</t>
  </si>
  <si>
    <t>สายให้อาหารผ่านรูจมูกสู่กระเพาะอาหาร (Nasastric tube) ระยะสั้น เบอร์ 16</t>
  </si>
  <si>
    <t>NG. Tube No.18</t>
  </si>
  <si>
    <t>สายให้อาหารผ่านรูจมูกสู่กระเพาะอาหาร (Nasastric tube) ระยะสั้น เบอร์ 18</t>
  </si>
  <si>
    <t>Urine Bag ผู้ใหญ่</t>
  </si>
  <si>
    <t>ถุงเก็บน้ำปัสสาวะซึ่งต่อจากสายสวนระยะยาว ชนิดใบใหญ่</t>
  </si>
  <si>
    <t>Urine Bag เด็ก</t>
  </si>
  <si>
    <t>ถุงเก็บน้ำปัสสาวะแบบติดกาวสำหรับเด็ก</t>
  </si>
  <si>
    <t>รวม 182 รายการ · DBR/2570/0027 · แท็บ ทั่วไป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</si>
  <si>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อื่นๆ</t>
  </si>
  <si>
    <t>แผ่นเจลมาร์คหน้า (3100012)</t>
  </si>
  <si>
    <t>เต้นท์โดม (3100095)</t>
  </si>
  <si>
    <t>เต้นท์พับ 3-3ผ้าปิดข้างทึบ 3ด้าน (3100098)</t>
  </si>
  <si>
    <t>เต้นท์ห้องน้ำ (3100094)</t>
  </si>
  <si>
    <t>เสื่อปิกนิก (3100097)</t>
  </si>
  <si>
    <t>แผ่นปูรองพื้นเมาท์ (3100096)</t>
  </si>
  <si>
    <t>กระบองพร้อมซอง</t>
  </si>
  <si>
    <t>กล่องเครื่องมือ (3016201)</t>
  </si>
  <si>
    <t>กล่องเครื่องมือDIY</t>
  </si>
  <si>
    <t>ของเล่น เเซ็ทอุปกรณ์ปืนป่าย</t>
  </si>
  <si>
    <t>ของเล่น สำหรับออกกำลังกาย</t>
  </si>
  <si>
    <t>ของเล่นชุดสะพานทรงตัว</t>
  </si>
  <si>
    <t>ของเล่นอุโมงค์ ผ้าร่ม</t>
  </si>
  <si>
    <t>รวม 14 รายการ · DBR/2570/0028 · แท็บ อื่นๆ · หน่วยงาน หน่วยงานพัสดุ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</si>
  <si>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โฆษณา</t>
  </si>
  <si>
    <t>สติ๊กเกอร์ ขนาด 10 x 6.5 เซนติเมตร</t>
  </si>
  <si>
    <t>วัสดุโฆษณาและเผยแพร่</t>
  </si>
  <si>
    <t>เคาร์เตอร์โครง PVC</t>
  </si>
  <si>
    <t>แบคดรอป</t>
  </si>
  <si>
    <t>แม่พิมพ์โลโก้ "โรงพยาบาลวชิระภูเก็ต"</t>
  </si>
  <si>
    <t>โปรแกรม Acrobat Pro</t>
  </si>
  <si>
    <t>โปรแกรม Canva Teams</t>
  </si>
  <si>
    <t>โปรแกรม Capcut Pro</t>
  </si>
  <si>
    <t>โปรแกรม Free Pik Premium</t>
  </si>
  <si>
    <t>โปรแกรม ILLustrator</t>
  </si>
  <si>
    <t>โปรแกรม Lightroom</t>
  </si>
  <si>
    <t>โปรแกรม Photoshop</t>
  </si>
  <si>
    <t>โปรแกรม Zoom</t>
  </si>
  <si>
    <t>โปสเตอร์แสตน์เหล็ก</t>
  </si>
  <si>
    <t>ไวนิล</t>
  </si>
  <si>
    <t>ไวนิล (ลำดับ 2)</t>
  </si>
  <si>
    <t>ไวนิล (ลำดับ 3)</t>
  </si>
  <si>
    <t>ไวนิล (ลำดับ 4)</t>
  </si>
  <si>
    <t>ไวนิล (วากัฟฉายแสง)</t>
  </si>
  <si>
    <t>ไวนิล ขนาด 1.2 x 2.4 เมตร</t>
  </si>
  <si>
    <t>ไวนิล ขนาด 100 x 100 เซนติเมตร</t>
  </si>
  <si>
    <t>ไวนิล ขนาด 200 x 180 เซนติเมตร</t>
  </si>
  <si>
    <t>ไวนิล ขนาด 480 x 240 เซนติเมตร</t>
  </si>
  <si>
    <t>ไวนิล ขนาด 6 x 2.4 เมตร</t>
  </si>
  <si>
    <t>ไวนิล ขนาด 70 x 230 เซนติเมตร</t>
  </si>
  <si>
    <t>ไวนิล ขนาด 88 x 58 เซนติเมตร</t>
  </si>
  <si>
    <t>งานตัวอักษรหน้าโต๊ะ</t>
  </si>
  <si>
    <t>ชุดโรอัพ</t>
  </si>
  <si>
    <t>บอร์ดประชาสัมพันธ์</t>
  </si>
  <si>
    <t>บอร์ดประชาสัมพันธ์ในลิฟต์</t>
  </si>
  <si>
    <t>บอร์ดประชาสัมพันธ์ในลิฟต์ (ลำดับ 2)</t>
  </si>
  <si>
    <t>ป้ายโรงขยะ ขนาด 55 x 22 เซนติเมตร</t>
  </si>
  <si>
    <t>ป้ายโรอัพ ขนาด 80 x 200 เซนติเมตร</t>
  </si>
  <si>
    <t>ป้ายไวนิล UV ขนาด 240 x 120 เซนติเมตร</t>
  </si>
  <si>
    <t>ป้ายไวนิล ขนาด 2 x 1 เมตร</t>
  </si>
  <si>
    <t>ป้ายไวนิลธงญี่ปุ่น</t>
  </si>
  <si>
    <t>ป้ายชื่อหมอ ป้ายสอดแผ่นอคริลิก</t>
  </si>
  <si>
    <t>ป้ายชื่อหมอ ป้ายสอดแผ่นอะคลิลิค</t>
  </si>
  <si>
    <t>ป้ายพลาสวูดวงกลมสีทอง</t>
  </si>
  <si>
    <t>ป้ายมูลฝอยอันตราย ขนาด 80 x 30 เซนติเมตร</t>
  </si>
  <si>
    <t>ป้ายสถานที่พักรวมข้อมูลฝอย</t>
  </si>
  <si>
    <t>ป้ายอะคริลิคแบบสอด ขนาด 28 x 18 เวนติเมตร</t>
  </si>
  <si>
    <t>ป้ายอะคริลิคพร้อมติดสติ๊กเกอร์</t>
  </si>
  <si>
    <t>สติ๊เกอร์ ขนาด 100 x 50 เซนติเมตร</t>
  </si>
  <si>
    <t>สติ๊เกอร์ ขนาด 100 x 80 เซนติเมตร</t>
  </si>
  <si>
    <t>สติ๊กเกอร์ Standy</t>
  </si>
  <si>
    <t>สติ๊กเกอร์ ขนาด 0.5 x 1 เมตร</t>
  </si>
  <si>
    <t>สติ๊กเกอร์ ขนาด 1.2 x 1.2 เมตร</t>
  </si>
  <si>
    <t>สติ๊กเกอร์ ขนาด 1.2 x 2.2 เมตร</t>
  </si>
  <si>
    <t>สติ๊กเกอร์ ขนาด 1.2 x 3 เมตร</t>
  </si>
  <si>
    <t>สติ๊กเกอร์ ขนาด 1.2 x 3.8 เมตร</t>
  </si>
  <si>
    <t>สติ๊กเกอร์ ขนาด 1.5 x 2.5 เมตร</t>
  </si>
  <si>
    <t>สติ๊กเกอร์ ขนาด 12 x 10 เซนติเมตร</t>
  </si>
  <si>
    <t>สติ๊กเกอร์ ขนาด 80 x 35 เซนติเมตร</t>
  </si>
  <si>
    <t>สติ๊กเกอร์ซีทรู ขนาด 1.1 x 3.8 เมตร</t>
  </si>
  <si>
    <t>สติ๊กเกอร์ซีทรู ขนาด 2 x 3.44 เมตร</t>
  </si>
  <si>
    <t>สติ๊กเกอร์ติดพลาสวูด</t>
  </si>
  <si>
    <t>สติ๊กเกอร์ฝ้า</t>
  </si>
  <si>
    <t>สติ๊กเกอร์ฝ้า (ลำดับ 2)</t>
  </si>
  <si>
    <t>สติ๊กเกอร์ห้องยา</t>
  </si>
  <si>
    <t>สตีกเกอร์ซีทรู ขนาด 115 x 260 เซนติเมตร</t>
  </si>
  <si>
    <t>สตีกเกอร์ซีทรู ขนาด 125 x 900 เซนติเมตร</t>
  </si>
  <si>
    <t>สาติ๊กเกอร์ป้ายรณรงค์ป้องกันฯ</t>
  </si>
  <si>
    <t>สิทธิการใช้งาน Microsoft</t>
  </si>
  <si>
    <t>รวม 63 รายการ · DBR/2570/0029 · แท็บ โฆษณา · หน่วยงาน งานประชาสัมพันธ์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</si>
  <si>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วัสดุคอมพิวเตอร์</t>
  </si>
  <si>
    <t>เมาส์ + คีย์บอร์ด (3018735)</t>
  </si>
  <si>
    <t>10GBBASE-LRSFB Module ENTERPRICES-cIASS (3012289)</t>
  </si>
  <si>
    <t>Adapter N/B Asus 19V (3017887)</t>
  </si>
  <si>
    <t>Adepter 20V 2.25A (3017888)</t>
  </si>
  <si>
    <t>ADP ACK NADACK (3012347)</t>
  </si>
  <si>
    <t>ADP ASUN NADASS 193440 (3013299)</t>
  </si>
  <si>
    <t>ADPIER NOTEROOK INNERGIE POWERGEAR65 (3018515)</t>
  </si>
  <si>
    <t>Adupler Lenovo 20V2</t>
  </si>
  <si>
    <t>Cisco C1200-24P-24G (3015014)</t>
  </si>
  <si>
    <t>Cisco Intersight SaaS</t>
  </si>
  <si>
    <t>depler 19V (3013299)</t>
  </si>
  <si>
    <t>Gyabyle N73002Gl 2GB</t>
  </si>
  <si>
    <t>Honeywell Baroode Scanner (3018481)</t>
  </si>
  <si>
    <t>Key board USA K120 (3012054)</t>
  </si>
  <si>
    <t>Logitech Mouse M100R (3012446)</t>
  </si>
  <si>
    <t>Logitech Webcam PRO C922 (3016085)</t>
  </si>
  <si>
    <t>Mouse Logttecm B100 (3012446)</t>
  </si>
  <si>
    <t>Power Supply</t>
  </si>
  <si>
    <t>Power Supply (3017551)</t>
  </si>
  <si>
    <t>Switching HUB 8Port8 (3019655)</t>
  </si>
  <si>
    <t>THREE boy HDME slm Cabie Maie 19M (3015987)</t>
  </si>
  <si>
    <t>TP-LINK Swich 10/100 (3019011)</t>
  </si>
  <si>
    <t>UGREEN 10203 DI5PA|LAY PORT 3MM (3018441)</t>
  </si>
  <si>
    <t>UGREEN 40202 HDME (3019239)</t>
  </si>
  <si>
    <t>USB Cable A To B 3M (3016638)</t>
  </si>
  <si>
    <t>Wacom CTL-4100 (3019987)</t>
  </si>
  <si>
    <t>เครื่องพิมพ์ความร้อน (3019985)</t>
  </si>
  <si>
    <t>เครื่องสแกนบาร์โค้ค</t>
  </si>
  <si>
    <t>เพลตฟอร์มจัดเก็บข้อมูล Hyper Flex</t>
  </si>
  <si>
    <t>เมาส์ + คีย์บอร์ด</t>
  </si>
  <si>
    <t>เมาส์ + คีย์บอร์ด (3018735) (ลำดับ 2)</t>
  </si>
  <si>
    <t>เมาส์ + คีย์บอร์ด (3018735) (ลำดับ 3)</t>
  </si>
  <si>
    <t>เมาส์+คีย์บอร์ด</t>
  </si>
  <si>
    <t>เมาส์-คีย์บอร์ด (3018735)</t>
  </si>
  <si>
    <t>เลนกล้องถ่ายรุป (3019441)</t>
  </si>
  <si>
    <t>แผ่นซับ Maintenance Box C938731 (3019983)</t>
  </si>
  <si>
    <t>แหล่งจ่ายไฟ (3019196)</t>
  </si>
  <si>
    <t>แหล่งจ่ายไฟ (3019196) (ลำดับ 2)</t>
  </si>
  <si>
    <t>แหล่งจ่ายไฟ (3019196) (ลำดับ 3)</t>
  </si>
  <si>
    <t>กล้องแว๊บแคบ</t>
  </si>
  <si>
    <t>กล้องแว๊บแคบ (ลำดับ 2)</t>
  </si>
  <si>
    <t>กล้องแว๊บแคบ (3016085)</t>
  </si>
  <si>
    <t>ขาตั้งแทบแลต (3019785)</t>
  </si>
  <si>
    <t>ชารร์ทเครื่องคอมพิวเตอร์</t>
  </si>
  <si>
    <t>ซับหมึก Epson Main tenance Box To 100F</t>
  </si>
  <si>
    <t>ซับหมึก Epson Main tenance Box To 100F (3019003)</t>
  </si>
  <si>
    <t>ซับหมึก Maintenace Box C938731 (3019003)</t>
  </si>
  <si>
    <t>ซับหมึก Maintenace cartridge for PIKMA (3019983)</t>
  </si>
  <si>
    <t>ซับหมึกEpson Main tenance (3019003)</t>
  </si>
  <si>
    <t>ซับหมึกEpson Main tenance Box To 40 100For</t>
  </si>
  <si>
    <t>ฟิลม์กันกระแทก (3019973)</t>
  </si>
  <si>
    <t>สวิตซ์ 16พอร์ต</t>
  </si>
  <si>
    <t>สายHDMI ugreen ยาว20เมตร (3017580)</t>
  </si>
  <si>
    <t>สายHHDMIC ยาว10เมตร</t>
  </si>
  <si>
    <t>สายเชื่อมไฟเบอร์ โหมด3เมตร (3019360)</t>
  </si>
  <si>
    <t>สายเชื่อมไฟเบอร์ แบบมันติโมด7เมตร (3019363)</t>
  </si>
  <si>
    <t>สายแจ๊คต่อสัญญาณ ยาว30เมตร</t>
  </si>
  <si>
    <t>สายแพรชุดหัวพิมพ์ Epson L3110 (3100038)</t>
  </si>
  <si>
    <t>สายแลนด์สำหรับภายใน</t>
  </si>
  <si>
    <t>สายไมโคนโฟน ยาว1.5เมตร</t>
  </si>
  <si>
    <t>สายสัญาญาณยาว10เมตร</t>
  </si>
  <si>
    <t>สายสัญาญาณยาว30เมตร</t>
  </si>
  <si>
    <t>หน่วยความจำ (3018324)</t>
  </si>
  <si>
    <t>หน่วยความจำบันทึก</t>
  </si>
  <si>
    <t>หน่วยความจำบันทึก ความจำ 2เทราไนต์</t>
  </si>
  <si>
    <t>หน่วยจัดเก็บข้อมูล 1TB (3016203)</t>
  </si>
  <si>
    <t>หน่วยจัดเก็บความจำ</t>
  </si>
  <si>
    <t>หัว Piug Rj46 (3019955)</t>
  </si>
  <si>
    <t>หัวพิมพ์ เครื่องปริ้น (3010270)</t>
  </si>
  <si>
    <t>หูฟังคาดศีรษะ</t>
  </si>
  <si>
    <t>อะแคปเตอร์</t>
  </si>
  <si>
    <t>อุปกรณ์ SFP +โมดูความเร็ว 10G (3019366)</t>
  </si>
  <si>
    <t>อุปกรณ์เก็บข้อมุูลเครือข่าย (3013041)</t>
  </si>
  <si>
    <t>อุปกรณ์เก็บข้อมูล (3019937)</t>
  </si>
  <si>
    <t>อุปกรณ์เก็บข้อมูล (3019937) (ลำดับ 2)</t>
  </si>
  <si>
    <t>อุปกรณ์เก็บข้อมูลเครือข่าย</t>
  </si>
  <si>
    <t>อุปกรณ์แปลงสัญญาณ</t>
  </si>
  <si>
    <t>อุปกรณ์แปลงสัญาณ (3019239)</t>
  </si>
  <si>
    <t>อุปกรณ์จัดเก็บข้อมูล</t>
  </si>
  <si>
    <t>อุปกรณ์ต่อสัญาณ (3019655)</t>
  </si>
  <si>
    <t>อุปกรณ์ตัวจ่ายไฟ</t>
  </si>
  <si>
    <t>อุปกรณ์รับสัญาณ</t>
  </si>
  <si>
    <t>อุปกรณ์รับสัญาณ (3019655)</t>
  </si>
  <si>
    <t>ฮาร์คดิสค์</t>
  </si>
  <si>
    <t>ฮาร์ดดิสต์</t>
  </si>
  <si>
    <t>ฮาร์ตดิสก์ 3.5</t>
  </si>
  <si>
    <t>รวม 86 รายการ · DBR/2570/0030 · แท็บ วัสดุคอมพิวเตอร์ · หน่วยงาน กลุ่มภารกิจสุขภาพดิจิทัล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</si>
  <si>
    <t>โรงพยาบาลวชิระภูเก็ต · คำของบวัสดุ ปี 2570 · แท็บ Wellness</t>
  </si>
  <si>
    <t>ชุดตรวจ DNA (DNA Lifestyle)</t>
  </si>
  <si>
    <t>เงินบำรุง รพ.วชิระภูเก็ต</t>
  </si>
  <si>
    <t>เข็มเจาะเลือดแบบหลายตัวอย่าง (Multi-needle)</t>
  </si>
  <si>
    <t>คีมคีบเนื้อเยื่อชนิดไมโครแอดสัน (Micro Adson Forceps)</t>
  </si>
  <si>
    <t>เครื่องมือกดสิวอุดตัน (Comedone extractor)</t>
  </si>
  <si>
    <t>หัวส่งพลังงานคลื่นวิทยุร่วมกับไมโครนีดเดิล ชนิด 36 เข็ม สำหรับเครื่อง Virtue RF (ชนิด Deep) (Deep RF 36-Pin Tip for Virtue RF)</t>
  </si>
  <si>
    <t>หัวส่งพลังงานคลื่นวิทยุร่วมกับไมโครนีดเดิล ชนิด 36 เข็ม สำหรับเครื่อง Virtue RF (ชนิด Smart) (Smart RF 36-Pin Tip for Virtue RF) สีน้ำเงิน</t>
  </si>
  <si>
    <t>หัวส่งพลังงานคลื่นวิทยุร่วมกับไมโครนีดเดิล ชนิด 36 เข็ม สำหรับเครื่อง Virtue RF (Smart RF II) (Smart RF 36-Pin Tip II (Red) for Virtue RF)สีแดง</t>
  </si>
  <si>
    <t>ชุดสารทดสอบการแพ้ทางผิวหนัง ชุดมาตรฐานยุโรป (European Baseline Series S-1000)</t>
  </si>
  <si>
    <t>ชุดอุปกรณ์ติดแผ่นทดสอบการแพ้ทางผิวหนัง พร้อมอุปกรณ์ติดตั้ง (IQ-USET IQ Ultra Bundle: 3 Boxes with Application Device)</t>
  </si>
  <si>
    <t>หัวยกกระชับใบหน้า ชนิด 1-1.5 มม. (Microfocused Ultrasound Transducer, 1-1.5 mm)</t>
  </si>
  <si>
    <t>หัวยกกระชับใบหน้า ชนิด 3.0 มม. (Microfocused Ultrasound Transducer, 3.0 mm)</t>
  </si>
  <si>
    <t>หัวยกกระชับใบหน้า ชนิด 4-4.5 มม. (Microfocused Ultrasound Transducer, 4-4.5 mm)</t>
  </si>
  <si>
    <t>ผลิตภัณฑ์เสริมอาหารโปรไบโอติก โปรแบค เท็น พลัส บรรจุ 30 ซอง (Probac 10 plus 30 sachets)</t>
  </si>
  <si>
    <t>ผลิตภัณฑ์เสริมอาหารโปรไบโอติก ทีเอสซิกซ์ โปรไบโอติก บรรจุ 45 ซอง (TS6 Probiotic 45 sachets)</t>
  </si>
  <si>
    <t>ผลิตภัณฑ์เสริมอาหารโปรไบโอติก โปรแบค มู้ด บรรจุ 30 ซอง (Probac Mood 30 sachets)</t>
  </si>
  <si>
    <t>ผลิตภัณฑ์เสริมอาหารใยอาหาร ไฟโบ ฟิต บรรจุ 10 ซอง (Fibo FIT 10 sachets)</t>
  </si>
  <si>
    <t>ทิชชู่เช็ดหน้า (กล่อง) (Facial Tissue)</t>
  </si>
  <si>
    <t>แผ่นรองกันเปื้อน (ม้วน) (Disposable Bed sheet Roll)</t>
  </si>
  <si>
    <t>พลาสเตอร์ยา (medical plaster) (กล่อง)</t>
  </si>
  <si>
    <t>สำลีแผ่นชนิดไม่รีดขอบ (100แผ่น/ห่อ) (cotton pad)</t>
  </si>
  <si>
    <t>แรปใส (Plastic Wrap)</t>
  </si>
  <si>
    <t>ยาชา (กระปุก) (Topical Anesthetic cream)</t>
  </si>
  <si>
    <t>เจลวิตามินซี (Vitamin C Gel)</t>
  </si>
  <si>
    <t>เจลอโล (Aloe Gel)</t>
  </si>
  <si>
    <t>เจลทรานสมิก (Tranexamic Acid Gel)</t>
  </si>
  <si>
    <t>เจลไอพีแอล (IPL gel)</t>
  </si>
  <si>
    <t>เจลว่านหางจรเข้ (Aloe Vera Gel)</t>
  </si>
  <si>
    <t>เจลลดริ้วรอย (Anti-Wrinkle Gel)</t>
  </si>
  <si>
    <t>เสื้อกาวน์แพทย์ (Doctor's gown)</t>
  </si>
  <si>
    <t>ชุดยูนิฟอร์มเจ้าหน้าที่ (Clinic Staff Uniform)</t>
  </si>
  <si>
    <t>ชุดยูนิฟอร์มเจ้าหน้าที่กายภาพ (Clinic Staff Uniform)</t>
  </si>
  <si>
    <t>ป้ายชื่อเจ้าหน้าที่ (Name Badge)</t>
  </si>
  <si>
    <t>แฟ้มสำหรับใส่ข้อมูลลูกค้า (Patient Record File Folder)</t>
  </si>
  <si>
    <t>ชุดสำหรับผู้ป่วย</t>
  </si>
  <si>
    <t>ผ้าสำหรับคลุมโซฟา</t>
  </si>
  <si>
    <t>รวม 35 รายการ · DBR/2570/0031 · แท็บ Wellness · หน่วยงาน ศูนย์ Wellness · โมเดล departmental.budget.request.material.detail · ส่งออกจากฐาน VPK-S1 วันที่ 12 ต.ค. 2569 · ต้นทางไฟล์ แบบฟอร์มที่ 3 แผนปีงบประมาณ 2570 หมวดวัสดุ.xlsx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</si>
</sst>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"/>
    <numFmt numFmtId="165" formatCode="#,##0.0000"/>
  </numFmts>
  <fonts count="9" x14ac:knownFonts="1">
    <font>
      <sz val="11"/>
      <color theme="1"/>
      <name val="Calibri"/>
      <family val="2"/>
      <scheme val="minor"/>
    </font>
    <font>
      <b/>
      <sz val="16"/>
      <color rgb="FF123A56"/>
      <name val="Prompt"/>
    </font>
    <font>
      <b/>
      <sz val="11"/>
      <color rgb="FF123A56"/>
      <name val="Prompt"/>
    </font>
    <font>
      <sz val="11"/>
      <color rgb="FF2F3A48"/>
      <name val="Prompt"/>
    </font>
    <font>
      <b/>
      <sz val="11"/>
      <color rgb="FF0F7A72"/>
      <name val="Prompt"/>
    </font>
    <font>
      <sz val="11"/>
      <color rgb="FF0F7A72"/>
      <name val="Prompt"/>
    </font>
    <font>
      <b/>
      <sz val="11"/>
      <color rgb="FFFFFFFF"/>
      <name val="Prompt"/>
    </font>
    <font>
      <b/>
      <sz val="14"/>
      <color rgb="FF123A56"/>
      <name val="Prompt"/>
    </font>
    <font>
      <u/>
      <sz val="11"/>
      <color rgb="FF0F7A72"/>
      <name val="Prompt"/>
    </font>
  </fonts>
  <fills count="5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5F5EA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0" borderId="0" xfId="0" applyFo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58"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  <dxf>
      <font>
        <b/>
        <color rgb="FF9B2335"/>
        <name val="Prompt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A56"/>
    <pageSetUpPr fitToPage="1"/>
  </sheetPr>
  <dimension ref="A1:J37"/>
  <sheetViews>
    <sheetView showGridLines="0" zoomScale="120" workbookViewId="0">
      <pane ySplit="6" topLeftCell="A7" activePane="bottomLeft" state="frozen"/>
      <selection pane="bottomLeft" sqref="A1:J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22" customWidth="1"/>
    <col min="4" max="4" width="38" customWidth="1"/>
    <col min="5" max="5" width="14" customWidth="1"/>
    <col min="6" max="7" width="20" customWidth="1"/>
    <col min="8" max="9" width="16" customWidth="1"/>
    <col min="10" max="10" width="28" customWidth="1"/>
  </cols>
  <sheetData>
    <row r="1" spans="1:10" ht="26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2" customHeight="1" x14ac:dyDescent="0.4">
      <c r="A2" s="25" t="s">
        <v>1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0" customHeight="1" x14ac:dyDescent="0.2">
      <c r="A3" s="24" t="s">
        <v>2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36" customHeight="1" x14ac:dyDescent="0.2">
      <c r="A4" s="23" t="s">
        <v>3</v>
      </c>
      <c r="B4" s="22"/>
      <c r="C4" s="22"/>
      <c r="D4" s="22"/>
      <c r="E4" s="22"/>
      <c r="F4" s="22"/>
      <c r="G4" s="22"/>
      <c r="H4" s="22"/>
      <c r="I4" s="22"/>
      <c r="J4" s="22"/>
    </row>
    <row r="6" spans="1:10" ht="28" customHeight="1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ht="22" customHeight="1" x14ac:dyDescent="0.2">
      <c r="A7" s="3">
        <v>1</v>
      </c>
      <c r="B7" s="4" t="s">
        <v>14</v>
      </c>
      <c r="C7" s="5" t="s">
        <v>15</v>
      </c>
      <c r="D7" s="4" t="s">
        <v>16</v>
      </c>
      <c r="E7" s="6">
        <f>COUNTA(วัสดุสำนักงาน!C5:C517)</f>
        <v>513</v>
      </c>
      <c r="F7" s="7">
        <f>SUM(วัสดุสำนักงาน!M5:M517)</f>
        <v>8614565.0500000007</v>
      </c>
      <c r="G7" s="8">
        <v>8614565.0500000007</v>
      </c>
      <c r="H7" s="7">
        <f t="shared" ref="H7:H34" si="0">F7-G7</f>
        <v>0</v>
      </c>
      <c r="I7" s="9"/>
      <c r="J7" s="4"/>
    </row>
    <row r="8" spans="1:10" ht="22" customHeight="1" x14ac:dyDescent="0.2">
      <c r="A8" s="3">
        <v>2</v>
      </c>
      <c r="B8" s="4" t="s">
        <v>17</v>
      </c>
      <c r="C8" s="5" t="s">
        <v>18</v>
      </c>
      <c r="D8" s="4" t="s">
        <v>16</v>
      </c>
      <c r="E8" s="6">
        <f>COUNTA(งานบ้าน!C5:C432)</f>
        <v>428</v>
      </c>
      <c r="F8" s="7">
        <f>SUM(งานบ้าน!M5:M432)</f>
        <v>19680884.630000003</v>
      </c>
      <c r="G8" s="8">
        <v>19680884.629999999</v>
      </c>
      <c r="H8" s="7">
        <f t="shared" si="0"/>
        <v>0</v>
      </c>
      <c r="I8" s="9"/>
      <c r="J8" s="4"/>
    </row>
    <row r="9" spans="1:10" ht="22" customHeight="1" x14ac:dyDescent="0.2">
      <c r="A9" s="3">
        <v>3</v>
      </c>
      <c r="B9" s="4" t="s">
        <v>19</v>
      </c>
      <c r="C9" s="5" t="s">
        <v>20</v>
      </c>
      <c r="D9" s="4" t="s">
        <v>16</v>
      </c>
      <c r="E9" s="6">
        <f>COUNTA(เชื้อเพลิง!C5:C7)</f>
        <v>3</v>
      </c>
      <c r="F9" s="7">
        <f>SUM(เชื้อเพลิง!M5:M7)</f>
        <v>9633924</v>
      </c>
      <c r="G9" s="8">
        <v>9633924</v>
      </c>
      <c r="H9" s="7">
        <f t="shared" si="0"/>
        <v>0</v>
      </c>
      <c r="I9" s="9"/>
      <c r="J9" s="4"/>
    </row>
    <row r="10" spans="1:10" ht="22" customHeight="1" x14ac:dyDescent="0.2">
      <c r="A10" s="3">
        <v>4</v>
      </c>
      <c r="B10" s="4" t="s">
        <v>21</v>
      </c>
      <c r="C10" s="5" t="s">
        <v>22</v>
      </c>
      <c r="D10" s="4" t="s">
        <v>23</v>
      </c>
      <c r="E10" s="6">
        <f>COUNTA(เครื่องแต่งกาย!C5:C103)</f>
        <v>99</v>
      </c>
      <c r="F10" s="7">
        <f>SUM(เครื่องแต่งกาย!M5:M103)</f>
        <v>2699621.6</v>
      </c>
      <c r="G10" s="8">
        <v>2699621.6</v>
      </c>
      <c r="H10" s="7">
        <f t="shared" si="0"/>
        <v>0</v>
      </c>
      <c r="I10" s="9"/>
      <c r="J10" s="4"/>
    </row>
    <row r="11" spans="1:10" ht="22" customHeight="1" x14ac:dyDescent="0.2">
      <c r="A11" s="3">
        <v>5</v>
      </c>
      <c r="B11" s="4" t="s">
        <v>24</v>
      </c>
      <c r="C11" s="5" t="s">
        <v>25</v>
      </c>
      <c r="D11" s="4" t="s">
        <v>16</v>
      </c>
      <c r="E11" s="6">
        <f>COUNTA(ออกซิเจนเหลว!C5:C7)</f>
        <v>3</v>
      </c>
      <c r="F11" s="7">
        <f>SUM(ออกซิเจนเหลว!M5:M7)</f>
        <v>10018000</v>
      </c>
      <c r="G11" s="8">
        <v>10018000</v>
      </c>
      <c r="H11" s="7">
        <f t="shared" si="0"/>
        <v>0</v>
      </c>
      <c r="I11" s="9"/>
      <c r="J11" s="4"/>
    </row>
    <row r="12" spans="1:10" ht="22" customHeight="1" x14ac:dyDescent="0.2">
      <c r="A12" s="3">
        <v>6</v>
      </c>
      <c r="B12" s="4" t="s">
        <v>26</v>
      </c>
      <c r="C12" s="5" t="s">
        <v>27</v>
      </c>
      <c r="D12" s="4" t="s">
        <v>28</v>
      </c>
      <c r="E12" s="6">
        <f>COUNTA(Lab!C5:C297)</f>
        <v>293</v>
      </c>
      <c r="F12" s="7">
        <f>SUM(Lab!M5:M297)</f>
        <v>53413677.25</v>
      </c>
      <c r="G12" s="8">
        <v>53413677.25</v>
      </c>
      <c r="H12" s="7">
        <f t="shared" si="0"/>
        <v>0</v>
      </c>
      <c r="I12" s="9"/>
      <c r="J12" s="4"/>
    </row>
    <row r="13" spans="1:10" ht="22" customHeight="1" x14ac:dyDescent="0.2">
      <c r="A13" s="3">
        <v>7</v>
      </c>
      <c r="B13" s="4" t="s">
        <v>29</v>
      </c>
      <c r="C13" s="5" t="s">
        <v>30</v>
      </c>
      <c r="D13" s="4" t="s">
        <v>28</v>
      </c>
      <c r="E13" s="6">
        <f>COUNTA(LabCOVID!C5:C6)</f>
        <v>2</v>
      </c>
      <c r="F13" s="7">
        <f>SUM(LabCOVID!M5:M6)</f>
        <v>998960</v>
      </c>
      <c r="G13" s="8">
        <v>998960</v>
      </c>
      <c r="H13" s="7">
        <f t="shared" si="0"/>
        <v>0</v>
      </c>
      <c r="I13" s="9"/>
      <c r="J13" s="4"/>
    </row>
    <row r="14" spans="1:10" ht="22" customHeight="1" x14ac:dyDescent="0.2">
      <c r="A14" s="3">
        <v>8</v>
      </c>
      <c r="B14" s="4" t="s">
        <v>31</v>
      </c>
      <c r="C14" s="5" t="s">
        <v>32</v>
      </c>
      <c r="D14" s="4" t="s">
        <v>28</v>
      </c>
      <c r="E14" s="6">
        <f>COUNTA(พยาธิกายวิภาค!C5:C27)</f>
        <v>23</v>
      </c>
      <c r="F14" s="7">
        <f>SUM(พยาธิกายวิภาค!M5:M27)</f>
        <v>1199640</v>
      </c>
      <c r="G14" s="8">
        <v>1199640</v>
      </c>
      <c r="H14" s="7">
        <f t="shared" si="0"/>
        <v>0</v>
      </c>
      <c r="I14" s="9"/>
      <c r="J14" s="4"/>
    </row>
    <row r="15" spans="1:10" ht="22" customHeight="1" x14ac:dyDescent="0.2">
      <c r="A15" s="3">
        <v>9</v>
      </c>
      <c r="B15" s="4" t="s">
        <v>33</v>
      </c>
      <c r="C15" s="5" t="s">
        <v>34</v>
      </c>
      <c r="D15" s="4" t="s">
        <v>35</v>
      </c>
      <c r="E15" s="6">
        <f>COUNTA(ธนาคารเลือด!C5:C81)</f>
        <v>77</v>
      </c>
      <c r="F15" s="7">
        <f>SUM(ธนาคารเลือด!M5:M81)</f>
        <v>17933878.399999999</v>
      </c>
      <c r="G15" s="8">
        <v>17933878.399999999</v>
      </c>
      <c r="H15" s="7">
        <f t="shared" si="0"/>
        <v>0</v>
      </c>
      <c r="I15" s="9"/>
      <c r="J15" s="4"/>
    </row>
    <row r="16" spans="1:10" ht="22" customHeight="1" x14ac:dyDescent="0.2">
      <c r="A16" s="3">
        <v>10</v>
      </c>
      <c r="B16" s="4" t="s">
        <v>36</v>
      </c>
      <c r="C16" s="5" t="s">
        <v>37</v>
      </c>
      <c r="D16" s="4" t="s">
        <v>38</v>
      </c>
      <c r="E16" s="6">
        <f>COUNTA(ยา!C5:C1063)</f>
        <v>1059</v>
      </c>
      <c r="F16" s="7">
        <f>SUM(ยา!M5:M1063)</f>
        <v>572516952.37999988</v>
      </c>
      <c r="G16" s="8">
        <v>572516952.38</v>
      </c>
      <c r="H16" s="7">
        <f t="shared" si="0"/>
        <v>0</v>
      </c>
      <c r="I16" s="9"/>
      <c r="J16" s="4"/>
    </row>
    <row r="17" spans="1:10" ht="22" customHeight="1" x14ac:dyDescent="0.2">
      <c r="A17" s="3">
        <v>11</v>
      </c>
      <c r="B17" s="4" t="s">
        <v>39</v>
      </c>
      <c r="C17" s="5" t="s">
        <v>40</v>
      </c>
      <c r="D17" s="4" t="s">
        <v>38</v>
      </c>
      <c r="E17" s="6">
        <f>COUNTA(วัสดุเภสัชกรรม!C5:C112)</f>
        <v>108</v>
      </c>
      <c r="F17" s="7">
        <f>SUM(วัสดุเภสัชกรรม!M5:M112)</f>
        <v>11563020.899999999</v>
      </c>
      <c r="G17" s="8">
        <v>11563020.9</v>
      </c>
      <c r="H17" s="7">
        <f t="shared" si="0"/>
        <v>0</v>
      </c>
      <c r="I17" s="9"/>
      <c r="J17" s="4"/>
    </row>
    <row r="18" spans="1:10" ht="22" customHeight="1" x14ac:dyDescent="0.2">
      <c r="A18" s="3">
        <v>12</v>
      </c>
      <c r="B18" s="4" t="s">
        <v>41</v>
      </c>
      <c r="C18" s="5" t="s">
        <v>42</v>
      </c>
      <c r="D18" s="4" t="s">
        <v>43</v>
      </c>
      <c r="E18" s="6">
        <f>COUNTA(ทันตกรรม!C5:C554)</f>
        <v>550</v>
      </c>
      <c r="F18" s="7">
        <f>SUM(ทันตกรรม!M5:M554)</f>
        <v>5187197.3999999994</v>
      </c>
      <c r="G18" s="8">
        <v>5187197.4000000004</v>
      </c>
      <c r="H18" s="7">
        <f t="shared" si="0"/>
        <v>0</v>
      </c>
      <c r="I18" s="9"/>
      <c r="J18" s="4"/>
    </row>
    <row r="19" spans="1:10" ht="22" customHeight="1" x14ac:dyDescent="0.2">
      <c r="A19" s="3">
        <v>13</v>
      </c>
      <c r="B19" s="4" t="s">
        <v>44</v>
      </c>
      <c r="C19" s="5" t="s">
        <v>45</v>
      </c>
      <c r="D19" s="4" t="s">
        <v>46</v>
      </c>
      <c r="E19" s="6">
        <f>COUNTA(โภชนาการ!C5:C330)</f>
        <v>326</v>
      </c>
      <c r="F19" s="7">
        <f>SUM(โภชนาการ!M5:M330)</f>
        <v>50403619.75</v>
      </c>
      <c r="G19" s="8">
        <v>50403619.75</v>
      </c>
      <c r="H19" s="7">
        <f t="shared" si="0"/>
        <v>0</v>
      </c>
      <c r="I19" s="9"/>
      <c r="J19" s="4"/>
    </row>
    <row r="20" spans="1:10" ht="22" customHeight="1" x14ac:dyDescent="0.2">
      <c r="A20" s="3">
        <v>14</v>
      </c>
      <c r="B20" s="4" t="s">
        <v>47</v>
      </c>
      <c r="C20" s="5" t="s">
        <v>48</v>
      </c>
      <c r="D20" s="4" t="s">
        <v>16</v>
      </c>
      <c r="E20" s="6">
        <f>COUNTA(แบบพิมพ์!C5:C141)</f>
        <v>137</v>
      </c>
      <c r="F20" s="7">
        <f>SUM(แบบพิมพ์!M5:M141)</f>
        <v>1869950.68</v>
      </c>
      <c r="G20" s="8">
        <v>1869950.68</v>
      </c>
      <c r="H20" s="7">
        <f t="shared" si="0"/>
        <v>0</v>
      </c>
      <c r="I20" s="9"/>
      <c r="J20" s="4"/>
    </row>
    <row r="21" spans="1:10" ht="22" customHeight="1" x14ac:dyDescent="0.2">
      <c r="A21" s="3">
        <v>15</v>
      </c>
      <c r="B21" s="4" t="s">
        <v>49</v>
      </c>
      <c r="C21" s="5" t="s">
        <v>50</v>
      </c>
      <c r="D21" s="4" t="s">
        <v>51</v>
      </c>
      <c r="E21" s="6">
        <f>COUNTA(ซ่อมเครื่องมือแพทย์!C5:C36)</f>
        <v>32</v>
      </c>
      <c r="F21" s="7">
        <f>SUM(ซ่อมเครื่องมือแพทย์!M5:M36)</f>
        <v>10970000</v>
      </c>
      <c r="G21" s="8">
        <v>10970000</v>
      </c>
      <c r="H21" s="7">
        <f t="shared" si="0"/>
        <v>0</v>
      </c>
      <c r="I21" s="9"/>
      <c r="J21" s="4"/>
    </row>
    <row r="22" spans="1:10" ht="22" customHeight="1" x14ac:dyDescent="0.2">
      <c r="A22" s="3">
        <v>16</v>
      </c>
      <c r="B22" s="4" t="s">
        <v>52</v>
      </c>
      <c r="C22" s="5" t="s">
        <v>53</v>
      </c>
      <c r="D22" s="4" t="s">
        <v>54</v>
      </c>
      <c r="E22" s="6">
        <f>COUNTA(ผ่าตัด!C5:C878)</f>
        <v>874</v>
      </c>
      <c r="F22" s="7">
        <f>SUM(ผ่าตัด!M5:M878)</f>
        <v>362919412.96000004</v>
      </c>
      <c r="G22" s="8">
        <v>362919412.95999998</v>
      </c>
      <c r="H22" s="7">
        <f t="shared" si="0"/>
        <v>0</v>
      </c>
      <c r="I22" s="9"/>
      <c r="J22" s="4"/>
    </row>
    <row r="23" spans="1:10" ht="22" customHeight="1" x14ac:dyDescent="0.2">
      <c r="A23" s="3">
        <v>17</v>
      </c>
      <c r="B23" s="4" t="s">
        <v>55</v>
      </c>
      <c r="C23" s="5" t="s">
        <v>56</v>
      </c>
      <c r="D23" s="4" t="s">
        <v>57</v>
      </c>
      <c r="E23" s="6">
        <f>COUNTA(การพยาบาล!C5:C328)</f>
        <v>324</v>
      </c>
      <c r="F23" s="7">
        <f>SUM(การพยาบาล!M5:M328)</f>
        <v>62344433.449999996</v>
      </c>
      <c r="G23" s="8">
        <v>62344433.450000003</v>
      </c>
      <c r="H23" s="7">
        <f t="shared" si="0"/>
        <v>0</v>
      </c>
      <c r="I23" s="9"/>
      <c r="J23" s="4"/>
    </row>
    <row r="24" spans="1:10" ht="22" customHeight="1" x14ac:dyDescent="0.2">
      <c r="A24" s="3">
        <v>18</v>
      </c>
      <c r="B24" s="4" t="s">
        <v>58</v>
      </c>
      <c r="C24" s="5" t="s">
        <v>59</v>
      </c>
      <c r="D24" s="4" t="s">
        <v>60</v>
      </c>
      <c r="E24" s="6">
        <f>COUNTA(เฝือก!C5:C87)</f>
        <v>83</v>
      </c>
      <c r="F24" s="7">
        <f>SUM(เฝือก!M5:M87)</f>
        <v>5117538.21</v>
      </c>
      <c r="G24" s="8">
        <v>5117538.21</v>
      </c>
      <c r="H24" s="7">
        <f t="shared" si="0"/>
        <v>0</v>
      </c>
      <c r="I24" s="9"/>
      <c r="J24" s="4"/>
    </row>
    <row r="25" spans="1:10" ht="22" customHeight="1" x14ac:dyDescent="0.2">
      <c r="A25" s="3">
        <v>19</v>
      </c>
      <c r="B25" s="4" t="s">
        <v>61</v>
      </c>
      <c r="C25" s="5" t="s">
        <v>62</v>
      </c>
      <c r="D25" s="4" t="s">
        <v>16</v>
      </c>
      <c r="E25" s="6">
        <f>COUNTA(ไตเทียม!C5:C54)</f>
        <v>50</v>
      </c>
      <c r="F25" s="7">
        <f>SUM(ไตเทียม!M5:M54)</f>
        <v>8050335.4000000004</v>
      </c>
      <c r="G25" s="8">
        <v>8050335.4000000004</v>
      </c>
      <c r="H25" s="7">
        <f t="shared" si="0"/>
        <v>0</v>
      </c>
      <c r="I25" s="9"/>
      <c r="J25" s="4"/>
    </row>
    <row r="26" spans="1:10" ht="22" customHeight="1" x14ac:dyDescent="0.2">
      <c r="A26" s="3">
        <v>20</v>
      </c>
      <c r="B26" s="4" t="s">
        <v>63</v>
      </c>
      <c r="C26" s="5" t="s">
        <v>64</v>
      </c>
      <c r="D26" s="4" t="s">
        <v>65</v>
      </c>
      <c r="E26" s="6">
        <f>COUNTA(ตรวจสวนหัวใจ!C5:C157)</f>
        <v>153</v>
      </c>
      <c r="F26" s="7">
        <f>SUM(ตรวจสวนหัวใจ!M5:M157)</f>
        <v>109410695</v>
      </c>
      <c r="G26" s="8">
        <v>109410695</v>
      </c>
      <c r="H26" s="7">
        <f t="shared" si="0"/>
        <v>0</v>
      </c>
      <c r="I26" s="9"/>
      <c r="J26" s="4"/>
    </row>
    <row r="27" spans="1:10" ht="22" customHeight="1" x14ac:dyDescent="0.2">
      <c r="A27" s="3">
        <v>21</v>
      </c>
      <c r="B27" s="4" t="s">
        <v>66</v>
      </c>
      <c r="C27" s="5" t="s">
        <v>67</v>
      </c>
      <c r="D27" s="4" t="s">
        <v>68</v>
      </c>
      <c r="E27" s="6">
        <f>COUNTA(วิสัญญี!C5:C112)</f>
        <v>108</v>
      </c>
      <c r="F27" s="7">
        <f>SUM(วิสัญญี!M5:M112)</f>
        <v>2037294</v>
      </c>
      <c r="G27" s="8">
        <v>2037294</v>
      </c>
      <c r="H27" s="7">
        <f t="shared" si="0"/>
        <v>0</v>
      </c>
      <c r="I27" s="9"/>
      <c r="J27" s="4"/>
    </row>
    <row r="28" spans="1:10" ht="22" customHeight="1" x14ac:dyDescent="0.2">
      <c r="A28" s="3">
        <v>22</v>
      </c>
      <c r="B28" s="4" t="s">
        <v>69</v>
      </c>
      <c r="C28" s="5" t="s">
        <v>70</v>
      </c>
      <c r="D28" s="4" t="s">
        <v>16</v>
      </c>
      <c r="E28" s="6">
        <f>COUNTA(ENT!C5:C12)</f>
        <v>8</v>
      </c>
      <c r="F28" s="7">
        <f>SUM(ENT!M5:M12)</f>
        <v>1732000</v>
      </c>
      <c r="G28" s="8">
        <v>1732000</v>
      </c>
      <c r="H28" s="7">
        <f t="shared" si="0"/>
        <v>0</v>
      </c>
      <c r="I28" s="9"/>
      <c r="J28" s="4"/>
    </row>
    <row r="29" spans="1:10" ht="22" customHeight="1" x14ac:dyDescent="0.2">
      <c r="A29" s="3">
        <v>23</v>
      </c>
      <c r="B29" s="4" t="s">
        <v>71</v>
      </c>
      <c r="C29" s="5" t="s">
        <v>72</v>
      </c>
      <c r="D29" s="4" t="s">
        <v>16</v>
      </c>
      <c r="E29" s="6">
        <f>COUNTA('โสต ศอ นาสิก'!C5:C17)</f>
        <v>13</v>
      </c>
      <c r="F29" s="7">
        <f>SUM('โสต ศอ นาสิก'!M5:M17)</f>
        <v>1732000</v>
      </c>
      <c r="G29" s="8">
        <v>1732000</v>
      </c>
      <c r="H29" s="7">
        <f t="shared" si="0"/>
        <v>0</v>
      </c>
      <c r="I29" s="9"/>
      <c r="J29" s="4"/>
    </row>
    <row r="30" spans="1:10" ht="22" customHeight="1" x14ac:dyDescent="0.2">
      <c r="A30" s="3">
        <v>24</v>
      </c>
      <c r="B30" s="4" t="s">
        <v>73</v>
      </c>
      <c r="C30" s="5" t="s">
        <v>74</v>
      </c>
      <c r="D30" s="4" t="s">
        <v>16</v>
      </c>
      <c r="E30" s="6">
        <f>COUNTA(ทั่วไป!C5:C186)</f>
        <v>182</v>
      </c>
      <c r="F30" s="7">
        <f>SUM(ทั่วไป!M5:M186)</f>
        <v>48900025.600000001</v>
      </c>
      <c r="G30" s="8">
        <v>48900025.600000001</v>
      </c>
      <c r="H30" s="7">
        <f t="shared" si="0"/>
        <v>0</v>
      </c>
      <c r="I30" s="9"/>
      <c r="J30" s="4"/>
    </row>
    <row r="31" spans="1:10" ht="22" customHeight="1" x14ac:dyDescent="0.2">
      <c r="A31" s="3">
        <v>25</v>
      </c>
      <c r="B31" s="4" t="s">
        <v>75</v>
      </c>
      <c r="C31" s="5" t="s">
        <v>76</v>
      </c>
      <c r="D31" s="4" t="s">
        <v>16</v>
      </c>
      <c r="E31" s="6">
        <f>COUNTA(อื่นๆ!C5:C18)</f>
        <v>14</v>
      </c>
      <c r="F31" s="7">
        <f>SUM(อื่นๆ!M5:M18)</f>
        <v>76291.5</v>
      </c>
      <c r="G31" s="8">
        <v>76291.5</v>
      </c>
      <c r="H31" s="7">
        <f t="shared" si="0"/>
        <v>0</v>
      </c>
      <c r="I31" s="9"/>
      <c r="J31" s="4"/>
    </row>
    <row r="32" spans="1:10" ht="22" customHeight="1" x14ac:dyDescent="0.2">
      <c r="A32" s="3">
        <v>26</v>
      </c>
      <c r="B32" s="4" t="s">
        <v>77</v>
      </c>
      <c r="C32" s="5" t="s">
        <v>78</v>
      </c>
      <c r="D32" s="4" t="s">
        <v>79</v>
      </c>
      <c r="E32" s="6">
        <f>COUNTA(โฆษณา!C5:C67)</f>
        <v>63</v>
      </c>
      <c r="F32" s="7">
        <f>SUM(โฆษณา!M5:M67)</f>
        <v>246029.19</v>
      </c>
      <c r="G32" s="8">
        <v>246029.19</v>
      </c>
      <c r="H32" s="7">
        <f t="shared" si="0"/>
        <v>0</v>
      </c>
      <c r="I32" s="9"/>
      <c r="J32" s="4"/>
    </row>
    <row r="33" spans="1:10" ht="22" customHeight="1" x14ac:dyDescent="0.2">
      <c r="A33" s="3">
        <v>27</v>
      </c>
      <c r="B33" s="4" t="s">
        <v>80</v>
      </c>
      <c r="C33" s="5" t="s">
        <v>81</v>
      </c>
      <c r="D33" s="4" t="s">
        <v>82</v>
      </c>
      <c r="E33" s="6">
        <f>COUNTA(วัสดุคอมพิวเตอร์!C5:C90)</f>
        <v>86</v>
      </c>
      <c r="F33" s="7">
        <f>SUM(วัสดุคอมพิวเตอร์!M5:M90)</f>
        <v>961216.8</v>
      </c>
      <c r="G33" s="8">
        <v>961216.8</v>
      </c>
      <c r="H33" s="7">
        <f t="shared" si="0"/>
        <v>0</v>
      </c>
      <c r="I33" s="9"/>
      <c r="J33" s="4"/>
    </row>
    <row r="34" spans="1:10" ht="22" customHeight="1" x14ac:dyDescent="0.2">
      <c r="A34" s="3">
        <v>28</v>
      </c>
      <c r="B34" s="4" t="s">
        <v>83</v>
      </c>
      <c r="C34" s="5" t="s">
        <v>84</v>
      </c>
      <c r="D34" s="4" t="s">
        <v>85</v>
      </c>
      <c r="E34" s="6">
        <f>COUNTA(Wellness!C5:C39)</f>
        <v>35</v>
      </c>
      <c r="F34" s="7">
        <f>SUM(Wellness!M5:M39)</f>
        <v>2405640</v>
      </c>
      <c r="G34" s="8">
        <v>2405640</v>
      </c>
      <c r="H34" s="7">
        <f t="shared" si="0"/>
        <v>0</v>
      </c>
      <c r="I34" s="9"/>
      <c r="J34" s="4"/>
    </row>
    <row r="35" spans="1:10" ht="24" customHeight="1" x14ac:dyDescent="0.35">
      <c r="A35" s="10" t="s">
        <v>86</v>
      </c>
      <c r="B35" s="11"/>
      <c r="C35" s="11"/>
      <c r="D35" s="11"/>
      <c r="E35" s="12">
        <f>SUM(E7:E34)</f>
        <v>5646</v>
      </c>
      <c r="F35" s="13">
        <f>SUM(F7:F34)</f>
        <v>1382636804.1500001</v>
      </c>
      <c r="G35" s="13">
        <f>SUM(G7:G34)</f>
        <v>1382636804.1499999</v>
      </c>
      <c r="H35" s="13">
        <f>SUM(H7:H34)</f>
        <v>0</v>
      </c>
      <c r="I35" s="11"/>
      <c r="J35" s="11"/>
    </row>
    <row r="37" spans="1:10" ht="36" customHeight="1" x14ac:dyDescent="0.2">
      <c r="A37" s="23" t="s">
        <v>87</v>
      </c>
      <c r="B37" s="22"/>
      <c r="C37" s="22"/>
      <c r="D37" s="22"/>
      <c r="E37" s="22"/>
      <c r="F37" s="22"/>
      <c r="G37" s="22"/>
      <c r="H37" s="22"/>
      <c r="I37" s="22"/>
      <c r="J37" s="22"/>
    </row>
  </sheetData>
  <autoFilter ref="A6:J34" xr:uid="{00000000-0009-0000-0000-000000000000}"/>
  <mergeCells count="5">
    <mergeCell ref="A1:J1"/>
    <mergeCell ref="A37:J37"/>
    <mergeCell ref="A3:J3"/>
    <mergeCell ref="A4:J4"/>
    <mergeCell ref="A2:J2"/>
  </mergeCells>
  <conditionalFormatting sqref="H7:H35">
    <cfRule type="cellIs" dxfId="57" priority="1" operator="greaterThan">
      <formula>0.009</formula>
    </cfRule>
    <cfRule type="cellIs" dxfId="56" priority="2" operator="lessThan">
      <formula>-0.009</formula>
    </cfRule>
  </conditionalFormatting>
  <dataValidations count="1">
    <dataValidation type="list" allowBlank="1" sqref="I7:I34" xr:uid="{00000000-0002-0000-0000-000000000000}">
      <formula1>"ถูกต้อง,ต้องแก้ไข,ยังไม่ครบ,ข้าม"</formula1>
    </dataValidation>
  </dataValidations>
  <hyperlinks>
    <hyperlink ref="C7" location="'วัสดุสำนักงาน'!A1" display="วัสดุสำนักงาน" xr:uid="{00000000-0004-0000-0000-000000000000}"/>
    <hyperlink ref="C8" location="'งานบ้าน'!A1" display="งานบ้าน" xr:uid="{00000000-0004-0000-0000-000001000000}"/>
    <hyperlink ref="C9" location="'เชื้อเพลิง'!A1" display="เชื้อเพลิง" xr:uid="{00000000-0004-0000-0000-000002000000}"/>
    <hyperlink ref="C10" location="'เครื่องแต่งกาย'!A1" display="เครื่องแต่งกาย" xr:uid="{00000000-0004-0000-0000-000003000000}"/>
    <hyperlink ref="C11" location="'ออกซิเจนเหลว'!A1" display="ออกซิเจนเหลว" xr:uid="{00000000-0004-0000-0000-000004000000}"/>
    <hyperlink ref="C12" location="'Lab'!A1" display="Lab" xr:uid="{00000000-0004-0000-0000-000005000000}"/>
    <hyperlink ref="C13" location="'LabCOVID'!A1" display="LabCOVID" xr:uid="{00000000-0004-0000-0000-000006000000}"/>
    <hyperlink ref="C14" location="'พยาธิกายวิภาค'!A1" display="พยาธิกายวิภาค" xr:uid="{00000000-0004-0000-0000-000007000000}"/>
    <hyperlink ref="C15" location="'ธนาคารเลือด'!A1" display="ธนาคารเลือด" xr:uid="{00000000-0004-0000-0000-000008000000}"/>
    <hyperlink ref="C16" location="'ยา'!A1" display="ยา" xr:uid="{00000000-0004-0000-0000-000009000000}"/>
    <hyperlink ref="C17" location="'วัสดุเภสัชกรรม'!A1" display="วัสดุเภสัชกรรม" xr:uid="{00000000-0004-0000-0000-00000A000000}"/>
    <hyperlink ref="C18" location="'ทันตกรรม'!A1" display="ทันตกรรม" xr:uid="{00000000-0004-0000-0000-00000B000000}"/>
    <hyperlink ref="C19" location="'โภชนาการ'!A1" display="โภชนาการ" xr:uid="{00000000-0004-0000-0000-00000C000000}"/>
    <hyperlink ref="C20" location="'แบบพิมพ์'!A1" display="แบบพิมพ์" xr:uid="{00000000-0004-0000-0000-00000D000000}"/>
    <hyperlink ref="C21" location="'ซ่อมเครื่องมือแพทย์'!A1" display="ซ่อมเครื่องมือแพทย์" xr:uid="{00000000-0004-0000-0000-00000E000000}"/>
    <hyperlink ref="C22" location="'ผ่าตัด'!A1" display="ผ่าตัด" xr:uid="{00000000-0004-0000-0000-00000F000000}"/>
    <hyperlink ref="C23" location="'การพยาบาล'!A1" display="การพยาบาล" xr:uid="{00000000-0004-0000-0000-000010000000}"/>
    <hyperlink ref="C24" location="'เฝือก'!A1" display="เฝือก" xr:uid="{00000000-0004-0000-0000-000011000000}"/>
    <hyperlink ref="C25" location="'ไตเทียม'!A1" display="ไตเทียม" xr:uid="{00000000-0004-0000-0000-000012000000}"/>
    <hyperlink ref="C26" location="'ตรวจสวนหัวใจ'!A1" display="ตรวจสวนหัวใจ" xr:uid="{00000000-0004-0000-0000-000013000000}"/>
    <hyperlink ref="C27" location="'วิสัญญี'!A1" display="วิสัญญี" xr:uid="{00000000-0004-0000-0000-000014000000}"/>
    <hyperlink ref="C28" location="'ENT'!A1" display="ENT" xr:uid="{00000000-0004-0000-0000-000015000000}"/>
    <hyperlink ref="C29" location="'โสต ศอ นาสิก'!A1" display="โสต ศอ นาสิก" xr:uid="{00000000-0004-0000-0000-000016000000}"/>
    <hyperlink ref="C30" location="'ทั่วไป'!A1" display="ทั่วไป" xr:uid="{00000000-0004-0000-0000-000017000000}"/>
    <hyperlink ref="C31" location="'อื่นๆ'!A1" display="อื่นๆ" xr:uid="{00000000-0004-0000-0000-000018000000}"/>
    <hyperlink ref="C32" location="'โฆษณา'!A1" display="โฆษณา" xr:uid="{00000000-0004-0000-0000-000019000000}"/>
    <hyperlink ref="C33" location="'วัสดุคอมพิวเตอร์'!A1" display="วัสดุคอมพิวเตอร์" xr:uid="{00000000-0004-0000-0000-00001A000000}"/>
    <hyperlink ref="C34" location="'Wellness'!A1" display="Wellness" xr:uid="{00000000-0004-0000-0000-00001B000000}"/>
  </hyperlinks>
  <pageMargins left="0.5" right="0.5" top="1" bottom="1" header="0.5" footer="0.5"/>
  <pageSetup paperSize="9" orientation="landscape"/>
  <headerFooter>
    <oddFooter>&amp;Lส่งออกจากฐาน VPK-S1 วันที่ 12 ต.ค. 2569&amp;Rหน้า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6848"/>
    <pageSetUpPr fitToPage="1"/>
  </sheetPr>
  <dimension ref="A1:O519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14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8614565.0500000007</v>
      </c>
      <c r="D3" s="15" t="s">
        <v>94</v>
      </c>
      <c r="E3" s="17">
        <f>M518-C3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108</v>
      </c>
      <c r="D5" s="4" t="s">
        <v>109</v>
      </c>
      <c r="E5" s="4" t="s">
        <v>110</v>
      </c>
      <c r="F5" s="8"/>
      <c r="G5" s="8"/>
      <c r="H5" s="8"/>
      <c r="I5" s="8"/>
      <c r="J5" s="8"/>
      <c r="K5" s="8">
        <v>0</v>
      </c>
      <c r="L5" s="18">
        <v>2235</v>
      </c>
      <c r="M5" s="7">
        <f t="shared" ref="M5:M68" si="0">IF(OR(K5="",L5=""),"",K5*L5)</f>
        <v>0</v>
      </c>
      <c r="N5" s="4"/>
      <c r="O5" s="9"/>
    </row>
    <row r="6" spans="1:15" ht="20" customHeight="1" x14ac:dyDescent="0.2">
      <c r="A6" s="3">
        <v>2</v>
      </c>
      <c r="B6" s="19"/>
      <c r="C6" s="4" t="s">
        <v>111</v>
      </c>
      <c r="D6" s="4" t="s">
        <v>109</v>
      </c>
      <c r="E6" s="4" t="s">
        <v>110</v>
      </c>
      <c r="F6" s="8"/>
      <c r="G6" s="8"/>
      <c r="H6" s="8"/>
      <c r="I6" s="8"/>
      <c r="J6" s="8"/>
      <c r="K6" s="8">
        <v>0</v>
      </c>
      <c r="L6" s="18">
        <v>3120</v>
      </c>
      <c r="M6" s="7">
        <f t="shared" si="0"/>
        <v>0</v>
      </c>
      <c r="N6" s="4"/>
      <c r="O6" s="9"/>
    </row>
    <row r="7" spans="1:15" ht="20" customHeight="1" x14ac:dyDescent="0.2">
      <c r="A7" s="3">
        <v>3</v>
      </c>
      <c r="B7" s="19"/>
      <c r="C7" s="4" t="s">
        <v>112</v>
      </c>
      <c r="D7" s="4" t="s">
        <v>109</v>
      </c>
      <c r="E7" s="4" t="s">
        <v>110</v>
      </c>
      <c r="F7" s="8"/>
      <c r="G7" s="8"/>
      <c r="H7" s="8"/>
      <c r="I7" s="8"/>
      <c r="J7" s="8"/>
      <c r="K7" s="8">
        <v>0</v>
      </c>
      <c r="L7" s="18">
        <v>3490</v>
      </c>
      <c r="M7" s="7">
        <f t="shared" si="0"/>
        <v>0</v>
      </c>
      <c r="N7" s="4"/>
      <c r="O7" s="9"/>
    </row>
    <row r="8" spans="1:15" ht="20" customHeight="1" x14ac:dyDescent="0.2">
      <c r="A8" s="3">
        <v>4</v>
      </c>
      <c r="B8" s="19"/>
      <c r="C8" s="4" t="s">
        <v>113</v>
      </c>
      <c r="D8" s="4" t="s">
        <v>109</v>
      </c>
      <c r="E8" s="4" t="s">
        <v>110</v>
      </c>
      <c r="F8" s="8"/>
      <c r="G8" s="8"/>
      <c r="H8" s="8"/>
      <c r="I8" s="8"/>
      <c r="J8" s="8"/>
      <c r="K8" s="8">
        <v>0</v>
      </c>
      <c r="L8" s="18">
        <v>2510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114</v>
      </c>
      <c r="D9" s="4" t="s">
        <v>109</v>
      </c>
      <c r="E9" s="4" t="s">
        <v>110</v>
      </c>
      <c r="F9" s="8"/>
      <c r="G9" s="8"/>
      <c r="H9" s="8"/>
      <c r="I9" s="8"/>
      <c r="J9" s="8"/>
      <c r="K9" s="8">
        <v>0</v>
      </c>
      <c r="L9" s="18">
        <v>2300</v>
      </c>
      <c r="M9" s="7">
        <f t="shared" si="0"/>
        <v>0</v>
      </c>
      <c r="N9" s="4"/>
      <c r="O9" s="9"/>
    </row>
    <row r="10" spans="1:15" ht="20" customHeight="1" x14ac:dyDescent="0.2">
      <c r="A10" s="3">
        <v>6</v>
      </c>
      <c r="B10" s="19"/>
      <c r="C10" s="4" t="s">
        <v>115</v>
      </c>
      <c r="D10" s="4" t="s">
        <v>109</v>
      </c>
      <c r="E10" s="4" t="s">
        <v>110</v>
      </c>
      <c r="F10" s="8"/>
      <c r="G10" s="8"/>
      <c r="H10" s="8"/>
      <c r="I10" s="8"/>
      <c r="J10" s="8"/>
      <c r="K10" s="8">
        <v>0</v>
      </c>
      <c r="L10" s="18">
        <v>2740</v>
      </c>
      <c r="M10" s="7">
        <f t="shared" si="0"/>
        <v>0</v>
      </c>
      <c r="N10" s="4"/>
      <c r="O10" s="9"/>
    </row>
    <row r="11" spans="1:15" ht="20" customHeight="1" x14ac:dyDescent="0.2">
      <c r="A11" s="3">
        <v>7</v>
      </c>
      <c r="B11" s="19"/>
      <c r="C11" s="4" t="s">
        <v>116</v>
      </c>
      <c r="D11" s="4" t="s">
        <v>109</v>
      </c>
      <c r="E11" s="4" t="s">
        <v>110</v>
      </c>
      <c r="F11" s="8"/>
      <c r="G11" s="8"/>
      <c r="H11" s="8"/>
      <c r="I11" s="8"/>
      <c r="J11" s="8"/>
      <c r="K11" s="8">
        <v>0</v>
      </c>
      <c r="L11" s="18">
        <v>4408.3999999999996</v>
      </c>
      <c r="M11" s="7">
        <f t="shared" si="0"/>
        <v>0</v>
      </c>
      <c r="N11" s="4"/>
      <c r="O11" s="9"/>
    </row>
    <row r="12" spans="1:15" ht="20" customHeight="1" x14ac:dyDescent="0.2">
      <c r="A12" s="3">
        <v>8</v>
      </c>
      <c r="B12" s="19"/>
      <c r="C12" s="4" t="s">
        <v>117</v>
      </c>
      <c r="D12" s="4" t="s">
        <v>109</v>
      </c>
      <c r="E12" s="4" t="s">
        <v>110</v>
      </c>
      <c r="F12" s="8"/>
      <c r="G12" s="8"/>
      <c r="H12" s="8"/>
      <c r="I12" s="8"/>
      <c r="J12" s="8"/>
      <c r="K12" s="8">
        <v>0</v>
      </c>
      <c r="L12" s="18">
        <v>3290</v>
      </c>
      <c r="M12" s="7">
        <f t="shared" si="0"/>
        <v>0</v>
      </c>
      <c r="N12" s="4"/>
      <c r="O12" s="9"/>
    </row>
    <row r="13" spans="1:15" ht="20" customHeight="1" x14ac:dyDescent="0.2">
      <c r="A13" s="3">
        <v>9</v>
      </c>
      <c r="B13" s="19"/>
      <c r="C13" s="4" t="s">
        <v>118</v>
      </c>
      <c r="D13" s="4" t="s">
        <v>109</v>
      </c>
      <c r="E13" s="4" t="s">
        <v>110</v>
      </c>
      <c r="F13" s="8"/>
      <c r="G13" s="8"/>
      <c r="H13" s="8"/>
      <c r="I13" s="8"/>
      <c r="J13" s="8"/>
      <c r="K13" s="8">
        <v>0</v>
      </c>
      <c r="L13" s="18">
        <v>2180</v>
      </c>
      <c r="M13" s="7">
        <f t="shared" si="0"/>
        <v>0</v>
      </c>
      <c r="N13" s="4"/>
      <c r="O13" s="9"/>
    </row>
    <row r="14" spans="1:15" ht="20" customHeight="1" x14ac:dyDescent="0.2">
      <c r="A14" s="3">
        <v>10</v>
      </c>
      <c r="B14" s="19"/>
      <c r="C14" s="4" t="s">
        <v>119</v>
      </c>
      <c r="D14" s="4" t="s">
        <v>109</v>
      </c>
      <c r="E14" s="4" t="s">
        <v>110</v>
      </c>
      <c r="F14" s="8"/>
      <c r="G14" s="8"/>
      <c r="H14" s="8"/>
      <c r="I14" s="8"/>
      <c r="J14" s="8"/>
      <c r="K14" s="8">
        <v>0</v>
      </c>
      <c r="L14" s="18">
        <v>6313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120</v>
      </c>
      <c r="D15" s="4" t="s">
        <v>109</v>
      </c>
      <c r="E15" s="4" t="s">
        <v>121</v>
      </c>
      <c r="F15" s="8"/>
      <c r="G15" s="8"/>
      <c r="H15" s="8"/>
      <c r="I15" s="8"/>
      <c r="J15" s="8"/>
      <c r="K15" s="8">
        <v>0</v>
      </c>
      <c r="L15" s="18">
        <v>19</v>
      </c>
      <c r="M15" s="7">
        <f t="shared" si="0"/>
        <v>0</v>
      </c>
      <c r="N15" s="4"/>
      <c r="O15" s="9"/>
    </row>
    <row r="16" spans="1:15" ht="20" customHeight="1" x14ac:dyDescent="0.2">
      <c r="A16" s="3">
        <v>12</v>
      </c>
      <c r="B16" s="19"/>
      <c r="C16" s="4" t="s">
        <v>122</v>
      </c>
      <c r="D16" s="4" t="s">
        <v>109</v>
      </c>
      <c r="E16" s="4" t="s">
        <v>123</v>
      </c>
      <c r="F16" s="8"/>
      <c r="G16" s="8"/>
      <c r="H16" s="8"/>
      <c r="I16" s="8"/>
      <c r="J16" s="8"/>
      <c r="K16" s="8">
        <v>150</v>
      </c>
      <c r="L16" s="18">
        <v>9</v>
      </c>
      <c r="M16" s="7">
        <f t="shared" si="0"/>
        <v>1350</v>
      </c>
      <c r="N16" s="4"/>
      <c r="O16" s="9"/>
    </row>
    <row r="17" spans="1:15" ht="20" customHeight="1" x14ac:dyDescent="0.2">
      <c r="A17" s="3">
        <v>13</v>
      </c>
      <c r="B17" s="19"/>
      <c r="C17" s="4" t="s">
        <v>124</v>
      </c>
      <c r="D17" s="4" t="s">
        <v>109</v>
      </c>
      <c r="E17" s="4" t="s">
        <v>125</v>
      </c>
      <c r="F17" s="8"/>
      <c r="G17" s="8"/>
      <c r="H17" s="8"/>
      <c r="I17" s="8"/>
      <c r="J17" s="8"/>
      <c r="K17" s="8">
        <v>80</v>
      </c>
      <c r="L17" s="18">
        <v>550</v>
      </c>
      <c r="M17" s="7">
        <f t="shared" si="0"/>
        <v>44000</v>
      </c>
      <c r="N17" s="4"/>
      <c r="O17" s="9"/>
    </row>
    <row r="18" spans="1:15" ht="20" customHeight="1" x14ac:dyDescent="0.2">
      <c r="A18" s="3">
        <v>14</v>
      </c>
      <c r="B18" s="19"/>
      <c r="C18" s="4" t="s">
        <v>126</v>
      </c>
      <c r="D18" s="4" t="s">
        <v>109</v>
      </c>
      <c r="E18" s="4" t="s">
        <v>110</v>
      </c>
      <c r="F18" s="8"/>
      <c r="G18" s="8"/>
      <c r="H18" s="8"/>
      <c r="I18" s="8"/>
      <c r="J18" s="8"/>
      <c r="K18" s="8">
        <v>800</v>
      </c>
      <c r="L18" s="18">
        <v>85</v>
      </c>
      <c r="M18" s="7">
        <f t="shared" si="0"/>
        <v>68000</v>
      </c>
      <c r="N18" s="4"/>
      <c r="O18" s="9"/>
    </row>
    <row r="19" spans="1:15" ht="20" customHeight="1" x14ac:dyDescent="0.2">
      <c r="A19" s="3">
        <v>15</v>
      </c>
      <c r="B19" s="19"/>
      <c r="C19" s="4" t="s">
        <v>127</v>
      </c>
      <c r="D19" s="4" t="s">
        <v>109</v>
      </c>
      <c r="E19" s="4" t="s">
        <v>128</v>
      </c>
      <c r="F19" s="8"/>
      <c r="G19" s="8"/>
      <c r="H19" s="8"/>
      <c r="I19" s="8"/>
      <c r="J19" s="8"/>
      <c r="K19" s="8">
        <v>20</v>
      </c>
      <c r="L19" s="18">
        <v>2980</v>
      </c>
      <c r="M19" s="7">
        <f t="shared" si="0"/>
        <v>59600</v>
      </c>
      <c r="N19" s="4"/>
      <c r="O19" s="9"/>
    </row>
    <row r="20" spans="1:15" ht="20" customHeight="1" x14ac:dyDescent="0.2">
      <c r="A20" s="3">
        <v>16</v>
      </c>
      <c r="B20" s="19"/>
      <c r="C20" s="4" t="s">
        <v>129</v>
      </c>
      <c r="D20" s="4" t="s">
        <v>109</v>
      </c>
      <c r="E20" s="4" t="s">
        <v>128</v>
      </c>
      <c r="F20" s="8"/>
      <c r="G20" s="8"/>
      <c r="H20" s="8"/>
      <c r="I20" s="8"/>
      <c r="J20" s="8"/>
      <c r="K20" s="8">
        <v>450</v>
      </c>
      <c r="L20" s="18">
        <v>460</v>
      </c>
      <c r="M20" s="7">
        <f t="shared" si="0"/>
        <v>207000</v>
      </c>
      <c r="N20" s="4"/>
      <c r="O20" s="9"/>
    </row>
    <row r="21" spans="1:15" ht="20" customHeight="1" x14ac:dyDescent="0.2">
      <c r="A21" s="3">
        <v>17</v>
      </c>
      <c r="B21" s="19"/>
      <c r="C21" s="4" t="s">
        <v>130</v>
      </c>
      <c r="D21" s="4" t="s">
        <v>109</v>
      </c>
      <c r="E21" s="4" t="s">
        <v>125</v>
      </c>
      <c r="F21" s="8"/>
      <c r="G21" s="8"/>
      <c r="H21" s="8"/>
      <c r="I21" s="8"/>
      <c r="J21" s="8"/>
      <c r="K21" s="8">
        <v>40</v>
      </c>
      <c r="L21" s="18">
        <v>1250</v>
      </c>
      <c r="M21" s="7">
        <f t="shared" si="0"/>
        <v>50000</v>
      </c>
      <c r="N21" s="4"/>
      <c r="O21" s="9"/>
    </row>
    <row r="22" spans="1:15" ht="20" customHeight="1" x14ac:dyDescent="0.2">
      <c r="A22" s="3">
        <v>18</v>
      </c>
      <c r="B22" s="19"/>
      <c r="C22" s="4" t="s">
        <v>131</v>
      </c>
      <c r="D22" s="4" t="s">
        <v>109</v>
      </c>
      <c r="E22" s="4" t="s">
        <v>128</v>
      </c>
      <c r="F22" s="8"/>
      <c r="G22" s="8"/>
      <c r="H22" s="8"/>
      <c r="I22" s="8"/>
      <c r="J22" s="8"/>
      <c r="K22" s="8">
        <v>150</v>
      </c>
      <c r="L22" s="18">
        <v>750</v>
      </c>
      <c r="M22" s="7">
        <f t="shared" si="0"/>
        <v>112500</v>
      </c>
      <c r="N22" s="4"/>
      <c r="O22" s="9"/>
    </row>
    <row r="23" spans="1:15" ht="20" customHeight="1" x14ac:dyDescent="0.2">
      <c r="A23" s="3">
        <v>19</v>
      </c>
      <c r="B23" s="19"/>
      <c r="C23" s="4" t="s">
        <v>132</v>
      </c>
      <c r="D23" s="4" t="s">
        <v>109</v>
      </c>
      <c r="E23" s="4" t="s">
        <v>133</v>
      </c>
      <c r="F23" s="8"/>
      <c r="G23" s="8"/>
      <c r="H23" s="8"/>
      <c r="I23" s="8"/>
      <c r="J23" s="8"/>
      <c r="K23" s="8">
        <v>1</v>
      </c>
      <c r="L23" s="18">
        <v>1990</v>
      </c>
      <c r="M23" s="7">
        <f t="shared" si="0"/>
        <v>1990</v>
      </c>
      <c r="N23" s="4"/>
      <c r="O23" s="9"/>
    </row>
    <row r="24" spans="1:15" ht="20" customHeight="1" x14ac:dyDescent="0.2">
      <c r="A24" s="3">
        <v>20</v>
      </c>
      <c r="B24" s="19"/>
      <c r="C24" s="4" t="s">
        <v>134</v>
      </c>
      <c r="D24" s="4" t="s">
        <v>109</v>
      </c>
      <c r="E24" s="4" t="s">
        <v>128</v>
      </c>
      <c r="F24" s="8"/>
      <c r="G24" s="8"/>
      <c r="H24" s="8"/>
      <c r="I24" s="8"/>
      <c r="J24" s="8"/>
      <c r="K24" s="8">
        <v>1</v>
      </c>
      <c r="L24" s="18">
        <v>24892</v>
      </c>
      <c r="M24" s="7">
        <f t="shared" si="0"/>
        <v>24892</v>
      </c>
      <c r="N24" s="4"/>
      <c r="O24" s="9"/>
    </row>
    <row r="25" spans="1:15" ht="20" customHeight="1" x14ac:dyDescent="0.2">
      <c r="A25" s="3">
        <v>21</v>
      </c>
      <c r="B25" s="19"/>
      <c r="C25" s="4" t="s">
        <v>135</v>
      </c>
      <c r="D25" s="4" t="s">
        <v>109</v>
      </c>
      <c r="E25" s="4" t="s">
        <v>128</v>
      </c>
      <c r="F25" s="8"/>
      <c r="G25" s="8"/>
      <c r="H25" s="8"/>
      <c r="I25" s="8"/>
      <c r="J25" s="8"/>
      <c r="K25" s="8">
        <v>60</v>
      </c>
      <c r="L25" s="18">
        <v>680</v>
      </c>
      <c r="M25" s="7">
        <f t="shared" si="0"/>
        <v>40800</v>
      </c>
      <c r="N25" s="4"/>
      <c r="O25" s="9"/>
    </row>
    <row r="26" spans="1:15" ht="20" customHeight="1" x14ac:dyDescent="0.2">
      <c r="A26" s="3">
        <v>22</v>
      </c>
      <c r="B26" s="19"/>
      <c r="C26" s="4" t="s">
        <v>136</v>
      </c>
      <c r="D26" s="4" t="s">
        <v>109</v>
      </c>
      <c r="E26" s="4" t="s">
        <v>137</v>
      </c>
      <c r="F26" s="8"/>
      <c r="G26" s="8"/>
      <c r="H26" s="8"/>
      <c r="I26" s="8"/>
      <c r="J26" s="8"/>
      <c r="K26" s="8">
        <v>10</v>
      </c>
      <c r="L26" s="18">
        <v>48</v>
      </c>
      <c r="M26" s="7">
        <f t="shared" si="0"/>
        <v>480</v>
      </c>
      <c r="N26" s="4"/>
      <c r="O26" s="9"/>
    </row>
    <row r="27" spans="1:15" ht="20" customHeight="1" x14ac:dyDescent="0.2">
      <c r="A27" s="3">
        <v>23</v>
      </c>
      <c r="B27" s="19"/>
      <c r="C27" s="4" t="s">
        <v>138</v>
      </c>
      <c r="D27" s="4" t="s">
        <v>109</v>
      </c>
      <c r="E27" s="4" t="s">
        <v>137</v>
      </c>
      <c r="F27" s="8"/>
      <c r="G27" s="8"/>
      <c r="H27" s="8"/>
      <c r="I27" s="8"/>
      <c r="J27" s="8"/>
      <c r="K27" s="8">
        <v>80</v>
      </c>
      <c r="L27" s="18">
        <v>195</v>
      </c>
      <c r="M27" s="7">
        <f t="shared" si="0"/>
        <v>15600</v>
      </c>
      <c r="N27" s="4"/>
      <c r="O27" s="9"/>
    </row>
    <row r="28" spans="1:15" ht="20" customHeight="1" x14ac:dyDescent="0.2">
      <c r="A28" s="3">
        <v>24</v>
      </c>
      <c r="B28" s="19"/>
      <c r="C28" s="4" t="s">
        <v>139</v>
      </c>
      <c r="D28" s="4" t="s">
        <v>109</v>
      </c>
      <c r="E28" s="4" t="s">
        <v>137</v>
      </c>
      <c r="F28" s="8"/>
      <c r="G28" s="8"/>
      <c r="H28" s="8"/>
      <c r="I28" s="8"/>
      <c r="J28" s="8"/>
      <c r="K28" s="8">
        <v>150</v>
      </c>
      <c r="L28" s="18">
        <v>28</v>
      </c>
      <c r="M28" s="7">
        <f t="shared" si="0"/>
        <v>4200</v>
      </c>
      <c r="N28" s="4"/>
      <c r="O28" s="9"/>
    </row>
    <row r="29" spans="1:15" ht="20" customHeight="1" x14ac:dyDescent="0.2">
      <c r="A29" s="3">
        <v>25</v>
      </c>
      <c r="B29" s="19"/>
      <c r="C29" s="4" t="s">
        <v>140</v>
      </c>
      <c r="D29" s="4" t="s">
        <v>109</v>
      </c>
      <c r="E29" s="4" t="s">
        <v>137</v>
      </c>
      <c r="F29" s="8"/>
      <c r="G29" s="8"/>
      <c r="H29" s="8"/>
      <c r="I29" s="8"/>
      <c r="J29" s="8"/>
      <c r="K29" s="8">
        <v>80</v>
      </c>
      <c r="L29" s="18">
        <v>28</v>
      </c>
      <c r="M29" s="7">
        <f t="shared" si="0"/>
        <v>2240</v>
      </c>
      <c r="N29" s="4"/>
      <c r="O29" s="9"/>
    </row>
    <row r="30" spans="1:15" ht="20" customHeight="1" x14ac:dyDescent="0.2">
      <c r="A30" s="3">
        <v>26</v>
      </c>
      <c r="B30" s="19"/>
      <c r="C30" s="4" t="s">
        <v>141</v>
      </c>
      <c r="D30" s="4" t="s">
        <v>109</v>
      </c>
      <c r="E30" s="4" t="s">
        <v>137</v>
      </c>
      <c r="F30" s="8"/>
      <c r="G30" s="8"/>
      <c r="H30" s="8"/>
      <c r="I30" s="8"/>
      <c r="J30" s="8"/>
      <c r="K30" s="8">
        <v>100</v>
      </c>
      <c r="L30" s="18">
        <v>28</v>
      </c>
      <c r="M30" s="7">
        <f t="shared" si="0"/>
        <v>2800</v>
      </c>
      <c r="N30" s="4"/>
      <c r="O30" s="9"/>
    </row>
    <row r="31" spans="1:15" ht="20" customHeight="1" x14ac:dyDescent="0.2">
      <c r="A31" s="3">
        <v>27</v>
      </c>
      <c r="B31" s="19"/>
      <c r="C31" s="4" t="s">
        <v>142</v>
      </c>
      <c r="D31" s="4" t="s">
        <v>109</v>
      </c>
      <c r="E31" s="4" t="s">
        <v>137</v>
      </c>
      <c r="F31" s="8"/>
      <c r="G31" s="8"/>
      <c r="H31" s="8"/>
      <c r="I31" s="8"/>
      <c r="J31" s="8"/>
      <c r="K31" s="8">
        <v>130</v>
      </c>
      <c r="L31" s="18">
        <v>28</v>
      </c>
      <c r="M31" s="7">
        <f t="shared" si="0"/>
        <v>3640</v>
      </c>
      <c r="N31" s="4"/>
      <c r="O31" s="9"/>
    </row>
    <row r="32" spans="1:15" ht="20" customHeight="1" x14ac:dyDescent="0.2">
      <c r="A32" s="3">
        <v>28</v>
      </c>
      <c r="B32" s="19"/>
      <c r="C32" s="4" t="s">
        <v>143</v>
      </c>
      <c r="D32" s="4" t="s">
        <v>109</v>
      </c>
      <c r="E32" s="4" t="s">
        <v>137</v>
      </c>
      <c r="F32" s="8"/>
      <c r="G32" s="8"/>
      <c r="H32" s="8"/>
      <c r="I32" s="8"/>
      <c r="J32" s="8"/>
      <c r="K32" s="8">
        <v>60</v>
      </c>
      <c r="L32" s="18">
        <v>28</v>
      </c>
      <c r="M32" s="7">
        <f t="shared" si="0"/>
        <v>1680</v>
      </c>
      <c r="N32" s="4"/>
      <c r="O32" s="9"/>
    </row>
    <row r="33" spans="1:15" ht="20" customHeight="1" x14ac:dyDescent="0.2">
      <c r="A33" s="3">
        <v>29</v>
      </c>
      <c r="B33" s="19"/>
      <c r="C33" s="4" t="s">
        <v>144</v>
      </c>
      <c r="D33" s="4" t="s">
        <v>109</v>
      </c>
      <c r="E33" s="4" t="s">
        <v>137</v>
      </c>
      <c r="F33" s="8"/>
      <c r="G33" s="8"/>
      <c r="H33" s="8"/>
      <c r="I33" s="8"/>
      <c r="J33" s="8"/>
      <c r="K33" s="8">
        <v>0</v>
      </c>
      <c r="L33" s="18">
        <v>25</v>
      </c>
      <c r="M33" s="7">
        <f t="shared" si="0"/>
        <v>0</v>
      </c>
      <c r="N33" s="4"/>
      <c r="O33" s="9"/>
    </row>
    <row r="34" spans="1:15" ht="20" customHeight="1" x14ac:dyDescent="0.2">
      <c r="A34" s="3">
        <v>30</v>
      </c>
      <c r="B34" s="19"/>
      <c r="C34" s="4" t="s">
        <v>145</v>
      </c>
      <c r="D34" s="4" t="s">
        <v>109</v>
      </c>
      <c r="E34" s="4" t="s">
        <v>137</v>
      </c>
      <c r="F34" s="8"/>
      <c r="G34" s="8"/>
      <c r="H34" s="8"/>
      <c r="I34" s="8"/>
      <c r="J34" s="8"/>
      <c r="K34" s="8">
        <v>130</v>
      </c>
      <c r="L34" s="18">
        <v>28</v>
      </c>
      <c r="M34" s="7">
        <f t="shared" si="0"/>
        <v>3640</v>
      </c>
      <c r="N34" s="4"/>
      <c r="O34" s="9"/>
    </row>
    <row r="35" spans="1:15" ht="20" customHeight="1" x14ac:dyDescent="0.2">
      <c r="A35" s="3">
        <v>31</v>
      </c>
      <c r="B35" s="19"/>
      <c r="C35" s="4" t="s">
        <v>146</v>
      </c>
      <c r="D35" s="4" t="s">
        <v>109</v>
      </c>
      <c r="E35" s="4" t="s">
        <v>137</v>
      </c>
      <c r="F35" s="8"/>
      <c r="G35" s="8"/>
      <c r="H35" s="8"/>
      <c r="I35" s="8"/>
      <c r="J35" s="8"/>
      <c r="K35" s="8">
        <v>80</v>
      </c>
      <c r="L35" s="18">
        <v>28</v>
      </c>
      <c r="M35" s="7">
        <f t="shared" si="0"/>
        <v>2240</v>
      </c>
      <c r="N35" s="4"/>
      <c r="O35" s="9"/>
    </row>
    <row r="36" spans="1:15" ht="20" customHeight="1" x14ac:dyDescent="0.2">
      <c r="A36" s="3">
        <v>32</v>
      </c>
      <c r="B36" s="19"/>
      <c r="C36" s="4" t="s">
        <v>147</v>
      </c>
      <c r="D36" s="4" t="s">
        <v>109</v>
      </c>
      <c r="E36" s="4" t="s">
        <v>137</v>
      </c>
      <c r="F36" s="8"/>
      <c r="G36" s="8"/>
      <c r="H36" s="8"/>
      <c r="I36" s="8"/>
      <c r="J36" s="8"/>
      <c r="K36" s="8">
        <v>100</v>
      </c>
      <c r="L36" s="18">
        <v>28</v>
      </c>
      <c r="M36" s="7">
        <f t="shared" si="0"/>
        <v>2800</v>
      </c>
      <c r="N36" s="4"/>
      <c r="O36" s="9"/>
    </row>
    <row r="37" spans="1:15" ht="20" customHeight="1" x14ac:dyDescent="0.2">
      <c r="A37" s="3">
        <v>33</v>
      </c>
      <c r="B37" s="19"/>
      <c r="C37" s="4" t="s">
        <v>148</v>
      </c>
      <c r="D37" s="4" t="s">
        <v>109</v>
      </c>
      <c r="E37" s="4" t="s">
        <v>137</v>
      </c>
      <c r="F37" s="8"/>
      <c r="G37" s="8"/>
      <c r="H37" s="8"/>
      <c r="I37" s="8"/>
      <c r="J37" s="8"/>
      <c r="K37" s="8">
        <v>30</v>
      </c>
      <c r="L37" s="18">
        <v>28</v>
      </c>
      <c r="M37" s="7">
        <f t="shared" si="0"/>
        <v>840</v>
      </c>
      <c r="N37" s="4"/>
      <c r="O37" s="9"/>
    </row>
    <row r="38" spans="1:15" ht="20" customHeight="1" x14ac:dyDescent="0.2">
      <c r="A38" s="3">
        <v>34</v>
      </c>
      <c r="B38" s="19"/>
      <c r="C38" s="4" t="s">
        <v>149</v>
      </c>
      <c r="D38" s="4" t="s">
        <v>109</v>
      </c>
      <c r="E38" s="4" t="s">
        <v>150</v>
      </c>
      <c r="F38" s="8"/>
      <c r="G38" s="8"/>
      <c r="H38" s="8"/>
      <c r="I38" s="8"/>
      <c r="J38" s="8"/>
      <c r="K38" s="8">
        <v>2</v>
      </c>
      <c r="L38" s="18">
        <v>1100</v>
      </c>
      <c r="M38" s="7">
        <f t="shared" si="0"/>
        <v>2200</v>
      </c>
      <c r="N38" s="4"/>
      <c r="O38" s="9"/>
    </row>
    <row r="39" spans="1:15" ht="20" customHeight="1" x14ac:dyDescent="0.2">
      <c r="A39" s="3">
        <v>35</v>
      </c>
      <c r="B39" s="19"/>
      <c r="C39" s="4" t="s">
        <v>151</v>
      </c>
      <c r="D39" s="4" t="s">
        <v>109</v>
      </c>
      <c r="E39" s="4" t="s">
        <v>152</v>
      </c>
      <c r="F39" s="8"/>
      <c r="G39" s="8"/>
      <c r="H39" s="8"/>
      <c r="I39" s="8"/>
      <c r="J39" s="8"/>
      <c r="K39" s="8">
        <v>2</v>
      </c>
      <c r="L39" s="18">
        <v>30</v>
      </c>
      <c r="M39" s="7">
        <f t="shared" si="0"/>
        <v>60</v>
      </c>
      <c r="N39" s="4"/>
      <c r="O39" s="9"/>
    </row>
    <row r="40" spans="1:15" ht="20" customHeight="1" x14ac:dyDescent="0.2">
      <c r="A40" s="3">
        <v>36</v>
      </c>
      <c r="B40" s="19"/>
      <c r="C40" s="4" t="s">
        <v>153</v>
      </c>
      <c r="D40" s="4" t="s">
        <v>109</v>
      </c>
      <c r="E40" s="4" t="s">
        <v>154</v>
      </c>
      <c r="F40" s="8"/>
      <c r="G40" s="8"/>
      <c r="H40" s="8"/>
      <c r="I40" s="8"/>
      <c r="J40" s="8"/>
      <c r="K40" s="8">
        <v>4</v>
      </c>
      <c r="L40" s="18">
        <v>98</v>
      </c>
      <c r="M40" s="7">
        <f t="shared" si="0"/>
        <v>392</v>
      </c>
      <c r="N40" s="4"/>
      <c r="O40" s="9"/>
    </row>
    <row r="41" spans="1:15" ht="20" customHeight="1" x14ac:dyDescent="0.2">
      <c r="A41" s="3">
        <v>37</v>
      </c>
      <c r="B41" s="19"/>
      <c r="C41" s="4" t="s">
        <v>155</v>
      </c>
      <c r="D41" s="4" t="s">
        <v>109</v>
      </c>
      <c r="E41" s="4" t="s">
        <v>125</v>
      </c>
      <c r="F41" s="8"/>
      <c r="G41" s="8"/>
      <c r="H41" s="8"/>
      <c r="I41" s="8"/>
      <c r="J41" s="8"/>
      <c r="K41" s="8">
        <v>750</v>
      </c>
      <c r="L41" s="18">
        <v>5</v>
      </c>
      <c r="M41" s="7">
        <f t="shared" si="0"/>
        <v>3750</v>
      </c>
      <c r="N41" s="4"/>
      <c r="O41" s="9"/>
    </row>
    <row r="42" spans="1:15" ht="20" customHeight="1" x14ac:dyDescent="0.2">
      <c r="A42" s="3">
        <v>38</v>
      </c>
      <c r="B42" s="19"/>
      <c r="C42" s="4" t="s">
        <v>156</v>
      </c>
      <c r="D42" s="4" t="s">
        <v>109</v>
      </c>
      <c r="E42" s="4" t="s">
        <v>125</v>
      </c>
      <c r="F42" s="8"/>
      <c r="G42" s="8"/>
      <c r="H42" s="8"/>
      <c r="I42" s="8"/>
      <c r="J42" s="8"/>
      <c r="K42" s="8">
        <v>1000</v>
      </c>
      <c r="L42" s="18">
        <v>3.3334000000000001</v>
      </c>
      <c r="M42" s="7">
        <f t="shared" si="0"/>
        <v>3333.4</v>
      </c>
      <c r="N42" s="4"/>
      <c r="O42" s="9"/>
    </row>
    <row r="43" spans="1:15" ht="20" customHeight="1" x14ac:dyDescent="0.2">
      <c r="A43" s="3">
        <v>39</v>
      </c>
      <c r="B43" s="19"/>
      <c r="C43" s="4" t="s">
        <v>157</v>
      </c>
      <c r="D43" s="4" t="s">
        <v>109</v>
      </c>
      <c r="E43" s="4" t="s">
        <v>125</v>
      </c>
      <c r="F43" s="8"/>
      <c r="G43" s="8"/>
      <c r="H43" s="8"/>
      <c r="I43" s="8"/>
      <c r="J43" s="8"/>
      <c r="K43" s="8">
        <v>4000</v>
      </c>
      <c r="L43" s="18">
        <v>5</v>
      </c>
      <c r="M43" s="7">
        <f t="shared" si="0"/>
        <v>20000</v>
      </c>
      <c r="N43" s="4"/>
      <c r="O43" s="9"/>
    </row>
    <row r="44" spans="1:15" ht="20" customHeight="1" x14ac:dyDescent="0.2">
      <c r="A44" s="3">
        <v>40</v>
      </c>
      <c r="B44" s="19"/>
      <c r="C44" s="4" t="s">
        <v>158</v>
      </c>
      <c r="D44" s="4" t="s">
        <v>109</v>
      </c>
      <c r="E44" s="4" t="s">
        <v>125</v>
      </c>
      <c r="F44" s="8"/>
      <c r="G44" s="8"/>
      <c r="H44" s="8"/>
      <c r="I44" s="8"/>
      <c r="J44" s="8"/>
      <c r="K44" s="8">
        <v>1400</v>
      </c>
      <c r="L44" s="18">
        <v>1.3889</v>
      </c>
      <c r="M44" s="7">
        <f t="shared" si="0"/>
        <v>1944.46</v>
      </c>
      <c r="N44" s="4"/>
      <c r="O44" s="9"/>
    </row>
    <row r="45" spans="1:15" ht="20" customHeight="1" x14ac:dyDescent="0.2">
      <c r="A45" s="3">
        <v>41</v>
      </c>
      <c r="B45" s="19"/>
      <c r="C45" s="4" t="s">
        <v>159</v>
      </c>
      <c r="D45" s="4" t="s">
        <v>109</v>
      </c>
      <c r="E45" s="4" t="s">
        <v>125</v>
      </c>
      <c r="F45" s="8"/>
      <c r="G45" s="8"/>
      <c r="H45" s="8"/>
      <c r="I45" s="8"/>
      <c r="J45" s="8"/>
      <c r="K45" s="8">
        <v>2000</v>
      </c>
      <c r="L45" s="18">
        <v>1.6666000000000001</v>
      </c>
      <c r="M45" s="7">
        <f t="shared" si="0"/>
        <v>3333.2000000000003</v>
      </c>
      <c r="N45" s="4"/>
      <c r="O45" s="9"/>
    </row>
    <row r="46" spans="1:15" ht="20" customHeight="1" x14ac:dyDescent="0.2">
      <c r="A46" s="3">
        <v>42</v>
      </c>
      <c r="B46" s="19"/>
      <c r="C46" s="4" t="s">
        <v>160</v>
      </c>
      <c r="D46" s="4" t="s">
        <v>109</v>
      </c>
      <c r="E46" s="4" t="s">
        <v>125</v>
      </c>
      <c r="F46" s="8"/>
      <c r="G46" s="8"/>
      <c r="H46" s="8"/>
      <c r="I46" s="8"/>
      <c r="J46" s="8"/>
      <c r="K46" s="8">
        <v>10000</v>
      </c>
      <c r="L46" s="18">
        <v>2.0832999999999999</v>
      </c>
      <c r="M46" s="7">
        <f t="shared" si="0"/>
        <v>20833</v>
      </c>
      <c r="N46" s="4"/>
      <c r="O46" s="9"/>
    </row>
    <row r="47" spans="1:15" ht="20" customHeight="1" x14ac:dyDescent="0.2">
      <c r="A47" s="3">
        <v>43</v>
      </c>
      <c r="B47" s="19"/>
      <c r="C47" s="4" t="s">
        <v>161</v>
      </c>
      <c r="D47" s="4" t="s">
        <v>109</v>
      </c>
      <c r="E47" s="4" t="s">
        <v>125</v>
      </c>
      <c r="F47" s="8"/>
      <c r="G47" s="8"/>
      <c r="H47" s="8"/>
      <c r="I47" s="8"/>
      <c r="J47" s="8"/>
      <c r="K47" s="8">
        <v>3500</v>
      </c>
      <c r="L47" s="18">
        <v>5.4165999999999999</v>
      </c>
      <c r="M47" s="7">
        <f t="shared" si="0"/>
        <v>18958.099999999999</v>
      </c>
      <c r="N47" s="4"/>
      <c r="O47" s="9"/>
    </row>
    <row r="48" spans="1:15" ht="20" customHeight="1" x14ac:dyDescent="0.2">
      <c r="A48" s="3">
        <v>44</v>
      </c>
      <c r="B48" s="19"/>
      <c r="C48" s="4" t="s">
        <v>162</v>
      </c>
      <c r="D48" s="4" t="s">
        <v>109</v>
      </c>
      <c r="E48" s="4" t="s">
        <v>125</v>
      </c>
      <c r="F48" s="8"/>
      <c r="G48" s="8"/>
      <c r="H48" s="8"/>
      <c r="I48" s="8"/>
      <c r="J48" s="8"/>
      <c r="K48" s="8">
        <v>4000</v>
      </c>
      <c r="L48" s="18">
        <v>1.67</v>
      </c>
      <c r="M48" s="7">
        <f t="shared" si="0"/>
        <v>6680</v>
      </c>
      <c r="N48" s="4"/>
      <c r="O48" s="9"/>
    </row>
    <row r="49" spans="1:15" ht="20" customHeight="1" x14ac:dyDescent="0.2">
      <c r="A49" s="3">
        <v>45</v>
      </c>
      <c r="B49" s="19"/>
      <c r="C49" s="4" t="s">
        <v>163</v>
      </c>
      <c r="D49" s="4" t="s">
        <v>109</v>
      </c>
      <c r="E49" s="4" t="s">
        <v>152</v>
      </c>
      <c r="F49" s="8"/>
      <c r="G49" s="8"/>
      <c r="H49" s="8"/>
      <c r="I49" s="8"/>
      <c r="J49" s="8"/>
      <c r="K49" s="8">
        <v>3</v>
      </c>
      <c r="L49" s="18">
        <v>430</v>
      </c>
      <c r="M49" s="7">
        <f t="shared" si="0"/>
        <v>1290</v>
      </c>
      <c r="N49" s="4"/>
      <c r="O49" s="9"/>
    </row>
    <row r="50" spans="1:15" ht="20" customHeight="1" x14ac:dyDescent="0.2">
      <c r="A50" s="3">
        <v>46</v>
      </c>
      <c r="B50" s="19"/>
      <c r="C50" s="4" t="s">
        <v>164</v>
      </c>
      <c r="D50" s="4" t="s">
        <v>109</v>
      </c>
      <c r="E50" s="4" t="s">
        <v>152</v>
      </c>
      <c r="F50" s="8"/>
      <c r="G50" s="8"/>
      <c r="H50" s="8"/>
      <c r="I50" s="8"/>
      <c r="J50" s="8"/>
      <c r="K50" s="8">
        <v>3</v>
      </c>
      <c r="L50" s="18">
        <v>430</v>
      </c>
      <c r="M50" s="7">
        <f t="shared" si="0"/>
        <v>1290</v>
      </c>
      <c r="N50" s="4"/>
      <c r="O50" s="9"/>
    </row>
    <row r="51" spans="1:15" ht="20" customHeight="1" x14ac:dyDescent="0.2">
      <c r="A51" s="3">
        <v>47</v>
      </c>
      <c r="B51" s="19"/>
      <c r="C51" s="4" t="s">
        <v>165</v>
      </c>
      <c r="D51" s="4" t="s">
        <v>109</v>
      </c>
      <c r="E51" s="4" t="s">
        <v>152</v>
      </c>
      <c r="F51" s="8"/>
      <c r="G51" s="8"/>
      <c r="H51" s="8"/>
      <c r="I51" s="8"/>
      <c r="J51" s="8"/>
      <c r="K51" s="8">
        <v>3</v>
      </c>
      <c r="L51" s="18">
        <v>265</v>
      </c>
      <c r="M51" s="7">
        <f t="shared" si="0"/>
        <v>795</v>
      </c>
      <c r="N51" s="4"/>
      <c r="O51" s="9"/>
    </row>
    <row r="52" spans="1:15" ht="20" customHeight="1" x14ac:dyDescent="0.2">
      <c r="A52" s="3">
        <v>48</v>
      </c>
      <c r="B52" s="19"/>
      <c r="C52" s="4" t="s">
        <v>166</v>
      </c>
      <c r="D52" s="4" t="s">
        <v>109</v>
      </c>
      <c r="E52" s="4" t="s">
        <v>152</v>
      </c>
      <c r="F52" s="8"/>
      <c r="G52" s="8"/>
      <c r="H52" s="8"/>
      <c r="I52" s="8"/>
      <c r="J52" s="8"/>
      <c r="K52" s="8">
        <v>160</v>
      </c>
      <c r="L52" s="18">
        <v>75</v>
      </c>
      <c r="M52" s="7">
        <f t="shared" si="0"/>
        <v>12000</v>
      </c>
      <c r="N52" s="4"/>
      <c r="O52" s="9"/>
    </row>
    <row r="53" spans="1:15" ht="20" customHeight="1" x14ac:dyDescent="0.2">
      <c r="A53" s="3">
        <v>49</v>
      </c>
      <c r="B53" s="19"/>
      <c r="C53" s="4" t="s">
        <v>167</v>
      </c>
      <c r="D53" s="4" t="s">
        <v>109</v>
      </c>
      <c r="E53" s="4" t="s">
        <v>152</v>
      </c>
      <c r="F53" s="8"/>
      <c r="G53" s="8"/>
      <c r="H53" s="8"/>
      <c r="I53" s="8"/>
      <c r="J53" s="8"/>
      <c r="K53" s="8">
        <v>180</v>
      </c>
      <c r="L53" s="18">
        <v>32</v>
      </c>
      <c r="M53" s="7">
        <f t="shared" si="0"/>
        <v>5760</v>
      </c>
      <c r="N53" s="4"/>
      <c r="O53" s="9"/>
    </row>
    <row r="54" spans="1:15" ht="20" customHeight="1" x14ac:dyDescent="0.2">
      <c r="A54" s="3">
        <v>50</v>
      </c>
      <c r="B54" s="19"/>
      <c r="C54" s="4" t="s">
        <v>168</v>
      </c>
      <c r="D54" s="4" t="s">
        <v>109</v>
      </c>
      <c r="E54" s="4" t="s">
        <v>152</v>
      </c>
      <c r="F54" s="8"/>
      <c r="G54" s="8"/>
      <c r="H54" s="8"/>
      <c r="I54" s="8"/>
      <c r="J54" s="8"/>
      <c r="K54" s="8">
        <v>70</v>
      </c>
      <c r="L54" s="18">
        <v>32</v>
      </c>
      <c r="M54" s="7">
        <f t="shared" si="0"/>
        <v>2240</v>
      </c>
      <c r="N54" s="4"/>
      <c r="O54" s="9"/>
    </row>
    <row r="55" spans="1:15" ht="20" customHeight="1" x14ac:dyDescent="0.2">
      <c r="A55" s="3">
        <v>51</v>
      </c>
      <c r="B55" s="19"/>
      <c r="C55" s="4" t="s">
        <v>169</v>
      </c>
      <c r="D55" s="4" t="s">
        <v>109</v>
      </c>
      <c r="E55" s="4" t="s">
        <v>152</v>
      </c>
      <c r="F55" s="8"/>
      <c r="G55" s="8"/>
      <c r="H55" s="8"/>
      <c r="I55" s="8"/>
      <c r="J55" s="8"/>
      <c r="K55" s="8">
        <v>150</v>
      </c>
      <c r="L55" s="18">
        <v>32</v>
      </c>
      <c r="M55" s="7">
        <f t="shared" si="0"/>
        <v>4800</v>
      </c>
      <c r="N55" s="4"/>
      <c r="O55" s="9"/>
    </row>
    <row r="56" spans="1:15" ht="20" customHeight="1" x14ac:dyDescent="0.2">
      <c r="A56" s="3">
        <v>52</v>
      </c>
      <c r="B56" s="19"/>
      <c r="C56" s="4" t="s">
        <v>170</v>
      </c>
      <c r="D56" s="4" t="s">
        <v>109</v>
      </c>
      <c r="E56" s="4" t="s">
        <v>152</v>
      </c>
      <c r="F56" s="8"/>
      <c r="G56" s="8"/>
      <c r="H56" s="8"/>
      <c r="I56" s="8"/>
      <c r="J56" s="8"/>
      <c r="K56" s="8">
        <v>130</v>
      </c>
      <c r="L56" s="18">
        <v>16</v>
      </c>
      <c r="M56" s="7">
        <f t="shared" si="0"/>
        <v>2080</v>
      </c>
      <c r="N56" s="4"/>
      <c r="O56" s="9"/>
    </row>
    <row r="57" spans="1:15" ht="20" customHeight="1" x14ac:dyDescent="0.2">
      <c r="A57" s="3">
        <v>53</v>
      </c>
      <c r="B57" s="19"/>
      <c r="C57" s="4" t="s">
        <v>171</v>
      </c>
      <c r="D57" s="4" t="s">
        <v>109</v>
      </c>
      <c r="E57" s="4" t="s">
        <v>121</v>
      </c>
      <c r="F57" s="8"/>
      <c r="G57" s="8"/>
      <c r="H57" s="8"/>
      <c r="I57" s="8"/>
      <c r="J57" s="8"/>
      <c r="K57" s="8">
        <v>330</v>
      </c>
      <c r="L57" s="18">
        <v>7.8</v>
      </c>
      <c r="M57" s="7">
        <f t="shared" si="0"/>
        <v>2574</v>
      </c>
      <c r="N57" s="4"/>
      <c r="O57" s="9"/>
    </row>
    <row r="58" spans="1:15" ht="20" customHeight="1" x14ac:dyDescent="0.2">
      <c r="A58" s="3">
        <v>54</v>
      </c>
      <c r="B58" s="19"/>
      <c r="C58" s="4" t="s">
        <v>172</v>
      </c>
      <c r="D58" s="4" t="s">
        <v>109</v>
      </c>
      <c r="E58" s="4" t="s">
        <v>110</v>
      </c>
      <c r="F58" s="8"/>
      <c r="G58" s="8"/>
      <c r="H58" s="8"/>
      <c r="I58" s="8"/>
      <c r="J58" s="8"/>
      <c r="K58" s="8">
        <v>0</v>
      </c>
      <c r="L58" s="18">
        <v>15</v>
      </c>
      <c r="M58" s="7">
        <f t="shared" si="0"/>
        <v>0</v>
      </c>
      <c r="N58" s="4"/>
      <c r="O58" s="9"/>
    </row>
    <row r="59" spans="1:15" ht="20" customHeight="1" x14ac:dyDescent="0.2">
      <c r="A59" s="3">
        <v>55</v>
      </c>
      <c r="B59" s="19"/>
      <c r="C59" s="4" t="s">
        <v>173</v>
      </c>
      <c r="D59" s="4" t="s">
        <v>109</v>
      </c>
      <c r="E59" s="4" t="s">
        <v>121</v>
      </c>
      <c r="F59" s="8"/>
      <c r="G59" s="8"/>
      <c r="H59" s="8"/>
      <c r="I59" s="8"/>
      <c r="J59" s="8"/>
      <c r="K59" s="8">
        <v>0</v>
      </c>
      <c r="L59" s="18">
        <v>28</v>
      </c>
      <c r="M59" s="7">
        <f t="shared" si="0"/>
        <v>0</v>
      </c>
      <c r="N59" s="4"/>
      <c r="O59" s="9"/>
    </row>
    <row r="60" spans="1:15" ht="20" customHeight="1" x14ac:dyDescent="0.2">
      <c r="A60" s="3">
        <v>56</v>
      </c>
      <c r="B60" s="19"/>
      <c r="C60" s="4" t="s">
        <v>174</v>
      </c>
      <c r="D60" s="4" t="s">
        <v>109</v>
      </c>
      <c r="E60" s="4" t="s">
        <v>121</v>
      </c>
      <c r="F60" s="8"/>
      <c r="G60" s="8"/>
      <c r="H60" s="8"/>
      <c r="I60" s="8"/>
      <c r="J60" s="8"/>
      <c r="K60" s="8">
        <v>7000</v>
      </c>
      <c r="L60" s="18">
        <v>7.8</v>
      </c>
      <c r="M60" s="7">
        <f t="shared" si="0"/>
        <v>54600</v>
      </c>
      <c r="N60" s="4"/>
      <c r="O60" s="9"/>
    </row>
    <row r="61" spans="1:15" ht="20" customHeight="1" x14ac:dyDescent="0.2">
      <c r="A61" s="3">
        <v>57</v>
      </c>
      <c r="B61" s="19"/>
      <c r="C61" s="4" t="s">
        <v>175</v>
      </c>
      <c r="D61" s="4" t="s">
        <v>109</v>
      </c>
      <c r="E61" s="4" t="s">
        <v>121</v>
      </c>
      <c r="F61" s="8"/>
      <c r="G61" s="8"/>
      <c r="H61" s="8"/>
      <c r="I61" s="8"/>
      <c r="J61" s="8"/>
      <c r="K61" s="8">
        <v>27</v>
      </c>
      <c r="L61" s="18">
        <v>344.45</v>
      </c>
      <c r="M61" s="7">
        <f t="shared" si="0"/>
        <v>9300.15</v>
      </c>
      <c r="N61" s="4"/>
      <c r="O61" s="9"/>
    </row>
    <row r="62" spans="1:15" ht="20" customHeight="1" x14ac:dyDescent="0.2">
      <c r="A62" s="3">
        <v>58</v>
      </c>
      <c r="B62" s="19"/>
      <c r="C62" s="4" t="s">
        <v>176</v>
      </c>
      <c r="D62" s="4" t="s">
        <v>109</v>
      </c>
      <c r="E62" s="4" t="s">
        <v>121</v>
      </c>
      <c r="F62" s="8"/>
      <c r="G62" s="8"/>
      <c r="H62" s="8"/>
      <c r="I62" s="8"/>
      <c r="J62" s="8"/>
      <c r="K62" s="8">
        <v>2</v>
      </c>
      <c r="L62" s="18">
        <v>135</v>
      </c>
      <c r="M62" s="7">
        <f t="shared" si="0"/>
        <v>270</v>
      </c>
      <c r="N62" s="4"/>
      <c r="O62" s="9"/>
    </row>
    <row r="63" spans="1:15" ht="20" customHeight="1" x14ac:dyDescent="0.2">
      <c r="A63" s="3">
        <v>59</v>
      </c>
      <c r="B63" s="19"/>
      <c r="C63" s="4" t="s">
        <v>177</v>
      </c>
      <c r="D63" s="4" t="s">
        <v>109</v>
      </c>
      <c r="E63" s="4" t="s">
        <v>121</v>
      </c>
      <c r="F63" s="8"/>
      <c r="G63" s="8"/>
      <c r="H63" s="8"/>
      <c r="I63" s="8"/>
      <c r="J63" s="8"/>
      <c r="K63" s="8">
        <v>1</v>
      </c>
      <c r="L63" s="18">
        <v>1253.33</v>
      </c>
      <c r="M63" s="7">
        <f t="shared" si="0"/>
        <v>1253.33</v>
      </c>
      <c r="N63" s="4"/>
      <c r="O63" s="9"/>
    </row>
    <row r="64" spans="1:15" ht="20" customHeight="1" x14ac:dyDescent="0.2">
      <c r="A64" s="3">
        <v>60</v>
      </c>
      <c r="B64" s="19"/>
      <c r="C64" s="4" t="s">
        <v>178</v>
      </c>
      <c r="D64" s="4" t="s">
        <v>109</v>
      </c>
      <c r="E64" s="4" t="s">
        <v>179</v>
      </c>
      <c r="F64" s="8"/>
      <c r="G64" s="8"/>
      <c r="H64" s="8"/>
      <c r="I64" s="8"/>
      <c r="J64" s="8"/>
      <c r="K64" s="8">
        <v>250</v>
      </c>
      <c r="L64" s="18">
        <v>85</v>
      </c>
      <c r="M64" s="7">
        <f t="shared" si="0"/>
        <v>21250</v>
      </c>
      <c r="N64" s="4"/>
      <c r="O64" s="9"/>
    </row>
    <row r="65" spans="1:15" ht="20" customHeight="1" x14ac:dyDescent="0.2">
      <c r="A65" s="3">
        <v>61</v>
      </c>
      <c r="B65" s="19"/>
      <c r="C65" s="4" t="s">
        <v>180</v>
      </c>
      <c r="D65" s="4" t="s">
        <v>109</v>
      </c>
      <c r="E65" s="4" t="s">
        <v>179</v>
      </c>
      <c r="F65" s="8"/>
      <c r="G65" s="8"/>
      <c r="H65" s="8"/>
      <c r="I65" s="8"/>
      <c r="J65" s="8"/>
      <c r="K65" s="8">
        <v>250</v>
      </c>
      <c r="L65" s="18">
        <v>85</v>
      </c>
      <c r="M65" s="7">
        <f t="shared" si="0"/>
        <v>21250</v>
      </c>
      <c r="N65" s="4"/>
      <c r="O65" s="9"/>
    </row>
    <row r="66" spans="1:15" ht="20" customHeight="1" x14ac:dyDescent="0.2">
      <c r="A66" s="3">
        <v>62</v>
      </c>
      <c r="B66" s="19"/>
      <c r="C66" s="4" t="s">
        <v>181</v>
      </c>
      <c r="D66" s="4" t="s">
        <v>109</v>
      </c>
      <c r="E66" s="4" t="s">
        <v>179</v>
      </c>
      <c r="F66" s="8"/>
      <c r="G66" s="8"/>
      <c r="H66" s="8"/>
      <c r="I66" s="8"/>
      <c r="J66" s="8"/>
      <c r="K66" s="8">
        <v>130</v>
      </c>
      <c r="L66" s="18">
        <v>70</v>
      </c>
      <c r="M66" s="7">
        <f t="shared" si="0"/>
        <v>9100</v>
      </c>
      <c r="N66" s="4"/>
      <c r="O66" s="9"/>
    </row>
    <row r="67" spans="1:15" ht="20" customHeight="1" x14ac:dyDescent="0.2">
      <c r="A67" s="3">
        <v>63</v>
      </c>
      <c r="B67" s="19"/>
      <c r="C67" s="4" t="s">
        <v>182</v>
      </c>
      <c r="D67" s="4" t="s">
        <v>109</v>
      </c>
      <c r="E67" s="4" t="s">
        <v>179</v>
      </c>
      <c r="F67" s="8"/>
      <c r="G67" s="8"/>
      <c r="H67" s="8"/>
      <c r="I67" s="8"/>
      <c r="J67" s="8"/>
      <c r="K67" s="8">
        <v>15</v>
      </c>
      <c r="L67" s="18">
        <v>57</v>
      </c>
      <c r="M67" s="7">
        <f t="shared" si="0"/>
        <v>855</v>
      </c>
      <c r="N67" s="4"/>
      <c r="O67" s="9"/>
    </row>
    <row r="68" spans="1:15" ht="20" customHeight="1" x14ac:dyDescent="0.2">
      <c r="A68" s="3">
        <v>64</v>
      </c>
      <c r="B68" s="19"/>
      <c r="C68" s="4" t="s">
        <v>183</v>
      </c>
      <c r="D68" s="4" t="s">
        <v>109</v>
      </c>
      <c r="E68" s="4" t="s">
        <v>179</v>
      </c>
      <c r="F68" s="8"/>
      <c r="G68" s="8"/>
      <c r="H68" s="8"/>
      <c r="I68" s="8"/>
      <c r="J68" s="8"/>
      <c r="K68" s="8">
        <v>80</v>
      </c>
      <c r="L68" s="18">
        <v>70</v>
      </c>
      <c r="M68" s="7">
        <f t="shared" si="0"/>
        <v>5600</v>
      </c>
      <c r="N68" s="4"/>
      <c r="O68" s="9"/>
    </row>
    <row r="69" spans="1:15" ht="20" customHeight="1" x14ac:dyDescent="0.2">
      <c r="A69" s="3">
        <v>65</v>
      </c>
      <c r="B69" s="19"/>
      <c r="C69" s="4" t="s">
        <v>184</v>
      </c>
      <c r="D69" s="4" t="s">
        <v>109</v>
      </c>
      <c r="E69" s="4" t="s">
        <v>179</v>
      </c>
      <c r="F69" s="8"/>
      <c r="G69" s="8"/>
      <c r="H69" s="8"/>
      <c r="I69" s="8"/>
      <c r="J69" s="8"/>
      <c r="K69" s="8">
        <v>400</v>
      </c>
      <c r="L69" s="18">
        <v>150</v>
      </c>
      <c r="M69" s="7">
        <f t="shared" ref="M69:M132" si="1">IF(OR(K69="",L69=""),"",K69*L69)</f>
        <v>60000</v>
      </c>
      <c r="N69" s="4"/>
      <c r="O69" s="9"/>
    </row>
    <row r="70" spans="1:15" ht="20" customHeight="1" x14ac:dyDescent="0.2">
      <c r="A70" s="3">
        <v>66</v>
      </c>
      <c r="B70" s="19"/>
      <c r="C70" s="4" t="s">
        <v>185</v>
      </c>
      <c r="D70" s="4" t="s">
        <v>109</v>
      </c>
      <c r="E70" s="4" t="s">
        <v>152</v>
      </c>
      <c r="F70" s="8"/>
      <c r="G70" s="8"/>
      <c r="H70" s="8"/>
      <c r="I70" s="8"/>
      <c r="J70" s="8"/>
      <c r="K70" s="8">
        <v>6</v>
      </c>
      <c r="L70" s="18">
        <v>110</v>
      </c>
      <c r="M70" s="7">
        <f t="shared" si="1"/>
        <v>660</v>
      </c>
      <c r="N70" s="4"/>
      <c r="O70" s="9"/>
    </row>
    <row r="71" spans="1:15" ht="20" customHeight="1" x14ac:dyDescent="0.2">
      <c r="A71" s="3">
        <v>67</v>
      </c>
      <c r="B71" s="19"/>
      <c r="C71" s="4" t="s">
        <v>186</v>
      </c>
      <c r="D71" s="4" t="s">
        <v>109</v>
      </c>
      <c r="E71" s="4" t="s">
        <v>133</v>
      </c>
      <c r="F71" s="8"/>
      <c r="G71" s="8"/>
      <c r="H71" s="8"/>
      <c r="I71" s="8"/>
      <c r="J71" s="8"/>
      <c r="K71" s="8">
        <v>130</v>
      </c>
      <c r="L71" s="18">
        <v>70</v>
      </c>
      <c r="M71" s="7">
        <f t="shared" si="1"/>
        <v>9100</v>
      </c>
      <c r="N71" s="4"/>
      <c r="O71" s="9"/>
    </row>
    <row r="72" spans="1:15" ht="20" customHeight="1" x14ac:dyDescent="0.2">
      <c r="A72" s="3">
        <v>68</v>
      </c>
      <c r="B72" s="19"/>
      <c r="C72" s="4" t="s">
        <v>187</v>
      </c>
      <c r="D72" s="4" t="s">
        <v>109</v>
      </c>
      <c r="E72" s="4" t="s">
        <v>110</v>
      </c>
      <c r="F72" s="8"/>
      <c r="G72" s="8"/>
      <c r="H72" s="8"/>
      <c r="I72" s="8"/>
      <c r="J72" s="8"/>
      <c r="K72" s="8">
        <v>20</v>
      </c>
      <c r="L72" s="18">
        <v>60</v>
      </c>
      <c r="M72" s="7">
        <f t="shared" si="1"/>
        <v>1200</v>
      </c>
      <c r="N72" s="4"/>
      <c r="O72" s="9"/>
    </row>
    <row r="73" spans="1:15" ht="20" customHeight="1" x14ac:dyDescent="0.2">
      <c r="A73" s="3">
        <v>69</v>
      </c>
      <c r="B73" s="19"/>
      <c r="C73" s="4" t="s">
        <v>188</v>
      </c>
      <c r="D73" s="4" t="s">
        <v>109</v>
      </c>
      <c r="E73" s="4" t="s">
        <v>110</v>
      </c>
      <c r="F73" s="8"/>
      <c r="G73" s="8"/>
      <c r="H73" s="8"/>
      <c r="I73" s="8"/>
      <c r="J73" s="8"/>
      <c r="K73" s="8">
        <v>200</v>
      </c>
      <c r="L73" s="18">
        <v>10</v>
      </c>
      <c r="M73" s="7">
        <f t="shared" si="1"/>
        <v>2000</v>
      </c>
      <c r="N73" s="4"/>
      <c r="O73" s="9"/>
    </row>
    <row r="74" spans="1:15" ht="20" customHeight="1" x14ac:dyDescent="0.2">
      <c r="A74" s="3">
        <v>70</v>
      </c>
      <c r="B74" s="19"/>
      <c r="C74" s="4" t="s">
        <v>189</v>
      </c>
      <c r="D74" s="4" t="s">
        <v>109</v>
      </c>
      <c r="E74" s="4" t="s">
        <v>190</v>
      </c>
      <c r="F74" s="8"/>
      <c r="G74" s="8"/>
      <c r="H74" s="8"/>
      <c r="I74" s="8"/>
      <c r="J74" s="8"/>
      <c r="K74" s="8">
        <v>500</v>
      </c>
      <c r="L74" s="18">
        <v>20</v>
      </c>
      <c r="M74" s="7">
        <f t="shared" si="1"/>
        <v>10000</v>
      </c>
      <c r="N74" s="4"/>
      <c r="O74" s="9"/>
    </row>
    <row r="75" spans="1:15" ht="20" customHeight="1" x14ac:dyDescent="0.2">
      <c r="A75" s="3">
        <v>71</v>
      </c>
      <c r="B75" s="19"/>
      <c r="C75" s="4" t="s">
        <v>191</v>
      </c>
      <c r="D75" s="4" t="s">
        <v>109</v>
      </c>
      <c r="E75" s="4" t="s">
        <v>152</v>
      </c>
      <c r="F75" s="8"/>
      <c r="G75" s="8"/>
      <c r="H75" s="8"/>
      <c r="I75" s="8"/>
      <c r="J75" s="8"/>
      <c r="K75" s="8">
        <v>130</v>
      </c>
      <c r="L75" s="18">
        <v>30</v>
      </c>
      <c r="M75" s="7">
        <f t="shared" si="1"/>
        <v>3900</v>
      </c>
      <c r="N75" s="4"/>
      <c r="O75" s="9"/>
    </row>
    <row r="76" spans="1:15" ht="20" customHeight="1" x14ac:dyDescent="0.2">
      <c r="A76" s="3">
        <v>72</v>
      </c>
      <c r="B76" s="19"/>
      <c r="C76" s="4" t="s">
        <v>192</v>
      </c>
      <c r="D76" s="4" t="s">
        <v>109</v>
      </c>
      <c r="E76" s="4" t="s">
        <v>152</v>
      </c>
      <c r="F76" s="8"/>
      <c r="G76" s="8"/>
      <c r="H76" s="8"/>
      <c r="I76" s="8"/>
      <c r="J76" s="8"/>
      <c r="K76" s="8">
        <v>12</v>
      </c>
      <c r="L76" s="18">
        <v>95</v>
      </c>
      <c r="M76" s="7">
        <f t="shared" si="1"/>
        <v>1140</v>
      </c>
      <c r="N76" s="4"/>
      <c r="O76" s="9"/>
    </row>
    <row r="77" spans="1:15" ht="20" customHeight="1" x14ac:dyDescent="0.2">
      <c r="A77" s="3">
        <v>73</v>
      </c>
      <c r="B77" s="19"/>
      <c r="C77" s="4" t="s">
        <v>193</v>
      </c>
      <c r="D77" s="4" t="s">
        <v>109</v>
      </c>
      <c r="E77" s="4" t="s">
        <v>152</v>
      </c>
      <c r="F77" s="8"/>
      <c r="G77" s="8"/>
      <c r="H77" s="8"/>
      <c r="I77" s="8"/>
      <c r="J77" s="8"/>
      <c r="K77" s="8">
        <v>300</v>
      </c>
      <c r="L77" s="18">
        <v>4</v>
      </c>
      <c r="M77" s="7">
        <f t="shared" si="1"/>
        <v>1200</v>
      </c>
      <c r="N77" s="4"/>
      <c r="O77" s="9"/>
    </row>
    <row r="78" spans="1:15" ht="20" customHeight="1" x14ac:dyDescent="0.2">
      <c r="A78" s="3">
        <v>74</v>
      </c>
      <c r="B78" s="19"/>
      <c r="C78" s="4" t="s">
        <v>194</v>
      </c>
      <c r="D78" s="4" t="s">
        <v>109</v>
      </c>
      <c r="E78" s="4" t="s">
        <v>152</v>
      </c>
      <c r="F78" s="8"/>
      <c r="G78" s="8"/>
      <c r="H78" s="8"/>
      <c r="I78" s="8"/>
      <c r="J78" s="8"/>
      <c r="K78" s="8">
        <v>1300</v>
      </c>
      <c r="L78" s="18">
        <v>55</v>
      </c>
      <c r="M78" s="7">
        <f t="shared" si="1"/>
        <v>71500</v>
      </c>
      <c r="N78" s="4"/>
      <c r="O78" s="9"/>
    </row>
    <row r="79" spans="1:15" ht="20" customHeight="1" x14ac:dyDescent="0.2">
      <c r="A79" s="3">
        <v>75</v>
      </c>
      <c r="B79" s="19"/>
      <c r="C79" s="4" t="s">
        <v>195</v>
      </c>
      <c r="D79" s="4" t="s">
        <v>109</v>
      </c>
      <c r="E79" s="4" t="s">
        <v>196</v>
      </c>
      <c r="F79" s="8"/>
      <c r="G79" s="8"/>
      <c r="H79" s="8"/>
      <c r="I79" s="8"/>
      <c r="J79" s="8"/>
      <c r="K79" s="8">
        <v>3500</v>
      </c>
      <c r="L79" s="18">
        <v>16.05</v>
      </c>
      <c r="M79" s="7">
        <f t="shared" si="1"/>
        <v>56175</v>
      </c>
      <c r="N79" s="4"/>
      <c r="O79" s="9"/>
    </row>
    <row r="80" spans="1:15" ht="20" customHeight="1" x14ac:dyDescent="0.2">
      <c r="A80" s="3">
        <v>76</v>
      </c>
      <c r="B80" s="19"/>
      <c r="C80" s="4" t="s">
        <v>197</v>
      </c>
      <c r="D80" s="4" t="s">
        <v>109</v>
      </c>
      <c r="E80" s="4" t="s">
        <v>121</v>
      </c>
      <c r="F80" s="8"/>
      <c r="G80" s="8"/>
      <c r="H80" s="8"/>
      <c r="I80" s="8"/>
      <c r="J80" s="8"/>
      <c r="K80" s="8">
        <v>3</v>
      </c>
      <c r="L80" s="18">
        <v>2400</v>
      </c>
      <c r="M80" s="7">
        <f t="shared" si="1"/>
        <v>7200</v>
      </c>
      <c r="N80" s="4"/>
      <c r="O80" s="9"/>
    </row>
    <row r="81" spans="1:15" ht="20" customHeight="1" x14ac:dyDescent="0.2">
      <c r="A81" s="3">
        <v>77</v>
      </c>
      <c r="B81" s="19"/>
      <c r="C81" s="4" t="s">
        <v>198</v>
      </c>
      <c r="D81" s="4" t="s">
        <v>109</v>
      </c>
      <c r="E81" s="4" t="s">
        <v>121</v>
      </c>
      <c r="F81" s="8"/>
      <c r="G81" s="8"/>
      <c r="H81" s="8"/>
      <c r="I81" s="8"/>
      <c r="J81" s="8"/>
      <c r="K81" s="8">
        <v>2</v>
      </c>
      <c r="L81" s="18">
        <v>1500</v>
      </c>
      <c r="M81" s="7">
        <f t="shared" si="1"/>
        <v>3000</v>
      </c>
      <c r="N81" s="4"/>
      <c r="O81" s="9"/>
    </row>
    <row r="82" spans="1:15" ht="20" customHeight="1" x14ac:dyDescent="0.2">
      <c r="A82" s="3">
        <v>78</v>
      </c>
      <c r="B82" s="19"/>
      <c r="C82" s="4" t="s">
        <v>199</v>
      </c>
      <c r="D82" s="4" t="s">
        <v>109</v>
      </c>
      <c r="E82" s="4" t="s">
        <v>121</v>
      </c>
      <c r="F82" s="8"/>
      <c r="G82" s="8"/>
      <c r="H82" s="8"/>
      <c r="I82" s="8"/>
      <c r="J82" s="8"/>
      <c r="K82" s="8">
        <v>8</v>
      </c>
      <c r="L82" s="18">
        <v>850</v>
      </c>
      <c r="M82" s="7">
        <f t="shared" si="1"/>
        <v>6800</v>
      </c>
      <c r="N82" s="4"/>
      <c r="O82" s="9"/>
    </row>
    <row r="83" spans="1:15" ht="20" customHeight="1" x14ac:dyDescent="0.2">
      <c r="A83" s="3">
        <v>79</v>
      </c>
      <c r="B83" s="19"/>
      <c r="C83" s="4" t="s">
        <v>200</v>
      </c>
      <c r="D83" s="4" t="s">
        <v>109</v>
      </c>
      <c r="E83" s="4" t="s">
        <v>121</v>
      </c>
      <c r="F83" s="8"/>
      <c r="G83" s="8"/>
      <c r="H83" s="8"/>
      <c r="I83" s="8"/>
      <c r="J83" s="8"/>
      <c r="K83" s="8">
        <v>1</v>
      </c>
      <c r="L83" s="18">
        <v>4050</v>
      </c>
      <c r="M83" s="7">
        <f t="shared" si="1"/>
        <v>4050</v>
      </c>
      <c r="N83" s="4"/>
      <c r="O83" s="9"/>
    </row>
    <row r="84" spans="1:15" ht="20" customHeight="1" x14ac:dyDescent="0.2">
      <c r="A84" s="3">
        <v>80</v>
      </c>
      <c r="B84" s="19"/>
      <c r="C84" s="4" t="s">
        <v>201</v>
      </c>
      <c r="D84" s="4" t="s">
        <v>109</v>
      </c>
      <c r="E84" s="4" t="s">
        <v>121</v>
      </c>
      <c r="F84" s="8"/>
      <c r="G84" s="8"/>
      <c r="H84" s="8"/>
      <c r="I84" s="8"/>
      <c r="J84" s="8"/>
      <c r="K84" s="8">
        <v>16</v>
      </c>
      <c r="L84" s="18">
        <v>300</v>
      </c>
      <c r="M84" s="7">
        <f t="shared" si="1"/>
        <v>4800</v>
      </c>
      <c r="N84" s="4"/>
      <c r="O84" s="9"/>
    </row>
    <row r="85" spans="1:15" ht="20" customHeight="1" x14ac:dyDescent="0.2">
      <c r="A85" s="3">
        <v>81</v>
      </c>
      <c r="B85" s="19"/>
      <c r="C85" s="4" t="s">
        <v>202</v>
      </c>
      <c r="D85" s="4" t="s">
        <v>109</v>
      </c>
      <c r="E85" s="4" t="s">
        <v>121</v>
      </c>
      <c r="F85" s="8"/>
      <c r="G85" s="8"/>
      <c r="H85" s="8"/>
      <c r="I85" s="8"/>
      <c r="J85" s="8"/>
      <c r="K85" s="8">
        <v>3</v>
      </c>
      <c r="L85" s="18">
        <v>390</v>
      </c>
      <c r="M85" s="7">
        <f t="shared" si="1"/>
        <v>1170</v>
      </c>
      <c r="N85" s="4"/>
      <c r="O85" s="9"/>
    </row>
    <row r="86" spans="1:15" ht="20" customHeight="1" x14ac:dyDescent="0.2">
      <c r="A86" s="3">
        <v>82</v>
      </c>
      <c r="B86" s="19"/>
      <c r="C86" s="4" t="s">
        <v>203</v>
      </c>
      <c r="D86" s="4" t="s">
        <v>109</v>
      </c>
      <c r="E86" s="4" t="s">
        <v>133</v>
      </c>
      <c r="F86" s="8"/>
      <c r="G86" s="8"/>
      <c r="H86" s="8"/>
      <c r="I86" s="8"/>
      <c r="J86" s="8"/>
      <c r="K86" s="8">
        <v>1</v>
      </c>
      <c r="L86" s="18">
        <v>215</v>
      </c>
      <c r="M86" s="7">
        <f t="shared" si="1"/>
        <v>215</v>
      </c>
      <c r="N86" s="4"/>
      <c r="O86" s="9"/>
    </row>
    <row r="87" spans="1:15" ht="20" customHeight="1" x14ac:dyDescent="0.2">
      <c r="A87" s="3">
        <v>83</v>
      </c>
      <c r="B87" s="19"/>
      <c r="C87" s="4" t="s">
        <v>204</v>
      </c>
      <c r="D87" s="4" t="s">
        <v>109</v>
      </c>
      <c r="E87" s="4" t="s">
        <v>190</v>
      </c>
      <c r="F87" s="8"/>
      <c r="G87" s="8"/>
      <c r="H87" s="8"/>
      <c r="I87" s="8"/>
      <c r="J87" s="8"/>
      <c r="K87" s="8">
        <v>2</v>
      </c>
      <c r="L87" s="18">
        <v>360</v>
      </c>
      <c r="M87" s="7">
        <f t="shared" si="1"/>
        <v>720</v>
      </c>
      <c r="N87" s="4"/>
      <c r="O87" s="9"/>
    </row>
    <row r="88" spans="1:15" ht="20" customHeight="1" x14ac:dyDescent="0.2">
      <c r="A88" s="3">
        <v>84</v>
      </c>
      <c r="B88" s="19"/>
      <c r="C88" s="4" t="s">
        <v>205</v>
      </c>
      <c r="D88" s="4" t="s">
        <v>109</v>
      </c>
      <c r="E88" s="4" t="s">
        <v>190</v>
      </c>
      <c r="F88" s="8"/>
      <c r="G88" s="8"/>
      <c r="H88" s="8"/>
      <c r="I88" s="8"/>
      <c r="J88" s="8"/>
      <c r="K88" s="8">
        <v>100</v>
      </c>
      <c r="L88" s="18">
        <v>198</v>
      </c>
      <c r="M88" s="7">
        <f t="shared" si="1"/>
        <v>19800</v>
      </c>
      <c r="N88" s="4"/>
      <c r="O88" s="9"/>
    </row>
    <row r="89" spans="1:15" ht="20" customHeight="1" x14ac:dyDescent="0.2">
      <c r="A89" s="3">
        <v>85</v>
      </c>
      <c r="B89" s="19"/>
      <c r="C89" s="4" t="s">
        <v>206</v>
      </c>
      <c r="D89" s="4" t="s">
        <v>109</v>
      </c>
      <c r="E89" s="4" t="s">
        <v>137</v>
      </c>
      <c r="F89" s="8"/>
      <c r="G89" s="8"/>
      <c r="H89" s="8"/>
      <c r="I89" s="8"/>
      <c r="J89" s="8"/>
      <c r="K89" s="8">
        <v>600</v>
      </c>
      <c r="L89" s="18">
        <v>165</v>
      </c>
      <c r="M89" s="7">
        <f t="shared" si="1"/>
        <v>99000</v>
      </c>
      <c r="N89" s="4"/>
      <c r="O89" s="9"/>
    </row>
    <row r="90" spans="1:15" ht="20" customHeight="1" x14ac:dyDescent="0.2">
      <c r="A90" s="3">
        <v>86</v>
      </c>
      <c r="B90" s="19"/>
      <c r="C90" s="4" t="s">
        <v>207</v>
      </c>
      <c r="D90" s="4" t="s">
        <v>109</v>
      </c>
      <c r="E90" s="4" t="s">
        <v>137</v>
      </c>
      <c r="F90" s="8"/>
      <c r="G90" s="8"/>
      <c r="H90" s="8"/>
      <c r="I90" s="8"/>
      <c r="J90" s="8"/>
      <c r="K90" s="8">
        <v>1000</v>
      </c>
      <c r="L90" s="18">
        <v>95</v>
      </c>
      <c r="M90" s="7">
        <f t="shared" si="1"/>
        <v>95000</v>
      </c>
      <c r="N90" s="4"/>
      <c r="O90" s="9"/>
    </row>
    <row r="91" spans="1:15" ht="20" customHeight="1" x14ac:dyDescent="0.2">
      <c r="A91" s="3">
        <v>87</v>
      </c>
      <c r="B91" s="19"/>
      <c r="C91" s="4" t="s">
        <v>208</v>
      </c>
      <c r="D91" s="4" t="s">
        <v>109</v>
      </c>
      <c r="E91" s="4" t="s">
        <v>137</v>
      </c>
      <c r="F91" s="8"/>
      <c r="G91" s="8"/>
      <c r="H91" s="8"/>
      <c r="I91" s="8"/>
      <c r="J91" s="8"/>
      <c r="K91" s="8">
        <v>200</v>
      </c>
      <c r="L91" s="18">
        <v>110</v>
      </c>
      <c r="M91" s="7">
        <f t="shared" si="1"/>
        <v>22000</v>
      </c>
      <c r="N91" s="4"/>
      <c r="O91" s="9"/>
    </row>
    <row r="92" spans="1:15" ht="20" customHeight="1" x14ac:dyDescent="0.2">
      <c r="A92" s="3">
        <v>88</v>
      </c>
      <c r="B92" s="19"/>
      <c r="C92" s="4" t="s">
        <v>209</v>
      </c>
      <c r="D92" s="4" t="s">
        <v>109</v>
      </c>
      <c r="E92" s="4" t="s">
        <v>137</v>
      </c>
      <c r="F92" s="8"/>
      <c r="G92" s="8"/>
      <c r="H92" s="8"/>
      <c r="I92" s="8"/>
      <c r="J92" s="8"/>
      <c r="K92" s="8">
        <v>9000</v>
      </c>
      <c r="L92" s="18">
        <v>95</v>
      </c>
      <c r="M92" s="7">
        <f t="shared" si="1"/>
        <v>855000</v>
      </c>
      <c r="N92" s="4"/>
      <c r="O92" s="9"/>
    </row>
    <row r="93" spans="1:15" ht="20" customHeight="1" x14ac:dyDescent="0.2">
      <c r="A93" s="3">
        <v>89</v>
      </c>
      <c r="B93" s="19"/>
      <c r="C93" s="4" t="s">
        <v>210</v>
      </c>
      <c r="D93" s="4" t="s">
        <v>109</v>
      </c>
      <c r="E93" s="4" t="s">
        <v>190</v>
      </c>
      <c r="F93" s="8"/>
      <c r="G93" s="8"/>
      <c r="H93" s="8"/>
      <c r="I93" s="8"/>
      <c r="J93" s="8"/>
      <c r="K93" s="8">
        <v>100</v>
      </c>
      <c r="L93" s="18">
        <v>160</v>
      </c>
      <c r="M93" s="7">
        <f t="shared" si="1"/>
        <v>16000</v>
      </c>
      <c r="N93" s="4"/>
      <c r="O93" s="9"/>
    </row>
    <row r="94" spans="1:15" ht="20" customHeight="1" x14ac:dyDescent="0.2">
      <c r="A94" s="3">
        <v>90</v>
      </c>
      <c r="B94" s="19"/>
      <c r="C94" s="4" t="s">
        <v>211</v>
      </c>
      <c r="D94" s="4" t="s">
        <v>109</v>
      </c>
      <c r="E94" s="4" t="s">
        <v>212</v>
      </c>
      <c r="F94" s="8"/>
      <c r="G94" s="8"/>
      <c r="H94" s="8"/>
      <c r="I94" s="8"/>
      <c r="J94" s="8"/>
      <c r="K94" s="8">
        <v>8</v>
      </c>
      <c r="L94" s="18">
        <v>250</v>
      </c>
      <c r="M94" s="7">
        <f t="shared" si="1"/>
        <v>2000</v>
      </c>
      <c r="N94" s="4"/>
      <c r="O94" s="9"/>
    </row>
    <row r="95" spans="1:15" ht="20" customHeight="1" x14ac:dyDescent="0.2">
      <c r="A95" s="3">
        <v>91</v>
      </c>
      <c r="B95" s="19"/>
      <c r="C95" s="4" t="s">
        <v>213</v>
      </c>
      <c r="D95" s="4" t="s">
        <v>109</v>
      </c>
      <c r="E95" s="4" t="s">
        <v>212</v>
      </c>
      <c r="F95" s="8"/>
      <c r="G95" s="8"/>
      <c r="H95" s="8"/>
      <c r="I95" s="8"/>
      <c r="J95" s="8"/>
      <c r="K95" s="8">
        <v>15</v>
      </c>
      <c r="L95" s="18">
        <v>120</v>
      </c>
      <c r="M95" s="7">
        <f t="shared" si="1"/>
        <v>1800</v>
      </c>
      <c r="N95" s="4"/>
      <c r="O95" s="9"/>
    </row>
    <row r="96" spans="1:15" ht="20" customHeight="1" x14ac:dyDescent="0.2">
      <c r="A96" s="3">
        <v>92</v>
      </c>
      <c r="B96" s="19"/>
      <c r="C96" s="4" t="s">
        <v>214</v>
      </c>
      <c r="D96" s="4" t="s">
        <v>109</v>
      </c>
      <c r="E96" s="4" t="s">
        <v>133</v>
      </c>
      <c r="F96" s="8"/>
      <c r="G96" s="8"/>
      <c r="H96" s="8"/>
      <c r="I96" s="8"/>
      <c r="J96" s="8"/>
      <c r="K96" s="8">
        <v>1</v>
      </c>
      <c r="L96" s="18">
        <v>180</v>
      </c>
      <c r="M96" s="7">
        <f t="shared" si="1"/>
        <v>180</v>
      </c>
      <c r="N96" s="4"/>
      <c r="O96" s="9"/>
    </row>
    <row r="97" spans="1:15" ht="20" customHeight="1" x14ac:dyDescent="0.2">
      <c r="A97" s="3">
        <v>93</v>
      </c>
      <c r="B97" s="19"/>
      <c r="C97" s="4" t="s">
        <v>215</v>
      </c>
      <c r="D97" s="4" t="s">
        <v>109</v>
      </c>
      <c r="E97" s="4" t="s">
        <v>133</v>
      </c>
      <c r="F97" s="8"/>
      <c r="G97" s="8"/>
      <c r="H97" s="8"/>
      <c r="I97" s="8"/>
      <c r="J97" s="8"/>
      <c r="K97" s="8">
        <v>1</v>
      </c>
      <c r="L97" s="18">
        <v>370</v>
      </c>
      <c r="M97" s="7">
        <f t="shared" si="1"/>
        <v>370</v>
      </c>
      <c r="N97" s="4"/>
      <c r="O97" s="9"/>
    </row>
    <row r="98" spans="1:15" ht="20" customHeight="1" x14ac:dyDescent="0.2">
      <c r="A98" s="3">
        <v>94</v>
      </c>
      <c r="B98" s="19"/>
      <c r="C98" s="4" t="s">
        <v>216</v>
      </c>
      <c r="D98" s="4" t="s">
        <v>109</v>
      </c>
      <c r="E98" s="4" t="s">
        <v>133</v>
      </c>
      <c r="F98" s="8"/>
      <c r="G98" s="8"/>
      <c r="H98" s="8"/>
      <c r="I98" s="8"/>
      <c r="J98" s="8"/>
      <c r="K98" s="8">
        <v>8</v>
      </c>
      <c r="L98" s="18">
        <v>350</v>
      </c>
      <c r="M98" s="7">
        <f t="shared" si="1"/>
        <v>2800</v>
      </c>
      <c r="N98" s="4"/>
      <c r="O98" s="9"/>
    </row>
    <row r="99" spans="1:15" ht="20" customHeight="1" x14ac:dyDescent="0.2">
      <c r="A99" s="3">
        <v>95</v>
      </c>
      <c r="B99" s="19"/>
      <c r="C99" s="4" t="s">
        <v>217</v>
      </c>
      <c r="D99" s="4" t="s">
        <v>109</v>
      </c>
      <c r="E99" s="4" t="s">
        <v>133</v>
      </c>
      <c r="F99" s="8"/>
      <c r="G99" s="8"/>
      <c r="H99" s="8"/>
      <c r="I99" s="8"/>
      <c r="J99" s="8"/>
      <c r="K99" s="8">
        <v>4</v>
      </c>
      <c r="L99" s="18">
        <v>160</v>
      </c>
      <c r="M99" s="7">
        <f t="shared" si="1"/>
        <v>640</v>
      </c>
      <c r="N99" s="4"/>
      <c r="O99" s="9"/>
    </row>
    <row r="100" spans="1:15" ht="20" customHeight="1" x14ac:dyDescent="0.2">
      <c r="A100" s="3">
        <v>96</v>
      </c>
      <c r="B100" s="19"/>
      <c r="C100" s="4" t="s">
        <v>218</v>
      </c>
      <c r="D100" s="4" t="s">
        <v>109</v>
      </c>
      <c r="E100" s="4" t="s">
        <v>190</v>
      </c>
      <c r="F100" s="8"/>
      <c r="G100" s="8"/>
      <c r="H100" s="8"/>
      <c r="I100" s="8"/>
      <c r="J100" s="8"/>
      <c r="K100" s="8">
        <v>0</v>
      </c>
      <c r="L100" s="18">
        <v>115</v>
      </c>
      <c r="M100" s="7">
        <f t="shared" si="1"/>
        <v>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219</v>
      </c>
      <c r="D101" s="4" t="s">
        <v>109</v>
      </c>
      <c r="E101" s="4" t="s">
        <v>137</v>
      </c>
      <c r="F101" s="8"/>
      <c r="G101" s="8"/>
      <c r="H101" s="8"/>
      <c r="I101" s="8"/>
      <c r="J101" s="8"/>
      <c r="K101" s="8">
        <v>600</v>
      </c>
      <c r="L101" s="18">
        <v>48</v>
      </c>
      <c r="M101" s="7">
        <f t="shared" si="1"/>
        <v>28800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220</v>
      </c>
      <c r="D102" s="4" t="s">
        <v>109</v>
      </c>
      <c r="E102" s="4" t="s">
        <v>137</v>
      </c>
      <c r="F102" s="8"/>
      <c r="G102" s="8"/>
      <c r="H102" s="8"/>
      <c r="I102" s="8"/>
      <c r="J102" s="8"/>
      <c r="K102" s="8">
        <v>200</v>
      </c>
      <c r="L102" s="18">
        <v>69</v>
      </c>
      <c r="M102" s="7">
        <f t="shared" si="1"/>
        <v>13800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221</v>
      </c>
      <c r="D103" s="4" t="s">
        <v>109</v>
      </c>
      <c r="E103" s="4" t="s">
        <v>137</v>
      </c>
      <c r="F103" s="8"/>
      <c r="G103" s="8"/>
      <c r="H103" s="8"/>
      <c r="I103" s="8"/>
      <c r="J103" s="8"/>
      <c r="K103" s="8">
        <v>340</v>
      </c>
      <c r="L103" s="18">
        <v>220</v>
      </c>
      <c r="M103" s="7">
        <f t="shared" si="1"/>
        <v>74800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222</v>
      </c>
      <c r="D104" s="4" t="s">
        <v>109</v>
      </c>
      <c r="E104" s="4" t="s">
        <v>137</v>
      </c>
      <c r="F104" s="8"/>
      <c r="G104" s="8"/>
      <c r="H104" s="8"/>
      <c r="I104" s="8"/>
      <c r="J104" s="8"/>
      <c r="K104" s="8">
        <v>300</v>
      </c>
      <c r="L104" s="18">
        <v>25</v>
      </c>
      <c r="M104" s="7">
        <f t="shared" si="1"/>
        <v>7500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223</v>
      </c>
      <c r="D105" s="4" t="s">
        <v>109</v>
      </c>
      <c r="E105" s="4" t="s">
        <v>137</v>
      </c>
      <c r="F105" s="8"/>
      <c r="G105" s="8"/>
      <c r="H105" s="8"/>
      <c r="I105" s="8"/>
      <c r="J105" s="8"/>
      <c r="K105" s="8">
        <v>3500</v>
      </c>
      <c r="L105" s="18">
        <v>65</v>
      </c>
      <c r="M105" s="7">
        <f t="shared" si="1"/>
        <v>227500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224</v>
      </c>
      <c r="D106" s="4" t="s">
        <v>109</v>
      </c>
      <c r="E106" s="4" t="s">
        <v>137</v>
      </c>
      <c r="F106" s="8"/>
      <c r="G106" s="8"/>
      <c r="H106" s="8"/>
      <c r="I106" s="8"/>
      <c r="J106" s="8"/>
      <c r="K106" s="8">
        <v>80</v>
      </c>
      <c r="L106" s="18">
        <v>68</v>
      </c>
      <c r="M106" s="7">
        <f t="shared" si="1"/>
        <v>5440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225</v>
      </c>
      <c r="D107" s="4" t="s">
        <v>109</v>
      </c>
      <c r="E107" s="4" t="s">
        <v>121</v>
      </c>
      <c r="F107" s="8"/>
      <c r="G107" s="8"/>
      <c r="H107" s="8"/>
      <c r="I107" s="8"/>
      <c r="J107" s="8"/>
      <c r="K107" s="8">
        <v>7</v>
      </c>
      <c r="L107" s="18">
        <v>710</v>
      </c>
      <c r="M107" s="7">
        <f t="shared" si="1"/>
        <v>4970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226</v>
      </c>
      <c r="D108" s="4" t="s">
        <v>109</v>
      </c>
      <c r="E108" s="4" t="s">
        <v>121</v>
      </c>
      <c r="F108" s="8"/>
      <c r="G108" s="8"/>
      <c r="H108" s="8"/>
      <c r="I108" s="8"/>
      <c r="J108" s="8"/>
      <c r="K108" s="8">
        <v>0</v>
      </c>
      <c r="L108" s="18">
        <v>1.25</v>
      </c>
      <c r="M108" s="7">
        <f t="shared" si="1"/>
        <v>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227</v>
      </c>
      <c r="D109" s="4" t="s">
        <v>109</v>
      </c>
      <c r="E109" s="4" t="s">
        <v>121</v>
      </c>
      <c r="F109" s="8"/>
      <c r="G109" s="8"/>
      <c r="H109" s="8"/>
      <c r="I109" s="8"/>
      <c r="J109" s="8"/>
      <c r="K109" s="8">
        <v>6000</v>
      </c>
      <c r="L109" s="18">
        <v>1.6</v>
      </c>
      <c r="M109" s="7">
        <f t="shared" si="1"/>
        <v>9600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228</v>
      </c>
      <c r="D110" s="4" t="s">
        <v>109</v>
      </c>
      <c r="E110" s="4" t="s">
        <v>229</v>
      </c>
      <c r="F110" s="8"/>
      <c r="G110" s="8"/>
      <c r="H110" s="8"/>
      <c r="I110" s="8"/>
      <c r="J110" s="8"/>
      <c r="K110" s="8">
        <v>1</v>
      </c>
      <c r="L110" s="18">
        <v>1186.67</v>
      </c>
      <c r="M110" s="7">
        <f t="shared" si="1"/>
        <v>1186.67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230</v>
      </c>
      <c r="D111" s="4" t="s">
        <v>109</v>
      </c>
      <c r="E111" s="4" t="s">
        <v>229</v>
      </c>
      <c r="F111" s="8"/>
      <c r="G111" s="8"/>
      <c r="H111" s="8"/>
      <c r="I111" s="8"/>
      <c r="J111" s="8"/>
      <c r="K111" s="8">
        <v>0</v>
      </c>
      <c r="L111" s="18">
        <v>580</v>
      </c>
      <c r="M111" s="7">
        <f t="shared" si="1"/>
        <v>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231</v>
      </c>
      <c r="D112" s="4" t="s">
        <v>109</v>
      </c>
      <c r="E112" s="4"/>
      <c r="F112" s="8"/>
      <c r="G112" s="8"/>
      <c r="H112" s="8"/>
      <c r="I112" s="8"/>
      <c r="J112" s="8"/>
      <c r="K112" s="8">
        <v>0</v>
      </c>
      <c r="L112" s="18">
        <v>680</v>
      </c>
      <c r="M112" s="7">
        <f t="shared" si="1"/>
        <v>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232</v>
      </c>
      <c r="D113" s="4" t="s">
        <v>109</v>
      </c>
      <c r="E113" s="4" t="s">
        <v>229</v>
      </c>
      <c r="F113" s="8"/>
      <c r="G113" s="8"/>
      <c r="H113" s="8"/>
      <c r="I113" s="8"/>
      <c r="J113" s="8"/>
      <c r="K113" s="8">
        <v>8</v>
      </c>
      <c r="L113" s="18">
        <v>690</v>
      </c>
      <c r="M113" s="7">
        <f t="shared" si="1"/>
        <v>5520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233</v>
      </c>
      <c r="D114" s="4" t="s">
        <v>109</v>
      </c>
      <c r="E114" s="4" t="s">
        <v>212</v>
      </c>
      <c r="F114" s="8"/>
      <c r="G114" s="8"/>
      <c r="H114" s="8"/>
      <c r="I114" s="8"/>
      <c r="J114" s="8"/>
      <c r="K114" s="8">
        <v>10</v>
      </c>
      <c r="L114" s="18">
        <v>270</v>
      </c>
      <c r="M114" s="7">
        <f t="shared" si="1"/>
        <v>2700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234</v>
      </c>
      <c r="D115" s="4" t="s">
        <v>109</v>
      </c>
      <c r="E115" s="4" t="s">
        <v>212</v>
      </c>
      <c r="F115" s="8"/>
      <c r="G115" s="8"/>
      <c r="H115" s="8"/>
      <c r="I115" s="8"/>
      <c r="J115" s="8"/>
      <c r="K115" s="8">
        <v>12000</v>
      </c>
      <c r="L115" s="18">
        <v>98</v>
      </c>
      <c r="M115" s="7">
        <f t="shared" si="1"/>
        <v>1176000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235</v>
      </c>
      <c r="D116" s="4" t="s">
        <v>109</v>
      </c>
      <c r="E116" s="4" t="s">
        <v>212</v>
      </c>
      <c r="F116" s="8"/>
      <c r="G116" s="8"/>
      <c r="H116" s="8"/>
      <c r="I116" s="8"/>
      <c r="J116" s="8"/>
      <c r="K116" s="8">
        <v>10000</v>
      </c>
      <c r="L116" s="18">
        <v>116</v>
      </c>
      <c r="M116" s="7">
        <f t="shared" si="1"/>
        <v>1160000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236</v>
      </c>
      <c r="D117" s="4" t="s">
        <v>109</v>
      </c>
      <c r="E117" s="4" t="s">
        <v>212</v>
      </c>
      <c r="F117" s="8"/>
      <c r="G117" s="8"/>
      <c r="H117" s="8"/>
      <c r="I117" s="8"/>
      <c r="J117" s="8"/>
      <c r="K117" s="8">
        <v>150</v>
      </c>
      <c r="L117" s="18">
        <v>100</v>
      </c>
      <c r="M117" s="7">
        <f t="shared" si="1"/>
        <v>15000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237</v>
      </c>
      <c r="D118" s="4" t="s">
        <v>109</v>
      </c>
      <c r="E118" s="4" t="s">
        <v>212</v>
      </c>
      <c r="F118" s="8"/>
      <c r="G118" s="8"/>
      <c r="H118" s="8"/>
      <c r="I118" s="8"/>
      <c r="J118" s="8"/>
      <c r="K118" s="8">
        <v>500</v>
      </c>
      <c r="L118" s="18">
        <v>100</v>
      </c>
      <c r="M118" s="7">
        <f t="shared" si="1"/>
        <v>50000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238</v>
      </c>
      <c r="D119" s="4" t="s">
        <v>109</v>
      </c>
      <c r="E119" s="4" t="s">
        <v>212</v>
      </c>
      <c r="F119" s="8"/>
      <c r="G119" s="8"/>
      <c r="H119" s="8"/>
      <c r="I119" s="8"/>
      <c r="J119" s="8"/>
      <c r="K119" s="8">
        <v>60</v>
      </c>
      <c r="L119" s="18">
        <v>100</v>
      </c>
      <c r="M119" s="7">
        <f t="shared" si="1"/>
        <v>6000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239</v>
      </c>
      <c r="D120" s="4" t="s">
        <v>109</v>
      </c>
      <c r="E120" s="4" t="s">
        <v>212</v>
      </c>
      <c r="F120" s="8"/>
      <c r="G120" s="8"/>
      <c r="H120" s="8"/>
      <c r="I120" s="8"/>
      <c r="J120" s="8"/>
      <c r="K120" s="8">
        <v>200</v>
      </c>
      <c r="L120" s="18">
        <v>100</v>
      </c>
      <c r="M120" s="7">
        <f t="shared" si="1"/>
        <v>20000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240</v>
      </c>
      <c r="D121" s="4" t="s">
        <v>109</v>
      </c>
      <c r="E121" s="4" t="s">
        <v>212</v>
      </c>
      <c r="F121" s="8"/>
      <c r="G121" s="8"/>
      <c r="H121" s="8"/>
      <c r="I121" s="8"/>
      <c r="J121" s="8"/>
      <c r="K121" s="8">
        <v>200</v>
      </c>
      <c r="L121" s="18">
        <v>100</v>
      </c>
      <c r="M121" s="7">
        <f t="shared" si="1"/>
        <v>20000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241</v>
      </c>
      <c r="D122" s="4" t="s">
        <v>109</v>
      </c>
      <c r="E122" s="4" t="s">
        <v>212</v>
      </c>
      <c r="F122" s="8"/>
      <c r="G122" s="8"/>
      <c r="H122" s="8"/>
      <c r="I122" s="8"/>
      <c r="J122" s="8"/>
      <c r="K122" s="8">
        <v>120</v>
      </c>
      <c r="L122" s="18">
        <v>100</v>
      </c>
      <c r="M122" s="7">
        <f t="shared" si="1"/>
        <v>12000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242</v>
      </c>
      <c r="D123" s="4" t="s">
        <v>109</v>
      </c>
      <c r="E123" s="4" t="s">
        <v>212</v>
      </c>
      <c r="F123" s="8"/>
      <c r="G123" s="8"/>
      <c r="H123" s="8"/>
      <c r="I123" s="8"/>
      <c r="J123" s="8"/>
      <c r="K123" s="8">
        <v>120</v>
      </c>
      <c r="L123" s="18">
        <v>100</v>
      </c>
      <c r="M123" s="7">
        <f t="shared" si="1"/>
        <v>12000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243</v>
      </c>
      <c r="D124" s="4" t="s">
        <v>109</v>
      </c>
      <c r="E124" s="4" t="s">
        <v>137</v>
      </c>
      <c r="F124" s="8"/>
      <c r="G124" s="8"/>
      <c r="H124" s="8"/>
      <c r="I124" s="8"/>
      <c r="J124" s="8"/>
      <c r="K124" s="8">
        <v>500</v>
      </c>
      <c r="L124" s="18">
        <v>37.5</v>
      </c>
      <c r="M124" s="7">
        <f t="shared" si="1"/>
        <v>18750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244</v>
      </c>
      <c r="D125" s="4" t="s">
        <v>109</v>
      </c>
      <c r="E125" s="4" t="s">
        <v>133</v>
      </c>
      <c r="F125" s="8"/>
      <c r="G125" s="8"/>
      <c r="H125" s="8"/>
      <c r="I125" s="8"/>
      <c r="J125" s="8"/>
      <c r="K125" s="8">
        <v>0</v>
      </c>
      <c r="L125" s="18">
        <v>148</v>
      </c>
      <c r="M125" s="7">
        <f t="shared" si="1"/>
        <v>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245</v>
      </c>
      <c r="D126" s="4" t="s">
        <v>109</v>
      </c>
      <c r="E126" s="4" t="s">
        <v>212</v>
      </c>
      <c r="F126" s="8"/>
      <c r="G126" s="8"/>
      <c r="H126" s="8"/>
      <c r="I126" s="8"/>
      <c r="J126" s="8"/>
      <c r="K126" s="8">
        <v>0</v>
      </c>
      <c r="L126" s="18">
        <v>364</v>
      </c>
      <c r="M126" s="7">
        <f t="shared" si="1"/>
        <v>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246</v>
      </c>
      <c r="D127" s="4" t="s">
        <v>109</v>
      </c>
      <c r="E127" s="4" t="s">
        <v>133</v>
      </c>
      <c r="F127" s="8"/>
      <c r="G127" s="8"/>
      <c r="H127" s="8"/>
      <c r="I127" s="8"/>
      <c r="J127" s="8"/>
      <c r="K127" s="8">
        <v>8</v>
      </c>
      <c r="L127" s="18">
        <v>198</v>
      </c>
      <c r="M127" s="7">
        <f t="shared" si="1"/>
        <v>1584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247</v>
      </c>
      <c r="D128" s="4" t="s">
        <v>109</v>
      </c>
      <c r="E128" s="4" t="s">
        <v>133</v>
      </c>
      <c r="F128" s="8"/>
      <c r="G128" s="8"/>
      <c r="H128" s="8"/>
      <c r="I128" s="8"/>
      <c r="J128" s="8"/>
      <c r="K128" s="8">
        <v>1</v>
      </c>
      <c r="L128" s="18">
        <v>330</v>
      </c>
      <c r="M128" s="7">
        <f t="shared" si="1"/>
        <v>330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248</v>
      </c>
      <c r="D129" s="4" t="s">
        <v>109</v>
      </c>
      <c r="E129" s="4" t="s">
        <v>133</v>
      </c>
      <c r="F129" s="8"/>
      <c r="G129" s="8"/>
      <c r="H129" s="8"/>
      <c r="I129" s="8"/>
      <c r="J129" s="8"/>
      <c r="K129" s="8">
        <v>5</v>
      </c>
      <c r="L129" s="18">
        <v>150</v>
      </c>
      <c r="M129" s="7">
        <f t="shared" si="1"/>
        <v>750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249</v>
      </c>
      <c r="D130" s="4" t="s">
        <v>109</v>
      </c>
      <c r="E130" s="4" t="s">
        <v>121</v>
      </c>
      <c r="F130" s="8"/>
      <c r="G130" s="8"/>
      <c r="H130" s="8"/>
      <c r="I130" s="8"/>
      <c r="J130" s="8"/>
      <c r="K130" s="8">
        <v>16</v>
      </c>
      <c r="L130" s="18">
        <v>7</v>
      </c>
      <c r="M130" s="7">
        <f t="shared" si="1"/>
        <v>112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250</v>
      </c>
      <c r="D131" s="4" t="s">
        <v>109</v>
      </c>
      <c r="E131" s="4" t="s">
        <v>133</v>
      </c>
      <c r="F131" s="8"/>
      <c r="G131" s="8"/>
      <c r="H131" s="8"/>
      <c r="I131" s="8"/>
      <c r="J131" s="8"/>
      <c r="K131" s="8">
        <v>5</v>
      </c>
      <c r="L131" s="18">
        <v>650</v>
      </c>
      <c r="M131" s="7">
        <f t="shared" si="1"/>
        <v>3250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251</v>
      </c>
      <c r="D132" s="4" t="s">
        <v>109</v>
      </c>
      <c r="E132" s="4" t="s">
        <v>252</v>
      </c>
      <c r="F132" s="8"/>
      <c r="G132" s="8"/>
      <c r="H132" s="8"/>
      <c r="I132" s="8"/>
      <c r="J132" s="8"/>
      <c r="K132" s="8">
        <v>7</v>
      </c>
      <c r="L132" s="18">
        <v>280</v>
      </c>
      <c r="M132" s="7">
        <f t="shared" si="1"/>
        <v>1960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253</v>
      </c>
      <c r="D133" s="4" t="s">
        <v>109</v>
      </c>
      <c r="E133" s="4" t="s">
        <v>252</v>
      </c>
      <c r="F133" s="8"/>
      <c r="G133" s="8"/>
      <c r="H133" s="8"/>
      <c r="I133" s="8"/>
      <c r="J133" s="8"/>
      <c r="K133" s="8">
        <v>3</v>
      </c>
      <c r="L133" s="18">
        <v>250</v>
      </c>
      <c r="M133" s="7">
        <f t="shared" ref="M133:M196" si="2">IF(OR(K133="",L133=""),"",K133*L133)</f>
        <v>750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254</v>
      </c>
      <c r="D134" s="4" t="s">
        <v>109</v>
      </c>
      <c r="E134" s="4" t="s">
        <v>252</v>
      </c>
      <c r="F134" s="8"/>
      <c r="G134" s="8"/>
      <c r="H134" s="8"/>
      <c r="I134" s="8"/>
      <c r="J134" s="8"/>
      <c r="K134" s="8">
        <v>8</v>
      </c>
      <c r="L134" s="18">
        <v>300</v>
      </c>
      <c r="M134" s="7">
        <f t="shared" si="2"/>
        <v>2400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255</v>
      </c>
      <c r="D135" s="4" t="s">
        <v>109</v>
      </c>
      <c r="E135" s="4" t="s">
        <v>252</v>
      </c>
      <c r="F135" s="8"/>
      <c r="G135" s="8"/>
      <c r="H135" s="8"/>
      <c r="I135" s="8"/>
      <c r="J135" s="8"/>
      <c r="K135" s="8">
        <v>0</v>
      </c>
      <c r="L135" s="18">
        <v>1100</v>
      </c>
      <c r="M135" s="7">
        <f t="shared" si="2"/>
        <v>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256</v>
      </c>
      <c r="D136" s="4" t="s">
        <v>109</v>
      </c>
      <c r="E136" s="4" t="s">
        <v>110</v>
      </c>
      <c r="F136" s="8"/>
      <c r="G136" s="8"/>
      <c r="H136" s="8"/>
      <c r="I136" s="8"/>
      <c r="J136" s="8"/>
      <c r="K136" s="8">
        <v>0</v>
      </c>
      <c r="L136" s="18">
        <v>3540</v>
      </c>
      <c r="M136" s="7">
        <f t="shared" si="2"/>
        <v>0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257</v>
      </c>
      <c r="D137" s="4" t="s">
        <v>109</v>
      </c>
      <c r="E137" s="4" t="s">
        <v>110</v>
      </c>
      <c r="F137" s="8"/>
      <c r="G137" s="8"/>
      <c r="H137" s="8"/>
      <c r="I137" s="8"/>
      <c r="J137" s="8"/>
      <c r="K137" s="8">
        <v>0</v>
      </c>
      <c r="L137" s="18">
        <v>845.3</v>
      </c>
      <c r="M137" s="7">
        <f t="shared" si="2"/>
        <v>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258</v>
      </c>
      <c r="D138" s="4" t="s">
        <v>109</v>
      </c>
      <c r="E138" s="4" t="s">
        <v>252</v>
      </c>
      <c r="F138" s="8"/>
      <c r="G138" s="8"/>
      <c r="H138" s="8"/>
      <c r="I138" s="8"/>
      <c r="J138" s="8"/>
      <c r="K138" s="8">
        <v>200</v>
      </c>
      <c r="L138" s="18">
        <v>12</v>
      </c>
      <c r="M138" s="7">
        <f t="shared" si="2"/>
        <v>2400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259</v>
      </c>
      <c r="D139" s="4" t="s">
        <v>109</v>
      </c>
      <c r="E139" s="4" t="s">
        <v>252</v>
      </c>
      <c r="F139" s="8"/>
      <c r="G139" s="8"/>
      <c r="H139" s="8"/>
      <c r="I139" s="8"/>
      <c r="J139" s="8"/>
      <c r="K139" s="8">
        <v>0</v>
      </c>
      <c r="L139" s="18">
        <v>5</v>
      </c>
      <c r="M139" s="7">
        <f t="shared" si="2"/>
        <v>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260</v>
      </c>
      <c r="D140" s="4" t="s">
        <v>109</v>
      </c>
      <c r="E140" s="4" t="s">
        <v>152</v>
      </c>
      <c r="F140" s="8"/>
      <c r="G140" s="8"/>
      <c r="H140" s="8"/>
      <c r="I140" s="8"/>
      <c r="J140" s="8"/>
      <c r="K140" s="8">
        <v>30</v>
      </c>
      <c r="L140" s="18">
        <v>990</v>
      </c>
      <c r="M140" s="7">
        <f t="shared" si="2"/>
        <v>29700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261</v>
      </c>
      <c r="D141" s="4" t="s">
        <v>109</v>
      </c>
      <c r="E141" s="4" t="s">
        <v>252</v>
      </c>
      <c r="F141" s="8"/>
      <c r="G141" s="8"/>
      <c r="H141" s="8"/>
      <c r="I141" s="8"/>
      <c r="J141" s="8"/>
      <c r="K141" s="8">
        <v>6</v>
      </c>
      <c r="L141" s="18">
        <v>750</v>
      </c>
      <c r="M141" s="7">
        <f t="shared" si="2"/>
        <v>4500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262</v>
      </c>
      <c r="D142" s="4" t="s">
        <v>109</v>
      </c>
      <c r="E142" s="4" t="s">
        <v>252</v>
      </c>
      <c r="F142" s="8"/>
      <c r="G142" s="8"/>
      <c r="H142" s="8"/>
      <c r="I142" s="8"/>
      <c r="J142" s="8"/>
      <c r="K142" s="8">
        <v>2</v>
      </c>
      <c r="L142" s="18">
        <v>680</v>
      </c>
      <c r="M142" s="7">
        <f t="shared" si="2"/>
        <v>1360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263</v>
      </c>
      <c r="D143" s="4" t="s">
        <v>109</v>
      </c>
      <c r="E143" s="4" t="s">
        <v>252</v>
      </c>
      <c r="F143" s="8"/>
      <c r="G143" s="8"/>
      <c r="H143" s="8"/>
      <c r="I143" s="8"/>
      <c r="J143" s="8"/>
      <c r="K143" s="8">
        <v>2</v>
      </c>
      <c r="L143" s="18">
        <v>650</v>
      </c>
      <c r="M143" s="7">
        <f t="shared" si="2"/>
        <v>1300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264</v>
      </c>
      <c r="D144" s="4" t="s">
        <v>109</v>
      </c>
      <c r="E144" s="4" t="s">
        <v>265</v>
      </c>
      <c r="F144" s="8"/>
      <c r="G144" s="8"/>
      <c r="H144" s="8"/>
      <c r="I144" s="8"/>
      <c r="J144" s="8"/>
      <c r="K144" s="8">
        <v>0</v>
      </c>
      <c r="L144" s="18">
        <v>25</v>
      </c>
      <c r="M144" s="7">
        <f t="shared" si="2"/>
        <v>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266</v>
      </c>
      <c r="D145" s="4" t="s">
        <v>109</v>
      </c>
      <c r="E145" s="4" t="s">
        <v>267</v>
      </c>
      <c r="F145" s="8"/>
      <c r="G145" s="8"/>
      <c r="H145" s="8"/>
      <c r="I145" s="8"/>
      <c r="J145" s="8"/>
      <c r="K145" s="8">
        <v>250</v>
      </c>
      <c r="L145" s="18">
        <v>40</v>
      </c>
      <c r="M145" s="7">
        <f t="shared" si="2"/>
        <v>10000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268</v>
      </c>
      <c r="D146" s="4" t="s">
        <v>109</v>
      </c>
      <c r="E146" s="4" t="s">
        <v>265</v>
      </c>
      <c r="F146" s="8"/>
      <c r="G146" s="8"/>
      <c r="H146" s="8"/>
      <c r="I146" s="8"/>
      <c r="J146" s="8"/>
      <c r="K146" s="8">
        <v>250</v>
      </c>
      <c r="L146" s="18">
        <v>42</v>
      </c>
      <c r="M146" s="7">
        <f t="shared" si="2"/>
        <v>10500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269</v>
      </c>
      <c r="D147" s="4" t="s">
        <v>109</v>
      </c>
      <c r="E147" s="4" t="s">
        <v>267</v>
      </c>
      <c r="F147" s="8"/>
      <c r="G147" s="8"/>
      <c r="H147" s="8"/>
      <c r="I147" s="8"/>
      <c r="J147" s="8"/>
      <c r="K147" s="8">
        <v>20</v>
      </c>
      <c r="L147" s="18">
        <v>48</v>
      </c>
      <c r="M147" s="7">
        <f t="shared" si="2"/>
        <v>960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270</v>
      </c>
      <c r="D148" s="4" t="s">
        <v>109</v>
      </c>
      <c r="E148" s="4" t="s">
        <v>271</v>
      </c>
      <c r="F148" s="8"/>
      <c r="G148" s="8"/>
      <c r="H148" s="8"/>
      <c r="I148" s="8"/>
      <c r="J148" s="8"/>
      <c r="K148" s="8">
        <v>6</v>
      </c>
      <c r="L148" s="18">
        <v>250</v>
      </c>
      <c r="M148" s="7">
        <f t="shared" si="2"/>
        <v>1500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272</v>
      </c>
      <c r="D149" s="4" t="s">
        <v>109</v>
      </c>
      <c r="E149" s="4" t="s">
        <v>152</v>
      </c>
      <c r="F149" s="8"/>
      <c r="G149" s="8"/>
      <c r="H149" s="8"/>
      <c r="I149" s="8"/>
      <c r="J149" s="8"/>
      <c r="K149" s="8">
        <v>0</v>
      </c>
      <c r="L149" s="18">
        <v>2520</v>
      </c>
      <c r="M149" s="7">
        <f t="shared" si="2"/>
        <v>0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273</v>
      </c>
      <c r="D150" s="4" t="s">
        <v>109</v>
      </c>
      <c r="E150" s="4" t="s">
        <v>152</v>
      </c>
      <c r="F150" s="8"/>
      <c r="G150" s="8"/>
      <c r="H150" s="8"/>
      <c r="I150" s="8"/>
      <c r="J150" s="8"/>
      <c r="K150" s="8">
        <v>400</v>
      </c>
      <c r="L150" s="18">
        <v>45</v>
      </c>
      <c r="M150" s="7">
        <f t="shared" si="2"/>
        <v>18000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274</v>
      </c>
      <c r="D151" s="4" t="s">
        <v>109</v>
      </c>
      <c r="E151" s="4" t="s">
        <v>152</v>
      </c>
      <c r="F151" s="8"/>
      <c r="G151" s="8"/>
      <c r="H151" s="8"/>
      <c r="I151" s="8"/>
      <c r="J151" s="8"/>
      <c r="K151" s="8">
        <v>150</v>
      </c>
      <c r="L151" s="18">
        <v>78</v>
      </c>
      <c r="M151" s="7">
        <f t="shared" si="2"/>
        <v>11700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275</v>
      </c>
      <c r="D152" s="4" t="s">
        <v>109</v>
      </c>
      <c r="E152" s="4" t="s">
        <v>276</v>
      </c>
      <c r="F152" s="8"/>
      <c r="G152" s="8"/>
      <c r="H152" s="8"/>
      <c r="I152" s="8"/>
      <c r="J152" s="8"/>
      <c r="K152" s="8">
        <v>7</v>
      </c>
      <c r="L152" s="18">
        <v>400</v>
      </c>
      <c r="M152" s="7">
        <f t="shared" si="2"/>
        <v>2800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277</v>
      </c>
      <c r="D153" s="4" t="s">
        <v>109</v>
      </c>
      <c r="E153" s="4" t="s">
        <v>196</v>
      </c>
      <c r="F153" s="8"/>
      <c r="G153" s="8"/>
      <c r="H153" s="8"/>
      <c r="I153" s="8"/>
      <c r="J153" s="8"/>
      <c r="K153" s="8">
        <v>0</v>
      </c>
      <c r="L153" s="18">
        <v>23600</v>
      </c>
      <c r="M153" s="7">
        <f t="shared" si="2"/>
        <v>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278</v>
      </c>
      <c r="D154" s="4" t="s">
        <v>109</v>
      </c>
      <c r="E154" s="4" t="s">
        <v>196</v>
      </c>
      <c r="F154" s="8"/>
      <c r="G154" s="8"/>
      <c r="H154" s="8"/>
      <c r="I154" s="8"/>
      <c r="J154" s="8"/>
      <c r="K154" s="8">
        <v>26</v>
      </c>
      <c r="L154" s="18">
        <v>3300</v>
      </c>
      <c r="M154" s="7">
        <f t="shared" si="2"/>
        <v>85800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279</v>
      </c>
      <c r="D155" s="4" t="s">
        <v>109</v>
      </c>
      <c r="E155" s="4" t="s">
        <v>196</v>
      </c>
      <c r="F155" s="8"/>
      <c r="G155" s="8"/>
      <c r="H155" s="8"/>
      <c r="I155" s="8"/>
      <c r="J155" s="8"/>
      <c r="K155" s="8">
        <v>1</v>
      </c>
      <c r="L155" s="18">
        <v>2520</v>
      </c>
      <c r="M155" s="7">
        <f t="shared" si="2"/>
        <v>2520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280</v>
      </c>
      <c r="D156" s="4" t="s">
        <v>109</v>
      </c>
      <c r="E156" s="4" t="s">
        <v>196</v>
      </c>
      <c r="F156" s="8"/>
      <c r="G156" s="8"/>
      <c r="H156" s="8"/>
      <c r="I156" s="8"/>
      <c r="J156" s="8"/>
      <c r="K156" s="8">
        <v>4</v>
      </c>
      <c r="L156" s="18">
        <v>1680</v>
      </c>
      <c r="M156" s="7">
        <f t="shared" si="2"/>
        <v>6720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281</v>
      </c>
      <c r="D157" s="4" t="s">
        <v>109</v>
      </c>
      <c r="E157" s="4" t="s">
        <v>196</v>
      </c>
      <c r="F157" s="8"/>
      <c r="G157" s="8"/>
      <c r="H157" s="8"/>
      <c r="I157" s="8"/>
      <c r="J157" s="8"/>
      <c r="K157" s="8">
        <v>2</v>
      </c>
      <c r="L157" s="18">
        <v>1000</v>
      </c>
      <c r="M157" s="7">
        <f t="shared" si="2"/>
        <v>2000</v>
      </c>
      <c r="N157" s="4"/>
      <c r="O157" s="9"/>
    </row>
    <row r="158" spans="1:15" ht="20" customHeight="1" x14ac:dyDescent="0.2">
      <c r="A158" s="3">
        <v>154</v>
      </c>
      <c r="B158" s="19"/>
      <c r="C158" s="4" t="s">
        <v>282</v>
      </c>
      <c r="D158" s="4" t="s">
        <v>109</v>
      </c>
      <c r="E158" s="4" t="s">
        <v>196</v>
      </c>
      <c r="F158" s="8"/>
      <c r="G158" s="8"/>
      <c r="H158" s="8"/>
      <c r="I158" s="8"/>
      <c r="J158" s="8"/>
      <c r="K158" s="8">
        <v>2</v>
      </c>
      <c r="L158" s="18">
        <v>200</v>
      </c>
      <c r="M158" s="7">
        <f t="shared" si="2"/>
        <v>400</v>
      </c>
      <c r="N158" s="4"/>
      <c r="O158" s="9"/>
    </row>
    <row r="159" spans="1:15" ht="20" customHeight="1" x14ac:dyDescent="0.2">
      <c r="A159" s="3">
        <v>155</v>
      </c>
      <c r="B159" s="19"/>
      <c r="C159" s="4" t="s">
        <v>283</v>
      </c>
      <c r="D159" s="4" t="s">
        <v>109</v>
      </c>
      <c r="E159" s="4" t="s">
        <v>196</v>
      </c>
      <c r="F159" s="8"/>
      <c r="G159" s="8"/>
      <c r="H159" s="8"/>
      <c r="I159" s="8"/>
      <c r="J159" s="8"/>
      <c r="K159" s="8">
        <v>16</v>
      </c>
      <c r="L159" s="18">
        <v>800</v>
      </c>
      <c r="M159" s="7">
        <f t="shared" si="2"/>
        <v>12800</v>
      </c>
      <c r="N159" s="4"/>
      <c r="O159" s="9"/>
    </row>
    <row r="160" spans="1:15" ht="20" customHeight="1" x14ac:dyDescent="0.2">
      <c r="A160" s="3">
        <v>156</v>
      </c>
      <c r="B160" s="19"/>
      <c r="C160" s="4" t="s">
        <v>284</v>
      </c>
      <c r="D160" s="4" t="s">
        <v>109</v>
      </c>
      <c r="E160" s="4" t="s">
        <v>152</v>
      </c>
      <c r="F160" s="8"/>
      <c r="G160" s="8"/>
      <c r="H160" s="8"/>
      <c r="I160" s="8"/>
      <c r="J160" s="8"/>
      <c r="K160" s="8">
        <v>350</v>
      </c>
      <c r="L160" s="18">
        <v>570</v>
      </c>
      <c r="M160" s="7">
        <f t="shared" si="2"/>
        <v>199500</v>
      </c>
      <c r="N160" s="4"/>
      <c r="O160" s="9"/>
    </row>
    <row r="161" spans="1:15" ht="20" customHeight="1" x14ac:dyDescent="0.2">
      <c r="A161" s="3">
        <v>157</v>
      </c>
      <c r="B161" s="19"/>
      <c r="C161" s="4" t="s">
        <v>285</v>
      </c>
      <c r="D161" s="4" t="s">
        <v>109</v>
      </c>
      <c r="E161" s="4" t="s">
        <v>196</v>
      </c>
      <c r="F161" s="8"/>
      <c r="G161" s="8"/>
      <c r="H161" s="8"/>
      <c r="I161" s="8"/>
      <c r="J161" s="8"/>
      <c r="K161" s="8">
        <v>270</v>
      </c>
      <c r="L161" s="18">
        <v>20</v>
      </c>
      <c r="M161" s="7">
        <f t="shared" si="2"/>
        <v>5400</v>
      </c>
      <c r="N161" s="4"/>
      <c r="O161" s="9"/>
    </row>
    <row r="162" spans="1:15" ht="20" customHeight="1" x14ac:dyDescent="0.2">
      <c r="A162" s="3">
        <v>158</v>
      </c>
      <c r="B162" s="19"/>
      <c r="C162" s="4" t="s">
        <v>286</v>
      </c>
      <c r="D162" s="4" t="s">
        <v>109</v>
      </c>
      <c r="E162" s="4" t="s">
        <v>287</v>
      </c>
      <c r="F162" s="8"/>
      <c r="G162" s="8"/>
      <c r="H162" s="8"/>
      <c r="I162" s="8"/>
      <c r="J162" s="8"/>
      <c r="K162" s="8">
        <v>180</v>
      </c>
      <c r="L162" s="18">
        <v>70</v>
      </c>
      <c r="M162" s="7">
        <f t="shared" si="2"/>
        <v>12600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288</v>
      </c>
      <c r="D163" s="4" t="s">
        <v>109</v>
      </c>
      <c r="E163" s="4" t="s">
        <v>287</v>
      </c>
      <c r="F163" s="8"/>
      <c r="G163" s="8"/>
      <c r="H163" s="8"/>
      <c r="I163" s="8"/>
      <c r="J163" s="8"/>
      <c r="K163" s="8">
        <v>50</v>
      </c>
      <c r="L163" s="18">
        <v>70</v>
      </c>
      <c r="M163" s="7">
        <f t="shared" si="2"/>
        <v>3500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289</v>
      </c>
      <c r="D164" s="4" t="s">
        <v>109</v>
      </c>
      <c r="E164" s="4" t="s">
        <v>287</v>
      </c>
      <c r="F164" s="8"/>
      <c r="G164" s="8"/>
      <c r="H164" s="8"/>
      <c r="I164" s="8"/>
      <c r="J164" s="8"/>
      <c r="K164" s="8">
        <v>500</v>
      </c>
      <c r="L164" s="18">
        <v>17</v>
      </c>
      <c r="M164" s="7">
        <f t="shared" si="2"/>
        <v>8500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290</v>
      </c>
      <c r="D165" s="4" t="s">
        <v>109</v>
      </c>
      <c r="E165" s="4" t="s">
        <v>287</v>
      </c>
      <c r="F165" s="8"/>
      <c r="G165" s="8"/>
      <c r="H165" s="8"/>
      <c r="I165" s="8"/>
      <c r="J165" s="8"/>
      <c r="K165" s="8">
        <v>0</v>
      </c>
      <c r="L165" s="18">
        <v>0.66</v>
      </c>
      <c r="M165" s="7">
        <f t="shared" si="2"/>
        <v>0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291</v>
      </c>
      <c r="D166" s="4" t="s">
        <v>109</v>
      </c>
      <c r="E166" s="4" t="s">
        <v>252</v>
      </c>
      <c r="F166" s="8"/>
      <c r="G166" s="8"/>
      <c r="H166" s="8"/>
      <c r="I166" s="8"/>
      <c r="J166" s="8"/>
      <c r="K166" s="8">
        <v>0</v>
      </c>
      <c r="L166" s="18">
        <v>1872</v>
      </c>
      <c r="M166" s="7">
        <f t="shared" si="2"/>
        <v>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292</v>
      </c>
      <c r="D167" s="4" t="s">
        <v>109</v>
      </c>
      <c r="E167" s="4" t="s">
        <v>287</v>
      </c>
      <c r="F167" s="8"/>
      <c r="G167" s="8"/>
      <c r="H167" s="8"/>
      <c r="I167" s="8"/>
      <c r="J167" s="8"/>
      <c r="K167" s="8">
        <v>100</v>
      </c>
      <c r="L167" s="18">
        <v>25</v>
      </c>
      <c r="M167" s="7">
        <f t="shared" si="2"/>
        <v>2500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293</v>
      </c>
      <c r="D168" s="4" t="s">
        <v>109</v>
      </c>
      <c r="E168" s="4" t="s">
        <v>287</v>
      </c>
      <c r="F168" s="8"/>
      <c r="G168" s="8"/>
      <c r="H168" s="8"/>
      <c r="I168" s="8"/>
      <c r="J168" s="8"/>
      <c r="K168" s="8">
        <v>500</v>
      </c>
      <c r="L168" s="18">
        <v>4</v>
      </c>
      <c r="M168" s="7">
        <f t="shared" si="2"/>
        <v>2000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294</v>
      </c>
      <c r="D169" s="4" t="s">
        <v>109</v>
      </c>
      <c r="E169" s="4" t="s">
        <v>287</v>
      </c>
      <c r="F169" s="8"/>
      <c r="G169" s="8"/>
      <c r="H169" s="8"/>
      <c r="I169" s="8"/>
      <c r="J169" s="8"/>
      <c r="K169" s="8">
        <v>1600</v>
      </c>
      <c r="L169" s="18">
        <v>4</v>
      </c>
      <c r="M169" s="7">
        <f t="shared" si="2"/>
        <v>6400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295</v>
      </c>
      <c r="D170" s="4" t="s">
        <v>109</v>
      </c>
      <c r="E170" s="4" t="s">
        <v>287</v>
      </c>
      <c r="F170" s="8"/>
      <c r="G170" s="8"/>
      <c r="H170" s="8"/>
      <c r="I170" s="8"/>
      <c r="J170" s="8"/>
      <c r="K170" s="8">
        <v>1600</v>
      </c>
      <c r="L170" s="18">
        <v>7.5</v>
      </c>
      <c r="M170" s="7">
        <f t="shared" si="2"/>
        <v>12000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296</v>
      </c>
      <c r="D171" s="4" t="s">
        <v>109</v>
      </c>
      <c r="E171" s="4" t="s">
        <v>287</v>
      </c>
      <c r="F171" s="8"/>
      <c r="G171" s="8"/>
      <c r="H171" s="8"/>
      <c r="I171" s="8"/>
      <c r="J171" s="8"/>
      <c r="K171" s="8">
        <v>2300</v>
      </c>
      <c r="L171" s="18">
        <v>3</v>
      </c>
      <c r="M171" s="7">
        <f t="shared" si="2"/>
        <v>6900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297</v>
      </c>
      <c r="D172" s="4" t="s">
        <v>109</v>
      </c>
      <c r="E172" s="4" t="s">
        <v>287</v>
      </c>
      <c r="F172" s="8"/>
      <c r="G172" s="8"/>
      <c r="H172" s="8"/>
      <c r="I172" s="8"/>
      <c r="J172" s="8"/>
      <c r="K172" s="8">
        <v>13000</v>
      </c>
      <c r="L172" s="18">
        <v>5</v>
      </c>
      <c r="M172" s="7">
        <f t="shared" si="2"/>
        <v>65000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298</v>
      </c>
      <c r="D173" s="4" t="s">
        <v>109</v>
      </c>
      <c r="E173" s="4" t="s">
        <v>287</v>
      </c>
      <c r="F173" s="8"/>
      <c r="G173" s="8"/>
      <c r="H173" s="8"/>
      <c r="I173" s="8"/>
      <c r="J173" s="8"/>
      <c r="K173" s="8">
        <v>2500</v>
      </c>
      <c r="L173" s="18">
        <v>5.5</v>
      </c>
      <c r="M173" s="7">
        <f t="shared" si="2"/>
        <v>13750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299</v>
      </c>
      <c r="D174" s="4" t="s">
        <v>109</v>
      </c>
      <c r="E174" s="4" t="s">
        <v>133</v>
      </c>
      <c r="F174" s="8"/>
      <c r="G174" s="8"/>
      <c r="H174" s="8"/>
      <c r="I174" s="8"/>
      <c r="J174" s="8"/>
      <c r="K174" s="8">
        <v>35</v>
      </c>
      <c r="L174" s="18">
        <v>434.52199999999999</v>
      </c>
      <c r="M174" s="7">
        <f t="shared" si="2"/>
        <v>15208.27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300</v>
      </c>
      <c r="D175" s="4" t="s">
        <v>109</v>
      </c>
      <c r="E175" s="4" t="s">
        <v>133</v>
      </c>
      <c r="F175" s="8"/>
      <c r="G175" s="8"/>
      <c r="H175" s="8"/>
      <c r="I175" s="8"/>
      <c r="J175" s="8"/>
      <c r="K175" s="8">
        <v>20</v>
      </c>
      <c r="L175" s="18">
        <v>270</v>
      </c>
      <c r="M175" s="7">
        <f t="shared" si="2"/>
        <v>5400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301</v>
      </c>
      <c r="D176" s="4" t="s">
        <v>109</v>
      </c>
      <c r="E176" s="4" t="s">
        <v>302</v>
      </c>
      <c r="F176" s="8"/>
      <c r="G176" s="8"/>
      <c r="H176" s="8"/>
      <c r="I176" s="8"/>
      <c r="J176" s="8"/>
      <c r="K176" s="8">
        <v>80</v>
      </c>
      <c r="L176" s="18">
        <v>7</v>
      </c>
      <c r="M176" s="7">
        <f t="shared" si="2"/>
        <v>560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303</v>
      </c>
      <c r="D177" s="4" t="s">
        <v>109</v>
      </c>
      <c r="E177" s="4" t="s">
        <v>304</v>
      </c>
      <c r="F177" s="8"/>
      <c r="G177" s="8"/>
      <c r="H177" s="8"/>
      <c r="I177" s="8"/>
      <c r="J177" s="8"/>
      <c r="K177" s="8">
        <v>1300</v>
      </c>
      <c r="L177" s="18">
        <v>3</v>
      </c>
      <c r="M177" s="7">
        <f t="shared" si="2"/>
        <v>3900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305</v>
      </c>
      <c r="D178" s="4" t="s">
        <v>109</v>
      </c>
      <c r="E178" s="4" t="s">
        <v>152</v>
      </c>
      <c r="F178" s="8"/>
      <c r="G178" s="8"/>
      <c r="H178" s="8"/>
      <c r="I178" s="8"/>
      <c r="J178" s="8"/>
      <c r="K178" s="8">
        <v>0</v>
      </c>
      <c r="L178" s="18">
        <v>936</v>
      </c>
      <c r="M178" s="7">
        <f t="shared" si="2"/>
        <v>0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306</v>
      </c>
      <c r="D179" s="4" t="s">
        <v>109</v>
      </c>
      <c r="E179" s="4" t="s">
        <v>152</v>
      </c>
      <c r="F179" s="8"/>
      <c r="G179" s="8"/>
      <c r="H179" s="8"/>
      <c r="I179" s="8"/>
      <c r="J179" s="8"/>
      <c r="K179" s="8">
        <v>0</v>
      </c>
      <c r="L179" s="18">
        <v>400</v>
      </c>
      <c r="M179" s="7">
        <f t="shared" si="2"/>
        <v>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307</v>
      </c>
      <c r="D180" s="4" t="s">
        <v>109</v>
      </c>
      <c r="E180" s="4" t="s">
        <v>152</v>
      </c>
      <c r="F180" s="8"/>
      <c r="G180" s="8"/>
      <c r="H180" s="8"/>
      <c r="I180" s="8"/>
      <c r="J180" s="8"/>
      <c r="K180" s="8">
        <v>33</v>
      </c>
      <c r="L180" s="18">
        <v>150</v>
      </c>
      <c r="M180" s="7">
        <f t="shared" si="2"/>
        <v>4950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308</v>
      </c>
      <c r="D181" s="4" t="s">
        <v>109</v>
      </c>
      <c r="E181" s="4" t="s">
        <v>152</v>
      </c>
      <c r="F181" s="8"/>
      <c r="G181" s="8"/>
      <c r="H181" s="8"/>
      <c r="I181" s="8"/>
      <c r="J181" s="8"/>
      <c r="K181" s="8">
        <v>1</v>
      </c>
      <c r="L181" s="18">
        <v>160</v>
      </c>
      <c r="M181" s="7">
        <f t="shared" si="2"/>
        <v>160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309</v>
      </c>
      <c r="D182" s="4" t="s">
        <v>109</v>
      </c>
      <c r="E182" s="4" t="s">
        <v>152</v>
      </c>
      <c r="F182" s="8"/>
      <c r="G182" s="8"/>
      <c r="H182" s="8"/>
      <c r="I182" s="8"/>
      <c r="J182" s="8"/>
      <c r="K182" s="8">
        <v>9</v>
      </c>
      <c r="L182" s="18">
        <v>180</v>
      </c>
      <c r="M182" s="7">
        <f t="shared" si="2"/>
        <v>1620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310</v>
      </c>
      <c r="D183" s="4" t="s">
        <v>109</v>
      </c>
      <c r="E183" s="4" t="s">
        <v>152</v>
      </c>
      <c r="F183" s="8"/>
      <c r="G183" s="8"/>
      <c r="H183" s="8"/>
      <c r="I183" s="8"/>
      <c r="J183" s="8"/>
      <c r="K183" s="8">
        <v>0</v>
      </c>
      <c r="L183" s="18">
        <v>200</v>
      </c>
      <c r="M183" s="7">
        <f t="shared" si="2"/>
        <v>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311</v>
      </c>
      <c r="D184" s="4" t="s">
        <v>109</v>
      </c>
      <c r="E184" s="4" t="s">
        <v>152</v>
      </c>
      <c r="F184" s="8"/>
      <c r="G184" s="8"/>
      <c r="H184" s="8"/>
      <c r="I184" s="8"/>
      <c r="J184" s="8"/>
      <c r="K184" s="8">
        <v>10</v>
      </c>
      <c r="L184" s="18">
        <v>220</v>
      </c>
      <c r="M184" s="7">
        <f t="shared" si="2"/>
        <v>2200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312</v>
      </c>
      <c r="D185" s="4" t="s">
        <v>109</v>
      </c>
      <c r="E185" s="4" t="s">
        <v>152</v>
      </c>
      <c r="F185" s="8"/>
      <c r="G185" s="8"/>
      <c r="H185" s="8"/>
      <c r="I185" s="8"/>
      <c r="J185" s="8"/>
      <c r="K185" s="8">
        <v>2</v>
      </c>
      <c r="L185" s="18">
        <v>230</v>
      </c>
      <c r="M185" s="7">
        <f t="shared" si="2"/>
        <v>460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313</v>
      </c>
      <c r="D186" s="4" t="s">
        <v>109</v>
      </c>
      <c r="E186" s="4" t="s">
        <v>152</v>
      </c>
      <c r="F186" s="8"/>
      <c r="G186" s="8"/>
      <c r="H186" s="8"/>
      <c r="I186" s="8"/>
      <c r="J186" s="8"/>
      <c r="K186" s="8">
        <v>2</v>
      </c>
      <c r="L186" s="18">
        <v>250</v>
      </c>
      <c r="M186" s="7">
        <f t="shared" si="2"/>
        <v>500</v>
      </c>
      <c r="N186" s="4"/>
      <c r="O186" s="9"/>
    </row>
    <row r="187" spans="1:15" ht="20" customHeight="1" x14ac:dyDescent="0.2">
      <c r="A187" s="3">
        <v>183</v>
      </c>
      <c r="B187" s="19"/>
      <c r="C187" s="4" t="s">
        <v>314</v>
      </c>
      <c r="D187" s="4" t="s">
        <v>109</v>
      </c>
      <c r="E187" s="4" t="s">
        <v>152</v>
      </c>
      <c r="F187" s="8"/>
      <c r="G187" s="8"/>
      <c r="H187" s="8"/>
      <c r="I187" s="8"/>
      <c r="J187" s="8"/>
      <c r="K187" s="8">
        <v>7</v>
      </c>
      <c r="L187" s="18">
        <v>280</v>
      </c>
      <c r="M187" s="7">
        <f t="shared" si="2"/>
        <v>1960</v>
      </c>
      <c r="N187" s="4"/>
      <c r="O187" s="9"/>
    </row>
    <row r="188" spans="1:15" ht="20" customHeight="1" x14ac:dyDescent="0.2">
      <c r="A188" s="3">
        <v>184</v>
      </c>
      <c r="B188" s="19"/>
      <c r="C188" s="4" t="s">
        <v>315</v>
      </c>
      <c r="D188" s="4" t="s">
        <v>109</v>
      </c>
      <c r="E188" s="4" t="s">
        <v>152</v>
      </c>
      <c r="F188" s="8"/>
      <c r="G188" s="8"/>
      <c r="H188" s="8"/>
      <c r="I188" s="8"/>
      <c r="J188" s="8"/>
      <c r="K188" s="8">
        <v>11</v>
      </c>
      <c r="L188" s="18">
        <v>300</v>
      </c>
      <c r="M188" s="7">
        <f t="shared" si="2"/>
        <v>3300</v>
      </c>
      <c r="N188" s="4"/>
      <c r="O188" s="9"/>
    </row>
    <row r="189" spans="1:15" ht="20" customHeight="1" x14ac:dyDescent="0.2">
      <c r="A189" s="3">
        <v>185</v>
      </c>
      <c r="B189" s="19"/>
      <c r="C189" s="4" t="s">
        <v>316</v>
      </c>
      <c r="D189" s="4" t="s">
        <v>109</v>
      </c>
      <c r="E189" s="4" t="s">
        <v>152</v>
      </c>
      <c r="F189" s="8"/>
      <c r="G189" s="8"/>
      <c r="H189" s="8"/>
      <c r="I189" s="8"/>
      <c r="J189" s="8"/>
      <c r="K189" s="8">
        <v>30</v>
      </c>
      <c r="L189" s="18">
        <v>350</v>
      </c>
      <c r="M189" s="7">
        <f t="shared" si="2"/>
        <v>10500</v>
      </c>
      <c r="N189" s="4"/>
      <c r="O189" s="9"/>
    </row>
    <row r="190" spans="1:15" ht="20" customHeight="1" x14ac:dyDescent="0.2">
      <c r="A190" s="3">
        <v>186</v>
      </c>
      <c r="B190" s="19"/>
      <c r="C190" s="4" t="s">
        <v>317</v>
      </c>
      <c r="D190" s="4" t="s">
        <v>109</v>
      </c>
      <c r="E190" s="4" t="s">
        <v>152</v>
      </c>
      <c r="F190" s="8"/>
      <c r="G190" s="8"/>
      <c r="H190" s="8"/>
      <c r="I190" s="8"/>
      <c r="J190" s="8"/>
      <c r="K190" s="8">
        <v>3</v>
      </c>
      <c r="L190" s="18">
        <v>380</v>
      </c>
      <c r="M190" s="7">
        <f t="shared" si="2"/>
        <v>1140</v>
      </c>
      <c r="N190" s="4"/>
      <c r="O190" s="9"/>
    </row>
    <row r="191" spans="1:15" ht="20" customHeight="1" x14ac:dyDescent="0.2">
      <c r="A191" s="3">
        <v>187</v>
      </c>
      <c r="B191" s="19"/>
      <c r="C191" s="4" t="s">
        <v>318</v>
      </c>
      <c r="D191" s="4" t="s">
        <v>109</v>
      </c>
      <c r="E191" s="4" t="s">
        <v>152</v>
      </c>
      <c r="F191" s="8"/>
      <c r="G191" s="8"/>
      <c r="H191" s="8"/>
      <c r="I191" s="8"/>
      <c r="J191" s="8"/>
      <c r="K191" s="8">
        <v>5</v>
      </c>
      <c r="L191" s="18">
        <v>450</v>
      </c>
      <c r="M191" s="7">
        <f t="shared" si="2"/>
        <v>2250</v>
      </c>
      <c r="N191" s="4"/>
      <c r="O191" s="9"/>
    </row>
    <row r="192" spans="1:15" ht="20" customHeight="1" x14ac:dyDescent="0.2">
      <c r="A192" s="3">
        <v>188</v>
      </c>
      <c r="B192" s="19"/>
      <c r="C192" s="4" t="s">
        <v>319</v>
      </c>
      <c r="D192" s="4" t="s">
        <v>109</v>
      </c>
      <c r="E192" s="4" t="s">
        <v>152</v>
      </c>
      <c r="F192" s="8"/>
      <c r="G192" s="8"/>
      <c r="H192" s="8"/>
      <c r="I192" s="8"/>
      <c r="J192" s="8"/>
      <c r="K192" s="8">
        <v>8</v>
      </c>
      <c r="L192" s="18">
        <v>480</v>
      </c>
      <c r="M192" s="7">
        <f t="shared" si="2"/>
        <v>3840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320</v>
      </c>
      <c r="D193" s="4" t="s">
        <v>109</v>
      </c>
      <c r="E193" s="4" t="s">
        <v>152</v>
      </c>
      <c r="F193" s="8"/>
      <c r="G193" s="8"/>
      <c r="H193" s="8"/>
      <c r="I193" s="8"/>
      <c r="J193" s="8"/>
      <c r="K193" s="8">
        <v>1</v>
      </c>
      <c r="L193" s="18">
        <v>650</v>
      </c>
      <c r="M193" s="7">
        <f t="shared" si="2"/>
        <v>650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321</v>
      </c>
      <c r="D194" s="4" t="s">
        <v>109</v>
      </c>
      <c r="E194" s="4" t="s">
        <v>152</v>
      </c>
      <c r="F194" s="8"/>
      <c r="G194" s="8"/>
      <c r="H194" s="8"/>
      <c r="I194" s="8"/>
      <c r="J194" s="8"/>
      <c r="K194" s="8">
        <v>1</v>
      </c>
      <c r="L194" s="18">
        <v>260</v>
      </c>
      <c r="M194" s="7">
        <f t="shared" si="2"/>
        <v>260</v>
      </c>
      <c r="N194" s="4"/>
      <c r="O194" s="9"/>
    </row>
    <row r="195" spans="1:15" ht="20" customHeight="1" x14ac:dyDescent="0.2">
      <c r="A195" s="3">
        <v>191</v>
      </c>
      <c r="B195" s="19"/>
      <c r="C195" s="4" t="s">
        <v>322</v>
      </c>
      <c r="D195" s="4" t="s">
        <v>109</v>
      </c>
      <c r="E195" s="4" t="s">
        <v>152</v>
      </c>
      <c r="F195" s="8"/>
      <c r="G195" s="8"/>
      <c r="H195" s="8"/>
      <c r="I195" s="8"/>
      <c r="J195" s="8"/>
      <c r="K195" s="8">
        <v>80</v>
      </c>
      <c r="L195" s="18">
        <v>40</v>
      </c>
      <c r="M195" s="7">
        <f t="shared" si="2"/>
        <v>3200</v>
      </c>
      <c r="N195" s="4"/>
      <c r="O195" s="9"/>
    </row>
    <row r="196" spans="1:15" ht="20" customHeight="1" x14ac:dyDescent="0.2">
      <c r="A196" s="3">
        <v>192</v>
      </c>
      <c r="B196" s="19"/>
      <c r="C196" s="4" t="s">
        <v>323</v>
      </c>
      <c r="D196" s="4" t="s">
        <v>109</v>
      </c>
      <c r="E196" s="4" t="s">
        <v>152</v>
      </c>
      <c r="F196" s="8"/>
      <c r="G196" s="8"/>
      <c r="H196" s="8"/>
      <c r="I196" s="8"/>
      <c r="J196" s="8"/>
      <c r="K196" s="8">
        <v>80</v>
      </c>
      <c r="L196" s="18">
        <v>40</v>
      </c>
      <c r="M196" s="7">
        <f t="shared" si="2"/>
        <v>3200</v>
      </c>
      <c r="N196" s="4"/>
      <c r="O196" s="9"/>
    </row>
    <row r="197" spans="1:15" ht="20" customHeight="1" x14ac:dyDescent="0.2">
      <c r="A197" s="3">
        <v>193</v>
      </c>
      <c r="B197" s="19"/>
      <c r="C197" s="4" t="s">
        <v>324</v>
      </c>
      <c r="D197" s="4" t="s">
        <v>109</v>
      </c>
      <c r="E197" s="4" t="s">
        <v>152</v>
      </c>
      <c r="F197" s="8"/>
      <c r="G197" s="8"/>
      <c r="H197" s="8"/>
      <c r="I197" s="8"/>
      <c r="J197" s="8"/>
      <c r="K197" s="8">
        <v>1</v>
      </c>
      <c r="L197" s="18">
        <v>180</v>
      </c>
      <c r="M197" s="7">
        <f t="shared" ref="M197:M260" si="3">IF(OR(K197="",L197=""),"",K197*L197)</f>
        <v>180</v>
      </c>
      <c r="N197" s="4"/>
      <c r="O197" s="9"/>
    </row>
    <row r="198" spans="1:15" ht="20" customHeight="1" x14ac:dyDescent="0.2">
      <c r="A198" s="3">
        <v>194</v>
      </c>
      <c r="B198" s="19"/>
      <c r="C198" s="4" t="s">
        <v>325</v>
      </c>
      <c r="D198" s="4" t="s">
        <v>109</v>
      </c>
      <c r="E198" s="4" t="s">
        <v>110</v>
      </c>
      <c r="F198" s="8"/>
      <c r="G198" s="8"/>
      <c r="H198" s="8"/>
      <c r="I198" s="8"/>
      <c r="J198" s="8"/>
      <c r="K198" s="8">
        <v>80</v>
      </c>
      <c r="L198" s="18">
        <v>792</v>
      </c>
      <c r="M198" s="7">
        <f t="shared" si="3"/>
        <v>63360</v>
      </c>
      <c r="N198" s="4"/>
      <c r="O198" s="9"/>
    </row>
    <row r="199" spans="1:15" ht="20" customHeight="1" x14ac:dyDescent="0.2">
      <c r="A199" s="3">
        <v>195</v>
      </c>
      <c r="B199" s="19"/>
      <c r="C199" s="4" t="s">
        <v>326</v>
      </c>
      <c r="D199" s="4" t="s">
        <v>109</v>
      </c>
      <c r="E199" s="4" t="s">
        <v>110</v>
      </c>
      <c r="F199" s="8"/>
      <c r="G199" s="8"/>
      <c r="H199" s="8"/>
      <c r="I199" s="8"/>
      <c r="J199" s="8"/>
      <c r="K199" s="8">
        <v>0</v>
      </c>
      <c r="L199" s="18">
        <v>170</v>
      </c>
      <c r="M199" s="7">
        <f t="shared" si="3"/>
        <v>0</v>
      </c>
      <c r="N199" s="4"/>
      <c r="O199" s="9"/>
    </row>
    <row r="200" spans="1:15" ht="20" customHeight="1" x14ac:dyDescent="0.2">
      <c r="A200" s="3">
        <v>196</v>
      </c>
      <c r="B200" s="19"/>
      <c r="C200" s="4" t="s">
        <v>327</v>
      </c>
      <c r="D200" s="4" t="s">
        <v>109</v>
      </c>
      <c r="E200" s="4" t="s">
        <v>110</v>
      </c>
      <c r="F200" s="8"/>
      <c r="G200" s="8"/>
      <c r="H200" s="8"/>
      <c r="I200" s="8"/>
      <c r="J200" s="8"/>
      <c r="K200" s="8">
        <v>36</v>
      </c>
      <c r="L200" s="18">
        <v>180</v>
      </c>
      <c r="M200" s="7">
        <f t="shared" si="3"/>
        <v>6480</v>
      </c>
      <c r="N200" s="4"/>
      <c r="O200" s="9"/>
    </row>
    <row r="201" spans="1:15" ht="20" customHeight="1" x14ac:dyDescent="0.2">
      <c r="A201" s="3">
        <v>197</v>
      </c>
      <c r="B201" s="19"/>
      <c r="C201" s="4" t="s">
        <v>328</v>
      </c>
      <c r="D201" s="4" t="s">
        <v>109</v>
      </c>
      <c r="E201" s="4" t="s">
        <v>196</v>
      </c>
      <c r="F201" s="8"/>
      <c r="G201" s="8"/>
      <c r="H201" s="8"/>
      <c r="I201" s="8"/>
      <c r="J201" s="8"/>
      <c r="K201" s="8">
        <v>0</v>
      </c>
      <c r="L201" s="18">
        <v>170</v>
      </c>
      <c r="M201" s="7">
        <f t="shared" si="3"/>
        <v>0</v>
      </c>
      <c r="N201" s="4"/>
      <c r="O201" s="9"/>
    </row>
    <row r="202" spans="1:15" ht="20" customHeight="1" x14ac:dyDescent="0.2">
      <c r="A202" s="3">
        <v>198</v>
      </c>
      <c r="B202" s="19"/>
      <c r="C202" s="4" t="s">
        <v>329</v>
      </c>
      <c r="D202" s="4" t="s">
        <v>109</v>
      </c>
      <c r="E202" s="4" t="s">
        <v>133</v>
      </c>
      <c r="F202" s="8"/>
      <c r="G202" s="8"/>
      <c r="H202" s="8"/>
      <c r="I202" s="8"/>
      <c r="J202" s="8"/>
      <c r="K202" s="8">
        <v>0</v>
      </c>
      <c r="L202" s="18">
        <v>230</v>
      </c>
      <c r="M202" s="7">
        <f t="shared" si="3"/>
        <v>0</v>
      </c>
      <c r="N202" s="4"/>
      <c r="O202" s="9"/>
    </row>
    <row r="203" spans="1:15" ht="20" customHeight="1" x14ac:dyDescent="0.2">
      <c r="A203" s="3">
        <v>199</v>
      </c>
      <c r="B203" s="19"/>
      <c r="C203" s="4" t="s">
        <v>330</v>
      </c>
      <c r="D203" s="4" t="s">
        <v>109</v>
      </c>
      <c r="E203" s="4" t="s">
        <v>133</v>
      </c>
      <c r="F203" s="8"/>
      <c r="G203" s="8"/>
      <c r="H203" s="8"/>
      <c r="I203" s="8"/>
      <c r="J203" s="8"/>
      <c r="K203" s="8">
        <v>0</v>
      </c>
      <c r="L203" s="18">
        <v>300</v>
      </c>
      <c r="M203" s="7">
        <f t="shared" si="3"/>
        <v>0</v>
      </c>
      <c r="N203" s="4"/>
      <c r="O203" s="9"/>
    </row>
    <row r="204" spans="1:15" ht="20" customHeight="1" x14ac:dyDescent="0.2">
      <c r="A204" s="3">
        <v>200</v>
      </c>
      <c r="B204" s="19"/>
      <c r="C204" s="4" t="s">
        <v>331</v>
      </c>
      <c r="D204" s="4" t="s">
        <v>109</v>
      </c>
      <c r="E204" s="4" t="s">
        <v>252</v>
      </c>
      <c r="F204" s="8"/>
      <c r="G204" s="8"/>
      <c r="H204" s="8"/>
      <c r="I204" s="8"/>
      <c r="J204" s="8"/>
      <c r="K204" s="8">
        <v>0</v>
      </c>
      <c r="L204" s="18">
        <v>980</v>
      </c>
      <c r="M204" s="7">
        <f t="shared" si="3"/>
        <v>0</v>
      </c>
      <c r="N204" s="4"/>
      <c r="O204" s="9"/>
    </row>
    <row r="205" spans="1:15" ht="20" customHeight="1" x14ac:dyDescent="0.2">
      <c r="A205" s="3">
        <v>201</v>
      </c>
      <c r="B205" s="19"/>
      <c r="C205" s="4" t="s">
        <v>332</v>
      </c>
      <c r="D205" s="4" t="s">
        <v>109</v>
      </c>
      <c r="E205" s="4"/>
      <c r="F205" s="8"/>
      <c r="G205" s="8"/>
      <c r="H205" s="8"/>
      <c r="I205" s="8"/>
      <c r="J205" s="8"/>
      <c r="K205" s="8">
        <v>4</v>
      </c>
      <c r="L205" s="18">
        <v>750</v>
      </c>
      <c r="M205" s="7">
        <f t="shared" si="3"/>
        <v>3000</v>
      </c>
      <c r="N205" s="4"/>
      <c r="O205" s="9"/>
    </row>
    <row r="206" spans="1:15" ht="20" customHeight="1" x14ac:dyDescent="0.2">
      <c r="A206" s="3">
        <v>202</v>
      </c>
      <c r="B206" s="19"/>
      <c r="C206" s="4" t="s">
        <v>333</v>
      </c>
      <c r="D206" s="4" t="s">
        <v>109</v>
      </c>
      <c r="E206" s="4" t="s">
        <v>302</v>
      </c>
      <c r="F206" s="8"/>
      <c r="G206" s="8"/>
      <c r="H206" s="8"/>
      <c r="I206" s="8"/>
      <c r="J206" s="8"/>
      <c r="K206" s="8">
        <v>150</v>
      </c>
      <c r="L206" s="18">
        <v>35</v>
      </c>
      <c r="M206" s="7">
        <f t="shared" si="3"/>
        <v>5250</v>
      </c>
      <c r="N206" s="4"/>
      <c r="O206" s="9"/>
    </row>
    <row r="207" spans="1:15" ht="20" customHeight="1" x14ac:dyDescent="0.2">
      <c r="A207" s="3">
        <v>203</v>
      </c>
      <c r="B207" s="19"/>
      <c r="C207" s="4" t="s">
        <v>334</v>
      </c>
      <c r="D207" s="4" t="s">
        <v>109</v>
      </c>
      <c r="E207" s="4" t="s">
        <v>302</v>
      </c>
      <c r="F207" s="8"/>
      <c r="G207" s="8"/>
      <c r="H207" s="8"/>
      <c r="I207" s="8"/>
      <c r="J207" s="8"/>
      <c r="K207" s="8">
        <v>0</v>
      </c>
      <c r="L207" s="18">
        <v>8.75</v>
      </c>
      <c r="M207" s="7">
        <f t="shared" si="3"/>
        <v>0</v>
      </c>
      <c r="N207" s="4"/>
      <c r="O207" s="9"/>
    </row>
    <row r="208" spans="1:15" ht="20" customHeight="1" x14ac:dyDescent="0.2">
      <c r="A208" s="3">
        <v>204</v>
      </c>
      <c r="B208" s="19"/>
      <c r="C208" s="4" t="s">
        <v>335</v>
      </c>
      <c r="D208" s="4" t="s">
        <v>109</v>
      </c>
      <c r="E208" s="4" t="s">
        <v>196</v>
      </c>
      <c r="F208" s="8"/>
      <c r="G208" s="8"/>
      <c r="H208" s="8"/>
      <c r="I208" s="8"/>
      <c r="J208" s="8"/>
      <c r="K208" s="8">
        <v>130</v>
      </c>
      <c r="L208" s="18">
        <v>20</v>
      </c>
      <c r="M208" s="7">
        <f t="shared" si="3"/>
        <v>2600</v>
      </c>
      <c r="N208" s="4"/>
      <c r="O208" s="9"/>
    </row>
    <row r="209" spans="1:15" ht="20" customHeight="1" x14ac:dyDescent="0.2">
      <c r="A209" s="3">
        <v>205</v>
      </c>
      <c r="B209" s="19"/>
      <c r="C209" s="4" t="s">
        <v>336</v>
      </c>
      <c r="D209" s="4" t="s">
        <v>109</v>
      </c>
      <c r="E209" s="4" t="s">
        <v>302</v>
      </c>
      <c r="F209" s="8"/>
      <c r="G209" s="8"/>
      <c r="H209" s="8"/>
      <c r="I209" s="8"/>
      <c r="J209" s="8"/>
      <c r="K209" s="8">
        <v>400</v>
      </c>
      <c r="L209" s="18">
        <v>70</v>
      </c>
      <c r="M209" s="7">
        <f t="shared" si="3"/>
        <v>28000</v>
      </c>
      <c r="N209" s="4"/>
      <c r="O209" s="9"/>
    </row>
    <row r="210" spans="1:15" ht="20" customHeight="1" x14ac:dyDescent="0.2">
      <c r="A210" s="3">
        <v>206</v>
      </c>
      <c r="B210" s="19"/>
      <c r="C210" s="4" t="s">
        <v>337</v>
      </c>
      <c r="D210" s="4" t="s">
        <v>109</v>
      </c>
      <c r="E210" s="4" t="s">
        <v>196</v>
      </c>
      <c r="F210" s="8"/>
      <c r="G210" s="8"/>
      <c r="H210" s="8"/>
      <c r="I210" s="8"/>
      <c r="J210" s="8"/>
      <c r="K210" s="8">
        <v>4000</v>
      </c>
      <c r="L210" s="18">
        <v>55</v>
      </c>
      <c r="M210" s="7">
        <f t="shared" si="3"/>
        <v>220000</v>
      </c>
      <c r="N210" s="4"/>
      <c r="O210" s="9"/>
    </row>
    <row r="211" spans="1:15" ht="20" customHeight="1" x14ac:dyDescent="0.2">
      <c r="A211" s="3">
        <v>207</v>
      </c>
      <c r="B211" s="19"/>
      <c r="C211" s="4" t="s">
        <v>338</v>
      </c>
      <c r="D211" s="4" t="s">
        <v>109</v>
      </c>
      <c r="E211" s="4" t="s">
        <v>196</v>
      </c>
      <c r="F211" s="8"/>
      <c r="G211" s="8"/>
      <c r="H211" s="8"/>
      <c r="I211" s="8"/>
      <c r="J211" s="8"/>
      <c r="K211" s="8">
        <v>3000</v>
      </c>
      <c r="L211" s="18">
        <v>55</v>
      </c>
      <c r="M211" s="7">
        <f t="shared" si="3"/>
        <v>165000</v>
      </c>
      <c r="N211" s="4"/>
      <c r="O211" s="9"/>
    </row>
    <row r="212" spans="1:15" ht="20" customHeight="1" x14ac:dyDescent="0.2">
      <c r="A212" s="3">
        <v>208</v>
      </c>
      <c r="B212" s="19"/>
      <c r="C212" s="4" t="s">
        <v>339</v>
      </c>
      <c r="D212" s="4" t="s">
        <v>109</v>
      </c>
      <c r="E212" s="4" t="s">
        <v>196</v>
      </c>
      <c r="F212" s="8"/>
      <c r="G212" s="8"/>
      <c r="H212" s="8"/>
      <c r="I212" s="8"/>
      <c r="J212" s="8"/>
      <c r="K212" s="8">
        <v>80</v>
      </c>
      <c r="L212" s="18">
        <v>100</v>
      </c>
      <c r="M212" s="7">
        <f t="shared" si="3"/>
        <v>8000</v>
      </c>
      <c r="N212" s="4"/>
      <c r="O212" s="9"/>
    </row>
    <row r="213" spans="1:15" ht="20" customHeight="1" x14ac:dyDescent="0.2">
      <c r="A213" s="3">
        <v>209</v>
      </c>
      <c r="B213" s="19"/>
      <c r="C213" s="4" t="s">
        <v>340</v>
      </c>
      <c r="D213" s="4" t="s">
        <v>109</v>
      </c>
      <c r="E213" s="4" t="s">
        <v>125</v>
      </c>
      <c r="F213" s="8"/>
      <c r="G213" s="8"/>
      <c r="H213" s="8"/>
      <c r="I213" s="8"/>
      <c r="J213" s="8"/>
      <c r="K213" s="8">
        <v>40</v>
      </c>
      <c r="L213" s="18">
        <v>290</v>
      </c>
      <c r="M213" s="7">
        <f t="shared" si="3"/>
        <v>11600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341</v>
      </c>
      <c r="D214" s="4" t="s">
        <v>109</v>
      </c>
      <c r="E214" s="4" t="s">
        <v>152</v>
      </c>
      <c r="F214" s="8"/>
      <c r="G214" s="8"/>
      <c r="H214" s="8"/>
      <c r="I214" s="8"/>
      <c r="J214" s="8"/>
      <c r="K214" s="8">
        <v>450</v>
      </c>
      <c r="L214" s="18">
        <v>65</v>
      </c>
      <c r="M214" s="7">
        <f t="shared" si="3"/>
        <v>29250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342</v>
      </c>
      <c r="D215" s="4" t="s">
        <v>109</v>
      </c>
      <c r="E215" s="4" t="s">
        <v>343</v>
      </c>
      <c r="F215" s="8"/>
      <c r="G215" s="8"/>
      <c r="H215" s="8"/>
      <c r="I215" s="8"/>
      <c r="J215" s="8"/>
      <c r="K215" s="8">
        <v>24</v>
      </c>
      <c r="L215" s="18">
        <v>65</v>
      </c>
      <c r="M215" s="7">
        <f t="shared" si="3"/>
        <v>1560</v>
      </c>
      <c r="N215" s="4"/>
      <c r="O215" s="9"/>
    </row>
    <row r="216" spans="1:15" ht="20" customHeight="1" x14ac:dyDescent="0.2">
      <c r="A216" s="3">
        <v>212</v>
      </c>
      <c r="B216" s="19"/>
      <c r="C216" s="4" t="s">
        <v>344</v>
      </c>
      <c r="D216" s="4" t="s">
        <v>109</v>
      </c>
      <c r="E216" s="4" t="s">
        <v>343</v>
      </c>
      <c r="F216" s="8"/>
      <c r="G216" s="8"/>
      <c r="H216" s="8"/>
      <c r="I216" s="8"/>
      <c r="J216" s="8"/>
      <c r="K216" s="8">
        <v>24</v>
      </c>
      <c r="L216" s="18">
        <v>65</v>
      </c>
      <c r="M216" s="7">
        <f t="shared" si="3"/>
        <v>1560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345</v>
      </c>
      <c r="D217" s="4" t="s">
        <v>109</v>
      </c>
      <c r="E217" s="4" t="s">
        <v>343</v>
      </c>
      <c r="F217" s="8"/>
      <c r="G217" s="8"/>
      <c r="H217" s="8"/>
      <c r="I217" s="8"/>
      <c r="J217" s="8"/>
      <c r="K217" s="8">
        <v>2</v>
      </c>
      <c r="L217" s="18">
        <v>750</v>
      </c>
      <c r="M217" s="7">
        <f t="shared" si="3"/>
        <v>1500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346</v>
      </c>
      <c r="D218" s="4" t="s">
        <v>109</v>
      </c>
      <c r="E218" s="4" t="s">
        <v>343</v>
      </c>
      <c r="F218" s="8"/>
      <c r="G218" s="8"/>
      <c r="H218" s="8"/>
      <c r="I218" s="8"/>
      <c r="J218" s="8"/>
      <c r="K218" s="8">
        <v>84</v>
      </c>
      <c r="L218" s="18">
        <v>85</v>
      </c>
      <c r="M218" s="7">
        <f t="shared" si="3"/>
        <v>7140</v>
      </c>
      <c r="N218" s="4"/>
      <c r="O218" s="9"/>
    </row>
    <row r="219" spans="1:15" ht="20" customHeight="1" x14ac:dyDescent="0.2">
      <c r="A219" s="3">
        <v>215</v>
      </c>
      <c r="B219" s="19"/>
      <c r="C219" s="4" t="s">
        <v>347</v>
      </c>
      <c r="D219" s="4" t="s">
        <v>109</v>
      </c>
      <c r="E219" s="4" t="s">
        <v>343</v>
      </c>
      <c r="F219" s="8"/>
      <c r="G219" s="8"/>
      <c r="H219" s="8"/>
      <c r="I219" s="8"/>
      <c r="J219" s="8"/>
      <c r="K219" s="8">
        <v>36</v>
      </c>
      <c r="L219" s="18">
        <v>95</v>
      </c>
      <c r="M219" s="7">
        <f t="shared" si="3"/>
        <v>3420</v>
      </c>
      <c r="N219" s="4"/>
      <c r="O219" s="9"/>
    </row>
    <row r="220" spans="1:15" ht="20" customHeight="1" x14ac:dyDescent="0.2">
      <c r="A220" s="3">
        <v>216</v>
      </c>
      <c r="B220" s="19"/>
      <c r="C220" s="4" t="s">
        <v>348</v>
      </c>
      <c r="D220" s="4" t="s">
        <v>109</v>
      </c>
      <c r="E220" s="4" t="s">
        <v>349</v>
      </c>
      <c r="F220" s="8"/>
      <c r="G220" s="8"/>
      <c r="H220" s="8"/>
      <c r="I220" s="8"/>
      <c r="J220" s="8"/>
      <c r="K220" s="8">
        <v>250</v>
      </c>
      <c r="L220" s="18">
        <v>890</v>
      </c>
      <c r="M220" s="7">
        <f t="shared" si="3"/>
        <v>222500</v>
      </c>
      <c r="N220" s="4"/>
      <c r="O220" s="9"/>
    </row>
    <row r="221" spans="1:15" ht="20" customHeight="1" x14ac:dyDescent="0.2">
      <c r="A221" s="3">
        <v>217</v>
      </c>
      <c r="B221" s="19"/>
      <c r="C221" s="4" t="s">
        <v>350</v>
      </c>
      <c r="D221" s="4" t="s">
        <v>109</v>
      </c>
      <c r="E221" s="4" t="s">
        <v>304</v>
      </c>
      <c r="F221" s="8"/>
      <c r="G221" s="8"/>
      <c r="H221" s="8"/>
      <c r="I221" s="8"/>
      <c r="J221" s="8"/>
      <c r="K221" s="8">
        <v>180</v>
      </c>
      <c r="L221" s="18">
        <v>45</v>
      </c>
      <c r="M221" s="7">
        <f t="shared" si="3"/>
        <v>8100</v>
      </c>
      <c r="N221" s="4"/>
      <c r="O221" s="9"/>
    </row>
    <row r="222" spans="1:15" ht="20" customHeight="1" x14ac:dyDescent="0.2">
      <c r="A222" s="3">
        <v>218</v>
      </c>
      <c r="B222" s="19"/>
      <c r="C222" s="4" t="s">
        <v>351</v>
      </c>
      <c r="D222" s="4" t="s">
        <v>109</v>
      </c>
      <c r="E222" s="4" t="s">
        <v>152</v>
      </c>
      <c r="F222" s="8"/>
      <c r="G222" s="8"/>
      <c r="H222" s="8"/>
      <c r="I222" s="8"/>
      <c r="J222" s="8"/>
      <c r="K222" s="8">
        <v>250</v>
      </c>
      <c r="L222" s="18">
        <v>45</v>
      </c>
      <c r="M222" s="7">
        <f t="shared" si="3"/>
        <v>11250</v>
      </c>
      <c r="N222" s="4"/>
      <c r="O222" s="9"/>
    </row>
    <row r="223" spans="1:15" ht="20" customHeight="1" x14ac:dyDescent="0.2">
      <c r="A223" s="3">
        <v>219</v>
      </c>
      <c r="B223" s="19"/>
      <c r="C223" s="4" t="s">
        <v>352</v>
      </c>
      <c r="D223" s="4" t="s">
        <v>109</v>
      </c>
      <c r="E223" s="4" t="s">
        <v>304</v>
      </c>
      <c r="F223" s="8"/>
      <c r="G223" s="8"/>
      <c r="H223" s="8"/>
      <c r="I223" s="8"/>
      <c r="J223" s="8"/>
      <c r="K223" s="8">
        <v>170</v>
      </c>
      <c r="L223" s="18">
        <v>18</v>
      </c>
      <c r="M223" s="7">
        <f t="shared" si="3"/>
        <v>3060</v>
      </c>
      <c r="N223" s="4"/>
      <c r="O223" s="9"/>
    </row>
    <row r="224" spans="1:15" ht="20" customHeight="1" x14ac:dyDescent="0.2">
      <c r="A224" s="3">
        <v>220</v>
      </c>
      <c r="B224" s="19"/>
      <c r="C224" s="4" t="s">
        <v>353</v>
      </c>
      <c r="D224" s="4" t="s">
        <v>109</v>
      </c>
      <c r="E224" s="4" t="s">
        <v>304</v>
      </c>
      <c r="F224" s="8"/>
      <c r="G224" s="8"/>
      <c r="H224" s="8"/>
      <c r="I224" s="8"/>
      <c r="J224" s="8"/>
      <c r="K224" s="8">
        <v>1000</v>
      </c>
      <c r="L224" s="18">
        <v>18</v>
      </c>
      <c r="M224" s="7">
        <f t="shared" si="3"/>
        <v>18000</v>
      </c>
      <c r="N224" s="4"/>
      <c r="O224" s="9"/>
    </row>
    <row r="225" spans="1:15" ht="20" customHeight="1" x14ac:dyDescent="0.2">
      <c r="A225" s="3">
        <v>221</v>
      </c>
      <c r="B225" s="19"/>
      <c r="C225" s="4" t="s">
        <v>354</v>
      </c>
      <c r="D225" s="4" t="s">
        <v>109</v>
      </c>
      <c r="E225" s="4" t="s">
        <v>152</v>
      </c>
      <c r="F225" s="8"/>
      <c r="G225" s="8"/>
      <c r="H225" s="8"/>
      <c r="I225" s="8"/>
      <c r="J225" s="8"/>
      <c r="K225" s="8">
        <v>80</v>
      </c>
      <c r="L225" s="18">
        <v>9</v>
      </c>
      <c r="M225" s="7">
        <f t="shared" si="3"/>
        <v>720</v>
      </c>
      <c r="N225" s="4"/>
      <c r="O225" s="9"/>
    </row>
    <row r="226" spans="1:15" ht="20" customHeight="1" x14ac:dyDescent="0.2">
      <c r="A226" s="3">
        <v>222</v>
      </c>
      <c r="B226" s="19"/>
      <c r="C226" s="4" t="s">
        <v>355</v>
      </c>
      <c r="D226" s="4" t="s">
        <v>109</v>
      </c>
      <c r="E226" s="4" t="s">
        <v>152</v>
      </c>
      <c r="F226" s="8"/>
      <c r="G226" s="8"/>
      <c r="H226" s="8"/>
      <c r="I226" s="8"/>
      <c r="J226" s="8"/>
      <c r="K226" s="8">
        <v>100</v>
      </c>
      <c r="L226" s="18">
        <v>9</v>
      </c>
      <c r="M226" s="7">
        <f t="shared" si="3"/>
        <v>900</v>
      </c>
      <c r="N226" s="4"/>
      <c r="O226" s="9"/>
    </row>
    <row r="227" spans="1:15" ht="20" customHeight="1" x14ac:dyDescent="0.2">
      <c r="A227" s="3">
        <v>223</v>
      </c>
      <c r="B227" s="19"/>
      <c r="C227" s="4" t="s">
        <v>356</v>
      </c>
      <c r="D227" s="4" t="s">
        <v>109</v>
      </c>
      <c r="E227" s="4" t="s">
        <v>304</v>
      </c>
      <c r="F227" s="8"/>
      <c r="G227" s="8"/>
      <c r="H227" s="8"/>
      <c r="I227" s="8"/>
      <c r="J227" s="8"/>
      <c r="K227" s="8">
        <v>80</v>
      </c>
      <c r="L227" s="18">
        <v>20</v>
      </c>
      <c r="M227" s="7">
        <f t="shared" si="3"/>
        <v>1600</v>
      </c>
      <c r="N227" s="4"/>
      <c r="O227" s="9"/>
    </row>
    <row r="228" spans="1:15" ht="20" customHeight="1" x14ac:dyDescent="0.2">
      <c r="A228" s="3">
        <v>224</v>
      </c>
      <c r="B228" s="19"/>
      <c r="C228" s="4" t="s">
        <v>357</v>
      </c>
      <c r="D228" s="4" t="s">
        <v>109</v>
      </c>
      <c r="E228" s="4" t="s">
        <v>304</v>
      </c>
      <c r="F228" s="8"/>
      <c r="G228" s="8"/>
      <c r="H228" s="8"/>
      <c r="I228" s="8"/>
      <c r="J228" s="8"/>
      <c r="K228" s="8">
        <v>700</v>
      </c>
      <c r="L228" s="18">
        <v>20</v>
      </c>
      <c r="M228" s="7">
        <f t="shared" si="3"/>
        <v>14000</v>
      </c>
      <c r="N228" s="4"/>
      <c r="O228" s="9"/>
    </row>
    <row r="229" spans="1:15" ht="20" customHeight="1" x14ac:dyDescent="0.2">
      <c r="A229" s="3">
        <v>225</v>
      </c>
      <c r="B229" s="19"/>
      <c r="C229" s="4" t="s">
        <v>358</v>
      </c>
      <c r="D229" s="4" t="s">
        <v>109</v>
      </c>
      <c r="E229" s="4" t="s">
        <v>359</v>
      </c>
      <c r="F229" s="8"/>
      <c r="G229" s="8"/>
      <c r="H229" s="8"/>
      <c r="I229" s="8"/>
      <c r="J229" s="8"/>
      <c r="K229" s="8">
        <v>0</v>
      </c>
      <c r="L229" s="18">
        <v>60</v>
      </c>
      <c r="M229" s="7">
        <f t="shared" si="3"/>
        <v>0</v>
      </c>
      <c r="N229" s="4"/>
      <c r="O229" s="9"/>
    </row>
    <row r="230" spans="1:15" ht="20" customHeight="1" x14ac:dyDescent="0.2">
      <c r="A230" s="3">
        <v>226</v>
      </c>
      <c r="B230" s="19"/>
      <c r="C230" s="4" t="s">
        <v>360</v>
      </c>
      <c r="D230" s="4" t="s">
        <v>109</v>
      </c>
      <c r="E230" s="4" t="s">
        <v>196</v>
      </c>
      <c r="F230" s="8"/>
      <c r="G230" s="8"/>
      <c r="H230" s="8"/>
      <c r="I230" s="8"/>
      <c r="J230" s="8"/>
      <c r="K230" s="8">
        <v>0</v>
      </c>
      <c r="L230" s="18">
        <v>8</v>
      </c>
      <c r="M230" s="7">
        <f t="shared" si="3"/>
        <v>0</v>
      </c>
      <c r="N230" s="4"/>
      <c r="O230" s="9"/>
    </row>
    <row r="231" spans="1:15" ht="20" customHeight="1" x14ac:dyDescent="0.2">
      <c r="A231" s="3">
        <v>227</v>
      </c>
      <c r="B231" s="19"/>
      <c r="C231" s="4" t="s">
        <v>361</v>
      </c>
      <c r="D231" s="4" t="s">
        <v>109</v>
      </c>
      <c r="E231" s="4" t="s">
        <v>152</v>
      </c>
      <c r="F231" s="8"/>
      <c r="G231" s="8"/>
      <c r="H231" s="8"/>
      <c r="I231" s="8"/>
      <c r="J231" s="8"/>
      <c r="K231" s="8">
        <v>0</v>
      </c>
      <c r="L231" s="18">
        <v>13</v>
      </c>
      <c r="M231" s="7">
        <f t="shared" si="3"/>
        <v>0</v>
      </c>
      <c r="N231" s="4"/>
      <c r="O231" s="9"/>
    </row>
    <row r="232" spans="1:15" ht="20" customHeight="1" x14ac:dyDescent="0.2">
      <c r="A232" s="3">
        <v>228</v>
      </c>
      <c r="B232" s="19"/>
      <c r="C232" s="4" t="s">
        <v>362</v>
      </c>
      <c r="D232" s="4" t="s">
        <v>109</v>
      </c>
      <c r="E232" s="4" t="s">
        <v>152</v>
      </c>
      <c r="F232" s="8"/>
      <c r="G232" s="8"/>
      <c r="H232" s="8"/>
      <c r="I232" s="8"/>
      <c r="J232" s="8"/>
      <c r="K232" s="8">
        <v>3</v>
      </c>
      <c r="L232" s="18">
        <v>225</v>
      </c>
      <c r="M232" s="7">
        <f t="shared" si="3"/>
        <v>675</v>
      </c>
      <c r="N232" s="4"/>
      <c r="O232" s="9"/>
    </row>
    <row r="233" spans="1:15" ht="20" customHeight="1" x14ac:dyDescent="0.2">
      <c r="A233" s="3">
        <v>229</v>
      </c>
      <c r="B233" s="19"/>
      <c r="C233" s="4" t="s">
        <v>363</v>
      </c>
      <c r="D233" s="4" t="s">
        <v>109</v>
      </c>
      <c r="E233" s="4" t="s">
        <v>152</v>
      </c>
      <c r="F233" s="8"/>
      <c r="G233" s="8"/>
      <c r="H233" s="8"/>
      <c r="I233" s="8"/>
      <c r="J233" s="8"/>
      <c r="K233" s="8">
        <v>12</v>
      </c>
      <c r="L233" s="18">
        <v>225</v>
      </c>
      <c r="M233" s="7">
        <f t="shared" si="3"/>
        <v>2700</v>
      </c>
      <c r="N233" s="4"/>
      <c r="O233" s="9"/>
    </row>
    <row r="234" spans="1:15" ht="20" customHeight="1" x14ac:dyDescent="0.2">
      <c r="A234" s="3">
        <v>230</v>
      </c>
      <c r="B234" s="19"/>
      <c r="C234" s="4" t="s">
        <v>364</v>
      </c>
      <c r="D234" s="4" t="s">
        <v>109</v>
      </c>
      <c r="E234" s="4" t="s">
        <v>152</v>
      </c>
      <c r="F234" s="8"/>
      <c r="G234" s="8"/>
      <c r="H234" s="8"/>
      <c r="I234" s="8"/>
      <c r="J234" s="8"/>
      <c r="K234" s="8">
        <v>0</v>
      </c>
      <c r="L234" s="18">
        <v>240</v>
      </c>
      <c r="M234" s="7">
        <f t="shared" si="3"/>
        <v>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365</v>
      </c>
      <c r="D235" s="4" t="s">
        <v>109</v>
      </c>
      <c r="E235" s="4" t="s">
        <v>152</v>
      </c>
      <c r="F235" s="8"/>
      <c r="G235" s="8"/>
      <c r="H235" s="8"/>
      <c r="I235" s="8"/>
      <c r="J235" s="8"/>
      <c r="K235" s="8">
        <v>0</v>
      </c>
      <c r="L235" s="18">
        <v>240</v>
      </c>
      <c r="M235" s="7">
        <f t="shared" si="3"/>
        <v>0</v>
      </c>
      <c r="N235" s="4"/>
      <c r="O235" s="9"/>
    </row>
    <row r="236" spans="1:15" ht="20" customHeight="1" x14ac:dyDescent="0.2">
      <c r="A236" s="3">
        <v>232</v>
      </c>
      <c r="B236" s="19"/>
      <c r="C236" s="4" t="s">
        <v>366</v>
      </c>
      <c r="D236" s="4" t="s">
        <v>109</v>
      </c>
      <c r="E236" s="4" t="s">
        <v>152</v>
      </c>
      <c r="F236" s="8"/>
      <c r="G236" s="8"/>
      <c r="H236" s="8"/>
      <c r="I236" s="8"/>
      <c r="J236" s="8"/>
      <c r="K236" s="8">
        <v>0</v>
      </c>
      <c r="L236" s="18">
        <v>65</v>
      </c>
      <c r="M236" s="7">
        <f t="shared" si="3"/>
        <v>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367</v>
      </c>
      <c r="D237" s="4" t="s">
        <v>109</v>
      </c>
      <c r="E237" s="4" t="s">
        <v>152</v>
      </c>
      <c r="F237" s="8"/>
      <c r="G237" s="8"/>
      <c r="H237" s="8"/>
      <c r="I237" s="8"/>
      <c r="J237" s="8"/>
      <c r="K237" s="8">
        <v>0</v>
      </c>
      <c r="L237" s="18">
        <v>100</v>
      </c>
      <c r="M237" s="7">
        <f t="shared" si="3"/>
        <v>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368</v>
      </c>
      <c r="D238" s="4" t="s">
        <v>109</v>
      </c>
      <c r="E238" s="4" t="s">
        <v>152</v>
      </c>
      <c r="F238" s="8"/>
      <c r="G238" s="8"/>
      <c r="H238" s="8"/>
      <c r="I238" s="8"/>
      <c r="J238" s="8"/>
      <c r="K238" s="8">
        <v>5</v>
      </c>
      <c r="L238" s="18">
        <v>48</v>
      </c>
      <c r="M238" s="7">
        <f t="shared" si="3"/>
        <v>240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369</v>
      </c>
      <c r="D239" s="4" t="s">
        <v>109</v>
      </c>
      <c r="E239" s="4" t="s">
        <v>152</v>
      </c>
      <c r="F239" s="8"/>
      <c r="G239" s="8"/>
      <c r="H239" s="8"/>
      <c r="I239" s="8"/>
      <c r="J239" s="8"/>
      <c r="K239" s="8">
        <v>3</v>
      </c>
      <c r="L239" s="18">
        <v>280</v>
      </c>
      <c r="M239" s="7">
        <f t="shared" si="3"/>
        <v>840</v>
      </c>
      <c r="N239" s="4"/>
      <c r="O239" s="9"/>
    </row>
    <row r="240" spans="1:15" ht="20" customHeight="1" x14ac:dyDescent="0.2">
      <c r="A240" s="3">
        <v>236</v>
      </c>
      <c r="B240" s="19"/>
      <c r="C240" s="4" t="s">
        <v>370</v>
      </c>
      <c r="D240" s="4" t="s">
        <v>109</v>
      </c>
      <c r="E240" s="4" t="s">
        <v>110</v>
      </c>
      <c r="F240" s="8"/>
      <c r="G240" s="8"/>
      <c r="H240" s="8"/>
      <c r="I240" s="8"/>
      <c r="J240" s="8"/>
      <c r="K240" s="8">
        <v>0</v>
      </c>
      <c r="L240" s="18">
        <v>2355</v>
      </c>
      <c r="M240" s="7">
        <f t="shared" si="3"/>
        <v>0</v>
      </c>
      <c r="N240" s="4"/>
      <c r="O240" s="9"/>
    </row>
    <row r="241" spans="1:15" ht="20" customHeight="1" x14ac:dyDescent="0.2">
      <c r="A241" s="3">
        <v>237</v>
      </c>
      <c r="B241" s="19"/>
      <c r="C241" s="4" t="s">
        <v>371</v>
      </c>
      <c r="D241" s="4" t="s">
        <v>109</v>
      </c>
      <c r="E241" s="4" t="s">
        <v>196</v>
      </c>
      <c r="F241" s="8"/>
      <c r="G241" s="8"/>
      <c r="H241" s="8"/>
      <c r="I241" s="8"/>
      <c r="J241" s="8"/>
      <c r="K241" s="8">
        <v>0</v>
      </c>
      <c r="L241" s="18">
        <v>1200</v>
      </c>
      <c r="M241" s="7">
        <f t="shared" si="3"/>
        <v>0</v>
      </c>
      <c r="N241" s="4"/>
      <c r="O241" s="9"/>
    </row>
    <row r="242" spans="1:15" ht="20" customHeight="1" x14ac:dyDescent="0.2">
      <c r="A242" s="3">
        <v>238</v>
      </c>
      <c r="B242" s="19"/>
      <c r="C242" s="4" t="s">
        <v>372</v>
      </c>
      <c r="D242" s="4" t="s">
        <v>109</v>
      </c>
      <c r="E242" s="4" t="s">
        <v>196</v>
      </c>
      <c r="F242" s="8"/>
      <c r="G242" s="8"/>
      <c r="H242" s="8"/>
      <c r="I242" s="8"/>
      <c r="J242" s="8"/>
      <c r="K242" s="8">
        <v>0</v>
      </c>
      <c r="L242" s="18">
        <v>2500</v>
      </c>
      <c r="M242" s="7">
        <f t="shared" si="3"/>
        <v>0</v>
      </c>
      <c r="N242" s="4"/>
      <c r="O242" s="9"/>
    </row>
    <row r="243" spans="1:15" ht="20" customHeight="1" x14ac:dyDescent="0.2">
      <c r="A243" s="3">
        <v>239</v>
      </c>
      <c r="B243" s="19"/>
      <c r="C243" s="4" t="s">
        <v>373</v>
      </c>
      <c r="D243" s="4" t="s">
        <v>109</v>
      </c>
      <c r="E243" s="4" t="s">
        <v>196</v>
      </c>
      <c r="F243" s="8"/>
      <c r="G243" s="8"/>
      <c r="H243" s="8"/>
      <c r="I243" s="8"/>
      <c r="J243" s="8"/>
      <c r="K243" s="8">
        <v>0</v>
      </c>
      <c r="L243" s="18">
        <v>2700</v>
      </c>
      <c r="M243" s="7">
        <f t="shared" si="3"/>
        <v>0</v>
      </c>
      <c r="N243" s="4"/>
      <c r="O243" s="9"/>
    </row>
    <row r="244" spans="1:15" ht="20" customHeight="1" x14ac:dyDescent="0.2">
      <c r="A244" s="3">
        <v>240</v>
      </c>
      <c r="B244" s="19"/>
      <c r="C244" s="4" t="s">
        <v>374</v>
      </c>
      <c r="D244" s="4" t="s">
        <v>109</v>
      </c>
      <c r="E244" s="4" t="s">
        <v>196</v>
      </c>
      <c r="F244" s="8"/>
      <c r="G244" s="8"/>
      <c r="H244" s="8"/>
      <c r="I244" s="8"/>
      <c r="J244" s="8"/>
      <c r="K244" s="8">
        <v>3</v>
      </c>
      <c r="L244" s="18">
        <v>7500</v>
      </c>
      <c r="M244" s="7">
        <f t="shared" si="3"/>
        <v>22500</v>
      </c>
      <c r="N244" s="4"/>
      <c r="O244" s="9"/>
    </row>
    <row r="245" spans="1:15" ht="20" customHeight="1" x14ac:dyDescent="0.2">
      <c r="A245" s="3">
        <v>241</v>
      </c>
      <c r="B245" s="19"/>
      <c r="C245" s="4" t="s">
        <v>375</v>
      </c>
      <c r="D245" s="4" t="s">
        <v>109</v>
      </c>
      <c r="E245" s="4" t="s">
        <v>196</v>
      </c>
      <c r="F245" s="8"/>
      <c r="G245" s="8"/>
      <c r="H245" s="8"/>
      <c r="I245" s="8"/>
      <c r="J245" s="8"/>
      <c r="K245" s="8">
        <v>3</v>
      </c>
      <c r="L245" s="18">
        <v>3500</v>
      </c>
      <c r="M245" s="7">
        <f t="shared" si="3"/>
        <v>10500</v>
      </c>
      <c r="N245" s="4"/>
      <c r="O245" s="9"/>
    </row>
    <row r="246" spans="1:15" ht="20" customHeight="1" x14ac:dyDescent="0.2">
      <c r="A246" s="3">
        <v>242</v>
      </c>
      <c r="B246" s="19"/>
      <c r="C246" s="4" t="s">
        <v>376</v>
      </c>
      <c r="D246" s="4" t="s">
        <v>109</v>
      </c>
      <c r="E246" s="4" t="s">
        <v>196</v>
      </c>
      <c r="F246" s="8"/>
      <c r="G246" s="8"/>
      <c r="H246" s="8"/>
      <c r="I246" s="8"/>
      <c r="J246" s="8"/>
      <c r="K246" s="8">
        <v>2</v>
      </c>
      <c r="L246" s="18">
        <v>4100</v>
      </c>
      <c r="M246" s="7">
        <f t="shared" si="3"/>
        <v>8200</v>
      </c>
      <c r="N246" s="4"/>
      <c r="O246" s="9"/>
    </row>
    <row r="247" spans="1:15" ht="20" customHeight="1" x14ac:dyDescent="0.2">
      <c r="A247" s="3">
        <v>243</v>
      </c>
      <c r="B247" s="19"/>
      <c r="C247" s="4" t="s">
        <v>377</v>
      </c>
      <c r="D247" s="4" t="s">
        <v>109</v>
      </c>
      <c r="E247" s="4" t="s">
        <v>196</v>
      </c>
      <c r="F247" s="8"/>
      <c r="G247" s="8"/>
      <c r="H247" s="8"/>
      <c r="I247" s="8"/>
      <c r="J247" s="8"/>
      <c r="K247" s="8">
        <v>1</v>
      </c>
      <c r="L247" s="18">
        <v>3800</v>
      </c>
      <c r="M247" s="7">
        <f t="shared" si="3"/>
        <v>3800</v>
      </c>
      <c r="N247" s="4"/>
      <c r="O247" s="9"/>
    </row>
    <row r="248" spans="1:15" ht="20" customHeight="1" x14ac:dyDescent="0.2">
      <c r="A248" s="3">
        <v>244</v>
      </c>
      <c r="B248" s="19"/>
      <c r="C248" s="4" t="s">
        <v>378</v>
      </c>
      <c r="D248" s="4" t="s">
        <v>109</v>
      </c>
      <c r="E248" s="4" t="s">
        <v>196</v>
      </c>
      <c r="F248" s="8"/>
      <c r="G248" s="8"/>
      <c r="H248" s="8"/>
      <c r="I248" s="8"/>
      <c r="J248" s="8"/>
      <c r="K248" s="8">
        <v>1</v>
      </c>
      <c r="L248" s="18">
        <v>5500</v>
      </c>
      <c r="M248" s="7">
        <f t="shared" si="3"/>
        <v>5500</v>
      </c>
      <c r="N248" s="4"/>
      <c r="O248" s="9"/>
    </row>
    <row r="249" spans="1:15" ht="20" customHeight="1" x14ac:dyDescent="0.2">
      <c r="A249" s="3">
        <v>245</v>
      </c>
      <c r="B249" s="19"/>
      <c r="C249" s="4" t="s">
        <v>379</v>
      </c>
      <c r="D249" s="4" t="s">
        <v>109</v>
      </c>
      <c r="E249" s="4" t="s">
        <v>196</v>
      </c>
      <c r="F249" s="8"/>
      <c r="G249" s="8"/>
      <c r="H249" s="8"/>
      <c r="I249" s="8"/>
      <c r="J249" s="8"/>
      <c r="K249" s="8">
        <v>1</v>
      </c>
      <c r="L249" s="18">
        <v>5500</v>
      </c>
      <c r="M249" s="7">
        <f t="shared" si="3"/>
        <v>5500</v>
      </c>
      <c r="N249" s="4"/>
      <c r="O249" s="9"/>
    </row>
    <row r="250" spans="1:15" ht="20" customHeight="1" x14ac:dyDescent="0.2">
      <c r="A250" s="3">
        <v>246</v>
      </c>
      <c r="B250" s="19"/>
      <c r="C250" s="4" t="s">
        <v>380</v>
      </c>
      <c r="D250" s="4" t="s">
        <v>109</v>
      </c>
      <c r="E250" s="4" t="s">
        <v>196</v>
      </c>
      <c r="F250" s="8"/>
      <c r="G250" s="8"/>
      <c r="H250" s="8"/>
      <c r="I250" s="8"/>
      <c r="J250" s="8"/>
      <c r="K250" s="8">
        <v>1</v>
      </c>
      <c r="L250" s="18">
        <v>9400</v>
      </c>
      <c r="M250" s="7">
        <f t="shared" si="3"/>
        <v>9400</v>
      </c>
      <c r="N250" s="4"/>
      <c r="O250" s="9"/>
    </row>
    <row r="251" spans="1:15" ht="20" customHeight="1" x14ac:dyDescent="0.2">
      <c r="A251" s="3">
        <v>247</v>
      </c>
      <c r="B251" s="19"/>
      <c r="C251" s="4" t="s">
        <v>381</v>
      </c>
      <c r="D251" s="4" t="s">
        <v>109</v>
      </c>
      <c r="E251" s="4" t="s">
        <v>196</v>
      </c>
      <c r="F251" s="8"/>
      <c r="G251" s="8"/>
      <c r="H251" s="8"/>
      <c r="I251" s="8"/>
      <c r="J251" s="8"/>
      <c r="K251" s="8">
        <v>1</v>
      </c>
      <c r="L251" s="18">
        <v>9900</v>
      </c>
      <c r="M251" s="7">
        <f t="shared" si="3"/>
        <v>9900</v>
      </c>
      <c r="N251" s="4"/>
      <c r="O251" s="9"/>
    </row>
    <row r="252" spans="1:15" ht="20" customHeight="1" x14ac:dyDescent="0.2">
      <c r="A252" s="3">
        <v>248</v>
      </c>
      <c r="B252" s="19"/>
      <c r="C252" s="4" t="s">
        <v>382</v>
      </c>
      <c r="D252" s="4" t="s">
        <v>109</v>
      </c>
      <c r="E252" s="4" t="s">
        <v>196</v>
      </c>
      <c r="F252" s="8"/>
      <c r="G252" s="8"/>
      <c r="H252" s="8"/>
      <c r="I252" s="8"/>
      <c r="J252" s="8"/>
      <c r="K252" s="8">
        <v>1</v>
      </c>
      <c r="L252" s="18">
        <v>9600</v>
      </c>
      <c r="M252" s="7">
        <f t="shared" si="3"/>
        <v>9600</v>
      </c>
      <c r="N252" s="4"/>
      <c r="O252" s="9"/>
    </row>
    <row r="253" spans="1:15" ht="20" customHeight="1" x14ac:dyDescent="0.2">
      <c r="A253" s="3">
        <v>249</v>
      </c>
      <c r="B253" s="19"/>
      <c r="C253" s="4" t="s">
        <v>383</v>
      </c>
      <c r="D253" s="4" t="s">
        <v>109</v>
      </c>
      <c r="E253" s="4" t="s">
        <v>196</v>
      </c>
      <c r="F253" s="8"/>
      <c r="G253" s="8"/>
      <c r="H253" s="8"/>
      <c r="I253" s="8"/>
      <c r="J253" s="8"/>
      <c r="K253" s="8">
        <v>0</v>
      </c>
      <c r="L253" s="18">
        <v>1500</v>
      </c>
      <c r="M253" s="7">
        <f t="shared" si="3"/>
        <v>0</v>
      </c>
      <c r="N253" s="4"/>
      <c r="O253" s="9"/>
    </row>
    <row r="254" spans="1:15" ht="20" customHeight="1" x14ac:dyDescent="0.2">
      <c r="A254" s="3">
        <v>250</v>
      </c>
      <c r="B254" s="19"/>
      <c r="C254" s="4" t="s">
        <v>384</v>
      </c>
      <c r="D254" s="4" t="s">
        <v>109</v>
      </c>
      <c r="E254" s="4" t="s">
        <v>196</v>
      </c>
      <c r="F254" s="8"/>
      <c r="G254" s="8"/>
      <c r="H254" s="8"/>
      <c r="I254" s="8"/>
      <c r="J254" s="8"/>
      <c r="K254" s="8">
        <v>0</v>
      </c>
      <c r="L254" s="18">
        <v>1500</v>
      </c>
      <c r="M254" s="7">
        <f t="shared" si="3"/>
        <v>0</v>
      </c>
      <c r="N254" s="4"/>
      <c r="O254" s="9"/>
    </row>
    <row r="255" spans="1:15" ht="20" customHeight="1" x14ac:dyDescent="0.2">
      <c r="A255" s="3">
        <v>251</v>
      </c>
      <c r="B255" s="19"/>
      <c r="C255" s="4" t="s">
        <v>385</v>
      </c>
      <c r="D255" s="4" t="s">
        <v>109</v>
      </c>
      <c r="E255" s="4" t="s">
        <v>196</v>
      </c>
      <c r="F255" s="8"/>
      <c r="G255" s="8"/>
      <c r="H255" s="8"/>
      <c r="I255" s="8"/>
      <c r="J255" s="8"/>
      <c r="K255" s="8">
        <v>0</v>
      </c>
      <c r="L255" s="18">
        <v>1500</v>
      </c>
      <c r="M255" s="7">
        <f t="shared" si="3"/>
        <v>0</v>
      </c>
      <c r="N255" s="4"/>
      <c r="O255" s="9"/>
    </row>
    <row r="256" spans="1:15" ht="20" customHeight="1" x14ac:dyDescent="0.2">
      <c r="A256" s="3">
        <v>252</v>
      </c>
      <c r="B256" s="19"/>
      <c r="C256" s="4" t="s">
        <v>386</v>
      </c>
      <c r="D256" s="4" t="s">
        <v>109</v>
      </c>
      <c r="E256" s="4" t="s">
        <v>196</v>
      </c>
      <c r="F256" s="8"/>
      <c r="G256" s="8"/>
      <c r="H256" s="8"/>
      <c r="I256" s="8"/>
      <c r="J256" s="8"/>
      <c r="K256" s="8">
        <v>0</v>
      </c>
      <c r="L256" s="18">
        <v>1500</v>
      </c>
      <c r="M256" s="7">
        <f t="shared" si="3"/>
        <v>0</v>
      </c>
      <c r="N256" s="4"/>
      <c r="O256" s="9"/>
    </row>
    <row r="257" spans="1:15" ht="20" customHeight="1" x14ac:dyDescent="0.2">
      <c r="A257" s="3">
        <v>253</v>
      </c>
      <c r="B257" s="19"/>
      <c r="C257" s="4" t="s">
        <v>387</v>
      </c>
      <c r="D257" s="4" t="s">
        <v>109</v>
      </c>
      <c r="E257" s="4" t="s">
        <v>196</v>
      </c>
      <c r="F257" s="8"/>
      <c r="G257" s="8"/>
      <c r="H257" s="8"/>
      <c r="I257" s="8"/>
      <c r="J257" s="8"/>
      <c r="K257" s="8">
        <v>0</v>
      </c>
      <c r="L257" s="18">
        <v>1500</v>
      </c>
      <c r="M257" s="7">
        <f t="shared" si="3"/>
        <v>0</v>
      </c>
      <c r="N257" s="4"/>
      <c r="O257" s="9"/>
    </row>
    <row r="258" spans="1:15" ht="20" customHeight="1" x14ac:dyDescent="0.2">
      <c r="A258" s="3">
        <v>254</v>
      </c>
      <c r="B258" s="19"/>
      <c r="C258" s="4" t="s">
        <v>388</v>
      </c>
      <c r="D258" s="4" t="s">
        <v>109</v>
      </c>
      <c r="E258" s="4" t="s">
        <v>196</v>
      </c>
      <c r="F258" s="8"/>
      <c r="G258" s="8"/>
      <c r="H258" s="8"/>
      <c r="I258" s="8"/>
      <c r="J258" s="8"/>
      <c r="K258" s="8">
        <v>0</v>
      </c>
      <c r="L258" s="18">
        <v>1500</v>
      </c>
      <c r="M258" s="7">
        <f t="shared" si="3"/>
        <v>0</v>
      </c>
      <c r="N258" s="4"/>
      <c r="O258" s="9"/>
    </row>
    <row r="259" spans="1:15" ht="20" customHeight="1" x14ac:dyDescent="0.2">
      <c r="A259" s="3">
        <v>255</v>
      </c>
      <c r="B259" s="19"/>
      <c r="C259" s="4" t="s">
        <v>389</v>
      </c>
      <c r="D259" s="4" t="s">
        <v>109</v>
      </c>
      <c r="E259" s="4" t="s">
        <v>196</v>
      </c>
      <c r="F259" s="8"/>
      <c r="G259" s="8"/>
      <c r="H259" s="8"/>
      <c r="I259" s="8"/>
      <c r="J259" s="8"/>
      <c r="K259" s="8">
        <v>0</v>
      </c>
      <c r="L259" s="18">
        <v>1450</v>
      </c>
      <c r="M259" s="7">
        <f t="shared" si="3"/>
        <v>0</v>
      </c>
      <c r="N259" s="4"/>
      <c r="O259" s="9"/>
    </row>
    <row r="260" spans="1:15" ht="20" customHeight="1" x14ac:dyDescent="0.2">
      <c r="A260" s="3">
        <v>256</v>
      </c>
      <c r="B260" s="19"/>
      <c r="C260" s="4" t="s">
        <v>390</v>
      </c>
      <c r="D260" s="4" t="s">
        <v>109</v>
      </c>
      <c r="E260" s="4" t="s">
        <v>196</v>
      </c>
      <c r="F260" s="8"/>
      <c r="G260" s="8"/>
      <c r="H260" s="8"/>
      <c r="I260" s="8"/>
      <c r="J260" s="8"/>
      <c r="K260" s="8">
        <v>0</v>
      </c>
      <c r="L260" s="18">
        <v>2000</v>
      </c>
      <c r="M260" s="7">
        <f t="shared" si="3"/>
        <v>0</v>
      </c>
      <c r="N260" s="4"/>
      <c r="O260" s="9"/>
    </row>
    <row r="261" spans="1:15" ht="20" customHeight="1" x14ac:dyDescent="0.2">
      <c r="A261" s="3">
        <v>257</v>
      </c>
      <c r="B261" s="19"/>
      <c r="C261" s="4" t="s">
        <v>391</v>
      </c>
      <c r="D261" s="4" t="s">
        <v>109</v>
      </c>
      <c r="E261" s="4" t="s">
        <v>196</v>
      </c>
      <c r="F261" s="8"/>
      <c r="G261" s="8"/>
      <c r="H261" s="8"/>
      <c r="I261" s="8"/>
      <c r="J261" s="8"/>
      <c r="K261" s="8">
        <v>0</v>
      </c>
      <c r="L261" s="18">
        <v>2300</v>
      </c>
      <c r="M261" s="7">
        <f t="shared" ref="M261:M324" si="4">IF(OR(K261="",L261=""),"",K261*L261)</f>
        <v>0</v>
      </c>
      <c r="N261" s="4"/>
      <c r="O261" s="9"/>
    </row>
    <row r="262" spans="1:15" ht="20" customHeight="1" x14ac:dyDescent="0.2">
      <c r="A262" s="3">
        <v>258</v>
      </c>
      <c r="B262" s="19"/>
      <c r="C262" s="4" t="s">
        <v>392</v>
      </c>
      <c r="D262" s="4" t="s">
        <v>109</v>
      </c>
      <c r="E262" s="4" t="s">
        <v>196</v>
      </c>
      <c r="F262" s="8"/>
      <c r="G262" s="8"/>
      <c r="H262" s="8"/>
      <c r="I262" s="8"/>
      <c r="J262" s="8"/>
      <c r="K262" s="8">
        <v>0</v>
      </c>
      <c r="L262" s="18">
        <v>4200</v>
      </c>
      <c r="M262" s="7">
        <f t="shared" si="4"/>
        <v>0</v>
      </c>
      <c r="N262" s="4"/>
      <c r="O262" s="9"/>
    </row>
    <row r="263" spans="1:15" ht="20" customHeight="1" x14ac:dyDescent="0.2">
      <c r="A263" s="3">
        <v>259</v>
      </c>
      <c r="B263" s="19"/>
      <c r="C263" s="4" t="s">
        <v>393</v>
      </c>
      <c r="D263" s="4" t="s">
        <v>109</v>
      </c>
      <c r="E263" s="4" t="s">
        <v>196</v>
      </c>
      <c r="F263" s="8"/>
      <c r="G263" s="8"/>
      <c r="H263" s="8"/>
      <c r="I263" s="8"/>
      <c r="J263" s="8"/>
      <c r="K263" s="8">
        <v>1</v>
      </c>
      <c r="L263" s="18">
        <v>800</v>
      </c>
      <c r="M263" s="7">
        <f t="shared" si="4"/>
        <v>800</v>
      </c>
      <c r="N263" s="4"/>
      <c r="O263" s="9"/>
    </row>
    <row r="264" spans="1:15" ht="20" customHeight="1" x14ac:dyDescent="0.2">
      <c r="A264" s="3">
        <v>260</v>
      </c>
      <c r="B264" s="19"/>
      <c r="C264" s="4" t="s">
        <v>394</v>
      </c>
      <c r="D264" s="4" t="s">
        <v>109</v>
      </c>
      <c r="E264" s="4" t="s">
        <v>196</v>
      </c>
      <c r="F264" s="8"/>
      <c r="G264" s="8"/>
      <c r="H264" s="8"/>
      <c r="I264" s="8"/>
      <c r="J264" s="8"/>
      <c r="K264" s="8">
        <v>2</v>
      </c>
      <c r="L264" s="18">
        <v>4000</v>
      </c>
      <c r="M264" s="7">
        <f t="shared" si="4"/>
        <v>8000</v>
      </c>
      <c r="N264" s="4"/>
      <c r="O264" s="9"/>
    </row>
    <row r="265" spans="1:15" ht="20" customHeight="1" x14ac:dyDescent="0.2">
      <c r="A265" s="3">
        <v>261</v>
      </c>
      <c r="B265" s="19"/>
      <c r="C265" s="4" t="s">
        <v>395</v>
      </c>
      <c r="D265" s="4" t="s">
        <v>109</v>
      </c>
      <c r="E265" s="4" t="s">
        <v>196</v>
      </c>
      <c r="F265" s="8"/>
      <c r="G265" s="8"/>
      <c r="H265" s="8"/>
      <c r="I265" s="8"/>
      <c r="J265" s="8"/>
      <c r="K265" s="8">
        <v>1</v>
      </c>
      <c r="L265" s="18">
        <v>5500</v>
      </c>
      <c r="M265" s="7">
        <f t="shared" si="4"/>
        <v>5500</v>
      </c>
      <c r="N265" s="4"/>
      <c r="O265" s="9"/>
    </row>
    <row r="266" spans="1:15" ht="20" customHeight="1" x14ac:dyDescent="0.2">
      <c r="A266" s="3">
        <v>262</v>
      </c>
      <c r="B266" s="19"/>
      <c r="C266" s="4" t="s">
        <v>396</v>
      </c>
      <c r="D266" s="4" t="s">
        <v>109</v>
      </c>
      <c r="E266" s="4" t="s">
        <v>196</v>
      </c>
      <c r="F266" s="8"/>
      <c r="G266" s="8"/>
      <c r="H266" s="8"/>
      <c r="I266" s="8"/>
      <c r="J266" s="8"/>
      <c r="K266" s="8">
        <v>2</v>
      </c>
      <c r="L266" s="18">
        <v>9800</v>
      </c>
      <c r="M266" s="7">
        <f t="shared" si="4"/>
        <v>19600</v>
      </c>
      <c r="N266" s="4"/>
      <c r="O266" s="9"/>
    </row>
    <row r="267" spans="1:15" ht="20" customHeight="1" x14ac:dyDescent="0.2">
      <c r="A267" s="3">
        <v>263</v>
      </c>
      <c r="B267" s="19"/>
      <c r="C267" s="4" t="s">
        <v>397</v>
      </c>
      <c r="D267" s="4" t="s">
        <v>109</v>
      </c>
      <c r="E267" s="4" t="s">
        <v>196</v>
      </c>
      <c r="F267" s="8"/>
      <c r="G267" s="8"/>
      <c r="H267" s="8"/>
      <c r="I267" s="8"/>
      <c r="J267" s="8"/>
      <c r="K267" s="8">
        <v>1</v>
      </c>
      <c r="L267" s="18">
        <v>7800</v>
      </c>
      <c r="M267" s="7">
        <f t="shared" si="4"/>
        <v>7800</v>
      </c>
      <c r="N267" s="4"/>
      <c r="O267" s="9"/>
    </row>
    <row r="268" spans="1:15" ht="20" customHeight="1" x14ac:dyDescent="0.2">
      <c r="A268" s="3">
        <v>264</v>
      </c>
      <c r="B268" s="19"/>
      <c r="C268" s="4" t="s">
        <v>398</v>
      </c>
      <c r="D268" s="4" t="s">
        <v>109</v>
      </c>
      <c r="E268" s="4" t="s">
        <v>196</v>
      </c>
      <c r="F268" s="8"/>
      <c r="G268" s="8"/>
      <c r="H268" s="8"/>
      <c r="I268" s="8"/>
      <c r="J268" s="8"/>
      <c r="K268" s="8">
        <v>1</v>
      </c>
      <c r="L268" s="18">
        <v>8000</v>
      </c>
      <c r="M268" s="7">
        <f t="shared" si="4"/>
        <v>8000</v>
      </c>
      <c r="N268" s="4"/>
      <c r="O268" s="9"/>
    </row>
    <row r="269" spans="1:15" ht="20" customHeight="1" x14ac:dyDescent="0.2">
      <c r="A269" s="3">
        <v>265</v>
      </c>
      <c r="B269" s="19"/>
      <c r="C269" s="4" t="s">
        <v>399</v>
      </c>
      <c r="D269" s="4" t="s">
        <v>109</v>
      </c>
      <c r="E269" s="4" t="s">
        <v>196</v>
      </c>
      <c r="F269" s="8"/>
      <c r="G269" s="8"/>
      <c r="H269" s="8"/>
      <c r="I269" s="8"/>
      <c r="J269" s="8"/>
      <c r="K269" s="8">
        <v>8</v>
      </c>
      <c r="L269" s="18">
        <v>3600</v>
      </c>
      <c r="M269" s="7">
        <f t="shared" si="4"/>
        <v>28800</v>
      </c>
      <c r="N269" s="4"/>
      <c r="O269" s="9"/>
    </row>
    <row r="270" spans="1:15" ht="20" customHeight="1" x14ac:dyDescent="0.2">
      <c r="A270" s="3">
        <v>266</v>
      </c>
      <c r="B270" s="19"/>
      <c r="C270" s="4" t="s">
        <v>400</v>
      </c>
      <c r="D270" s="4" t="s">
        <v>109</v>
      </c>
      <c r="E270" s="4" t="s">
        <v>196</v>
      </c>
      <c r="F270" s="8"/>
      <c r="G270" s="8"/>
      <c r="H270" s="8"/>
      <c r="I270" s="8"/>
      <c r="J270" s="8"/>
      <c r="K270" s="8">
        <v>1</v>
      </c>
      <c r="L270" s="18">
        <v>3600</v>
      </c>
      <c r="M270" s="7">
        <f t="shared" si="4"/>
        <v>3600</v>
      </c>
      <c r="N270" s="4"/>
      <c r="O270" s="9"/>
    </row>
    <row r="271" spans="1:15" ht="20" customHeight="1" x14ac:dyDescent="0.2">
      <c r="A271" s="3">
        <v>267</v>
      </c>
      <c r="B271" s="19"/>
      <c r="C271" s="4" t="s">
        <v>401</v>
      </c>
      <c r="D271" s="4" t="s">
        <v>109</v>
      </c>
      <c r="E271" s="4" t="s">
        <v>196</v>
      </c>
      <c r="F271" s="8"/>
      <c r="G271" s="8"/>
      <c r="H271" s="8"/>
      <c r="I271" s="8"/>
      <c r="J271" s="8"/>
      <c r="K271" s="8">
        <v>2</v>
      </c>
      <c r="L271" s="18">
        <v>2500</v>
      </c>
      <c r="M271" s="7">
        <f t="shared" si="4"/>
        <v>5000</v>
      </c>
      <c r="N271" s="4"/>
      <c r="O271" s="9"/>
    </row>
    <row r="272" spans="1:15" ht="20" customHeight="1" x14ac:dyDescent="0.2">
      <c r="A272" s="3">
        <v>268</v>
      </c>
      <c r="B272" s="19"/>
      <c r="C272" s="4" t="s">
        <v>402</v>
      </c>
      <c r="D272" s="4" t="s">
        <v>109</v>
      </c>
      <c r="E272" s="4" t="s">
        <v>196</v>
      </c>
      <c r="F272" s="8"/>
      <c r="G272" s="8"/>
      <c r="H272" s="8"/>
      <c r="I272" s="8"/>
      <c r="J272" s="8"/>
      <c r="K272" s="8">
        <v>1</v>
      </c>
      <c r="L272" s="18">
        <v>4300</v>
      </c>
      <c r="M272" s="7">
        <f t="shared" si="4"/>
        <v>4300</v>
      </c>
      <c r="N272" s="4"/>
      <c r="O272" s="9"/>
    </row>
    <row r="273" spans="1:15" ht="20" customHeight="1" x14ac:dyDescent="0.2">
      <c r="A273" s="3">
        <v>269</v>
      </c>
      <c r="B273" s="19"/>
      <c r="C273" s="4" t="s">
        <v>403</v>
      </c>
      <c r="D273" s="4" t="s">
        <v>109</v>
      </c>
      <c r="E273" s="4" t="s">
        <v>196</v>
      </c>
      <c r="F273" s="8"/>
      <c r="G273" s="8"/>
      <c r="H273" s="8"/>
      <c r="I273" s="8"/>
      <c r="J273" s="8"/>
      <c r="K273" s="8">
        <v>1</v>
      </c>
      <c r="L273" s="18">
        <v>5800</v>
      </c>
      <c r="M273" s="7">
        <f t="shared" si="4"/>
        <v>5800</v>
      </c>
      <c r="N273" s="4"/>
      <c r="O273" s="9"/>
    </row>
    <row r="274" spans="1:15" ht="20" customHeight="1" x14ac:dyDescent="0.2">
      <c r="A274" s="3">
        <v>270</v>
      </c>
      <c r="B274" s="19"/>
      <c r="C274" s="4" t="s">
        <v>404</v>
      </c>
      <c r="D274" s="4" t="s">
        <v>109</v>
      </c>
      <c r="E274" s="4" t="s">
        <v>196</v>
      </c>
      <c r="F274" s="8"/>
      <c r="G274" s="8"/>
      <c r="H274" s="8"/>
      <c r="I274" s="8"/>
      <c r="J274" s="8"/>
      <c r="K274" s="8">
        <v>1</v>
      </c>
      <c r="L274" s="18">
        <v>6300</v>
      </c>
      <c r="M274" s="7">
        <f t="shared" si="4"/>
        <v>6300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405</v>
      </c>
      <c r="D275" s="4" t="s">
        <v>109</v>
      </c>
      <c r="E275" s="4" t="s">
        <v>196</v>
      </c>
      <c r="F275" s="8"/>
      <c r="G275" s="8"/>
      <c r="H275" s="8"/>
      <c r="I275" s="8"/>
      <c r="J275" s="8"/>
      <c r="K275" s="8">
        <v>1</v>
      </c>
      <c r="L275" s="18">
        <v>5200</v>
      </c>
      <c r="M275" s="7">
        <f t="shared" si="4"/>
        <v>5200</v>
      </c>
      <c r="N275" s="4"/>
      <c r="O275" s="9"/>
    </row>
    <row r="276" spans="1:15" ht="20" customHeight="1" x14ac:dyDescent="0.2">
      <c r="A276" s="3">
        <v>272</v>
      </c>
      <c r="B276" s="19"/>
      <c r="C276" s="4" t="s">
        <v>406</v>
      </c>
      <c r="D276" s="4" t="s">
        <v>109</v>
      </c>
      <c r="E276" s="4" t="s">
        <v>196</v>
      </c>
      <c r="F276" s="8"/>
      <c r="G276" s="8"/>
      <c r="H276" s="8"/>
      <c r="I276" s="8"/>
      <c r="J276" s="8"/>
      <c r="K276" s="8">
        <v>1</v>
      </c>
      <c r="L276" s="18">
        <v>5500</v>
      </c>
      <c r="M276" s="7">
        <f t="shared" si="4"/>
        <v>5500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407</v>
      </c>
      <c r="D277" s="4" t="s">
        <v>109</v>
      </c>
      <c r="E277" s="4" t="s">
        <v>196</v>
      </c>
      <c r="F277" s="8"/>
      <c r="G277" s="8"/>
      <c r="H277" s="8"/>
      <c r="I277" s="8"/>
      <c r="J277" s="8"/>
      <c r="K277" s="8">
        <v>0</v>
      </c>
      <c r="L277" s="18">
        <v>8354</v>
      </c>
      <c r="M277" s="7">
        <f t="shared" si="4"/>
        <v>0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408</v>
      </c>
      <c r="D278" s="4" t="s">
        <v>109</v>
      </c>
      <c r="E278" s="4" t="s">
        <v>196</v>
      </c>
      <c r="F278" s="8"/>
      <c r="G278" s="8"/>
      <c r="H278" s="8"/>
      <c r="I278" s="8"/>
      <c r="J278" s="8"/>
      <c r="K278" s="8">
        <v>0</v>
      </c>
      <c r="L278" s="18">
        <v>10361</v>
      </c>
      <c r="M278" s="7">
        <f t="shared" si="4"/>
        <v>0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409</v>
      </c>
      <c r="D279" s="4" t="s">
        <v>109</v>
      </c>
      <c r="E279" s="4" t="s">
        <v>196</v>
      </c>
      <c r="F279" s="8"/>
      <c r="G279" s="8"/>
      <c r="H279" s="8"/>
      <c r="I279" s="8"/>
      <c r="J279" s="8"/>
      <c r="K279" s="8">
        <v>0</v>
      </c>
      <c r="L279" s="18">
        <v>9507</v>
      </c>
      <c r="M279" s="7">
        <f t="shared" si="4"/>
        <v>0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410</v>
      </c>
      <c r="D280" s="4" t="s">
        <v>109</v>
      </c>
      <c r="E280" s="4" t="s">
        <v>196</v>
      </c>
      <c r="F280" s="8"/>
      <c r="G280" s="8"/>
      <c r="H280" s="8"/>
      <c r="I280" s="8"/>
      <c r="J280" s="8"/>
      <c r="K280" s="8">
        <v>0</v>
      </c>
      <c r="L280" s="18">
        <v>10886</v>
      </c>
      <c r="M280" s="7">
        <f t="shared" si="4"/>
        <v>0</v>
      </c>
      <c r="N280" s="4"/>
      <c r="O280" s="9"/>
    </row>
    <row r="281" spans="1:15" ht="20" customHeight="1" x14ac:dyDescent="0.2">
      <c r="A281" s="3">
        <v>277</v>
      </c>
      <c r="B281" s="19"/>
      <c r="C281" s="4" t="s">
        <v>411</v>
      </c>
      <c r="D281" s="4" t="s">
        <v>109</v>
      </c>
      <c r="E281" s="4" t="s">
        <v>110</v>
      </c>
      <c r="F281" s="8"/>
      <c r="G281" s="8"/>
      <c r="H281" s="8"/>
      <c r="I281" s="8"/>
      <c r="J281" s="8"/>
      <c r="K281" s="8">
        <v>100</v>
      </c>
      <c r="L281" s="18">
        <v>220</v>
      </c>
      <c r="M281" s="7">
        <f t="shared" si="4"/>
        <v>22000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412</v>
      </c>
      <c r="D282" s="4" t="s">
        <v>109</v>
      </c>
      <c r="E282" s="4" t="s">
        <v>110</v>
      </c>
      <c r="F282" s="8"/>
      <c r="G282" s="8"/>
      <c r="H282" s="8"/>
      <c r="I282" s="8"/>
      <c r="J282" s="8"/>
      <c r="K282" s="8">
        <v>0</v>
      </c>
      <c r="L282" s="18">
        <v>80</v>
      </c>
      <c r="M282" s="7">
        <f t="shared" si="4"/>
        <v>0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413</v>
      </c>
      <c r="D283" s="4" t="s">
        <v>109</v>
      </c>
      <c r="E283" s="4" t="s">
        <v>110</v>
      </c>
      <c r="F283" s="8"/>
      <c r="G283" s="8"/>
      <c r="H283" s="8"/>
      <c r="I283" s="8"/>
      <c r="J283" s="8"/>
      <c r="K283" s="8">
        <v>70</v>
      </c>
      <c r="L283" s="18">
        <v>65</v>
      </c>
      <c r="M283" s="7">
        <f t="shared" si="4"/>
        <v>4550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414</v>
      </c>
      <c r="D284" s="4" t="s">
        <v>109</v>
      </c>
      <c r="E284" s="4" t="s">
        <v>110</v>
      </c>
      <c r="F284" s="8"/>
      <c r="G284" s="8"/>
      <c r="H284" s="8"/>
      <c r="I284" s="8"/>
      <c r="J284" s="8"/>
      <c r="K284" s="8">
        <v>1</v>
      </c>
      <c r="L284" s="18">
        <v>93.33</v>
      </c>
      <c r="M284" s="7">
        <f t="shared" si="4"/>
        <v>93.33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415</v>
      </c>
      <c r="D285" s="4" t="s">
        <v>109</v>
      </c>
      <c r="E285" s="4" t="s">
        <v>110</v>
      </c>
      <c r="F285" s="8"/>
      <c r="G285" s="8"/>
      <c r="H285" s="8"/>
      <c r="I285" s="8"/>
      <c r="J285" s="8"/>
      <c r="K285" s="8">
        <v>0</v>
      </c>
      <c r="L285" s="18">
        <v>70</v>
      </c>
      <c r="M285" s="7">
        <f t="shared" si="4"/>
        <v>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416</v>
      </c>
      <c r="D286" s="4" t="s">
        <v>109</v>
      </c>
      <c r="E286" s="4" t="s">
        <v>110</v>
      </c>
      <c r="F286" s="8"/>
      <c r="G286" s="8"/>
      <c r="H286" s="8"/>
      <c r="I286" s="8"/>
      <c r="J286" s="8"/>
      <c r="K286" s="8">
        <v>0</v>
      </c>
      <c r="L286" s="18">
        <v>480</v>
      </c>
      <c r="M286" s="7">
        <f t="shared" si="4"/>
        <v>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417</v>
      </c>
      <c r="D287" s="4" t="s">
        <v>109</v>
      </c>
      <c r="E287" s="4" t="s">
        <v>121</v>
      </c>
      <c r="F287" s="8"/>
      <c r="G287" s="8"/>
      <c r="H287" s="8"/>
      <c r="I287" s="8"/>
      <c r="J287" s="8"/>
      <c r="K287" s="8">
        <v>0</v>
      </c>
      <c r="L287" s="18">
        <v>395</v>
      </c>
      <c r="M287" s="7">
        <f t="shared" si="4"/>
        <v>0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418</v>
      </c>
      <c r="D288" s="4" t="s">
        <v>109</v>
      </c>
      <c r="E288" s="4" t="s">
        <v>121</v>
      </c>
      <c r="F288" s="8"/>
      <c r="G288" s="8"/>
      <c r="H288" s="8"/>
      <c r="I288" s="8"/>
      <c r="J288" s="8"/>
      <c r="K288" s="8">
        <v>20</v>
      </c>
      <c r="L288" s="18">
        <v>1177</v>
      </c>
      <c r="M288" s="7">
        <f t="shared" si="4"/>
        <v>23540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419</v>
      </c>
      <c r="D289" s="4" t="s">
        <v>109</v>
      </c>
      <c r="E289" s="4" t="s">
        <v>121</v>
      </c>
      <c r="F289" s="8"/>
      <c r="G289" s="8"/>
      <c r="H289" s="8"/>
      <c r="I289" s="8"/>
      <c r="J289" s="8"/>
      <c r="K289" s="8">
        <v>4</v>
      </c>
      <c r="L289" s="18">
        <v>3690</v>
      </c>
      <c r="M289" s="7">
        <f t="shared" si="4"/>
        <v>14760</v>
      </c>
      <c r="N289" s="4"/>
      <c r="O289" s="9"/>
    </row>
    <row r="290" spans="1:15" ht="20" customHeight="1" x14ac:dyDescent="0.2">
      <c r="A290" s="3">
        <v>286</v>
      </c>
      <c r="B290" s="19"/>
      <c r="C290" s="4" t="s">
        <v>420</v>
      </c>
      <c r="D290" s="4" t="s">
        <v>109</v>
      </c>
      <c r="E290" s="4" t="s">
        <v>121</v>
      </c>
      <c r="F290" s="8"/>
      <c r="G290" s="8"/>
      <c r="H290" s="8"/>
      <c r="I290" s="8"/>
      <c r="J290" s="8"/>
      <c r="K290" s="8">
        <v>2</v>
      </c>
      <c r="L290" s="18">
        <v>4500</v>
      </c>
      <c r="M290" s="7">
        <f t="shared" si="4"/>
        <v>9000</v>
      </c>
      <c r="N290" s="4"/>
      <c r="O290" s="9"/>
    </row>
    <row r="291" spans="1:15" ht="20" customHeight="1" x14ac:dyDescent="0.2">
      <c r="A291" s="3">
        <v>287</v>
      </c>
      <c r="B291" s="19"/>
      <c r="C291" s="4" t="s">
        <v>421</v>
      </c>
      <c r="D291" s="4" t="s">
        <v>109</v>
      </c>
      <c r="E291" s="4" t="s">
        <v>121</v>
      </c>
      <c r="F291" s="8"/>
      <c r="G291" s="8"/>
      <c r="H291" s="8"/>
      <c r="I291" s="8"/>
      <c r="J291" s="8"/>
      <c r="K291" s="8">
        <v>2</v>
      </c>
      <c r="L291" s="18">
        <v>990</v>
      </c>
      <c r="M291" s="7">
        <f t="shared" si="4"/>
        <v>1980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422</v>
      </c>
      <c r="D292" s="4" t="s">
        <v>109</v>
      </c>
      <c r="E292" s="4" t="s">
        <v>121</v>
      </c>
      <c r="F292" s="8"/>
      <c r="G292" s="8"/>
      <c r="H292" s="8"/>
      <c r="I292" s="8"/>
      <c r="J292" s="8"/>
      <c r="K292" s="8">
        <v>12</v>
      </c>
      <c r="L292" s="18">
        <v>65</v>
      </c>
      <c r="M292" s="7">
        <f t="shared" si="4"/>
        <v>780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423</v>
      </c>
      <c r="D293" s="4" t="s">
        <v>109</v>
      </c>
      <c r="E293" s="4" t="s">
        <v>121</v>
      </c>
      <c r="F293" s="8"/>
      <c r="G293" s="8"/>
      <c r="H293" s="8"/>
      <c r="I293" s="8"/>
      <c r="J293" s="8"/>
      <c r="K293" s="8">
        <v>1</v>
      </c>
      <c r="L293" s="18">
        <v>2000</v>
      </c>
      <c r="M293" s="7">
        <f t="shared" si="4"/>
        <v>2000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424</v>
      </c>
      <c r="D294" s="4" t="s">
        <v>109</v>
      </c>
      <c r="E294" s="4" t="s">
        <v>121</v>
      </c>
      <c r="F294" s="8"/>
      <c r="G294" s="8"/>
      <c r="H294" s="8"/>
      <c r="I294" s="8"/>
      <c r="J294" s="8"/>
      <c r="K294" s="8">
        <v>4</v>
      </c>
      <c r="L294" s="18">
        <v>5150</v>
      </c>
      <c r="M294" s="7">
        <f t="shared" si="4"/>
        <v>20600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425</v>
      </c>
      <c r="D295" s="4" t="s">
        <v>109</v>
      </c>
      <c r="E295" s="4" t="s">
        <v>121</v>
      </c>
      <c r="F295" s="8"/>
      <c r="G295" s="8"/>
      <c r="H295" s="8"/>
      <c r="I295" s="8"/>
      <c r="J295" s="8"/>
      <c r="K295" s="8">
        <v>7</v>
      </c>
      <c r="L295" s="18">
        <v>4494</v>
      </c>
      <c r="M295" s="7">
        <f t="shared" si="4"/>
        <v>31458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426</v>
      </c>
      <c r="D296" s="4" t="s">
        <v>109</v>
      </c>
      <c r="E296" s="4" t="s">
        <v>121</v>
      </c>
      <c r="F296" s="8"/>
      <c r="G296" s="8"/>
      <c r="H296" s="8"/>
      <c r="I296" s="8"/>
      <c r="J296" s="8"/>
      <c r="K296" s="8">
        <v>0</v>
      </c>
      <c r="L296" s="18">
        <v>180</v>
      </c>
      <c r="M296" s="7">
        <f t="shared" si="4"/>
        <v>0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427</v>
      </c>
      <c r="D297" s="4" t="s">
        <v>109</v>
      </c>
      <c r="E297" s="4" t="s">
        <v>121</v>
      </c>
      <c r="F297" s="8"/>
      <c r="G297" s="8"/>
      <c r="H297" s="8"/>
      <c r="I297" s="8"/>
      <c r="J297" s="8"/>
      <c r="K297" s="8">
        <v>4</v>
      </c>
      <c r="L297" s="18">
        <v>70</v>
      </c>
      <c r="M297" s="7">
        <f t="shared" si="4"/>
        <v>280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428</v>
      </c>
      <c r="D298" s="4" t="s">
        <v>109</v>
      </c>
      <c r="E298" s="4" t="s">
        <v>121</v>
      </c>
      <c r="F298" s="8"/>
      <c r="G298" s="8"/>
      <c r="H298" s="8"/>
      <c r="I298" s="8"/>
      <c r="J298" s="8"/>
      <c r="K298" s="8">
        <v>0</v>
      </c>
      <c r="L298" s="18">
        <v>180</v>
      </c>
      <c r="M298" s="7">
        <f t="shared" si="4"/>
        <v>0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429</v>
      </c>
      <c r="D299" s="4" t="s">
        <v>109</v>
      </c>
      <c r="E299" s="4" t="s">
        <v>196</v>
      </c>
      <c r="F299" s="8"/>
      <c r="G299" s="8"/>
      <c r="H299" s="8"/>
      <c r="I299" s="8"/>
      <c r="J299" s="8"/>
      <c r="K299" s="8">
        <v>1</v>
      </c>
      <c r="L299" s="18">
        <v>3466.67</v>
      </c>
      <c r="M299" s="7">
        <f t="shared" si="4"/>
        <v>3466.67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430</v>
      </c>
      <c r="D300" s="4" t="s">
        <v>109</v>
      </c>
      <c r="E300" s="4" t="s">
        <v>196</v>
      </c>
      <c r="F300" s="8"/>
      <c r="G300" s="8"/>
      <c r="H300" s="8"/>
      <c r="I300" s="8"/>
      <c r="J300" s="8"/>
      <c r="K300" s="8">
        <v>10</v>
      </c>
      <c r="L300" s="18">
        <v>6250</v>
      </c>
      <c r="M300" s="7">
        <f t="shared" si="4"/>
        <v>62500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431</v>
      </c>
      <c r="D301" s="4" t="s">
        <v>109</v>
      </c>
      <c r="E301" s="4" t="s">
        <v>196</v>
      </c>
      <c r="F301" s="8"/>
      <c r="G301" s="8"/>
      <c r="H301" s="8"/>
      <c r="I301" s="8"/>
      <c r="J301" s="8"/>
      <c r="K301" s="8">
        <v>3</v>
      </c>
      <c r="L301" s="18">
        <v>6900</v>
      </c>
      <c r="M301" s="7">
        <f t="shared" si="4"/>
        <v>20700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432</v>
      </c>
      <c r="D302" s="4" t="s">
        <v>109</v>
      </c>
      <c r="E302" s="4" t="s">
        <v>196</v>
      </c>
      <c r="F302" s="8"/>
      <c r="G302" s="8"/>
      <c r="H302" s="8"/>
      <c r="I302" s="8"/>
      <c r="J302" s="8"/>
      <c r="K302" s="8">
        <v>1</v>
      </c>
      <c r="L302" s="18">
        <v>8666.67</v>
      </c>
      <c r="M302" s="7">
        <f t="shared" si="4"/>
        <v>8666.67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433</v>
      </c>
      <c r="D303" s="4" t="s">
        <v>109</v>
      </c>
      <c r="E303" s="4" t="s">
        <v>196</v>
      </c>
      <c r="F303" s="8"/>
      <c r="G303" s="8"/>
      <c r="H303" s="8"/>
      <c r="I303" s="8"/>
      <c r="J303" s="8"/>
      <c r="K303" s="8">
        <v>3</v>
      </c>
      <c r="L303" s="18">
        <v>6000</v>
      </c>
      <c r="M303" s="7">
        <f t="shared" si="4"/>
        <v>18000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434</v>
      </c>
      <c r="D304" s="4" t="s">
        <v>109</v>
      </c>
      <c r="E304" s="4" t="s">
        <v>196</v>
      </c>
      <c r="F304" s="8"/>
      <c r="G304" s="8"/>
      <c r="H304" s="8"/>
      <c r="I304" s="8"/>
      <c r="J304" s="8"/>
      <c r="K304" s="8">
        <v>0</v>
      </c>
      <c r="L304" s="18">
        <v>8600</v>
      </c>
      <c r="M304" s="7">
        <f t="shared" si="4"/>
        <v>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435</v>
      </c>
      <c r="D305" s="4" t="s">
        <v>109</v>
      </c>
      <c r="E305" s="4" t="s">
        <v>196</v>
      </c>
      <c r="F305" s="8"/>
      <c r="G305" s="8"/>
      <c r="H305" s="8"/>
      <c r="I305" s="8"/>
      <c r="J305" s="8"/>
      <c r="K305" s="8">
        <v>1</v>
      </c>
      <c r="L305" s="18">
        <v>3733.33</v>
      </c>
      <c r="M305" s="7">
        <f t="shared" si="4"/>
        <v>3733.33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436</v>
      </c>
      <c r="D306" s="4" t="s">
        <v>109</v>
      </c>
      <c r="E306" s="4" t="s">
        <v>196</v>
      </c>
      <c r="F306" s="8"/>
      <c r="G306" s="8"/>
      <c r="H306" s="8"/>
      <c r="I306" s="8"/>
      <c r="J306" s="8"/>
      <c r="K306" s="8">
        <v>1</v>
      </c>
      <c r="L306" s="18">
        <v>4266.67</v>
      </c>
      <c r="M306" s="7">
        <f t="shared" si="4"/>
        <v>4266.67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437</v>
      </c>
      <c r="D307" s="4" t="s">
        <v>109</v>
      </c>
      <c r="E307" s="4" t="s">
        <v>196</v>
      </c>
      <c r="F307" s="8"/>
      <c r="G307" s="8"/>
      <c r="H307" s="8"/>
      <c r="I307" s="8"/>
      <c r="J307" s="8"/>
      <c r="K307" s="8">
        <v>1</v>
      </c>
      <c r="L307" s="18">
        <v>4666.67</v>
      </c>
      <c r="M307" s="7">
        <f t="shared" si="4"/>
        <v>4666.67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438</v>
      </c>
      <c r="D308" s="4" t="s">
        <v>109</v>
      </c>
      <c r="E308" s="4" t="s">
        <v>196</v>
      </c>
      <c r="F308" s="8"/>
      <c r="G308" s="8"/>
      <c r="H308" s="8"/>
      <c r="I308" s="8"/>
      <c r="J308" s="8"/>
      <c r="K308" s="8">
        <v>4</v>
      </c>
      <c r="L308" s="18">
        <v>3600</v>
      </c>
      <c r="M308" s="7">
        <f t="shared" si="4"/>
        <v>14400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439</v>
      </c>
      <c r="D309" s="4" t="s">
        <v>109</v>
      </c>
      <c r="E309" s="4" t="s">
        <v>196</v>
      </c>
      <c r="F309" s="8"/>
      <c r="G309" s="8"/>
      <c r="H309" s="8"/>
      <c r="I309" s="8"/>
      <c r="J309" s="8"/>
      <c r="K309" s="8">
        <v>0</v>
      </c>
      <c r="L309" s="18">
        <v>4410</v>
      </c>
      <c r="M309" s="7">
        <f t="shared" si="4"/>
        <v>0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440</v>
      </c>
      <c r="D310" s="4" t="s">
        <v>109</v>
      </c>
      <c r="E310" s="4" t="s">
        <v>196</v>
      </c>
      <c r="F310" s="8"/>
      <c r="G310" s="8"/>
      <c r="H310" s="8"/>
      <c r="I310" s="8"/>
      <c r="J310" s="8"/>
      <c r="K310" s="8">
        <v>0</v>
      </c>
      <c r="L310" s="18">
        <v>7718</v>
      </c>
      <c r="M310" s="7">
        <f t="shared" si="4"/>
        <v>0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441</v>
      </c>
      <c r="D311" s="4" t="s">
        <v>109</v>
      </c>
      <c r="E311" s="4" t="s">
        <v>196</v>
      </c>
      <c r="F311" s="8"/>
      <c r="G311" s="8"/>
      <c r="H311" s="8"/>
      <c r="I311" s="8"/>
      <c r="J311" s="8"/>
      <c r="K311" s="8">
        <v>1</v>
      </c>
      <c r="L311" s="18">
        <v>5000</v>
      </c>
      <c r="M311" s="7">
        <f t="shared" si="4"/>
        <v>5000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442</v>
      </c>
      <c r="D312" s="4" t="s">
        <v>109</v>
      </c>
      <c r="E312" s="4" t="s">
        <v>196</v>
      </c>
      <c r="F312" s="8"/>
      <c r="G312" s="8"/>
      <c r="H312" s="8"/>
      <c r="I312" s="8"/>
      <c r="J312" s="8"/>
      <c r="K312" s="8">
        <v>0</v>
      </c>
      <c r="L312" s="18">
        <v>2150</v>
      </c>
      <c r="M312" s="7">
        <f t="shared" si="4"/>
        <v>0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443</v>
      </c>
      <c r="D313" s="4" t="s">
        <v>109</v>
      </c>
      <c r="E313" s="4" t="s">
        <v>196</v>
      </c>
      <c r="F313" s="8"/>
      <c r="G313" s="8"/>
      <c r="H313" s="8"/>
      <c r="I313" s="8"/>
      <c r="J313" s="8"/>
      <c r="K313" s="8">
        <v>0</v>
      </c>
      <c r="L313" s="18">
        <v>2200</v>
      </c>
      <c r="M313" s="7">
        <f t="shared" si="4"/>
        <v>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444</v>
      </c>
      <c r="D314" s="4" t="s">
        <v>109</v>
      </c>
      <c r="E314" s="4" t="s">
        <v>196</v>
      </c>
      <c r="F314" s="8"/>
      <c r="G314" s="8"/>
      <c r="H314" s="8"/>
      <c r="I314" s="8"/>
      <c r="J314" s="8"/>
      <c r="K314" s="8">
        <v>0</v>
      </c>
      <c r="L314" s="18">
        <v>3450</v>
      </c>
      <c r="M314" s="7">
        <f t="shared" si="4"/>
        <v>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445</v>
      </c>
      <c r="D315" s="4" t="s">
        <v>109</v>
      </c>
      <c r="E315" s="4" t="s">
        <v>196</v>
      </c>
      <c r="F315" s="8"/>
      <c r="G315" s="8"/>
      <c r="H315" s="8"/>
      <c r="I315" s="8"/>
      <c r="J315" s="8"/>
      <c r="K315" s="8">
        <v>4</v>
      </c>
      <c r="L315" s="18">
        <v>2800</v>
      </c>
      <c r="M315" s="7">
        <f t="shared" si="4"/>
        <v>11200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446</v>
      </c>
      <c r="D316" s="4" t="s">
        <v>109</v>
      </c>
      <c r="E316" s="4" t="s">
        <v>196</v>
      </c>
      <c r="F316" s="8"/>
      <c r="G316" s="8"/>
      <c r="H316" s="8"/>
      <c r="I316" s="8"/>
      <c r="J316" s="8"/>
      <c r="K316" s="8">
        <v>3</v>
      </c>
      <c r="L316" s="18">
        <v>2500</v>
      </c>
      <c r="M316" s="7">
        <f t="shared" si="4"/>
        <v>7500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447</v>
      </c>
      <c r="D317" s="4" t="s">
        <v>109</v>
      </c>
      <c r="E317" s="4" t="s">
        <v>152</v>
      </c>
      <c r="F317" s="8"/>
      <c r="G317" s="8"/>
      <c r="H317" s="8"/>
      <c r="I317" s="8"/>
      <c r="J317" s="8"/>
      <c r="K317" s="8">
        <v>130</v>
      </c>
      <c r="L317" s="18">
        <v>35</v>
      </c>
      <c r="M317" s="7">
        <f t="shared" si="4"/>
        <v>4550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448</v>
      </c>
      <c r="D318" s="4" t="s">
        <v>109</v>
      </c>
      <c r="E318" s="4" t="s">
        <v>152</v>
      </c>
      <c r="F318" s="8"/>
      <c r="G318" s="8"/>
      <c r="H318" s="8"/>
      <c r="I318" s="8"/>
      <c r="J318" s="8"/>
      <c r="K318" s="8">
        <v>350</v>
      </c>
      <c r="L318" s="18">
        <v>25</v>
      </c>
      <c r="M318" s="7">
        <f t="shared" si="4"/>
        <v>8750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449</v>
      </c>
      <c r="D319" s="4" t="s">
        <v>109</v>
      </c>
      <c r="E319" s="4" t="s">
        <v>152</v>
      </c>
      <c r="F319" s="8"/>
      <c r="G319" s="8"/>
      <c r="H319" s="8"/>
      <c r="I319" s="8"/>
      <c r="J319" s="8"/>
      <c r="K319" s="8">
        <v>0</v>
      </c>
      <c r="L319" s="18">
        <v>4</v>
      </c>
      <c r="M319" s="7">
        <f t="shared" si="4"/>
        <v>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450</v>
      </c>
      <c r="D320" s="4" t="s">
        <v>109</v>
      </c>
      <c r="E320" s="4" t="s">
        <v>152</v>
      </c>
      <c r="F320" s="8"/>
      <c r="G320" s="8"/>
      <c r="H320" s="8"/>
      <c r="I320" s="8"/>
      <c r="J320" s="8"/>
      <c r="K320" s="8">
        <v>20</v>
      </c>
      <c r="L320" s="18">
        <v>12</v>
      </c>
      <c r="M320" s="7">
        <f t="shared" si="4"/>
        <v>240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451</v>
      </c>
      <c r="D321" s="4" t="s">
        <v>109</v>
      </c>
      <c r="E321" s="4" t="s">
        <v>110</v>
      </c>
      <c r="F321" s="8"/>
      <c r="G321" s="8"/>
      <c r="H321" s="8"/>
      <c r="I321" s="8"/>
      <c r="J321" s="8"/>
      <c r="K321" s="8">
        <v>1200</v>
      </c>
      <c r="L321" s="18">
        <v>10</v>
      </c>
      <c r="M321" s="7">
        <f t="shared" si="4"/>
        <v>12000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452</v>
      </c>
      <c r="D322" s="4" t="s">
        <v>109</v>
      </c>
      <c r="E322" s="4" t="s">
        <v>110</v>
      </c>
      <c r="F322" s="8"/>
      <c r="G322" s="8"/>
      <c r="H322" s="8"/>
      <c r="I322" s="8"/>
      <c r="J322" s="8"/>
      <c r="K322" s="8">
        <v>160</v>
      </c>
      <c r="L322" s="18">
        <v>90</v>
      </c>
      <c r="M322" s="7">
        <f t="shared" si="4"/>
        <v>14400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453</v>
      </c>
      <c r="D323" s="4" t="s">
        <v>109</v>
      </c>
      <c r="E323" s="4" t="s">
        <v>110</v>
      </c>
      <c r="F323" s="8"/>
      <c r="G323" s="8"/>
      <c r="H323" s="8"/>
      <c r="I323" s="8"/>
      <c r="J323" s="8"/>
      <c r="K323" s="8">
        <v>0</v>
      </c>
      <c r="L323" s="18">
        <v>70</v>
      </c>
      <c r="M323" s="7">
        <f t="shared" si="4"/>
        <v>0</v>
      </c>
      <c r="N323" s="4"/>
      <c r="O323" s="9"/>
    </row>
    <row r="324" spans="1:15" ht="20" customHeight="1" x14ac:dyDescent="0.2">
      <c r="A324" s="3">
        <v>320</v>
      </c>
      <c r="B324" s="19"/>
      <c r="C324" s="4" t="s">
        <v>454</v>
      </c>
      <c r="D324" s="4" t="s">
        <v>109</v>
      </c>
      <c r="E324" s="4" t="s">
        <v>110</v>
      </c>
      <c r="F324" s="8"/>
      <c r="G324" s="8"/>
      <c r="H324" s="8"/>
      <c r="I324" s="8"/>
      <c r="J324" s="8"/>
      <c r="K324" s="8">
        <v>70</v>
      </c>
      <c r="L324" s="18">
        <v>60</v>
      </c>
      <c r="M324" s="7">
        <f t="shared" si="4"/>
        <v>4200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455</v>
      </c>
      <c r="D325" s="4" t="s">
        <v>109</v>
      </c>
      <c r="E325" s="4" t="s">
        <v>110</v>
      </c>
      <c r="F325" s="8"/>
      <c r="G325" s="8"/>
      <c r="H325" s="8"/>
      <c r="I325" s="8"/>
      <c r="J325" s="8"/>
      <c r="K325" s="8">
        <v>0</v>
      </c>
      <c r="L325" s="18">
        <v>98</v>
      </c>
      <c r="M325" s="7">
        <f t="shared" ref="M325:M388" si="5">IF(OR(K325="",L325=""),"",K325*L325)</f>
        <v>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456</v>
      </c>
      <c r="D326" s="4" t="s">
        <v>109</v>
      </c>
      <c r="E326" s="4" t="s">
        <v>110</v>
      </c>
      <c r="F326" s="8"/>
      <c r="G326" s="8"/>
      <c r="H326" s="8"/>
      <c r="I326" s="8"/>
      <c r="J326" s="8"/>
      <c r="K326" s="8">
        <v>0</v>
      </c>
      <c r="L326" s="18">
        <v>150</v>
      </c>
      <c r="M326" s="7">
        <f t="shared" si="5"/>
        <v>0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457</v>
      </c>
      <c r="D327" s="4" t="s">
        <v>109</v>
      </c>
      <c r="E327" s="4" t="s">
        <v>110</v>
      </c>
      <c r="F327" s="8"/>
      <c r="G327" s="8"/>
      <c r="H327" s="8"/>
      <c r="I327" s="8"/>
      <c r="J327" s="8"/>
      <c r="K327" s="8">
        <v>0</v>
      </c>
      <c r="L327" s="18">
        <v>45</v>
      </c>
      <c r="M327" s="7">
        <f t="shared" si="5"/>
        <v>0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458</v>
      </c>
      <c r="D328" s="4" t="s">
        <v>109</v>
      </c>
      <c r="E328" s="4" t="s">
        <v>110</v>
      </c>
      <c r="F328" s="8"/>
      <c r="G328" s="8"/>
      <c r="H328" s="8"/>
      <c r="I328" s="8"/>
      <c r="J328" s="8"/>
      <c r="K328" s="8">
        <v>600</v>
      </c>
      <c r="L328" s="18">
        <v>14.583299999999999</v>
      </c>
      <c r="M328" s="7">
        <f t="shared" si="5"/>
        <v>8749.98</v>
      </c>
      <c r="N328" s="4"/>
      <c r="O328" s="9"/>
    </row>
    <row r="329" spans="1:15" ht="20" customHeight="1" x14ac:dyDescent="0.2">
      <c r="A329" s="3">
        <v>325</v>
      </c>
      <c r="B329" s="19"/>
      <c r="C329" s="4" t="s">
        <v>459</v>
      </c>
      <c r="D329" s="4" t="s">
        <v>109</v>
      </c>
      <c r="E329" s="4" t="s">
        <v>110</v>
      </c>
      <c r="F329" s="8"/>
      <c r="G329" s="8"/>
      <c r="H329" s="8"/>
      <c r="I329" s="8"/>
      <c r="J329" s="8"/>
      <c r="K329" s="8">
        <v>40</v>
      </c>
      <c r="L329" s="18">
        <v>20</v>
      </c>
      <c r="M329" s="7">
        <f t="shared" si="5"/>
        <v>800</v>
      </c>
      <c r="N329" s="4"/>
      <c r="O329" s="9"/>
    </row>
    <row r="330" spans="1:15" ht="20" customHeight="1" x14ac:dyDescent="0.2">
      <c r="A330" s="3">
        <v>326</v>
      </c>
      <c r="B330" s="19"/>
      <c r="C330" s="4" t="s">
        <v>460</v>
      </c>
      <c r="D330" s="4" t="s">
        <v>109</v>
      </c>
      <c r="E330" s="4" t="s">
        <v>110</v>
      </c>
      <c r="F330" s="8"/>
      <c r="G330" s="8"/>
      <c r="H330" s="8"/>
      <c r="I330" s="8"/>
      <c r="J330" s="8"/>
      <c r="K330" s="8">
        <v>0</v>
      </c>
      <c r="L330" s="18">
        <v>9</v>
      </c>
      <c r="M330" s="7">
        <f t="shared" si="5"/>
        <v>0</v>
      </c>
      <c r="N330" s="4"/>
      <c r="O330" s="9"/>
    </row>
    <row r="331" spans="1:15" ht="20" customHeight="1" x14ac:dyDescent="0.2">
      <c r="A331" s="3">
        <v>327</v>
      </c>
      <c r="B331" s="19"/>
      <c r="C331" s="4" t="s">
        <v>461</v>
      </c>
      <c r="D331" s="4" t="s">
        <v>109</v>
      </c>
      <c r="E331" s="4" t="s">
        <v>110</v>
      </c>
      <c r="F331" s="8"/>
      <c r="G331" s="8"/>
      <c r="H331" s="8"/>
      <c r="I331" s="8"/>
      <c r="J331" s="8"/>
      <c r="K331" s="8">
        <v>0</v>
      </c>
      <c r="L331" s="18">
        <v>75</v>
      </c>
      <c r="M331" s="7">
        <f t="shared" si="5"/>
        <v>0</v>
      </c>
      <c r="N331" s="4"/>
      <c r="O331" s="9"/>
    </row>
    <row r="332" spans="1:15" ht="20" customHeight="1" x14ac:dyDescent="0.2">
      <c r="A332" s="3">
        <v>328</v>
      </c>
      <c r="B332" s="19"/>
      <c r="C332" s="4" t="s">
        <v>462</v>
      </c>
      <c r="D332" s="4" t="s">
        <v>109</v>
      </c>
      <c r="E332" s="4" t="s">
        <v>137</v>
      </c>
      <c r="F332" s="8"/>
      <c r="G332" s="8"/>
      <c r="H332" s="8"/>
      <c r="I332" s="8"/>
      <c r="J332" s="8"/>
      <c r="K332" s="8">
        <v>400</v>
      </c>
      <c r="L332" s="18">
        <v>49</v>
      </c>
      <c r="M332" s="7">
        <f t="shared" si="5"/>
        <v>19600</v>
      </c>
      <c r="N332" s="4"/>
      <c r="O332" s="9"/>
    </row>
    <row r="333" spans="1:15" ht="20" customHeight="1" x14ac:dyDescent="0.2">
      <c r="A333" s="3">
        <v>329</v>
      </c>
      <c r="B333" s="19"/>
      <c r="C333" s="4" t="s">
        <v>463</v>
      </c>
      <c r="D333" s="4" t="s">
        <v>109</v>
      </c>
      <c r="E333" s="4" t="s">
        <v>133</v>
      </c>
      <c r="F333" s="8"/>
      <c r="G333" s="8"/>
      <c r="H333" s="8"/>
      <c r="I333" s="8"/>
      <c r="J333" s="8"/>
      <c r="K333" s="8">
        <v>0</v>
      </c>
      <c r="L333" s="18">
        <v>200</v>
      </c>
      <c r="M333" s="7">
        <f t="shared" si="5"/>
        <v>0</v>
      </c>
      <c r="N333" s="4"/>
      <c r="O333" s="9"/>
    </row>
    <row r="334" spans="1:15" ht="20" customHeight="1" x14ac:dyDescent="0.2">
      <c r="A334" s="3">
        <v>330</v>
      </c>
      <c r="B334" s="19"/>
      <c r="C334" s="4" t="s">
        <v>464</v>
      </c>
      <c r="D334" s="4" t="s">
        <v>109</v>
      </c>
      <c r="E334" s="4" t="s">
        <v>190</v>
      </c>
      <c r="F334" s="8"/>
      <c r="G334" s="8"/>
      <c r="H334" s="8"/>
      <c r="I334" s="8"/>
      <c r="J334" s="8"/>
      <c r="K334" s="8">
        <v>100</v>
      </c>
      <c r="L334" s="18">
        <v>30</v>
      </c>
      <c r="M334" s="7">
        <f t="shared" si="5"/>
        <v>3000</v>
      </c>
      <c r="N334" s="4"/>
      <c r="O334" s="9"/>
    </row>
    <row r="335" spans="1:15" ht="20" customHeight="1" x14ac:dyDescent="0.2">
      <c r="A335" s="3">
        <v>331</v>
      </c>
      <c r="B335" s="19"/>
      <c r="C335" s="4" t="s">
        <v>465</v>
      </c>
      <c r="D335" s="4" t="s">
        <v>109</v>
      </c>
      <c r="E335" s="4" t="s">
        <v>110</v>
      </c>
      <c r="F335" s="8"/>
      <c r="G335" s="8"/>
      <c r="H335" s="8"/>
      <c r="I335" s="8"/>
      <c r="J335" s="8"/>
      <c r="K335" s="8">
        <v>60</v>
      </c>
      <c r="L335" s="18">
        <v>30</v>
      </c>
      <c r="M335" s="7">
        <f t="shared" si="5"/>
        <v>1800</v>
      </c>
      <c r="N335" s="4"/>
      <c r="O335" s="9"/>
    </row>
    <row r="336" spans="1:15" ht="20" customHeight="1" x14ac:dyDescent="0.2">
      <c r="A336" s="3">
        <v>332</v>
      </c>
      <c r="B336" s="19"/>
      <c r="C336" s="4" t="s">
        <v>466</v>
      </c>
      <c r="D336" s="4" t="s">
        <v>109</v>
      </c>
      <c r="E336" s="4" t="s">
        <v>137</v>
      </c>
      <c r="F336" s="8"/>
      <c r="G336" s="8"/>
      <c r="H336" s="8"/>
      <c r="I336" s="8"/>
      <c r="J336" s="8"/>
      <c r="K336" s="8">
        <v>200</v>
      </c>
      <c r="L336" s="18">
        <v>187</v>
      </c>
      <c r="M336" s="7">
        <f t="shared" si="5"/>
        <v>37400</v>
      </c>
      <c r="N336" s="4"/>
      <c r="O336" s="9"/>
    </row>
    <row r="337" spans="1:15" ht="20" customHeight="1" x14ac:dyDescent="0.2">
      <c r="A337" s="3">
        <v>333</v>
      </c>
      <c r="B337" s="19"/>
      <c r="C337" s="4" t="s">
        <v>467</v>
      </c>
      <c r="D337" s="4" t="s">
        <v>109</v>
      </c>
      <c r="E337" s="4" t="s">
        <v>110</v>
      </c>
      <c r="F337" s="8"/>
      <c r="G337" s="8"/>
      <c r="H337" s="8"/>
      <c r="I337" s="8"/>
      <c r="J337" s="8"/>
      <c r="K337" s="8">
        <v>3</v>
      </c>
      <c r="L337" s="18">
        <v>2200</v>
      </c>
      <c r="M337" s="7">
        <f t="shared" si="5"/>
        <v>6600</v>
      </c>
      <c r="N337" s="4"/>
      <c r="O337" s="9"/>
    </row>
    <row r="338" spans="1:15" ht="20" customHeight="1" x14ac:dyDescent="0.2">
      <c r="A338" s="3">
        <v>334</v>
      </c>
      <c r="B338" s="19"/>
      <c r="C338" s="4" t="s">
        <v>468</v>
      </c>
      <c r="D338" s="4" t="s">
        <v>109</v>
      </c>
      <c r="E338" s="4" t="s">
        <v>110</v>
      </c>
      <c r="F338" s="8"/>
      <c r="G338" s="8"/>
      <c r="H338" s="8"/>
      <c r="I338" s="8"/>
      <c r="J338" s="8"/>
      <c r="K338" s="8">
        <v>200</v>
      </c>
      <c r="L338" s="18">
        <v>840</v>
      </c>
      <c r="M338" s="7">
        <f t="shared" si="5"/>
        <v>168000</v>
      </c>
      <c r="N338" s="4"/>
      <c r="O338" s="9"/>
    </row>
    <row r="339" spans="1:15" ht="20" customHeight="1" x14ac:dyDescent="0.2">
      <c r="A339" s="3">
        <v>335</v>
      </c>
      <c r="B339" s="19"/>
      <c r="C339" s="4" t="s">
        <v>469</v>
      </c>
      <c r="D339" s="4" t="s">
        <v>109</v>
      </c>
      <c r="E339" s="4" t="s">
        <v>110</v>
      </c>
      <c r="F339" s="8"/>
      <c r="G339" s="8"/>
      <c r="H339" s="8"/>
      <c r="I339" s="8"/>
      <c r="J339" s="8"/>
      <c r="K339" s="8">
        <v>15</v>
      </c>
      <c r="L339" s="18">
        <v>869.91</v>
      </c>
      <c r="M339" s="7">
        <f t="shared" si="5"/>
        <v>13048.65</v>
      </c>
      <c r="N339" s="4"/>
      <c r="O339" s="9"/>
    </row>
    <row r="340" spans="1:15" ht="20" customHeight="1" x14ac:dyDescent="0.2">
      <c r="A340" s="3">
        <v>336</v>
      </c>
      <c r="B340" s="19"/>
      <c r="C340" s="4" t="s">
        <v>470</v>
      </c>
      <c r="D340" s="4" t="s">
        <v>109</v>
      </c>
      <c r="E340" s="4" t="s">
        <v>110</v>
      </c>
      <c r="F340" s="8"/>
      <c r="G340" s="8"/>
      <c r="H340" s="8"/>
      <c r="I340" s="8"/>
      <c r="J340" s="8"/>
      <c r="K340" s="8">
        <v>70</v>
      </c>
      <c r="L340" s="18">
        <v>940</v>
      </c>
      <c r="M340" s="7">
        <f t="shared" si="5"/>
        <v>65800</v>
      </c>
      <c r="N340" s="4"/>
      <c r="O340" s="9"/>
    </row>
    <row r="341" spans="1:15" ht="20" customHeight="1" x14ac:dyDescent="0.2">
      <c r="A341" s="3">
        <v>337</v>
      </c>
      <c r="B341" s="19"/>
      <c r="C341" s="4" t="s">
        <v>471</v>
      </c>
      <c r="D341" s="4" t="s">
        <v>109</v>
      </c>
      <c r="E341" s="4" t="s">
        <v>212</v>
      </c>
      <c r="F341" s="8"/>
      <c r="G341" s="8"/>
      <c r="H341" s="8"/>
      <c r="I341" s="8"/>
      <c r="J341" s="8"/>
      <c r="K341" s="8">
        <v>0</v>
      </c>
      <c r="L341" s="18">
        <v>103</v>
      </c>
      <c r="M341" s="7">
        <f t="shared" si="5"/>
        <v>0</v>
      </c>
      <c r="N341" s="4"/>
      <c r="O341" s="9"/>
    </row>
    <row r="342" spans="1:15" ht="20" customHeight="1" x14ac:dyDescent="0.2">
      <c r="A342" s="3">
        <v>338</v>
      </c>
      <c r="B342" s="19"/>
      <c r="C342" s="4" t="s">
        <v>472</v>
      </c>
      <c r="D342" s="4" t="s">
        <v>109</v>
      </c>
      <c r="E342" s="4" t="s">
        <v>137</v>
      </c>
      <c r="F342" s="8"/>
      <c r="G342" s="8"/>
      <c r="H342" s="8"/>
      <c r="I342" s="8"/>
      <c r="J342" s="8"/>
      <c r="K342" s="8">
        <v>1</v>
      </c>
      <c r="L342" s="18">
        <v>4000</v>
      </c>
      <c r="M342" s="7">
        <f t="shared" si="5"/>
        <v>4000</v>
      </c>
      <c r="N342" s="4"/>
      <c r="O342" s="9"/>
    </row>
    <row r="343" spans="1:15" ht="20" customHeight="1" x14ac:dyDescent="0.2">
      <c r="A343" s="3">
        <v>339</v>
      </c>
      <c r="B343" s="19"/>
      <c r="C343" s="4" t="s">
        <v>473</v>
      </c>
      <c r="D343" s="4" t="s">
        <v>109</v>
      </c>
      <c r="E343" s="4" t="s">
        <v>190</v>
      </c>
      <c r="F343" s="8"/>
      <c r="G343" s="8"/>
      <c r="H343" s="8"/>
      <c r="I343" s="8"/>
      <c r="J343" s="8"/>
      <c r="K343" s="8">
        <v>0</v>
      </c>
      <c r="L343" s="18">
        <v>30</v>
      </c>
      <c r="M343" s="7">
        <f t="shared" si="5"/>
        <v>0</v>
      </c>
      <c r="N343" s="4"/>
      <c r="O343" s="9"/>
    </row>
    <row r="344" spans="1:15" ht="20" customHeight="1" x14ac:dyDescent="0.2">
      <c r="A344" s="3">
        <v>340</v>
      </c>
      <c r="B344" s="19"/>
      <c r="C344" s="4" t="s">
        <v>474</v>
      </c>
      <c r="D344" s="4" t="s">
        <v>109</v>
      </c>
      <c r="E344" s="4" t="s">
        <v>137</v>
      </c>
      <c r="F344" s="8"/>
      <c r="G344" s="8"/>
      <c r="H344" s="8"/>
      <c r="I344" s="8"/>
      <c r="J344" s="8"/>
      <c r="K344" s="8">
        <v>3</v>
      </c>
      <c r="L344" s="18">
        <v>4180</v>
      </c>
      <c r="M344" s="7">
        <f t="shared" si="5"/>
        <v>12540</v>
      </c>
      <c r="N344" s="4"/>
      <c r="O344" s="9"/>
    </row>
    <row r="345" spans="1:15" ht="20" customHeight="1" x14ac:dyDescent="0.2">
      <c r="A345" s="3">
        <v>341</v>
      </c>
      <c r="B345" s="19"/>
      <c r="C345" s="4" t="s">
        <v>475</v>
      </c>
      <c r="D345" s="4" t="s">
        <v>109</v>
      </c>
      <c r="E345" s="4" t="s">
        <v>137</v>
      </c>
      <c r="F345" s="8"/>
      <c r="G345" s="8"/>
      <c r="H345" s="8"/>
      <c r="I345" s="8"/>
      <c r="J345" s="8"/>
      <c r="K345" s="8">
        <v>70</v>
      </c>
      <c r="L345" s="18">
        <v>20</v>
      </c>
      <c r="M345" s="7">
        <f t="shared" si="5"/>
        <v>1400</v>
      </c>
      <c r="N345" s="4"/>
      <c r="O345" s="9"/>
    </row>
    <row r="346" spans="1:15" ht="20" customHeight="1" x14ac:dyDescent="0.2">
      <c r="A346" s="3">
        <v>342</v>
      </c>
      <c r="B346" s="19"/>
      <c r="C346" s="4" t="s">
        <v>476</v>
      </c>
      <c r="D346" s="4" t="s">
        <v>109</v>
      </c>
      <c r="E346" s="4" t="s">
        <v>137</v>
      </c>
      <c r="F346" s="8"/>
      <c r="G346" s="8"/>
      <c r="H346" s="8"/>
      <c r="I346" s="8"/>
      <c r="J346" s="8"/>
      <c r="K346" s="8">
        <v>60</v>
      </c>
      <c r="L346" s="18">
        <v>20</v>
      </c>
      <c r="M346" s="7">
        <f t="shared" si="5"/>
        <v>1200</v>
      </c>
      <c r="N346" s="4"/>
      <c r="O346" s="9"/>
    </row>
    <row r="347" spans="1:15" ht="20" customHeight="1" x14ac:dyDescent="0.2">
      <c r="A347" s="3">
        <v>343</v>
      </c>
      <c r="B347" s="19"/>
      <c r="C347" s="4" t="s">
        <v>477</v>
      </c>
      <c r="D347" s="4" t="s">
        <v>109</v>
      </c>
      <c r="E347" s="4" t="s">
        <v>137</v>
      </c>
      <c r="F347" s="8"/>
      <c r="G347" s="8"/>
      <c r="H347" s="8"/>
      <c r="I347" s="8"/>
      <c r="J347" s="8"/>
      <c r="K347" s="8">
        <v>80</v>
      </c>
      <c r="L347" s="18">
        <v>20</v>
      </c>
      <c r="M347" s="7">
        <f t="shared" si="5"/>
        <v>1600</v>
      </c>
      <c r="N347" s="4"/>
      <c r="O347" s="9"/>
    </row>
    <row r="348" spans="1:15" ht="20" customHeight="1" x14ac:dyDescent="0.2">
      <c r="A348" s="3">
        <v>344</v>
      </c>
      <c r="B348" s="19"/>
      <c r="C348" s="4" t="s">
        <v>478</v>
      </c>
      <c r="D348" s="4" t="s">
        <v>109</v>
      </c>
      <c r="E348" s="4" t="s">
        <v>137</v>
      </c>
      <c r="F348" s="8"/>
      <c r="G348" s="8"/>
      <c r="H348" s="8"/>
      <c r="I348" s="8"/>
      <c r="J348" s="8"/>
      <c r="K348" s="8">
        <v>50</v>
      </c>
      <c r="L348" s="18">
        <v>20</v>
      </c>
      <c r="M348" s="7">
        <f t="shared" si="5"/>
        <v>1000</v>
      </c>
      <c r="N348" s="4"/>
      <c r="O348" s="9"/>
    </row>
    <row r="349" spans="1:15" ht="20" customHeight="1" x14ac:dyDescent="0.2">
      <c r="A349" s="3">
        <v>345</v>
      </c>
      <c r="B349" s="19"/>
      <c r="C349" s="4" t="s">
        <v>479</v>
      </c>
      <c r="D349" s="4" t="s">
        <v>109</v>
      </c>
      <c r="E349" s="4" t="s">
        <v>137</v>
      </c>
      <c r="F349" s="8"/>
      <c r="G349" s="8"/>
      <c r="H349" s="8"/>
      <c r="I349" s="8"/>
      <c r="J349" s="8"/>
      <c r="K349" s="8">
        <v>70</v>
      </c>
      <c r="L349" s="18">
        <v>20</v>
      </c>
      <c r="M349" s="7">
        <f t="shared" si="5"/>
        <v>1400</v>
      </c>
      <c r="N349" s="4"/>
      <c r="O349" s="9"/>
    </row>
    <row r="350" spans="1:15" ht="20" customHeight="1" x14ac:dyDescent="0.2">
      <c r="A350" s="3">
        <v>346</v>
      </c>
      <c r="B350" s="19"/>
      <c r="C350" s="4" t="s">
        <v>480</v>
      </c>
      <c r="D350" s="4" t="s">
        <v>109</v>
      </c>
      <c r="E350" s="4" t="s">
        <v>137</v>
      </c>
      <c r="F350" s="8"/>
      <c r="G350" s="8"/>
      <c r="H350" s="8"/>
      <c r="I350" s="8"/>
      <c r="J350" s="8"/>
      <c r="K350" s="8">
        <v>70</v>
      </c>
      <c r="L350" s="18">
        <v>20</v>
      </c>
      <c r="M350" s="7">
        <f t="shared" si="5"/>
        <v>1400</v>
      </c>
      <c r="N350" s="4"/>
      <c r="O350" s="9"/>
    </row>
    <row r="351" spans="1:15" ht="20" customHeight="1" x14ac:dyDescent="0.2">
      <c r="A351" s="3">
        <v>347</v>
      </c>
      <c r="B351" s="19"/>
      <c r="C351" s="4" t="s">
        <v>481</v>
      </c>
      <c r="D351" s="4" t="s">
        <v>109</v>
      </c>
      <c r="E351" s="4" t="s">
        <v>137</v>
      </c>
      <c r="F351" s="8"/>
      <c r="G351" s="8"/>
      <c r="H351" s="8"/>
      <c r="I351" s="8"/>
      <c r="J351" s="8"/>
      <c r="K351" s="8">
        <v>70</v>
      </c>
      <c r="L351" s="18">
        <v>20</v>
      </c>
      <c r="M351" s="7">
        <f t="shared" si="5"/>
        <v>1400</v>
      </c>
      <c r="N351" s="4"/>
      <c r="O351" s="9"/>
    </row>
    <row r="352" spans="1:15" ht="20" customHeight="1" x14ac:dyDescent="0.2">
      <c r="A352" s="3">
        <v>348</v>
      </c>
      <c r="B352" s="19"/>
      <c r="C352" s="4" t="s">
        <v>482</v>
      </c>
      <c r="D352" s="4" t="s">
        <v>109</v>
      </c>
      <c r="E352" s="4" t="s">
        <v>137</v>
      </c>
      <c r="F352" s="8"/>
      <c r="G352" s="8"/>
      <c r="H352" s="8"/>
      <c r="I352" s="8"/>
      <c r="J352" s="8"/>
      <c r="K352" s="8">
        <v>800</v>
      </c>
      <c r="L352" s="18">
        <v>225</v>
      </c>
      <c r="M352" s="7">
        <f t="shared" si="5"/>
        <v>180000</v>
      </c>
      <c r="N352" s="4"/>
      <c r="O352" s="9"/>
    </row>
    <row r="353" spans="1:15" ht="20" customHeight="1" x14ac:dyDescent="0.2">
      <c r="A353" s="3">
        <v>349</v>
      </c>
      <c r="B353" s="19"/>
      <c r="C353" s="4" t="s">
        <v>483</v>
      </c>
      <c r="D353" s="4" t="s">
        <v>109</v>
      </c>
      <c r="E353" s="4" t="s">
        <v>137</v>
      </c>
      <c r="F353" s="8"/>
      <c r="G353" s="8"/>
      <c r="H353" s="8"/>
      <c r="I353" s="8"/>
      <c r="J353" s="8"/>
      <c r="K353" s="8">
        <v>800</v>
      </c>
      <c r="L353" s="18">
        <v>120</v>
      </c>
      <c r="M353" s="7">
        <f t="shared" si="5"/>
        <v>96000</v>
      </c>
      <c r="N353" s="4"/>
      <c r="O353" s="9"/>
    </row>
    <row r="354" spans="1:15" ht="20" customHeight="1" x14ac:dyDescent="0.2">
      <c r="A354" s="3">
        <v>350</v>
      </c>
      <c r="B354" s="19"/>
      <c r="C354" s="4" t="s">
        <v>484</v>
      </c>
      <c r="D354" s="4" t="s">
        <v>109</v>
      </c>
      <c r="E354" s="4" t="s">
        <v>196</v>
      </c>
      <c r="F354" s="8"/>
      <c r="G354" s="8"/>
      <c r="H354" s="8"/>
      <c r="I354" s="8"/>
      <c r="J354" s="8"/>
      <c r="K354" s="8">
        <v>20000</v>
      </c>
      <c r="L354" s="18">
        <v>3</v>
      </c>
      <c r="M354" s="7">
        <f t="shared" si="5"/>
        <v>60000</v>
      </c>
      <c r="N354" s="4"/>
      <c r="O354" s="9"/>
    </row>
    <row r="355" spans="1:15" ht="20" customHeight="1" x14ac:dyDescent="0.2">
      <c r="A355" s="3">
        <v>351</v>
      </c>
      <c r="B355" s="19"/>
      <c r="C355" s="4" t="s">
        <v>485</v>
      </c>
      <c r="D355" s="4" t="s">
        <v>109</v>
      </c>
      <c r="E355" s="4" t="s">
        <v>133</v>
      </c>
      <c r="F355" s="8"/>
      <c r="G355" s="8"/>
      <c r="H355" s="8"/>
      <c r="I355" s="8"/>
      <c r="J355" s="8"/>
      <c r="K355" s="8">
        <v>4</v>
      </c>
      <c r="L355" s="18">
        <v>200</v>
      </c>
      <c r="M355" s="7">
        <f t="shared" si="5"/>
        <v>800</v>
      </c>
      <c r="N355" s="4"/>
      <c r="O355" s="9"/>
    </row>
    <row r="356" spans="1:15" ht="20" customHeight="1" x14ac:dyDescent="0.2">
      <c r="A356" s="3">
        <v>352</v>
      </c>
      <c r="B356" s="19"/>
      <c r="C356" s="4" t="s">
        <v>486</v>
      </c>
      <c r="D356" s="4" t="s">
        <v>109</v>
      </c>
      <c r="E356" s="4" t="s">
        <v>190</v>
      </c>
      <c r="F356" s="8"/>
      <c r="G356" s="8"/>
      <c r="H356" s="8"/>
      <c r="I356" s="8"/>
      <c r="J356" s="8"/>
      <c r="K356" s="8">
        <v>3</v>
      </c>
      <c r="L356" s="18">
        <v>1040</v>
      </c>
      <c r="M356" s="7">
        <f t="shared" si="5"/>
        <v>3120</v>
      </c>
      <c r="N356" s="4"/>
      <c r="O356" s="9"/>
    </row>
    <row r="357" spans="1:15" ht="20" customHeight="1" x14ac:dyDescent="0.2">
      <c r="A357" s="3">
        <v>353</v>
      </c>
      <c r="B357" s="19"/>
      <c r="C357" s="4" t="s">
        <v>487</v>
      </c>
      <c r="D357" s="4" t="s">
        <v>109</v>
      </c>
      <c r="E357" s="4" t="s">
        <v>190</v>
      </c>
      <c r="F357" s="8"/>
      <c r="G357" s="8"/>
      <c r="H357" s="8"/>
      <c r="I357" s="8"/>
      <c r="J357" s="8"/>
      <c r="K357" s="8">
        <v>4</v>
      </c>
      <c r="L357" s="18">
        <v>1090</v>
      </c>
      <c r="M357" s="7">
        <f t="shared" si="5"/>
        <v>4360</v>
      </c>
      <c r="N357" s="4"/>
      <c r="O357" s="9"/>
    </row>
    <row r="358" spans="1:15" ht="20" customHeight="1" x14ac:dyDescent="0.2">
      <c r="A358" s="3">
        <v>354</v>
      </c>
      <c r="B358" s="19"/>
      <c r="C358" s="4" t="s">
        <v>488</v>
      </c>
      <c r="D358" s="4" t="s">
        <v>109</v>
      </c>
      <c r="E358" s="4" t="s">
        <v>190</v>
      </c>
      <c r="F358" s="8"/>
      <c r="G358" s="8"/>
      <c r="H358" s="8"/>
      <c r="I358" s="8"/>
      <c r="J358" s="8"/>
      <c r="K358" s="8">
        <v>6</v>
      </c>
      <c r="L358" s="18">
        <v>1100</v>
      </c>
      <c r="M358" s="7">
        <f t="shared" si="5"/>
        <v>6600</v>
      </c>
      <c r="N358" s="4"/>
      <c r="O358" s="9"/>
    </row>
    <row r="359" spans="1:15" ht="20" customHeight="1" x14ac:dyDescent="0.2">
      <c r="A359" s="3">
        <v>355</v>
      </c>
      <c r="B359" s="19"/>
      <c r="C359" s="4" t="s">
        <v>489</v>
      </c>
      <c r="D359" s="4" t="s">
        <v>109</v>
      </c>
      <c r="E359" s="4" t="s">
        <v>190</v>
      </c>
      <c r="F359" s="8"/>
      <c r="G359" s="8"/>
      <c r="H359" s="8"/>
      <c r="I359" s="8"/>
      <c r="J359" s="8"/>
      <c r="K359" s="8">
        <v>8</v>
      </c>
      <c r="L359" s="18">
        <v>1170</v>
      </c>
      <c r="M359" s="7">
        <f t="shared" si="5"/>
        <v>9360</v>
      </c>
      <c r="N359" s="4"/>
      <c r="O359" s="9"/>
    </row>
    <row r="360" spans="1:15" ht="20" customHeight="1" x14ac:dyDescent="0.2">
      <c r="A360" s="3">
        <v>356</v>
      </c>
      <c r="B360" s="19"/>
      <c r="C360" s="4" t="s">
        <v>490</v>
      </c>
      <c r="D360" s="4" t="s">
        <v>109</v>
      </c>
      <c r="E360" s="4" t="s">
        <v>137</v>
      </c>
      <c r="F360" s="8"/>
      <c r="G360" s="8"/>
      <c r="H360" s="8"/>
      <c r="I360" s="8"/>
      <c r="J360" s="8"/>
      <c r="K360" s="8">
        <v>0</v>
      </c>
      <c r="L360" s="18">
        <v>165</v>
      </c>
      <c r="M360" s="7">
        <f t="shared" si="5"/>
        <v>0</v>
      </c>
      <c r="N360" s="4"/>
      <c r="O360" s="9"/>
    </row>
    <row r="361" spans="1:15" ht="20" customHeight="1" x14ac:dyDescent="0.2">
      <c r="A361" s="3">
        <v>357</v>
      </c>
      <c r="B361" s="19"/>
      <c r="C361" s="4" t="s">
        <v>491</v>
      </c>
      <c r="D361" s="4" t="s">
        <v>109</v>
      </c>
      <c r="E361" s="4" t="s">
        <v>150</v>
      </c>
      <c r="F361" s="8"/>
      <c r="G361" s="8"/>
      <c r="H361" s="8"/>
      <c r="I361" s="8"/>
      <c r="J361" s="8"/>
      <c r="K361" s="8">
        <v>800</v>
      </c>
      <c r="L361" s="18">
        <v>25</v>
      </c>
      <c r="M361" s="7">
        <f t="shared" si="5"/>
        <v>20000</v>
      </c>
      <c r="N361" s="4"/>
      <c r="O361" s="9"/>
    </row>
    <row r="362" spans="1:15" ht="20" customHeight="1" x14ac:dyDescent="0.2">
      <c r="A362" s="3">
        <v>358</v>
      </c>
      <c r="B362" s="19"/>
      <c r="C362" s="4" t="s">
        <v>492</v>
      </c>
      <c r="D362" s="4" t="s">
        <v>109</v>
      </c>
      <c r="E362" s="4" t="s">
        <v>150</v>
      </c>
      <c r="F362" s="8"/>
      <c r="G362" s="8"/>
      <c r="H362" s="8"/>
      <c r="I362" s="8"/>
      <c r="J362" s="8"/>
      <c r="K362" s="8">
        <v>0</v>
      </c>
      <c r="L362" s="18">
        <v>160</v>
      </c>
      <c r="M362" s="7">
        <f t="shared" si="5"/>
        <v>0</v>
      </c>
      <c r="N362" s="4"/>
      <c r="O362" s="9"/>
    </row>
    <row r="363" spans="1:15" ht="20" customHeight="1" x14ac:dyDescent="0.2">
      <c r="A363" s="3">
        <v>359</v>
      </c>
      <c r="B363" s="19"/>
      <c r="C363" s="4" t="s">
        <v>493</v>
      </c>
      <c r="D363" s="4" t="s">
        <v>109</v>
      </c>
      <c r="E363" s="4" t="s">
        <v>150</v>
      </c>
      <c r="F363" s="8"/>
      <c r="G363" s="8"/>
      <c r="H363" s="8"/>
      <c r="I363" s="8"/>
      <c r="J363" s="8"/>
      <c r="K363" s="8">
        <v>0</v>
      </c>
      <c r="L363" s="18">
        <v>250</v>
      </c>
      <c r="M363" s="7">
        <f t="shared" si="5"/>
        <v>0</v>
      </c>
      <c r="N363" s="4"/>
      <c r="O363" s="9"/>
    </row>
    <row r="364" spans="1:15" ht="20" customHeight="1" x14ac:dyDescent="0.2">
      <c r="A364" s="3">
        <v>360</v>
      </c>
      <c r="B364" s="19"/>
      <c r="C364" s="4" t="s">
        <v>494</v>
      </c>
      <c r="D364" s="4" t="s">
        <v>109</v>
      </c>
      <c r="E364" s="4" t="s">
        <v>150</v>
      </c>
      <c r="F364" s="8"/>
      <c r="G364" s="8"/>
      <c r="H364" s="8"/>
      <c r="I364" s="8"/>
      <c r="J364" s="8"/>
      <c r="K364" s="8">
        <v>0</v>
      </c>
      <c r="L364" s="18">
        <v>45</v>
      </c>
      <c r="M364" s="7">
        <f t="shared" si="5"/>
        <v>0</v>
      </c>
      <c r="N364" s="4"/>
      <c r="O364" s="9"/>
    </row>
    <row r="365" spans="1:15" ht="20" customHeight="1" x14ac:dyDescent="0.2">
      <c r="A365" s="3">
        <v>361</v>
      </c>
      <c r="B365" s="19"/>
      <c r="C365" s="4" t="s">
        <v>495</v>
      </c>
      <c r="D365" s="4" t="s">
        <v>109</v>
      </c>
      <c r="E365" s="4" t="s">
        <v>150</v>
      </c>
      <c r="F365" s="8"/>
      <c r="G365" s="8"/>
      <c r="H365" s="8"/>
      <c r="I365" s="8"/>
      <c r="J365" s="8"/>
      <c r="K365" s="8">
        <v>0</v>
      </c>
      <c r="L365" s="18">
        <v>45</v>
      </c>
      <c r="M365" s="7">
        <f t="shared" si="5"/>
        <v>0</v>
      </c>
      <c r="N365" s="4"/>
      <c r="O365" s="9"/>
    </row>
    <row r="366" spans="1:15" ht="20" customHeight="1" x14ac:dyDescent="0.2">
      <c r="A366" s="3">
        <v>362</v>
      </c>
      <c r="B366" s="19"/>
      <c r="C366" s="4" t="s">
        <v>496</v>
      </c>
      <c r="D366" s="4" t="s">
        <v>109</v>
      </c>
      <c r="E366" s="4" t="s">
        <v>150</v>
      </c>
      <c r="F366" s="8"/>
      <c r="G366" s="8"/>
      <c r="H366" s="8"/>
      <c r="I366" s="8"/>
      <c r="J366" s="8"/>
      <c r="K366" s="8">
        <v>40</v>
      </c>
      <c r="L366" s="18">
        <v>500</v>
      </c>
      <c r="M366" s="7">
        <f t="shared" si="5"/>
        <v>20000</v>
      </c>
      <c r="N366" s="4"/>
      <c r="O366" s="9"/>
    </row>
    <row r="367" spans="1:15" ht="20" customHeight="1" x14ac:dyDescent="0.2">
      <c r="A367" s="3">
        <v>363</v>
      </c>
      <c r="B367" s="19"/>
      <c r="C367" s="4" t="s">
        <v>497</v>
      </c>
      <c r="D367" s="4" t="s">
        <v>109</v>
      </c>
      <c r="E367" s="4" t="s">
        <v>150</v>
      </c>
      <c r="F367" s="8"/>
      <c r="G367" s="8"/>
      <c r="H367" s="8"/>
      <c r="I367" s="8"/>
      <c r="J367" s="8"/>
      <c r="K367" s="8">
        <v>100</v>
      </c>
      <c r="L367" s="18">
        <v>18</v>
      </c>
      <c r="M367" s="7">
        <f t="shared" si="5"/>
        <v>1800</v>
      </c>
      <c r="N367" s="4"/>
      <c r="O367" s="9"/>
    </row>
    <row r="368" spans="1:15" ht="20" customHeight="1" x14ac:dyDescent="0.2">
      <c r="A368" s="3">
        <v>364</v>
      </c>
      <c r="B368" s="19"/>
      <c r="C368" s="4" t="s">
        <v>498</v>
      </c>
      <c r="D368" s="4" t="s">
        <v>109</v>
      </c>
      <c r="E368" s="4" t="s">
        <v>499</v>
      </c>
      <c r="F368" s="8"/>
      <c r="G368" s="8"/>
      <c r="H368" s="8"/>
      <c r="I368" s="8"/>
      <c r="J368" s="8"/>
      <c r="K368" s="8">
        <v>1000</v>
      </c>
      <c r="L368" s="18">
        <v>56.71</v>
      </c>
      <c r="M368" s="7">
        <f t="shared" si="5"/>
        <v>56710</v>
      </c>
      <c r="N368" s="4"/>
      <c r="O368" s="9"/>
    </row>
    <row r="369" spans="1:15" ht="20" customHeight="1" x14ac:dyDescent="0.2">
      <c r="A369" s="3">
        <v>365</v>
      </c>
      <c r="B369" s="19"/>
      <c r="C369" s="4" t="s">
        <v>500</v>
      </c>
      <c r="D369" s="4" t="s">
        <v>109</v>
      </c>
      <c r="E369" s="4" t="s">
        <v>150</v>
      </c>
      <c r="F369" s="8"/>
      <c r="G369" s="8"/>
      <c r="H369" s="8"/>
      <c r="I369" s="8"/>
      <c r="J369" s="8"/>
      <c r="K369" s="8">
        <v>0</v>
      </c>
      <c r="L369" s="18">
        <v>35</v>
      </c>
      <c r="M369" s="7">
        <f t="shared" si="5"/>
        <v>0</v>
      </c>
      <c r="N369" s="4"/>
      <c r="O369" s="9"/>
    </row>
    <row r="370" spans="1:15" ht="20" customHeight="1" x14ac:dyDescent="0.2">
      <c r="A370" s="3">
        <v>366</v>
      </c>
      <c r="B370" s="19"/>
      <c r="C370" s="4" t="s">
        <v>501</v>
      </c>
      <c r="D370" s="4" t="s">
        <v>109</v>
      </c>
      <c r="E370" s="4" t="s">
        <v>110</v>
      </c>
      <c r="F370" s="8"/>
      <c r="G370" s="8"/>
      <c r="H370" s="8"/>
      <c r="I370" s="8"/>
      <c r="J370" s="8"/>
      <c r="K370" s="8">
        <v>0</v>
      </c>
      <c r="L370" s="18">
        <v>1330</v>
      </c>
      <c r="M370" s="7">
        <f t="shared" si="5"/>
        <v>0</v>
      </c>
      <c r="N370" s="4"/>
      <c r="O370" s="9"/>
    </row>
    <row r="371" spans="1:15" ht="20" customHeight="1" x14ac:dyDescent="0.2">
      <c r="A371" s="3">
        <v>367</v>
      </c>
      <c r="B371" s="19"/>
      <c r="C371" s="4" t="s">
        <v>502</v>
      </c>
      <c r="D371" s="4" t="s">
        <v>109</v>
      </c>
      <c r="E371" s="4" t="s">
        <v>110</v>
      </c>
      <c r="F371" s="8"/>
      <c r="G371" s="8"/>
      <c r="H371" s="8"/>
      <c r="I371" s="8"/>
      <c r="J371" s="8"/>
      <c r="K371" s="8">
        <v>0</v>
      </c>
      <c r="L371" s="18">
        <v>2200</v>
      </c>
      <c r="M371" s="7">
        <f t="shared" si="5"/>
        <v>0</v>
      </c>
      <c r="N371" s="4"/>
      <c r="O371" s="9"/>
    </row>
    <row r="372" spans="1:15" ht="20" customHeight="1" x14ac:dyDescent="0.2">
      <c r="A372" s="3">
        <v>368</v>
      </c>
      <c r="B372" s="19"/>
      <c r="C372" s="4" t="s">
        <v>503</v>
      </c>
      <c r="D372" s="4" t="s">
        <v>109</v>
      </c>
      <c r="E372" s="4" t="s">
        <v>110</v>
      </c>
      <c r="F372" s="8"/>
      <c r="G372" s="8"/>
      <c r="H372" s="8"/>
      <c r="I372" s="8"/>
      <c r="J372" s="8"/>
      <c r="K372" s="8">
        <v>0</v>
      </c>
      <c r="L372" s="18">
        <v>220</v>
      </c>
      <c r="M372" s="7">
        <f t="shared" si="5"/>
        <v>0</v>
      </c>
      <c r="N372" s="4"/>
      <c r="O372" s="9"/>
    </row>
    <row r="373" spans="1:15" ht="20" customHeight="1" x14ac:dyDescent="0.2">
      <c r="A373" s="3">
        <v>369</v>
      </c>
      <c r="B373" s="19"/>
      <c r="C373" s="4" t="s">
        <v>504</v>
      </c>
      <c r="D373" s="4" t="s">
        <v>109</v>
      </c>
      <c r="E373" s="4" t="s">
        <v>110</v>
      </c>
      <c r="F373" s="8"/>
      <c r="G373" s="8"/>
      <c r="H373" s="8"/>
      <c r="I373" s="8"/>
      <c r="J373" s="8"/>
      <c r="K373" s="8">
        <v>0</v>
      </c>
      <c r="L373" s="18">
        <v>220</v>
      </c>
      <c r="M373" s="7">
        <f t="shared" si="5"/>
        <v>0</v>
      </c>
      <c r="N373" s="4"/>
      <c r="O373" s="9"/>
    </row>
    <row r="374" spans="1:15" ht="20" customHeight="1" x14ac:dyDescent="0.2">
      <c r="A374" s="3">
        <v>370</v>
      </c>
      <c r="B374" s="19"/>
      <c r="C374" s="4" t="s">
        <v>505</v>
      </c>
      <c r="D374" s="4" t="s">
        <v>109</v>
      </c>
      <c r="E374" s="4" t="s">
        <v>110</v>
      </c>
      <c r="F374" s="8"/>
      <c r="G374" s="8"/>
      <c r="H374" s="8"/>
      <c r="I374" s="8"/>
      <c r="J374" s="8"/>
      <c r="K374" s="8">
        <v>0</v>
      </c>
      <c r="L374" s="18">
        <v>250</v>
      </c>
      <c r="M374" s="7">
        <f t="shared" si="5"/>
        <v>0</v>
      </c>
      <c r="N374" s="4"/>
      <c r="O374" s="9"/>
    </row>
    <row r="375" spans="1:15" ht="20" customHeight="1" x14ac:dyDescent="0.2">
      <c r="A375" s="3">
        <v>371</v>
      </c>
      <c r="B375" s="19"/>
      <c r="C375" s="4" t="s">
        <v>506</v>
      </c>
      <c r="D375" s="4" t="s">
        <v>109</v>
      </c>
      <c r="E375" s="4" t="s">
        <v>110</v>
      </c>
      <c r="F375" s="8"/>
      <c r="G375" s="8"/>
      <c r="H375" s="8"/>
      <c r="I375" s="8"/>
      <c r="J375" s="8"/>
      <c r="K375" s="8">
        <v>0</v>
      </c>
      <c r="L375" s="18">
        <v>1190</v>
      </c>
      <c r="M375" s="7">
        <f t="shared" si="5"/>
        <v>0</v>
      </c>
      <c r="N375" s="4"/>
      <c r="O375" s="9"/>
    </row>
    <row r="376" spans="1:15" ht="20" customHeight="1" x14ac:dyDescent="0.2">
      <c r="A376" s="3">
        <v>372</v>
      </c>
      <c r="B376" s="19"/>
      <c r="C376" s="4" t="s">
        <v>507</v>
      </c>
      <c r="D376" s="4" t="s">
        <v>109</v>
      </c>
      <c r="E376" s="4" t="s">
        <v>110</v>
      </c>
      <c r="F376" s="8"/>
      <c r="G376" s="8"/>
      <c r="H376" s="8"/>
      <c r="I376" s="8"/>
      <c r="J376" s="8"/>
      <c r="K376" s="8">
        <v>0</v>
      </c>
      <c r="L376" s="18">
        <v>1970</v>
      </c>
      <c r="M376" s="7">
        <f t="shared" si="5"/>
        <v>0</v>
      </c>
      <c r="N376" s="4"/>
      <c r="O376" s="9"/>
    </row>
    <row r="377" spans="1:15" ht="20" customHeight="1" x14ac:dyDescent="0.2">
      <c r="A377" s="3">
        <v>373</v>
      </c>
      <c r="B377" s="19"/>
      <c r="C377" s="4" t="s">
        <v>508</v>
      </c>
      <c r="D377" s="4" t="s">
        <v>109</v>
      </c>
      <c r="E377" s="4" t="s">
        <v>110</v>
      </c>
      <c r="F377" s="8"/>
      <c r="G377" s="8"/>
      <c r="H377" s="8"/>
      <c r="I377" s="8"/>
      <c r="J377" s="8"/>
      <c r="K377" s="8">
        <v>0</v>
      </c>
      <c r="L377" s="18">
        <v>1190</v>
      </c>
      <c r="M377" s="7">
        <f t="shared" si="5"/>
        <v>0</v>
      </c>
      <c r="N377" s="4"/>
      <c r="O377" s="9"/>
    </row>
    <row r="378" spans="1:15" ht="20" customHeight="1" x14ac:dyDescent="0.2">
      <c r="A378" s="3">
        <v>374</v>
      </c>
      <c r="B378" s="19"/>
      <c r="C378" s="4" t="s">
        <v>509</v>
      </c>
      <c r="D378" s="4" t="s">
        <v>109</v>
      </c>
      <c r="E378" s="4" t="s">
        <v>110</v>
      </c>
      <c r="F378" s="8"/>
      <c r="G378" s="8"/>
      <c r="H378" s="8"/>
      <c r="I378" s="8"/>
      <c r="J378" s="8"/>
      <c r="K378" s="8">
        <v>0</v>
      </c>
      <c r="L378" s="18">
        <v>2320</v>
      </c>
      <c r="M378" s="7">
        <f t="shared" si="5"/>
        <v>0</v>
      </c>
      <c r="N378" s="4"/>
      <c r="O378" s="9"/>
    </row>
    <row r="379" spans="1:15" ht="20" customHeight="1" x14ac:dyDescent="0.2">
      <c r="A379" s="3">
        <v>375</v>
      </c>
      <c r="B379" s="19"/>
      <c r="C379" s="4" t="s">
        <v>510</v>
      </c>
      <c r="D379" s="4" t="s">
        <v>109</v>
      </c>
      <c r="E379" s="4" t="s">
        <v>110</v>
      </c>
      <c r="F379" s="8"/>
      <c r="G379" s="8"/>
      <c r="H379" s="8"/>
      <c r="I379" s="8"/>
      <c r="J379" s="8"/>
      <c r="K379" s="8">
        <v>0</v>
      </c>
      <c r="L379" s="18">
        <v>2620</v>
      </c>
      <c r="M379" s="7">
        <f t="shared" si="5"/>
        <v>0</v>
      </c>
      <c r="N379" s="4"/>
      <c r="O379" s="9"/>
    </row>
    <row r="380" spans="1:15" ht="20" customHeight="1" x14ac:dyDescent="0.2">
      <c r="A380" s="3">
        <v>376</v>
      </c>
      <c r="B380" s="19"/>
      <c r="C380" s="4" t="s">
        <v>511</v>
      </c>
      <c r="D380" s="4" t="s">
        <v>109</v>
      </c>
      <c r="E380" s="4" t="s">
        <v>110</v>
      </c>
      <c r="F380" s="8"/>
      <c r="G380" s="8"/>
      <c r="H380" s="8"/>
      <c r="I380" s="8"/>
      <c r="J380" s="8"/>
      <c r="K380" s="8">
        <v>0</v>
      </c>
      <c r="L380" s="18">
        <v>2620</v>
      </c>
      <c r="M380" s="7">
        <f t="shared" si="5"/>
        <v>0</v>
      </c>
      <c r="N380" s="4"/>
      <c r="O380" s="9"/>
    </row>
    <row r="381" spans="1:15" ht="20" customHeight="1" x14ac:dyDescent="0.2">
      <c r="A381" s="3">
        <v>377</v>
      </c>
      <c r="B381" s="19"/>
      <c r="C381" s="4" t="s">
        <v>512</v>
      </c>
      <c r="D381" s="4" t="s">
        <v>109</v>
      </c>
      <c r="E381" s="4" t="s">
        <v>110</v>
      </c>
      <c r="F381" s="8"/>
      <c r="G381" s="8"/>
      <c r="H381" s="8"/>
      <c r="I381" s="8"/>
      <c r="J381" s="8"/>
      <c r="K381" s="8">
        <v>0</v>
      </c>
      <c r="L381" s="18">
        <v>2620</v>
      </c>
      <c r="M381" s="7">
        <f t="shared" si="5"/>
        <v>0</v>
      </c>
      <c r="N381" s="4"/>
      <c r="O381" s="9"/>
    </row>
    <row r="382" spans="1:15" ht="20" customHeight="1" x14ac:dyDescent="0.2">
      <c r="A382" s="3">
        <v>378</v>
      </c>
      <c r="B382" s="19"/>
      <c r="C382" s="4" t="s">
        <v>513</v>
      </c>
      <c r="D382" s="4" t="s">
        <v>109</v>
      </c>
      <c r="E382" s="4" t="s">
        <v>110</v>
      </c>
      <c r="F382" s="8"/>
      <c r="G382" s="8"/>
      <c r="H382" s="8"/>
      <c r="I382" s="8"/>
      <c r="J382" s="8"/>
      <c r="K382" s="8">
        <v>0</v>
      </c>
      <c r="L382" s="18">
        <v>2620</v>
      </c>
      <c r="M382" s="7">
        <f t="shared" si="5"/>
        <v>0</v>
      </c>
      <c r="N382" s="4"/>
      <c r="O382" s="9"/>
    </row>
    <row r="383" spans="1:15" ht="20" customHeight="1" x14ac:dyDescent="0.2">
      <c r="A383" s="3">
        <v>379</v>
      </c>
      <c r="B383" s="19"/>
      <c r="C383" s="4" t="s">
        <v>514</v>
      </c>
      <c r="D383" s="4" t="s">
        <v>109</v>
      </c>
      <c r="E383" s="4" t="s">
        <v>110</v>
      </c>
      <c r="F383" s="8"/>
      <c r="G383" s="8"/>
      <c r="H383" s="8"/>
      <c r="I383" s="8"/>
      <c r="J383" s="8"/>
      <c r="K383" s="8">
        <v>0</v>
      </c>
      <c r="L383" s="18">
        <v>2300</v>
      </c>
      <c r="M383" s="7">
        <f t="shared" si="5"/>
        <v>0</v>
      </c>
      <c r="N383" s="4"/>
      <c r="O383" s="9"/>
    </row>
    <row r="384" spans="1:15" ht="20" customHeight="1" x14ac:dyDescent="0.2">
      <c r="A384" s="3">
        <v>380</v>
      </c>
      <c r="B384" s="19"/>
      <c r="C384" s="4" t="s">
        <v>515</v>
      </c>
      <c r="D384" s="4" t="s">
        <v>109</v>
      </c>
      <c r="E384" s="4" t="s">
        <v>110</v>
      </c>
      <c r="F384" s="8"/>
      <c r="G384" s="8"/>
      <c r="H384" s="8"/>
      <c r="I384" s="8"/>
      <c r="J384" s="8"/>
      <c r="K384" s="8">
        <v>0</v>
      </c>
      <c r="L384" s="18">
        <v>2480</v>
      </c>
      <c r="M384" s="7">
        <f t="shared" si="5"/>
        <v>0</v>
      </c>
      <c r="N384" s="4"/>
      <c r="O384" s="9"/>
    </row>
    <row r="385" spans="1:15" ht="20" customHeight="1" x14ac:dyDescent="0.2">
      <c r="A385" s="3">
        <v>381</v>
      </c>
      <c r="B385" s="19"/>
      <c r="C385" s="4" t="s">
        <v>516</v>
      </c>
      <c r="D385" s="4" t="s">
        <v>109</v>
      </c>
      <c r="E385" s="4" t="s">
        <v>110</v>
      </c>
      <c r="F385" s="8"/>
      <c r="G385" s="8"/>
      <c r="H385" s="8"/>
      <c r="I385" s="8"/>
      <c r="J385" s="8"/>
      <c r="K385" s="8">
        <v>0</v>
      </c>
      <c r="L385" s="18">
        <v>1700</v>
      </c>
      <c r="M385" s="7">
        <f t="shared" si="5"/>
        <v>0</v>
      </c>
      <c r="N385" s="4"/>
      <c r="O385" s="9"/>
    </row>
    <row r="386" spans="1:15" ht="20" customHeight="1" x14ac:dyDescent="0.2">
      <c r="A386" s="3">
        <v>382</v>
      </c>
      <c r="B386" s="19"/>
      <c r="C386" s="4" t="s">
        <v>517</v>
      </c>
      <c r="D386" s="4" t="s">
        <v>109</v>
      </c>
      <c r="E386" s="4" t="s">
        <v>110</v>
      </c>
      <c r="F386" s="8"/>
      <c r="G386" s="8"/>
      <c r="H386" s="8"/>
      <c r="I386" s="8"/>
      <c r="J386" s="8"/>
      <c r="K386" s="8">
        <v>0</v>
      </c>
      <c r="L386" s="18">
        <v>1700</v>
      </c>
      <c r="M386" s="7">
        <f t="shared" si="5"/>
        <v>0</v>
      </c>
      <c r="N386" s="4"/>
      <c r="O386" s="9"/>
    </row>
    <row r="387" spans="1:15" ht="20" customHeight="1" x14ac:dyDescent="0.2">
      <c r="A387" s="3">
        <v>383</v>
      </c>
      <c r="B387" s="19"/>
      <c r="C387" s="4" t="s">
        <v>518</v>
      </c>
      <c r="D387" s="4" t="s">
        <v>109</v>
      </c>
      <c r="E387" s="4" t="s">
        <v>110</v>
      </c>
      <c r="F387" s="8"/>
      <c r="G387" s="8"/>
      <c r="H387" s="8"/>
      <c r="I387" s="8"/>
      <c r="J387" s="8"/>
      <c r="K387" s="8">
        <v>0</v>
      </c>
      <c r="L387" s="18">
        <v>1700</v>
      </c>
      <c r="M387" s="7">
        <f t="shared" si="5"/>
        <v>0</v>
      </c>
      <c r="N387" s="4"/>
      <c r="O387" s="9"/>
    </row>
    <row r="388" spans="1:15" ht="20" customHeight="1" x14ac:dyDescent="0.2">
      <c r="A388" s="3">
        <v>384</v>
      </c>
      <c r="B388" s="19"/>
      <c r="C388" s="4" t="s">
        <v>519</v>
      </c>
      <c r="D388" s="4" t="s">
        <v>109</v>
      </c>
      <c r="E388" s="4" t="s">
        <v>110</v>
      </c>
      <c r="F388" s="8"/>
      <c r="G388" s="8"/>
      <c r="H388" s="8"/>
      <c r="I388" s="8"/>
      <c r="J388" s="8"/>
      <c r="K388" s="8">
        <v>0</v>
      </c>
      <c r="L388" s="18">
        <v>2580</v>
      </c>
      <c r="M388" s="7">
        <f t="shared" si="5"/>
        <v>0</v>
      </c>
      <c r="N388" s="4"/>
      <c r="O388" s="9"/>
    </row>
    <row r="389" spans="1:15" ht="20" customHeight="1" x14ac:dyDescent="0.2">
      <c r="A389" s="3">
        <v>385</v>
      </c>
      <c r="B389" s="19"/>
      <c r="C389" s="4" t="s">
        <v>520</v>
      </c>
      <c r="D389" s="4" t="s">
        <v>109</v>
      </c>
      <c r="E389" s="4" t="s">
        <v>110</v>
      </c>
      <c r="F389" s="8"/>
      <c r="G389" s="8"/>
      <c r="H389" s="8"/>
      <c r="I389" s="8"/>
      <c r="J389" s="8"/>
      <c r="K389" s="8">
        <v>0</v>
      </c>
      <c r="L389" s="18">
        <v>2580</v>
      </c>
      <c r="M389" s="7">
        <f t="shared" ref="M389:M452" si="6">IF(OR(K389="",L389=""),"",K389*L389)</f>
        <v>0</v>
      </c>
      <c r="N389" s="4"/>
      <c r="O389" s="9"/>
    </row>
    <row r="390" spans="1:15" ht="20" customHeight="1" x14ac:dyDescent="0.2">
      <c r="A390" s="3">
        <v>386</v>
      </c>
      <c r="B390" s="19"/>
      <c r="C390" s="4" t="s">
        <v>521</v>
      </c>
      <c r="D390" s="4" t="s">
        <v>109</v>
      </c>
      <c r="E390" s="4" t="s">
        <v>110</v>
      </c>
      <c r="F390" s="8"/>
      <c r="G390" s="8"/>
      <c r="H390" s="8"/>
      <c r="I390" s="8"/>
      <c r="J390" s="8"/>
      <c r="K390" s="8">
        <v>0</v>
      </c>
      <c r="L390" s="18">
        <v>2220</v>
      </c>
      <c r="M390" s="7">
        <f t="shared" si="6"/>
        <v>0</v>
      </c>
      <c r="N390" s="4"/>
      <c r="O390" s="9"/>
    </row>
    <row r="391" spans="1:15" ht="20" customHeight="1" x14ac:dyDescent="0.2">
      <c r="A391" s="3">
        <v>387</v>
      </c>
      <c r="B391" s="19"/>
      <c r="C391" s="4" t="s">
        <v>522</v>
      </c>
      <c r="D391" s="4" t="s">
        <v>109</v>
      </c>
      <c r="E391" s="4" t="s">
        <v>110</v>
      </c>
      <c r="F391" s="8"/>
      <c r="G391" s="8"/>
      <c r="H391" s="8"/>
      <c r="I391" s="8"/>
      <c r="J391" s="8"/>
      <c r="K391" s="8">
        <v>45</v>
      </c>
      <c r="L391" s="18">
        <v>650</v>
      </c>
      <c r="M391" s="7">
        <f t="shared" si="6"/>
        <v>29250</v>
      </c>
      <c r="N391" s="4"/>
      <c r="O391" s="9"/>
    </row>
    <row r="392" spans="1:15" ht="20" customHeight="1" x14ac:dyDescent="0.2">
      <c r="A392" s="3">
        <v>388</v>
      </c>
      <c r="B392" s="19"/>
      <c r="C392" s="4" t="s">
        <v>523</v>
      </c>
      <c r="D392" s="4" t="s">
        <v>109</v>
      </c>
      <c r="E392" s="4" t="s">
        <v>110</v>
      </c>
      <c r="F392" s="8"/>
      <c r="G392" s="8"/>
      <c r="H392" s="8"/>
      <c r="I392" s="8"/>
      <c r="J392" s="8"/>
      <c r="K392" s="8">
        <v>100</v>
      </c>
      <c r="L392" s="18">
        <v>650</v>
      </c>
      <c r="M392" s="7">
        <f t="shared" si="6"/>
        <v>65000</v>
      </c>
      <c r="N392" s="4"/>
      <c r="O392" s="9"/>
    </row>
    <row r="393" spans="1:15" ht="20" customHeight="1" x14ac:dyDescent="0.2">
      <c r="A393" s="3">
        <v>389</v>
      </c>
      <c r="B393" s="19"/>
      <c r="C393" s="4" t="s">
        <v>524</v>
      </c>
      <c r="D393" s="4" t="s">
        <v>109</v>
      </c>
      <c r="E393" s="4" t="s">
        <v>110</v>
      </c>
      <c r="F393" s="8"/>
      <c r="G393" s="8"/>
      <c r="H393" s="8"/>
      <c r="I393" s="8"/>
      <c r="J393" s="8"/>
      <c r="K393" s="8">
        <v>70</v>
      </c>
      <c r="L393" s="18">
        <v>650</v>
      </c>
      <c r="M393" s="7">
        <f t="shared" si="6"/>
        <v>45500</v>
      </c>
      <c r="N393" s="4"/>
      <c r="O393" s="9"/>
    </row>
    <row r="394" spans="1:15" ht="20" customHeight="1" x14ac:dyDescent="0.2">
      <c r="A394" s="3">
        <v>390</v>
      </c>
      <c r="B394" s="19"/>
      <c r="C394" s="4" t="s">
        <v>525</v>
      </c>
      <c r="D394" s="4" t="s">
        <v>109</v>
      </c>
      <c r="E394" s="4" t="s">
        <v>110</v>
      </c>
      <c r="F394" s="8"/>
      <c r="G394" s="8"/>
      <c r="H394" s="8"/>
      <c r="I394" s="8"/>
      <c r="J394" s="8"/>
      <c r="K394" s="8">
        <v>0</v>
      </c>
      <c r="L394" s="18">
        <v>590</v>
      </c>
      <c r="M394" s="7">
        <f t="shared" si="6"/>
        <v>0</v>
      </c>
      <c r="N394" s="4"/>
      <c r="O394" s="9"/>
    </row>
    <row r="395" spans="1:15" ht="20" customHeight="1" x14ac:dyDescent="0.2">
      <c r="A395" s="3">
        <v>391</v>
      </c>
      <c r="B395" s="19"/>
      <c r="C395" s="4" t="s">
        <v>526</v>
      </c>
      <c r="D395" s="4" t="s">
        <v>109</v>
      </c>
      <c r="E395" s="4" t="s">
        <v>110</v>
      </c>
      <c r="F395" s="8"/>
      <c r="G395" s="8"/>
      <c r="H395" s="8"/>
      <c r="I395" s="8"/>
      <c r="J395" s="8"/>
      <c r="K395" s="8">
        <v>0</v>
      </c>
      <c r="L395" s="18">
        <v>570</v>
      </c>
      <c r="M395" s="7">
        <f t="shared" si="6"/>
        <v>0</v>
      </c>
      <c r="N395" s="4"/>
      <c r="O395" s="9"/>
    </row>
    <row r="396" spans="1:15" ht="20" customHeight="1" x14ac:dyDescent="0.2">
      <c r="A396" s="3">
        <v>392</v>
      </c>
      <c r="B396" s="19"/>
      <c r="C396" s="4" t="s">
        <v>527</v>
      </c>
      <c r="D396" s="4" t="s">
        <v>109</v>
      </c>
      <c r="E396" s="4" t="s">
        <v>110</v>
      </c>
      <c r="F396" s="8"/>
      <c r="G396" s="8"/>
      <c r="H396" s="8"/>
      <c r="I396" s="8"/>
      <c r="J396" s="8"/>
      <c r="K396" s="8">
        <v>0</v>
      </c>
      <c r="L396" s="18">
        <v>590</v>
      </c>
      <c r="M396" s="7">
        <f t="shared" si="6"/>
        <v>0</v>
      </c>
      <c r="N396" s="4"/>
      <c r="O396" s="9"/>
    </row>
    <row r="397" spans="1:15" ht="20" customHeight="1" x14ac:dyDescent="0.2">
      <c r="A397" s="3">
        <v>393</v>
      </c>
      <c r="B397" s="19"/>
      <c r="C397" s="4" t="s">
        <v>528</v>
      </c>
      <c r="D397" s="4" t="s">
        <v>109</v>
      </c>
      <c r="E397" s="4" t="s">
        <v>110</v>
      </c>
      <c r="F397" s="8"/>
      <c r="G397" s="8"/>
      <c r="H397" s="8"/>
      <c r="I397" s="8"/>
      <c r="J397" s="8"/>
      <c r="K397" s="8">
        <v>0</v>
      </c>
      <c r="L397" s="18">
        <v>570</v>
      </c>
      <c r="M397" s="7">
        <f t="shared" si="6"/>
        <v>0</v>
      </c>
      <c r="N397" s="4"/>
      <c r="O397" s="9"/>
    </row>
    <row r="398" spans="1:15" ht="20" customHeight="1" x14ac:dyDescent="0.2">
      <c r="A398" s="3">
        <v>394</v>
      </c>
      <c r="B398" s="19"/>
      <c r="C398" s="4" t="s">
        <v>529</v>
      </c>
      <c r="D398" s="4" t="s">
        <v>109</v>
      </c>
      <c r="E398" s="4" t="s">
        <v>110</v>
      </c>
      <c r="F398" s="8"/>
      <c r="G398" s="8"/>
      <c r="H398" s="8"/>
      <c r="I398" s="8"/>
      <c r="J398" s="8"/>
      <c r="K398" s="8">
        <v>0</v>
      </c>
      <c r="L398" s="18">
        <v>570</v>
      </c>
      <c r="M398" s="7">
        <f t="shared" si="6"/>
        <v>0</v>
      </c>
      <c r="N398" s="4"/>
      <c r="O398" s="9"/>
    </row>
    <row r="399" spans="1:15" ht="20" customHeight="1" x14ac:dyDescent="0.2">
      <c r="A399" s="3">
        <v>395</v>
      </c>
      <c r="B399" s="19"/>
      <c r="C399" s="4" t="s">
        <v>530</v>
      </c>
      <c r="D399" s="4" t="s">
        <v>109</v>
      </c>
      <c r="E399" s="4" t="s">
        <v>110</v>
      </c>
      <c r="F399" s="8"/>
      <c r="G399" s="8"/>
      <c r="H399" s="8"/>
      <c r="I399" s="8"/>
      <c r="J399" s="8"/>
      <c r="K399" s="8">
        <v>0</v>
      </c>
      <c r="L399" s="18">
        <v>620</v>
      </c>
      <c r="M399" s="7">
        <f t="shared" si="6"/>
        <v>0</v>
      </c>
      <c r="N399" s="4"/>
      <c r="O399" s="9"/>
    </row>
    <row r="400" spans="1:15" ht="20" customHeight="1" x14ac:dyDescent="0.2">
      <c r="A400" s="3">
        <v>396</v>
      </c>
      <c r="B400" s="19"/>
      <c r="C400" s="4" t="s">
        <v>531</v>
      </c>
      <c r="D400" s="4" t="s">
        <v>109</v>
      </c>
      <c r="E400" s="4" t="s">
        <v>110</v>
      </c>
      <c r="F400" s="8"/>
      <c r="G400" s="8"/>
      <c r="H400" s="8"/>
      <c r="I400" s="8"/>
      <c r="J400" s="8"/>
      <c r="K400" s="8">
        <v>85</v>
      </c>
      <c r="L400" s="18">
        <v>620</v>
      </c>
      <c r="M400" s="7">
        <f t="shared" si="6"/>
        <v>52700</v>
      </c>
      <c r="N400" s="4"/>
      <c r="O400" s="9"/>
    </row>
    <row r="401" spans="1:15" ht="20" customHeight="1" x14ac:dyDescent="0.2">
      <c r="A401" s="3">
        <v>397</v>
      </c>
      <c r="B401" s="19"/>
      <c r="C401" s="4" t="s">
        <v>532</v>
      </c>
      <c r="D401" s="4" t="s">
        <v>109</v>
      </c>
      <c r="E401" s="4" t="s">
        <v>110</v>
      </c>
      <c r="F401" s="8"/>
      <c r="G401" s="8"/>
      <c r="H401" s="8"/>
      <c r="I401" s="8"/>
      <c r="J401" s="8"/>
      <c r="K401" s="8">
        <v>0</v>
      </c>
      <c r="L401" s="18">
        <v>620</v>
      </c>
      <c r="M401" s="7">
        <f t="shared" si="6"/>
        <v>0</v>
      </c>
      <c r="N401" s="4"/>
      <c r="O401" s="9"/>
    </row>
    <row r="402" spans="1:15" ht="20" customHeight="1" x14ac:dyDescent="0.2">
      <c r="A402" s="3">
        <v>398</v>
      </c>
      <c r="B402" s="19"/>
      <c r="C402" s="4" t="s">
        <v>533</v>
      </c>
      <c r="D402" s="4" t="s">
        <v>109</v>
      </c>
      <c r="E402" s="4" t="s">
        <v>110</v>
      </c>
      <c r="F402" s="8"/>
      <c r="G402" s="8"/>
      <c r="H402" s="8"/>
      <c r="I402" s="8"/>
      <c r="J402" s="8"/>
      <c r="K402" s="8">
        <v>80</v>
      </c>
      <c r="L402" s="18">
        <v>740</v>
      </c>
      <c r="M402" s="7">
        <f t="shared" si="6"/>
        <v>59200</v>
      </c>
      <c r="N402" s="4"/>
      <c r="O402" s="9"/>
    </row>
    <row r="403" spans="1:15" ht="20" customHeight="1" x14ac:dyDescent="0.2">
      <c r="A403" s="3">
        <v>399</v>
      </c>
      <c r="B403" s="19"/>
      <c r="C403" s="4" t="s">
        <v>534</v>
      </c>
      <c r="D403" s="4" t="s">
        <v>109</v>
      </c>
      <c r="E403" s="4" t="s">
        <v>110</v>
      </c>
      <c r="F403" s="8"/>
      <c r="G403" s="8"/>
      <c r="H403" s="8"/>
      <c r="I403" s="8"/>
      <c r="J403" s="8"/>
      <c r="K403" s="8">
        <v>130</v>
      </c>
      <c r="L403" s="18">
        <v>310</v>
      </c>
      <c r="M403" s="7">
        <f t="shared" si="6"/>
        <v>40300</v>
      </c>
      <c r="N403" s="4"/>
      <c r="O403" s="9"/>
    </row>
    <row r="404" spans="1:15" ht="20" customHeight="1" x14ac:dyDescent="0.2">
      <c r="A404" s="3">
        <v>400</v>
      </c>
      <c r="B404" s="19"/>
      <c r="C404" s="4" t="s">
        <v>535</v>
      </c>
      <c r="D404" s="4" t="s">
        <v>109</v>
      </c>
      <c r="E404" s="4" t="s">
        <v>110</v>
      </c>
      <c r="F404" s="8"/>
      <c r="G404" s="8"/>
      <c r="H404" s="8"/>
      <c r="I404" s="8"/>
      <c r="J404" s="8"/>
      <c r="K404" s="8">
        <v>80</v>
      </c>
      <c r="L404" s="18">
        <v>270</v>
      </c>
      <c r="M404" s="7">
        <f t="shared" si="6"/>
        <v>21600</v>
      </c>
      <c r="N404" s="4"/>
      <c r="O404" s="9"/>
    </row>
    <row r="405" spans="1:15" ht="20" customHeight="1" x14ac:dyDescent="0.2">
      <c r="A405" s="3">
        <v>401</v>
      </c>
      <c r="B405" s="19"/>
      <c r="C405" s="4" t="s">
        <v>536</v>
      </c>
      <c r="D405" s="4" t="s">
        <v>109</v>
      </c>
      <c r="E405" s="4" t="s">
        <v>110</v>
      </c>
      <c r="F405" s="8"/>
      <c r="G405" s="8"/>
      <c r="H405" s="8"/>
      <c r="I405" s="8"/>
      <c r="J405" s="8"/>
      <c r="K405" s="8">
        <v>85</v>
      </c>
      <c r="L405" s="18">
        <v>270</v>
      </c>
      <c r="M405" s="7">
        <f t="shared" si="6"/>
        <v>22950</v>
      </c>
      <c r="N405" s="4"/>
      <c r="O405" s="9"/>
    </row>
    <row r="406" spans="1:15" ht="20" customHeight="1" x14ac:dyDescent="0.2">
      <c r="A406" s="3">
        <v>402</v>
      </c>
      <c r="B406" s="19"/>
      <c r="C406" s="4" t="s">
        <v>537</v>
      </c>
      <c r="D406" s="4" t="s">
        <v>109</v>
      </c>
      <c r="E406" s="4" t="s">
        <v>110</v>
      </c>
      <c r="F406" s="8"/>
      <c r="G406" s="8"/>
      <c r="H406" s="8"/>
      <c r="I406" s="8"/>
      <c r="J406" s="8"/>
      <c r="K406" s="8">
        <v>85</v>
      </c>
      <c r="L406" s="18">
        <v>270</v>
      </c>
      <c r="M406" s="7">
        <f t="shared" si="6"/>
        <v>22950</v>
      </c>
      <c r="N406" s="4"/>
      <c r="O406" s="9"/>
    </row>
    <row r="407" spans="1:15" ht="20" customHeight="1" x14ac:dyDescent="0.2">
      <c r="A407" s="3">
        <v>403</v>
      </c>
      <c r="B407" s="19"/>
      <c r="C407" s="4" t="s">
        <v>538</v>
      </c>
      <c r="D407" s="4" t="s">
        <v>109</v>
      </c>
      <c r="E407" s="4" t="s">
        <v>110</v>
      </c>
      <c r="F407" s="8"/>
      <c r="G407" s="8"/>
      <c r="H407" s="8"/>
      <c r="I407" s="8"/>
      <c r="J407" s="8"/>
      <c r="K407" s="8">
        <v>0</v>
      </c>
      <c r="L407" s="18">
        <v>590</v>
      </c>
      <c r="M407" s="7">
        <f t="shared" si="6"/>
        <v>0</v>
      </c>
      <c r="N407" s="4"/>
      <c r="O407" s="9"/>
    </row>
    <row r="408" spans="1:15" ht="20" customHeight="1" x14ac:dyDescent="0.2">
      <c r="A408" s="3">
        <v>404</v>
      </c>
      <c r="B408" s="19"/>
      <c r="C408" s="4" t="s">
        <v>539</v>
      </c>
      <c r="D408" s="4" t="s">
        <v>109</v>
      </c>
      <c r="E408" s="4" t="s">
        <v>110</v>
      </c>
      <c r="F408" s="8"/>
      <c r="G408" s="8"/>
      <c r="H408" s="8"/>
      <c r="I408" s="8"/>
      <c r="J408" s="8"/>
      <c r="K408" s="8">
        <v>0</v>
      </c>
      <c r="L408" s="18">
        <v>580</v>
      </c>
      <c r="M408" s="7">
        <f t="shared" si="6"/>
        <v>0</v>
      </c>
      <c r="N408" s="4"/>
      <c r="O408" s="9"/>
    </row>
    <row r="409" spans="1:15" ht="20" customHeight="1" x14ac:dyDescent="0.2">
      <c r="A409" s="3">
        <v>405</v>
      </c>
      <c r="B409" s="19"/>
      <c r="C409" s="4" t="s">
        <v>540</v>
      </c>
      <c r="D409" s="4" t="s">
        <v>109</v>
      </c>
      <c r="E409" s="4" t="s">
        <v>110</v>
      </c>
      <c r="F409" s="8"/>
      <c r="G409" s="8"/>
      <c r="H409" s="8"/>
      <c r="I409" s="8"/>
      <c r="J409" s="8"/>
      <c r="K409" s="8">
        <v>0</v>
      </c>
      <c r="L409" s="18">
        <v>630</v>
      </c>
      <c r="M409" s="7">
        <f t="shared" si="6"/>
        <v>0</v>
      </c>
      <c r="N409" s="4"/>
      <c r="O409" s="9"/>
    </row>
    <row r="410" spans="1:15" ht="20" customHeight="1" x14ac:dyDescent="0.2">
      <c r="A410" s="3">
        <v>406</v>
      </c>
      <c r="B410" s="19"/>
      <c r="C410" s="4" t="s">
        <v>541</v>
      </c>
      <c r="D410" s="4" t="s">
        <v>109</v>
      </c>
      <c r="E410" s="4" t="s">
        <v>110</v>
      </c>
      <c r="F410" s="8"/>
      <c r="G410" s="8"/>
      <c r="H410" s="8"/>
      <c r="I410" s="8"/>
      <c r="J410" s="8"/>
      <c r="K410" s="8">
        <v>0</v>
      </c>
      <c r="L410" s="18">
        <v>630</v>
      </c>
      <c r="M410" s="7">
        <f t="shared" si="6"/>
        <v>0</v>
      </c>
      <c r="N410" s="4"/>
      <c r="O410" s="9"/>
    </row>
    <row r="411" spans="1:15" ht="20" customHeight="1" x14ac:dyDescent="0.2">
      <c r="A411" s="3">
        <v>407</v>
      </c>
      <c r="B411" s="19"/>
      <c r="C411" s="4" t="s">
        <v>542</v>
      </c>
      <c r="D411" s="4" t="s">
        <v>109</v>
      </c>
      <c r="E411" s="4" t="s">
        <v>110</v>
      </c>
      <c r="F411" s="8"/>
      <c r="G411" s="8"/>
      <c r="H411" s="8"/>
      <c r="I411" s="8"/>
      <c r="J411" s="8"/>
      <c r="K411" s="8">
        <v>400</v>
      </c>
      <c r="L411" s="18">
        <v>370</v>
      </c>
      <c r="M411" s="7">
        <f t="shared" si="6"/>
        <v>148000</v>
      </c>
      <c r="N411" s="4"/>
      <c r="O411" s="9"/>
    </row>
    <row r="412" spans="1:15" ht="20" customHeight="1" x14ac:dyDescent="0.2">
      <c r="A412" s="3">
        <v>408</v>
      </c>
      <c r="B412" s="19"/>
      <c r="C412" s="4" t="s">
        <v>543</v>
      </c>
      <c r="D412" s="4" t="s">
        <v>109</v>
      </c>
      <c r="E412" s="4" t="s">
        <v>110</v>
      </c>
      <c r="F412" s="8"/>
      <c r="G412" s="8"/>
      <c r="H412" s="8"/>
      <c r="I412" s="8"/>
      <c r="J412" s="8"/>
      <c r="K412" s="8">
        <v>0</v>
      </c>
      <c r="L412" s="18">
        <v>600</v>
      </c>
      <c r="M412" s="7">
        <f t="shared" si="6"/>
        <v>0</v>
      </c>
      <c r="N412" s="4"/>
      <c r="O412" s="9"/>
    </row>
    <row r="413" spans="1:15" ht="20" customHeight="1" x14ac:dyDescent="0.2">
      <c r="A413" s="3">
        <v>409</v>
      </c>
      <c r="B413" s="19"/>
      <c r="C413" s="4" t="s">
        <v>544</v>
      </c>
      <c r="D413" s="4" t="s">
        <v>109</v>
      </c>
      <c r="E413" s="4" t="s">
        <v>110</v>
      </c>
      <c r="F413" s="8"/>
      <c r="G413" s="8"/>
      <c r="H413" s="8"/>
      <c r="I413" s="8"/>
      <c r="J413" s="8"/>
      <c r="K413" s="8">
        <v>0</v>
      </c>
      <c r="L413" s="18">
        <v>2172</v>
      </c>
      <c r="M413" s="7">
        <f t="shared" si="6"/>
        <v>0</v>
      </c>
      <c r="N413" s="4"/>
      <c r="O413" s="9"/>
    </row>
    <row r="414" spans="1:15" ht="20" customHeight="1" x14ac:dyDescent="0.2">
      <c r="A414" s="3">
        <v>410</v>
      </c>
      <c r="B414" s="19"/>
      <c r="C414" s="4" t="s">
        <v>545</v>
      </c>
      <c r="D414" s="4" t="s">
        <v>109</v>
      </c>
      <c r="E414" s="4" t="s">
        <v>110</v>
      </c>
      <c r="F414" s="8"/>
      <c r="G414" s="8"/>
      <c r="H414" s="8"/>
      <c r="I414" s="8"/>
      <c r="J414" s="8"/>
      <c r="K414" s="8">
        <v>0</v>
      </c>
      <c r="L414" s="18">
        <v>2172</v>
      </c>
      <c r="M414" s="7">
        <f t="shared" si="6"/>
        <v>0</v>
      </c>
      <c r="N414" s="4"/>
      <c r="O414" s="9"/>
    </row>
    <row r="415" spans="1:15" ht="20" customHeight="1" x14ac:dyDescent="0.2">
      <c r="A415" s="3">
        <v>411</v>
      </c>
      <c r="B415" s="19"/>
      <c r="C415" s="4" t="s">
        <v>546</v>
      </c>
      <c r="D415" s="4" t="s">
        <v>109</v>
      </c>
      <c r="E415" s="4" t="s">
        <v>110</v>
      </c>
      <c r="F415" s="8"/>
      <c r="G415" s="8"/>
      <c r="H415" s="8"/>
      <c r="I415" s="8"/>
      <c r="J415" s="8"/>
      <c r="K415" s="8">
        <v>0</v>
      </c>
      <c r="L415" s="18">
        <v>2172</v>
      </c>
      <c r="M415" s="7">
        <f t="shared" si="6"/>
        <v>0</v>
      </c>
      <c r="N415" s="4"/>
      <c r="O415" s="9"/>
    </row>
    <row r="416" spans="1:15" ht="20" customHeight="1" x14ac:dyDescent="0.2">
      <c r="A416" s="3">
        <v>412</v>
      </c>
      <c r="B416" s="19"/>
      <c r="C416" s="4" t="s">
        <v>547</v>
      </c>
      <c r="D416" s="4" t="s">
        <v>109</v>
      </c>
      <c r="E416" s="4" t="s">
        <v>110</v>
      </c>
      <c r="F416" s="8"/>
      <c r="G416" s="8"/>
      <c r="H416" s="8"/>
      <c r="I416" s="8"/>
      <c r="J416" s="8"/>
      <c r="K416" s="8">
        <v>0</v>
      </c>
      <c r="L416" s="18">
        <v>130</v>
      </c>
      <c r="M416" s="7">
        <f t="shared" si="6"/>
        <v>0</v>
      </c>
      <c r="N416" s="4"/>
      <c r="O416" s="9"/>
    </row>
    <row r="417" spans="1:15" ht="20" customHeight="1" x14ac:dyDescent="0.2">
      <c r="A417" s="3">
        <v>413</v>
      </c>
      <c r="B417" s="19"/>
      <c r="C417" s="4" t="s">
        <v>548</v>
      </c>
      <c r="D417" s="4" t="s">
        <v>109</v>
      </c>
      <c r="E417" s="4" t="s">
        <v>110</v>
      </c>
      <c r="F417" s="8"/>
      <c r="G417" s="8"/>
      <c r="H417" s="8"/>
      <c r="I417" s="8"/>
      <c r="J417" s="8"/>
      <c r="K417" s="8">
        <v>0</v>
      </c>
      <c r="L417" s="18">
        <v>600</v>
      </c>
      <c r="M417" s="7">
        <f t="shared" si="6"/>
        <v>0</v>
      </c>
      <c r="N417" s="4"/>
      <c r="O417" s="9"/>
    </row>
    <row r="418" spans="1:15" ht="20" customHeight="1" x14ac:dyDescent="0.2">
      <c r="A418" s="3">
        <v>414</v>
      </c>
      <c r="B418" s="19"/>
      <c r="C418" s="4" t="s">
        <v>549</v>
      </c>
      <c r="D418" s="4" t="s">
        <v>109</v>
      </c>
      <c r="E418" s="4" t="s">
        <v>110</v>
      </c>
      <c r="F418" s="8"/>
      <c r="G418" s="8"/>
      <c r="H418" s="8"/>
      <c r="I418" s="8"/>
      <c r="J418" s="8"/>
      <c r="K418" s="8">
        <v>60</v>
      </c>
      <c r="L418" s="18">
        <v>240</v>
      </c>
      <c r="M418" s="7">
        <f t="shared" si="6"/>
        <v>14400</v>
      </c>
      <c r="N418" s="4"/>
      <c r="O418" s="9"/>
    </row>
    <row r="419" spans="1:15" ht="20" customHeight="1" x14ac:dyDescent="0.2">
      <c r="A419" s="3">
        <v>415</v>
      </c>
      <c r="B419" s="19"/>
      <c r="C419" s="4" t="s">
        <v>550</v>
      </c>
      <c r="D419" s="4" t="s">
        <v>109</v>
      </c>
      <c r="E419" s="4" t="s">
        <v>110</v>
      </c>
      <c r="F419" s="8"/>
      <c r="G419" s="8"/>
      <c r="H419" s="8"/>
      <c r="I419" s="8"/>
      <c r="J419" s="8"/>
      <c r="K419" s="8">
        <v>60</v>
      </c>
      <c r="L419" s="18">
        <v>240</v>
      </c>
      <c r="M419" s="7">
        <f t="shared" si="6"/>
        <v>14400</v>
      </c>
      <c r="N419" s="4"/>
      <c r="O419" s="9"/>
    </row>
    <row r="420" spans="1:15" ht="20" customHeight="1" x14ac:dyDescent="0.2">
      <c r="A420" s="3">
        <v>416</v>
      </c>
      <c r="B420" s="19"/>
      <c r="C420" s="4" t="s">
        <v>551</v>
      </c>
      <c r="D420" s="4" t="s">
        <v>109</v>
      </c>
      <c r="E420" s="4" t="s">
        <v>110</v>
      </c>
      <c r="F420" s="8"/>
      <c r="G420" s="8"/>
      <c r="H420" s="8"/>
      <c r="I420" s="8"/>
      <c r="J420" s="8"/>
      <c r="K420" s="8">
        <v>60</v>
      </c>
      <c r="L420" s="18">
        <v>220</v>
      </c>
      <c r="M420" s="7">
        <f t="shared" si="6"/>
        <v>13200</v>
      </c>
      <c r="N420" s="4"/>
      <c r="O420" s="9"/>
    </row>
    <row r="421" spans="1:15" ht="20" customHeight="1" x14ac:dyDescent="0.2">
      <c r="A421" s="3">
        <v>417</v>
      </c>
      <c r="B421" s="19"/>
      <c r="C421" s="4" t="s">
        <v>552</v>
      </c>
      <c r="D421" s="4" t="s">
        <v>109</v>
      </c>
      <c r="E421" s="4" t="s">
        <v>110</v>
      </c>
      <c r="F421" s="8"/>
      <c r="G421" s="8"/>
      <c r="H421" s="8"/>
      <c r="I421" s="8"/>
      <c r="J421" s="8"/>
      <c r="K421" s="8">
        <v>60</v>
      </c>
      <c r="L421" s="18">
        <v>220</v>
      </c>
      <c r="M421" s="7">
        <f t="shared" si="6"/>
        <v>13200</v>
      </c>
      <c r="N421" s="4"/>
      <c r="O421" s="9"/>
    </row>
    <row r="422" spans="1:15" ht="20" customHeight="1" x14ac:dyDescent="0.2">
      <c r="A422" s="3">
        <v>418</v>
      </c>
      <c r="B422" s="19"/>
      <c r="C422" s="4" t="s">
        <v>553</v>
      </c>
      <c r="D422" s="4" t="s">
        <v>109</v>
      </c>
      <c r="E422" s="4" t="s">
        <v>110</v>
      </c>
      <c r="F422" s="8"/>
      <c r="G422" s="8"/>
      <c r="H422" s="8"/>
      <c r="I422" s="8"/>
      <c r="J422" s="8"/>
      <c r="K422" s="8">
        <v>0</v>
      </c>
      <c r="L422" s="18">
        <v>520</v>
      </c>
      <c r="M422" s="7">
        <f t="shared" si="6"/>
        <v>0</v>
      </c>
      <c r="N422" s="4"/>
      <c r="O422" s="9"/>
    </row>
    <row r="423" spans="1:15" ht="20" customHeight="1" x14ac:dyDescent="0.2">
      <c r="A423" s="3">
        <v>419</v>
      </c>
      <c r="B423" s="19"/>
      <c r="C423" s="4" t="s">
        <v>554</v>
      </c>
      <c r="D423" s="4" t="s">
        <v>109</v>
      </c>
      <c r="E423" s="4" t="s">
        <v>110</v>
      </c>
      <c r="F423" s="8"/>
      <c r="G423" s="8"/>
      <c r="H423" s="8"/>
      <c r="I423" s="8"/>
      <c r="J423" s="8"/>
      <c r="K423" s="8">
        <v>0</v>
      </c>
      <c r="L423" s="18">
        <v>535</v>
      </c>
      <c r="M423" s="7">
        <f t="shared" si="6"/>
        <v>0</v>
      </c>
      <c r="N423" s="4"/>
      <c r="O423" s="9"/>
    </row>
    <row r="424" spans="1:15" ht="20" customHeight="1" x14ac:dyDescent="0.2">
      <c r="A424" s="3">
        <v>420</v>
      </c>
      <c r="B424" s="19"/>
      <c r="C424" s="4" t="s">
        <v>555</v>
      </c>
      <c r="D424" s="4" t="s">
        <v>109</v>
      </c>
      <c r="E424" s="4" t="s">
        <v>110</v>
      </c>
      <c r="F424" s="8"/>
      <c r="G424" s="8"/>
      <c r="H424" s="8"/>
      <c r="I424" s="8"/>
      <c r="J424" s="8"/>
      <c r="K424" s="8">
        <v>0</v>
      </c>
      <c r="L424" s="18">
        <v>535</v>
      </c>
      <c r="M424" s="7">
        <f t="shared" si="6"/>
        <v>0</v>
      </c>
      <c r="N424" s="4"/>
      <c r="O424" s="9"/>
    </row>
    <row r="425" spans="1:15" ht="20" customHeight="1" x14ac:dyDescent="0.2">
      <c r="A425" s="3">
        <v>421</v>
      </c>
      <c r="B425" s="19"/>
      <c r="C425" s="4" t="s">
        <v>556</v>
      </c>
      <c r="D425" s="4" t="s">
        <v>109</v>
      </c>
      <c r="E425" s="4" t="s">
        <v>110</v>
      </c>
      <c r="F425" s="8"/>
      <c r="G425" s="8"/>
      <c r="H425" s="8"/>
      <c r="I425" s="8"/>
      <c r="J425" s="8"/>
      <c r="K425" s="8">
        <v>0</v>
      </c>
      <c r="L425" s="18">
        <v>535</v>
      </c>
      <c r="M425" s="7">
        <f t="shared" si="6"/>
        <v>0</v>
      </c>
      <c r="N425" s="4"/>
      <c r="O425" s="9"/>
    </row>
    <row r="426" spans="1:15" ht="20" customHeight="1" x14ac:dyDescent="0.2">
      <c r="A426" s="3">
        <v>422</v>
      </c>
      <c r="B426" s="19"/>
      <c r="C426" s="4" t="s">
        <v>557</v>
      </c>
      <c r="D426" s="4" t="s">
        <v>109</v>
      </c>
      <c r="E426" s="4" t="s">
        <v>110</v>
      </c>
      <c r="F426" s="8"/>
      <c r="G426" s="8"/>
      <c r="H426" s="8"/>
      <c r="I426" s="8"/>
      <c r="J426" s="8"/>
      <c r="K426" s="8">
        <v>0</v>
      </c>
      <c r="L426" s="18">
        <v>235</v>
      </c>
      <c r="M426" s="7">
        <f t="shared" si="6"/>
        <v>0</v>
      </c>
      <c r="N426" s="4"/>
      <c r="O426" s="9"/>
    </row>
    <row r="427" spans="1:15" ht="20" customHeight="1" x14ac:dyDescent="0.2">
      <c r="A427" s="3">
        <v>423</v>
      </c>
      <c r="B427" s="19"/>
      <c r="C427" s="4" t="s">
        <v>558</v>
      </c>
      <c r="D427" s="4" t="s">
        <v>109</v>
      </c>
      <c r="E427" s="4" t="s">
        <v>110</v>
      </c>
      <c r="F427" s="8"/>
      <c r="G427" s="8"/>
      <c r="H427" s="8"/>
      <c r="I427" s="8"/>
      <c r="J427" s="8"/>
      <c r="K427" s="8">
        <v>0</v>
      </c>
      <c r="L427" s="18">
        <v>235</v>
      </c>
      <c r="M427" s="7">
        <f t="shared" si="6"/>
        <v>0</v>
      </c>
      <c r="N427" s="4"/>
      <c r="O427" s="9"/>
    </row>
    <row r="428" spans="1:15" ht="20" customHeight="1" x14ac:dyDescent="0.2">
      <c r="A428" s="3">
        <v>424</v>
      </c>
      <c r="B428" s="19"/>
      <c r="C428" s="4" t="s">
        <v>559</v>
      </c>
      <c r="D428" s="4" t="s">
        <v>109</v>
      </c>
      <c r="E428" s="4" t="s">
        <v>110</v>
      </c>
      <c r="F428" s="8"/>
      <c r="G428" s="8"/>
      <c r="H428" s="8"/>
      <c r="I428" s="8"/>
      <c r="J428" s="8"/>
      <c r="K428" s="8">
        <v>0</v>
      </c>
      <c r="L428" s="18">
        <v>235</v>
      </c>
      <c r="M428" s="7">
        <f t="shared" si="6"/>
        <v>0</v>
      </c>
      <c r="N428" s="4"/>
      <c r="O428" s="9"/>
    </row>
    <row r="429" spans="1:15" ht="20" customHeight="1" x14ac:dyDescent="0.2">
      <c r="A429" s="3">
        <v>425</v>
      </c>
      <c r="B429" s="19"/>
      <c r="C429" s="4" t="s">
        <v>560</v>
      </c>
      <c r="D429" s="4" t="s">
        <v>109</v>
      </c>
      <c r="E429" s="4" t="s">
        <v>110</v>
      </c>
      <c r="F429" s="8"/>
      <c r="G429" s="8"/>
      <c r="H429" s="8"/>
      <c r="I429" s="8"/>
      <c r="J429" s="8"/>
      <c r="K429" s="8">
        <v>0</v>
      </c>
      <c r="L429" s="18">
        <v>235</v>
      </c>
      <c r="M429" s="7">
        <f t="shared" si="6"/>
        <v>0</v>
      </c>
      <c r="N429" s="4"/>
      <c r="O429" s="9"/>
    </row>
    <row r="430" spans="1:15" ht="20" customHeight="1" x14ac:dyDescent="0.2">
      <c r="A430" s="3">
        <v>426</v>
      </c>
      <c r="B430" s="19"/>
      <c r="C430" s="4" t="s">
        <v>561</v>
      </c>
      <c r="D430" s="4" t="s">
        <v>109</v>
      </c>
      <c r="E430" s="4" t="s">
        <v>110</v>
      </c>
      <c r="F430" s="8"/>
      <c r="G430" s="8"/>
      <c r="H430" s="8"/>
      <c r="I430" s="8"/>
      <c r="J430" s="8"/>
      <c r="K430" s="8">
        <v>0</v>
      </c>
      <c r="L430" s="18">
        <v>450</v>
      </c>
      <c r="M430" s="7">
        <f t="shared" si="6"/>
        <v>0</v>
      </c>
      <c r="N430" s="4"/>
      <c r="O430" s="9"/>
    </row>
    <row r="431" spans="1:15" ht="20" customHeight="1" x14ac:dyDescent="0.2">
      <c r="A431" s="3">
        <v>427</v>
      </c>
      <c r="B431" s="19"/>
      <c r="C431" s="4" t="s">
        <v>562</v>
      </c>
      <c r="D431" s="4" t="s">
        <v>109</v>
      </c>
      <c r="E431" s="4" t="s">
        <v>110</v>
      </c>
      <c r="F431" s="8"/>
      <c r="G431" s="8"/>
      <c r="H431" s="8"/>
      <c r="I431" s="8"/>
      <c r="J431" s="8"/>
      <c r="K431" s="8">
        <v>0</v>
      </c>
      <c r="L431" s="18">
        <v>450</v>
      </c>
      <c r="M431" s="7">
        <f t="shared" si="6"/>
        <v>0</v>
      </c>
      <c r="N431" s="4"/>
      <c r="O431" s="9"/>
    </row>
    <row r="432" spans="1:15" ht="20" customHeight="1" x14ac:dyDescent="0.2">
      <c r="A432" s="3">
        <v>428</v>
      </c>
      <c r="B432" s="19"/>
      <c r="C432" s="4" t="s">
        <v>563</v>
      </c>
      <c r="D432" s="4" t="s">
        <v>109</v>
      </c>
      <c r="E432" s="4" t="s">
        <v>110</v>
      </c>
      <c r="F432" s="8"/>
      <c r="G432" s="8"/>
      <c r="H432" s="8"/>
      <c r="I432" s="8"/>
      <c r="J432" s="8"/>
      <c r="K432" s="8">
        <v>0</v>
      </c>
      <c r="L432" s="18">
        <v>450</v>
      </c>
      <c r="M432" s="7">
        <f t="shared" si="6"/>
        <v>0</v>
      </c>
      <c r="N432" s="4"/>
      <c r="O432" s="9"/>
    </row>
    <row r="433" spans="1:15" ht="20" customHeight="1" x14ac:dyDescent="0.2">
      <c r="A433" s="3">
        <v>429</v>
      </c>
      <c r="B433" s="19"/>
      <c r="C433" s="4" t="s">
        <v>564</v>
      </c>
      <c r="D433" s="4" t="s">
        <v>109</v>
      </c>
      <c r="E433" s="4" t="s">
        <v>110</v>
      </c>
      <c r="F433" s="8"/>
      <c r="G433" s="8"/>
      <c r="H433" s="8"/>
      <c r="I433" s="8"/>
      <c r="J433" s="8"/>
      <c r="K433" s="8">
        <v>0</v>
      </c>
      <c r="L433" s="18">
        <v>450</v>
      </c>
      <c r="M433" s="7">
        <f t="shared" si="6"/>
        <v>0</v>
      </c>
      <c r="N433" s="4"/>
      <c r="O433" s="9"/>
    </row>
    <row r="434" spans="1:15" ht="20" customHeight="1" x14ac:dyDescent="0.2">
      <c r="A434" s="3">
        <v>430</v>
      </c>
      <c r="B434" s="19"/>
      <c r="C434" s="4" t="s">
        <v>565</v>
      </c>
      <c r="D434" s="4" t="s">
        <v>109</v>
      </c>
      <c r="E434" s="4" t="s">
        <v>110</v>
      </c>
      <c r="F434" s="8"/>
      <c r="G434" s="8"/>
      <c r="H434" s="8"/>
      <c r="I434" s="8"/>
      <c r="J434" s="8"/>
      <c r="K434" s="8">
        <v>0</v>
      </c>
      <c r="L434" s="18">
        <v>450</v>
      </c>
      <c r="M434" s="7">
        <f t="shared" si="6"/>
        <v>0</v>
      </c>
      <c r="N434" s="4"/>
      <c r="O434" s="9"/>
    </row>
    <row r="435" spans="1:15" ht="20" customHeight="1" x14ac:dyDescent="0.2">
      <c r="A435" s="3">
        <v>431</v>
      </c>
      <c r="B435" s="19"/>
      <c r="C435" s="4" t="s">
        <v>566</v>
      </c>
      <c r="D435" s="4" t="s">
        <v>109</v>
      </c>
      <c r="E435" s="4" t="s">
        <v>110</v>
      </c>
      <c r="F435" s="8"/>
      <c r="G435" s="8"/>
      <c r="H435" s="8"/>
      <c r="I435" s="8"/>
      <c r="J435" s="8"/>
      <c r="K435" s="8">
        <v>0</v>
      </c>
      <c r="L435" s="18">
        <v>450</v>
      </c>
      <c r="M435" s="7">
        <f t="shared" si="6"/>
        <v>0</v>
      </c>
      <c r="N435" s="4"/>
      <c r="O435" s="9"/>
    </row>
    <row r="436" spans="1:15" ht="20" customHeight="1" x14ac:dyDescent="0.2">
      <c r="A436" s="3">
        <v>432</v>
      </c>
      <c r="B436" s="19"/>
      <c r="C436" s="4" t="s">
        <v>567</v>
      </c>
      <c r="D436" s="4" t="s">
        <v>109</v>
      </c>
      <c r="E436" s="4" t="s">
        <v>110</v>
      </c>
      <c r="F436" s="8"/>
      <c r="G436" s="8"/>
      <c r="H436" s="8"/>
      <c r="I436" s="8"/>
      <c r="J436" s="8"/>
      <c r="K436" s="8">
        <v>0</v>
      </c>
      <c r="L436" s="18">
        <v>390</v>
      </c>
      <c r="M436" s="7">
        <f t="shared" si="6"/>
        <v>0</v>
      </c>
      <c r="N436" s="4"/>
      <c r="O436" s="9"/>
    </row>
    <row r="437" spans="1:15" ht="20" customHeight="1" x14ac:dyDescent="0.2">
      <c r="A437" s="3">
        <v>433</v>
      </c>
      <c r="B437" s="19"/>
      <c r="C437" s="4" t="s">
        <v>568</v>
      </c>
      <c r="D437" s="4" t="s">
        <v>109</v>
      </c>
      <c r="E437" s="4" t="s">
        <v>110</v>
      </c>
      <c r="F437" s="8"/>
      <c r="G437" s="8"/>
      <c r="H437" s="8"/>
      <c r="I437" s="8"/>
      <c r="J437" s="8"/>
      <c r="K437" s="8">
        <v>0</v>
      </c>
      <c r="L437" s="18">
        <v>275</v>
      </c>
      <c r="M437" s="7">
        <f t="shared" si="6"/>
        <v>0</v>
      </c>
      <c r="N437" s="4"/>
      <c r="O437" s="9"/>
    </row>
    <row r="438" spans="1:15" ht="20" customHeight="1" x14ac:dyDescent="0.2">
      <c r="A438" s="3">
        <v>434</v>
      </c>
      <c r="B438" s="19"/>
      <c r="C438" s="4" t="s">
        <v>569</v>
      </c>
      <c r="D438" s="4" t="s">
        <v>109</v>
      </c>
      <c r="E438" s="4" t="s">
        <v>110</v>
      </c>
      <c r="F438" s="8"/>
      <c r="G438" s="8"/>
      <c r="H438" s="8"/>
      <c r="I438" s="8"/>
      <c r="J438" s="8"/>
      <c r="K438" s="8">
        <v>0</v>
      </c>
      <c r="L438" s="18">
        <v>275</v>
      </c>
      <c r="M438" s="7">
        <f t="shared" si="6"/>
        <v>0</v>
      </c>
      <c r="N438" s="4"/>
      <c r="O438" s="9"/>
    </row>
    <row r="439" spans="1:15" ht="20" customHeight="1" x14ac:dyDescent="0.2">
      <c r="A439" s="3">
        <v>435</v>
      </c>
      <c r="B439" s="19"/>
      <c r="C439" s="4" t="s">
        <v>570</v>
      </c>
      <c r="D439" s="4" t="s">
        <v>109</v>
      </c>
      <c r="E439" s="4" t="s">
        <v>110</v>
      </c>
      <c r="F439" s="8"/>
      <c r="G439" s="8"/>
      <c r="H439" s="8"/>
      <c r="I439" s="8"/>
      <c r="J439" s="8"/>
      <c r="K439" s="8">
        <v>0</v>
      </c>
      <c r="L439" s="18">
        <v>275</v>
      </c>
      <c r="M439" s="7">
        <f t="shared" si="6"/>
        <v>0</v>
      </c>
      <c r="N439" s="4"/>
      <c r="O439" s="9"/>
    </row>
    <row r="440" spans="1:15" ht="20" customHeight="1" x14ac:dyDescent="0.2">
      <c r="A440" s="3">
        <v>436</v>
      </c>
      <c r="B440" s="19"/>
      <c r="C440" s="4" t="s">
        <v>571</v>
      </c>
      <c r="D440" s="4" t="s">
        <v>109</v>
      </c>
      <c r="E440" s="4" t="s">
        <v>110</v>
      </c>
      <c r="F440" s="8"/>
      <c r="G440" s="8"/>
      <c r="H440" s="8"/>
      <c r="I440" s="8"/>
      <c r="J440" s="8"/>
      <c r="K440" s="8">
        <v>0</v>
      </c>
      <c r="L440" s="18">
        <v>235</v>
      </c>
      <c r="M440" s="7">
        <f t="shared" si="6"/>
        <v>0</v>
      </c>
      <c r="N440" s="4"/>
      <c r="O440" s="9"/>
    </row>
    <row r="441" spans="1:15" ht="20" customHeight="1" x14ac:dyDescent="0.2">
      <c r="A441" s="3">
        <v>437</v>
      </c>
      <c r="B441" s="19"/>
      <c r="C441" s="4" t="s">
        <v>572</v>
      </c>
      <c r="D441" s="4" t="s">
        <v>109</v>
      </c>
      <c r="E441" s="4" t="s">
        <v>110</v>
      </c>
      <c r="F441" s="8"/>
      <c r="G441" s="8"/>
      <c r="H441" s="8"/>
      <c r="I441" s="8"/>
      <c r="J441" s="8"/>
      <c r="K441" s="8">
        <v>0</v>
      </c>
      <c r="L441" s="18">
        <v>235</v>
      </c>
      <c r="M441" s="7">
        <f t="shared" si="6"/>
        <v>0</v>
      </c>
      <c r="N441" s="4"/>
      <c r="O441" s="9"/>
    </row>
    <row r="442" spans="1:15" ht="20" customHeight="1" x14ac:dyDescent="0.2">
      <c r="A442" s="3">
        <v>438</v>
      </c>
      <c r="B442" s="19"/>
      <c r="C442" s="4" t="s">
        <v>573</v>
      </c>
      <c r="D442" s="4" t="s">
        <v>109</v>
      </c>
      <c r="E442" s="4" t="s">
        <v>110</v>
      </c>
      <c r="F442" s="8"/>
      <c r="G442" s="8"/>
      <c r="H442" s="8"/>
      <c r="I442" s="8"/>
      <c r="J442" s="8"/>
      <c r="K442" s="8">
        <v>0</v>
      </c>
      <c r="L442" s="18">
        <v>235</v>
      </c>
      <c r="M442" s="7">
        <f t="shared" si="6"/>
        <v>0</v>
      </c>
      <c r="N442" s="4"/>
      <c r="O442" s="9"/>
    </row>
    <row r="443" spans="1:15" ht="20" customHeight="1" x14ac:dyDescent="0.2">
      <c r="A443" s="3">
        <v>439</v>
      </c>
      <c r="B443" s="19"/>
      <c r="C443" s="4" t="s">
        <v>574</v>
      </c>
      <c r="D443" s="4" t="s">
        <v>109</v>
      </c>
      <c r="E443" s="4" t="s">
        <v>110</v>
      </c>
      <c r="F443" s="8"/>
      <c r="G443" s="8"/>
      <c r="H443" s="8"/>
      <c r="I443" s="8"/>
      <c r="J443" s="8"/>
      <c r="K443" s="8">
        <v>0</v>
      </c>
      <c r="L443" s="18">
        <v>670</v>
      </c>
      <c r="M443" s="7">
        <f t="shared" si="6"/>
        <v>0</v>
      </c>
      <c r="N443" s="4"/>
      <c r="O443" s="9"/>
    </row>
    <row r="444" spans="1:15" ht="20" customHeight="1" x14ac:dyDescent="0.2">
      <c r="A444" s="3">
        <v>440</v>
      </c>
      <c r="B444" s="19"/>
      <c r="C444" s="4" t="s">
        <v>575</v>
      </c>
      <c r="D444" s="4" t="s">
        <v>109</v>
      </c>
      <c r="E444" s="4" t="s">
        <v>110</v>
      </c>
      <c r="F444" s="8"/>
      <c r="G444" s="8"/>
      <c r="H444" s="8"/>
      <c r="I444" s="8"/>
      <c r="J444" s="8"/>
      <c r="K444" s="8">
        <v>0</v>
      </c>
      <c r="L444" s="18">
        <v>215</v>
      </c>
      <c r="M444" s="7">
        <f t="shared" si="6"/>
        <v>0</v>
      </c>
      <c r="N444" s="4"/>
      <c r="O444" s="9"/>
    </row>
    <row r="445" spans="1:15" ht="20" customHeight="1" x14ac:dyDescent="0.2">
      <c r="A445" s="3">
        <v>441</v>
      </c>
      <c r="B445" s="19"/>
      <c r="C445" s="4" t="s">
        <v>576</v>
      </c>
      <c r="D445" s="4" t="s">
        <v>109</v>
      </c>
      <c r="E445" s="4" t="s">
        <v>110</v>
      </c>
      <c r="F445" s="8"/>
      <c r="G445" s="8"/>
      <c r="H445" s="8"/>
      <c r="I445" s="8"/>
      <c r="J445" s="8"/>
      <c r="K445" s="8">
        <v>0</v>
      </c>
      <c r="L445" s="18">
        <v>215</v>
      </c>
      <c r="M445" s="7">
        <f t="shared" si="6"/>
        <v>0</v>
      </c>
      <c r="N445" s="4"/>
      <c r="O445" s="9"/>
    </row>
    <row r="446" spans="1:15" ht="20" customHeight="1" x14ac:dyDescent="0.2">
      <c r="A446" s="3">
        <v>442</v>
      </c>
      <c r="B446" s="19"/>
      <c r="C446" s="4" t="s">
        <v>577</v>
      </c>
      <c r="D446" s="4" t="s">
        <v>109</v>
      </c>
      <c r="E446" s="4" t="s">
        <v>110</v>
      </c>
      <c r="F446" s="8"/>
      <c r="G446" s="8"/>
      <c r="H446" s="8"/>
      <c r="I446" s="8"/>
      <c r="J446" s="8"/>
      <c r="K446" s="8">
        <v>0</v>
      </c>
      <c r="L446" s="18">
        <v>1600</v>
      </c>
      <c r="M446" s="7">
        <f t="shared" si="6"/>
        <v>0</v>
      </c>
      <c r="N446" s="4"/>
      <c r="O446" s="9"/>
    </row>
    <row r="447" spans="1:15" ht="20" customHeight="1" x14ac:dyDescent="0.2">
      <c r="A447" s="3">
        <v>443</v>
      </c>
      <c r="B447" s="19"/>
      <c r="C447" s="4" t="s">
        <v>578</v>
      </c>
      <c r="D447" s="4" t="s">
        <v>109</v>
      </c>
      <c r="E447" s="4" t="s">
        <v>110</v>
      </c>
      <c r="F447" s="8"/>
      <c r="G447" s="8"/>
      <c r="H447" s="8"/>
      <c r="I447" s="8"/>
      <c r="J447" s="8"/>
      <c r="K447" s="8">
        <v>0</v>
      </c>
      <c r="L447" s="18">
        <v>2100</v>
      </c>
      <c r="M447" s="7">
        <f t="shared" si="6"/>
        <v>0</v>
      </c>
      <c r="N447" s="4"/>
      <c r="O447" s="9"/>
    </row>
    <row r="448" spans="1:15" ht="20" customHeight="1" x14ac:dyDescent="0.2">
      <c r="A448" s="3">
        <v>444</v>
      </c>
      <c r="B448" s="19"/>
      <c r="C448" s="4" t="s">
        <v>579</v>
      </c>
      <c r="D448" s="4" t="s">
        <v>109</v>
      </c>
      <c r="E448" s="4" t="s">
        <v>110</v>
      </c>
      <c r="F448" s="8"/>
      <c r="G448" s="8"/>
      <c r="H448" s="8"/>
      <c r="I448" s="8"/>
      <c r="J448" s="8"/>
      <c r="K448" s="8">
        <v>0</v>
      </c>
      <c r="L448" s="18">
        <v>1990</v>
      </c>
      <c r="M448" s="7">
        <f t="shared" si="6"/>
        <v>0</v>
      </c>
      <c r="N448" s="4"/>
      <c r="O448" s="9"/>
    </row>
    <row r="449" spans="1:15" ht="20" customHeight="1" x14ac:dyDescent="0.2">
      <c r="A449" s="3">
        <v>445</v>
      </c>
      <c r="B449" s="19"/>
      <c r="C449" s="4" t="s">
        <v>580</v>
      </c>
      <c r="D449" s="4" t="s">
        <v>109</v>
      </c>
      <c r="E449" s="4" t="s">
        <v>110</v>
      </c>
      <c r="F449" s="8"/>
      <c r="G449" s="8"/>
      <c r="H449" s="8"/>
      <c r="I449" s="8"/>
      <c r="J449" s="8"/>
      <c r="K449" s="8">
        <v>0</v>
      </c>
      <c r="L449" s="18">
        <v>2380</v>
      </c>
      <c r="M449" s="7">
        <f t="shared" si="6"/>
        <v>0</v>
      </c>
      <c r="N449" s="4"/>
      <c r="O449" s="9"/>
    </row>
    <row r="450" spans="1:15" ht="20" customHeight="1" x14ac:dyDescent="0.2">
      <c r="A450" s="3">
        <v>446</v>
      </c>
      <c r="B450" s="19"/>
      <c r="C450" s="4" t="s">
        <v>581</v>
      </c>
      <c r="D450" s="4" t="s">
        <v>109</v>
      </c>
      <c r="E450" s="4" t="s">
        <v>110</v>
      </c>
      <c r="F450" s="8"/>
      <c r="G450" s="8"/>
      <c r="H450" s="8"/>
      <c r="I450" s="8"/>
      <c r="J450" s="8"/>
      <c r="K450" s="8">
        <v>0</v>
      </c>
      <c r="L450" s="18">
        <v>2380</v>
      </c>
      <c r="M450" s="7">
        <f t="shared" si="6"/>
        <v>0</v>
      </c>
      <c r="N450" s="4"/>
      <c r="O450" s="9"/>
    </row>
    <row r="451" spans="1:15" ht="20" customHeight="1" x14ac:dyDescent="0.2">
      <c r="A451" s="3">
        <v>447</v>
      </c>
      <c r="B451" s="19"/>
      <c r="C451" s="4" t="s">
        <v>582</v>
      </c>
      <c r="D451" s="4" t="s">
        <v>109</v>
      </c>
      <c r="E451" s="4" t="s">
        <v>110</v>
      </c>
      <c r="F451" s="8"/>
      <c r="G451" s="8"/>
      <c r="H451" s="8"/>
      <c r="I451" s="8"/>
      <c r="J451" s="8"/>
      <c r="K451" s="8">
        <v>0</v>
      </c>
      <c r="L451" s="18">
        <v>2380</v>
      </c>
      <c r="M451" s="7">
        <f t="shared" si="6"/>
        <v>0</v>
      </c>
      <c r="N451" s="4"/>
      <c r="O451" s="9"/>
    </row>
    <row r="452" spans="1:15" ht="20" customHeight="1" x14ac:dyDescent="0.2">
      <c r="A452" s="3">
        <v>448</v>
      </c>
      <c r="B452" s="19"/>
      <c r="C452" s="4" t="s">
        <v>583</v>
      </c>
      <c r="D452" s="4" t="s">
        <v>109</v>
      </c>
      <c r="E452" s="4" t="s">
        <v>110</v>
      </c>
      <c r="F452" s="8"/>
      <c r="G452" s="8"/>
      <c r="H452" s="8"/>
      <c r="I452" s="8"/>
      <c r="J452" s="8"/>
      <c r="K452" s="8">
        <v>0</v>
      </c>
      <c r="L452" s="18">
        <v>428</v>
      </c>
      <c r="M452" s="7">
        <f t="shared" si="6"/>
        <v>0</v>
      </c>
      <c r="N452" s="4"/>
      <c r="O452" s="9"/>
    </row>
    <row r="453" spans="1:15" ht="20" customHeight="1" x14ac:dyDescent="0.2">
      <c r="A453" s="3">
        <v>449</v>
      </c>
      <c r="B453" s="19"/>
      <c r="C453" s="4" t="s">
        <v>584</v>
      </c>
      <c r="D453" s="4" t="s">
        <v>109</v>
      </c>
      <c r="E453" s="4" t="s">
        <v>110</v>
      </c>
      <c r="F453" s="8"/>
      <c r="G453" s="8"/>
      <c r="H453" s="8"/>
      <c r="I453" s="8"/>
      <c r="J453" s="8"/>
      <c r="K453" s="8">
        <v>0</v>
      </c>
      <c r="L453" s="18">
        <v>428</v>
      </c>
      <c r="M453" s="7">
        <f t="shared" ref="M453:M516" si="7">IF(OR(K453="",L453=""),"",K453*L453)</f>
        <v>0</v>
      </c>
      <c r="N453" s="4"/>
      <c r="O453" s="9"/>
    </row>
    <row r="454" spans="1:15" ht="20" customHeight="1" x14ac:dyDescent="0.2">
      <c r="A454" s="3">
        <v>450</v>
      </c>
      <c r="B454" s="19"/>
      <c r="C454" s="4" t="s">
        <v>585</v>
      </c>
      <c r="D454" s="4" t="s">
        <v>109</v>
      </c>
      <c r="E454" s="4" t="s">
        <v>110</v>
      </c>
      <c r="F454" s="8"/>
      <c r="G454" s="8"/>
      <c r="H454" s="8"/>
      <c r="I454" s="8"/>
      <c r="J454" s="8"/>
      <c r="K454" s="8">
        <v>0</v>
      </c>
      <c r="L454" s="18">
        <v>340</v>
      </c>
      <c r="M454" s="7">
        <f t="shared" si="7"/>
        <v>0</v>
      </c>
      <c r="N454" s="4"/>
      <c r="O454" s="9"/>
    </row>
    <row r="455" spans="1:15" ht="20" customHeight="1" x14ac:dyDescent="0.2">
      <c r="A455" s="3">
        <v>451</v>
      </c>
      <c r="B455" s="19"/>
      <c r="C455" s="4" t="s">
        <v>586</v>
      </c>
      <c r="D455" s="4" t="s">
        <v>109</v>
      </c>
      <c r="E455" s="4" t="s">
        <v>110</v>
      </c>
      <c r="F455" s="8"/>
      <c r="G455" s="8"/>
      <c r="H455" s="8"/>
      <c r="I455" s="8"/>
      <c r="J455" s="8"/>
      <c r="K455" s="8">
        <v>0</v>
      </c>
      <c r="L455" s="18">
        <v>340</v>
      </c>
      <c r="M455" s="7">
        <f t="shared" si="7"/>
        <v>0</v>
      </c>
      <c r="N455" s="4"/>
      <c r="O455" s="9"/>
    </row>
    <row r="456" spans="1:15" ht="20" customHeight="1" x14ac:dyDescent="0.2">
      <c r="A456" s="3">
        <v>452</v>
      </c>
      <c r="B456" s="19"/>
      <c r="C456" s="4" t="s">
        <v>587</v>
      </c>
      <c r="D456" s="4" t="s">
        <v>109</v>
      </c>
      <c r="E456" s="4" t="s">
        <v>110</v>
      </c>
      <c r="F456" s="8"/>
      <c r="G456" s="8"/>
      <c r="H456" s="8"/>
      <c r="I456" s="8"/>
      <c r="J456" s="8"/>
      <c r="K456" s="8">
        <v>0</v>
      </c>
      <c r="L456" s="18">
        <v>524.29999999999995</v>
      </c>
      <c r="M456" s="7">
        <f t="shared" si="7"/>
        <v>0</v>
      </c>
      <c r="N456" s="4"/>
      <c r="O456" s="9"/>
    </row>
    <row r="457" spans="1:15" ht="20" customHeight="1" x14ac:dyDescent="0.2">
      <c r="A457" s="3">
        <v>453</v>
      </c>
      <c r="B457" s="19"/>
      <c r="C457" s="4" t="s">
        <v>588</v>
      </c>
      <c r="D457" s="4" t="s">
        <v>109</v>
      </c>
      <c r="E457" s="4" t="s">
        <v>110</v>
      </c>
      <c r="F457" s="8"/>
      <c r="G457" s="8"/>
      <c r="H457" s="8"/>
      <c r="I457" s="8"/>
      <c r="J457" s="8"/>
      <c r="K457" s="8">
        <v>0</v>
      </c>
      <c r="L457" s="18">
        <v>1615</v>
      </c>
      <c r="M457" s="7">
        <f t="shared" si="7"/>
        <v>0</v>
      </c>
      <c r="N457" s="4"/>
      <c r="O457" s="9"/>
    </row>
    <row r="458" spans="1:15" ht="20" customHeight="1" x14ac:dyDescent="0.2">
      <c r="A458" s="3">
        <v>454</v>
      </c>
      <c r="B458" s="19"/>
      <c r="C458" s="4" t="s">
        <v>589</v>
      </c>
      <c r="D458" s="4" t="s">
        <v>109</v>
      </c>
      <c r="E458" s="4" t="s">
        <v>110</v>
      </c>
      <c r="F458" s="8"/>
      <c r="G458" s="8"/>
      <c r="H458" s="8"/>
      <c r="I458" s="8"/>
      <c r="J458" s="8"/>
      <c r="K458" s="8">
        <v>0</v>
      </c>
      <c r="L458" s="18">
        <v>1740</v>
      </c>
      <c r="M458" s="7">
        <f t="shared" si="7"/>
        <v>0</v>
      </c>
      <c r="N458" s="4"/>
      <c r="O458" s="9"/>
    </row>
    <row r="459" spans="1:15" ht="20" customHeight="1" x14ac:dyDescent="0.2">
      <c r="A459" s="3">
        <v>455</v>
      </c>
      <c r="B459" s="19"/>
      <c r="C459" s="4" t="s">
        <v>590</v>
      </c>
      <c r="D459" s="4" t="s">
        <v>109</v>
      </c>
      <c r="E459" s="4" t="s">
        <v>110</v>
      </c>
      <c r="F459" s="8"/>
      <c r="G459" s="8"/>
      <c r="H459" s="8"/>
      <c r="I459" s="8"/>
      <c r="J459" s="8"/>
      <c r="K459" s="8">
        <v>0</v>
      </c>
      <c r="L459" s="18">
        <v>1740</v>
      </c>
      <c r="M459" s="7">
        <f t="shared" si="7"/>
        <v>0</v>
      </c>
      <c r="N459" s="4"/>
      <c r="O459" s="9"/>
    </row>
    <row r="460" spans="1:15" ht="20" customHeight="1" x14ac:dyDescent="0.2">
      <c r="A460" s="3">
        <v>456</v>
      </c>
      <c r="B460" s="19"/>
      <c r="C460" s="4" t="s">
        <v>591</v>
      </c>
      <c r="D460" s="4" t="s">
        <v>109</v>
      </c>
      <c r="E460" s="4" t="s">
        <v>110</v>
      </c>
      <c r="F460" s="8"/>
      <c r="G460" s="8"/>
      <c r="H460" s="8"/>
      <c r="I460" s="8"/>
      <c r="J460" s="8"/>
      <c r="K460" s="8">
        <v>0</v>
      </c>
      <c r="L460" s="18">
        <v>1740</v>
      </c>
      <c r="M460" s="7">
        <f t="shared" si="7"/>
        <v>0</v>
      </c>
      <c r="N460" s="4"/>
      <c r="O460" s="9"/>
    </row>
    <row r="461" spans="1:15" ht="20" customHeight="1" x14ac:dyDescent="0.2">
      <c r="A461" s="3">
        <v>457</v>
      </c>
      <c r="B461" s="19"/>
      <c r="C461" s="4" t="s">
        <v>592</v>
      </c>
      <c r="D461" s="4" t="s">
        <v>109</v>
      </c>
      <c r="E461" s="4" t="s">
        <v>110</v>
      </c>
      <c r="F461" s="8"/>
      <c r="G461" s="8"/>
      <c r="H461" s="8"/>
      <c r="I461" s="8"/>
      <c r="J461" s="8"/>
      <c r="K461" s="8">
        <v>0</v>
      </c>
      <c r="L461" s="18">
        <v>1760</v>
      </c>
      <c r="M461" s="7">
        <f t="shared" si="7"/>
        <v>0</v>
      </c>
      <c r="N461" s="4"/>
      <c r="O461" s="9"/>
    </row>
    <row r="462" spans="1:15" ht="20" customHeight="1" x14ac:dyDescent="0.2">
      <c r="A462" s="3">
        <v>458</v>
      </c>
      <c r="B462" s="19"/>
      <c r="C462" s="4" t="s">
        <v>593</v>
      </c>
      <c r="D462" s="4" t="s">
        <v>109</v>
      </c>
      <c r="E462" s="4" t="s">
        <v>110</v>
      </c>
      <c r="F462" s="8"/>
      <c r="G462" s="8"/>
      <c r="H462" s="8"/>
      <c r="I462" s="8"/>
      <c r="J462" s="8"/>
      <c r="K462" s="8">
        <v>0</v>
      </c>
      <c r="L462" s="18">
        <v>3280</v>
      </c>
      <c r="M462" s="7">
        <f t="shared" si="7"/>
        <v>0</v>
      </c>
      <c r="N462" s="4"/>
      <c r="O462" s="9"/>
    </row>
    <row r="463" spans="1:15" ht="20" customHeight="1" x14ac:dyDescent="0.2">
      <c r="A463" s="3">
        <v>459</v>
      </c>
      <c r="B463" s="19"/>
      <c r="C463" s="4" t="s">
        <v>594</v>
      </c>
      <c r="D463" s="4" t="s">
        <v>109</v>
      </c>
      <c r="E463" s="4" t="s">
        <v>110</v>
      </c>
      <c r="F463" s="8"/>
      <c r="G463" s="8"/>
      <c r="H463" s="8"/>
      <c r="I463" s="8"/>
      <c r="J463" s="8"/>
      <c r="K463" s="8">
        <v>0</v>
      </c>
      <c r="L463" s="18">
        <v>3210</v>
      </c>
      <c r="M463" s="7">
        <f t="shared" si="7"/>
        <v>0</v>
      </c>
      <c r="N463" s="4"/>
      <c r="O463" s="9"/>
    </row>
    <row r="464" spans="1:15" ht="20" customHeight="1" x14ac:dyDescent="0.2">
      <c r="A464" s="3">
        <v>460</v>
      </c>
      <c r="B464" s="19"/>
      <c r="C464" s="4" t="s">
        <v>595</v>
      </c>
      <c r="D464" s="4" t="s">
        <v>109</v>
      </c>
      <c r="E464" s="4" t="s">
        <v>110</v>
      </c>
      <c r="F464" s="8"/>
      <c r="G464" s="8"/>
      <c r="H464" s="8"/>
      <c r="I464" s="8"/>
      <c r="J464" s="8"/>
      <c r="K464" s="8">
        <v>0</v>
      </c>
      <c r="L464" s="18">
        <v>3280</v>
      </c>
      <c r="M464" s="7">
        <f t="shared" si="7"/>
        <v>0</v>
      </c>
      <c r="N464" s="4"/>
      <c r="O464" s="9"/>
    </row>
    <row r="465" spans="1:15" ht="20" customHeight="1" x14ac:dyDescent="0.2">
      <c r="A465" s="3">
        <v>461</v>
      </c>
      <c r="B465" s="19"/>
      <c r="C465" s="4" t="s">
        <v>596</v>
      </c>
      <c r="D465" s="4" t="s">
        <v>109</v>
      </c>
      <c r="E465" s="4" t="s">
        <v>110</v>
      </c>
      <c r="F465" s="8"/>
      <c r="G465" s="8"/>
      <c r="H465" s="8"/>
      <c r="I465" s="8"/>
      <c r="J465" s="8"/>
      <c r="K465" s="8">
        <v>0</v>
      </c>
      <c r="L465" s="18">
        <v>3710</v>
      </c>
      <c r="M465" s="7">
        <f t="shared" si="7"/>
        <v>0</v>
      </c>
      <c r="N465" s="4"/>
      <c r="O465" s="9"/>
    </row>
    <row r="466" spans="1:15" ht="20" customHeight="1" x14ac:dyDescent="0.2">
      <c r="A466" s="3">
        <v>462</v>
      </c>
      <c r="B466" s="19"/>
      <c r="C466" s="4" t="s">
        <v>597</v>
      </c>
      <c r="D466" s="4" t="s">
        <v>109</v>
      </c>
      <c r="E466" s="4" t="s">
        <v>110</v>
      </c>
      <c r="F466" s="8"/>
      <c r="G466" s="8"/>
      <c r="H466" s="8"/>
      <c r="I466" s="8"/>
      <c r="J466" s="8"/>
      <c r="K466" s="8">
        <v>0</v>
      </c>
      <c r="L466" s="18">
        <v>2990</v>
      </c>
      <c r="M466" s="7">
        <f t="shared" si="7"/>
        <v>0</v>
      </c>
      <c r="N466" s="4"/>
      <c r="O466" s="9"/>
    </row>
    <row r="467" spans="1:15" ht="20" customHeight="1" x14ac:dyDescent="0.2">
      <c r="A467" s="3">
        <v>463</v>
      </c>
      <c r="B467" s="19"/>
      <c r="C467" s="4" t="s">
        <v>598</v>
      </c>
      <c r="D467" s="4" t="s">
        <v>109</v>
      </c>
      <c r="E467" s="4" t="s">
        <v>110</v>
      </c>
      <c r="F467" s="8"/>
      <c r="G467" s="8"/>
      <c r="H467" s="8"/>
      <c r="I467" s="8"/>
      <c r="J467" s="8"/>
      <c r="K467" s="8">
        <v>0</v>
      </c>
      <c r="L467" s="18">
        <v>3720</v>
      </c>
      <c r="M467" s="7">
        <f t="shared" si="7"/>
        <v>0</v>
      </c>
      <c r="N467" s="4"/>
      <c r="O467" s="9"/>
    </row>
    <row r="468" spans="1:15" ht="20" customHeight="1" x14ac:dyDescent="0.2">
      <c r="A468" s="3">
        <v>464</v>
      </c>
      <c r="B468" s="19"/>
      <c r="C468" s="4" t="s">
        <v>599</v>
      </c>
      <c r="D468" s="4" t="s">
        <v>109</v>
      </c>
      <c r="E468" s="4" t="s">
        <v>110</v>
      </c>
      <c r="F468" s="8"/>
      <c r="G468" s="8"/>
      <c r="H468" s="8"/>
      <c r="I468" s="8"/>
      <c r="J468" s="8"/>
      <c r="K468" s="8">
        <v>0</v>
      </c>
      <c r="L468" s="18">
        <v>3720</v>
      </c>
      <c r="M468" s="7">
        <f t="shared" si="7"/>
        <v>0</v>
      </c>
      <c r="N468" s="4"/>
      <c r="O468" s="9"/>
    </row>
    <row r="469" spans="1:15" ht="20" customHeight="1" x14ac:dyDescent="0.2">
      <c r="A469" s="3">
        <v>465</v>
      </c>
      <c r="B469" s="19"/>
      <c r="C469" s="4" t="s">
        <v>600</v>
      </c>
      <c r="D469" s="4" t="s">
        <v>109</v>
      </c>
      <c r="E469" s="4" t="s">
        <v>110</v>
      </c>
      <c r="F469" s="8"/>
      <c r="G469" s="8"/>
      <c r="H469" s="8"/>
      <c r="I469" s="8"/>
      <c r="J469" s="8"/>
      <c r="K469" s="8">
        <v>0</v>
      </c>
      <c r="L469" s="18">
        <v>1830</v>
      </c>
      <c r="M469" s="7">
        <f t="shared" si="7"/>
        <v>0</v>
      </c>
      <c r="N469" s="4"/>
      <c r="O469" s="9"/>
    </row>
    <row r="470" spans="1:15" ht="20" customHeight="1" x14ac:dyDescent="0.2">
      <c r="A470" s="3">
        <v>466</v>
      </c>
      <c r="B470" s="19"/>
      <c r="C470" s="4" t="s">
        <v>601</v>
      </c>
      <c r="D470" s="4" t="s">
        <v>109</v>
      </c>
      <c r="E470" s="4" t="s">
        <v>110</v>
      </c>
      <c r="F470" s="8"/>
      <c r="G470" s="8"/>
      <c r="H470" s="8"/>
      <c r="I470" s="8"/>
      <c r="J470" s="8"/>
      <c r="K470" s="8">
        <v>0</v>
      </c>
      <c r="L470" s="18">
        <v>1980</v>
      </c>
      <c r="M470" s="7">
        <f t="shared" si="7"/>
        <v>0</v>
      </c>
      <c r="N470" s="4"/>
      <c r="O470" s="9"/>
    </row>
    <row r="471" spans="1:15" ht="20" customHeight="1" x14ac:dyDescent="0.2">
      <c r="A471" s="3">
        <v>467</v>
      </c>
      <c r="B471" s="19"/>
      <c r="C471" s="4" t="s">
        <v>602</v>
      </c>
      <c r="D471" s="4" t="s">
        <v>109</v>
      </c>
      <c r="E471" s="4" t="s">
        <v>110</v>
      </c>
      <c r="F471" s="8"/>
      <c r="G471" s="8"/>
      <c r="H471" s="8"/>
      <c r="I471" s="8"/>
      <c r="J471" s="8"/>
      <c r="K471" s="8">
        <v>0</v>
      </c>
      <c r="L471" s="18">
        <v>1980</v>
      </c>
      <c r="M471" s="7">
        <f t="shared" si="7"/>
        <v>0</v>
      </c>
      <c r="N471" s="4"/>
      <c r="O471" s="9"/>
    </row>
    <row r="472" spans="1:15" ht="20" customHeight="1" x14ac:dyDescent="0.2">
      <c r="A472" s="3">
        <v>468</v>
      </c>
      <c r="B472" s="19"/>
      <c r="C472" s="4" t="s">
        <v>603</v>
      </c>
      <c r="D472" s="4" t="s">
        <v>109</v>
      </c>
      <c r="E472" s="4" t="s">
        <v>110</v>
      </c>
      <c r="F472" s="8"/>
      <c r="G472" s="8"/>
      <c r="H472" s="8"/>
      <c r="I472" s="8"/>
      <c r="J472" s="8"/>
      <c r="K472" s="8">
        <v>0</v>
      </c>
      <c r="L472" s="18">
        <v>1980</v>
      </c>
      <c r="M472" s="7">
        <f t="shared" si="7"/>
        <v>0</v>
      </c>
      <c r="N472" s="4"/>
      <c r="O472" s="9"/>
    </row>
    <row r="473" spans="1:15" ht="20" customHeight="1" x14ac:dyDescent="0.2">
      <c r="A473" s="3">
        <v>469</v>
      </c>
      <c r="B473" s="19"/>
      <c r="C473" s="4" t="s">
        <v>604</v>
      </c>
      <c r="D473" s="4" t="s">
        <v>109</v>
      </c>
      <c r="E473" s="4" t="s">
        <v>110</v>
      </c>
      <c r="F473" s="8"/>
      <c r="G473" s="8"/>
      <c r="H473" s="8"/>
      <c r="I473" s="8"/>
      <c r="J473" s="8"/>
      <c r="K473" s="8">
        <v>0</v>
      </c>
      <c r="L473" s="18">
        <v>2590</v>
      </c>
      <c r="M473" s="7">
        <f t="shared" si="7"/>
        <v>0</v>
      </c>
      <c r="N473" s="4"/>
      <c r="O473" s="9"/>
    </row>
    <row r="474" spans="1:15" ht="20" customHeight="1" x14ac:dyDescent="0.2">
      <c r="A474" s="3">
        <v>470</v>
      </c>
      <c r="B474" s="19"/>
      <c r="C474" s="4" t="s">
        <v>605</v>
      </c>
      <c r="D474" s="4" t="s">
        <v>109</v>
      </c>
      <c r="E474" s="4" t="s">
        <v>110</v>
      </c>
      <c r="F474" s="8"/>
      <c r="G474" s="8"/>
      <c r="H474" s="8"/>
      <c r="I474" s="8"/>
      <c r="J474" s="8"/>
      <c r="K474" s="8">
        <v>0</v>
      </c>
      <c r="L474" s="18">
        <v>400</v>
      </c>
      <c r="M474" s="7">
        <f t="shared" si="7"/>
        <v>0</v>
      </c>
      <c r="N474" s="4"/>
      <c r="O474" s="9"/>
    </row>
    <row r="475" spans="1:15" ht="20" customHeight="1" x14ac:dyDescent="0.2">
      <c r="A475" s="3">
        <v>471</v>
      </c>
      <c r="B475" s="19"/>
      <c r="C475" s="4" t="s">
        <v>606</v>
      </c>
      <c r="D475" s="4" t="s">
        <v>109</v>
      </c>
      <c r="E475" s="4" t="s">
        <v>110</v>
      </c>
      <c r="F475" s="8"/>
      <c r="G475" s="8"/>
      <c r="H475" s="8"/>
      <c r="I475" s="8"/>
      <c r="J475" s="8"/>
      <c r="K475" s="8">
        <v>0</v>
      </c>
      <c r="L475" s="18">
        <v>4800</v>
      </c>
      <c r="M475" s="7">
        <f t="shared" si="7"/>
        <v>0</v>
      </c>
      <c r="N475" s="4"/>
      <c r="O475" s="9"/>
    </row>
    <row r="476" spans="1:15" ht="20" customHeight="1" x14ac:dyDescent="0.2">
      <c r="A476" s="3">
        <v>472</v>
      </c>
      <c r="B476" s="19"/>
      <c r="C476" s="4" t="s">
        <v>607</v>
      </c>
      <c r="D476" s="4" t="s">
        <v>109</v>
      </c>
      <c r="E476" s="4" t="s">
        <v>110</v>
      </c>
      <c r="F476" s="8"/>
      <c r="G476" s="8"/>
      <c r="H476" s="8"/>
      <c r="I476" s="8"/>
      <c r="J476" s="8"/>
      <c r="K476" s="8">
        <v>0</v>
      </c>
      <c r="L476" s="18">
        <v>2860</v>
      </c>
      <c r="M476" s="7">
        <f t="shared" si="7"/>
        <v>0</v>
      </c>
      <c r="N476" s="4"/>
      <c r="O476" s="9"/>
    </row>
    <row r="477" spans="1:15" ht="20" customHeight="1" x14ac:dyDescent="0.2">
      <c r="A477" s="3">
        <v>473</v>
      </c>
      <c r="B477" s="19"/>
      <c r="C477" s="4" t="s">
        <v>608</v>
      </c>
      <c r="D477" s="4" t="s">
        <v>109</v>
      </c>
      <c r="E477" s="4" t="s">
        <v>110</v>
      </c>
      <c r="F477" s="8"/>
      <c r="G477" s="8"/>
      <c r="H477" s="8"/>
      <c r="I477" s="8"/>
      <c r="J477" s="8"/>
      <c r="K477" s="8">
        <v>0</v>
      </c>
      <c r="L477" s="18">
        <v>350</v>
      </c>
      <c r="M477" s="7">
        <f t="shared" si="7"/>
        <v>0</v>
      </c>
      <c r="N477" s="4"/>
      <c r="O477" s="9"/>
    </row>
    <row r="478" spans="1:15" ht="20" customHeight="1" x14ac:dyDescent="0.2">
      <c r="A478" s="3">
        <v>474</v>
      </c>
      <c r="B478" s="19"/>
      <c r="C478" s="4" t="s">
        <v>609</v>
      </c>
      <c r="D478" s="4" t="s">
        <v>109</v>
      </c>
      <c r="E478" s="4" t="s">
        <v>110</v>
      </c>
      <c r="F478" s="8"/>
      <c r="G478" s="8"/>
      <c r="H478" s="8"/>
      <c r="I478" s="8"/>
      <c r="J478" s="8"/>
      <c r="K478" s="8">
        <v>0</v>
      </c>
      <c r="L478" s="18">
        <v>365</v>
      </c>
      <c r="M478" s="7">
        <f t="shared" si="7"/>
        <v>0</v>
      </c>
      <c r="N478" s="4"/>
      <c r="O478" s="9"/>
    </row>
    <row r="479" spans="1:15" ht="20" customHeight="1" x14ac:dyDescent="0.2">
      <c r="A479" s="3">
        <v>475</v>
      </c>
      <c r="B479" s="19"/>
      <c r="C479" s="4" t="s">
        <v>610</v>
      </c>
      <c r="D479" s="4" t="s">
        <v>109</v>
      </c>
      <c r="E479" s="4" t="s">
        <v>110</v>
      </c>
      <c r="F479" s="8"/>
      <c r="G479" s="8"/>
      <c r="H479" s="8"/>
      <c r="I479" s="8"/>
      <c r="J479" s="8"/>
      <c r="K479" s="8">
        <v>0</v>
      </c>
      <c r="L479" s="18">
        <v>1810</v>
      </c>
      <c r="M479" s="7">
        <f t="shared" si="7"/>
        <v>0</v>
      </c>
      <c r="N479" s="4"/>
      <c r="O479" s="9"/>
    </row>
    <row r="480" spans="1:15" ht="20" customHeight="1" x14ac:dyDescent="0.2">
      <c r="A480" s="3">
        <v>476</v>
      </c>
      <c r="B480" s="19"/>
      <c r="C480" s="4" t="s">
        <v>611</v>
      </c>
      <c r="D480" s="4" t="s">
        <v>109</v>
      </c>
      <c r="E480" s="4" t="s">
        <v>110</v>
      </c>
      <c r="F480" s="8"/>
      <c r="G480" s="8"/>
      <c r="H480" s="8"/>
      <c r="I480" s="8"/>
      <c r="J480" s="8"/>
      <c r="K480" s="8">
        <v>0</v>
      </c>
      <c r="L480" s="18">
        <v>830</v>
      </c>
      <c r="M480" s="7">
        <f t="shared" si="7"/>
        <v>0</v>
      </c>
      <c r="N480" s="4"/>
      <c r="O480" s="9"/>
    </row>
    <row r="481" spans="1:15" ht="20" customHeight="1" x14ac:dyDescent="0.2">
      <c r="A481" s="3">
        <v>477</v>
      </c>
      <c r="B481" s="19"/>
      <c r="C481" s="4" t="s">
        <v>612</v>
      </c>
      <c r="D481" s="4" t="s">
        <v>109</v>
      </c>
      <c r="E481" s="4" t="s">
        <v>110</v>
      </c>
      <c r="F481" s="8"/>
      <c r="G481" s="8"/>
      <c r="H481" s="8"/>
      <c r="I481" s="8"/>
      <c r="J481" s="8"/>
      <c r="K481" s="8">
        <v>0</v>
      </c>
      <c r="L481" s="18">
        <v>695</v>
      </c>
      <c r="M481" s="7">
        <f t="shared" si="7"/>
        <v>0</v>
      </c>
      <c r="N481" s="4"/>
      <c r="O481" s="9"/>
    </row>
    <row r="482" spans="1:15" ht="20" customHeight="1" x14ac:dyDescent="0.2">
      <c r="A482" s="3">
        <v>478</v>
      </c>
      <c r="B482" s="19"/>
      <c r="C482" s="4" t="s">
        <v>613</v>
      </c>
      <c r="D482" s="4" t="s">
        <v>109</v>
      </c>
      <c r="E482" s="4" t="s">
        <v>110</v>
      </c>
      <c r="F482" s="8"/>
      <c r="G482" s="8"/>
      <c r="H482" s="8"/>
      <c r="I482" s="8"/>
      <c r="J482" s="8"/>
      <c r="K482" s="8">
        <v>0</v>
      </c>
      <c r="L482" s="18">
        <v>2190</v>
      </c>
      <c r="M482" s="7">
        <f t="shared" si="7"/>
        <v>0</v>
      </c>
      <c r="N482" s="4"/>
      <c r="O482" s="9"/>
    </row>
    <row r="483" spans="1:15" ht="20" customHeight="1" x14ac:dyDescent="0.2">
      <c r="A483" s="3">
        <v>479</v>
      </c>
      <c r="B483" s="19"/>
      <c r="C483" s="4" t="s">
        <v>614</v>
      </c>
      <c r="D483" s="4" t="s">
        <v>109</v>
      </c>
      <c r="E483" s="4" t="s">
        <v>110</v>
      </c>
      <c r="F483" s="8"/>
      <c r="G483" s="8"/>
      <c r="H483" s="8"/>
      <c r="I483" s="8"/>
      <c r="J483" s="8"/>
      <c r="K483" s="8">
        <v>0</v>
      </c>
      <c r="L483" s="18">
        <v>2275</v>
      </c>
      <c r="M483" s="7">
        <f t="shared" si="7"/>
        <v>0</v>
      </c>
      <c r="N483" s="4"/>
      <c r="O483" s="9"/>
    </row>
    <row r="484" spans="1:15" ht="20" customHeight="1" x14ac:dyDescent="0.2">
      <c r="A484" s="3">
        <v>480</v>
      </c>
      <c r="B484" s="19"/>
      <c r="C484" s="4" t="s">
        <v>615</v>
      </c>
      <c r="D484" s="4" t="s">
        <v>109</v>
      </c>
      <c r="E484" s="4" t="s">
        <v>110</v>
      </c>
      <c r="F484" s="8"/>
      <c r="G484" s="8"/>
      <c r="H484" s="8"/>
      <c r="I484" s="8"/>
      <c r="J484" s="8"/>
      <c r="K484" s="8">
        <v>0</v>
      </c>
      <c r="L484" s="18">
        <v>2820</v>
      </c>
      <c r="M484" s="7">
        <f t="shared" si="7"/>
        <v>0</v>
      </c>
      <c r="N484" s="4"/>
      <c r="O484" s="9"/>
    </row>
    <row r="485" spans="1:15" ht="20" customHeight="1" x14ac:dyDescent="0.2">
      <c r="A485" s="3">
        <v>481</v>
      </c>
      <c r="B485" s="19"/>
      <c r="C485" s="4" t="s">
        <v>616</v>
      </c>
      <c r="D485" s="4" t="s">
        <v>109</v>
      </c>
      <c r="E485" s="4" t="s">
        <v>110</v>
      </c>
      <c r="F485" s="8"/>
      <c r="G485" s="8"/>
      <c r="H485" s="8"/>
      <c r="I485" s="8"/>
      <c r="J485" s="8"/>
      <c r="K485" s="8">
        <v>0</v>
      </c>
      <c r="L485" s="18">
        <v>2630</v>
      </c>
      <c r="M485" s="7">
        <f t="shared" si="7"/>
        <v>0</v>
      </c>
      <c r="N485" s="4"/>
      <c r="O485" s="9"/>
    </row>
    <row r="486" spans="1:15" ht="20" customHeight="1" x14ac:dyDescent="0.2">
      <c r="A486" s="3">
        <v>482</v>
      </c>
      <c r="B486" s="19"/>
      <c r="C486" s="4" t="s">
        <v>617</v>
      </c>
      <c r="D486" s="4" t="s">
        <v>109</v>
      </c>
      <c r="E486" s="4" t="s">
        <v>110</v>
      </c>
      <c r="F486" s="8"/>
      <c r="G486" s="8"/>
      <c r="H486" s="8"/>
      <c r="I486" s="8"/>
      <c r="J486" s="8"/>
      <c r="K486" s="8">
        <v>0</v>
      </c>
      <c r="L486" s="18">
        <v>4490</v>
      </c>
      <c r="M486" s="7">
        <f t="shared" si="7"/>
        <v>0</v>
      </c>
      <c r="N486" s="4"/>
      <c r="O486" s="9"/>
    </row>
    <row r="487" spans="1:15" ht="20" customHeight="1" x14ac:dyDescent="0.2">
      <c r="A487" s="3">
        <v>483</v>
      </c>
      <c r="B487" s="19"/>
      <c r="C487" s="4" t="s">
        <v>618</v>
      </c>
      <c r="D487" s="4" t="s">
        <v>109</v>
      </c>
      <c r="E487" s="4" t="s">
        <v>110</v>
      </c>
      <c r="F487" s="8"/>
      <c r="G487" s="8"/>
      <c r="H487" s="8"/>
      <c r="I487" s="8"/>
      <c r="J487" s="8"/>
      <c r="K487" s="8">
        <v>0</v>
      </c>
      <c r="L487" s="18">
        <v>760</v>
      </c>
      <c r="M487" s="7">
        <f t="shared" si="7"/>
        <v>0</v>
      </c>
      <c r="N487" s="4"/>
      <c r="O487" s="9"/>
    </row>
    <row r="488" spans="1:15" ht="20" customHeight="1" x14ac:dyDescent="0.2">
      <c r="A488" s="3">
        <v>484</v>
      </c>
      <c r="B488" s="19"/>
      <c r="C488" s="4" t="s">
        <v>619</v>
      </c>
      <c r="D488" s="4" t="s">
        <v>109</v>
      </c>
      <c r="E488" s="4" t="s">
        <v>110</v>
      </c>
      <c r="F488" s="8"/>
      <c r="G488" s="8"/>
      <c r="H488" s="8"/>
      <c r="I488" s="8"/>
      <c r="J488" s="8"/>
      <c r="K488" s="8">
        <v>0</v>
      </c>
      <c r="L488" s="18">
        <v>2290</v>
      </c>
      <c r="M488" s="7">
        <f t="shared" si="7"/>
        <v>0</v>
      </c>
      <c r="N488" s="4"/>
      <c r="O488" s="9"/>
    </row>
    <row r="489" spans="1:15" ht="20" customHeight="1" x14ac:dyDescent="0.2">
      <c r="A489" s="3">
        <v>485</v>
      </c>
      <c r="B489" s="19"/>
      <c r="C489" s="4" t="s">
        <v>620</v>
      </c>
      <c r="D489" s="4" t="s">
        <v>109</v>
      </c>
      <c r="E489" s="4" t="s">
        <v>110</v>
      </c>
      <c r="F489" s="8"/>
      <c r="G489" s="8"/>
      <c r="H489" s="8"/>
      <c r="I489" s="8"/>
      <c r="J489" s="8"/>
      <c r="K489" s="8">
        <v>0</v>
      </c>
      <c r="L489" s="18">
        <v>4990</v>
      </c>
      <c r="M489" s="7">
        <f t="shared" si="7"/>
        <v>0</v>
      </c>
      <c r="N489" s="4"/>
      <c r="O489" s="9"/>
    </row>
    <row r="490" spans="1:15" ht="20" customHeight="1" x14ac:dyDescent="0.2">
      <c r="A490" s="3">
        <v>486</v>
      </c>
      <c r="B490" s="19"/>
      <c r="C490" s="4" t="s">
        <v>621</v>
      </c>
      <c r="D490" s="4" t="s">
        <v>109</v>
      </c>
      <c r="E490" s="4" t="s">
        <v>110</v>
      </c>
      <c r="F490" s="8"/>
      <c r="G490" s="8"/>
      <c r="H490" s="8"/>
      <c r="I490" s="8"/>
      <c r="J490" s="8"/>
      <c r="K490" s="8">
        <v>0</v>
      </c>
      <c r="L490" s="18">
        <v>1760</v>
      </c>
      <c r="M490" s="7">
        <f t="shared" si="7"/>
        <v>0</v>
      </c>
      <c r="N490" s="4"/>
      <c r="O490" s="9"/>
    </row>
    <row r="491" spans="1:15" ht="20" customHeight="1" x14ac:dyDescent="0.2">
      <c r="A491" s="3">
        <v>487</v>
      </c>
      <c r="B491" s="19"/>
      <c r="C491" s="4" t="s">
        <v>622</v>
      </c>
      <c r="D491" s="4" t="s">
        <v>109</v>
      </c>
      <c r="E491" s="4" t="s">
        <v>110</v>
      </c>
      <c r="F491" s="8"/>
      <c r="G491" s="8"/>
      <c r="H491" s="8"/>
      <c r="I491" s="8"/>
      <c r="J491" s="8"/>
      <c r="K491" s="8">
        <v>0</v>
      </c>
      <c r="L491" s="18">
        <v>1760</v>
      </c>
      <c r="M491" s="7">
        <f t="shared" si="7"/>
        <v>0</v>
      </c>
      <c r="N491" s="4"/>
      <c r="O491" s="9"/>
    </row>
    <row r="492" spans="1:15" ht="20" customHeight="1" x14ac:dyDescent="0.2">
      <c r="A492" s="3">
        <v>488</v>
      </c>
      <c r="B492" s="19"/>
      <c r="C492" s="4" t="s">
        <v>623</v>
      </c>
      <c r="D492" s="4" t="s">
        <v>109</v>
      </c>
      <c r="E492" s="4" t="s">
        <v>110</v>
      </c>
      <c r="F492" s="8"/>
      <c r="G492" s="8"/>
      <c r="H492" s="8"/>
      <c r="I492" s="8"/>
      <c r="J492" s="8"/>
      <c r="K492" s="8">
        <v>0</v>
      </c>
      <c r="L492" s="18">
        <v>1700</v>
      </c>
      <c r="M492" s="7">
        <f t="shared" si="7"/>
        <v>0</v>
      </c>
      <c r="N492" s="4"/>
      <c r="O492" s="9"/>
    </row>
    <row r="493" spans="1:15" ht="20" customHeight="1" x14ac:dyDescent="0.2">
      <c r="A493" s="3">
        <v>489</v>
      </c>
      <c r="B493" s="19"/>
      <c r="C493" s="4" t="s">
        <v>624</v>
      </c>
      <c r="D493" s="4" t="s">
        <v>109</v>
      </c>
      <c r="E493" s="4" t="s">
        <v>110</v>
      </c>
      <c r="F493" s="8"/>
      <c r="G493" s="8"/>
      <c r="H493" s="8"/>
      <c r="I493" s="8"/>
      <c r="J493" s="8"/>
      <c r="K493" s="8">
        <v>0</v>
      </c>
      <c r="L493" s="18">
        <v>1210</v>
      </c>
      <c r="M493" s="7">
        <f t="shared" si="7"/>
        <v>0</v>
      </c>
      <c r="N493" s="4"/>
      <c r="O493" s="9"/>
    </row>
    <row r="494" spans="1:15" ht="20" customHeight="1" x14ac:dyDescent="0.2">
      <c r="A494" s="3">
        <v>490</v>
      </c>
      <c r="B494" s="19"/>
      <c r="C494" s="4" t="s">
        <v>625</v>
      </c>
      <c r="D494" s="4" t="s">
        <v>109</v>
      </c>
      <c r="E494" s="4" t="s">
        <v>110</v>
      </c>
      <c r="F494" s="8"/>
      <c r="G494" s="8"/>
      <c r="H494" s="8"/>
      <c r="I494" s="8"/>
      <c r="J494" s="8"/>
      <c r="K494" s="8">
        <v>0</v>
      </c>
      <c r="L494" s="18">
        <v>3680</v>
      </c>
      <c r="M494" s="7">
        <f t="shared" si="7"/>
        <v>0</v>
      </c>
      <c r="N494" s="4"/>
      <c r="O494" s="9"/>
    </row>
    <row r="495" spans="1:15" ht="20" customHeight="1" x14ac:dyDescent="0.2">
      <c r="A495" s="3">
        <v>491</v>
      </c>
      <c r="B495" s="19"/>
      <c r="C495" s="4" t="s">
        <v>626</v>
      </c>
      <c r="D495" s="4" t="s">
        <v>109</v>
      </c>
      <c r="E495" s="4" t="s">
        <v>110</v>
      </c>
      <c r="F495" s="8"/>
      <c r="G495" s="8"/>
      <c r="H495" s="8"/>
      <c r="I495" s="8"/>
      <c r="J495" s="8"/>
      <c r="K495" s="8">
        <v>0</v>
      </c>
      <c r="L495" s="18">
        <v>1850</v>
      </c>
      <c r="M495" s="7">
        <f t="shared" si="7"/>
        <v>0</v>
      </c>
      <c r="N495" s="4"/>
      <c r="O495" s="9"/>
    </row>
    <row r="496" spans="1:15" ht="20" customHeight="1" x14ac:dyDescent="0.2">
      <c r="A496" s="3">
        <v>492</v>
      </c>
      <c r="B496" s="19"/>
      <c r="C496" s="4" t="s">
        <v>627</v>
      </c>
      <c r="D496" s="4" t="s">
        <v>109</v>
      </c>
      <c r="E496" s="4" t="s">
        <v>110</v>
      </c>
      <c r="F496" s="8"/>
      <c r="G496" s="8"/>
      <c r="H496" s="8"/>
      <c r="I496" s="8"/>
      <c r="J496" s="8"/>
      <c r="K496" s="8">
        <v>0</v>
      </c>
      <c r="L496" s="18">
        <v>1050</v>
      </c>
      <c r="M496" s="7">
        <f t="shared" si="7"/>
        <v>0</v>
      </c>
      <c r="N496" s="4"/>
      <c r="O496" s="9"/>
    </row>
    <row r="497" spans="1:15" ht="20" customHeight="1" x14ac:dyDescent="0.2">
      <c r="A497" s="3">
        <v>493</v>
      </c>
      <c r="B497" s="19"/>
      <c r="C497" s="4" t="s">
        <v>628</v>
      </c>
      <c r="D497" s="4" t="s">
        <v>109</v>
      </c>
      <c r="E497" s="4" t="s">
        <v>110</v>
      </c>
      <c r="F497" s="8"/>
      <c r="G497" s="8"/>
      <c r="H497" s="8"/>
      <c r="I497" s="8"/>
      <c r="J497" s="8"/>
      <c r="K497" s="8">
        <v>0</v>
      </c>
      <c r="L497" s="18">
        <v>5900</v>
      </c>
      <c r="M497" s="7">
        <f t="shared" si="7"/>
        <v>0</v>
      </c>
      <c r="N497" s="4"/>
      <c r="O497" s="9"/>
    </row>
    <row r="498" spans="1:15" ht="20" customHeight="1" x14ac:dyDescent="0.2">
      <c r="A498" s="3">
        <v>494</v>
      </c>
      <c r="B498" s="19"/>
      <c r="C498" s="4" t="s">
        <v>629</v>
      </c>
      <c r="D498" s="4" t="s">
        <v>109</v>
      </c>
      <c r="E498" s="4" t="s">
        <v>110</v>
      </c>
      <c r="F498" s="8"/>
      <c r="G498" s="8"/>
      <c r="H498" s="8"/>
      <c r="I498" s="8"/>
      <c r="J498" s="8"/>
      <c r="K498" s="8">
        <v>0</v>
      </c>
      <c r="L498" s="18">
        <v>6390</v>
      </c>
      <c r="M498" s="7">
        <f t="shared" si="7"/>
        <v>0</v>
      </c>
      <c r="N498" s="4"/>
      <c r="O498" s="9"/>
    </row>
    <row r="499" spans="1:15" ht="20" customHeight="1" x14ac:dyDescent="0.2">
      <c r="A499" s="3">
        <v>495</v>
      </c>
      <c r="B499" s="19"/>
      <c r="C499" s="4" t="s">
        <v>630</v>
      </c>
      <c r="D499" s="4" t="s">
        <v>109</v>
      </c>
      <c r="E499" s="4" t="s">
        <v>110</v>
      </c>
      <c r="F499" s="8"/>
      <c r="G499" s="8"/>
      <c r="H499" s="8"/>
      <c r="I499" s="8"/>
      <c r="J499" s="8"/>
      <c r="K499" s="8">
        <v>0</v>
      </c>
      <c r="L499" s="18">
        <v>0</v>
      </c>
      <c r="M499" s="7">
        <f t="shared" si="7"/>
        <v>0</v>
      </c>
      <c r="N499" s="4"/>
      <c r="O499" s="9"/>
    </row>
    <row r="500" spans="1:15" ht="20" customHeight="1" x14ac:dyDescent="0.2">
      <c r="A500" s="3">
        <v>496</v>
      </c>
      <c r="B500" s="19"/>
      <c r="C500" s="4" t="s">
        <v>631</v>
      </c>
      <c r="D500" s="4" t="s">
        <v>109</v>
      </c>
      <c r="E500" s="4" t="s">
        <v>110</v>
      </c>
      <c r="F500" s="8"/>
      <c r="G500" s="8"/>
      <c r="H500" s="8"/>
      <c r="I500" s="8"/>
      <c r="J500" s="8"/>
      <c r="K500" s="8">
        <v>0</v>
      </c>
      <c r="L500" s="18">
        <v>2550</v>
      </c>
      <c r="M500" s="7">
        <f t="shared" si="7"/>
        <v>0</v>
      </c>
      <c r="N500" s="4"/>
      <c r="O500" s="9"/>
    </row>
    <row r="501" spans="1:15" ht="20" customHeight="1" x14ac:dyDescent="0.2">
      <c r="A501" s="3">
        <v>497</v>
      </c>
      <c r="B501" s="19"/>
      <c r="C501" s="4" t="s">
        <v>632</v>
      </c>
      <c r="D501" s="4" t="s">
        <v>109</v>
      </c>
      <c r="E501" s="4" t="s">
        <v>110</v>
      </c>
      <c r="F501" s="8"/>
      <c r="G501" s="8"/>
      <c r="H501" s="8"/>
      <c r="I501" s="8"/>
      <c r="J501" s="8"/>
      <c r="K501" s="8">
        <v>0</v>
      </c>
      <c r="L501" s="18">
        <v>3250</v>
      </c>
      <c r="M501" s="7">
        <f t="shared" si="7"/>
        <v>0</v>
      </c>
      <c r="N501" s="4"/>
      <c r="O501" s="9"/>
    </row>
    <row r="502" spans="1:15" ht="20" customHeight="1" x14ac:dyDescent="0.2">
      <c r="A502" s="3">
        <v>498</v>
      </c>
      <c r="B502" s="19"/>
      <c r="C502" s="4" t="s">
        <v>633</v>
      </c>
      <c r="D502" s="4" t="s">
        <v>109</v>
      </c>
      <c r="E502" s="4" t="s">
        <v>110</v>
      </c>
      <c r="F502" s="8"/>
      <c r="G502" s="8"/>
      <c r="H502" s="8"/>
      <c r="I502" s="8"/>
      <c r="J502" s="8"/>
      <c r="K502" s="8">
        <v>0</v>
      </c>
      <c r="L502" s="18">
        <v>750</v>
      </c>
      <c r="M502" s="7">
        <f t="shared" si="7"/>
        <v>0</v>
      </c>
      <c r="N502" s="4"/>
      <c r="O502" s="9"/>
    </row>
    <row r="503" spans="1:15" ht="20" customHeight="1" x14ac:dyDescent="0.2">
      <c r="A503" s="3">
        <v>499</v>
      </c>
      <c r="B503" s="19"/>
      <c r="C503" s="4" t="s">
        <v>634</v>
      </c>
      <c r="D503" s="4" t="s">
        <v>109</v>
      </c>
      <c r="E503" s="4" t="s">
        <v>267</v>
      </c>
      <c r="F503" s="8"/>
      <c r="G503" s="8"/>
      <c r="H503" s="8"/>
      <c r="I503" s="8"/>
      <c r="J503" s="8"/>
      <c r="K503" s="8">
        <v>0</v>
      </c>
      <c r="L503" s="18">
        <v>150</v>
      </c>
      <c r="M503" s="7">
        <f t="shared" si="7"/>
        <v>0</v>
      </c>
      <c r="N503" s="4"/>
      <c r="O503" s="9"/>
    </row>
    <row r="504" spans="1:15" ht="20" customHeight="1" x14ac:dyDescent="0.2">
      <c r="A504" s="3">
        <v>500</v>
      </c>
      <c r="B504" s="19"/>
      <c r="C504" s="4" t="s">
        <v>635</v>
      </c>
      <c r="D504" s="4" t="s">
        <v>109</v>
      </c>
      <c r="E504" s="4" t="s">
        <v>267</v>
      </c>
      <c r="F504" s="8"/>
      <c r="G504" s="8"/>
      <c r="H504" s="8"/>
      <c r="I504" s="8"/>
      <c r="J504" s="8"/>
      <c r="K504" s="8">
        <v>0</v>
      </c>
      <c r="L504" s="18">
        <v>150</v>
      </c>
      <c r="M504" s="7">
        <f t="shared" si="7"/>
        <v>0</v>
      </c>
      <c r="N504" s="4"/>
      <c r="O504" s="9"/>
    </row>
    <row r="505" spans="1:15" ht="20" customHeight="1" x14ac:dyDescent="0.2">
      <c r="A505" s="3">
        <v>501</v>
      </c>
      <c r="B505" s="19"/>
      <c r="C505" s="4" t="s">
        <v>636</v>
      </c>
      <c r="D505" s="4" t="s">
        <v>109</v>
      </c>
      <c r="E505" s="4" t="s">
        <v>267</v>
      </c>
      <c r="F505" s="8"/>
      <c r="G505" s="8"/>
      <c r="H505" s="8"/>
      <c r="I505" s="8"/>
      <c r="J505" s="8"/>
      <c r="K505" s="8">
        <v>60</v>
      </c>
      <c r="L505" s="18">
        <v>13</v>
      </c>
      <c r="M505" s="7">
        <f t="shared" si="7"/>
        <v>780</v>
      </c>
      <c r="N505" s="4"/>
      <c r="O505" s="9"/>
    </row>
    <row r="506" spans="1:15" ht="20" customHeight="1" x14ac:dyDescent="0.2">
      <c r="A506" s="3">
        <v>502</v>
      </c>
      <c r="B506" s="19"/>
      <c r="C506" s="4" t="s">
        <v>637</v>
      </c>
      <c r="D506" s="4" t="s">
        <v>109</v>
      </c>
      <c r="E506" s="4" t="s">
        <v>267</v>
      </c>
      <c r="F506" s="8"/>
      <c r="G506" s="8"/>
      <c r="H506" s="8"/>
      <c r="I506" s="8"/>
      <c r="J506" s="8"/>
      <c r="K506" s="8">
        <v>80</v>
      </c>
      <c r="L506" s="18">
        <v>13</v>
      </c>
      <c r="M506" s="7">
        <f t="shared" si="7"/>
        <v>1040</v>
      </c>
      <c r="N506" s="4"/>
      <c r="O506" s="9"/>
    </row>
    <row r="507" spans="1:15" ht="20" customHeight="1" x14ac:dyDescent="0.2">
      <c r="A507" s="3">
        <v>503</v>
      </c>
      <c r="B507" s="19"/>
      <c r="C507" s="4" t="s">
        <v>638</v>
      </c>
      <c r="D507" s="4" t="s">
        <v>109</v>
      </c>
      <c r="E507" s="4" t="s">
        <v>267</v>
      </c>
      <c r="F507" s="8"/>
      <c r="G507" s="8"/>
      <c r="H507" s="8"/>
      <c r="I507" s="8"/>
      <c r="J507" s="8"/>
      <c r="K507" s="8">
        <v>80</v>
      </c>
      <c r="L507" s="18">
        <v>13</v>
      </c>
      <c r="M507" s="7">
        <f t="shared" si="7"/>
        <v>1040</v>
      </c>
      <c r="N507" s="4"/>
      <c r="O507" s="9"/>
    </row>
    <row r="508" spans="1:15" ht="20" customHeight="1" x14ac:dyDescent="0.2">
      <c r="A508" s="3">
        <v>504</v>
      </c>
      <c r="B508" s="19"/>
      <c r="C508" s="4" t="s">
        <v>639</v>
      </c>
      <c r="D508" s="4" t="s">
        <v>109</v>
      </c>
      <c r="E508" s="4" t="s">
        <v>267</v>
      </c>
      <c r="F508" s="8"/>
      <c r="G508" s="8"/>
      <c r="H508" s="8"/>
      <c r="I508" s="8"/>
      <c r="J508" s="8"/>
      <c r="K508" s="8">
        <v>8</v>
      </c>
      <c r="L508" s="18">
        <v>190</v>
      </c>
      <c r="M508" s="7">
        <f t="shared" si="7"/>
        <v>1520</v>
      </c>
      <c r="N508" s="4"/>
      <c r="O508" s="9"/>
    </row>
    <row r="509" spans="1:15" ht="20" customHeight="1" x14ac:dyDescent="0.2">
      <c r="A509" s="3">
        <v>505</v>
      </c>
      <c r="B509" s="19"/>
      <c r="C509" s="4" t="s">
        <v>640</v>
      </c>
      <c r="D509" s="4" t="s">
        <v>109</v>
      </c>
      <c r="E509" s="4" t="s">
        <v>267</v>
      </c>
      <c r="F509" s="8"/>
      <c r="G509" s="8"/>
      <c r="H509" s="8"/>
      <c r="I509" s="8"/>
      <c r="J509" s="8"/>
      <c r="K509" s="8">
        <v>0</v>
      </c>
      <c r="L509" s="18">
        <v>36</v>
      </c>
      <c r="M509" s="7">
        <f t="shared" si="7"/>
        <v>0</v>
      </c>
      <c r="N509" s="4"/>
      <c r="O509" s="9"/>
    </row>
    <row r="510" spans="1:15" ht="20" customHeight="1" x14ac:dyDescent="0.2">
      <c r="A510" s="3">
        <v>506</v>
      </c>
      <c r="B510" s="19"/>
      <c r="C510" s="4" t="s">
        <v>641</v>
      </c>
      <c r="D510" s="4" t="s">
        <v>109</v>
      </c>
      <c r="E510" s="4" t="s">
        <v>267</v>
      </c>
      <c r="F510" s="8"/>
      <c r="G510" s="8"/>
      <c r="H510" s="8"/>
      <c r="I510" s="8"/>
      <c r="J510" s="8"/>
      <c r="K510" s="8">
        <v>0</v>
      </c>
      <c r="L510" s="18">
        <v>36</v>
      </c>
      <c r="M510" s="7">
        <f t="shared" si="7"/>
        <v>0</v>
      </c>
      <c r="N510" s="4"/>
      <c r="O510" s="9"/>
    </row>
    <row r="511" spans="1:15" ht="20" customHeight="1" x14ac:dyDescent="0.2">
      <c r="A511" s="3">
        <v>507</v>
      </c>
      <c r="B511" s="19"/>
      <c r="C511" s="4" t="s">
        <v>642</v>
      </c>
      <c r="D511" s="4" t="s">
        <v>109</v>
      </c>
      <c r="E511" s="4" t="s">
        <v>267</v>
      </c>
      <c r="F511" s="8"/>
      <c r="G511" s="8"/>
      <c r="H511" s="8"/>
      <c r="I511" s="8"/>
      <c r="J511" s="8"/>
      <c r="K511" s="8">
        <v>0</v>
      </c>
      <c r="L511" s="18">
        <v>65</v>
      </c>
      <c r="M511" s="7">
        <f t="shared" si="7"/>
        <v>0</v>
      </c>
      <c r="N511" s="4"/>
      <c r="O511" s="9"/>
    </row>
    <row r="512" spans="1:15" ht="20" customHeight="1" x14ac:dyDescent="0.2">
      <c r="A512" s="3">
        <v>508</v>
      </c>
      <c r="B512" s="19"/>
      <c r="C512" s="4" t="s">
        <v>643</v>
      </c>
      <c r="D512" s="4" t="s">
        <v>109</v>
      </c>
      <c r="E512" s="4" t="s">
        <v>267</v>
      </c>
      <c r="F512" s="8"/>
      <c r="G512" s="8"/>
      <c r="H512" s="8"/>
      <c r="I512" s="8"/>
      <c r="J512" s="8"/>
      <c r="K512" s="8">
        <v>0</v>
      </c>
      <c r="L512" s="18">
        <v>65</v>
      </c>
      <c r="M512" s="7">
        <f t="shared" si="7"/>
        <v>0</v>
      </c>
      <c r="N512" s="4"/>
      <c r="O512" s="9"/>
    </row>
    <row r="513" spans="1:15" ht="20" customHeight="1" x14ac:dyDescent="0.2">
      <c r="A513" s="3">
        <v>509</v>
      </c>
      <c r="B513" s="19"/>
      <c r="C513" s="4" t="s">
        <v>644</v>
      </c>
      <c r="D513" s="4" t="s">
        <v>109</v>
      </c>
      <c r="E513" s="4" t="s">
        <v>267</v>
      </c>
      <c r="F513" s="8"/>
      <c r="G513" s="8"/>
      <c r="H513" s="8"/>
      <c r="I513" s="8"/>
      <c r="J513" s="8"/>
      <c r="K513" s="8">
        <v>0</v>
      </c>
      <c r="L513" s="18">
        <v>125</v>
      </c>
      <c r="M513" s="7">
        <f t="shared" si="7"/>
        <v>0</v>
      </c>
      <c r="N513" s="4"/>
      <c r="O513" s="9"/>
    </row>
    <row r="514" spans="1:15" ht="20" customHeight="1" x14ac:dyDescent="0.2">
      <c r="A514" s="3">
        <v>510</v>
      </c>
      <c r="B514" s="19"/>
      <c r="C514" s="4" t="s">
        <v>645</v>
      </c>
      <c r="D514" s="4" t="s">
        <v>109</v>
      </c>
      <c r="E514" s="4" t="s">
        <v>110</v>
      </c>
      <c r="F514" s="8"/>
      <c r="G514" s="8"/>
      <c r="H514" s="8"/>
      <c r="I514" s="8"/>
      <c r="J514" s="8"/>
      <c r="K514" s="8">
        <v>11</v>
      </c>
      <c r="L514" s="18">
        <v>1819</v>
      </c>
      <c r="M514" s="7">
        <f t="shared" si="7"/>
        <v>20009</v>
      </c>
      <c r="N514" s="4"/>
      <c r="O514" s="9"/>
    </row>
    <row r="515" spans="1:15" ht="20" customHeight="1" x14ac:dyDescent="0.2">
      <c r="A515" s="3">
        <v>511</v>
      </c>
      <c r="B515" s="19"/>
      <c r="C515" s="4" t="s">
        <v>646</v>
      </c>
      <c r="D515" s="4" t="s">
        <v>109</v>
      </c>
      <c r="E515" s="4" t="s">
        <v>110</v>
      </c>
      <c r="F515" s="8"/>
      <c r="G515" s="8"/>
      <c r="H515" s="8"/>
      <c r="I515" s="8"/>
      <c r="J515" s="8"/>
      <c r="K515" s="8">
        <v>120</v>
      </c>
      <c r="L515" s="18">
        <v>720</v>
      </c>
      <c r="M515" s="7">
        <f t="shared" si="7"/>
        <v>86400</v>
      </c>
      <c r="N515" s="4"/>
      <c r="O515" s="9"/>
    </row>
    <row r="516" spans="1:15" ht="20" customHeight="1" x14ac:dyDescent="0.2">
      <c r="A516" s="3">
        <v>512</v>
      </c>
      <c r="B516" s="19"/>
      <c r="C516" s="4" t="s">
        <v>647</v>
      </c>
      <c r="D516" s="4" t="s">
        <v>109</v>
      </c>
      <c r="E516" s="4" t="s">
        <v>110</v>
      </c>
      <c r="F516" s="8"/>
      <c r="G516" s="8"/>
      <c r="H516" s="8"/>
      <c r="I516" s="8"/>
      <c r="J516" s="8"/>
      <c r="K516" s="8">
        <v>7</v>
      </c>
      <c r="L516" s="18">
        <v>37</v>
      </c>
      <c r="M516" s="7">
        <f t="shared" si="7"/>
        <v>259</v>
      </c>
      <c r="N516" s="4"/>
      <c r="O516" s="9"/>
    </row>
    <row r="517" spans="1:15" ht="20" customHeight="1" x14ac:dyDescent="0.2">
      <c r="A517" s="3">
        <v>513</v>
      </c>
      <c r="B517" s="19"/>
      <c r="C517" s="4" t="s">
        <v>648</v>
      </c>
      <c r="D517" s="4" t="s">
        <v>109</v>
      </c>
      <c r="E517" s="4" t="s">
        <v>152</v>
      </c>
      <c r="F517" s="8"/>
      <c r="G517" s="8"/>
      <c r="H517" s="8"/>
      <c r="I517" s="8"/>
      <c r="J517" s="8"/>
      <c r="K517" s="8">
        <v>25</v>
      </c>
      <c r="L517" s="18">
        <v>481.5</v>
      </c>
      <c r="M517" s="7">
        <f t="shared" ref="M517:M580" si="8">IF(OR(K517="",L517=""),"",K517*L517)</f>
        <v>12037.5</v>
      </c>
      <c r="N517" s="4"/>
      <c r="O517" s="9"/>
    </row>
    <row r="518" spans="1:15" ht="22" customHeight="1" x14ac:dyDescent="0.35">
      <c r="A518" s="10" t="s">
        <v>86</v>
      </c>
      <c r="B518" s="20"/>
      <c r="C518" s="11"/>
      <c r="D518" s="11"/>
      <c r="E518" s="11"/>
      <c r="F518" s="11"/>
      <c r="G518" s="11"/>
      <c r="H518" s="11"/>
      <c r="I518" s="11"/>
      <c r="J518" s="11"/>
      <c r="K518" s="13">
        <f>SUM(K5:K517)</f>
        <v>157826</v>
      </c>
      <c r="L518" s="11"/>
      <c r="M518" s="13">
        <f>SUM(M5:M517)</f>
        <v>8614565.0500000007</v>
      </c>
      <c r="N518" s="11"/>
      <c r="O518" s="11"/>
    </row>
    <row r="519" spans="1:15" ht="32" customHeight="1" x14ac:dyDescent="0.2">
      <c r="A519" s="23" t="s">
        <v>649</v>
      </c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</row>
  </sheetData>
  <autoFilter ref="A4:O517" xr:uid="{00000000-0009-0000-0000-000001000000}"/>
  <mergeCells count="5">
    <mergeCell ref="E2:G2"/>
    <mergeCell ref="I2:J2"/>
    <mergeCell ref="A1:O1"/>
    <mergeCell ref="A519:O519"/>
    <mergeCell ref="F3:O3"/>
  </mergeCells>
  <conditionalFormatting sqref="E3">
    <cfRule type="cellIs" dxfId="55" priority="1" operator="greaterThan">
      <formula>0.009</formula>
    </cfRule>
    <cfRule type="cellIs" dxfId="54" priority="2" operator="lessThan">
      <formula>-0.009</formula>
    </cfRule>
  </conditionalFormatting>
  <dataValidations count="1">
    <dataValidation type="list" allowBlank="1" sqref="O5:O517" xr:uid="{00000000-0002-0000-01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วัสดุสำนักงาน · DBR/2570/0004</oddHeader>
    <oddFooter>&amp;Lส่งออกจากฐาน VPK-S1 วันที่ 12 ต.ค. 2569&amp;Rหน้า 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848"/>
    <pageSetUpPr fitToPage="1"/>
  </sheetPr>
  <dimension ref="A1:O434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17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19680884.629999999</v>
      </c>
      <c r="D3" s="15" t="s">
        <v>94</v>
      </c>
      <c r="E3" s="17">
        <f>M433-C3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651</v>
      </c>
      <c r="D5" s="4" t="s">
        <v>652</v>
      </c>
      <c r="E5" s="4" t="s">
        <v>653</v>
      </c>
      <c r="F5" s="8"/>
      <c r="G5" s="8"/>
      <c r="H5" s="8"/>
      <c r="I5" s="8"/>
      <c r="J5" s="8"/>
      <c r="K5" s="8">
        <v>2</v>
      </c>
      <c r="L5" s="18">
        <v>450</v>
      </c>
      <c r="M5" s="7">
        <f t="shared" ref="M5:M68" si="0">IF(OR(K5="",L5=""),"",K5*L5)</f>
        <v>900</v>
      </c>
      <c r="N5" s="4"/>
      <c r="O5" s="9"/>
    </row>
    <row r="6" spans="1:15" ht="20" customHeight="1" x14ac:dyDescent="0.2">
      <c r="A6" s="3">
        <v>2</v>
      </c>
      <c r="B6" s="19"/>
      <c r="C6" s="4" t="s">
        <v>654</v>
      </c>
      <c r="D6" s="4" t="s">
        <v>652</v>
      </c>
      <c r="E6" s="4" t="s">
        <v>125</v>
      </c>
      <c r="F6" s="8"/>
      <c r="G6" s="8"/>
      <c r="H6" s="8"/>
      <c r="I6" s="8"/>
      <c r="J6" s="8"/>
      <c r="K6" s="8">
        <v>0</v>
      </c>
      <c r="L6" s="18">
        <v>290</v>
      </c>
      <c r="M6" s="7">
        <f t="shared" si="0"/>
        <v>0</v>
      </c>
      <c r="N6" s="4"/>
      <c r="O6" s="9"/>
    </row>
    <row r="7" spans="1:15" ht="20" customHeight="1" x14ac:dyDescent="0.2">
      <c r="A7" s="3">
        <v>3</v>
      </c>
      <c r="B7" s="19"/>
      <c r="C7" s="4" t="s">
        <v>655</v>
      </c>
      <c r="D7" s="4" t="s">
        <v>652</v>
      </c>
      <c r="E7" s="4" t="s">
        <v>125</v>
      </c>
      <c r="F7" s="8"/>
      <c r="G7" s="8"/>
      <c r="H7" s="8"/>
      <c r="I7" s="8"/>
      <c r="J7" s="8"/>
      <c r="K7" s="8">
        <v>0</v>
      </c>
      <c r="L7" s="18">
        <v>6000</v>
      </c>
      <c r="M7" s="7">
        <f t="shared" si="0"/>
        <v>0</v>
      </c>
      <c r="N7" s="4"/>
      <c r="O7" s="9"/>
    </row>
    <row r="8" spans="1:15" ht="20" customHeight="1" x14ac:dyDescent="0.2">
      <c r="A8" s="3">
        <v>4</v>
      </c>
      <c r="B8" s="19"/>
      <c r="C8" s="4" t="s">
        <v>656</v>
      </c>
      <c r="D8" s="4" t="s">
        <v>652</v>
      </c>
      <c r="E8" s="4" t="s">
        <v>125</v>
      </c>
      <c r="F8" s="8"/>
      <c r="G8" s="8"/>
      <c r="H8" s="8"/>
      <c r="I8" s="8"/>
      <c r="J8" s="8"/>
      <c r="K8" s="8">
        <v>12</v>
      </c>
      <c r="L8" s="18">
        <v>120</v>
      </c>
      <c r="M8" s="7">
        <f t="shared" si="0"/>
        <v>1440</v>
      </c>
      <c r="N8" s="4"/>
      <c r="O8" s="9"/>
    </row>
    <row r="9" spans="1:15" ht="20" customHeight="1" x14ac:dyDescent="0.2">
      <c r="A9" s="3">
        <v>5</v>
      </c>
      <c r="B9" s="19"/>
      <c r="C9" s="4" t="s">
        <v>657</v>
      </c>
      <c r="D9" s="4" t="s">
        <v>652</v>
      </c>
      <c r="E9" s="4" t="s">
        <v>196</v>
      </c>
      <c r="F9" s="8"/>
      <c r="G9" s="8"/>
      <c r="H9" s="8"/>
      <c r="I9" s="8"/>
      <c r="J9" s="8"/>
      <c r="K9" s="8">
        <v>0</v>
      </c>
      <c r="L9" s="18">
        <v>320</v>
      </c>
      <c r="M9" s="7">
        <f t="shared" si="0"/>
        <v>0</v>
      </c>
      <c r="N9" s="4"/>
      <c r="O9" s="9"/>
    </row>
    <row r="10" spans="1:15" ht="20" customHeight="1" x14ac:dyDescent="0.2">
      <c r="A10" s="3">
        <v>6</v>
      </c>
      <c r="B10" s="19"/>
      <c r="C10" s="4" t="s">
        <v>658</v>
      </c>
      <c r="D10" s="4" t="s">
        <v>652</v>
      </c>
      <c r="E10" s="4" t="s">
        <v>128</v>
      </c>
      <c r="F10" s="8"/>
      <c r="G10" s="8"/>
      <c r="H10" s="8"/>
      <c r="I10" s="8"/>
      <c r="J10" s="8"/>
      <c r="K10" s="8">
        <v>2</v>
      </c>
      <c r="L10" s="18">
        <v>22500</v>
      </c>
      <c r="M10" s="7">
        <f t="shared" si="0"/>
        <v>45000</v>
      </c>
      <c r="N10" s="4"/>
      <c r="O10" s="9"/>
    </row>
    <row r="11" spans="1:15" ht="20" customHeight="1" x14ac:dyDescent="0.2">
      <c r="A11" s="3">
        <v>7</v>
      </c>
      <c r="B11" s="19"/>
      <c r="C11" s="4" t="s">
        <v>659</v>
      </c>
      <c r="D11" s="4" t="s">
        <v>652</v>
      </c>
      <c r="E11" s="4" t="s">
        <v>137</v>
      </c>
      <c r="F11" s="8"/>
      <c r="G11" s="8"/>
      <c r="H11" s="8"/>
      <c r="I11" s="8"/>
      <c r="J11" s="8"/>
      <c r="K11" s="8">
        <v>1500</v>
      </c>
      <c r="L11" s="18">
        <v>30</v>
      </c>
      <c r="M11" s="7">
        <f t="shared" si="0"/>
        <v>45000</v>
      </c>
      <c r="N11" s="4"/>
      <c r="O11" s="9"/>
    </row>
    <row r="12" spans="1:15" ht="20" customHeight="1" x14ac:dyDescent="0.2">
      <c r="A12" s="3">
        <v>8</v>
      </c>
      <c r="B12" s="19"/>
      <c r="C12" s="4" t="s">
        <v>660</v>
      </c>
      <c r="D12" s="4" t="s">
        <v>652</v>
      </c>
      <c r="E12" s="4"/>
      <c r="F12" s="8"/>
      <c r="G12" s="8"/>
      <c r="H12" s="8"/>
      <c r="I12" s="8"/>
      <c r="J12" s="8"/>
      <c r="K12" s="8">
        <v>6</v>
      </c>
      <c r="L12" s="18">
        <v>1400</v>
      </c>
      <c r="M12" s="7">
        <f t="shared" si="0"/>
        <v>8400</v>
      </c>
      <c r="N12" s="4"/>
      <c r="O12" s="9"/>
    </row>
    <row r="13" spans="1:15" ht="20" customHeight="1" x14ac:dyDescent="0.2">
      <c r="A13" s="3">
        <v>9</v>
      </c>
      <c r="B13" s="19"/>
      <c r="C13" s="4" t="s">
        <v>661</v>
      </c>
      <c r="D13" s="4" t="s">
        <v>652</v>
      </c>
      <c r="E13" s="4" t="s">
        <v>152</v>
      </c>
      <c r="F13" s="8"/>
      <c r="G13" s="8"/>
      <c r="H13" s="8"/>
      <c r="I13" s="8"/>
      <c r="J13" s="8"/>
      <c r="K13" s="8">
        <v>2</v>
      </c>
      <c r="L13" s="18">
        <v>45000</v>
      </c>
      <c r="M13" s="7">
        <f t="shared" si="0"/>
        <v>90000</v>
      </c>
      <c r="N13" s="4"/>
      <c r="O13" s="9"/>
    </row>
    <row r="14" spans="1:15" ht="20" customHeight="1" x14ac:dyDescent="0.2">
      <c r="A14" s="3">
        <v>10</v>
      </c>
      <c r="B14" s="19"/>
      <c r="C14" s="4" t="s">
        <v>662</v>
      </c>
      <c r="D14" s="4" t="s">
        <v>652</v>
      </c>
      <c r="E14" s="4" t="s">
        <v>152</v>
      </c>
      <c r="F14" s="8"/>
      <c r="G14" s="8"/>
      <c r="H14" s="8"/>
      <c r="I14" s="8"/>
      <c r="J14" s="8"/>
      <c r="K14" s="8">
        <v>0</v>
      </c>
      <c r="L14" s="18">
        <v>50000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663</v>
      </c>
      <c r="D15" s="4" t="s">
        <v>652</v>
      </c>
      <c r="E15" s="4" t="s">
        <v>152</v>
      </c>
      <c r="F15" s="8"/>
      <c r="G15" s="8"/>
      <c r="H15" s="8"/>
      <c r="I15" s="8"/>
      <c r="J15" s="8"/>
      <c r="K15" s="8">
        <v>1</v>
      </c>
      <c r="L15" s="18">
        <v>400</v>
      </c>
      <c r="M15" s="7">
        <f t="shared" si="0"/>
        <v>400</v>
      </c>
      <c r="N15" s="4"/>
      <c r="O15" s="9"/>
    </row>
    <row r="16" spans="1:15" ht="20" customHeight="1" x14ac:dyDescent="0.2">
      <c r="A16" s="3">
        <v>12</v>
      </c>
      <c r="B16" s="19"/>
      <c r="C16" s="4" t="s">
        <v>664</v>
      </c>
      <c r="D16" s="4" t="s">
        <v>652</v>
      </c>
      <c r="E16" s="4" t="s">
        <v>271</v>
      </c>
      <c r="F16" s="8"/>
      <c r="G16" s="8"/>
      <c r="H16" s="8"/>
      <c r="I16" s="8"/>
      <c r="J16" s="8"/>
      <c r="K16" s="8">
        <v>100</v>
      </c>
      <c r="L16" s="18">
        <v>44.94</v>
      </c>
      <c r="M16" s="7">
        <f t="shared" si="0"/>
        <v>4494</v>
      </c>
      <c r="N16" s="4"/>
      <c r="O16" s="9"/>
    </row>
    <row r="17" spans="1:15" ht="20" customHeight="1" x14ac:dyDescent="0.2">
      <c r="A17" s="3">
        <v>13</v>
      </c>
      <c r="B17" s="19"/>
      <c r="C17" s="4" t="s">
        <v>665</v>
      </c>
      <c r="D17" s="4" t="s">
        <v>652</v>
      </c>
      <c r="E17" s="4" t="s">
        <v>133</v>
      </c>
      <c r="F17" s="8"/>
      <c r="G17" s="8"/>
      <c r="H17" s="8"/>
      <c r="I17" s="8"/>
      <c r="J17" s="8"/>
      <c r="K17" s="8">
        <v>0</v>
      </c>
      <c r="L17" s="18">
        <v>50.8</v>
      </c>
      <c r="M17" s="7">
        <f t="shared" si="0"/>
        <v>0</v>
      </c>
      <c r="N17" s="4"/>
      <c r="O17" s="9"/>
    </row>
    <row r="18" spans="1:15" ht="20" customHeight="1" x14ac:dyDescent="0.2">
      <c r="A18" s="3">
        <v>14</v>
      </c>
      <c r="B18" s="19"/>
      <c r="C18" s="4" t="s">
        <v>666</v>
      </c>
      <c r="D18" s="4" t="s">
        <v>652</v>
      </c>
      <c r="E18" s="4" t="s">
        <v>667</v>
      </c>
      <c r="F18" s="8"/>
      <c r="G18" s="8"/>
      <c r="H18" s="8"/>
      <c r="I18" s="8"/>
      <c r="J18" s="8"/>
      <c r="K18" s="8">
        <v>10</v>
      </c>
      <c r="L18" s="18">
        <v>2000</v>
      </c>
      <c r="M18" s="7">
        <f t="shared" si="0"/>
        <v>20000</v>
      </c>
      <c r="N18" s="4"/>
      <c r="O18" s="9"/>
    </row>
    <row r="19" spans="1:15" ht="20" customHeight="1" x14ac:dyDescent="0.2">
      <c r="A19" s="3">
        <v>15</v>
      </c>
      <c r="B19" s="19"/>
      <c r="C19" s="4" t="s">
        <v>668</v>
      </c>
      <c r="D19" s="4" t="s">
        <v>652</v>
      </c>
      <c r="E19" s="4" t="s">
        <v>667</v>
      </c>
      <c r="F19" s="8"/>
      <c r="G19" s="8"/>
      <c r="H19" s="8"/>
      <c r="I19" s="8"/>
      <c r="J19" s="8"/>
      <c r="K19" s="8">
        <v>0</v>
      </c>
      <c r="L19" s="18">
        <v>17000</v>
      </c>
      <c r="M19" s="7">
        <f t="shared" si="0"/>
        <v>0</v>
      </c>
      <c r="N19" s="4"/>
      <c r="O19" s="9"/>
    </row>
    <row r="20" spans="1:15" ht="20" customHeight="1" x14ac:dyDescent="0.2">
      <c r="A20" s="3">
        <v>16</v>
      </c>
      <c r="B20" s="19"/>
      <c r="C20" s="4" t="s">
        <v>669</v>
      </c>
      <c r="D20" s="4" t="s">
        <v>652</v>
      </c>
      <c r="E20" s="4" t="s">
        <v>196</v>
      </c>
      <c r="F20" s="8"/>
      <c r="G20" s="8"/>
      <c r="H20" s="8"/>
      <c r="I20" s="8"/>
      <c r="J20" s="8"/>
      <c r="K20" s="8">
        <v>0</v>
      </c>
      <c r="L20" s="18">
        <v>192.6</v>
      </c>
      <c r="M20" s="7">
        <f t="shared" si="0"/>
        <v>0</v>
      </c>
      <c r="N20" s="4"/>
      <c r="O20" s="9"/>
    </row>
    <row r="21" spans="1:15" ht="20" customHeight="1" x14ac:dyDescent="0.2">
      <c r="A21" s="3">
        <v>17</v>
      </c>
      <c r="B21" s="19"/>
      <c r="C21" s="4" t="s">
        <v>670</v>
      </c>
      <c r="D21" s="4" t="s">
        <v>652</v>
      </c>
      <c r="E21" s="4" t="s">
        <v>252</v>
      </c>
      <c r="F21" s="8"/>
      <c r="G21" s="8"/>
      <c r="H21" s="8"/>
      <c r="I21" s="8"/>
      <c r="J21" s="8"/>
      <c r="K21" s="8">
        <v>0</v>
      </c>
      <c r="L21" s="18">
        <v>40</v>
      </c>
      <c r="M21" s="7">
        <f t="shared" si="0"/>
        <v>0</v>
      </c>
      <c r="N21" s="4"/>
      <c r="O21" s="9"/>
    </row>
    <row r="22" spans="1:15" ht="20" customHeight="1" x14ac:dyDescent="0.2">
      <c r="A22" s="3">
        <v>18</v>
      </c>
      <c r="B22" s="19"/>
      <c r="C22" s="4" t="s">
        <v>671</v>
      </c>
      <c r="D22" s="4" t="s">
        <v>652</v>
      </c>
      <c r="E22" s="4" t="s">
        <v>252</v>
      </c>
      <c r="F22" s="8"/>
      <c r="G22" s="8"/>
      <c r="H22" s="8"/>
      <c r="I22" s="8"/>
      <c r="J22" s="8"/>
      <c r="K22" s="8">
        <v>350</v>
      </c>
      <c r="L22" s="18">
        <v>120</v>
      </c>
      <c r="M22" s="7">
        <f t="shared" si="0"/>
        <v>42000</v>
      </c>
      <c r="N22" s="4"/>
      <c r="O22" s="9"/>
    </row>
    <row r="23" spans="1:15" ht="20" customHeight="1" x14ac:dyDescent="0.2">
      <c r="A23" s="3">
        <v>19</v>
      </c>
      <c r="B23" s="19"/>
      <c r="C23" s="4" t="s">
        <v>672</v>
      </c>
      <c r="D23" s="4" t="s">
        <v>652</v>
      </c>
      <c r="E23" s="4" t="s">
        <v>252</v>
      </c>
      <c r="F23" s="8"/>
      <c r="G23" s="8"/>
      <c r="H23" s="8"/>
      <c r="I23" s="8"/>
      <c r="J23" s="8"/>
      <c r="K23" s="8">
        <v>200</v>
      </c>
      <c r="L23" s="18">
        <v>120</v>
      </c>
      <c r="M23" s="7">
        <f t="shared" si="0"/>
        <v>24000</v>
      </c>
      <c r="N23" s="4"/>
      <c r="O23" s="9"/>
    </row>
    <row r="24" spans="1:15" ht="20" customHeight="1" x14ac:dyDescent="0.2">
      <c r="A24" s="3">
        <v>20</v>
      </c>
      <c r="B24" s="19"/>
      <c r="C24" s="4" t="s">
        <v>673</v>
      </c>
      <c r="D24" s="4" t="s">
        <v>652</v>
      </c>
      <c r="E24" s="4" t="s">
        <v>229</v>
      </c>
      <c r="F24" s="8"/>
      <c r="G24" s="8"/>
      <c r="H24" s="8"/>
      <c r="I24" s="8"/>
      <c r="J24" s="8"/>
      <c r="K24" s="8">
        <v>2</v>
      </c>
      <c r="L24" s="18">
        <v>1250</v>
      </c>
      <c r="M24" s="7">
        <f t="shared" si="0"/>
        <v>2500</v>
      </c>
      <c r="N24" s="4"/>
      <c r="O24" s="9"/>
    </row>
    <row r="25" spans="1:15" ht="20" customHeight="1" x14ac:dyDescent="0.2">
      <c r="A25" s="3">
        <v>21</v>
      </c>
      <c r="B25" s="19"/>
      <c r="C25" s="4" t="s">
        <v>674</v>
      </c>
      <c r="D25" s="4" t="s">
        <v>652</v>
      </c>
      <c r="E25" s="4" t="s">
        <v>252</v>
      </c>
      <c r="F25" s="8"/>
      <c r="G25" s="8"/>
      <c r="H25" s="8"/>
      <c r="I25" s="8"/>
      <c r="J25" s="8"/>
      <c r="K25" s="8">
        <v>120</v>
      </c>
      <c r="L25" s="18">
        <v>20</v>
      </c>
      <c r="M25" s="7">
        <f t="shared" si="0"/>
        <v>2400</v>
      </c>
      <c r="N25" s="4"/>
      <c r="O25" s="9"/>
    </row>
    <row r="26" spans="1:15" ht="20" customHeight="1" x14ac:dyDescent="0.2">
      <c r="A26" s="3">
        <v>22</v>
      </c>
      <c r="B26" s="19"/>
      <c r="C26" s="4" t="s">
        <v>675</v>
      </c>
      <c r="D26" s="4" t="s">
        <v>652</v>
      </c>
      <c r="E26" s="4" t="s">
        <v>229</v>
      </c>
      <c r="F26" s="8"/>
      <c r="G26" s="8"/>
      <c r="H26" s="8"/>
      <c r="I26" s="8"/>
      <c r="J26" s="8"/>
      <c r="K26" s="8">
        <v>1</v>
      </c>
      <c r="L26" s="18">
        <v>2480</v>
      </c>
      <c r="M26" s="7">
        <f t="shared" si="0"/>
        <v>2480</v>
      </c>
      <c r="N26" s="4"/>
      <c r="O26" s="9"/>
    </row>
    <row r="27" spans="1:15" ht="20" customHeight="1" x14ac:dyDescent="0.2">
      <c r="A27" s="3">
        <v>23</v>
      </c>
      <c r="B27" s="19"/>
      <c r="C27" s="4" t="s">
        <v>676</v>
      </c>
      <c r="D27" s="4" t="s">
        <v>652</v>
      </c>
      <c r="E27" s="4" t="s">
        <v>252</v>
      </c>
      <c r="F27" s="8"/>
      <c r="G27" s="8"/>
      <c r="H27" s="8"/>
      <c r="I27" s="8"/>
      <c r="J27" s="8"/>
      <c r="K27" s="8">
        <v>350</v>
      </c>
      <c r="L27" s="18">
        <v>9.6300000000000008</v>
      </c>
      <c r="M27" s="7">
        <f t="shared" si="0"/>
        <v>3370.5000000000005</v>
      </c>
      <c r="N27" s="4"/>
      <c r="O27" s="9"/>
    </row>
    <row r="28" spans="1:15" ht="20" customHeight="1" x14ac:dyDescent="0.2">
      <c r="A28" s="3">
        <v>24</v>
      </c>
      <c r="B28" s="19"/>
      <c r="C28" s="4" t="s">
        <v>677</v>
      </c>
      <c r="D28" s="4" t="s">
        <v>652</v>
      </c>
      <c r="E28" s="4" t="s">
        <v>133</v>
      </c>
      <c r="F28" s="8"/>
      <c r="G28" s="8"/>
      <c r="H28" s="8"/>
      <c r="I28" s="8"/>
      <c r="J28" s="8"/>
      <c r="K28" s="8">
        <v>0</v>
      </c>
      <c r="L28" s="18">
        <v>65</v>
      </c>
      <c r="M28" s="7">
        <f t="shared" si="0"/>
        <v>0</v>
      </c>
      <c r="N28" s="4"/>
      <c r="O28" s="9"/>
    </row>
    <row r="29" spans="1:15" ht="20" customHeight="1" x14ac:dyDescent="0.2">
      <c r="A29" s="3">
        <v>25</v>
      </c>
      <c r="B29" s="19"/>
      <c r="C29" s="4" t="s">
        <v>678</v>
      </c>
      <c r="D29" s="4" t="s">
        <v>652</v>
      </c>
      <c r="E29" s="4" t="s">
        <v>679</v>
      </c>
      <c r="F29" s="8"/>
      <c r="G29" s="8"/>
      <c r="H29" s="8"/>
      <c r="I29" s="8"/>
      <c r="J29" s="8"/>
      <c r="K29" s="8">
        <v>0</v>
      </c>
      <c r="L29" s="18">
        <v>14.5</v>
      </c>
      <c r="M29" s="7">
        <f t="shared" si="0"/>
        <v>0</v>
      </c>
      <c r="N29" s="4"/>
      <c r="O29" s="9"/>
    </row>
    <row r="30" spans="1:15" ht="20" customHeight="1" x14ac:dyDescent="0.2">
      <c r="A30" s="3">
        <v>26</v>
      </c>
      <c r="B30" s="19"/>
      <c r="C30" s="4" t="s">
        <v>680</v>
      </c>
      <c r="D30" s="4" t="s">
        <v>652</v>
      </c>
      <c r="E30" s="4" t="s">
        <v>133</v>
      </c>
      <c r="F30" s="8"/>
      <c r="G30" s="8"/>
      <c r="H30" s="8"/>
      <c r="I30" s="8"/>
      <c r="J30" s="8"/>
      <c r="K30" s="8">
        <v>10</v>
      </c>
      <c r="L30" s="18">
        <v>35</v>
      </c>
      <c r="M30" s="7">
        <f t="shared" si="0"/>
        <v>350</v>
      </c>
      <c r="N30" s="4"/>
      <c r="O30" s="9"/>
    </row>
    <row r="31" spans="1:15" ht="20" customHeight="1" x14ac:dyDescent="0.2">
      <c r="A31" s="3">
        <v>27</v>
      </c>
      <c r="B31" s="19"/>
      <c r="C31" s="4" t="s">
        <v>681</v>
      </c>
      <c r="D31" s="4" t="s">
        <v>652</v>
      </c>
      <c r="E31" s="4" t="s">
        <v>133</v>
      </c>
      <c r="F31" s="8"/>
      <c r="G31" s="8"/>
      <c r="H31" s="8"/>
      <c r="I31" s="8"/>
      <c r="J31" s="8"/>
      <c r="K31" s="8">
        <v>120</v>
      </c>
      <c r="L31" s="18">
        <v>24</v>
      </c>
      <c r="M31" s="7">
        <f t="shared" si="0"/>
        <v>2880</v>
      </c>
      <c r="N31" s="4"/>
      <c r="O31" s="9"/>
    </row>
    <row r="32" spans="1:15" ht="20" customHeight="1" x14ac:dyDescent="0.2">
      <c r="A32" s="3">
        <v>28</v>
      </c>
      <c r="B32" s="19"/>
      <c r="C32" s="4" t="s">
        <v>682</v>
      </c>
      <c r="D32" s="4" t="s">
        <v>652</v>
      </c>
      <c r="E32" s="4" t="s">
        <v>252</v>
      </c>
      <c r="F32" s="8"/>
      <c r="G32" s="8"/>
      <c r="H32" s="8"/>
      <c r="I32" s="8"/>
      <c r="J32" s="8"/>
      <c r="K32" s="8">
        <v>1300</v>
      </c>
      <c r="L32" s="18">
        <v>5</v>
      </c>
      <c r="M32" s="7">
        <f t="shared" si="0"/>
        <v>6500</v>
      </c>
      <c r="N32" s="4"/>
      <c r="O32" s="9"/>
    </row>
    <row r="33" spans="1:15" ht="20" customHeight="1" x14ac:dyDescent="0.2">
      <c r="A33" s="3">
        <v>29</v>
      </c>
      <c r="B33" s="19"/>
      <c r="C33" s="4" t="s">
        <v>683</v>
      </c>
      <c r="D33" s="4" t="s">
        <v>652</v>
      </c>
      <c r="E33" s="4" t="s">
        <v>684</v>
      </c>
      <c r="F33" s="8"/>
      <c r="G33" s="8"/>
      <c r="H33" s="8"/>
      <c r="I33" s="8"/>
      <c r="J33" s="8"/>
      <c r="K33" s="8">
        <v>120</v>
      </c>
      <c r="L33" s="18">
        <v>304</v>
      </c>
      <c r="M33" s="7">
        <f t="shared" si="0"/>
        <v>36480</v>
      </c>
      <c r="N33" s="4"/>
      <c r="O33" s="9"/>
    </row>
    <row r="34" spans="1:15" ht="20" customHeight="1" x14ac:dyDescent="0.2">
      <c r="A34" s="3">
        <v>30</v>
      </c>
      <c r="B34" s="19"/>
      <c r="C34" s="4" t="s">
        <v>685</v>
      </c>
      <c r="D34" s="4" t="s">
        <v>652</v>
      </c>
      <c r="E34" s="4" t="s">
        <v>152</v>
      </c>
      <c r="F34" s="8"/>
      <c r="G34" s="8"/>
      <c r="H34" s="8"/>
      <c r="I34" s="8"/>
      <c r="J34" s="8"/>
      <c r="K34" s="8">
        <v>2</v>
      </c>
      <c r="L34" s="18">
        <v>1551</v>
      </c>
      <c r="M34" s="7">
        <f t="shared" si="0"/>
        <v>3102</v>
      </c>
      <c r="N34" s="4"/>
      <c r="O34" s="9"/>
    </row>
    <row r="35" spans="1:15" ht="20" customHeight="1" x14ac:dyDescent="0.2">
      <c r="A35" s="3">
        <v>31</v>
      </c>
      <c r="B35" s="19"/>
      <c r="C35" s="4" t="s">
        <v>686</v>
      </c>
      <c r="D35" s="4" t="s">
        <v>652</v>
      </c>
      <c r="E35" s="4" t="s">
        <v>152</v>
      </c>
      <c r="F35" s="8"/>
      <c r="G35" s="8"/>
      <c r="H35" s="8"/>
      <c r="I35" s="8"/>
      <c r="J35" s="8"/>
      <c r="K35" s="8">
        <v>120</v>
      </c>
      <c r="L35" s="18">
        <v>100</v>
      </c>
      <c r="M35" s="7">
        <f t="shared" si="0"/>
        <v>12000</v>
      </c>
      <c r="N35" s="4"/>
      <c r="O35" s="9"/>
    </row>
    <row r="36" spans="1:15" ht="20" customHeight="1" x14ac:dyDescent="0.2">
      <c r="A36" s="3">
        <v>32</v>
      </c>
      <c r="B36" s="19"/>
      <c r="C36" s="4" t="s">
        <v>687</v>
      </c>
      <c r="D36" s="4" t="s">
        <v>652</v>
      </c>
      <c r="E36" s="4" t="s">
        <v>152</v>
      </c>
      <c r="F36" s="8"/>
      <c r="G36" s="8"/>
      <c r="H36" s="8"/>
      <c r="I36" s="8"/>
      <c r="J36" s="8"/>
      <c r="K36" s="8">
        <v>20</v>
      </c>
      <c r="L36" s="18">
        <v>130</v>
      </c>
      <c r="M36" s="7">
        <f t="shared" si="0"/>
        <v>2600</v>
      </c>
      <c r="N36" s="4"/>
      <c r="O36" s="9"/>
    </row>
    <row r="37" spans="1:15" ht="20" customHeight="1" x14ac:dyDescent="0.2">
      <c r="A37" s="3">
        <v>33</v>
      </c>
      <c r="B37" s="19"/>
      <c r="C37" s="4" t="s">
        <v>688</v>
      </c>
      <c r="D37" s="4" t="s">
        <v>652</v>
      </c>
      <c r="E37" s="4" t="s">
        <v>152</v>
      </c>
      <c r="F37" s="8"/>
      <c r="G37" s="8"/>
      <c r="H37" s="8"/>
      <c r="I37" s="8"/>
      <c r="J37" s="8"/>
      <c r="K37" s="8">
        <v>0</v>
      </c>
      <c r="L37" s="18">
        <v>35</v>
      </c>
      <c r="M37" s="7">
        <f t="shared" si="0"/>
        <v>0</v>
      </c>
      <c r="N37" s="4"/>
      <c r="O37" s="9"/>
    </row>
    <row r="38" spans="1:15" ht="20" customHeight="1" x14ac:dyDescent="0.2">
      <c r="A38" s="3">
        <v>34</v>
      </c>
      <c r="B38" s="19"/>
      <c r="C38" s="4" t="s">
        <v>689</v>
      </c>
      <c r="D38" s="4" t="s">
        <v>652</v>
      </c>
      <c r="E38" s="4" t="s">
        <v>152</v>
      </c>
      <c r="F38" s="8"/>
      <c r="G38" s="8"/>
      <c r="H38" s="8"/>
      <c r="I38" s="8"/>
      <c r="J38" s="8"/>
      <c r="K38" s="8">
        <v>60</v>
      </c>
      <c r="L38" s="18">
        <v>25</v>
      </c>
      <c r="M38" s="7">
        <f t="shared" si="0"/>
        <v>1500</v>
      </c>
      <c r="N38" s="4"/>
      <c r="O38" s="9"/>
    </row>
    <row r="39" spans="1:15" ht="20" customHeight="1" x14ac:dyDescent="0.2">
      <c r="A39" s="3">
        <v>35</v>
      </c>
      <c r="B39" s="19"/>
      <c r="C39" s="4" t="s">
        <v>690</v>
      </c>
      <c r="D39" s="4" t="s">
        <v>652</v>
      </c>
      <c r="E39" s="4" t="s">
        <v>152</v>
      </c>
      <c r="F39" s="8"/>
      <c r="G39" s="8"/>
      <c r="H39" s="8"/>
      <c r="I39" s="8"/>
      <c r="J39" s="8"/>
      <c r="K39" s="8">
        <v>250</v>
      </c>
      <c r="L39" s="18">
        <v>25</v>
      </c>
      <c r="M39" s="7">
        <f t="shared" si="0"/>
        <v>6250</v>
      </c>
      <c r="N39" s="4"/>
      <c r="O39" s="9"/>
    </row>
    <row r="40" spans="1:15" ht="20" customHeight="1" x14ac:dyDescent="0.2">
      <c r="A40" s="3">
        <v>36</v>
      </c>
      <c r="B40" s="19"/>
      <c r="C40" s="4" t="s">
        <v>691</v>
      </c>
      <c r="D40" s="4" t="s">
        <v>652</v>
      </c>
      <c r="E40" s="4" t="s">
        <v>133</v>
      </c>
      <c r="F40" s="8"/>
      <c r="G40" s="8"/>
      <c r="H40" s="8"/>
      <c r="I40" s="8"/>
      <c r="J40" s="8"/>
      <c r="K40" s="8">
        <v>200</v>
      </c>
      <c r="L40" s="18">
        <v>518.75</v>
      </c>
      <c r="M40" s="7">
        <f t="shared" si="0"/>
        <v>103750</v>
      </c>
      <c r="N40" s="4"/>
      <c r="O40" s="9"/>
    </row>
    <row r="41" spans="1:15" ht="20" customHeight="1" x14ac:dyDescent="0.2">
      <c r="A41" s="3">
        <v>37</v>
      </c>
      <c r="B41" s="19"/>
      <c r="C41" s="4" t="s">
        <v>692</v>
      </c>
      <c r="D41" s="4" t="s">
        <v>652</v>
      </c>
      <c r="E41" s="4" t="s">
        <v>121</v>
      </c>
      <c r="F41" s="8"/>
      <c r="G41" s="8"/>
      <c r="H41" s="8"/>
      <c r="I41" s="8"/>
      <c r="J41" s="8"/>
      <c r="K41" s="8">
        <v>5</v>
      </c>
      <c r="L41" s="18">
        <v>321</v>
      </c>
      <c r="M41" s="7">
        <f t="shared" si="0"/>
        <v>1605</v>
      </c>
      <c r="N41" s="4"/>
      <c r="O41" s="9"/>
    </row>
    <row r="42" spans="1:15" ht="20" customHeight="1" x14ac:dyDescent="0.2">
      <c r="A42" s="3">
        <v>38</v>
      </c>
      <c r="B42" s="19"/>
      <c r="C42" s="4" t="s">
        <v>693</v>
      </c>
      <c r="D42" s="4" t="s">
        <v>652</v>
      </c>
      <c r="E42" s="4" t="s">
        <v>121</v>
      </c>
      <c r="F42" s="8"/>
      <c r="G42" s="8"/>
      <c r="H42" s="8"/>
      <c r="I42" s="8"/>
      <c r="J42" s="8"/>
      <c r="K42" s="8">
        <v>8</v>
      </c>
      <c r="L42" s="18">
        <v>321</v>
      </c>
      <c r="M42" s="7">
        <f t="shared" si="0"/>
        <v>2568</v>
      </c>
      <c r="N42" s="4"/>
      <c r="O42" s="9"/>
    </row>
    <row r="43" spans="1:15" ht="20" customHeight="1" x14ac:dyDescent="0.2">
      <c r="A43" s="3">
        <v>39</v>
      </c>
      <c r="B43" s="19"/>
      <c r="C43" s="4" t="s">
        <v>694</v>
      </c>
      <c r="D43" s="4" t="s">
        <v>652</v>
      </c>
      <c r="E43" s="4" t="s">
        <v>229</v>
      </c>
      <c r="F43" s="8"/>
      <c r="G43" s="8"/>
      <c r="H43" s="8"/>
      <c r="I43" s="8"/>
      <c r="J43" s="8"/>
      <c r="K43" s="8">
        <v>10</v>
      </c>
      <c r="L43" s="18">
        <v>1810</v>
      </c>
      <c r="M43" s="7">
        <f t="shared" si="0"/>
        <v>18100</v>
      </c>
      <c r="N43" s="4"/>
      <c r="O43" s="9"/>
    </row>
    <row r="44" spans="1:15" ht="20" customHeight="1" x14ac:dyDescent="0.2">
      <c r="A44" s="3">
        <v>40</v>
      </c>
      <c r="B44" s="19"/>
      <c r="C44" s="4" t="s">
        <v>695</v>
      </c>
      <c r="D44" s="4" t="s">
        <v>652</v>
      </c>
      <c r="E44" s="4" t="s">
        <v>152</v>
      </c>
      <c r="F44" s="8"/>
      <c r="G44" s="8"/>
      <c r="H44" s="8"/>
      <c r="I44" s="8"/>
      <c r="J44" s="8"/>
      <c r="K44" s="8">
        <v>24</v>
      </c>
      <c r="L44" s="18">
        <v>90</v>
      </c>
      <c r="M44" s="7">
        <f t="shared" si="0"/>
        <v>2160</v>
      </c>
      <c r="N44" s="4"/>
      <c r="O44" s="9"/>
    </row>
    <row r="45" spans="1:15" ht="20" customHeight="1" x14ac:dyDescent="0.2">
      <c r="A45" s="3">
        <v>41</v>
      </c>
      <c r="B45" s="19"/>
      <c r="C45" s="4" t="s">
        <v>696</v>
      </c>
      <c r="D45" s="4" t="s">
        <v>652</v>
      </c>
      <c r="E45" s="4" t="s">
        <v>152</v>
      </c>
      <c r="F45" s="8"/>
      <c r="G45" s="8"/>
      <c r="H45" s="8"/>
      <c r="I45" s="8"/>
      <c r="J45" s="8"/>
      <c r="K45" s="8">
        <v>3</v>
      </c>
      <c r="L45" s="18">
        <v>4702.5</v>
      </c>
      <c r="M45" s="7">
        <f t="shared" si="0"/>
        <v>14107.5</v>
      </c>
      <c r="N45" s="4"/>
      <c r="O45" s="9"/>
    </row>
    <row r="46" spans="1:15" ht="20" customHeight="1" x14ac:dyDescent="0.2">
      <c r="A46" s="3">
        <v>42</v>
      </c>
      <c r="B46" s="19"/>
      <c r="C46" s="4" t="s">
        <v>697</v>
      </c>
      <c r="D46" s="4" t="s">
        <v>652</v>
      </c>
      <c r="E46" s="4" t="s">
        <v>196</v>
      </c>
      <c r="F46" s="8"/>
      <c r="G46" s="8"/>
      <c r="H46" s="8"/>
      <c r="I46" s="8"/>
      <c r="J46" s="8"/>
      <c r="K46" s="8">
        <v>6</v>
      </c>
      <c r="L46" s="18">
        <v>5500</v>
      </c>
      <c r="M46" s="7">
        <f t="shared" si="0"/>
        <v>33000</v>
      </c>
      <c r="N46" s="4"/>
      <c r="O46" s="9"/>
    </row>
    <row r="47" spans="1:15" ht="20" customHeight="1" x14ac:dyDescent="0.2">
      <c r="A47" s="3">
        <v>43</v>
      </c>
      <c r="B47" s="19"/>
      <c r="C47" s="4" t="s">
        <v>698</v>
      </c>
      <c r="D47" s="4" t="s">
        <v>652</v>
      </c>
      <c r="E47" s="4" t="s">
        <v>125</v>
      </c>
      <c r="F47" s="8"/>
      <c r="G47" s="8"/>
      <c r="H47" s="8"/>
      <c r="I47" s="8"/>
      <c r="J47" s="8"/>
      <c r="K47" s="8">
        <v>2</v>
      </c>
      <c r="L47" s="18">
        <v>3249</v>
      </c>
      <c r="M47" s="7">
        <f t="shared" si="0"/>
        <v>6498</v>
      </c>
      <c r="N47" s="4"/>
      <c r="O47" s="9"/>
    </row>
    <row r="48" spans="1:15" ht="20" customHeight="1" x14ac:dyDescent="0.2">
      <c r="A48" s="3">
        <v>44</v>
      </c>
      <c r="B48" s="19"/>
      <c r="C48" s="4" t="s">
        <v>699</v>
      </c>
      <c r="D48" s="4" t="s">
        <v>652</v>
      </c>
      <c r="E48" s="4" t="s">
        <v>271</v>
      </c>
      <c r="F48" s="8"/>
      <c r="G48" s="8"/>
      <c r="H48" s="8"/>
      <c r="I48" s="8"/>
      <c r="J48" s="8"/>
      <c r="K48" s="8">
        <v>5</v>
      </c>
      <c r="L48" s="18">
        <v>1200</v>
      </c>
      <c r="M48" s="7">
        <f t="shared" si="0"/>
        <v>6000</v>
      </c>
      <c r="N48" s="4"/>
      <c r="O48" s="9"/>
    </row>
    <row r="49" spans="1:15" ht="20" customHeight="1" x14ac:dyDescent="0.2">
      <c r="A49" s="3">
        <v>45</v>
      </c>
      <c r="B49" s="19"/>
      <c r="C49" s="4" t="s">
        <v>700</v>
      </c>
      <c r="D49" s="4" t="s">
        <v>652</v>
      </c>
      <c r="E49" s="4" t="s">
        <v>190</v>
      </c>
      <c r="F49" s="8"/>
      <c r="G49" s="8"/>
      <c r="H49" s="8"/>
      <c r="I49" s="8"/>
      <c r="J49" s="8"/>
      <c r="K49" s="8">
        <v>120</v>
      </c>
      <c r="L49" s="18">
        <v>115</v>
      </c>
      <c r="M49" s="7">
        <f t="shared" si="0"/>
        <v>13800</v>
      </c>
      <c r="N49" s="4"/>
      <c r="O49" s="9"/>
    </row>
    <row r="50" spans="1:15" ht="20" customHeight="1" x14ac:dyDescent="0.2">
      <c r="A50" s="3">
        <v>46</v>
      </c>
      <c r="B50" s="19"/>
      <c r="C50" s="4" t="s">
        <v>701</v>
      </c>
      <c r="D50" s="4" t="s">
        <v>652</v>
      </c>
      <c r="E50" s="4" t="s">
        <v>343</v>
      </c>
      <c r="F50" s="8"/>
      <c r="G50" s="8"/>
      <c r="H50" s="8"/>
      <c r="I50" s="8"/>
      <c r="J50" s="8"/>
      <c r="K50" s="8">
        <v>5</v>
      </c>
      <c r="L50" s="18">
        <v>909.5</v>
      </c>
      <c r="M50" s="7">
        <f t="shared" si="0"/>
        <v>4547.5</v>
      </c>
      <c r="N50" s="4"/>
      <c r="O50" s="9"/>
    </row>
    <row r="51" spans="1:15" ht="20" customHeight="1" x14ac:dyDescent="0.2">
      <c r="A51" s="3">
        <v>47</v>
      </c>
      <c r="B51" s="19"/>
      <c r="C51" s="4" t="s">
        <v>702</v>
      </c>
      <c r="D51" s="4" t="s">
        <v>652</v>
      </c>
      <c r="E51" s="4" t="s">
        <v>152</v>
      </c>
      <c r="F51" s="8"/>
      <c r="G51" s="8"/>
      <c r="H51" s="8"/>
      <c r="I51" s="8"/>
      <c r="J51" s="8"/>
      <c r="K51" s="8">
        <v>3</v>
      </c>
      <c r="L51" s="18">
        <v>480</v>
      </c>
      <c r="M51" s="7">
        <f t="shared" si="0"/>
        <v>1440</v>
      </c>
      <c r="N51" s="4"/>
      <c r="O51" s="9"/>
    </row>
    <row r="52" spans="1:15" ht="20" customHeight="1" x14ac:dyDescent="0.2">
      <c r="A52" s="3">
        <v>48</v>
      </c>
      <c r="B52" s="19"/>
      <c r="C52" s="4" t="s">
        <v>703</v>
      </c>
      <c r="D52" s="4" t="s">
        <v>652</v>
      </c>
      <c r="E52" s="4" t="s">
        <v>359</v>
      </c>
      <c r="F52" s="8"/>
      <c r="G52" s="8"/>
      <c r="H52" s="8"/>
      <c r="I52" s="8"/>
      <c r="J52" s="8"/>
      <c r="K52" s="8">
        <v>0</v>
      </c>
      <c r="L52" s="18">
        <v>200</v>
      </c>
      <c r="M52" s="7">
        <f t="shared" si="0"/>
        <v>0</v>
      </c>
      <c r="N52" s="4"/>
      <c r="O52" s="9"/>
    </row>
    <row r="53" spans="1:15" ht="20" customHeight="1" x14ac:dyDescent="0.2">
      <c r="A53" s="3">
        <v>49</v>
      </c>
      <c r="B53" s="19"/>
      <c r="C53" s="4" t="s">
        <v>704</v>
      </c>
      <c r="D53" s="4" t="s">
        <v>652</v>
      </c>
      <c r="E53" s="4" t="s">
        <v>152</v>
      </c>
      <c r="F53" s="8"/>
      <c r="G53" s="8"/>
      <c r="H53" s="8"/>
      <c r="I53" s="8"/>
      <c r="J53" s="8"/>
      <c r="K53" s="8">
        <v>408</v>
      </c>
      <c r="L53" s="18">
        <v>40.659999999999997</v>
      </c>
      <c r="M53" s="7">
        <f t="shared" si="0"/>
        <v>16589.28</v>
      </c>
      <c r="N53" s="4"/>
      <c r="O53" s="9"/>
    </row>
    <row r="54" spans="1:15" ht="20" customHeight="1" x14ac:dyDescent="0.2">
      <c r="A54" s="3">
        <v>50</v>
      </c>
      <c r="B54" s="19"/>
      <c r="C54" s="4" t="s">
        <v>705</v>
      </c>
      <c r="D54" s="4" t="s">
        <v>652</v>
      </c>
      <c r="E54" s="4" t="s">
        <v>152</v>
      </c>
      <c r="F54" s="8"/>
      <c r="G54" s="8"/>
      <c r="H54" s="8"/>
      <c r="I54" s="8"/>
      <c r="J54" s="8"/>
      <c r="K54" s="8">
        <v>500</v>
      </c>
      <c r="L54" s="18">
        <v>20</v>
      </c>
      <c r="M54" s="7">
        <f t="shared" si="0"/>
        <v>10000</v>
      </c>
      <c r="N54" s="4"/>
      <c r="O54" s="9"/>
    </row>
    <row r="55" spans="1:15" ht="20" customHeight="1" x14ac:dyDescent="0.2">
      <c r="A55" s="3">
        <v>51</v>
      </c>
      <c r="B55" s="19"/>
      <c r="C55" s="4" t="s">
        <v>706</v>
      </c>
      <c r="D55" s="4" t="s">
        <v>652</v>
      </c>
      <c r="E55" s="4" t="s">
        <v>152</v>
      </c>
      <c r="F55" s="8"/>
      <c r="G55" s="8"/>
      <c r="H55" s="8"/>
      <c r="I55" s="8"/>
      <c r="J55" s="8"/>
      <c r="K55" s="8">
        <v>550</v>
      </c>
      <c r="L55" s="18">
        <v>48.15</v>
      </c>
      <c r="M55" s="7">
        <f t="shared" si="0"/>
        <v>26482.5</v>
      </c>
      <c r="N55" s="4"/>
      <c r="O55" s="9"/>
    </row>
    <row r="56" spans="1:15" ht="20" customHeight="1" x14ac:dyDescent="0.2">
      <c r="A56" s="3">
        <v>52</v>
      </c>
      <c r="B56" s="19"/>
      <c r="C56" s="4" t="s">
        <v>707</v>
      </c>
      <c r="D56" s="4" t="s">
        <v>652</v>
      </c>
      <c r="E56" s="4" t="s">
        <v>152</v>
      </c>
      <c r="F56" s="8"/>
      <c r="G56" s="8"/>
      <c r="H56" s="8"/>
      <c r="I56" s="8"/>
      <c r="J56" s="8"/>
      <c r="K56" s="8">
        <v>24</v>
      </c>
      <c r="L56" s="18">
        <v>90.95</v>
      </c>
      <c r="M56" s="7">
        <f t="shared" si="0"/>
        <v>2182.8000000000002</v>
      </c>
      <c r="N56" s="4"/>
      <c r="O56" s="9"/>
    </row>
    <row r="57" spans="1:15" ht="20" customHeight="1" x14ac:dyDescent="0.2">
      <c r="A57" s="3">
        <v>53</v>
      </c>
      <c r="B57" s="19"/>
      <c r="C57" s="4" t="s">
        <v>708</v>
      </c>
      <c r="D57" s="4" t="s">
        <v>652</v>
      </c>
      <c r="E57" s="4" t="s">
        <v>110</v>
      </c>
      <c r="F57" s="8"/>
      <c r="G57" s="8"/>
      <c r="H57" s="8"/>
      <c r="I57" s="8"/>
      <c r="J57" s="8"/>
      <c r="K57" s="8">
        <v>170</v>
      </c>
      <c r="L57" s="18">
        <v>15</v>
      </c>
      <c r="M57" s="7">
        <f t="shared" si="0"/>
        <v>2550</v>
      </c>
      <c r="N57" s="4"/>
      <c r="O57" s="9"/>
    </row>
    <row r="58" spans="1:15" ht="20" customHeight="1" x14ac:dyDescent="0.2">
      <c r="A58" s="3">
        <v>54</v>
      </c>
      <c r="B58" s="19"/>
      <c r="C58" s="4" t="s">
        <v>709</v>
      </c>
      <c r="D58" s="4" t="s">
        <v>652</v>
      </c>
      <c r="E58" s="4" t="s">
        <v>152</v>
      </c>
      <c r="F58" s="8"/>
      <c r="G58" s="8"/>
      <c r="H58" s="8"/>
      <c r="I58" s="8"/>
      <c r="J58" s="8"/>
      <c r="K58" s="8">
        <v>24</v>
      </c>
      <c r="L58" s="18">
        <v>267.5</v>
      </c>
      <c r="M58" s="7">
        <f t="shared" si="0"/>
        <v>6420</v>
      </c>
      <c r="N58" s="4"/>
      <c r="O58" s="9"/>
    </row>
    <row r="59" spans="1:15" ht="20" customHeight="1" x14ac:dyDescent="0.2">
      <c r="A59" s="3">
        <v>55</v>
      </c>
      <c r="B59" s="19"/>
      <c r="C59" s="4" t="s">
        <v>710</v>
      </c>
      <c r="D59" s="4" t="s">
        <v>652</v>
      </c>
      <c r="E59" s="4" t="s">
        <v>196</v>
      </c>
      <c r="F59" s="8"/>
      <c r="G59" s="8"/>
      <c r="H59" s="8"/>
      <c r="I59" s="8"/>
      <c r="J59" s="8"/>
      <c r="K59" s="8">
        <v>24</v>
      </c>
      <c r="L59" s="18">
        <v>460.1</v>
      </c>
      <c r="M59" s="7">
        <f t="shared" si="0"/>
        <v>11042.400000000001</v>
      </c>
      <c r="N59" s="4"/>
      <c r="O59" s="9"/>
    </row>
    <row r="60" spans="1:15" ht="20" customHeight="1" x14ac:dyDescent="0.2">
      <c r="A60" s="3">
        <v>56</v>
      </c>
      <c r="B60" s="19"/>
      <c r="C60" s="4" t="s">
        <v>711</v>
      </c>
      <c r="D60" s="4" t="s">
        <v>652</v>
      </c>
      <c r="E60" s="4" t="s">
        <v>152</v>
      </c>
      <c r="F60" s="8"/>
      <c r="G60" s="8"/>
      <c r="H60" s="8"/>
      <c r="I60" s="8"/>
      <c r="J60" s="8"/>
      <c r="K60" s="8">
        <v>60</v>
      </c>
      <c r="L60" s="18">
        <v>267.5</v>
      </c>
      <c r="M60" s="7">
        <f t="shared" si="0"/>
        <v>16050</v>
      </c>
      <c r="N60" s="4"/>
      <c r="O60" s="9"/>
    </row>
    <row r="61" spans="1:15" ht="20" customHeight="1" x14ac:dyDescent="0.2">
      <c r="A61" s="3">
        <v>57</v>
      </c>
      <c r="B61" s="19"/>
      <c r="C61" s="4" t="s">
        <v>712</v>
      </c>
      <c r="D61" s="4" t="s">
        <v>652</v>
      </c>
      <c r="E61" s="4" t="s">
        <v>152</v>
      </c>
      <c r="F61" s="8"/>
      <c r="G61" s="8"/>
      <c r="H61" s="8"/>
      <c r="I61" s="8"/>
      <c r="J61" s="8"/>
      <c r="K61" s="8">
        <v>20</v>
      </c>
      <c r="L61" s="18">
        <v>406.6</v>
      </c>
      <c r="M61" s="7">
        <f t="shared" si="0"/>
        <v>8132</v>
      </c>
      <c r="N61" s="4"/>
      <c r="O61" s="9"/>
    </row>
    <row r="62" spans="1:15" ht="20" customHeight="1" x14ac:dyDescent="0.2">
      <c r="A62" s="3">
        <v>58</v>
      </c>
      <c r="B62" s="19"/>
      <c r="C62" s="4" t="s">
        <v>713</v>
      </c>
      <c r="D62" s="4" t="s">
        <v>652</v>
      </c>
      <c r="E62" s="4" t="s">
        <v>196</v>
      </c>
      <c r="F62" s="8"/>
      <c r="G62" s="8"/>
      <c r="H62" s="8"/>
      <c r="I62" s="8"/>
      <c r="J62" s="8"/>
      <c r="K62" s="8">
        <v>24</v>
      </c>
      <c r="L62" s="18">
        <v>267.5</v>
      </c>
      <c r="M62" s="7">
        <f t="shared" si="0"/>
        <v>6420</v>
      </c>
      <c r="N62" s="4"/>
      <c r="O62" s="9"/>
    </row>
    <row r="63" spans="1:15" ht="20" customHeight="1" x14ac:dyDescent="0.2">
      <c r="A63" s="3">
        <v>59</v>
      </c>
      <c r="B63" s="19"/>
      <c r="C63" s="4" t="s">
        <v>714</v>
      </c>
      <c r="D63" s="4" t="s">
        <v>652</v>
      </c>
      <c r="E63" s="4" t="s">
        <v>152</v>
      </c>
      <c r="F63" s="8"/>
      <c r="G63" s="8"/>
      <c r="H63" s="8"/>
      <c r="I63" s="8"/>
      <c r="J63" s="8"/>
      <c r="K63" s="8">
        <v>50</v>
      </c>
      <c r="L63" s="18">
        <v>358.45</v>
      </c>
      <c r="M63" s="7">
        <f t="shared" si="0"/>
        <v>17922.5</v>
      </c>
      <c r="N63" s="4"/>
      <c r="O63" s="9"/>
    </row>
    <row r="64" spans="1:15" ht="20" customHeight="1" x14ac:dyDescent="0.2">
      <c r="A64" s="3">
        <v>60</v>
      </c>
      <c r="B64" s="19"/>
      <c r="C64" s="4" t="s">
        <v>715</v>
      </c>
      <c r="D64" s="4" t="s">
        <v>652</v>
      </c>
      <c r="E64" s="4" t="s">
        <v>152</v>
      </c>
      <c r="F64" s="8"/>
      <c r="G64" s="8"/>
      <c r="H64" s="8"/>
      <c r="I64" s="8"/>
      <c r="J64" s="8"/>
      <c r="K64" s="8">
        <v>24</v>
      </c>
      <c r="L64" s="18">
        <v>45</v>
      </c>
      <c r="M64" s="7">
        <f t="shared" si="0"/>
        <v>1080</v>
      </c>
      <c r="N64" s="4"/>
      <c r="O64" s="9"/>
    </row>
    <row r="65" spans="1:15" ht="20" customHeight="1" x14ac:dyDescent="0.2">
      <c r="A65" s="3">
        <v>61</v>
      </c>
      <c r="B65" s="19"/>
      <c r="C65" s="4" t="s">
        <v>716</v>
      </c>
      <c r="D65" s="4" t="s">
        <v>652</v>
      </c>
      <c r="E65" s="4" t="s">
        <v>679</v>
      </c>
      <c r="F65" s="8"/>
      <c r="G65" s="8"/>
      <c r="H65" s="8"/>
      <c r="I65" s="8"/>
      <c r="J65" s="8"/>
      <c r="K65" s="8">
        <v>900</v>
      </c>
      <c r="L65" s="18">
        <v>34</v>
      </c>
      <c r="M65" s="7">
        <f t="shared" si="0"/>
        <v>30600</v>
      </c>
      <c r="N65" s="4"/>
      <c r="O65" s="9"/>
    </row>
    <row r="66" spans="1:15" ht="20" customHeight="1" x14ac:dyDescent="0.2">
      <c r="A66" s="3">
        <v>62</v>
      </c>
      <c r="B66" s="19"/>
      <c r="C66" s="4" t="s">
        <v>717</v>
      </c>
      <c r="D66" s="4" t="s">
        <v>652</v>
      </c>
      <c r="E66" s="4" t="s">
        <v>152</v>
      </c>
      <c r="F66" s="8"/>
      <c r="G66" s="8"/>
      <c r="H66" s="8"/>
      <c r="I66" s="8"/>
      <c r="J66" s="8"/>
      <c r="K66" s="8">
        <v>50</v>
      </c>
      <c r="L66" s="18">
        <v>20</v>
      </c>
      <c r="M66" s="7">
        <f t="shared" si="0"/>
        <v>1000</v>
      </c>
      <c r="N66" s="4"/>
      <c r="O66" s="9"/>
    </row>
    <row r="67" spans="1:15" ht="20" customHeight="1" x14ac:dyDescent="0.2">
      <c r="A67" s="3">
        <v>63</v>
      </c>
      <c r="B67" s="19"/>
      <c r="C67" s="4" t="s">
        <v>718</v>
      </c>
      <c r="D67" s="4" t="s">
        <v>652</v>
      </c>
      <c r="E67" s="4" t="s">
        <v>252</v>
      </c>
      <c r="F67" s="8"/>
      <c r="G67" s="8"/>
      <c r="H67" s="8"/>
      <c r="I67" s="8"/>
      <c r="J67" s="8"/>
      <c r="K67" s="8">
        <v>0</v>
      </c>
      <c r="L67" s="18">
        <v>500</v>
      </c>
      <c r="M67" s="7">
        <f t="shared" si="0"/>
        <v>0</v>
      </c>
      <c r="N67" s="4"/>
      <c r="O67" s="9"/>
    </row>
    <row r="68" spans="1:15" ht="20" customHeight="1" x14ac:dyDescent="0.2">
      <c r="A68" s="3">
        <v>64</v>
      </c>
      <c r="B68" s="19"/>
      <c r="C68" s="4" t="s">
        <v>719</v>
      </c>
      <c r="D68" s="4" t="s">
        <v>652</v>
      </c>
      <c r="E68" s="4" t="s">
        <v>252</v>
      </c>
      <c r="F68" s="8"/>
      <c r="G68" s="8"/>
      <c r="H68" s="8"/>
      <c r="I68" s="8"/>
      <c r="J68" s="8"/>
      <c r="K68" s="8">
        <v>24</v>
      </c>
      <c r="L68" s="18">
        <v>980</v>
      </c>
      <c r="M68" s="7">
        <f t="shared" si="0"/>
        <v>23520</v>
      </c>
      <c r="N68" s="4"/>
      <c r="O68" s="9"/>
    </row>
    <row r="69" spans="1:15" ht="20" customHeight="1" x14ac:dyDescent="0.2">
      <c r="A69" s="3">
        <v>65</v>
      </c>
      <c r="B69" s="19"/>
      <c r="C69" s="4" t="s">
        <v>720</v>
      </c>
      <c r="D69" s="4" t="s">
        <v>652</v>
      </c>
      <c r="E69" s="4" t="s">
        <v>152</v>
      </c>
      <c r="F69" s="8"/>
      <c r="G69" s="8"/>
      <c r="H69" s="8"/>
      <c r="I69" s="8"/>
      <c r="J69" s="8"/>
      <c r="K69" s="8">
        <v>3</v>
      </c>
      <c r="L69" s="18">
        <v>4978</v>
      </c>
      <c r="M69" s="7">
        <f t="shared" ref="M69:M132" si="1">IF(OR(K69="",L69=""),"",K69*L69)</f>
        <v>14934</v>
      </c>
      <c r="N69" s="4"/>
      <c r="O69" s="9"/>
    </row>
    <row r="70" spans="1:15" ht="20" customHeight="1" x14ac:dyDescent="0.2">
      <c r="A70" s="3">
        <v>66</v>
      </c>
      <c r="B70" s="19"/>
      <c r="C70" s="4" t="s">
        <v>721</v>
      </c>
      <c r="D70" s="4" t="s">
        <v>652</v>
      </c>
      <c r="E70" s="4" t="s">
        <v>152</v>
      </c>
      <c r="F70" s="8"/>
      <c r="G70" s="8"/>
      <c r="H70" s="8"/>
      <c r="I70" s="8"/>
      <c r="J70" s="8"/>
      <c r="K70" s="8">
        <v>0</v>
      </c>
      <c r="L70" s="18">
        <v>375</v>
      </c>
      <c r="M70" s="7">
        <f t="shared" si="1"/>
        <v>0</v>
      </c>
      <c r="N70" s="4"/>
      <c r="O70" s="9"/>
    </row>
    <row r="71" spans="1:15" ht="20" customHeight="1" x14ac:dyDescent="0.2">
      <c r="A71" s="3">
        <v>67</v>
      </c>
      <c r="B71" s="19"/>
      <c r="C71" s="4" t="s">
        <v>722</v>
      </c>
      <c r="D71" s="4" t="s">
        <v>652</v>
      </c>
      <c r="E71" s="4" t="s">
        <v>152</v>
      </c>
      <c r="F71" s="8"/>
      <c r="G71" s="8"/>
      <c r="H71" s="8"/>
      <c r="I71" s="8"/>
      <c r="J71" s="8"/>
      <c r="K71" s="8">
        <v>0</v>
      </c>
      <c r="L71" s="18">
        <v>220</v>
      </c>
      <c r="M71" s="7">
        <f t="shared" si="1"/>
        <v>0</v>
      </c>
      <c r="N71" s="4"/>
      <c r="O71" s="9"/>
    </row>
    <row r="72" spans="1:15" ht="20" customHeight="1" x14ac:dyDescent="0.2">
      <c r="A72" s="3">
        <v>68</v>
      </c>
      <c r="B72" s="19"/>
      <c r="C72" s="4" t="s">
        <v>723</v>
      </c>
      <c r="D72" s="4" t="s">
        <v>652</v>
      </c>
      <c r="E72" s="4" t="s">
        <v>152</v>
      </c>
      <c r="F72" s="8"/>
      <c r="G72" s="8"/>
      <c r="H72" s="8"/>
      <c r="I72" s="8"/>
      <c r="J72" s="8"/>
      <c r="K72" s="8">
        <v>0</v>
      </c>
      <c r="L72" s="18">
        <v>230</v>
      </c>
      <c r="M72" s="7">
        <f t="shared" si="1"/>
        <v>0</v>
      </c>
      <c r="N72" s="4"/>
      <c r="O72" s="9"/>
    </row>
    <row r="73" spans="1:15" ht="20" customHeight="1" x14ac:dyDescent="0.2">
      <c r="A73" s="3">
        <v>69</v>
      </c>
      <c r="B73" s="19"/>
      <c r="C73" s="4" t="s">
        <v>724</v>
      </c>
      <c r="D73" s="4" t="s">
        <v>652</v>
      </c>
      <c r="E73" s="4" t="s">
        <v>190</v>
      </c>
      <c r="F73" s="8"/>
      <c r="G73" s="8"/>
      <c r="H73" s="8"/>
      <c r="I73" s="8"/>
      <c r="J73" s="8"/>
      <c r="K73" s="8">
        <v>0</v>
      </c>
      <c r="L73" s="18">
        <v>67</v>
      </c>
      <c r="M73" s="7">
        <f t="shared" si="1"/>
        <v>0</v>
      </c>
      <c r="N73" s="4"/>
      <c r="O73" s="9"/>
    </row>
    <row r="74" spans="1:15" ht="20" customHeight="1" x14ac:dyDescent="0.2">
      <c r="A74" s="3">
        <v>70</v>
      </c>
      <c r="B74" s="19"/>
      <c r="C74" s="4" t="s">
        <v>725</v>
      </c>
      <c r="D74" s="4" t="s">
        <v>652</v>
      </c>
      <c r="E74" s="4" t="s">
        <v>190</v>
      </c>
      <c r="F74" s="8"/>
      <c r="G74" s="8"/>
      <c r="H74" s="8"/>
      <c r="I74" s="8"/>
      <c r="J74" s="8"/>
      <c r="K74" s="8">
        <v>0</v>
      </c>
      <c r="L74" s="18">
        <v>72</v>
      </c>
      <c r="M74" s="7">
        <f t="shared" si="1"/>
        <v>0</v>
      </c>
      <c r="N74" s="4"/>
      <c r="O74" s="9"/>
    </row>
    <row r="75" spans="1:15" ht="20" customHeight="1" x14ac:dyDescent="0.2">
      <c r="A75" s="3">
        <v>71</v>
      </c>
      <c r="B75" s="19"/>
      <c r="C75" s="4" t="s">
        <v>726</v>
      </c>
      <c r="D75" s="4" t="s">
        <v>652</v>
      </c>
      <c r="E75" s="4" t="s">
        <v>190</v>
      </c>
      <c r="F75" s="8"/>
      <c r="G75" s="8"/>
      <c r="H75" s="8"/>
      <c r="I75" s="8"/>
      <c r="J75" s="8"/>
      <c r="K75" s="8">
        <v>200</v>
      </c>
      <c r="L75" s="18">
        <v>20.21</v>
      </c>
      <c r="M75" s="7">
        <f t="shared" si="1"/>
        <v>4042</v>
      </c>
      <c r="N75" s="4"/>
      <c r="O75" s="9"/>
    </row>
    <row r="76" spans="1:15" ht="20" customHeight="1" x14ac:dyDescent="0.2">
      <c r="A76" s="3">
        <v>72</v>
      </c>
      <c r="B76" s="19"/>
      <c r="C76" s="4" t="s">
        <v>727</v>
      </c>
      <c r="D76" s="4" t="s">
        <v>652</v>
      </c>
      <c r="E76" s="4" t="s">
        <v>190</v>
      </c>
      <c r="F76" s="8"/>
      <c r="G76" s="8"/>
      <c r="H76" s="8"/>
      <c r="I76" s="8"/>
      <c r="J76" s="8"/>
      <c r="K76" s="8">
        <v>0</v>
      </c>
      <c r="L76" s="18">
        <v>6.77</v>
      </c>
      <c r="M76" s="7">
        <f t="shared" si="1"/>
        <v>0</v>
      </c>
      <c r="N76" s="4"/>
      <c r="O76" s="9"/>
    </row>
    <row r="77" spans="1:15" ht="20" customHeight="1" x14ac:dyDescent="0.2">
      <c r="A77" s="3">
        <v>73</v>
      </c>
      <c r="B77" s="19"/>
      <c r="C77" s="4" t="s">
        <v>728</v>
      </c>
      <c r="D77" s="4" t="s">
        <v>652</v>
      </c>
      <c r="E77" s="4" t="s">
        <v>190</v>
      </c>
      <c r="F77" s="8"/>
      <c r="G77" s="8"/>
      <c r="H77" s="8"/>
      <c r="I77" s="8"/>
      <c r="J77" s="8"/>
      <c r="K77" s="8">
        <v>80000</v>
      </c>
      <c r="L77" s="18">
        <v>35</v>
      </c>
      <c r="M77" s="7">
        <f t="shared" si="1"/>
        <v>2800000</v>
      </c>
      <c r="N77" s="4"/>
      <c r="O77" s="9"/>
    </row>
    <row r="78" spans="1:15" ht="20" customHeight="1" x14ac:dyDescent="0.2">
      <c r="A78" s="3">
        <v>74</v>
      </c>
      <c r="B78" s="19"/>
      <c r="C78" s="4" t="s">
        <v>729</v>
      </c>
      <c r="D78" s="4" t="s">
        <v>652</v>
      </c>
      <c r="E78" s="4" t="s">
        <v>137</v>
      </c>
      <c r="F78" s="8"/>
      <c r="G78" s="8"/>
      <c r="H78" s="8"/>
      <c r="I78" s="8"/>
      <c r="J78" s="8"/>
      <c r="K78" s="8">
        <v>0</v>
      </c>
      <c r="L78" s="18">
        <v>186.36</v>
      </c>
      <c r="M78" s="7">
        <f t="shared" si="1"/>
        <v>0</v>
      </c>
      <c r="N78" s="4"/>
      <c r="O78" s="9"/>
    </row>
    <row r="79" spans="1:15" ht="20" customHeight="1" x14ac:dyDescent="0.2">
      <c r="A79" s="3">
        <v>75</v>
      </c>
      <c r="B79" s="19"/>
      <c r="C79" s="4" t="s">
        <v>730</v>
      </c>
      <c r="D79" s="4" t="s">
        <v>652</v>
      </c>
      <c r="E79" s="4" t="s">
        <v>190</v>
      </c>
      <c r="F79" s="8"/>
      <c r="G79" s="8"/>
      <c r="H79" s="8"/>
      <c r="I79" s="8"/>
      <c r="J79" s="8"/>
      <c r="K79" s="8">
        <v>350</v>
      </c>
      <c r="L79" s="18">
        <v>21.66</v>
      </c>
      <c r="M79" s="7">
        <f t="shared" si="1"/>
        <v>7581</v>
      </c>
      <c r="N79" s="4"/>
      <c r="O79" s="9"/>
    </row>
    <row r="80" spans="1:15" ht="20" customHeight="1" x14ac:dyDescent="0.2">
      <c r="A80" s="3">
        <v>76</v>
      </c>
      <c r="B80" s="19"/>
      <c r="C80" s="4" t="s">
        <v>731</v>
      </c>
      <c r="D80" s="4" t="s">
        <v>652</v>
      </c>
      <c r="E80" s="4" t="s">
        <v>110</v>
      </c>
      <c r="F80" s="8"/>
      <c r="G80" s="8"/>
      <c r="H80" s="8"/>
      <c r="I80" s="8"/>
      <c r="J80" s="8"/>
      <c r="K80" s="8">
        <v>0</v>
      </c>
      <c r="L80" s="18">
        <v>24.67</v>
      </c>
      <c r="M80" s="7">
        <f t="shared" si="1"/>
        <v>0</v>
      </c>
      <c r="N80" s="4"/>
      <c r="O80" s="9"/>
    </row>
    <row r="81" spans="1:15" ht="20" customHeight="1" x14ac:dyDescent="0.2">
      <c r="A81" s="3">
        <v>77</v>
      </c>
      <c r="B81" s="19"/>
      <c r="C81" s="4" t="s">
        <v>732</v>
      </c>
      <c r="D81" s="4" t="s">
        <v>652</v>
      </c>
      <c r="E81" s="4" t="s">
        <v>110</v>
      </c>
      <c r="F81" s="8"/>
      <c r="G81" s="8"/>
      <c r="H81" s="8"/>
      <c r="I81" s="8"/>
      <c r="J81" s="8"/>
      <c r="K81" s="8">
        <v>12000</v>
      </c>
      <c r="L81" s="18">
        <v>14.7</v>
      </c>
      <c r="M81" s="7">
        <f t="shared" si="1"/>
        <v>176400</v>
      </c>
      <c r="N81" s="4"/>
      <c r="O81" s="9"/>
    </row>
    <row r="82" spans="1:15" ht="20" customHeight="1" x14ac:dyDescent="0.2">
      <c r="A82" s="3">
        <v>78</v>
      </c>
      <c r="B82" s="19"/>
      <c r="C82" s="4" t="s">
        <v>733</v>
      </c>
      <c r="D82" s="4" t="s">
        <v>652</v>
      </c>
      <c r="E82" s="4" t="s">
        <v>137</v>
      </c>
      <c r="F82" s="8"/>
      <c r="G82" s="8"/>
      <c r="H82" s="8"/>
      <c r="I82" s="8"/>
      <c r="J82" s="8"/>
      <c r="K82" s="8">
        <v>4000</v>
      </c>
      <c r="L82" s="18">
        <v>8.43</v>
      </c>
      <c r="M82" s="7">
        <f t="shared" si="1"/>
        <v>33720</v>
      </c>
      <c r="N82" s="4"/>
      <c r="O82" s="9"/>
    </row>
    <row r="83" spans="1:15" ht="20" customHeight="1" x14ac:dyDescent="0.2">
      <c r="A83" s="3">
        <v>79</v>
      </c>
      <c r="B83" s="19"/>
      <c r="C83" s="4" t="s">
        <v>734</v>
      </c>
      <c r="D83" s="4" t="s">
        <v>652</v>
      </c>
      <c r="E83" s="4" t="s">
        <v>137</v>
      </c>
      <c r="F83" s="8"/>
      <c r="G83" s="8"/>
      <c r="H83" s="8"/>
      <c r="I83" s="8"/>
      <c r="J83" s="8"/>
      <c r="K83" s="8">
        <v>23000</v>
      </c>
      <c r="L83" s="18">
        <v>47.5</v>
      </c>
      <c r="M83" s="7">
        <f t="shared" si="1"/>
        <v>1092500</v>
      </c>
      <c r="N83" s="4"/>
      <c r="O83" s="9"/>
    </row>
    <row r="84" spans="1:15" ht="20" customHeight="1" x14ac:dyDescent="0.2">
      <c r="A84" s="3">
        <v>80</v>
      </c>
      <c r="B84" s="19"/>
      <c r="C84" s="4" t="s">
        <v>735</v>
      </c>
      <c r="D84" s="4" t="s">
        <v>652</v>
      </c>
      <c r="E84" s="4" t="s">
        <v>190</v>
      </c>
      <c r="F84" s="8"/>
      <c r="G84" s="8"/>
      <c r="H84" s="8"/>
      <c r="I84" s="8"/>
      <c r="J84" s="8"/>
      <c r="K84" s="8">
        <v>667</v>
      </c>
      <c r="L84" s="18">
        <v>10.7</v>
      </c>
      <c r="M84" s="7">
        <f t="shared" si="1"/>
        <v>7136.9</v>
      </c>
      <c r="N84" s="4"/>
      <c r="O84" s="9"/>
    </row>
    <row r="85" spans="1:15" ht="20" customHeight="1" x14ac:dyDescent="0.2">
      <c r="A85" s="3">
        <v>81</v>
      </c>
      <c r="B85" s="19"/>
      <c r="C85" s="4" t="s">
        <v>736</v>
      </c>
      <c r="D85" s="4" t="s">
        <v>652</v>
      </c>
      <c r="E85" s="4" t="s">
        <v>190</v>
      </c>
      <c r="F85" s="8"/>
      <c r="G85" s="8"/>
      <c r="H85" s="8"/>
      <c r="I85" s="8"/>
      <c r="J85" s="8"/>
      <c r="K85" s="8">
        <v>0</v>
      </c>
      <c r="L85" s="18">
        <v>92</v>
      </c>
      <c r="M85" s="7">
        <f t="shared" si="1"/>
        <v>0</v>
      </c>
      <c r="N85" s="4"/>
      <c r="O85" s="9"/>
    </row>
    <row r="86" spans="1:15" ht="20" customHeight="1" x14ac:dyDescent="0.2">
      <c r="A86" s="3">
        <v>82</v>
      </c>
      <c r="B86" s="19"/>
      <c r="C86" s="4" t="s">
        <v>737</v>
      </c>
      <c r="D86" s="4" t="s">
        <v>652</v>
      </c>
      <c r="E86" s="4" t="s">
        <v>252</v>
      </c>
      <c r="F86" s="8"/>
      <c r="G86" s="8"/>
      <c r="H86" s="8"/>
      <c r="I86" s="8"/>
      <c r="J86" s="8"/>
      <c r="K86" s="8">
        <v>0</v>
      </c>
      <c r="L86" s="18">
        <v>1400</v>
      </c>
      <c r="M86" s="7">
        <f t="shared" si="1"/>
        <v>0</v>
      </c>
      <c r="N86" s="4"/>
      <c r="O86" s="9"/>
    </row>
    <row r="87" spans="1:15" ht="20" customHeight="1" x14ac:dyDescent="0.2">
      <c r="A87" s="3">
        <v>83</v>
      </c>
      <c r="B87" s="19"/>
      <c r="C87" s="4" t="s">
        <v>738</v>
      </c>
      <c r="D87" s="4" t="s">
        <v>652</v>
      </c>
      <c r="E87" s="4" t="s">
        <v>252</v>
      </c>
      <c r="F87" s="8"/>
      <c r="G87" s="8"/>
      <c r="H87" s="8"/>
      <c r="I87" s="8"/>
      <c r="J87" s="8"/>
      <c r="K87" s="8">
        <v>0</v>
      </c>
      <c r="L87" s="18">
        <v>320</v>
      </c>
      <c r="M87" s="7">
        <f t="shared" si="1"/>
        <v>0</v>
      </c>
      <c r="N87" s="4"/>
      <c r="O87" s="9"/>
    </row>
    <row r="88" spans="1:15" ht="20" customHeight="1" x14ac:dyDescent="0.2">
      <c r="A88" s="3">
        <v>84</v>
      </c>
      <c r="B88" s="19"/>
      <c r="C88" s="4" t="s">
        <v>739</v>
      </c>
      <c r="D88" s="4" t="s">
        <v>652</v>
      </c>
      <c r="E88" s="4" t="s">
        <v>252</v>
      </c>
      <c r="F88" s="8"/>
      <c r="G88" s="8"/>
      <c r="H88" s="8"/>
      <c r="I88" s="8"/>
      <c r="J88" s="8"/>
      <c r="K88" s="8">
        <v>16</v>
      </c>
      <c r="L88" s="18">
        <v>390</v>
      </c>
      <c r="M88" s="7">
        <f t="shared" si="1"/>
        <v>6240</v>
      </c>
      <c r="N88" s="4"/>
      <c r="O88" s="9"/>
    </row>
    <row r="89" spans="1:15" ht="20" customHeight="1" x14ac:dyDescent="0.2">
      <c r="A89" s="3">
        <v>85</v>
      </c>
      <c r="B89" s="19"/>
      <c r="C89" s="4" t="s">
        <v>740</v>
      </c>
      <c r="D89" s="4" t="s">
        <v>652</v>
      </c>
      <c r="E89" s="4" t="s">
        <v>252</v>
      </c>
      <c r="F89" s="8"/>
      <c r="G89" s="8"/>
      <c r="H89" s="8"/>
      <c r="I89" s="8"/>
      <c r="J89" s="8"/>
      <c r="K89" s="8">
        <v>0</v>
      </c>
      <c r="L89" s="18">
        <v>3638</v>
      </c>
      <c r="M89" s="7">
        <f t="shared" si="1"/>
        <v>0</v>
      </c>
      <c r="N89" s="4"/>
      <c r="O89" s="9"/>
    </row>
    <row r="90" spans="1:15" ht="20" customHeight="1" x14ac:dyDescent="0.2">
      <c r="A90" s="3">
        <v>86</v>
      </c>
      <c r="B90" s="19"/>
      <c r="C90" s="4" t="s">
        <v>741</v>
      </c>
      <c r="D90" s="4" t="s">
        <v>652</v>
      </c>
      <c r="E90" s="4" t="s">
        <v>252</v>
      </c>
      <c r="F90" s="8"/>
      <c r="G90" s="8"/>
      <c r="H90" s="8"/>
      <c r="I90" s="8"/>
      <c r="J90" s="8"/>
      <c r="K90" s="8">
        <v>0</v>
      </c>
      <c r="L90" s="18">
        <v>2546</v>
      </c>
      <c r="M90" s="7">
        <f t="shared" si="1"/>
        <v>0</v>
      </c>
      <c r="N90" s="4"/>
      <c r="O90" s="9"/>
    </row>
    <row r="91" spans="1:15" ht="20" customHeight="1" x14ac:dyDescent="0.2">
      <c r="A91" s="3">
        <v>87</v>
      </c>
      <c r="B91" s="19"/>
      <c r="C91" s="4" t="s">
        <v>742</v>
      </c>
      <c r="D91" s="4" t="s">
        <v>652</v>
      </c>
      <c r="E91" s="4" t="s">
        <v>152</v>
      </c>
      <c r="F91" s="8"/>
      <c r="G91" s="8"/>
      <c r="H91" s="8"/>
      <c r="I91" s="8"/>
      <c r="J91" s="8"/>
      <c r="K91" s="8">
        <v>48</v>
      </c>
      <c r="L91" s="18">
        <v>86.4</v>
      </c>
      <c r="M91" s="7">
        <f t="shared" si="1"/>
        <v>4147.2000000000007</v>
      </c>
      <c r="N91" s="4"/>
      <c r="O91" s="9"/>
    </row>
    <row r="92" spans="1:15" ht="20" customHeight="1" x14ac:dyDescent="0.2">
      <c r="A92" s="3">
        <v>88</v>
      </c>
      <c r="B92" s="19"/>
      <c r="C92" s="4" t="s">
        <v>743</v>
      </c>
      <c r="D92" s="4" t="s">
        <v>652</v>
      </c>
      <c r="E92" s="4" t="s">
        <v>152</v>
      </c>
      <c r="F92" s="8"/>
      <c r="G92" s="8"/>
      <c r="H92" s="8"/>
      <c r="I92" s="8"/>
      <c r="J92" s="8"/>
      <c r="K92" s="8">
        <v>50</v>
      </c>
      <c r="L92" s="18">
        <v>110</v>
      </c>
      <c r="M92" s="7">
        <f t="shared" si="1"/>
        <v>5500</v>
      </c>
      <c r="N92" s="4"/>
      <c r="O92" s="9"/>
    </row>
    <row r="93" spans="1:15" ht="20" customHeight="1" x14ac:dyDescent="0.2">
      <c r="A93" s="3">
        <v>89</v>
      </c>
      <c r="B93" s="19"/>
      <c r="C93" s="4" t="s">
        <v>744</v>
      </c>
      <c r="D93" s="4" t="s">
        <v>652</v>
      </c>
      <c r="E93" s="4" t="s">
        <v>152</v>
      </c>
      <c r="F93" s="8"/>
      <c r="G93" s="8"/>
      <c r="H93" s="8"/>
      <c r="I93" s="8"/>
      <c r="J93" s="8"/>
      <c r="K93" s="8">
        <v>50</v>
      </c>
      <c r="L93" s="18">
        <v>165</v>
      </c>
      <c r="M93" s="7">
        <f t="shared" si="1"/>
        <v>8250</v>
      </c>
      <c r="N93" s="4"/>
      <c r="O93" s="9"/>
    </row>
    <row r="94" spans="1:15" ht="20" customHeight="1" x14ac:dyDescent="0.2">
      <c r="A94" s="3">
        <v>90</v>
      </c>
      <c r="B94" s="19"/>
      <c r="C94" s="4" t="s">
        <v>745</v>
      </c>
      <c r="D94" s="4" t="s">
        <v>652</v>
      </c>
      <c r="E94" s="4" t="s">
        <v>252</v>
      </c>
      <c r="F94" s="8"/>
      <c r="G94" s="8"/>
      <c r="H94" s="8"/>
      <c r="I94" s="8"/>
      <c r="J94" s="8"/>
      <c r="K94" s="8">
        <v>250</v>
      </c>
      <c r="L94" s="18">
        <v>65</v>
      </c>
      <c r="M94" s="7">
        <f t="shared" si="1"/>
        <v>16250</v>
      </c>
      <c r="N94" s="4"/>
      <c r="O94" s="9"/>
    </row>
    <row r="95" spans="1:15" ht="20" customHeight="1" x14ac:dyDescent="0.2">
      <c r="A95" s="3">
        <v>91</v>
      </c>
      <c r="B95" s="19"/>
      <c r="C95" s="4" t="s">
        <v>746</v>
      </c>
      <c r="D95" s="4" t="s">
        <v>652</v>
      </c>
      <c r="E95" s="4" t="s">
        <v>110</v>
      </c>
      <c r="F95" s="8"/>
      <c r="G95" s="8"/>
      <c r="H95" s="8"/>
      <c r="I95" s="8"/>
      <c r="J95" s="8"/>
      <c r="K95" s="8">
        <v>200</v>
      </c>
      <c r="L95" s="18">
        <v>50.29</v>
      </c>
      <c r="M95" s="7">
        <f t="shared" si="1"/>
        <v>10058</v>
      </c>
      <c r="N95" s="4"/>
      <c r="O95" s="9"/>
    </row>
    <row r="96" spans="1:15" ht="20" customHeight="1" x14ac:dyDescent="0.2">
      <c r="A96" s="3">
        <v>92</v>
      </c>
      <c r="B96" s="19"/>
      <c r="C96" s="4" t="s">
        <v>747</v>
      </c>
      <c r="D96" s="4" t="s">
        <v>652</v>
      </c>
      <c r="E96" s="4" t="s">
        <v>229</v>
      </c>
      <c r="F96" s="8"/>
      <c r="G96" s="8"/>
      <c r="H96" s="8"/>
      <c r="I96" s="8"/>
      <c r="J96" s="8"/>
      <c r="K96" s="8">
        <v>28</v>
      </c>
      <c r="L96" s="18">
        <v>1810</v>
      </c>
      <c r="M96" s="7">
        <f t="shared" si="1"/>
        <v>50680</v>
      </c>
      <c r="N96" s="4"/>
      <c r="O96" s="9"/>
    </row>
    <row r="97" spans="1:15" ht="20" customHeight="1" x14ac:dyDescent="0.2">
      <c r="A97" s="3">
        <v>93</v>
      </c>
      <c r="B97" s="19"/>
      <c r="C97" s="4" t="s">
        <v>748</v>
      </c>
      <c r="D97" s="4" t="s">
        <v>652</v>
      </c>
      <c r="E97" s="4" t="s">
        <v>252</v>
      </c>
      <c r="F97" s="8"/>
      <c r="G97" s="8"/>
      <c r="H97" s="8"/>
      <c r="I97" s="8"/>
      <c r="J97" s="8"/>
      <c r="K97" s="8">
        <v>0</v>
      </c>
      <c r="L97" s="18">
        <v>890</v>
      </c>
      <c r="M97" s="7">
        <f t="shared" si="1"/>
        <v>0</v>
      </c>
      <c r="N97" s="4"/>
      <c r="O97" s="9"/>
    </row>
    <row r="98" spans="1:15" ht="20" customHeight="1" x14ac:dyDescent="0.2">
      <c r="A98" s="3">
        <v>94</v>
      </c>
      <c r="B98" s="19"/>
      <c r="C98" s="4" t="s">
        <v>749</v>
      </c>
      <c r="D98" s="4" t="s">
        <v>652</v>
      </c>
      <c r="E98" s="4" t="s">
        <v>229</v>
      </c>
      <c r="F98" s="8"/>
      <c r="G98" s="8"/>
      <c r="H98" s="8"/>
      <c r="I98" s="8"/>
      <c r="J98" s="8"/>
      <c r="K98" s="8">
        <v>0</v>
      </c>
      <c r="L98" s="18">
        <v>360</v>
      </c>
      <c r="M98" s="7">
        <f t="shared" si="1"/>
        <v>0</v>
      </c>
      <c r="N98" s="4"/>
      <c r="O98" s="9"/>
    </row>
    <row r="99" spans="1:15" ht="20" customHeight="1" x14ac:dyDescent="0.2">
      <c r="A99" s="3">
        <v>95</v>
      </c>
      <c r="B99" s="19"/>
      <c r="C99" s="4" t="s">
        <v>750</v>
      </c>
      <c r="D99" s="4" t="s">
        <v>652</v>
      </c>
      <c r="E99" s="4" t="s">
        <v>133</v>
      </c>
      <c r="F99" s="8"/>
      <c r="G99" s="8"/>
      <c r="H99" s="8"/>
      <c r="I99" s="8"/>
      <c r="J99" s="8"/>
      <c r="K99" s="8">
        <v>440</v>
      </c>
      <c r="L99" s="18">
        <v>600</v>
      </c>
      <c r="M99" s="7">
        <f t="shared" si="1"/>
        <v>264000</v>
      </c>
      <c r="N99" s="4"/>
      <c r="O99" s="9"/>
    </row>
    <row r="100" spans="1:15" ht="20" customHeight="1" x14ac:dyDescent="0.2">
      <c r="A100" s="3">
        <v>96</v>
      </c>
      <c r="B100" s="19"/>
      <c r="C100" s="4" t="s">
        <v>751</v>
      </c>
      <c r="D100" s="4" t="s">
        <v>652</v>
      </c>
      <c r="E100" s="4" t="s">
        <v>133</v>
      </c>
      <c r="F100" s="8"/>
      <c r="G100" s="8"/>
      <c r="H100" s="8"/>
      <c r="I100" s="8"/>
      <c r="J100" s="8"/>
      <c r="K100" s="8">
        <v>0</v>
      </c>
      <c r="L100" s="18">
        <v>176</v>
      </c>
      <c r="M100" s="7">
        <f t="shared" si="1"/>
        <v>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752</v>
      </c>
      <c r="D101" s="4" t="s">
        <v>652</v>
      </c>
      <c r="E101" s="4" t="s">
        <v>133</v>
      </c>
      <c r="F101" s="8"/>
      <c r="G101" s="8"/>
      <c r="H101" s="8"/>
      <c r="I101" s="8"/>
      <c r="J101" s="8"/>
      <c r="K101" s="8">
        <v>0</v>
      </c>
      <c r="L101" s="18">
        <v>250</v>
      </c>
      <c r="M101" s="7">
        <f t="shared" si="1"/>
        <v>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753</v>
      </c>
      <c r="D102" s="4" t="s">
        <v>652</v>
      </c>
      <c r="E102" s="4" t="s">
        <v>196</v>
      </c>
      <c r="F102" s="8"/>
      <c r="G102" s="8"/>
      <c r="H102" s="8"/>
      <c r="I102" s="8"/>
      <c r="J102" s="8"/>
      <c r="K102" s="8">
        <v>0</v>
      </c>
      <c r="L102" s="18">
        <v>780</v>
      </c>
      <c r="M102" s="7">
        <f t="shared" si="1"/>
        <v>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754</v>
      </c>
      <c r="D103" s="4" t="s">
        <v>652</v>
      </c>
      <c r="E103" s="4" t="s">
        <v>252</v>
      </c>
      <c r="F103" s="8"/>
      <c r="G103" s="8"/>
      <c r="H103" s="8"/>
      <c r="I103" s="8"/>
      <c r="J103" s="8"/>
      <c r="K103" s="8">
        <v>60</v>
      </c>
      <c r="L103" s="18">
        <v>520</v>
      </c>
      <c r="M103" s="7">
        <f t="shared" si="1"/>
        <v>31200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755</v>
      </c>
      <c r="D104" s="4" t="s">
        <v>652</v>
      </c>
      <c r="E104" s="4" t="s">
        <v>252</v>
      </c>
      <c r="F104" s="8"/>
      <c r="G104" s="8"/>
      <c r="H104" s="8"/>
      <c r="I104" s="8"/>
      <c r="J104" s="8"/>
      <c r="K104" s="8">
        <v>0</v>
      </c>
      <c r="L104" s="18">
        <v>670</v>
      </c>
      <c r="M104" s="7">
        <f t="shared" si="1"/>
        <v>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756</v>
      </c>
      <c r="D105" s="4" t="s">
        <v>652</v>
      </c>
      <c r="E105" s="4" t="s">
        <v>252</v>
      </c>
      <c r="F105" s="8"/>
      <c r="G105" s="8"/>
      <c r="H105" s="8"/>
      <c r="I105" s="8"/>
      <c r="J105" s="8"/>
      <c r="K105" s="8">
        <v>0</v>
      </c>
      <c r="L105" s="18">
        <v>820</v>
      </c>
      <c r="M105" s="7">
        <f t="shared" si="1"/>
        <v>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757</v>
      </c>
      <c r="D106" s="4" t="s">
        <v>652</v>
      </c>
      <c r="E106" s="4" t="s">
        <v>229</v>
      </c>
      <c r="F106" s="8"/>
      <c r="G106" s="8"/>
      <c r="H106" s="8"/>
      <c r="I106" s="8"/>
      <c r="J106" s="8"/>
      <c r="K106" s="8">
        <v>50</v>
      </c>
      <c r="L106" s="18">
        <v>2250</v>
      </c>
      <c r="M106" s="7">
        <f t="shared" si="1"/>
        <v>112500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758</v>
      </c>
      <c r="D107" s="4" t="s">
        <v>652</v>
      </c>
      <c r="E107" s="4" t="s">
        <v>252</v>
      </c>
      <c r="F107" s="8"/>
      <c r="G107" s="8"/>
      <c r="H107" s="8"/>
      <c r="I107" s="8"/>
      <c r="J107" s="8"/>
      <c r="K107" s="8">
        <v>0</v>
      </c>
      <c r="L107" s="18">
        <v>210</v>
      </c>
      <c r="M107" s="7">
        <f t="shared" si="1"/>
        <v>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759</v>
      </c>
      <c r="D108" s="4" t="s">
        <v>652</v>
      </c>
      <c r="E108" s="4" t="s">
        <v>252</v>
      </c>
      <c r="F108" s="8"/>
      <c r="G108" s="8"/>
      <c r="H108" s="8"/>
      <c r="I108" s="8"/>
      <c r="J108" s="8"/>
      <c r="K108" s="8">
        <v>0</v>
      </c>
      <c r="L108" s="18">
        <v>1380</v>
      </c>
      <c r="M108" s="7">
        <f t="shared" si="1"/>
        <v>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760</v>
      </c>
      <c r="D109" s="4" t="s">
        <v>652</v>
      </c>
      <c r="E109" s="4" t="s">
        <v>252</v>
      </c>
      <c r="F109" s="8"/>
      <c r="G109" s="8"/>
      <c r="H109" s="8"/>
      <c r="I109" s="8"/>
      <c r="J109" s="8"/>
      <c r="K109" s="8">
        <v>0</v>
      </c>
      <c r="L109" s="18">
        <v>790</v>
      </c>
      <c r="M109" s="7">
        <f t="shared" si="1"/>
        <v>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761</v>
      </c>
      <c r="D110" s="4" t="s">
        <v>652</v>
      </c>
      <c r="E110" s="4" t="s">
        <v>252</v>
      </c>
      <c r="F110" s="8"/>
      <c r="G110" s="8"/>
      <c r="H110" s="8"/>
      <c r="I110" s="8"/>
      <c r="J110" s="8"/>
      <c r="K110" s="8">
        <v>0</v>
      </c>
      <c r="L110" s="18">
        <v>630</v>
      </c>
      <c r="M110" s="7">
        <f t="shared" si="1"/>
        <v>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762</v>
      </c>
      <c r="D111" s="4" t="s">
        <v>652</v>
      </c>
      <c r="E111" s="4" t="s">
        <v>653</v>
      </c>
      <c r="F111" s="8"/>
      <c r="G111" s="8"/>
      <c r="H111" s="8"/>
      <c r="I111" s="8"/>
      <c r="J111" s="8"/>
      <c r="K111" s="8">
        <v>20</v>
      </c>
      <c r="L111" s="18">
        <v>400</v>
      </c>
      <c r="M111" s="7">
        <f t="shared" si="1"/>
        <v>8000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763</v>
      </c>
      <c r="D112" s="4" t="s">
        <v>652</v>
      </c>
      <c r="E112" s="4" t="s">
        <v>252</v>
      </c>
      <c r="F112" s="8"/>
      <c r="G112" s="8"/>
      <c r="H112" s="8"/>
      <c r="I112" s="8"/>
      <c r="J112" s="8"/>
      <c r="K112" s="8">
        <v>0</v>
      </c>
      <c r="L112" s="18">
        <v>1048.5999999999999</v>
      </c>
      <c r="M112" s="7">
        <f t="shared" si="1"/>
        <v>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764</v>
      </c>
      <c r="D113" s="4" t="s">
        <v>652</v>
      </c>
      <c r="E113" s="4" t="s">
        <v>252</v>
      </c>
      <c r="F113" s="8"/>
      <c r="G113" s="8"/>
      <c r="H113" s="8"/>
      <c r="I113" s="8"/>
      <c r="J113" s="8"/>
      <c r="K113" s="8">
        <v>1</v>
      </c>
      <c r="L113" s="18">
        <v>1048.5999999999999</v>
      </c>
      <c r="M113" s="7">
        <f t="shared" si="1"/>
        <v>1048.5999999999999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765</v>
      </c>
      <c r="D114" s="4" t="s">
        <v>652</v>
      </c>
      <c r="E114" s="4" t="s">
        <v>252</v>
      </c>
      <c r="F114" s="8"/>
      <c r="G114" s="8"/>
      <c r="H114" s="8"/>
      <c r="I114" s="8"/>
      <c r="J114" s="8"/>
      <c r="K114" s="8">
        <v>43</v>
      </c>
      <c r="L114" s="18">
        <v>799</v>
      </c>
      <c r="M114" s="7">
        <f t="shared" si="1"/>
        <v>34357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766</v>
      </c>
      <c r="D115" s="4" t="s">
        <v>652</v>
      </c>
      <c r="E115" s="4" t="s">
        <v>152</v>
      </c>
      <c r="F115" s="8"/>
      <c r="G115" s="8"/>
      <c r="H115" s="8"/>
      <c r="I115" s="8"/>
      <c r="J115" s="8"/>
      <c r="K115" s="8">
        <v>20</v>
      </c>
      <c r="L115" s="18">
        <v>30</v>
      </c>
      <c r="M115" s="7">
        <f t="shared" si="1"/>
        <v>600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767</v>
      </c>
      <c r="D116" s="4" t="s">
        <v>652</v>
      </c>
      <c r="E116" s="4" t="s">
        <v>267</v>
      </c>
      <c r="F116" s="8"/>
      <c r="G116" s="8"/>
      <c r="H116" s="8"/>
      <c r="I116" s="8"/>
      <c r="J116" s="8"/>
      <c r="K116" s="8">
        <v>200</v>
      </c>
      <c r="L116" s="18">
        <v>394.4</v>
      </c>
      <c r="M116" s="7">
        <f t="shared" si="1"/>
        <v>78880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768</v>
      </c>
      <c r="D117" s="4" t="s">
        <v>652</v>
      </c>
      <c r="E117" s="4" t="s">
        <v>252</v>
      </c>
      <c r="F117" s="8"/>
      <c r="G117" s="8"/>
      <c r="H117" s="8"/>
      <c r="I117" s="8"/>
      <c r="J117" s="8"/>
      <c r="K117" s="8">
        <v>100000</v>
      </c>
      <c r="L117" s="18">
        <v>2.17</v>
      </c>
      <c r="M117" s="7">
        <f t="shared" si="1"/>
        <v>217000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769</v>
      </c>
      <c r="D118" s="4" t="s">
        <v>652</v>
      </c>
      <c r="E118" s="4" t="s">
        <v>267</v>
      </c>
      <c r="F118" s="8"/>
      <c r="G118" s="8"/>
      <c r="H118" s="8"/>
      <c r="I118" s="8"/>
      <c r="J118" s="8"/>
      <c r="K118" s="8">
        <v>24</v>
      </c>
      <c r="L118" s="18">
        <v>50</v>
      </c>
      <c r="M118" s="7">
        <f t="shared" si="1"/>
        <v>1200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770</v>
      </c>
      <c r="D119" s="4" t="s">
        <v>652</v>
      </c>
      <c r="E119" s="4" t="s">
        <v>252</v>
      </c>
      <c r="F119" s="8"/>
      <c r="G119" s="8"/>
      <c r="H119" s="8"/>
      <c r="I119" s="8"/>
      <c r="J119" s="8"/>
      <c r="K119" s="8">
        <v>0</v>
      </c>
      <c r="L119" s="18">
        <v>347.75</v>
      </c>
      <c r="M119" s="7">
        <f t="shared" si="1"/>
        <v>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771</v>
      </c>
      <c r="D120" s="4" t="s">
        <v>652</v>
      </c>
      <c r="E120" s="4" t="s">
        <v>252</v>
      </c>
      <c r="F120" s="8"/>
      <c r="G120" s="8"/>
      <c r="H120" s="8"/>
      <c r="I120" s="8"/>
      <c r="J120" s="8"/>
      <c r="K120" s="8">
        <v>24</v>
      </c>
      <c r="L120" s="18">
        <v>15</v>
      </c>
      <c r="M120" s="7">
        <f t="shared" si="1"/>
        <v>360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772</v>
      </c>
      <c r="D121" s="4" t="s">
        <v>652</v>
      </c>
      <c r="E121" s="4" t="s">
        <v>252</v>
      </c>
      <c r="F121" s="8"/>
      <c r="G121" s="8"/>
      <c r="H121" s="8"/>
      <c r="I121" s="8"/>
      <c r="J121" s="8"/>
      <c r="K121" s="8">
        <v>100</v>
      </c>
      <c r="L121" s="18">
        <v>125</v>
      </c>
      <c r="M121" s="7">
        <f t="shared" si="1"/>
        <v>12500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773</v>
      </c>
      <c r="D122" s="4" t="s">
        <v>652</v>
      </c>
      <c r="E122" s="4" t="s">
        <v>276</v>
      </c>
      <c r="F122" s="8"/>
      <c r="G122" s="8"/>
      <c r="H122" s="8"/>
      <c r="I122" s="8"/>
      <c r="J122" s="8"/>
      <c r="K122" s="8">
        <v>50</v>
      </c>
      <c r="L122" s="18">
        <v>120</v>
      </c>
      <c r="M122" s="7">
        <f t="shared" si="1"/>
        <v>6000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774</v>
      </c>
      <c r="D123" s="4" t="s">
        <v>652</v>
      </c>
      <c r="E123" s="4" t="s">
        <v>775</v>
      </c>
      <c r="F123" s="8"/>
      <c r="G123" s="8"/>
      <c r="H123" s="8"/>
      <c r="I123" s="8"/>
      <c r="J123" s="8"/>
      <c r="K123" s="8">
        <v>30</v>
      </c>
      <c r="L123" s="18">
        <v>120</v>
      </c>
      <c r="M123" s="7">
        <f t="shared" si="1"/>
        <v>3600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776</v>
      </c>
      <c r="D124" s="4" t="s">
        <v>652</v>
      </c>
      <c r="E124" s="4" t="s">
        <v>684</v>
      </c>
      <c r="F124" s="8"/>
      <c r="G124" s="8"/>
      <c r="H124" s="8"/>
      <c r="I124" s="8"/>
      <c r="J124" s="8"/>
      <c r="K124" s="8">
        <v>150</v>
      </c>
      <c r="L124" s="18">
        <v>304</v>
      </c>
      <c r="M124" s="7">
        <f t="shared" si="1"/>
        <v>45600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777</v>
      </c>
      <c r="D125" s="4" t="s">
        <v>652</v>
      </c>
      <c r="E125" s="4" t="s">
        <v>152</v>
      </c>
      <c r="F125" s="8"/>
      <c r="G125" s="8"/>
      <c r="H125" s="8"/>
      <c r="I125" s="8"/>
      <c r="J125" s="8"/>
      <c r="K125" s="8">
        <v>6</v>
      </c>
      <c r="L125" s="18">
        <v>80</v>
      </c>
      <c r="M125" s="7">
        <f t="shared" si="1"/>
        <v>480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778</v>
      </c>
      <c r="D126" s="4" t="s">
        <v>652</v>
      </c>
      <c r="E126" s="4" t="s">
        <v>152</v>
      </c>
      <c r="F126" s="8"/>
      <c r="G126" s="8"/>
      <c r="H126" s="8"/>
      <c r="I126" s="8"/>
      <c r="J126" s="8"/>
      <c r="K126" s="8">
        <v>6</v>
      </c>
      <c r="L126" s="18">
        <v>70</v>
      </c>
      <c r="M126" s="7">
        <f t="shared" si="1"/>
        <v>420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779</v>
      </c>
      <c r="D127" s="4" t="s">
        <v>652</v>
      </c>
      <c r="E127" s="4" t="s">
        <v>133</v>
      </c>
      <c r="F127" s="8"/>
      <c r="G127" s="8"/>
      <c r="H127" s="8"/>
      <c r="I127" s="8"/>
      <c r="J127" s="8"/>
      <c r="K127" s="8">
        <v>150</v>
      </c>
      <c r="L127" s="18">
        <v>192</v>
      </c>
      <c r="M127" s="7">
        <f t="shared" si="1"/>
        <v>28800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780</v>
      </c>
      <c r="D128" s="4" t="s">
        <v>652</v>
      </c>
      <c r="E128" s="4" t="s">
        <v>252</v>
      </c>
      <c r="F128" s="8"/>
      <c r="G128" s="8"/>
      <c r="H128" s="8"/>
      <c r="I128" s="8"/>
      <c r="J128" s="8"/>
      <c r="K128" s="8">
        <v>200</v>
      </c>
      <c r="L128" s="18">
        <v>153</v>
      </c>
      <c r="M128" s="7">
        <f t="shared" si="1"/>
        <v>30600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781</v>
      </c>
      <c r="D129" s="4" t="s">
        <v>652</v>
      </c>
      <c r="E129" s="4" t="s">
        <v>252</v>
      </c>
      <c r="F129" s="8"/>
      <c r="G129" s="8"/>
      <c r="H129" s="8"/>
      <c r="I129" s="8"/>
      <c r="J129" s="8"/>
      <c r="K129" s="8">
        <v>264</v>
      </c>
      <c r="L129" s="18">
        <v>149.16999999999999</v>
      </c>
      <c r="M129" s="7">
        <f t="shared" si="1"/>
        <v>39380.879999999997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782</v>
      </c>
      <c r="D130" s="4" t="s">
        <v>652</v>
      </c>
      <c r="E130" s="4" t="s">
        <v>252</v>
      </c>
      <c r="F130" s="8"/>
      <c r="G130" s="8"/>
      <c r="H130" s="8"/>
      <c r="I130" s="8"/>
      <c r="J130" s="8"/>
      <c r="K130" s="8">
        <v>204</v>
      </c>
      <c r="L130" s="18">
        <v>94</v>
      </c>
      <c r="M130" s="7">
        <f t="shared" si="1"/>
        <v>19176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783</v>
      </c>
      <c r="D131" s="4" t="s">
        <v>652</v>
      </c>
      <c r="E131" s="4" t="s">
        <v>252</v>
      </c>
      <c r="F131" s="8"/>
      <c r="G131" s="8"/>
      <c r="H131" s="8"/>
      <c r="I131" s="8"/>
      <c r="J131" s="8"/>
      <c r="K131" s="8">
        <v>24</v>
      </c>
      <c r="L131" s="18">
        <v>82.91</v>
      </c>
      <c r="M131" s="7">
        <f t="shared" si="1"/>
        <v>1989.84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784</v>
      </c>
      <c r="D132" s="4" t="s">
        <v>652</v>
      </c>
      <c r="E132" s="4" t="s">
        <v>196</v>
      </c>
      <c r="F132" s="8"/>
      <c r="G132" s="8"/>
      <c r="H132" s="8"/>
      <c r="I132" s="8"/>
      <c r="J132" s="8"/>
      <c r="K132" s="8">
        <v>0</v>
      </c>
      <c r="L132" s="18">
        <v>6200</v>
      </c>
      <c r="M132" s="7">
        <f t="shared" si="1"/>
        <v>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785</v>
      </c>
      <c r="D133" s="4" t="s">
        <v>652</v>
      </c>
      <c r="E133" s="4" t="s">
        <v>196</v>
      </c>
      <c r="F133" s="8"/>
      <c r="G133" s="8"/>
      <c r="H133" s="8"/>
      <c r="I133" s="8"/>
      <c r="J133" s="8"/>
      <c r="K133" s="8">
        <v>0</v>
      </c>
      <c r="L133" s="18">
        <v>5600</v>
      </c>
      <c r="M133" s="7">
        <f t="shared" ref="M133:M196" si="2">IF(OR(K133="",L133=""),"",K133*L133)</f>
        <v>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786</v>
      </c>
      <c r="D134" s="4" t="s">
        <v>652</v>
      </c>
      <c r="E134" s="4" t="s">
        <v>196</v>
      </c>
      <c r="F134" s="8"/>
      <c r="G134" s="8"/>
      <c r="H134" s="8"/>
      <c r="I134" s="8"/>
      <c r="J134" s="8"/>
      <c r="K134" s="8">
        <v>0</v>
      </c>
      <c r="L134" s="18">
        <v>8500</v>
      </c>
      <c r="M134" s="7">
        <f t="shared" si="2"/>
        <v>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787</v>
      </c>
      <c r="D135" s="4" t="s">
        <v>652</v>
      </c>
      <c r="E135" s="4" t="s">
        <v>276</v>
      </c>
      <c r="F135" s="8"/>
      <c r="G135" s="8"/>
      <c r="H135" s="8"/>
      <c r="I135" s="8"/>
      <c r="J135" s="8"/>
      <c r="K135" s="8">
        <v>0</v>
      </c>
      <c r="L135" s="18">
        <v>775</v>
      </c>
      <c r="M135" s="7">
        <f t="shared" si="2"/>
        <v>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788</v>
      </c>
      <c r="D136" s="4" t="s">
        <v>652</v>
      </c>
      <c r="E136" s="4" t="s">
        <v>359</v>
      </c>
      <c r="F136" s="8"/>
      <c r="G136" s="8"/>
      <c r="H136" s="8"/>
      <c r="I136" s="8"/>
      <c r="J136" s="8"/>
      <c r="K136" s="8">
        <v>368</v>
      </c>
      <c r="L136" s="18">
        <v>48</v>
      </c>
      <c r="M136" s="7">
        <f t="shared" si="2"/>
        <v>17664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789</v>
      </c>
      <c r="D137" s="4" t="s">
        <v>652</v>
      </c>
      <c r="E137" s="4" t="s">
        <v>359</v>
      </c>
      <c r="F137" s="8"/>
      <c r="G137" s="8"/>
      <c r="H137" s="8"/>
      <c r="I137" s="8"/>
      <c r="J137" s="8"/>
      <c r="K137" s="8">
        <v>2</v>
      </c>
      <c r="L137" s="18">
        <v>215</v>
      </c>
      <c r="M137" s="7">
        <f t="shared" si="2"/>
        <v>430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790</v>
      </c>
      <c r="D138" s="4" t="s">
        <v>652</v>
      </c>
      <c r="E138" s="4" t="s">
        <v>791</v>
      </c>
      <c r="F138" s="8"/>
      <c r="G138" s="8"/>
      <c r="H138" s="8"/>
      <c r="I138" s="8"/>
      <c r="J138" s="8"/>
      <c r="K138" s="8">
        <v>156</v>
      </c>
      <c r="L138" s="18">
        <v>45</v>
      </c>
      <c r="M138" s="7">
        <f t="shared" si="2"/>
        <v>7020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792</v>
      </c>
      <c r="D139" s="4" t="s">
        <v>652</v>
      </c>
      <c r="E139" s="4" t="s">
        <v>190</v>
      </c>
      <c r="F139" s="8"/>
      <c r="G139" s="8"/>
      <c r="H139" s="8"/>
      <c r="I139" s="8"/>
      <c r="J139" s="8"/>
      <c r="K139" s="8">
        <v>50</v>
      </c>
      <c r="L139" s="18">
        <v>775</v>
      </c>
      <c r="M139" s="7">
        <f t="shared" si="2"/>
        <v>38750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793</v>
      </c>
      <c r="D140" s="4" t="s">
        <v>652</v>
      </c>
      <c r="E140" s="4" t="s">
        <v>359</v>
      </c>
      <c r="F140" s="8"/>
      <c r="G140" s="8"/>
      <c r="H140" s="8"/>
      <c r="I140" s="8"/>
      <c r="J140" s="8"/>
      <c r="K140" s="8">
        <v>2</v>
      </c>
      <c r="L140" s="18">
        <v>595</v>
      </c>
      <c r="M140" s="7">
        <f t="shared" si="2"/>
        <v>1190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794</v>
      </c>
      <c r="D141" s="4" t="s">
        <v>652</v>
      </c>
      <c r="E141" s="4" t="s">
        <v>791</v>
      </c>
      <c r="F141" s="8"/>
      <c r="G141" s="8"/>
      <c r="H141" s="8"/>
      <c r="I141" s="8"/>
      <c r="J141" s="8"/>
      <c r="K141" s="8">
        <v>120</v>
      </c>
      <c r="L141" s="18">
        <v>29.43</v>
      </c>
      <c r="M141" s="7">
        <f t="shared" si="2"/>
        <v>3531.6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795</v>
      </c>
      <c r="D142" s="4" t="s">
        <v>652</v>
      </c>
      <c r="E142" s="4" t="s">
        <v>133</v>
      </c>
      <c r="F142" s="8"/>
      <c r="G142" s="8"/>
      <c r="H142" s="8"/>
      <c r="I142" s="8"/>
      <c r="J142" s="8"/>
      <c r="K142" s="8">
        <v>20</v>
      </c>
      <c r="L142" s="18">
        <v>69.55</v>
      </c>
      <c r="M142" s="7">
        <f t="shared" si="2"/>
        <v>1391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796</v>
      </c>
      <c r="D143" s="4" t="s">
        <v>652</v>
      </c>
      <c r="E143" s="4" t="s">
        <v>196</v>
      </c>
      <c r="F143" s="8"/>
      <c r="G143" s="8"/>
      <c r="H143" s="8"/>
      <c r="I143" s="8"/>
      <c r="J143" s="8"/>
      <c r="K143" s="8">
        <v>0</v>
      </c>
      <c r="L143" s="18">
        <v>2590</v>
      </c>
      <c r="M143" s="7">
        <f t="shared" si="2"/>
        <v>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797</v>
      </c>
      <c r="D144" s="4" t="s">
        <v>652</v>
      </c>
      <c r="E144" s="4" t="s">
        <v>152</v>
      </c>
      <c r="F144" s="8"/>
      <c r="G144" s="8"/>
      <c r="H144" s="8"/>
      <c r="I144" s="8"/>
      <c r="J144" s="8"/>
      <c r="K144" s="8">
        <v>1</v>
      </c>
      <c r="L144" s="18">
        <v>1800</v>
      </c>
      <c r="M144" s="7">
        <f t="shared" si="2"/>
        <v>1800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798</v>
      </c>
      <c r="D145" s="4" t="s">
        <v>652</v>
      </c>
      <c r="E145" s="4" t="s">
        <v>125</v>
      </c>
      <c r="F145" s="8"/>
      <c r="G145" s="8"/>
      <c r="H145" s="8"/>
      <c r="I145" s="8"/>
      <c r="J145" s="8"/>
      <c r="K145" s="8">
        <v>0</v>
      </c>
      <c r="L145" s="18">
        <v>2590</v>
      </c>
      <c r="M145" s="7">
        <f t="shared" si="2"/>
        <v>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799</v>
      </c>
      <c r="D146" s="4" t="s">
        <v>652</v>
      </c>
      <c r="E146" s="4" t="s">
        <v>152</v>
      </c>
      <c r="F146" s="8"/>
      <c r="G146" s="8"/>
      <c r="H146" s="8"/>
      <c r="I146" s="8"/>
      <c r="J146" s="8"/>
      <c r="K146" s="8">
        <v>3</v>
      </c>
      <c r="L146" s="18">
        <v>3600</v>
      </c>
      <c r="M146" s="7">
        <f t="shared" si="2"/>
        <v>10800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800</v>
      </c>
      <c r="D147" s="4" t="s">
        <v>652</v>
      </c>
      <c r="E147" s="4" t="s">
        <v>152</v>
      </c>
      <c r="F147" s="8"/>
      <c r="G147" s="8"/>
      <c r="H147" s="8"/>
      <c r="I147" s="8"/>
      <c r="J147" s="8"/>
      <c r="K147" s="8">
        <v>0</v>
      </c>
      <c r="L147" s="18">
        <v>620.6</v>
      </c>
      <c r="M147" s="7">
        <f t="shared" si="2"/>
        <v>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801</v>
      </c>
      <c r="D148" s="4" t="s">
        <v>652</v>
      </c>
      <c r="E148" s="4" t="s">
        <v>125</v>
      </c>
      <c r="F148" s="8"/>
      <c r="G148" s="8"/>
      <c r="H148" s="8"/>
      <c r="I148" s="8"/>
      <c r="J148" s="8"/>
      <c r="K148" s="8">
        <v>0</v>
      </c>
      <c r="L148" s="18">
        <v>430</v>
      </c>
      <c r="M148" s="7">
        <f t="shared" si="2"/>
        <v>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802</v>
      </c>
      <c r="D149" s="4" t="s">
        <v>652</v>
      </c>
      <c r="E149" s="4" t="s">
        <v>252</v>
      </c>
      <c r="F149" s="8"/>
      <c r="G149" s="8"/>
      <c r="H149" s="8"/>
      <c r="I149" s="8"/>
      <c r="J149" s="8"/>
      <c r="K149" s="8">
        <v>20</v>
      </c>
      <c r="L149" s="18">
        <v>2475</v>
      </c>
      <c r="M149" s="7">
        <f t="shared" si="2"/>
        <v>49500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803</v>
      </c>
      <c r="D150" s="4" t="s">
        <v>652</v>
      </c>
      <c r="E150" s="4" t="s">
        <v>229</v>
      </c>
      <c r="F150" s="8"/>
      <c r="G150" s="8"/>
      <c r="H150" s="8"/>
      <c r="I150" s="8"/>
      <c r="J150" s="8"/>
      <c r="K150" s="8">
        <v>11</v>
      </c>
      <c r="L150" s="18">
        <v>2245</v>
      </c>
      <c r="M150" s="7">
        <f t="shared" si="2"/>
        <v>24695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804</v>
      </c>
      <c r="D151" s="4" t="s">
        <v>652</v>
      </c>
      <c r="E151" s="4" t="s">
        <v>252</v>
      </c>
      <c r="F151" s="8"/>
      <c r="G151" s="8"/>
      <c r="H151" s="8"/>
      <c r="I151" s="8"/>
      <c r="J151" s="8"/>
      <c r="K151" s="8">
        <v>240</v>
      </c>
      <c r="L151" s="18">
        <v>185</v>
      </c>
      <c r="M151" s="7">
        <f t="shared" si="2"/>
        <v>44400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805</v>
      </c>
      <c r="D152" s="4" t="s">
        <v>652</v>
      </c>
      <c r="E152" s="4" t="s">
        <v>252</v>
      </c>
      <c r="F152" s="8"/>
      <c r="G152" s="8"/>
      <c r="H152" s="8"/>
      <c r="I152" s="8"/>
      <c r="J152" s="8"/>
      <c r="K152" s="8">
        <v>60</v>
      </c>
      <c r="L152" s="18">
        <v>235</v>
      </c>
      <c r="M152" s="7">
        <f t="shared" si="2"/>
        <v>14100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806</v>
      </c>
      <c r="D153" s="4" t="s">
        <v>652</v>
      </c>
      <c r="E153" s="4" t="s">
        <v>252</v>
      </c>
      <c r="F153" s="8"/>
      <c r="G153" s="8"/>
      <c r="H153" s="8"/>
      <c r="I153" s="8"/>
      <c r="J153" s="8"/>
      <c r="K153" s="8">
        <v>100</v>
      </c>
      <c r="L153" s="18">
        <v>418</v>
      </c>
      <c r="M153" s="7">
        <f t="shared" si="2"/>
        <v>41800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807</v>
      </c>
      <c r="D154" s="4" t="s">
        <v>652</v>
      </c>
      <c r="E154" s="4" t="s">
        <v>152</v>
      </c>
      <c r="F154" s="8"/>
      <c r="G154" s="8"/>
      <c r="H154" s="8"/>
      <c r="I154" s="8"/>
      <c r="J154" s="8"/>
      <c r="K154" s="8">
        <v>50</v>
      </c>
      <c r="L154" s="18">
        <v>100</v>
      </c>
      <c r="M154" s="7">
        <f t="shared" si="2"/>
        <v>5000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808</v>
      </c>
      <c r="D155" s="4" t="s">
        <v>652</v>
      </c>
      <c r="E155" s="4" t="s">
        <v>252</v>
      </c>
      <c r="F155" s="8"/>
      <c r="G155" s="8"/>
      <c r="H155" s="8"/>
      <c r="I155" s="8"/>
      <c r="J155" s="8"/>
      <c r="K155" s="8">
        <v>0</v>
      </c>
      <c r="L155" s="18">
        <v>790</v>
      </c>
      <c r="M155" s="7">
        <f t="shared" si="2"/>
        <v>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809</v>
      </c>
      <c r="D156" s="4" t="s">
        <v>652</v>
      </c>
      <c r="E156" s="4" t="s">
        <v>196</v>
      </c>
      <c r="F156" s="8"/>
      <c r="G156" s="8"/>
      <c r="H156" s="8"/>
      <c r="I156" s="8"/>
      <c r="J156" s="8"/>
      <c r="K156" s="8">
        <v>100</v>
      </c>
      <c r="L156" s="18">
        <v>199</v>
      </c>
      <c r="M156" s="7">
        <f t="shared" si="2"/>
        <v>19900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810</v>
      </c>
      <c r="D157" s="4" t="s">
        <v>652</v>
      </c>
      <c r="E157" s="4" t="s">
        <v>196</v>
      </c>
      <c r="F157" s="8"/>
      <c r="G157" s="8"/>
      <c r="H157" s="8"/>
      <c r="I157" s="8"/>
      <c r="J157" s="8"/>
      <c r="K157" s="8">
        <v>200</v>
      </c>
      <c r="L157" s="18">
        <v>674.63</v>
      </c>
      <c r="M157" s="7">
        <f t="shared" si="2"/>
        <v>134926</v>
      </c>
      <c r="N157" s="4"/>
      <c r="O157" s="9"/>
    </row>
    <row r="158" spans="1:15" ht="20" customHeight="1" x14ac:dyDescent="0.2">
      <c r="A158" s="3">
        <v>154</v>
      </c>
      <c r="B158" s="19"/>
      <c r="C158" s="4" t="s">
        <v>811</v>
      </c>
      <c r="D158" s="4" t="s">
        <v>652</v>
      </c>
      <c r="E158" s="4" t="s">
        <v>196</v>
      </c>
      <c r="F158" s="8"/>
      <c r="G158" s="8"/>
      <c r="H158" s="8"/>
      <c r="I158" s="8"/>
      <c r="J158" s="8"/>
      <c r="K158" s="8">
        <v>180</v>
      </c>
      <c r="L158" s="18">
        <v>40</v>
      </c>
      <c r="M158" s="7">
        <f t="shared" si="2"/>
        <v>7200</v>
      </c>
      <c r="N158" s="4"/>
      <c r="O158" s="9"/>
    </row>
    <row r="159" spans="1:15" ht="20" customHeight="1" x14ac:dyDescent="0.2">
      <c r="A159" s="3">
        <v>155</v>
      </c>
      <c r="B159" s="19"/>
      <c r="C159" s="4" t="s">
        <v>812</v>
      </c>
      <c r="D159" s="4" t="s">
        <v>652</v>
      </c>
      <c r="E159" s="4" t="s">
        <v>196</v>
      </c>
      <c r="F159" s="8"/>
      <c r="G159" s="8"/>
      <c r="H159" s="8"/>
      <c r="I159" s="8"/>
      <c r="J159" s="8"/>
      <c r="K159" s="8">
        <v>156</v>
      </c>
      <c r="L159" s="18">
        <v>85</v>
      </c>
      <c r="M159" s="7">
        <f t="shared" si="2"/>
        <v>13260</v>
      </c>
      <c r="N159" s="4"/>
      <c r="O159" s="9"/>
    </row>
    <row r="160" spans="1:15" ht="20" customHeight="1" x14ac:dyDescent="0.2">
      <c r="A160" s="3">
        <v>156</v>
      </c>
      <c r="B160" s="19"/>
      <c r="C160" s="4" t="s">
        <v>813</v>
      </c>
      <c r="D160" s="4" t="s">
        <v>652</v>
      </c>
      <c r="E160" s="4" t="s">
        <v>196</v>
      </c>
      <c r="F160" s="8"/>
      <c r="G160" s="8"/>
      <c r="H160" s="8"/>
      <c r="I160" s="8"/>
      <c r="J160" s="8"/>
      <c r="K160" s="8">
        <v>0</v>
      </c>
      <c r="L160" s="18">
        <v>720</v>
      </c>
      <c r="M160" s="7">
        <f t="shared" si="2"/>
        <v>0</v>
      </c>
      <c r="N160" s="4"/>
      <c r="O160" s="9"/>
    </row>
    <row r="161" spans="1:15" ht="20" customHeight="1" x14ac:dyDescent="0.2">
      <c r="A161" s="3">
        <v>157</v>
      </c>
      <c r="B161" s="19"/>
      <c r="C161" s="4" t="s">
        <v>814</v>
      </c>
      <c r="D161" s="4" t="s">
        <v>652</v>
      </c>
      <c r="E161" s="4" t="s">
        <v>287</v>
      </c>
      <c r="F161" s="8"/>
      <c r="G161" s="8"/>
      <c r="H161" s="8"/>
      <c r="I161" s="8"/>
      <c r="J161" s="8"/>
      <c r="K161" s="8">
        <v>0</v>
      </c>
      <c r="L161" s="18">
        <v>2.09</v>
      </c>
      <c r="M161" s="7">
        <f t="shared" si="2"/>
        <v>0</v>
      </c>
      <c r="N161" s="4"/>
      <c r="O161" s="9"/>
    </row>
    <row r="162" spans="1:15" ht="20" customHeight="1" x14ac:dyDescent="0.2">
      <c r="A162" s="3">
        <v>158</v>
      </c>
      <c r="B162" s="19"/>
      <c r="C162" s="4" t="s">
        <v>815</v>
      </c>
      <c r="D162" s="4" t="s">
        <v>652</v>
      </c>
      <c r="E162" s="4" t="s">
        <v>196</v>
      </c>
      <c r="F162" s="8"/>
      <c r="G162" s="8"/>
      <c r="H162" s="8"/>
      <c r="I162" s="8"/>
      <c r="J162" s="8"/>
      <c r="K162" s="8">
        <v>0</v>
      </c>
      <c r="L162" s="18">
        <v>105</v>
      </c>
      <c r="M162" s="7">
        <f t="shared" si="2"/>
        <v>0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816</v>
      </c>
      <c r="D163" s="4" t="s">
        <v>652</v>
      </c>
      <c r="E163" s="4" t="s">
        <v>196</v>
      </c>
      <c r="F163" s="8"/>
      <c r="G163" s="8"/>
      <c r="H163" s="8"/>
      <c r="I163" s="8"/>
      <c r="J163" s="8"/>
      <c r="K163" s="8">
        <v>2</v>
      </c>
      <c r="L163" s="18">
        <v>1650</v>
      </c>
      <c r="M163" s="7">
        <f t="shared" si="2"/>
        <v>3300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817</v>
      </c>
      <c r="D164" s="4" t="s">
        <v>652</v>
      </c>
      <c r="E164" s="4" t="s">
        <v>133</v>
      </c>
      <c r="F164" s="8"/>
      <c r="G164" s="8"/>
      <c r="H164" s="8"/>
      <c r="I164" s="8"/>
      <c r="J164" s="8"/>
      <c r="K164" s="8">
        <v>0</v>
      </c>
      <c r="L164" s="18">
        <v>165</v>
      </c>
      <c r="M164" s="7">
        <f t="shared" si="2"/>
        <v>0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818</v>
      </c>
      <c r="D165" s="4" t="s">
        <v>652</v>
      </c>
      <c r="E165" s="4" t="s">
        <v>252</v>
      </c>
      <c r="F165" s="8"/>
      <c r="G165" s="8"/>
      <c r="H165" s="8"/>
      <c r="I165" s="8"/>
      <c r="J165" s="8"/>
      <c r="K165" s="8">
        <v>100</v>
      </c>
      <c r="L165" s="18">
        <v>110</v>
      </c>
      <c r="M165" s="7">
        <f t="shared" si="2"/>
        <v>11000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819</v>
      </c>
      <c r="D166" s="4" t="s">
        <v>652</v>
      </c>
      <c r="E166" s="4" t="s">
        <v>252</v>
      </c>
      <c r="F166" s="8"/>
      <c r="G166" s="8"/>
      <c r="H166" s="8"/>
      <c r="I166" s="8"/>
      <c r="J166" s="8"/>
      <c r="K166" s="8">
        <v>0</v>
      </c>
      <c r="L166" s="18">
        <v>0.5</v>
      </c>
      <c r="M166" s="7">
        <f t="shared" si="2"/>
        <v>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820</v>
      </c>
      <c r="D167" s="4" t="s">
        <v>652</v>
      </c>
      <c r="E167" s="4" t="s">
        <v>252</v>
      </c>
      <c r="F167" s="8"/>
      <c r="G167" s="8"/>
      <c r="H167" s="8"/>
      <c r="I167" s="8"/>
      <c r="J167" s="8"/>
      <c r="K167" s="8">
        <v>30000</v>
      </c>
      <c r="L167" s="18">
        <v>1.1000000000000001</v>
      </c>
      <c r="M167" s="7">
        <f t="shared" si="2"/>
        <v>33000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821</v>
      </c>
      <c r="D168" s="4" t="s">
        <v>652</v>
      </c>
      <c r="E168" s="4" t="s">
        <v>252</v>
      </c>
      <c r="F168" s="8"/>
      <c r="G168" s="8"/>
      <c r="H168" s="8"/>
      <c r="I168" s="8"/>
      <c r="J168" s="8"/>
      <c r="K168" s="8">
        <v>30000</v>
      </c>
      <c r="L168" s="18">
        <v>2.65</v>
      </c>
      <c r="M168" s="7">
        <f t="shared" si="2"/>
        <v>79500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822</v>
      </c>
      <c r="D169" s="4" t="s">
        <v>652</v>
      </c>
      <c r="E169" s="4" t="s">
        <v>252</v>
      </c>
      <c r="F169" s="8"/>
      <c r="G169" s="8"/>
      <c r="H169" s="8"/>
      <c r="I169" s="8"/>
      <c r="J169" s="8"/>
      <c r="K169" s="8">
        <v>20000</v>
      </c>
      <c r="L169" s="18">
        <v>3</v>
      </c>
      <c r="M169" s="7">
        <f t="shared" si="2"/>
        <v>60000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823</v>
      </c>
      <c r="D170" s="4" t="s">
        <v>652</v>
      </c>
      <c r="E170" s="4" t="s">
        <v>252</v>
      </c>
      <c r="F170" s="8"/>
      <c r="G170" s="8"/>
      <c r="H170" s="8"/>
      <c r="I170" s="8"/>
      <c r="J170" s="8"/>
      <c r="K170" s="8">
        <v>204</v>
      </c>
      <c r="L170" s="18">
        <v>55</v>
      </c>
      <c r="M170" s="7">
        <f t="shared" si="2"/>
        <v>11220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824</v>
      </c>
      <c r="D171" s="4" t="s">
        <v>652</v>
      </c>
      <c r="E171" s="4" t="s">
        <v>152</v>
      </c>
      <c r="F171" s="8"/>
      <c r="G171" s="8"/>
      <c r="H171" s="8"/>
      <c r="I171" s="8"/>
      <c r="J171" s="8"/>
      <c r="K171" s="8">
        <v>40</v>
      </c>
      <c r="L171" s="18">
        <v>45</v>
      </c>
      <c r="M171" s="7">
        <f t="shared" si="2"/>
        <v>1800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825</v>
      </c>
      <c r="D172" s="4" t="s">
        <v>652</v>
      </c>
      <c r="E172" s="4" t="s">
        <v>137</v>
      </c>
      <c r="F172" s="8"/>
      <c r="G172" s="8"/>
      <c r="H172" s="8"/>
      <c r="I172" s="8"/>
      <c r="J172" s="8"/>
      <c r="K172" s="8">
        <v>24</v>
      </c>
      <c r="L172" s="18">
        <v>20</v>
      </c>
      <c r="M172" s="7">
        <f t="shared" si="2"/>
        <v>480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826</v>
      </c>
      <c r="D173" s="4" t="s">
        <v>652</v>
      </c>
      <c r="E173" s="4" t="s">
        <v>252</v>
      </c>
      <c r="F173" s="8"/>
      <c r="G173" s="8"/>
      <c r="H173" s="8"/>
      <c r="I173" s="8"/>
      <c r="J173" s="8"/>
      <c r="K173" s="8">
        <v>0</v>
      </c>
      <c r="L173" s="18">
        <v>165</v>
      </c>
      <c r="M173" s="7">
        <f t="shared" si="2"/>
        <v>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827</v>
      </c>
      <c r="D174" s="4" t="s">
        <v>652</v>
      </c>
      <c r="E174" s="4" t="s">
        <v>252</v>
      </c>
      <c r="F174" s="8"/>
      <c r="G174" s="8"/>
      <c r="H174" s="8"/>
      <c r="I174" s="8"/>
      <c r="J174" s="8"/>
      <c r="K174" s="8">
        <v>0</v>
      </c>
      <c r="L174" s="18">
        <v>30</v>
      </c>
      <c r="M174" s="7">
        <f t="shared" si="2"/>
        <v>0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828</v>
      </c>
      <c r="D175" s="4" t="s">
        <v>652</v>
      </c>
      <c r="E175" s="4" t="s">
        <v>252</v>
      </c>
      <c r="F175" s="8"/>
      <c r="G175" s="8"/>
      <c r="H175" s="8"/>
      <c r="I175" s="8"/>
      <c r="J175" s="8"/>
      <c r="K175" s="8">
        <v>0</v>
      </c>
      <c r="L175" s="18">
        <v>40</v>
      </c>
      <c r="M175" s="7">
        <f t="shared" si="2"/>
        <v>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829</v>
      </c>
      <c r="D176" s="4" t="s">
        <v>652</v>
      </c>
      <c r="E176" s="4" t="s">
        <v>252</v>
      </c>
      <c r="F176" s="8"/>
      <c r="G176" s="8"/>
      <c r="H176" s="8"/>
      <c r="I176" s="8"/>
      <c r="J176" s="8"/>
      <c r="K176" s="8">
        <v>0</v>
      </c>
      <c r="L176" s="18">
        <v>145</v>
      </c>
      <c r="M176" s="7">
        <f t="shared" si="2"/>
        <v>0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830</v>
      </c>
      <c r="D177" s="4" t="s">
        <v>652</v>
      </c>
      <c r="E177" s="4" t="s">
        <v>252</v>
      </c>
      <c r="F177" s="8"/>
      <c r="G177" s="8"/>
      <c r="H177" s="8"/>
      <c r="I177" s="8"/>
      <c r="J177" s="8"/>
      <c r="K177" s="8">
        <v>80</v>
      </c>
      <c r="L177" s="18">
        <v>50</v>
      </c>
      <c r="M177" s="7">
        <f t="shared" si="2"/>
        <v>4000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831</v>
      </c>
      <c r="D178" s="4" t="s">
        <v>652</v>
      </c>
      <c r="E178" s="4" t="s">
        <v>252</v>
      </c>
      <c r="F178" s="8"/>
      <c r="G178" s="8"/>
      <c r="H178" s="8"/>
      <c r="I178" s="8"/>
      <c r="J178" s="8"/>
      <c r="K178" s="8">
        <v>160</v>
      </c>
      <c r="L178" s="18">
        <v>65</v>
      </c>
      <c r="M178" s="7">
        <f t="shared" si="2"/>
        <v>10400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832</v>
      </c>
      <c r="D179" s="4" t="s">
        <v>652</v>
      </c>
      <c r="E179" s="4" t="s">
        <v>252</v>
      </c>
      <c r="F179" s="8"/>
      <c r="G179" s="8"/>
      <c r="H179" s="8"/>
      <c r="I179" s="8"/>
      <c r="J179" s="8"/>
      <c r="K179" s="8">
        <v>36</v>
      </c>
      <c r="L179" s="18">
        <v>25</v>
      </c>
      <c r="M179" s="7">
        <f t="shared" si="2"/>
        <v>900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833</v>
      </c>
      <c r="D180" s="4" t="s">
        <v>652</v>
      </c>
      <c r="E180" s="4" t="s">
        <v>252</v>
      </c>
      <c r="F180" s="8"/>
      <c r="G180" s="8"/>
      <c r="H180" s="8"/>
      <c r="I180" s="8"/>
      <c r="J180" s="8"/>
      <c r="K180" s="8">
        <v>3</v>
      </c>
      <c r="L180" s="18">
        <v>295</v>
      </c>
      <c r="M180" s="7">
        <f t="shared" si="2"/>
        <v>885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834</v>
      </c>
      <c r="D181" s="4" t="s">
        <v>652</v>
      </c>
      <c r="E181" s="4" t="s">
        <v>252</v>
      </c>
      <c r="F181" s="8"/>
      <c r="G181" s="8"/>
      <c r="H181" s="8"/>
      <c r="I181" s="8"/>
      <c r="J181" s="8"/>
      <c r="K181" s="8">
        <v>3</v>
      </c>
      <c r="L181" s="18">
        <v>130</v>
      </c>
      <c r="M181" s="7">
        <f t="shared" si="2"/>
        <v>390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835</v>
      </c>
      <c r="D182" s="4" t="s">
        <v>652</v>
      </c>
      <c r="E182" s="4" t="s">
        <v>252</v>
      </c>
      <c r="F182" s="8"/>
      <c r="G182" s="8"/>
      <c r="H182" s="8"/>
      <c r="I182" s="8"/>
      <c r="J182" s="8"/>
      <c r="K182" s="8">
        <v>0</v>
      </c>
      <c r="L182" s="18">
        <v>90</v>
      </c>
      <c r="M182" s="7">
        <f t="shared" si="2"/>
        <v>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836</v>
      </c>
      <c r="D183" s="4" t="s">
        <v>652</v>
      </c>
      <c r="E183" s="4" t="s">
        <v>252</v>
      </c>
      <c r="F183" s="8"/>
      <c r="G183" s="8"/>
      <c r="H183" s="8"/>
      <c r="I183" s="8"/>
      <c r="J183" s="8"/>
      <c r="K183" s="8">
        <v>150</v>
      </c>
      <c r="L183" s="18">
        <v>359</v>
      </c>
      <c r="M183" s="7">
        <f t="shared" si="2"/>
        <v>53850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837</v>
      </c>
      <c r="D184" s="4" t="s">
        <v>652</v>
      </c>
      <c r="E184" s="4" t="s">
        <v>252</v>
      </c>
      <c r="F184" s="8"/>
      <c r="G184" s="8"/>
      <c r="H184" s="8"/>
      <c r="I184" s="8"/>
      <c r="J184" s="8"/>
      <c r="K184" s="8">
        <v>0</v>
      </c>
      <c r="L184" s="18">
        <v>495</v>
      </c>
      <c r="M184" s="7">
        <f t="shared" si="2"/>
        <v>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838</v>
      </c>
      <c r="D185" s="4" t="s">
        <v>652</v>
      </c>
      <c r="E185" s="4" t="s">
        <v>152</v>
      </c>
      <c r="F185" s="8"/>
      <c r="G185" s="8"/>
      <c r="H185" s="8"/>
      <c r="I185" s="8"/>
      <c r="J185" s="8"/>
      <c r="K185" s="8">
        <v>0</v>
      </c>
      <c r="L185" s="18">
        <v>495</v>
      </c>
      <c r="M185" s="7">
        <f t="shared" si="2"/>
        <v>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839</v>
      </c>
      <c r="D186" s="4" t="s">
        <v>652</v>
      </c>
      <c r="E186" s="4" t="s">
        <v>252</v>
      </c>
      <c r="F186" s="8"/>
      <c r="G186" s="8"/>
      <c r="H186" s="8"/>
      <c r="I186" s="8"/>
      <c r="J186" s="8"/>
      <c r="K186" s="8">
        <v>24</v>
      </c>
      <c r="L186" s="18">
        <v>80</v>
      </c>
      <c r="M186" s="7">
        <f t="shared" si="2"/>
        <v>1920</v>
      </c>
      <c r="N186" s="4"/>
      <c r="O186" s="9"/>
    </row>
    <row r="187" spans="1:15" ht="20" customHeight="1" x14ac:dyDescent="0.2">
      <c r="A187" s="3">
        <v>183</v>
      </c>
      <c r="B187" s="19"/>
      <c r="C187" s="4" t="s">
        <v>840</v>
      </c>
      <c r="D187" s="4" t="s">
        <v>652</v>
      </c>
      <c r="E187" s="4" t="s">
        <v>252</v>
      </c>
      <c r="F187" s="8"/>
      <c r="G187" s="8"/>
      <c r="H187" s="8"/>
      <c r="I187" s="8"/>
      <c r="J187" s="8"/>
      <c r="K187" s="8">
        <v>0</v>
      </c>
      <c r="L187" s="18">
        <v>85</v>
      </c>
      <c r="M187" s="7">
        <f t="shared" si="2"/>
        <v>0</v>
      </c>
      <c r="N187" s="4"/>
      <c r="O187" s="9"/>
    </row>
    <row r="188" spans="1:15" ht="20" customHeight="1" x14ac:dyDescent="0.2">
      <c r="A188" s="3">
        <v>184</v>
      </c>
      <c r="B188" s="19"/>
      <c r="C188" s="4" t="s">
        <v>841</v>
      </c>
      <c r="D188" s="4" t="s">
        <v>652</v>
      </c>
      <c r="E188" s="4" t="s">
        <v>252</v>
      </c>
      <c r="F188" s="8"/>
      <c r="G188" s="8"/>
      <c r="H188" s="8"/>
      <c r="I188" s="8"/>
      <c r="J188" s="8"/>
      <c r="K188" s="8">
        <v>0</v>
      </c>
      <c r="L188" s="18">
        <v>3500</v>
      </c>
      <c r="M188" s="7">
        <f t="shared" si="2"/>
        <v>0</v>
      </c>
      <c r="N188" s="4"/>
      <c r="O188" s="9"/>
    </row>
    <row r="189" spans="1:15" ht="20" customHeight="1" x14ac:dyDescent="0.2">
      <c r="A189" s="3">
        <v>185</v>
      </c>
      <c r="B189" s="19"/>
      <c r="C189" s="4" t="s">
        <v>842</v>
      </c>
      <c r="D189" s="4" t="s">
        <v>652</v>
      </c>
      <c r="E189" s="4" t="s">
        <v>152</v>
      </c>
      <c r="F189" s="8"/>
      <c r="G189" s="8"/>
      <c r="H189" s="8"/>
      <c r="I189" s="8"/>
      <c r="J189" s="8"/>
      <c r="K189" s="8">
        <v>0</v>
      </c>
      <c r="L189" s="18">
        <v>265</v>
      </c>
      <c r="M189" s="7">
        <f t="shared" si="2"/>
        <v>0</v>
      </c>
      <c r="N189" s="4"/>
      <c r="O189" s="9"/>
    </row>
    <row r="190" spans="1:15" ht="20" customHeight="1" x14ac:dyDescent="0.2">
      <c r="A190" s="3">
        <v>186</v>
      </c>
      <c r="B190" s="19"/>
      <c r="C190" s="4" t="s">
        <v>843</v>
      </c>
      <c r="D190" s="4" t="s">
        <v>652</v>
      </c>
      <c r="E190" s="4" t="s">
        <v>152</v>
      </c>
      <c r="F190" s="8"/>
      <c r="G190" s="8"/>
      <c r="H190" s="8"/>
      <c r="I190" s="8"/>
      <c r="J190" s="8"/>
      <c r="K190" s="8">
        <v>0</v>
      </c>
      <c r="L190" s="18">
        <v>185</v>
      </c>
      <c r="M190" s="7">
        <f t="shared" si="2"/>
        <v>0</v>
      </c>
      <c r="N190" s="4"/>
      <c r="O190" s="9"/>
    </row>
    <row r="191" spans="1:15" ht="20" customHeight="1" x14ac:dyDescent="0.2">
      <c r="A191" s="3">
        <v>187</v>
      </c>
      <c r="B191" s="19"/>
      <c r="C191" s="4" t="s">
        <v>844</v>
      </c>
      <c r="D191" s="4" t="s">
        <v>652</v>
      </c>
      <c r="E191" s="4" t="s">
        <v>252</v>
      </c>
      <c r="F191" s="8"/>
      <c r="G191" s="8"/>
      <c r="H191" s="8"/>
      <c r="I191" s="8"/>
      <c r="J191" s="8"/>
      <c r="K191" s="8">
        <v>0</v>
      </c>
      <c r="L191" s="18">
        <v>1890</v>
      </c>
      <c r="M191" s="7">
        <f t="shared" si="2"/>
        <v>0</v>
      </c>
      <c r="N191" s="4"/>
      <c r="O191" s="9"/>
    </row>
    <row r="192" spans="1:15" ht="20" customHeight="1" x14ac:dyDescent="0.2">
      <c r="A192" s="3">
        <v>188</v>
      </c>
      <c r="B192" s="19"/>
      <c r="C192" s="4" t="s">
        <v>845</v>
      </c>
      <c r="D192" s="4" t="s">
        <v>652</v>
      </c>
      <c r="E192" s="4" t="s">
        <v>196</v>
      </c>
      <c r="F192" s="8"/>
      <c r="G192" s="8"/>
      <c r="H192" s="8"/>
      <c r="I192" s="8"/>
      <c r="J192" s="8"/>
      <c r="K192" s="8">
        <v>0</v>
      </c>
      <c r="L192" s="18">
        <v>1850</v>
      </c>
      <c r="M192" s="7">
        <f t="shared" si="2"/>
        <v>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846</v>
      </c>
      <c r="D193" s="4" t="s">
        <v>652</v>
      </c>
      <c r="E193" s="4" t="s">
        <v>252</v>
      </c>
      <c r="F193" s="8"/>
      <c r="G193" s="8"/>
      <c r="H193" s="8"/>
      <c r="I193" s="8"/>
      <c r="J193" s="8"/>
      <c r="K193" s="8">
        <v>24</v>
      </c>
      <c r="L193" s="18">
        <v>129.16999999999999</v>
      </c>
      <c r="M193" s="7">
        <f t="shared" si="2"/>
        <v>3100.08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847</v>
      </c>
      <c r="D194" s="4" t="s">
        <v>652</v>
      </c>
      <c r="E194" s="4" t="s">
        <v>229</v>
      </c>
      <c r="F194" s="8"/>
      <c r="G194" s="8"/>
      <c r="H194" s="8"/>
      <c r="I194" s="8"/>
      <c r="J194" s="8"/>
      <c r="K194" s="8">
        <v>15</v>
      </c>
      <c r="L194" s="18">
        <v>1850</v>
      </c>
      <c r="M194" s="7">
        <f t="shared" si="2"/>
        <v>27750</v>
      </c>
      <c r="N194" s="4"/>
      <c r="O194" s="9"/>
    </row>
    <row r="195" spans="1:15" ht="20" customHeight="1" x14ac:dyDescent="0.2">
      <c r="A195" s="3">
        <v>191</v>
      </c>
      <c r="B195" s="19"/>
      <c r="C195" s="4" t="s">
        <v>848</v>
      </c>
      <c r="D195" s="4" t="s">
        <v>652</v>
      </c>
      <c r="E195" s="4" t="s">
        <v>229</v>
      </c>
      <c r="F195" s="8"/>
      <c r="G195" s="8"/>
      <c r="H195" s="8"/>
      <c r="I195" s="8"/>
      <c r="J195" s="8"/>
      <c r="K195" s="8">
        <v>6</v>
      </c>
      <c r="L195" s="18">
        <v>1620</v>
      </c>
      <c r="M195" s="7">
        <f t="shared" si="2"/>
        <v>9720</v>
      </c>
      <c r="N195" s="4"/>
      <c r="O195" s="9"/>
    </row>
    <row r="196" spans="1:15" ht="20" customHeight="1" x14ac:dyDescent="0.2">
      <c r="A196" s="3">
        <v>192</v>
      </c>
      <c r="B196" s="19"/>
      <c r="C196" s="4" t="s">
        <v>849</v>
      </c>
      <c r="D196" s="4" t="s">
        <v>652</v>
      </c>
      <c r="E196" s="4" t="s">
        <v>252</v>
      </c>
      <c r="F196" s="8"/>
      <c r="G196" s="8"/>
      <c r="H196" s="8"/>
      <c r="I196" s="8"/>
      <c r="J196" s="8"/>
      <c r="K196" s="8">
        <v>240</v>
      </c>
      <c r="L196" s="18">
        <v>56.82</v>
      </c>
      <c r="M196" s="7">
        <f t="shared" si="2"/>
        <v>13636.8</v>
      </c>
      <c r="N196" s="4"/>
      <c r="O196" s="9"/>
    </row>
    <row r="197" spans="1:15" ht="20" customHeight="1" x14ac:dyDescent="0.2">
      <c r="A197" s="3">
        <v>193</v>
      </c>
      <c r="B197" s="19"/>
      <c r="C197" s="4" t="s">
        <v>850</v>
      </c>
      <c r="D197" s="4" t="s">
        <v>652</v>
      </c>
      <c r="E197" s="4" t="s">
        <v>229</v>
      </c>
      <c r="F197" s="8"/>
      <c r="G197" s="8"/>
      <c r="H197" s="8"/>
      <c r="I197" s="8"/>
      <c r="J197" s="8"/>
      <c r="K197" s="8">
        <v>50</v>
      </c>
      <c r="L197" s="18">
        <v>1870</v>
      </c>
      <c r="M197" s="7">
        <f t="shared" ref="M197:M260" si="3">IF(OR(K197="",L197=""),"",K197*L197)</f>
        <v>93500</v>
      </c>
      <c r="N197" s="4"/>
      <c r="O197" s="9"/>
    </row>
    <row r="198" spans="1:15" ht="20" customHeight="1" x14ac:dyDescent="0.2">
      <c r="A198" s="3">
        <v>194</v>
      </c>
      <c r="B198" s="19"/>
      <c r="C198" s="4" t="s">
        <v>851</v>
      </c>
      <c r="D198" s="4" t="s">
        <v>652</v>
      </c>
      <c r="E198" s="4" t="s">
        <v>252</v>
      </c>
      <c r="F198" s="8"/>
      <c r="G198" s="8"/>
      <c r="H198" s="8"/>
      <c r="I198" s="8"/>
      <c r="J198" s="8"/>
      <c r="K198" s="8">
        <v>0</v>
      </c>
      <c r="L198" s="18">
        <v>1611.11</v>
      </c>
      <c r="M198" s="7">
        <f t="shared" si="3"/>
        <v>0</v>
      </c>
      <c r="N198" s="4"/>
      <c r="O198" s="9"/>
    </row>
    <row r="199" spans="1:15" ht="20" customHeight="1" x14ac:dyDescent="0.2">
      <c r="A199" s="3">
        <v>195</v>
      </c>
      <c r="B199" s="19"/>
      <c r="C199" s="4" t="s">
        <v>852</v>
      </c>
      <c r="D199" s="4" t="s">
        <v>652</v>
      </c>
      <c r="E199" s="4" t="s">
        <v>252</v>
      </c>
      <c r="F199" s="8"/>
      <c r="G199" s="8"/>
      <c r="H199" s="8"/>
      <c r="I199" s="8"/>
      <c r="J199" s="8"/>
      <c r="K199" s="8">
        <v>0</v>
      </c>
      <c r="L199" s="18">
        <v>2602.2399999999998</v>
      </c>
      <c r="M199" s="7">
        <f t="shared" si="3"/>
        <v>0</v>
      </c>
      <c r="N199" s="4"/>
      <c r="O199" s="9"/>
    </row>
    <row r="200" spans="1:15" ht="20" customHeight="1" x14ac:dyDescent="0.2">
      <c r="A200" s="3">
        <v>196</v>
      </c>
      <c r="B200" s="19"/>
      <c r="C200" s="4" t="s">
        <v>853</v>
      </c>
      <c r="D200" s="4" t="s">
        <v>652</v>
      </c>
      <c r="E200" s="4" t="s">
        <v>252</v>
      </c>
      <c r="F200" s="8"/>
      <c r="G200" s="8"/>
      <c r="H200" s="8"/>
      <c r="I200" s="8"/>
      <c r="J200" s="8"/>
      <c r="K200" s="8">
        <v>0</v>
      </c>
      <c r="L200" s="18">
        <v>6133.24</v>
      </c>
      <c r="M200" s="7">
        <f t="shared" si="3"/>
        <v>0</v>
      </c>
      <c r="N200" s="4"/>
      <c r="O200" s="9"/>
    </row>
    <row r="201" spans="1:15" ht="20" customHeight="1" x14ac:dyDescent="0.2">
      <c r="A201" s="3">
        <v>197</v>
      </c>
      <c r="B201" s="19"/>
      <c r="C201" s="4" t="s">
        <v>854</v>
      </c>
      <c r="D201" s="4" t="s">
        <v>652</v>
      </c>
      <c r="E201" s="4" t="s">
        <v>252</v>
      </c>
      <c r="F201" s="8"/>
      <c r="G201" s="8"/>
      <c r="H201" s="8"/>
      <c r="I201" s="8"/>
      <c r="J201" s="8"/>
      <c r="K201" s="8">
        <v>0</v>
      </c>
      <c r="L201" s="18">
        <v>2033</v>
      </c>
      <c r="M201" s="7">
        <f t="shared" si="3"/>
        <v>0</v>
      </c>
      <c r="N201" s="4"/>
      <c r="O201" s="9"/>
    </row>
    <row r="202" spans="1:15" ht="20" customHeight="1" x14ac:dyDescent="0.2">
      <c r="A202" s="3">
        <v>198</v>
      </c>
      <c r="B202" s="19"/>
      <c r="C202" s="4" t="s">
        <v>855</v>
      </c>
      <c r="D202" s="4" t="s">
        <v>652</v>
      </c>
      <c r="E202" s="4" t="s">
        <v>252</v>
      </c>
      <c r="F202" s="8"/>
      <c r="G202" s="8"/>
      <c r="H202" s="8"/>
      <c r="I202" s="8"/>
      <c r="J202" s="8"/>
      <c r="K202" s="8">
        <v>0</v>
      </c>
      <c r="L202" s="18">
        <v>6133.24</v>
      </c>
      <c r="M202" s="7">
        <f t="shared" si="3"/>
        <v>0</v>
      </c>
      <c r="N202" s="4"/>
      <c r="O202" s="9"/>
    </row>
    <row r="203" spans="1:15" ht="20" customHeight="1" x14ac:dyDescent="0.2">
      <c r="A203" s="3">
        <v>199</v>
      </c>
      <c r="B203" s="19"/>
      <c r="C203" s="4" t="s">
        <v>856</v>
      </c>
      <c r="D203" s="4" t="s">
        <v>652</v>
      </c>
      <c r="E203" s="4" t="s">
        <v>252</v>
      </c>
      <c r="F203" s="8"/>
      <c r="G203" s="8"/>
      <c r="H203" s="8"/>
      <c r="I203" s="8"/>
      <c r="J203" s="8"/>
      <c r="K203" s="8">
        <v>18</v>
      </c>
      <c r="L203" s="18">
        <v>2407.5</v>
      </c>
      <c r="M203" s="7">
        <f t="shared" si="3"/>
        <v>43335</v>
      </c>
      <c r="N203" s="4"/>
      <c r="O203" s="9"/>
    </row>
    <row r="204" spans="1:15" ht="20" customHeight="1" x14ac:dyDescent="0.2">
      <c r="A204" s="3">
        <v>200</v>
      </c>
      <c r="B204" s="19"/>
      <c r="C204" s="4" t="s">
        <v>857</v>
      </c>
      <c r="D204" s="4" t="s">
        <v>652</v>
      </c>
      <c r="E204" s="4" t="s">
        <v>252</v>
      </c>
      <c r="F204" s="8"/>
      <c r="G204" s="8"/>
      <c r="H204" s="8"/>
      <c r="I204" s="8"/>
      <c r="J204" s="8"/>
      <c r="K204" s="8">
        <v>100</v>
      </c>
      <c r="L204" s="18">
        <v>169</v>
      </c>
      <c r="M204" s="7">
        <f t="shared" si="3"/>
        <v>16900</v>
      </c>
      <c r="N204" s="4"/>
      <c r="O204" s="9"/>
    </row>
    <row r="205" spans="1:15" ht="20" customHeight="1" x14ac:dyDescent="0.2">
      <c r="A205" s="3">
        <v>201</v>
      </c>
      <c r="B205" s="19"/>
      <c r="C205" s="4" t="s">
        <v>858</v>
      </c>
      <c r="D205" s="4" t="s">
        <v>652</v>
      </c>
      <c r="E205" s="4" t="s">
        <v>252</v>
      </c>
      <c r="F205" s="8"/>
      <c r="G205" s="8"/>
      <c r="H205" s="8"/>
      <c r="I205" s="8"/>
      <c r="J205" s="8"/>
      <c r="K205" s="8">
        <v>50</v>
      </c>
      <c r="L205" s="18">
        <v>529</v>
      </c>
      <c r="M205" s="7">
        <f t="shared" si="3"/>
        <v>26450</v>
      </c>
      <c r="N205" s="4"/>
      <c r="O205" s="9"/>
    </row>
    <row r="206" spans="1:15" ht="20" customHeight="1" x14ac:dyDescent="0.2">
      <c r="A206" s="3">
        <v>202</v>
      </c>
      <c r="B206" s="19"/>
      <c r="C206" s="4" t="s">
        <v>859</v>
      </c>
      <c r="D206" s="4" t="s">
        <v>652</v>
      </c>
      <c r="E206" s="4" t="s">
        <v>252</v>
      </c>
      <c r="F206" s="8"/>
      <c r="G206" s="8"/>
      <c r="H206" s="8"/>
      <c r="I206" s="8"/>
      <c r="J206" s="8"/>
      <c r="K206" s="8">
        <v>0</v>
      </c>
      <c r="L206" s="18">
        <v>1890</v>
      </c>
      <c r="M206" s="7">
        <f t="shared" si="3"/>
        <v>0</v>
      </c>
      <c r="N206" s="4"/>
      <c r="O206" s="9"/>
    </row>
    <row r="207" spans="1:15" ht="20" customHeight="1" x14ac:dyDescent="0.2">
      <c r="A207" s="3">
        <v>203</v>
      </c>
      <c r="B207" s="19"/>
      <c r="C207" s="4" t="s">
        <v>860</v>
      </c>
      <c r="D207" s="4" t="s">
        <v>652</v>
      </c>
      <c r="E207" s="4" t="s">
        <v>252</v>
      </c>
      <c r="F207" s="8"/>
      <c r="G207" s="8"/>
      <c r="H207" s="8"/>
      <c r="I207" s="8"/>
      <c r="J207" s="8"/>
      <c r="K207" s="8">
        <v>0</v>
      </c>
      <c r="L207" s="18">
        <v>909.5</v>
      </c>
      <c r="M207" s="7">
        <f t="shared" si="3"/>
        <v>0</v>
      </c>
      <c r="N207" s="4"/>
      <c r="O207" s="9"/>
    </row>
    <row r="208" spans="1:15" ht="20" customHeight="1" x14ac:dyDescent="0.2">
      <c r="A208" s="3">
        <v>204</v>
      </c>
      <c r="B208" s="19"/>
      <c r="C208" s="4" t="s">
        <v>861</v>
      </c>
      <c r="D208" s="4" t="s">
        <v>652</v>
      </c>
      <c r="E208" s="4" t="s">
        <v>252</v>
      </c>
      <c r="F208" s="8"/>
      <c r="G208" s="8"/>
      <c r="H208" s="8"/>
      <c r="I208" s="8"/>
      <c r="J208" s="8"/>
      <c r="K208" s="8">
        <v>6</v>
      </c>
      <c r="L208" s="18">
        <v>495</v>
      </c>
      <c r="M208" s="7">
        <f t="shared" si="3"/>
        <v>2970</v>
      </c>
      <c r="N208" s="4"/>
      <c r="O208" s="9"/>
    </row>
    <row r="209" spans="1:15" ht="20" customHeight="1" x14ac:dyDescent="0.2">
      <c r="A209" s="3">
        <v>205</v>
      </c>
      <c r="B209" s="19"/>
      <c r="C209" s="4" t="s">
        <v>862</v>
      </c>
      <c r="D209" s="4" t="s">
        <v>652</v>
      </c>
      <c r="E209" s="4" t="s">
        <v>252</v>
      </c>
      <c r="F209" s="8"/>
      <c r="G209" s="8"/>
      <c r="H209" s="8"/>
      <c r="I209" s="8"/>
      <c r="J209" s="8"/>
      <c r="K209" s="8">
        <v>6</v>
      </c>
      <c r="L209" s="18">
        <v>695</v>
      </c>
      <c r="M209" s="7">
        <f t="shared" si="3"/>
        <v>4170</v>
      </c>
      <c r="N209" s="4"/>
      <c r="O209" s="9"/>
    </row>
    <row r="210" spans="1:15" ht="20" customHeight="1" x14ac:dyDescent="0.2">
      <c r="A210" s="3">
        <v>206</v>
      </c>
      <c r="B210" s="19"/>
      <c r="C210" s="4" t="s">
        <v>863</v>
      </c>
      <c r="D210" s="4" t="s">
        <v>652</v>
      </c>
      <c r="E210" s="4" t="s">
        <v>252</v>
      </c>
      <c r="F210" s="8"/>
      <c r="G210" s="8"/>
      <c r="H210" s="8"/>
      <c r="I210" s="8"/>
      <c r="J210" s="8"/>
      <c r="K210" s="8">
        <v>0</v>
      </c>
      <c r="L210" s="18">
        <v>395</v>
      </c>
      <c r="M210" s="7">
        <f t="shared" si="3"/>
        <v>0</v>
      </c>
      <c r="N210" s="4"/>
      <c r="O210" s="9"/>
    </row>
    <row r="211" spans="1:15" ht="20" customHeight="1" x14ac:dyDescent="0.2">
      <c r="A211" s="3">
        <v>207</v>
      </c>
      <c r="B211" s="19"/>
      <c r="C211" s="4" t="s">
        <v>864</v>
      </c>
      <c r="D211" s="4" t="s">
        <v>652</v>
      </c>
      <c r="E211" s="4" t="s">
        <v>252</v>
      </c>
      <c r="F211" s="8"/>
      <c r="G211" s="8"/>
      <c r="H211" s="8"/>
      <c r="I211" s="8"/>
      <c r="J211" s="8"/>
      <c r="K211" s="8">
        <v>300</v>
      </c>
      <c r="L211" s="18">
        <v>280</v>
      </c>
      <c r="M211" s="7">
        <f t="shared" si="3"/>
        <v>84000</v>
      </c>
      <c r="N211" s="4"/>
      <c r="O211" s="9"/>
    </row>
    <row r="212" spans="1:15" ht="20" customHeight="1" x14ac:dyDescent="0.2">
      <c r="A212" s="3">
        <v>208</v>
      </c>
      <c r="B212" s="19"/>
      <c r="C212" s="4" t="s">
        <v>865</v>
      </c>
      <c r="D212" s="4" t="s">
        <v>652</v>
      </c>
      <c r="E212" s="4" t="s">
        <v>252</v>
      </c>
      <c r="F212" s="8"/>
      <c r="G212" s="8"/>
      <c r="H212" s="8"/>
      <c r="I212" s="8"/>
      <c r="J212" s="8"/>
      <c r="K212" s="8">
        <v>131</v>
      </c>
      <c r="L212" s="18">
        <v>459</v>
      </c>
      <c r="M212" s="7">
        <f t="shared" si="3"/>
        <v>60129</v>
      </c>
      <c r="N212" s="4"/>
      <c r="O212" s="9"/>
    </row>
    <row r="213" spans="1:15" ht="20" customHeight="1" x14ac:dyDescent="0.2">
      <c r="A213" s="3">
        <v>209</v>
      </c>
      <c r="B213" s="19"/>
      <c r="C213" s="4" t="s">
        <v>866</v>
      </c>
      <c r="D213" s="4" t="s">
        <v>652</v>
      </c>
      <c r="E213" s="4" t="s">
        <v>252</v>
      </c>
      <c r="F213" s="8"/>
      <c r="G213" s="8"/>
      <c r="H213" s="8"/>
      <c r="I213" s="8"/>
      <c r="J213" s="8"/>
      <c r="K213" s="8">
        <v>192</v>
      </c>
      <c r="L213" s="18">
        <v>350</v>
      </c>
      <c r="M213" s="7">
        <f t="shared" si="3"/>
        <v>67200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867</v>
      </c>
      <c r="D214" s="4" t="s">
        <v>652</v>
      </c>
      <c r="E214" s="4" t="s">
        <v>252</v>
      </c>
      <c r="F214" s="8"/>
      <c r="G214" s="8"/>
      <c r="H214" s="8"/>
      <c r="I214" s="8"/>
      <c r="J214" s="8"/>
      <c r="K214" s="8">
        <v>33</v>
      </c>
      <c r="L214" s="18">
        <v>559</v>
      </c>
      <c r="M214" s="7">
        <f t="shared" si="3"/>
        <v>18447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868</v>
      </c>
      <c r="D215" s="4" t="s">
        <v>652</v>
      </c>
      <c r="E215" s="4" t="s">
        <v>252</v>
      </c>
      <c r="F215" s="8"/>
      <c r="G215" s="8"/>
      <c r="H215" s="8"/>
      <c r="I215" s="8"/>
      <c r="J215" s="8"/>
      <c r="K215" s="8">
        <v>300</v>
      </c>
      <c r="L215" s="18">
        <v>620</v>
      </c>
      <c r="M215" s="7">
        <f t="shared" si="3"/>
        <v>186000</v>
      </c>
      <c r="N215" s="4"/>
      <c r="O215" s="9"/>
    </row>
    <row r="216" spans="1:15" ht="20" customHeight="1" x14ac:dyDescent="0.2">
      <c r="A216" s="3">
        <v>212</v>
      </c>
      <c r="B216" s="19"/>
      <c r="C216" s="4" t="s">
        <v>869</v>
      </c>
      <c r="D216" s="4" t="s">
        <v>652</v>
      </c>
      <c r="E216" s="4" t="s">
        <v>252</v>
      </c>
      <c r="F216" s="8"/>
      <c r="G216" s="8"/>
      <c r="H216" s="8"/>
      <c r="I216" s="8"/>
      <c r="J216" s="8"/>
      <c r="K216" s="8">
        <v>100</v>
      </c>
      <c r="L216" s="18">
        <v>165</v>
      </c>
      <c r="M216" s="7">
        <f t="shared" si="3"/>
        <v>16500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870</v>
      </c>
      <c r="D217" s="4" t="s">
        <v>652</v>
      </c>
      <c r="E217" s="4" t="s">
        <v>252</v>
      </c>
      <c r="F217" s="8"/>
      <c r="G217" s="8"/>
      <c r="H217" s="8"/>
      <c r="I217" s="8"/>
      <c r="J217" s="8"/>
      <c r="K217" s="8">
        <v>12</v>
      </c>
      <c r="L217" s="18">
        <v>4800</v>
      </c>
      <c r="M217" s="7">
        <f t="shared" si="3"/>
        <v>57600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871</v>
      </c>
      <c r="D218" s="4" t="s">
        <v>652</v>
      </c>
      <c r="E218" s="4" t="s">
        <v>252</v>
      </c>
      <c r="F218" s="8"/>
      <c r="G218" s="8"/>
      <c r="H218" s="8"/>
      <c r="I218" s="8"/>
      <c r="J218" s="8"/>
      <c r="K218" s="8">
        <v>2</v>
      </c>
      <c r="L218" s="18">
        <v>21079</v>
      </c>
      <c r="M218" s="7">
        <f t="shared" si="3"/>
        <v>42158</v>
      </c>
      <c r="N218" s="4"/>
      <c r="O218" s="9"/>
    </row>
    <row r="219" spans="1:15" ht="20" customHeight="1" x14ac:dyDescent="0.2">
      <c r="A219" s="3">
        <v>215</v>
      </c>
      <c r="B219" s="19"/>
      <c r="C219" s="4" t="s">
        <v>872</v>
      </c>
      <c r="D219" s="4" t="s">
        <v>652</v>
      </c>
      <c r="E219" s="4" t="s">
        <v>252</v>
      </c>
      <c r="F219" s="8"/>
      <c r="G219" s="8"/>
      <c r="H219" s="8"/>
      <c r="I219" s="8"/>
      <c r="J219" s="8"/>
      <c r="K219" s="8">
        <v>2</v>
      </c>
      <c r="L219" s="18">
        <v>12305</v>
      </c>
      <c r="M219" s="7">
        <f t="shared" si="3"/>
        <v>24610</v>
      </c>
      <c r="N219" s="4"/>
      <c r="O219" s="9"/>
    </row>
    <row r="220" spans="1:15" ht="20" customHeight="1" x14ac:dyDescent="0.2">
      <c r="A220" s="3">
        <v>216</v>
      </c>
      <c r="B220" s="19"/>
      <c r="C220" s="4" t="s">
        <v>873</v>
      </c>
      <c r="D220" s="4" t="s">
        <v>652</v>
      </c>
      <c r="E220" s="4" t="s">
        <v>252</v>
      </c>
      <c r="F220" s="8"/>
      <c r="G220" s="8"/>
      <c r="H220" s="8"/>
      <c r="I220" s="8"/>
      <c r="J220" s="8"/>
      <c r="K220" s="8">
        <v>0</v>
      </c>
      <c r="L220" s="18">
        <v>2602.2399999999998</v>
      </c>
      <c r="M220" s="7">
        <f t="shared" si="3"/>
        <v>0</v>
      </c>
      <c r="N220" s="4"/>
      <c r="O220" s="9"/>
    </row>
    <row r="221" spans="1:15" ht="20" customHeight="1" x14ac:dyDescent="0.2">
      <c r="A221" s="3">
        <v>217</v>
      </c>
      <c r="B221" s="19"/>
      <c r="C221" s="4" t="s">
        <v>874</v>
      </c>
      <c r="D221" s="4" t="s">
        <v>652</v>
      </c>
      <c r="E221" s="4" t="s">
        <v>252</v>
      </c>
      <c r="F221" s="8"/>
      <c r="G221" s="8"/>
      <c r="H221" s="8"/>
      <c r="I221" s="8"/>
      <c r="J221" s="8"/>
      <c r="K221" s="8">
        <v>9</v>
      </c>
      <c r="L221" s="18">
        <v>1412</v>
      </c>
      <c r="M221" s="7">
        <f t="shared" si="3"/>
        <v>12708</v>
      </c>
      <c r="N221" s="4"/>
      <c r="O221" s="9"/>
    </row>
    <row r="222" spans="1:15" ht="20" customHeight="1" x14ac:dyDescent="0.2">
      <c r="A222" s="3">
        <v>218</v>
      </c>
      <c r="B222" s="19"/>
      <c r="C222" s="4" t="s">
        <v>875</v>
      </c>
      <c r="D222" s="4" t="s">
        <v>652</v>
      </c>
      <c r="E222" s="4" t="s">
        <v>252</v>
      </c>
      <c r="F222" s="8"/>
      <c r="G222" s="8"/>
      <c r="H222" s="8"/>
      <c r="I222" s="8"/>
      <c r="J222" s="8"/>
      <c r="K222" s="8">
        <v>80</v>
      </c>
      <c r="L222" s="18">
        <v>1690</v>
      </c>
      <c r="M222" s="7">
        <f t="shared" si="3"/>
        <v>135200</v>
      </c>
      <c r="N222" s="4"/>
      <c r="O222" s="9"/>
    </row>
    <row r="223" spans="1:15" ht="20" customHeight="1" x14ac:dyDescent="0.2">
      <c r="A223" s="3">
        <v>219</v>
      </c>
      <c r="B223" s="19"/>
      <c r="C223" s="4" t="s">
        <v>876</v>
      </c>
      <c r="D223" s="4" t="s">
        <v>652</v>
      </c>
      <c r="E223" s="4" t="s">
        <v>252</v>
      </c>
      <c r="F223" s="8"/>
      <c r="G223" s="8"/>
      <c r="H223" s="8"/>
      <c r="I223" s="8"/>
      <c r="J223" s="8"/>
      <c r="K223" s="8">
        <v>0</v>
      </c>
      <c r="L223" s="18">
        <v>160</v>
      </c>
      <c r="M223" s="7">
        <f t="shared" si="3"/>
        <v>0</v>
      </c>
      <c r="N223" s="4"/>
      <c r="O223" s="9"/>
    </row>
    <row r="224" spans="1:15" ht="20" customHeight="1" x14ac:dyDescent="0.2">
      <c r="A224" s="3">
        <v>220</v>
      </c>
      <c r="B224" s="19"/>
      <c r="C224" s="4" t="s">
        <v>877</v>
      </c>
      <c r="D224" s="4" t="s">
        <v>652</v>
      </c>
      <c r="E224" s="4" t="s">
        <v>252</v>
      </c>
      <c r="F224" s="8"/>
      <c r="G224" s="8"/>
      <c r="H224" s="8"/>
      <c r="I224" s="8"/>
      <c r="J224" s="8"/>
      <c r="K224" s="8">
        <v>0</v>
      </c>
      <c r="L224" s="18">
        <v>650</v>
      </c>
      <c r="M224" s="7">
        <f t="shared" si="3"/>
        <v>0</v>
      </c>
      <c r="N224" s="4"/>
      <c r="O224" s="9"/>
    </row>
    <row r="225" spans="1:15" ht="20" customHeight="1" x14ac:dyDescent="0.2">
      <c r="A225" s="3">
        <v>221</v>
      </c>
      <c r="B225" s="19"/>
      <c r="C225" s="4" t="s">
        <v>878</v>
      </c>
      <c r="D225" s="4" t="s">
        <v>652</v>
      </c>
      <c r="E225" s="4" t="s">
        <v>252</v>
      </c>
      <c r="F225" s="8"/>
      <c r="G225" s="8"/>
      <c r="H225" s="8"/>
      <c r="I225" s="8"/>
      <c r="J225" s="8"/>
      <c r="K225" s="8">
        <v>0</v>
      </c>
      <c r="L225" s="18">
        <v>19795</v>
      </c>
      <c r="M225" s="7">
        <f t="shared" si="3"/>
        <v>0</v>
      </c>
      <c r="N225" s="4"/>
      <c r="O225" s="9"/>
    </row>
    <row r="226" spans="1:15" ht="20" customHeight="1" x14ac:dyDescent="0.2">
      <c r="A226" s="3">
        <v>222</v>
      </c>
      <c r="B226" s="19"/>
      <c r="C226" s="4" t="s">
        <v>879</v>
      </c>
      <c r="D226" s="4" t="s">
        <v>652</v>
      </c>
      <c r="E226" s="4" t="s">
        <v>252</v>
      </c>
      <c r="F226" s="8"/>
      <c r="G226" s="8"/>
      <c r="H226" s="8"/>
      <c r="I226" s="8"/>
      <c r="J226" s="8"/>
      <c r="K226" s="8">
        <v>20</v>
      </c>
      <c r="L226" s="18">
        <v>2140</v>
      </c>
      <c r="M226" s="7">
        <f t="shared" si="3"/>
        <v>42800</v>
      </c>
      <c r="N226" s="4"/>
      <c r="O226" s="9"/>
    </row>
    <row r="227" spans="1:15" ht="20" customHeight="1" x14ac:dyDescent="0.2">
      <c r="A227" s="3">
        <v>223</v>
      </c>
      <c r="B227" s="19"/>
      <c r="C227" s="4" t="s">
        <v>880</v>
      </c>
      <c r="D227" s="4" t="s">
        <v>652</v>
      </c>
      <c r="E227" s="4" t="s">
        <v>271</v>
      </c>
      <c r="F227" s="8"/>
      <c r="G227" s="8"/>
      <c r="H227" s="8"/>
      <c r="I227" s="8"/>
      <c r="J227" s="8"/>
      <c r="K227" s="8">
        <v>18</v>
      </c>
      <c r="L227" s="18">
        <v>280</v>
      </c>
      <c r="M227" s="7">
        <f t="shared" si="3"/>
        <v>5040</v>
      </c>
      <c r="N227" s="4"/>
      <c r="O227" s="9"/>
    </row>
    <row r="228" spans="1:15" ht="20" customHeight="1" x14ac:dyDescent="0.2">
      <c r="A228" s="3">
        <v>224</v>
      </c>
      <c r="B228" s="19"/>
      <c r="C228" s="4" t="s">
        <v>881</v>
      </c>
      <c r="D228" s="4" t="s">
        <v>652</v>
      </c>
      <c r="E228" s="4" t="s">
        <v>271</v>
      </c>
      <c r="F228" s="8"/>
      <c r="G228" s="8"/>
      <c r="H228" s="8"/>
      <c r="I228" s="8"/>
      <c r="J228" s="8"/>
      <c r="K228" s="8">
        <v>60</v>
      </c>
      <c r="L228" s="18">
        <v>355</v>
      </c>
      <c r="M228" s="7">
        <f t="shared" si="3"/>
        <v>21300</v>
      </c>
      <c r="N228" s="4"/>
      <c r="O228" s="9"/>
    </row>
    <row r="229" spans="1:15" ht="20" customHeight="1" x14ac:dyDescent="0.2">
      <c r="A229" s="3">
        <v>225</v>
      </c>
      <c r="B229" s="19"/>
      <c r="C229" s="4" t="s">
        <v>882</v>
      </c>
      <c r="D229" s="4" t="s">
        <v>652</v>
      </c>
      <c r="E229" s="4" t="s">
        <v>653</v>
      </c>
      <c r="F229" s="8"/>
      <c r="G229" s="8"/>
      <c r="H229" s="8"/>
      <c r="I229" s="8"/>
      <c r="J229" s="8"/>
      <c r="K229" s="8">
        <v>500</v>
      </c>
      <c r="L229" s="18">
        <v>59</v>
      </c>
      <c r="M229" s="7">
        <f t="shared" si="3"/>
        <v>29500</v>
      </c>
      <c r="N229" s="4"/>
      <c r="O229" s="9"/>
    </row>
    <row r="230" spans="1:15" ht="20" customHeight="1" x14ac:dyDescent="0.2">
      <c r="A230" s="3">
        <v>226</v>
      </c>
      <c r="B230" s="19"/>
      <c r="C230" s="4" t="s">
        <v>883</v>
      </c>
      <c r="D230" s="4" t="s">
        <v>652</v>
      </c>
      <c r="E230" s="4" t="s">
        <v>653</v>
      </c>
      <c r="F230" s="8"/>
      <c r="G230" s="8"/>
      <c r="H230" s="8"/>
      <c r="I230" s="8"/>
      <c r="J230" s="8"/>
      <c r="K230" s="8">
        <v>500</v>
      </c>
      <c r="L230" s="18">
        <v>59</v>
      </c>
      <c r="M230" s="7">
        <f t="shared" si="3"/>
        <v>29500</v>
      </c>
      <c r="N230" s="4"/>
      <c r="O230" s="9"/>
    </row>
    <row r="231" spans="1:15" ht="20" customHeight="1" x14ac:dyDescent="0.2">
      <c r="A231" s="3">
        <v>227</v>
      </c>
      <c r="B231" s="19"/>
      <c r="C231" s="4" t="s">
        <v>884</v>
      </c>
      <c r="D231" s="4" t="s">
        <v>652</v>
      </c>
      <c r="E231" s="4" t="s">
        <v>653</v>
      </c>
      <c r="F231" s="8"/>
      <c r="G231" s="8"/>
      <c r="H231" s="8"/>
      <c r="I231" s="8"/>
      <c r="J231" s="8"/>
      <c r="K231" s="8">
        <v>0</v>
      </c>
      <c r="L231" s="18">
        <v>51.36</v>
      </c>
      <c r="M231" s="7">
        <f t="shared" si="3"/>
        <v>0</v>
      </c>
      <c r="N231" s="4"/>
      <c r="O231" s="9"/>
    </row>
    <row r="232" spans="1:15" ht="20" customHeight="1" x14ac:dyDescent="0.2">
      <c r="A232" s="3">
        <v>228</v>
      </c>
      <c r="B232" s="19"/>
      <c r="C232" s="4" t="s">
        <v>885</v>
      </c>
      <c r="D232" s="4" t="s">
        <v>652</v>
      </c>
      <c r="E232" s="4" t="s">
        <v>653</v>
      </c>
      <c r="F232" s="8"/>
      <c r="G232" s="8"/>
      <c r="H232" s="8"/>
      <c r="I232" s="8"/>
      <c r="J232" s="8"/>
      <c r="K232" s="8">
        <v>5000</v>
      </c>
      <c r="L232" s="18">
        <v>57</v>
      </c>
      <c r="M232" s="7">
        <f t="shared" si="3"/>
        <v>285000</v>
      </c>
      <c r="N232" s="4"/>
      <c r="O232" s="9"/>
    </row>
    <row r="233" spans="1:15" ht="20" customHeight="1" x14ac:dyDescent="0.2">
      <c r="A233" s="3">
        <v>229</v>
      </c>
      <c r="B233" s="19"/>
      <c r="C233" s="4" t="s">
        <v>886</v>
      </c>
      <c r="D233" s="4" t="s">
        <v>652</v>
      </c>
      <c r="E233" s="4" t="s">
        <v>653</v>
      </c>
      <c r="F233" s="8"/>
      <c r="G233" s="8"/>
      <c r="H233" s="8"/>
      <c r="I233" s="8"/>
      <c r="J233" s="8"/>
      <c r="K233" s="8">
        <v>300</v>
      </c>
      <c r="L233" s="18">
        <v>57</v>
      </c>
      <c r="M233" s="7">
        <f t="shared" si="3"/>
        <v>17100</v>
      </c>
      <c r="N233" s="4"/>
      <c r="O233" s="9"/>
    </row>
    <row r="234" spans="1:15" ht="20" customHeight="1" x14ac:dyDescent="0.2">
      <c r="A234" s="3">
        <v>230</v>
      </c>
      <c r="B234" s="19"/>
      <c r="C234" s="4" t="s">
        <v>887</v>
      </c>
      <c r="D234" s="4" t="s">
        <v>652</v>
      </c>
      <c r="E234" s="4" t="s">
        <v>653</v>
      </c>
      <c r="F234" s="8"/>
      <c r="G234" s="8"/>
      <c r="H234" s="8"/>
      <c r="I234" s="8"/>
      <c r="J234" s="8"/>
      <c r="K234" s="8">
        <v>9000</v>
      </c>
      <c r="L234" s="18">
        <v>57</v>
      </c>
      <c r="M234" s="7">
        <f t="shared" si="3"/>
        <v>513000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888</v>
      </c>
      <c r="D235" s="4" t="s">
        <v>652</v>
      </c>
      <c r="E235" s="4" t="s">
        <v>653</v>
      </c>
      <c r="F235" s="8"/>
      <c r="G235" s="8"/>
      <c r="H235" s="8"/>
      <c r="I235" s="8"/>
      <c r="J235" s="8"/>
      <c r="K235" s="8">
        <v>6500</v>
      </c>
      <c r="L235" s="18">
        <v>59</v>
      </c>
      <c r="M235" s="7">
        <f t="shared" si="3"/>
        <v>383500</v>
      </c>
      <c r="N235" s="4"/>
      <c r="O235" s="9"/>
    </row>
    <row r="236" spans="1:15" ht="20" customHeight="1" x14ac:dyDescent="0.2">
      <c r="A236" s="3">
        <v>232</v>
      </c>
      <c r="B236" s="19"/>
      <c r="C236" s="4" t="s">
        <v>889</v>
      </c>
      <c r="D236" s="4" t="s">
        <v>652</v>
      </c>
      <c r="E236" s="4" t="s">
        <v>653</v>
      </c>
      <c r="F236" s="8"/>
      <c r="G236" s="8"/>
      <c r="H236" s="8"/>
      <c r="I236" s="8"/>
      <c r="J236" s="8"/>
      <c r="K236" s="8">
        <v>5000</v>
      </c>
      <c r="L236" s="18">
        <v>47</v>
      </c>
      <c r="M236" s="7">
        <f t="shared" si="3"/>
        <v>235000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890</v>
      </c>
      <c r="D237" s="4" t="s">
        <v>652</v>
      </c>
      <c r="E237" s="4" t="s">
        <v>271</v>
      </c>
      <c r="F237" s="8"/>
      <c r="G237" s="8"/>
      <c r="H237" s="8"/>
      <c r="I237" s="8"/>
      <c r="J237" s="8"/>
      <c r="K237" s="8">
        <v>2500</v>
      </c>
      <c r="L237" s="18">
        <v>2.3199999999999998</v>
      </c>
      <c r="M237" s="7">
        <f t="shared" si="3"/>
        <v>5800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891</v>
      </c>
      <c r="D238" s="4" t="s">
        <v>652</v>
      </c>
      <c r="E238" s="4" t="s">
        <v>133</v>
      </c>
      <c r="F238" s="8"/>
      <c r="G238" s="8"/>
      <c r="H238" s="8"/>
      <c r="I238" s="8"/>
      <c r="J238" s="8"/>
      <c r="K238" s="8">
        <v>100</v>
      </c>
      <c r="L238" s="18">
        <v>650</v>
      </c>
      <c r="M238" s="7">
        <f t="shared" si="3"/>
        <v>65000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892</v>
      </c>
      <c r="D239" s="4" t="s">
        <v>652</v>
      </c>
      <c r="E239" s="4" t="s">
        <v>133</v>
      </c>
      <c r="F239" s="8"/>
      <c r="G239" s="8"/>
      <c r="H239" s="8"/>
      <c r="I239" s="8"/>
      <c r="J239" s="8"/>
      <c r="K239" s="8">
        <v>100</v>
      </c>
      <c r="L239" s="18">
        <v>720</v>
      </c>
      <c r="M239" s="7">
        <f t="shared" si="3"/>
        <v>72000</v>
      </c>
      <c r="N239" s="4"/>
      <c r="O239" s="9"/>
    </row>
    <row r="240" spans="1:15" ht="20" customHeight="1" x14ac:dyDescent="0.2">
      <c r="A240" s="3">
        <v>236</v>
      </c>
      <c r="B240" s="19"/>
      <c r="C240" s="4" t="s">
        <v>893</v>
      </c>
      <c r="D240" s="4" t="s">
        <v>652</v>
      </c>
      <c r="E240" s="4" t="s">
        <v>653</v>
      </c>
      <c r="F240" s="8"/>
      <c r="G240" s="8"/>
      <c r="H240" s="8"/>
      <c r="I240" s="8"/>
      <c r="J240" s="8"/>
      <c r="K240" s="8">
        <v>500</v>
      </c>
      <c r="L240" s="18">
        <v>47</v>
      </c>
      <c r="M240" s="7">
        <f t="shared" si="3"/>
        <v>23500</v>
      </c>
      <c r="N240" s="4"/>
      <c r="O240" s="9"/>
    </row>
    <row r="241" spans="1:15" ht="20" customHeight="1" x14ac:dyDescent="0.2">
      <c r="A241" s="3">
        <v>237</v>
      </c>
      <c r="B241" s="19"/>
      <c r="C241" s="4" t="s">
        <v>894</v>
      </c>
      <c r="D241" s="4" t="s">
        <v>652</v>
      </c>
      <c r="E241" s="4" t="s">
        <v>653</v>
      </c>
      <c r="F241" s="8"/>
      <c r="G241" s="8"/>
      <c r="H241" s="8"/>
      <c r="I241" s="8"/>
      <c r="J241" s="8"/>
      <c r="K241" s="8">
        <v>400</v>
      </c>
      <c r="L241" s="18">
        <v>47</v>
      </c>
      <c r="M241" s="7">
        <f t="shared" si="3"/>
        <v>18800</v>
      </c>
      <c r="N241" s="4"/>
      <c r="O241" s="9"/>
    </row>
    <row r="242" spans="1:15" ht="20" customHeight="1" x14ac:dyDescent="0.2">
      <c r="A242" s="3">
        <v>238</v>
      </c>
      <c r="B242" s="19"/>
      <c r="C242" s="4" t="s">
        <v>895</v>
      </c>
      <c r="D242" s="4" t="s">
        <v>652</v>
      </c>
      <c r="E242" s="4" t="s">
        <v>653</v>
      </c>
      <c r="F242" s="8"/>
      <c r="G242" s="8"/>
      <c r="H242" s="8"/>
      <c r="I242" s="8"/>
      <c r="J242" s="8"/>
      <c r="K242" s="8">
        <v>240</v>
      </c>
      <c r="L242" s="18">
        <v>155</v>
      </c>
      <c r="M242" s="7">
        <f t="shared" si="3"/>
        <v>37200</v>
      </c>
      <c r="N242" s="4"/>
      <c r="O242" s="9"/>
    </row>
    <row r="243" spans="1:15" ht="20" customHeight="1" x14ac:dyDescent="0.2">
      <c r="A243" s="3">
        <v>239</v>
      </c>
      <c r="B243" s="19"/>
      <c r="C243" s="4" t="s">
        <v>896</v>
      </c>
      <c r="D243" s="4" t="s">
        <v>652</v>
      </c>
      <c r="E243" s="4" t="s">
        <v>653</v>
      </c>
      <c r="F243" s="8"/>
      <c r="G243" s="8"/>
      <c r="H243" s="8"/>
      <c r="I243" s="8"/>
      <c r="J243" s="8"/>
      <c r="K243" s="8">
        <v>9000</v>
      </c>
      <c r="L243" s="18">
        <v>65</v>
      </c>
      <c r="M243" s="7">
        <f t="shared" si="3"/>
        <v>585000</v>
      </c>
      <c r="N243" s="4"/>
      <c r="O243" s="9"/>
    </row>
    <row r="244" spans="1:15" ht="20" customHeight="1" x14ac:dyDescent="0.2">
      <c r="A244" s="3">
        <v>240</v>
      </c>
      <c r="B244" s="19"/>
      <c r="C244" s="4" t="s">
        <v>897</v>
      </c>
      <c r="D244" s="4" t="s">
        <v>652</v>
      </c>
      <c r="E244" s="4" t="s">
        <v>653</v>
      </c>
      <c r="F244" s="8"/>
      <c r="G244" s="8"/>
      <c r="H244" s="8"/>
      <c r="I244" s="8"/>
      <c r="J244" s="8"/>
      <c r="K244" s="8">
        <v>500</v>
      </c>
      <c r="L244" s="18">
        <v>45</v>
      </c>
      <c r="M244" s="7">
        <f t="shared" si="3"/>
        <v>22500</v>
      </c>
      <c r="N244" s="4"/>
      <c r="O244" s="9"/>
    </row>
    <row r="245" spans="1:15" ht="20" customHeight="1" x14ac:dyDescent="0.2">
      <c r="A245" s="3">
        <v>241</v>
      </c>
      <c r="B245" s="19"/>
      <c r="C245" s="4" t="s">
        <v>898</v>
      </c>
      <c r="D245" s="4" t="s">
        <v>652</v>
      </c>
      <c r="E245" s="4" t="s">
        <v>653</v>
      </c>
      <c r="F245" s="8"/>
      <c r="G245" s="8"/>
      <c r="H245" s="8"/>
      <c r="I245" s="8"/>
      <c r="J245" s="8"/>
      <c r="K245" s="8">
        <v>15000</v>
      </c>
      <c r="L245" s="18">
        <v>65</v>
      </c>
      <c r="M245" s="7">
        <f t="shared" si="3"/>
        <v>975000</v>
      </c>
      <c r="N245" s="4"/>
      <c r="O245" s="9"/>
    </row>
    <row r="246" spans="1:15" ht="20" customHeight="1" x14ac:dyDescent="0.2">
      <c r="A246" s="3">
        <v>242</v>
      </c>
      <c r="B246" s="19"/>
      <c r="C246" s="4" t="s">
        <v>899</v>
      </c>
      <c r="D246" s="4" t="s">
        <v>652</v>
      </c>
      <c r="E246" s="4" t="s">
        <v>653</v>
      </c>
      <c r="F246" s="8"/>
      <c r="G246" s="8"/>
      <c r="H246" s="8"/>
      <c r="I246" s="8"/>
      <c r="J246" s="8"/>
      <c r="K246" s="8">
        <v>20000</v>
      </c>
      <c r="L246" s="18">
        <v>65</v>
      </c>
      <c r="M246" s="7">
        <f t="shared" si="3"/>
        <v>1300000</v>
      </c>
      <c r="N246" s="4"/>
      <c r="O246" s="9"/>
    </row>
    <row r="247" spans="1:15" ht="20" customHeight="1" x14ac:dyDescent="0.2">
      <c r="A247" s="3">
        <v>243</v>
      </c>
      <c r="B247" s="19"/>
      <c r="C247" s="4" t="s">
        <v>900</v>
      </c>
      <c r="D247" s="4" t="s">
        <v>652</v>
      </c>
      <c r="E247" s="4" t="s">
        <v>653</v>
      </c>
      <c r="F247" s="8"/>
      <c r="G247" s="8"/>
      <c r="H247" s="8"/>
      <c r="I247" s="8"/>
      <c r="J247" s="8"/>
      <c r="K247" s="8">
        <v>3000</v>
      </c>
      <c r="L247" s="18">
        <v>65</v>
      </c>
      <c r="M247" s="7">
        <f t="shared" si="3"/>
        <v>195000</v>
      </c>
      <c r="N247" s="4"/>
      <c r="O247" s="9"/>
    </row>
    <row r="248" spans="1:15" ht="20" customHeight="1" x14ac:dyDescent="0.2">
      <c r="A248" s="3">
        <v>244</v>
      </c>
      <c r="B248" s="19"/>
      <c r="C248" s="4" t="s">
        <v>901</v>
      </c>
      <c r="D248" s="4" t="s">
        <v>652</v>
      </c>
      <c r="E248" s="4" t="s">
        <v>271</v>
      </c>
      <c r="F248" s="8"/>
      <c r="G248" s="8"/>
      <c r="H248" s="8"/>
      <c r="I248" s="8"/>
      <c r="J248" s="8"/>
      <c r="K248" s="8">
        <v>0</v>
      </c>
      <c r="L248" s="18">
        <v>62.06</v>
      </c>
      <c r="M248" s="7">
        <f t="shared" si="3"/>
        <v>0</v>
      </c>
      <c r="N248" s="4"/>
      <c r="O248" s="9"/>
    </row>
    <row r="249" spans="1:15" ht="20" customHeight="1" x14ac:dyDescent="0.2">
      <c r="A249" s="3">
        <v>245</v>
      </c>
      <c r="B249" s="19"/>
      <c r="C249" s="4" t="s">
        <v>902</v>
      </c>
      <c r="D249" s="4" t="s">
        <v>652</v>
      </c>
      <c r="E249" s="4" t="s">
        <v>271</v>
      </c>
      <c r="F249" s="8"/>
      <c r="G249" s="8"/>
      <c r="H249" s="8"/>
      <c r="I249" s="8"/>
      <c r="J249" s="8"/>
      <c r="K249" s="8">
        <v>0</v>
      </c>
      <c r="L249" s="18">
        <v>53.5</v>
      </c>
      <c r="M249" s="7">
        <f t="shared" si="3"/>
        <v>0</v>
      </c>
      <c r="N249" s="4"/>
      <c r="O249" s="9"/>
    </row>
    <row r="250" spans="1:15" ht="20" customHeight="1" x14ac:dyDescent="0.2">
      <c r="A250" s="3">
        <v>246</v>
      </c>
      <c r="B250" s="19"/>
      <c r="C250" s="4" t="s">
        <v>903</v>
      </c>
      <c r="D250" s="4" t="s">
        <v>652</v>
      </c>
      <c r="E250" s="4" t="s">
        <v>154</v>
      </c>
      <c r="F250" s="8"/>
      <c r="G250" s="8"/>
      <c r="H250" s="8"/>
      <c r="I250" s="8"/>
      <c r="J250" s="8"/>
      <c r="K250" s="8">
        <v>300</v>
      </c>
      <c r="L250" s="18">
        <v>38.520000000000003</v>
      </c>
      <c r="M250" s="7">
        <f t="shared" si="3"/>
        <v>11556.000000000002</v>
      </c>
      <c r="N250" s="4"/>
      <c r="O250" s="9"/>
    </row>
    <row r="251" spans="1:15" ht="20" customHeight="1" x14ac:dyDescent="0.2">
      <c r="A251" s="3">
        <v>247</v>
      </c>
      <c r="B251" s="19"/>
      <c r="C251" s="4" t="s">
        <v>904</v>
      </c>
      <c r="D251" s="4" t="s">
        <v>652</v>
      </c>
      <c r="E251" s="4" t="s">
        <v>154</v>
      </c>
      <c r="F251" s="8"/>
      <c r="G251" s="8"/>
      <c r="H251" s="8"/>
      <c r="I251" s="8"/>
      <c r="J251" s="8"/>
      <c r="K251" s="8">
        <v>450</v>
      </c>
      <c r="L251" s="18">
        <v>38.520000000000003</v>
      </c>
      <c r="M251" s="7">
        <f t="shared" si="3"/>
        <v>17334</v>
      </c>
      <c r="N251" s="4"/>
      <c r="O251" s="9"/>
    </row>
    <row r="252" spans="1:15" ht="20" customHeight="1" x14ac:dyDescent="0.2">
      <c r="A252" s="3">
        <v>248</v>
      </c>
      <c r="B252" s="19"/>
      <c r="C252" s="4" t="s">
        <v>905</v>
      </c>
      <c r="D252" s="4" t="s">
        <v>652</v>
      </c>
      <c r="E252" s="4" t="s">
        <v>229</v>
      </c>
      <c r="F252" s="8"/>
      <c r="G252" s="8"/>
      <c r="H252" s="8"/>
      <c r="I252" s="8"/>
      <c r="J252" s="8"/>
      <c r="K252" s="8">
        <v>1</v>
      </c>
      <c r="L252" s="18">
        <v>4700</v>
      </c>
      <c r="M252" s="7">
        <f t="shared" si="3"/>
        <v>4700</v>
      </c>
      <c r="N252" s="4"/>
      <c r="O252" s="9"/>
    </row>
    <row r="253" spans="1:15" ht="20" customHeight="1" x14ac:dyDescent="0.2">
      <c r="A253" s="3">
        <v>249</v>
      </c>
      <c r="B253" s="19"/>
      <c r="C253" s="4" t="s">
        <v>906</v>
      </c>
      <c r="D253" s="4" t="s">
        <v>652</v>
      </c>
      <c r="E253" s="4" t="s">
        <v>154</v>
      </c>
      <c r="F253" s="8"/>
      <c r="G253" s="8"/>
      <c r="H253" s="8"/>
      <c r="I253" s="8"/>
      <c r="J253" s="8"/>
      <c r="K253" s="8">
        <v>0</v>
      </c>
      <c r="L253" s="18">
        <v>80.25</v>
      </c>
      <c r="M253" s="7">
        <f t="shared" si="3"/>
        <v>0</v>
      </c>
      <c r="N253" s="4"/>
      <c r="O253" s="9"/>
    </row>
    <row r="254" spans="1:15" ht="20" customHeight="1" x14ac:dyDescent="0.2">
      <c r="A254" s="3">
        <v>250</v>
      </c>
      <c r="B254" s="19"/>
      <c r="C254" s="4" t="s">
        <v>907</v>
      </c>
      <c r="D254" s="4" t="s">
        <v>652</v>
      </c>
      <c r="E254" s="4" t="s">
        <v>154</v>
      </c>
      <c r="F254" s="8"/>
      <c r="G254" s="8"/>
      <c r="H254" s="8"/>
      <c r="I254" s="8"/>
      <c r="J254" s="8"/>
      <c r="K254" s="8">
        <v>0</v>
      </c>
      <c r="L254" s="18">
        <v>80.25</v>
      </c>
      <c r="M254" s="7">
        <f t="shared" si="3"/>
        <v>0</v>
      </c>
      <c r="N254" s="4"/>
      <c r="O254" s="9"/>
    </row>
    <row r="255" spans="1:15" ht="20" customHeight="1" x14ac:dyDescent="0.2">
      <c r="A255" s="3">
        <v>251</v>
      </c>
      <c r="B255" s="19"/>
      <c r="C255" s="4" t="s">
        <v>908</v>
      </c>
      <c r="D255" s="4" t="s">
        <v>652</v>
      </c>
      <c r="E255" s="4" t="s">
        <v>653</v>
      </c>
      <c r="F255" s="8"/>
      <c r="G255" s="8"/>
      <c r="H255" s="8"/>
      <c r="I255" s="8"/>
      <c r="J255" s="8"/>
      <c r="K255" s="8">
        <v>80</v>
      </c>
      <c r="L255" s="18">
        <v>110</v>
      </c>
      <c r="M255" s="7">
        <f t="shared" si="3"/>
        <v>8800</v>
      </c>
      <c r="N255" s="4"/>
      <c r="O255" s="9"/>
    </row>
    <row r="256" spans="1:15" ht="20" customHeight="1" x14ac:dyDescent="0.2">
      <c r="A256" s="3">
        <v>252</v>
      </c>
      <c r="B256" s="19"/>
      <c r="C256" s="4" t="s">
        <v>909</v>
      </c>
      <c r="D256" s="4" t="s">
        <v>652</v>
      </c>
      <c r="E256" s="4" t="s">
        <v>653</v>
      </c>
      <c r="F256" s="8"/>
      <c r="G256" s="8"/>
      <c r="H256" s="8"/>
      <c r="I256" s="8"/>
      <c r="J256" s="8"/>
      <c r="K256" s="8">
        <v>100</v>
      </c>
      <c r="L256" s="18">
        <v>74</v>
      </c>
      <c r="M256" s="7">
        <f t="shared" si="3"/>
        <v>7400</v>
      </c>
      <c r="N256" s="4"/>
      <c r="O256" s="9"/>
    </row>
    <row r="257" spans="1:15" ht="20" customHeight="1" x14ac:dyDescent="0.2">
      <c r="A257" s="3">
        <v>253</v>
      </c>
      <c r="B257" s="19"/>
      <c r="C257" s="4" t="s">
        <v>910</v>
      </c>
      <c r="D257" s="4" t="s">
        <v>652</v>
      </c>
      <c r="E257" s="4" t="s">
        <v>653</v>
      </c>
      <c r="F257" s="8"/>
      <c r="G257" s="8"/>
      <c r="H257" s="8"/>
      <c r="I257" s="8"/>
      <c r="J257" s="8"/>
      <c r="K257" s="8">
        <v>2000</v>
      </c>
      <c r="L257" s="18">
        <v>110</v>
      </c>
      <c r="M257" s="7">
        <f t="shared" si="3"/>
        <v>220000</v>
      </c>
      <c r="N257" s="4"/>
      <c r="O257" s="9"/>
    </row>
    <row r="258" spans="1:15" ht="20" customHeight="1" x14ac:dyDescent="0.2">
      <c r="A258" s="3">
        <v>254</v>
      </c>
      <c r="B258" s="19"/>
      <c r="C258" s="4" t="s">
        <v>911</v>
      </c>
      <c r="D258" s="4" t="s">
        <v>652</v>
      </c>
      <c r="E258" s="4" t="s">
        <v>653</v>
      </c>
      <c r="F258" s="8"/>
      <c r="G258" s="8"/>
      <c r="H258" s="8"/>
      <c r="I258" s="8"/>
      <c r="J258" s="8"/>
      <c r="K258" s="8">
        <v>200</v>
      </c>
      <c r="L258" s="18">
        <v>110</v>
      </c>
      <c r="M258" s="7">
        <f t="shared" si="3"/>
        <v>22000</v>
      </c>
      <c r="N258" s="4"/>
      <c r="O258" s="9"/>
    </row>
    <row r="259" spans="1:15" ht="20" customHeight="1" x14ac:dyDescent="0.2">
      <c r="A259" s="3">
        <v>255</v>
      </c>
      <c r="B259" s="19"/>
      <c r="C259" s="4" t="s">
        <v>912</v>
      </c>
      <c r="D259" s="4" t="s">
        <v>652</v>
      </c>
      <c r="E259" s="4" t="s">
        <v>653</v>
      </c>
      <c r="F259" s="8"/>
      <c r="G259" s="8"/>
      <c r="H259" s="8"/>
      <c r="I259" s="8"/>
      <c r="J259" s="8"/>
      <c r="K259" s="8">
        <v>1000</v>
      </c>
      <c r="L259" s="18">
        <v>74</v>
      </c>
      <c r="M259" s="7">
        <f t="shared" si="3"/>
        <v>74000</v>
      </c>
      <c r="N259" s="4"/>
      <c r="O259" s="9"/>
    </row>
    <row r="260" spans="1:15" ht="20" customHeight="1" x14ac:dyDescent="0.2">
      <c r="A260" s="3">
        <v>256</v>
      </c>
      <c r="B260" s="19"/>
      <c r="C260" s="4" t="s">
        <v>913</v>
      </c>
      <c r="D260" s="4" t="s">
        <v>652</v>
      </c>
      <c r="E260" s="4" t="s">
        <v>653</v>
      </c>
      <c r="F260" s="8"/>
      <c r="G260" s="8"/>
      <c r="H260" s="8"/>
      <c r="I260" s="8"/>
      <c r="J260" s="8"/>
      <c r="K260" s="8">
        <v>1000</v>
      </c>
      <c r="L260" s="18">
        <v>110</v>
      </c>
      <c r="M260" s="7">
        <f t="shared" si="3"/>
        <v>110000</v>
      </c>
      <c r="N260" s="4"/>
      <c r="O260" s="9"/>
    </row>
    <row r="261" spans="1:15" ht="20" customHeight="1" x14ac:dyDescent="0.2">
      <c r="A261" s="3">
        <v>257</v>
      </c>
      <c r="B261" s="19"/>
      <c r="C261" s="4" t="s">
        <v>914</v>
      </c>
      <c r="D261" s="4" t="s">
        <v>652</v>
      </c>
      <c r="E261" s="4" t="s">
        <v>133</v>
      </c>
      <c r="F261" s="8"/>
      <c r="G261" s="8"/>
      <c r="H261" s="8"/>
      <c r="I261" s="8"/>
      <c r="J261" s="8"/>
      <c r="K261" s="8">
        <v>0</v>
      </c>
      <c r="L261" s="18">
        <v>51.36</v>
      </c>
      <c r="M261" s="7">
        <f t="shared" ref="M261:M324" si="4">IF(OR(K261="",L261=""),"",K261*L261)</f>
        <v>0</v>
      </c>
      <c r="N261" s="4"/>
      <c r="O261" s="9"/>
    </row>
    <row r="262" spans="1:15" ht="20" customHeight="1" x14ac:dyDescent="0.2">
      <c r="A262" s="3">
        <v>258</v>
      </c>
      <c r="B262" s="19"/>
      <c r="C262" s="4" t="s">
        <v>915</v>
      </c>
      <c r="D262" s="4" t="s">
        <v>652</v>
      </c>
      <c r="E262" s="4" t="s">
        <v>653</v>
      </c>
      <c r="F262" s="8"/>
      <c r="G262" s="8"/>
      <c r="H262" s="8"/>
      <c r="I262" s="8"/>
      <c r="J262" s="8"/>
      <c r="K262" s="8">
        <v>5000</v>
      </c>
      <c r="L262" s="18">
        <v>99</v>
      </c>
      <c r="M262" s="7">
        <f t="shared" si="4"/>
        <v>495000</v>
      </c>
      <c r="N262" s="4"/>
      <c r="O262" s="9"/>
    </row>
    <row r="263" spans="1:15" ht="20" customHeight="1" x14ac:dyDescent="0.2">
      <c r="A263" s="3">
        <v>259</v>
      </c>
      <c r="B263" s="19"/>
      <c r="C263" s="4" t="s">
        <v>916</v>
      </c>
      <c r="D263" s="4" t="s">
        <v>652</v>
      </c>
      <c r="E263" s="4" t="s">
        <v>653</v>
      </c>
      <c r="F263" s="8"/>
      <c r="G263" s="8"/>
      <c r="H263" s="8"/>
      <c r="I263" s="8"/>
      <c r="J263" s="8"/>
      <c r="K263" s="8">
        <v>3000</v>
      </c>
      <c r="L263" s="18">
        <v>99</v>
      </c>
      <c r="M263" s="7">
        <f t="shared" si="4"/>
        <v>297000</v>
      </c>
      <c r="N263" s="4"/>
      <c r="O263" s="9"/>
    </row>
    <row r="264" spans="1:15" ht="20" customHeight="1" x14ac:dyDescent="0.2">
      <c r="A264" s="3">
        <v>260</v>
      </c>
      <c r="B264" s="19"/>
      <c r="C264" s="4" t="s">
        <v>917</v>
      </c>
      <c r="D264" s="4" t="s">
        <v>652</v>
      </c>
      <c r="E264" s="4" t="s">
        <v>918</v>
      </c>
      <c r="F264" s="8"/>
      <c r="G264" s="8"/>
      <c r="H264" s="8"/>
      <c r="I264" s="8"/>
      <c r="J264" s="8"/>
      <c r="K264" s="8">
        <v>0</v>
      </c>
      <c r="L264" s="18">
        <v>170</v>
      </c>
      <c r="M264" s="7">
        <f t="shared" si="4"/>
        <v>0</v>
      </c>
      <c r="N264" s="4"/>
      <c r="O264" s="9"/>
    </row>
    <row r="265" spans="1:15" ht="20" customHeight="1" x14ac:dyDescent="0.2">
      <c r="A265" s="3">
        <v>261</v>
      </c>
      <c r="B265" s="19"/>
      <c r="C265" s="4" t="s">
        <v>919</v>
      </c>
      <c r="D265" s="4" t="s">
        <v>652</v>
      </c>
      <c r="E265" s="4" t="s">
        <v>775</v>
      </c>
      <c r="F265" s="8"/>
      <c r="G265" s="8"/>
      <c r="H265" s="8"/>
      <c r="I265" s="8"/>
      <c r="J265" s="8"/>
      <c r="K265" s="8">
        <v>22</v>
      </c>
      <c r="L265" s="18">
        <v>2200</v>
      </c>
      <c r="M265" s="7">
        <f t="shared" si="4"/>
        <v>48400</v>
      </c>
      <c r="N265" s="4"/>
      <c r="O265" s="9"/>
    </row>
    <row r="266" spans="1:15" ht="20" customHeight="1" x14ac:dyDescent="0.2">
      <c r="A266" s="3">
        <v>262</v>
      </c>
      <c r="B266" s="19"/>
      <c r="C266" s="4" t="s">
        <v>920</v>
      </c>
      <c r="D266" s="4" t="s">
        <v>652</v>
      </c>
      <c r="E266" s="4" t="s">
        <v>921</v>
      </c>
      <c r="F266" s="8"/>
      <c r="G266" s="8"/>
      <c r="H266" s="8"/>
      <c r="I266" s="8"/>
      <c r="J266" s="8"/>
      <c r="K266" s="8">
        <v>0</v>
      </c>
      <c r="L266" s="18">
        <v>110</v>
      </c>
      <c r="M266" s="7">
        <f t="shared" si="4"/>
        <v>0</v>
      </c>
      <c r="N266" s="4"/>
      <c r="O266" s="9"/>
    </row>
    <row r="267" spans="1:15" ht="20" customHeight="1" x14ac:dyDescent="0.2">
      <c r="A267" s="3">
        <v>263</v>
      </c>
      <c r="B267" s="19"/>
      <c r="C267" s="4" t="s">
        <v>922</v>
      </c>
      <c r="D267" s="4" t="s">
        <v>652</v>
      </c>
      <c r="E267" s="4" t="s">
        <v>653</v>
      </c>
      <c r="F267" s="8"/>
      <c r="G267" s="8"/>
      <c r="H267" s="8"/>
      <c r="I267" s="8"/>
      <c r="J267" s="8"/>
      <c r="K267" s="8">
        <v>0</v>
      </c>
      <c r="L267" s="18">
        <v>120</v>
      </c>
      <c r="M267" s="7">
        <f t="shared" si="4"/>
        <v>0</v>
      </c>
      <c r="N267" s="4"/>
      <c r="O267" s="9"/>
    </row>
    <row r="268" spans="1:15" ht="20" customHeight="1" x14ac:dyDescent="0.2">
      <c r="A268" s="3">
        <v>264</v>
      </c>
      <c r="B268" s="19"/>
      <c r="C268" s="4" t="s">
        <v>923</v>
      </c>
      <c r="D268" s="4" t="s">
        <v>652</v>
      </c>
      <c r="E268" s="4" t="s">
        <v>152</v>
      </c>
      <c r="F268" s="8"/>
      <c r="G268" s="8"/>
      <c r="H268" s="8"/>
      <c r="I268" s="8"/>
      <c r="J268" s="8"/>
      <c r="K268" s="8">
        <v>36</v>
      </c>
      <c r="L268" s="18">
        <v>66.069999999999993</v>
      </c>
      <c r="M268" s="7">
        <f t="shared" si="4"/>
        <v>2378.5199999999995</v>
      </c>
      <c r="N268" s="4"/>
      <c r="O268" s="9"/>
    </row>
    <row r="269" spans="1:15" ht="20" customHeight="1" x14ac:dyDescent="0.2">
      <c r="A269" s="3">
        <v>265</v>
      </c>
      <c r="B269" s="19"/>
      <c r="C269" s="4" t="s">
        <v>924</v>
      </c>
      <c r="D269" s="4" t="s">
        <v>652</v>
      </c>
      <c r="E269" s="4" t="s">
        <v>196</v>
      </c>
      <c r="F269" s="8"/>
      <c r="G269" s="8"/>
      <c r="H269" s="8"/>
      <c r="I269" s="8"/>
      <c r="J269" s="8"/>
      <c r="K269" s="8">
        <v>0</v>
      </c>
      <c r="L269" s="18">
        <v>160</v>
      </c>
      <c r="M269" s="7">
        <f t="shared" si="4"/>
        <v>0</v>
      </c>
      <c r="N269" s="4"/>
      <c r="O269" s="9"/>
    </row>
    <row r="270" spans="1:15" ht="20" customHeight="1" x14ac:dyDescent="0.2">
      <c r="A270" s="3">
        <v>266</v>
      </c>
      <c r="B270" s="19"/>
      <c r="C270" s="4" t="s">
        <v>925</v>
      </c>
      <c r="D270" s="4" t="s">
        <v>652</v>
      </c>
      <c r="E270" s="4" t="s">
        <v>152</v>
      </c>
      <c r="F270" s="8"/>
      <c r="G270" s="8"/>
      <c r="H270" s="8"/>
      <c r="I270" s="8"/>
      <c r="J270" s="8"/>
      <c r="K270" s="8">
        <v>24</v>
      </c>
      <c r="L270" s="18">
        <v>181.9</v>
      </c>
      <c r="M270" s="7">
        <f t="shared" si="4"/>
        <v>4365.6000000000004</v>
      </c>
      <c r="N270" s="4"/>
      <c r="O270" s="9"/>
    </row>
    <row r="271" spans="1:15" ht="20" customHeight="1" x14ac:dyDescent="0.2">
      <c r="A271" s="3">
        <v>267</v>
      </c>
      <c r="B271" s="19"/>
      <c r="C271" s="4" t="s">
        <v>926</v>
      </c>
      <c r="D271" s="4" t="s">
        <v>652</v>
      </c>
      <c r="E271" s="4" t="s">
        <v>125</v>
      </c>
      <c r="F271" s="8"/>
      <c r="G271" s="8"/>
      <c r="H271" s="8"/>
      <c r="I271" s="8"/>
      <c r="J271" s="8"/>
      <c r="K271" s="8">
        <v>0</v>
      </c>
      <c r="L271" s="18">
        <v>100</v>
      </c>
      <c r="M271" s="7">
        <f t="shared" si="4"/>
        <v>0</v>
      </c>
      <c r="N271" s="4"/>
      <c r="O271" s="9"/>
    </row>
    <row r="272" spans="1:15" ht="20" customHeight="1" x14ac:dyDescent="0.2">
      <c r="A272" s="3">
        <v>268</v>
      </c>
      <c r="B272" s="19"/>
      <c r="C272" s="4" t="s">
        <v>927</v>
      </c>
      <c r="D272" s="4" t="s">
        <v>652</v>
      </c>
      <c r="E272" s="4" t="s">
        <v>252</v>
      </c>
      <c r="F272" s="8"/>
      <c r="G272" s="8"/>
      <c r="H272" s="8"/>
      <c r="I272" s="8"/>
      <c r="J272" s="8"/>
      <c r="K272" s="8">
        <v>100</v>
      </c>
      <c r="L272" s="18">
        <v>60</v>
      </c>
      <c r="M272" s="7">
        <f t="shared" si="4"/>
        <v>6000</v>
      </c>
      <c r="N272" s="4"/>
      <c r="O272" s="9"/>
    </row>
    <row r="273" spans="1:15" ht="20" customHeight="1" x14ac:dyDescent="0.2">
      <c r="A273" s="3">
        <v>269</v>
      </c>
      <c r="B273" s="19"/>
      <c r="C273" s="4" t="s">
        <v>928</v>
      </c>
      <c r="D273" s="4" t="s">
        <v>652</v>
      </c>
      <c r="E273" s="4" t="s">
        <v>252</v>
      </c>
      <c r="F273" s="8"/>
      <c r="G273" s="8"/>
      <c r="H273" s="8"/>
      <c r="I273" s="8"/>
      <c r="J273" s="8"/>
      <c r="K273" s="8">
        <v>101</v>
      </c>
      <c r="L273" s="18">
        <v>294.25</v>
      </c>
      <c r="M273" s="7">
        <f t="shared" si="4"/>
        <v>29719.25</v>
      </c>
      <c r="N273" s="4"/>
      <c r="O273" s="9"/>
    </row>
    <row r="274" spans="1:15" ht="20" customHeight="1" x14ac:dyDescent="0.2">
      <c r="A274" s="3">
        <v>270</v>
      </c>
      <c r="B274" s="19"/>
      <c r="C274" s="4" t="s">
        <v>929</v>
      </c>
      <c r="D274" s="4" t="s">
        <v>652</v>
      </c>
      <c r="E274" s="4" t="s">
        <v>271</v>
      </c>
      <c r="F274" s="8"/>
      <c r="G274" s="8"/>
      <c r="H274" s="8"/>
      <c r="I274" s="8"/>
      <c r="J274" s="8"/>
      <c r="K274" s="8">
        <v>32</v>
      </c>
      <c r="L274" s="18">
        <v>229</v>
      </c>
      <c r="M274" s="7">
        <f t="shared" si="4"/>
        <v>7328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930</v>
      </c>
      <c r="D275" s="4" t="s">
        <v>652</v>
      </c>
      <c r="E275" s="4" t="s">
        <v>667</v>
      </c>
      <c r="F275" s="8"/>
      <c r="G275" s="8"/>
      <c r="H275" s="8"/>
      <c r="I275" s="8"/>
      <c r="J275" s="8"/>
      <c r="K275" s="8">
        <v>18</v>
      </c>
      <c r="L275" s="18">
        <v>3900</v>
      </c>
      <c r="M275" s="7">
        <f t="shared" si="4"/>
        <v>70200</v>
      </c>
      <c r="N275" s="4"/>
      <c r="O275" s="9"/>
    </row>
    <row r="276" spans="1:15" ht="20" customHeight="1" x14ac:dyDescent="0.2">
      <c r="A276" s="3">
        <v>272</v>
      </c>
      <c r="B276" s="19"/>
      <c r="C276" s="4" t="s">
        <v>931</v>
      </c>
      <c r="D276" s="4" t="s">
        <v>652</v>
      </c>
      <c r="E276" s="4" t="s">
        <v>667</v>
      </c>
      <c r="F276" s="8"/>
      <c r="G276" s="8"/>
      <c r="H276" s="8"/>
      <c r="I276" s="8"/>
      <c r="J276" s="8"/>
      <c r="K276" s="8">
        <v>9</v>
      </c>
      <c r="L276" s="18">
        <v>2490</v>
      </c>
      <c r="M276" s="7">
        <f t="shared" si="4"/>
        <v>22410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932</v>
      </c>
      <c r="D277" s="4" t="s">
        <v>652</v>
      </c>
      <c r="E277" s="4" t="s">
        <v>667</v>
      </c>
      <c r="F277" s="8"/>
      <c r="G277" s="8"/>
      <c r="H277" s="8"/>
      <c r="I277" s="8"/>
      <c r="J277" s="8"/>
      <c r="K277" s="8">
        <v>1</v>
      </c>
      <c r="L277" s="18">
        <v>3500</v>
      </c>
      <c r="M277" s="7">
        <f t="shared" si="4"/>
        <v>3500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933</v>
      </c>
      <c r="D278" s="4" t="s">
        <v>652</v>
      </c>
      <c r="E278" s="4" t="s">
        <v>667</v>
      </c>
      <c r="F278" s="8"/>
      <c r="G278" s="8"/>
      <c r="H278" s="8"/>
      <c r="I278" s="8"/>
      <c r="J278" s="8"/>
      <c r="K278" s="8">
        <v>1</v>
      </c>
      <c r="L278" s="18">
        <v>6200</v>
      </c>
      <c r="M278" s="7">
        <f t="shared" si="4"/>
        <v>6200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934</v>
      </c>
      <c r="D279" s="4" t="s">
        <v>652</v>
      </c>
      <c r="E279" s="4" t="s">
        <v>667</v>
      </c>
      <c r="F279" s="8"/>
      <c r="G279" s="8"/>
      <c r="H279" s="8"/>
      <c r="I279" s="8"/>
      <c r="J279" s="8"/>
      <c r="K279" s="8">
        <v>10</v>
      </c>
      <c r="L279" s="18">
        <v>2900</v>
      </c>
      <c r="M279" s="7">
        <f t="shared" si="4"/>
        <v>29000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935</v>
      </c>
      <c r="D280" s="4" t="s">
        <v>652</v>
      </c>
      <c r="E280" s="4" t="s">
        <v>667</v>
      </c>
      <c r="F280" s="8"/>
      <c r="G280" s="8"/>
      <c r="H280" s="8"/>
      <c r="I280" s="8"/>
      <c r="J280" s="8"/>
      <c r="K280" s="8">
        <v>1</v>
      </c>
      <c r="L280" s="18">
        <v>4600</v>
      </c>
      <c r="M280" s="7">
        <f t="shared" si="4"/>
        <v>4600</v>
      </c>
      <c r="N280" s="4"/>
      <c r="O280" s="9"/>
    </row>
    <row r="281" spans="1:15" ht="20" customHeight="1" x14ac:dyDescent="0.2">
      <c r="A281" s="3">
        <v>277</v>
      </c>
      <c r="B281" s="19"/>
      <c r="C281" s="4" t="s">
        <v>936</v>
      </c>
      <c r="D281" s="4" t="s">
        <v>652</v>
      </c>
      <c r="E281" s="4" t="s">
        <v>667</v>
      </c>
      <c r="F281" s="8"/>
      <c r="G281" s="8"/>
      <c r="H281" s="8"/>
      <c r="I281" s="8"/>
      <c r="J281" s="8"/>
      <c r="K281" s="8">
        <v>2</v>
      </c>
      <c r="L281" s="18">
        <v>3800</v>
      </c>
      <c r="M281" s="7">
        <f t="shared" si="4"/>
        <v>7600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937</v>
      </c>
      <c r="D282" s="4" t="s">
        <v>652</v>
      </c>
      <c r="E282" s="4" t="s">
        <v>152</v>
      </c>
      <c r="F282" s="8"/>
      <c r="G282" s="8"/>
      <c r="H282" s="8"/>
      <c r="I282" s="8"/>
      <c r="J282" s="8"/>
      <c r="K282" s="8">
        <v>5</v>
      </c>
      <c r="L282" s="18">
        <v>40</v>
      </c>
      <c r="M282" s="7">
        <f t="shared" si="4"/>
        <v>200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938</v>
      </c>
      <c r="D283" s="4" t="s">
        <v>652</v>
      </c>
      <c r="E283" s="4" t="s">
        <v>267</v>
      </c>
      <c r="F283" s="8"/>
      <c r="G283" s="8"/>
      <c r="H283" s="8"/>
      <c r="I283" s="8"/>
      <c r="J283" s="8"/>
      <c r="K283" s="8">
        <v>130000</v>
      </c>
      <c r="L283" s="18">
        <v>4</v>
      </c>
      <c r="M283" s="7">
        <f t="shared" si="4"/>
        <v>520000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939</v>
      </c>
      <c r="D284" s="4" t="s">
        <v>652</v>
      </c>
      <c r="E284" s="4" t="s">
        <v>133</v>
      </c>
      <c r="F284" s="8"/>
      <c r="G284" s="8"/>
      <c r="H284" s="8"/>
      <c r="I284" s="8"/>
      <c r="J284" s="8"/>
      <c r="K284" s="8">
        <v>2200</v>
      </c>
      <c r="L284" s="18">
        <v>40</v>
      </c>
      <c r="M284" s="7">
        <f t="shared" si="4"/>
        <v>88000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940</v>
      </c>
      <c r="D285" s="4" t="s">
        <v>652</v>
      </c>
      <c r="E285" s="4" t="s">
        <v>941</v>
      </c>
      <c r="F285" s="8"/>
      <c r="G285" s="8"/>
      <c r="H285" s="8"/>
      <c r="I285" s="8"/>
      <c r="J285" s="8"/>
      <c r="K285" s="8">
        <v>25000</v>
      </c>
      <c r="L285" s="18">
        <v>16.98</v>
      </c>
      <c r="M285" s="7">
        <f t="shared" si="4"/>
        <v>424500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942</v>
      </c>
      <c r="D286" s="4" t="s">
        <v>652</v>
      </c>
      <c r="E286" s="4"/>
      <c r="F286" s="8"/>
      <c r="G286" s="8"/>
      <c r="H286" s="8"/>
      <c r="I286" s="8"/>
      <c r="J286" s="8"/>
      <c r="K286" s="8">
        <v>0</v>
      </c>
      <c r="L286" s="18">
        <v>1.35</v>
      </c>
      <c r="M286" s="7">
        <f t="shared" si="4"/>
        <v>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943</v>
      </c>
      <c r="D287" s="4" t="s">
        <v>652</v>
      </c>
      <c r="E287" s="4" t="s">
        <v>775</v>
      </c>
      <c r="F287" s="8"/>
      <c r="G287" s="8"/>
      <c r="H287" s="8"/>
      <c r="I287" s="8"/>
      <c r="J287" s="8"/>
      <c r="K287" s="8">
        <v>6</v>
      </c>
      <c r="L287" s="18">
        <v>743.75</v>
      </c>
      <c r="M287" s="7">
        <f t="shared" si="4"/>
        <v>4462.5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944</v>
      </c>
      <c r="D288" s="4" t="s">
        <v>652</v>
      </c>
      <c r="E288" s="4" t="s">
        <v>267</v>
      </c>
      <c r="F288" s="8"/>
      <c r="G288" s="8"/>
      <c r="H288" s="8"/>
      <c r="I288" s="8"/>
      <c r="J288" s="8"/>
      <c r="K288" s="8">
        <v>0</v>
      </c>
      <c r="L288" s="18">
        <v>10</v>
      </c>
      <c r="M288" s="7">
        <f t="shared" si="4"/>
        <v>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945</v>
      </c>
      <c r="D289" s="4" t="s">
        <v>652</v>
      </c>
      <c r="E289" s="4" t="s">
        <v>941</v>
      </c>
      <c r="F289" s="8"/>
      <c r="G289" s="8"/>
      <c r="H289" s="8"/>
      <c r="I289" s="8"/>
      <c r="J289" s="8"/>
      <c r="K289" s="8">
        <v>507</v>
      </c>
      <c r="L289" s="18">
        <v>1401.7</v>
      </c>
      <c r="M289" s="7">
        <f t="shared" si="4"/>
        <v>710661.9</v>
      </c>
      <c r="N289" s="4"/>
      <c r="O289" s="9"/>
    </row>
    <row r="290" spans="1:15" ht="20" customHeight="1" x14ac:dyDescent="0.2">
      <c r="A290" s="3">
        <v>286</v>
      </c>
      <c r="B290" s="19"/>
      <c r="C290" s="4" t="s">
        <v>946</v>
      </c>
      <c r="D290" s="4" t="s">
        <v>652</v>
      </c>
      <c r="E290" s="4" t="s">
        <v>941</v>
      </c>
      <c r="F290" s="8"/>
      <c r="G290" s="8"/>
      <c r="H290" s="8"/>
      <c r="I290" s="8"/>
      <c r="J290" s="8"/>
      <c r="K290" s="8">
        <v>4</v>
      </c>
      <c r="L290" s="18">
        <v>642</v>
      </c>
      <c r="M290" s="7">
        <f t="shared" si="4"/>
        <v>2568</v>
      </c>
      <c r="N290" s="4"/>
      <c r="O290" s="9"/>
    </row>
    <row r="291" spans="1:15" ht="20" customHeight="1" x14ac:dyDescent="0.2">
      <c r="A291" s="3">
        <v>287</v>
      </c>
      <c r="B291" s="19"/>
      <c r="C291" s="4" t="s">
        <v>947</v>
      </c>
      <c r="D291" s="4" t="s">
        <v>652</v>
      </c>
      <c r="E291" s="4" t="s">
        <v>684</v>
      </c>
      <c r="F291" s="8"/>
      <c r="G291" s="8"/>
      <c r="H291" s="8"/>
      <c r="I291" s="8"/>
      <c r="J291" s="8"/>
      <c r="K291" s="8">
        <v>96</v>
      </c>
      <c r="L291" s="18">
        <v>877.4</v>
      </c>
      <c r="M291" s="7">
        <f t="shared" si="4"/>
        <v>84230.399999999994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948</v>
      </c>
      <c r="D292" s="4" t="s">
        <v>652</v>
      </c>
      <c r="E292" s="4" t="s">
        <v>267</v>
      </c>
      <c r="F292" s="8"/>
      <c r="G292" s="8"/>
      <c r="H292" s="8"/>
      <c r="I292" s="8"/>
      <c r="J292" s="8"/>
      <c r="K292" s="8">
        <v>0</v>
      </c>
      <c r="L292" s="18">
        <v>171.2</v>
      </c>
      <c r="M292" s="7">
        <f t="shared" si="4"/>
        <v>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949</v>
      </c>
      <c r="D293" s="4" t="s">
        <v>652</v>
      </c>
      <c r="E293" s="4" t="s">
        <v>941</v>
      </c>
      <c r="F293" s="8"/>
      <c r="G293" s="8"/>
      <c r="H293" s="8"/>
      <c r="I293" s="8"/>
      <c r="J293" s="8"/>
      <c r="K293" s="8">
        <v>522</v>
      </c>
      <c r="L293" s="18">
        <v>781.1</v>
      </c>
      <c r="M293" s="7">
        <f t="shared" si="4"/>
        <v>407734.2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950</v>
      </c>
      <c r="D294" s="4" t="s">
        <v>652</v>
      </c>
      <c r="E294" s="4" t="s">
        <v>267</v>
      </c>
      <c r="F294" s="8"/>
      <c r="G294" s="8"/>
      <c r="H294" s="8"/>
      <c r="I294" s="8"/>
      <c r="J294" s="8"/>
      <c r="K294" s="8">
        <v>912</v>
      </c>
      <c r="L294" s="18">
        <v>35</v>
      </c>
      <c r="M294" s="7">
        <f t="shared" si="4"/>
        <v>31920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951</v>
      </c>
      <c r="D295" s="4" t="s">
        <v>652</v>
      </c>
      <c r="E295" s="4" t="s">
        <v>941</v>
      </c>
      <c r="F295" s="8"/>
      <c r="G295" s="8"/>
      <c r="H295" s="8"/>
      <c r="I295" s="8"/>
      <c r="J295" s="8"/>
      <c r="K295" s="8">
        <v>63</v>
      </c>
      <c r="L295" s="18">
        <v>2782</v>
      </c>
      <c r="M295" s="7">
        <f t="shared" si="4"/>
        <v>175266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952</v>
      </c>
      <c r="D296" s="4" t="s">
        <v>652</v>
      </c>
      <c r="E296" s="4" t="s">
        <v>684</v>
      </c>
      <c r="F296" s="8"/>
      <c r="G296" s="8"/>
      <c r="H296" s="8"/>
      <c r="I296" s="8"/>
      <c r="J296" s="8"/>
      <c r="K296" s="8">
        <v>12</v>
      </c>
      <c r="L296" s="18">
        <v>1786.9</v>
      </c>
      <c r="M296" s="7">
        <f t="shared" si="4"/>
        <v>21442.800000000003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953</v>
      </c>
      <c r="D297" s="4" t="s">
        <v>652</v>
      </c>
      <c r="E297" s="4" t="s">
        <v>684</v>
      </c>
      <c r="F297" s="8"/>
      <c r="G297" s="8"/>
      <c r="H297" s="8"/>
      <c r="I297" s="8"/>
      <c r="J297" s="8"/>
      <c r="K297" s="8">
        <v>240</v>
      </c>
      <c r="L297" s="18">
        <v>642</v>
      </c>
      <c r="M297" s="7">
        <f t="shared" si="4"/>
        <v>154080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954</v>
      </c>
      <c r="D298" s="4" t="s">
        <v>652</v>
      </c>
      <c r="E298" s="4" t="s">
        <v>941</v>
      </c>
      <c r="F298" s="8"/>
      <c r="G298" s="8"/>
      <c r="H298" s="8"/>
      <c r="I298" s="8"/>
      <c r="J298" s="8"/>
      <c r="K298" s="8">
        <v>503</v>
      </c>
      <c r="L298" s="18">
        <v>832.46</v>
      </c>
      <c r="M298" s="7">
        <f t="shared" si="4"/>
        <v>418727.38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955</v>
      </c>
      <c r="D299" s="4" t="s">
        <v>652</v>
      </c>
      <c r="E299" s="4" t="s">
        <v>941</v>
      </c>
      <c r="F299" s="8"/>
      <c r="G299" s="8"/>
      <c r="H299" s="8"/>
      <c r="I299" s="8"/>
      <c r="J299" s="8"/>
      <c r="K299" s="8">
        <v>23</v>
      </c>
      <c r="L299" s="18">
        <v>824</v>
      </c>
      <c r="M299" s="7">
        <f t="shared" si="4"/>
        <v>18952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956</v>
      </c>
      <c r="D300" s="4" t="s">
        <v>652</v>
      </c>
      <c r="E300" s="4" t="s">
        <v>941</v>
      </c>
      <c r="F300" s="8"/>
      <c r="G300" s="8"/>
      <c r="H300" s="8"/>
      <c r="I300" s="8"/>
      <c r="J300" s="8"/>
      <c r="K300" s="8">
        <v>486</v>
      </c>
      <c r="L300" s="18">
        <v>1326.8</v>
      </c>
      <c r="M300" s="7">
        <f t="shared" si="4"/>
        <v>644824.79999999993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957</v>
      </c>
      <c r="D301" s="4" t="s">
        <v>652</v>
      </c>
      <c r="E301" s="4" t="s">
        <v>941</v>
      </c>
      <c r="F301" s="8"/>
      <c r="G301" s="8"/>
      <c r="H301" s="8"/>
      <c r="I301" s="8"/>
      <c r="J301" s="8"/>
      <c r="K301" s="8">
        <v>30</v>
      </c>
      <c r="L301" s="18">
        <v>1284</v>
      </c>
      <c r="M301" s="7">
        <f t="shared" si="4"/>
        <v>38520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958</v>
      </c>
      <c r="D302" s="4" t="s">
        <v>652</v>
      </c>
      <c r="E302" s="4" t="s">
        <v>684</v>
      </c>
      <c r="F302" s="8"/>
      <c r="G302" s="8"/>
      <c r="H302" s="8"/>
      <c r="I302" s="8"/>
      <c r="J302" s="8"/>
      <c r="K302" s="8">
        <v>21</v>
      </c>
      <c r="L302" s="18">
        <v>6580.5</v>
      </c>
      <c r="M302" s="7">
        <f t="shared" si="4"/>
        <v>138190.5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959</v>
      </c>
      <c r="D303" s="4" t="s">
        <v>652</v>
      </c>
      <c r="E303" s="4" t="s">
        <v>684</v>
      </c>
      <c r="F303" s="8"/>
      <c r="G303" s="8"/>
      <c r="H303" s="8"/>
      <c r="I303" s="8"/>
      <c r="J303" s="8"/>
      <c r="K303" s="8">
        <v>24</v>
      </c>
      <c r="L303" s="18">
        <v>556.4</v>
      </c>
      <c r="M303" s="7">
        <f t="shared" si="4"/>
        <v>13353.599999999999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960</v>
      </c>
      <c r="D304" s="4" t="s">
        <v>652</v>
      </c>
      <c r="E304" s="4" t="s">
        <v>267</v>
      </c>
      <c r="F304" s="8"/>
      <c r="G304" s="8"/>
      <c r="H304" s="8"/>
      <c r="I304" s="8"/>
      <c r="J304" s="8"/>
      <c r="K304" s="8">
        <v>150</v>
      </c>
      <c r="L304" s="18">
        <v>10</v>
      </c>
      <c r="M304" s="7">
        <f t="shared" si="4"/>
        <v>1500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961</v>
      </c>
      <c r="D305" s="4" t="s">
        <v>652</v>
      </c>
      <c r="E305" s="4" t="s">
        <v>276</v>
      </c>
      <c r="F305" s="8"/>
      <c r="G305" s="8"/>
      <c r="H305" s="8"/>
      <c r="I305" s="8"/>
      <c r="J305" s="8"/>
      <c r="K305" s="8">
        <v>24</v>
      </c>
      <c r="L305" s="18">
        <v>46</v>
      </c>
      <c r="M305" s="7">
        <f t="shared" si="4"/>
        <v>1104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962</v>
      </c>
      <c r="D306" s="4" t="s">
        <v>652</v>
      </c>
      <c r="E306" s="4" t="s">
        <v>684</v>
      </c>
      <c r="F306" s="8"/>
      <c r="G306" s="8"/>
      <c r="H306" s="8"/>
      <c r="I306" s="8"/>
      <c r="J306" s="8"/>
      <c r="K306" s="8">
        <v>150</v>
      </c>
      <c r="L306" s="18">
        <v>139.1</v>
      </c>
      <c r="M306" s="7">
        <f t="shared" si="4"/>
        <v>20865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963</v>
      </c>
      <c r="D307" s="4" t="s">
        <v>652</v>
      </c>
      <c r="E307" s="4" t="s">
        <v>941</v>
      </c>
      <c r="F307" s="8"/>
      <c r="G307" s="8"/>
      <c r="H307" s="8"/>
      <c r="I307" s="8"/>
      <c r="J307" s="8"/>
      <c r="K307" s="8">
        <v>100</v>
      </c>
      <c r="L307" s="18">
        <v>802.5</v>
      </c>
      <c r="M307" s="7">
        <f t="shared" si="4"/>
        <v>80250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964</v>
      </c>
      <c r="D308" s="4" t="s">
        <v>652</v>
      </c>
      <c r="E308" s="4" t="s">
        <v>276</v>
      </c>
      <c r="F308" s="8"/>
      <c r="G308" s="8"/>
      <c r="H308" s="8"/>
      <c r="I308" s="8"/>
      <c r="J308" s="8"/>
      <c r="K308" s="8">
        <v>1000</v>
      </c>
      <c r="L308" s="18">
        <v>35</v>
      </c>
      <c r="M308" s="7">
        <f t="shared" si="4"/>
        <v>35000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965</v>
      </c>
      <c r="D309" s="4" t="s">
        <v>652</v>
      </c>
      <c r="E309" s="4" t="s">
        <v>941</v>
      </c>
      <c r="F309" s="8"/>
      <c r="G309" s="8"/>
      <c r="H309" s="8"/>
      <c r="I309" s="8"/>
      <c r="J309" s="8"/>
      <c r="K309" s="8">
        <v>66</v>
      </c>
      <c r="L309" s="18">
        <v>1391</v>
      </c>
      <c r="M309" s="7">
        <f t="shared" si="4"/>
        <v>91806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966</v>
      </c>
      <c r="D310" s="4" t="s">
        <v>652</v>
      </c>
      <c r="E310" s="4" t="s">
        <v>941</v>
      </c>
      <c r="F310" s="8"/>
      <c r="G310" s="8"/>
      <c r="H310" s="8"/>
      <c r="I310" s="8"/>
      <c r="J310" s="8"/>
      <c r="K310" s="8">
        <v>6</v>
      </c>
      <c r="L310" s="18">
        <v>1926</v>
      </c>
      <c r="M310" s="7">
        <f t="shared" si="4"/>
        <v>11556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967</v>
      </c>
      <c r="D311" s="4" t="s">
        <v>652</v>
      </c>
      <c r="E311" s="4" t="s">
        <v>941</v>
      </c>
      <c r="F311" s="8"/>
      <c r="G311" s="8"/>
      <c r="H311" s="8"/>
      <c r="I311" s="8"/>
      <c r="J311" s="8"/>
      <c r="K311" s="8">
        <v>14</v>
      </c>
      <c r="L311" s="18">
        <v>1280</v>
      </c>
      <c r="M311" s="7">
        <f t="shared" si="4"/>
        <v>17920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968</v>
      </c>
      <c r="D312" s="4" t="s">
        <v>652</v>
      </c>
      <c r="E312" s="4" t="s">
        <v>941</v>
      </c>
      <c r="F312" s="8"/>
      <c r="G312" s="8"/>
      <c r="H312" s="8"/>
      <c r="I312" s="8"/>
      <c r="J312" s="8"/>
      <c r="K312" s="8">
        <v>163</v>
      </c>
      <c r="L312" s="18">
        <v>1294.7</v>
      </c>
      <c r="M312" s="7">
        <f t="shared" si="4"/>
        <v>211036.1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969</v>
      </c>
      <c r="D313" s="4" t="s">
        <v>652</v>
      </c>
      <c r="E313" s="4" t="s">
        <v>267</v>
      </c>
      <c r="F313" s="8"/>
      <c r="G313" s="8"/>
      <c r="H313" s="8"/>
      <c r="I313" s="8"/>
      <c r="J313" s="8"/>
      <c r="K313" s="8">
        <v>1000</v>
      </c>
      <c r="L313" s="18">
        <v>44</v>
      </c>
      <c r="M313" s="7">
        <f t="shared" si="4"/>
        <v>44000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970</v>
      </c>
      <c r="D314" s="4" t="s">
        <v>652</v>
      </c>
      <c r="E314" s="4" t="s">
        <v>152</v>
      </c>
      <c r="F314" s="8"/>
      <c r="G314" s="8"/>
      <c r="H314" s="8"/>
      <c r="I314" s="8"/>
      <c r="J314" s="8"/>
      <c r="K314" s="8">
        <v>6</v>
      </c>
      <c r="L314" s="18">
        <v>2950</v>
      </c>
      <c r="M314" s="7">
        <f t="shared" si="4"/>
        <v>17700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971</v>
      </c>
      <c r="D315" s="4" t="s">
        <v>652</v>
      </c>
      <c r="E315" s="4" t="s">
        <v>152</v>
      </c>
      <c r="F315" s="8"/>
      <c r="G315" s="8"/>
      <c r="H315" s="8"/>
      <c r="I315" s="8"/>
      <c r="J315" s="8"/>
      <c r="K315" s="8">
        <v>11</v>
      </c>
      <c r="L315" s="18">
        <v>1750</v>
      </c>
      <c r="M315" s="7">
        <f t="shared" si="4"/>
        <v>19250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972</v>
      </c>
      <c r="D316" s="4" t="s">
        <v>652</v>
      </c>
      <c r="E316" s="4" t="s">
        <v>271</v>
      </c>
      <c r="F316" s="8"/>
      <c r="G316" s="8"/>
      <c r="H316" s="8"/>
      <c r="I316" s="8"/>
      <c r="J316" s="8"/>
      <c r="K316" s="8">
        <v>5</v>
      </c>
      <c r="L316" s="18">
        <v>1016.5</v>
      </c>
      <c r="M316" s="7">
        <f t="shared" si="4"/>
        <v>5082.5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973</v>
      </c>
      <c r="D317" s="4" t="s">
        <v>652</v>
      </c>
      <c r="E317" s="4" t="s">
        <v>252</v>
      </c>
      <c r="F317" s="8"/>
      <c r="G317" s="8"/>
      <c r="H317" s="8"/>
      <c r="I317" s="8"/>
      <c r="J317" s="8"/>
      <c r="K317" s="8">
        <v>10</v>
      </c>
      <c r="L317" s="18">
        <v>104.86</v>
      </c>
      <c r="M317" s="7">
        <f t="shared" si="4"/>
        <v>1048.5999999999999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974</v>
      </c>
      <c r="D318" s="4" t="s">
        <v>652</v>
      </c>
      <c r="E318" s="4" t="s">
        <v>152</v>
      </c>
      <c r="F318" s="8"/>
      <c r="G318" s="8"/>
      <c r="H318" s="8"/>
      <c r="I318" s="8"/>
      <c r="J318" s="8"/>
      <c r="K318" s="8">
        <v>36</v>
      </c>
      <c r="L318" s="18">
        <v>175</v>
      </c>
      <c r="M318" s="7">
        <f t="shared" si="4"/>
        <v>6300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975</v>
      </c>
      <c r="D319" s="4" t="s">
        <v>652</v>
      </c>
      <c r="E319" s="4" t="s">
        <v>775</v>
      </c>
      <c r="F319" s="8"/>
      <c r="G319" s="8"/>
      <c r="H319" s="8"/>
      <c r="I319" s="8"/>
      <c r="J319" s="8"/>
      <c r="K319" s="8">
        <v>0</v>
      </c>
      <c r="L319" s="18">
        <v>1590</v>
      </c>
      <c r="M319" s="7">
        <f t="shared" si="4"/>
        <v>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976</v>
      </c>
      <c r="D320" s="4" t="s">
        <v>652</v>
      </c>
      <c r="E320" s="4" t="s">
        <v>653</v>
      </c>
      <c r="F320" s="8"/>
      <c r="G320" s="8"/>
      <c r="H320" s="8"/>
      <c r="I320" s="8"/>
      <c r="J320" s="8"/>
      <c r="K320" s="8">
        <v>0</v>
      </c>
      <c r="L320" s="18">
        <v>280</v>
      </c>
      <c r="M320" s="7">
        <f t="shared" si="4"/>
        <v>0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977</v>
      </c>
      <c r="D321" s="4" t="s">
        <v>652</v>
      </c>
      <c r="E321" s="4" t="s">
        <v>229</v>
      </c>
      <c r="F321" s="8"/>
      <c r="G321" s="8"/>
      <c r="H321" s="8"/>
      <c r="I321" s="8"/>
      <c r="J321" s="8"/>
      <c r="K321" s="8">
        <v>0</v>
      </c>
      <c r="L321" s="18">
        <v>4494</v>
      </c>
      <c r="M321" s="7">
        <f t="shared" si="4"/>
        <v>0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978</v>
      </c>
      <c r="D322" s="4" t="s">
        <v>652</v>
      </c>
      <c r="E322" s="4" t="s">
        <v>684</v>
      </c>
      <c r="F322" s="8"/>
      <c r="G322" s="8"/>
      <c r="H322" s="8"/>
      <c r="I322" s="8"/>
      <c r="J322" s="8"/>
      <c r="K322" s="8">
        <v>1</v>
      </c>
      <c r="L322" s="18">
        <v>8463.7000000000007</v>
      </c>
      <c r="M322" s="7">
        <f t="shared" si="4"/>
        <v>8463.7000000000007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979</v>
      </c>
      <c r="D323" s="4" t="s">
        <v>652</v>
      </c>
      <c r="E323" s="4" t="s">
        <v>653</v>
      </c>
      <c r="F323" s="8"/>
      <c r="G323" s="8"/>
      <c r="H323" s="8"/>
      <c r="I323" s="8"/>
      <c r="J323" s="8"/>
      <c r="K323" s="8">
        <v>2500</v>
      </c>
      <c r="L323" s="18">
        <v>35.74</v>
      </c>
      <c r="M323" s="7">
        <f t="shared" si="4"/>
        <v>89350</v>
      </c>
      <c r="N323" s="4"/>
      <c r="O323" s="9"/>
    </row>
    <row r="324" spans="1:15" ht="20" customHeight="1" x14ac:dyDescent="0.2">
      <c r="A324" s="3">
        <v>320</v>
      </c>
      <c r="B324" s="19"/>
      <c r="C324" s="4" t="s">
        <v>980</v>
      </c>
      <c r="D324" s="4" t="s">
        <v>652</v>
      </c>
      <c r="E324" s="4" t="s">
        <v>343</v>
      </c>
      <c r="F324" s="8"/>
      <c r="G324" s="8"/>
      <c r="H324" s="8"/>
      <c r="I324" s="8"/>
      <c r="J324" s="8"/>
      <c r="K324" s="8">
        <v>20</v>
      </c>
      <c r="L324" s="18">
        <v>422.65</v>
      </c>
      <c r="M324" s="7">
        <f t="shared" si="4"/>
        <v>8453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981</v>
      </c>
      <c r="D325" s="4" t="s">
        <v>652</v>
      </c>
      <c r="E325" s="4" t="s">
        <v>982</v>
      </c>
      <c r="F325" s="8"/>
      <c r="G325" s="8"/>
      <c r="H325" s="8"/>
      <c r="I325" s="8"/>
      <c r="J325" s="8"/>
      <c r="K325" s="8">
        <v>2</v>
      </c>
      <c r="L325" s="18">
        <v>2200</v>
      </c>
      <c r="M325" s="7">
        <f t="shared" ref="M325:M388" si="5">IF(OR(K325="",L325=""),"",K325*L325)</f>
        <v>4400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983</v>
      </c>
      <c r="D326" s="4" t="s">
        <v>652</v>
      </c>
      <c r="E326" s="4" t="s">
        <v>125</v>
      </c>
      <c r="F326" s="8"/>
      <c r="G326" s="8"/>
      <c r="H326" s="8"/>
      <c r="I326" s="8"/>
      <c r="J326" s="8"/>
      <c r="K326" s="8">
        <v>16</v>
      </c>
      <c r="L326" s="18">
        <v>130</v>
      </c>
      <c r="M326" s="7">
        <f t="shared" si="5"/>
        <v>2080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984</v>
      </c>
      <c r="D327" s="4" t="s">
        <v>652</v>
      </c>
      <c r="E327" s="4" t="s">
        <v>196</v>
      </c>
      <c r="F327" s="8"/>
      <c r="G327" s="8"/>
      <c r="H327" s="8"/>
      <c r="I327" s="8"/>
      <c r="J327" s="8"/>
      <c r="K327" s="8">
        <v>48</v>
      </c>
      <c r="L327" s="18">
        <v>150</v>
      </c>
      <c r="M327" s="7">
        <f t="shared" si="5"/>
        <v>7200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985</v>
      </c>
      <c r="D328" s="4" t="s">
        <v>652</v>
      </c>
      <c r="E328" s="4" t="s">
        <v>343</v>
      </c>
      <c r="F328" s="8"/>
      <c r="G328" s="8"/>
      <c r="H328" s="8"/>
      <c r="I328" s="8"/>
      <c r="J328" s="8"/>
      <c r="K328" s="8">
        <v>48</v>
      </c>
      <c r="L328" s="18">
        <v>150</v>
      </c>
      <c r="M328" s="7">
        <f t="shared" si="5"/>
        <v>7200</v>
      </c>
      <c r="N328" s="4"/>
      <c r="O328" s="9"/>
    </row>
    <row r="329" spans="1:15" ht="20" customHeight="1" x14ac:dyDescent="0.2">
      <c r="A329" s="3">
        <v>325</v>
      </c>
      <c r="B329" s="19"/>
      <c r="C329" s="4" t="s">
        <v>986</v>
      </c>
      <c r="D329" s="4" t="s">
        <v>652</v>
      </c>
      <c r="E329" s="4" t="s">
        <v>343</v>
      </c>
      <c r="F329" s="8"/>
      <c r="G329" s="8"/>
      <c r="H329" s="8"/>
      <c r="I329" s="8"/>
      <c r="J329" s="8"/>
      <c r="K329" s="8">
        <v>347</v>
      </c>
      <c r="L329" s="18">
        <v>160.5</v>
      </c>
      <c r="M329" s="7">
        <f t="shared" si="5"/>
        <v>55693.5</v>
      </c>
      <c r="N329" s="4"/>
      <c r="O329" s="9"/>
    </row>
    <row r="330" spans="1:15" ht="20" customHeight="1" x14ac:dyDescent="0.2">
      <c r="A330" s="3">
        <v>326</v>
      </c>
      <c r="B330" s="19"/>
      <c r="C330" s="4" t="s">
        <v>987</v>
      </c>
      <c r="D330" s="4" t="s">
        <v>652</v>
      </c>
      <c r="E330" s="4" t="s">
        <v>343</v>
      </c>
      <c r="F330" s="8"/>
      <c r="G330" s="8"/>
      <c r="H330" s="8"/>
      <c r="I330" s="8"/>
      <c r="J330" s="8"/>
      <c r="K330" s="8">
        <v>0</v>
      </c>
      <c r="L330" s="18">
        <v>113.42</v>
      </c>
      <c r="M330" s="7">
        <f t="shared" si="5"/>
        <v>0</v>
      </c>
      <c r="N330" s="4"/>
      <c r="O330" s="9"/>
    </row>
    <row r="331" spans="1:15" ht="20" customHeight="1" x14ac:dyDescent="0.2">
      <c r="A331" s="3">
        <v>327</v>
      </c>
      <c r="B331" s="19"/>
      <c r="C331" s="4" t="s">
        <v>988</v>
      </c>
      <c r="D331" s="4" t="s">
        <v>652</v>
      </c>
      <c r="E331" s="4" t="s">
        <v>343</v>
      </c>
      <c r="F331" s="8"/>
      <c r="G331" s="8"/>
      <c r="H331" s="8"/>
      <c r="I331" s="8"/>
      <c r="J331" s="8"/>
      <c r="K331" s="8">
        <v>0</v>
      </c>
      <c r="L331" s="18">
        <v>139.1</v>
      </c>
      <c r="M331" s="7">
        <f t="shared" si="5"/>
        <v>0</v>
      </c>
      <c r="N331" s="4"/>
      <c r="O331" s="9"/>
    </row>
    <row r="332" spans="1:15" ht="20" customHeight="1" x14ac:dyDescent="0.2">
      <c r="A332" s="3">
        <v>328</v>
      </c>
      <c r="B332" s="19"/>
      <c r="C332" s="4" t="s">
        <v>989</v>
      </c>
      <c r="D332" s="4" t="s">
        <v>652</v>
      </c>
      <c r="E332" s="4" t="s">
        <v>343</v>
      </c>
      <c r="F332" s="8"/>
      <c r="G332" s="8"/>
      <c r="H332" s="8"/>
      <c r="I332" s="8"/>
      <c r="J332" s="8"/>
      <c r="K332" s="8">
        <v>0</v>
      </c>
      <c r="L332" s="18">
        <v>67</v>
      </c>
      <c r="M332" s="7">
        <f t="shared" si="5"/>
        <v>0</v>
      </c>
      <c r="N332" s="4"/>
      <c r="O332" s="9"/>
    </row>
    <row r="333" spans="1:15" ht="20" customHeight="1" x14ac:dyDescent="0.2">
      <c r="A333" s="3">
        <v>329</v>
      </c>
      <c r="B333" s="19"/>
      <c r="C333" s="4" t="s">
        <v>990</v>
      </c>
      <c r="D333" s="4" t="s">
        <v>652</v>
      </c>
      <c r="E333" s="4" t="s">
        <v>343</v>
      </c>
      <c r="F333" s="8"/>
      <c r="G333" s="8"/>
      <c r="H333" s="8"/>
      <c r="I333" s="8"/>
      <c r="J333" s="8"/>
      <c r="K333" s="8">
        <v>0</v>
      </c>
      <c r="L333" s="18">
        <v>242</v>
      </c>
      <c r="M333" s="7">
        <f t="shared" si="5"/>
        <v>0</v>
      </c>
      <c r="N333" s="4"/>
      <c r="O333" s="9"/>
    </row>
    <row r="334" spans="1:15" ht="20" customHeight="1" x14ac:dyDescent="0.2">
      <c r="A334" s="3">
        <v>330</v>
      </c>
      <c r="B334" s="19"/>
      <c r="C334" s="4" t="s">
        <v>991</v>
      </c>
      <c r="D334" s="4" t="s">
        <v>652</v>
      </c>
      <c r="E334" s="4" t="s">
        <v>343</v>
      </c>
      <c r="F334" s="8"/>
      <c r="G334" s="8"/>
      <c r="H334" s="8"/>
      <c r="I334" s="8"/>
      <c r="J334" s="8"/>
      <c r="K334" s="8">
        <v>0</v>
      </c>
      <c r="L334" s="18">
        <v>67.95</v>
      </c>
      <c r="M334" s="7">
        <f t="shared" si="5"/>
        <v>0</v>
      </c>
      <c r="N334" s="4"/>
      <c r="O334" s="9"/>
    </row>
    <row r="335" spans="1:15" ht="20" customHeight="1" x14ac:dyDescent="0.2">
      <c r="A335" s="3">
        <v>331</v>
      </c>
      <c r="B335" s="19"/>
      <c r="C335" s="4" t="s">
        <v>992</v>
      </c>
      <c r="D335" s="4" t="s">
        <v>652</v>
      </c>
      <c r="E335" s="4" t="s">
        <v>343</v>
      </c>
      <c r="F335" s="8"/>
      <c r="G335" s="8"/>
      <c r="H335" s="8"/>
      <c r="I335" s="8"/>
      <c r="J335" s="8"/>
      <c r="K335" s="8">
        <v>40</v>
      </c>
      <c r="L335" s="18">
        <v>42.8</v>
      </c>
      <c r="M335" s="7">
        <f t="shared" si="5"/>
        <v>1712</v>
      </c>
      <c r="N335" s="4"/>
      <c r="O335" s="9"/>
    </row>
    <row r="336" spans="1:15" ht="20" customHeight="1" x14ac:dyDescent="0.2">
      <c r="A336" s="3">
        <v>332</v>
      </c>
      <c r="B336" s="19"/>
      <c r="C336" s="4" t="s">
        <v>993</v>
      </c>
      <c r="D336" s="4" t="s">
        <v>652</v>
      </c>
      <c r="E336" s="4" t="s">
        <v>137</v>
      </c>
      <c r="F336" s="8"/>
      <c r="G336" s="8"/>
      <c r="H336" s="8"/>
      <c r="I336" s="8"/>
      <c r="J336" s="8"/>
      <c r="K336" s="8">
        <v>0</v>
      </c>
      <c r="L336" s="18">
        <v>1950</v>
      </c>
      <c r="M336" s="7">
        <f t="shared" si="5"/>
        <v>0</v>
      </c>
      <c r="N336" s="4"/>
      <c r="O336" s="9"/>
    </row>
    <row r="337" spans="1:15" ht="20" customHeight="1" x14ac:dyDescent="0.2">
      <c r="A337" s="3">
        <v>333</v>
      </c>
      <c r="B337" s="19"/>
      <c r="C337" s="4" t="s">
        <v>994</v>
      </c>
      <c r="D337" s="4" t="s">
        <v>652</v>
      </c>
      <c r="E337" s="4" t="s">
        <v>152</v>
      </c>
      <c r="F337" s="8"/>
      <c r="G337" s="8"/>
      <c r="H337" s="8"/>
      <c r="I337" s="8"/>
      <c r="J337" s="8"/>
      <c r="K337" s="8">
        <v>24</v>
      </c>
      <c r="L337" s="18">
        <v>214</v>
      </c>
      <c r="M337" s="7">
        <f t="shared" si="5"/>
        <v>5136</v>
      </c>
      <c r="N337" s="4"/>
      <c r="O337" s="9"/>
    </row>
    <row r="338" spans="1:15" ht="20" customHeight="1" x14ac:dyDescent="0.2">
      <c r="A338" s="3">
        <v>334</v>
      </c>
      <c r="B338" s="19"/>
      <c r="C338" s="4" t="s">
        <v>995</v>
      </c>
      <c r="D338" s="4" t="s">
        <v>652</v>
      </c>
      <c r="E338" s="4" t="s">
        <v>343</v>
      </c>
      <c r="F338" s="8"/>
      <c r="G338" s="8"/>
      <c r="H338" s="8"/>
      <c r="I338" s="8"/>
      <c r="J338" s="8"/>
      <c r="K338" s="8">
        <v>0</v>
      </c>
      <c r="L338" s="18">
        <v>802.5</v>
      </c>
      <c r="M338" s="7">
        <f t="shared" si="5"/>
        <v>0</v>
      </c>
      <c r="N338" s="4"/>
      <c r="O338" s="9"/>
    </row>
    <row r="339" spans="1:15" ht="20" customHeight="1" x14ac:dyDescent="0.2">
      <c r="A339" s="3">
        <v>335</v>
      </c>
      <c r="B339" s="19"/>
      <c r="C339" s="4" t="s">
        <v>996</v>
      </c>
      <c r="D339" s="4" t="s">
        <v>652</v>
      </c>
      <c r="E339" s="4" t="s">
        <v>343</v>
      </c>
      <c r="F339" s="8"/>
      <c r="G339" s="8"/>
      <c r="H339" s="8"/>
      <c r="I339" s="8"/>
      <c r="J339" s="8"/>
      <c r="K339" s="8">
        <v>1</v>
      </c>
      <c r="L339" s="18">
        <v>1300</v>
      </c>
      <c r="M339" s="7">
        <f t="shared" si="5"/>
        <v>1300</v>
      </c>
      <c r="N339" s="4"/>
      <c r="O339" s="9"/>
    </row>
    <row r="340" spans="1:15" ht="20" customHeight="1" x14ac:dyDescent="0.2">
      <c r="A340" s="3">
        <v>336</v>
      </c>
      <c r="B340" s="19"/>
      <c r="C340" s="4" t="s">
        <v>997</v>
      </c>
      <c r="D340" s="4" t="s">
        <v>652</v>
      </c>
      <c r="E340" s="4" t="s">
        <v>343</v>
      </c>
      <c r="F340" s="8"/>
      <c r="G340" s="8"/>
      <c r="H340" s="8"/>
      <c r="I340" s="8"/>
      <c r="J340" s="8"/>
      <c r="K340" s="8">
        <v>0</v>
      </c>
      <c r="L340" s="18">
        <v>600</v>
      </c>
      <c r="M340" s="7">
        <f t="shared" si="5"/>
        <v>0</v>
      </c>
      <c r="N340" s="4"/>
      <c r="O340" s="9"/>
    </row>
    <row r="341" spans="1:15" ht="20" customHeight="1" x14ac:dyDescent="0.2">
      <c r="A341" s="3">
        <v>337</v>
      </c>
      <c r="B341" s="19"/>
      <c r="C341" s="4" t="s">
        <v>998</v>
      </c>
      <c r="D341" s="4" t="s">
        <v>652</v>
      </c>
      <c r="E341" s="4" t="s">
        <v>252</v>
      </c>
      <c r="F341" s="8"/>
      <c r="G341" s="8"/>
      <c r="H341" s="8"/>
      <c r="I341" s="8"/>
      <c r="J341" s="8"/>
      <c r="K341" s="8">
        <v>0</v>
      </c>
      <c r="L341" s="18">
        <v>481.5</v>
      </c>
      <c r="M341" s="7">
        <f t="shared" si="5"/>
        <v>0</v>
      </c>
      <c r="N341" s="4"/>
      <c r="O341" s="9"/>
    </row>
    <row r="342" spans="1:15" ht="20" customHeight="1" x14ac:dyDescent="0.2">
      <c r="A342" s="3">
        <v>338</v>
      </c>
      <c r="B342" s="19"/>
      <c r="C342" s="4" t="s">
        <v>999</v>
      </c>
      <c r="D342" s="4" t="s">
        <v>652</v>
      </c>
      <c r="E342" s="4" t="s">
        <v>343</v>
      </c>
      <c r="F342" s="8"/>
      <c r="G342" s="8"/>
      <c r="H342" s="8"/>
      <c r="I342" s="8"/>
      <c r="J342" s="8"/>
      <c r="K342" s="8">
        <v>5</v>
      </c>
      <c r="L342" s="18">
        <v>727.6</v>
      </c>
      <c r="M342" s="7">
        <f t="shared" si="5"/>
        <v>3638</v>
      </c>
      <c r="N342" s="4"/>
      <c r="O342" s="9"/>
    </row>
    <row r="343" spans="1:15" ht="20" customHeight="1" x14ac:dyDescent="0.2">
      <c r="A343" s="3">
        <v>339</v>
      </c>
      <c r="B343" s="19"/>
      <c r="C343" s="4" t="s">
        <v>1000</v>
      </c>
      <c r="D343" s="4" t="s">
        <v>652</v>
      </c>
      <c r="E343" s="4" t="s">
        <v>343</v>
      </c>
      <c r="F343" s="8"/>
      <c r="G343" s="8"/>
      <c r="H343" s="8"/>
      <c r="I343" s="8"/>
      <c r="J343" s="8"/>
      <c r="K343" s="8">
        <v>10</v>
      </c>
      <c r="L343" s="18">
        <v>449.4</v>
      </c>
      <c r="M343" s="7">
        <f t="shared" si="5"/>
        <v>4494</v>
      </c>
      <c r="N343" s="4"/>
      <c r="O343" s="9"/>
    </row>
    <row r="344" spans="1:15" ht="20" customHeight="1" x14ac:dyDescent="0.2">
      <c r="A344" s="3">
        <v>340</v>
      </c>
      <c r="B344" s="19"/>
      <c r="C344" s="4" t="s">
        <v>1001</v>
      </c>
      <c r="D344" s="4" t="s">
        <v>652</v>
      </c>
      <c r="E344" s="4" t="s">
        <v>152</v>
      </c>
      <c r="F344" s="8"/>
      <c r="G344" s="8"/>
      <c r="H344" s="8"/>
      <c r="I344" s="8"/>
      <c r="J344" s="8"/>
      <c r="K344" s="8">
        <v>250</v>
      </c>
      <c r="L344" s="18">
        <v>90.95</v>
      </c>
      <c r="M344" s="7">
        <f t="shared" si="5"/>
        <v>22737.5</v>
      </c>
      <c r="N344" s="4"/>
      <c r="O344" s="9"/>
    </row>
    <row r="345" spans="1:15" ht="20" customHeight="1" x14ac:dyDescent="0.2">
      <c r="A345" s="3">
        <v>341</v>
      </c>
      <c r="B345" s="19"/>
      <c r="C345" s="4" t="s">
        <v>1002</v>
      </c>
      <c r="D345" s="4" t="s">
        <v>652</v>
      </c>
      <c r="E345" s="4" t="s">
        <v>343</v>
      </c>
      <c r="F345" s="8"/>
      <c r="G345" s="8"/>
      <c r="H345" s="8"/>
      <c r="I345" s="8"/>
      <c r="J345" s="8"/>
      <c r="K345" s="8">
        <v>5</v>
      </c>
      <c r="L345" s="18">
        <v>620.6</v>
      </c>
      <c r="M345" s="7">
        <f t="shared" si="5"/>
        <v>3103</v>
      </c>
      <c r="N345" s="4"/>
      <c r="O345" s="9"/>
    </row>
    <row r="346" spans="1:15" ht="20" customHeight="1" x14ac:dyDescent="0.2">
      <c r="A346" s="3">
        <v>342</v>
      </c>
      <c r="B346" s="19"/>
      <c r="C346" s="4" t="s">
        <v>1003</v>
      </c>
      <c r="D346" s="4" t="s">
        <v>652</v>
      </c>
      <c r="E346" s="4" t="s">
        <v>343</v>
      </c>
      <c r="F346" s="8"/>
      <c r="G346" s="8"/>
      <c r="H346" s="8"/>
      <c r="I346" s="8"/>
      <c r="J346" s="8"/>
      <c r="K346" s="8">
        <v>200</v>
      </c>
      <c r="L346" s="18">
        <v>203.3</v>
      </c>
      <c r="M346" s="7">
        <f t="shared" si="5"/>
        <v>40660</v>
      </c>
      <c r="N346" s="4"/>
      <c r="O346" s="9"/>
    </row>
    <row r="347" spans="1:15" ht="20" customHeight="1" x14ac:dyDescent="0.2">
      <c r="A347" s="3">
        <v>343</v>
      </c>
      <c r="B347" s="19"/>
      <c r="C347" s="4" t="s">
        <v>1004</v>
      </c>
      <c r="D347" s="4" t="s">
        <v>652</v>
      </c>
      <c r="E347" s="4" t="s">
        <v>152</v>
      </c>
      <c r="F347" s="8"/>
      <c r="G347" s="8"/>
      <c r="H347" s="8"/>
      <c r="I347" s="8"/>
      <c r="J347" s="8"/>
      <c r="K347" s="8">
        <v>200</v>
      </c>
      <c r="L347" s="18">
        <v>10</v>
      </c>
      <c r="M347" s="7">
        <f t="shared" si="5"/>
        <v>2000</v>
      </c>
      <c r="N347" s="4"/>
      <c r="O347" s="9"/>
    </row>
    <row r="348" spans="1:15" ht="20" customHeight="1" x14ac:dyDescent="0.2">
      <c r="A348" s="3">
        <v>344</v>
      </c>
      <c r="B348" s="19"/>
      <c r="C348" s="4" t="s">
        <v>1005</v>
      </c>
      <c r="D348" s="4" t="s">
        <v>652</v>
      </c>
      <c r="E348" s="4" t="s">
        <v>229</v>
      </c>
      <c r="F348" s="8"/>
      <c r="G348" s="8"/>
      <c r="H348" s="8"/>
      <c r="I348" s="8"/>
      <c r="J348" s="8"/>
      <c r="K348" s="8">
        <v>18</v>
      </c>
      <c r="L348" s="18">
        <v>1190</v>
      </c>
      <c r="M348" s="7">
        <f t="shared" si="5"/>
        <v>21420</v>
      </c>
      <c r="N348" s="4"/>
      <c r="O348" s="9"/>
    </row>
    <row r="349" spans="1:15" ht="20" customHeight="1" x14ac:dyDescent="0.2">
      <c r="A349" s="3">
        <v>345</v>
      </c>
      <c r="B349" s="19"/>
      <c r="C349" s="4" t="s">
        <v>1006</v>
      </c>
      <c r="D349" s="4" t="s">
        <v>652</v>
      </c>
      <c r="E349" s="4" t="s">
        <v>152</v>
      </c>
      <c r="F349" s="8"/>
      <c r="G349" s="8"/>
      <c r="H349" s="8"/>
      <c r="I349" s="8"/>
      <c r="J349" s="8"/>
      <c r="K349" s="8">
        <v>0</v>
      </c>
      <c r="L349" s="18">
        <v>2700</v>
      </c>
      <c r="M349" s="7">
        <f t="shared" si="5"/>
        <v>0</v>
      </c>
      <c r="N349" s="4"/>
      <c r="O349" s="9"/>
    </row>
    <row r="350" spans="1:15" ht="20" customHeight="1" x14ac:dyDescent="0.2">
      <c r="A350" s="3">
        <v>346</v>
      </c>
      <c r="B350" s="19"/>
      <c r="C350" s="4" t="s">
        <v>1007</v>
      </c>
      <c r="D350" s="4" t="s">
        <v>652</v>
      </c>
      <c r="E350" s="4" t="s">
        <v>343</v>
      </c>
      <c r="F350" s="8"/>
      <c r="G350" s="8"/>
      <c r="H350" s="8"/>
      <c r="I350" s="8"/>
      <c r="J350" s="8"/>
      <c r="K350" s="8">
        <v>1</v>
      </c>
      <c r="L350" s="18">
        <v>68885</v>
      </c>
      <c r="M350" s="7">
        <f t="shared" si="5"/>
        <v>68885</v>
      </c>
      <c r="N350" s="4"/>
      <c r="O350" s="9"/>
    </row>
    <row r="351" spans="1:15" ht="20" customHeight="1" x14ac:dyDescent="0.2">
      <c r="A351" s="3">
        <v>347</v>
      </c>
      <c r="B351" s="19"/>
      <c r="C351" s="4" t="s">
        <v>1008</v>
      </c>
      <c r="D351" s="4" t="s">
        <v>652</v>
      </c>
      <c r="E351" s="4" t="s">
        <v>343</v>
      </c>
      <c r="F351" s="8"/>
      <c r="G351" s="8"/>
      <c r="H351" s="8"/>
      <c r="I351" s="8"/>
      <c r="J351" s="8"/>
      <c r="K351" s="8">
        <v>2</v>
      </c>
      <c r="L351" s="18">
        <v>9405</v>
      </c>
      <c r="M351" s="7">
        <f t="shared" si="5"/>
        <v>18810</v>
      </c>
      <c r="N351" s="4"/>
      <c r="O351" s="9"/>
    </row>
    <row r="352" spans="1:15" ht="20" customHeight="1" x14ac:dyDescent="0.2">
      <c r="A352" s="3">
        <v>348</v>
      </c>
      <c r="B352" s="19"/>
      <c r="C352" s="4" t="s">
        <v>1009</v>
      </c>
      <c r="D352" s="4" t="s">
        <v>652</v>
      </c>
      <c r="E352" s="4" t="s">
        <v>343</v>
      </c>
      <c r="F352" s="8"/>
      <c r="G352" s="8"/>
      <c r="H352" s="8"/>
      <c r="I352" s="8"/>
      <c r="J352" s="8"/>
      <c r="K352" s="8">
        <v>200</v>
      </c>
      <c r="L352" s="18">
        <v>90</v>
      </c>
      <c r="M352" s="7">
        <f t="shared" si="5"/>
        <v>18000</v>
      </c>
      <c r="N352" s="4"/>
      <c r="O352" s="9"/>
    </row>
    <row r="353" spans="1:15" ht="20" customHeight="1" x14ac:dyDescent="0.2">
      <c r="A353" s="3">
        <v>349</v>
      </c>
      <c r="B353" s="19"/>
      <c r="C353" s="4" t="s">
        <v>1010</v>
      </c>
      <c r="D353" s="4" t="s">
        <v>652</v>
      </c>
      <c r="E353" s="4" t="s">
        <v>196</v>
      </c>
      <c r="F353" s="8"/>
      <c r="G353" s="8"/>
      <c r="H353" s="8"/>
      <c r="I353" s="8"/>
      <c r="J353" s="8"/>
      <c r="K353" s="8">
        <v>0</v>
      </c>
      <c r="L353" s="18">
        <v>6900</v>
      </c>
      <c r="M353" s="7">
        <f t="shared" si="5"/>
        <v>0</v>
      </c>
      <c r="N353" s="4"/>
      <c r="O353" s="9"/>
    </row>
    <row r="354" spans="1:15" ht="20" customHeight="1" x14ac:dyDescent="0.2">
      <c r="A354" s="3">
        <v>350</v>
      </c>
      <c r="B354" s="19"/>
      <c r="C354" s="4" t="s">
        <v>1011</v>
      </c>
      <c r="D354" s="4" t="s">
        <v>652</v>
      </c>
      <c r="E354" s="4" t="s">
        <v>137</v>
      </c>
      <c r="F354" s="8"/>
      <c r="G354" s="8"/>
      <c r="H354" s="8"/>
      <c r="I354" s="8"/>
      <c r="J354" s="8"/>
      <c r="K354" s="8">
        <v>0</v>
      </c>
      <c r="L354" s="18">
        <v>176.55</v>
      </c>
      <c r="M354" s="7">
        <f t="shared" si="5"/>
        <v>0</v>
      </c>
      <c r="N354" s="4"/>
      <c r="O354" s="9"/>
    </row>
    <row r="355" spans="1:15" ht="20" customHeight="1" x14ac:dyDescent="0.2">
      <c r="A355" s="3">
        <v>351</v>
      </c>
      <c r="B355" s="19"/>
      <c r="C355" s="4" t="s">
        <v>1012</v>
      </c>
      <c r="D355" s="4" t="s">
        <v>652</v>
      </c>
      <c r="E355" s="4" t="s">
        <v>152</v>
      </c>
      <c r="F355" s="8"/>
      <c r="G355" s="8"/>
      <c r="H355" s="8"/>
      <c r="I355" s="8"/>
      <c r="J355" s="8"/>
      <c r="K355" s="8">
        <v>100</v>
      </c>
      <c r="L355" s="18">
        <v>90.95</v>
      </c>
      <c r="M355" s="7">
        <f t="shared" si="5"/>
        <v>9095</v>
      </c>
      <c r="N355" s="4"/>
      <c r="O355" s="9"/>
    </row>
    <row r="356" spans="1:15" ht="20" customHeight="1" x14ac:dyDescent="0.2">
      <c r="A356" s="3">
        <v>352</v>
      </c>
      <c r="B356" s="19"/>
      <c r="C356" s="4" t="s">
        <v>1013</v>
      </c>
      <c r="D356" s="4" t="s">
        <v>652</v>
      </c>
      <c r="E356" s="4" t="s">
        <v>271</v>
      </c>
      <c r="F356" s="8"/>
      <c r="G356" s="8"/>
      <c r="H356" s="8"/>
      <c r="I356" s="8"/>
      <c r="J356" s="8"/>
      <c r="K356" s="8">
        <v>1</v>
      </c>
      <c r="L356" s="18">
        <v>2500</v>
      </c>
      <c r="M356" s="7">
        <f t="shared" si="5"/>
        <v>2500</v>
      </c>
      <c r="N356" s="4"/>
      <c r="O356" s="9"/>
    </row>
    <row r="357" spans="1:15" ht="20" customHeight="1" x14ac:dyDescent="0.2">
      <c r="A357" s="3">
        <v>353</v>
      </c>
      <c r="B357" s="19"/>
      <c r="C357" s="4" t="s">
        <v>1014</v>
      </c>
      <c r="D357" s="4" t="s">
        <v>652</v>
      </c>
      <c r="E357" s="4" t="s">
        <v>152</v>
      </c>
      <c r="F357" s="8"/>
      <c r="G357" s="8"/>
      <c r="H357" s="8"/>
      <c r="I357" s="8"/>
      <c r="J357" s="8"/>
      <c r="K357" s="8">
        <v>0</v>
      </c>
      <c r="L357" s="18">
        <v>20</v>
      </c>
      <c r="M357" s="7">
        <f t="shared" si="5"/>
        <v>0</v>
      </c>
      <c r="N357" s="4"/>
      <c r="O357" s="9"/>
    </row>
    <row r="358" spans="1:15" ht="20" customHeight="1" x14ac:dyDescent="0.2">
      <c r="A358" s="3">
        <v>354</v>
      </c>
      <c r="B358" s="19"/>
      <c r="C358" s="4" t="s">
        <v>1015</v>
      </c>
      <c r="D358" s="4" t="s">
        <v>652</v>
      </c>
      <c r="E358" s="4" t="s">
        <v>137</v>
      </c>
      <c r="F358" s="8"/>
      <c r="G358" s="8"/>
      <c r="H358" s="8"/>
      <c r="I358" s="8"/>
      <c r="J358" s="8"/>
      <c r="K358" s="8">
        <v>18</v>
      </c>
      <c r="L358" s="18">
        <v>250</v>
      </c>
      <c r="M358" s="7">
        <f t="shared" si="5"/>
        <v>4500</v>
      </c>
      <c r="N358" s="4"/>
      <c r="O358" s="9"/>
    </row>
    <row r="359" spans="1:15" ht="20" customHeight="1" x14ac:dyDescent="0.2">
      <c r="A359" s="3">
        <v>355</v>
      </c>
      <c r="B359" s="19"/>
      <c r="C359" s="4" t="s">
        <v>1016</v>
      </c>
      <c r="D359" s="4" t="s">
        <v>652</v>
      </c>
      <c r="E359" s="4" t="s">
        <v>229</v>
      </c>
      <c r="F359" s="8"/>
      <c r="G359" s="8"/>
      <c r="H359" s="8"/>
      <c r="I359" s="8"/>
      <c r="J359" s="8"/>
      <c r="K359" s="8">
        <v>0</v>
      </c>
      <c r="L359" s="18">
        <v>1640</v>
      </c>
      <c r="M359" s="7">
        <f t="shared" si="5"/>
        <v>0</v>
      </c>
      <c r="N359" s="4"/>
      <c r="O359" s="9"/>
    </row>
    <row r="360" spans="1:15" ht="20" customHeight="1" x14ac:dyDescent="0.2">
      <c r="A360" s="3">
        <v>356</v>
      </c>
      <c r="B360" s="19"/>
      <c r="C360" s="4" t="s">
        <v>1017</v>
      </c>
      <c r="D360" s="4" t="s">
        <v>652</v>
      </c>
      <c r="E360" s="4" t="s">
        <v>137</v>
      </c>
      <c r="F360" s="8"/>
      <c r="G360" s="8"/>
      <c r="H360" s="8"/>
      <c r="I360" s="8"/>
      <c r="J360" s="8"/>
      <c r="K360" s="8">
        <v>676</v>
      </c>
      <c r="L360" s="18">
        <v>380</v>
      </c>
      <c r="M360" s="7">
        <f t="shared" si="5"/>
        <v>256880</v>
      </c>
      <c r="N360" s="4"/>
      <c r="O360" s="9"/>
    </row>
    <row r="361" spans="1:15" ht="20" customHeight="1" x14ac:dyDescent="0.2">
      <c r="A361" s="3">
        <v>357</v>
      </c>
      <c r="B361" s="19"/>
      <c r="C361" s="4" t="s">
        <v>1018</v>
      </c>
      <c r="D361" s="4" t="s">
        <v>652</v>
      </c>
      <c r="E361" s="4" t="s">
        <v>137</v>
      </c>
      <c r="F361" s="8"/>
      <c r="G361" s="8"/>
      <c r="H361" s="8"/>
      <c r="I361" s="8"/>
      <c r="J361" s="8"/>
      <c r="K361" s="8">
        <v>12</v>
      </c>
      <c r="L361" s="18">
        <v>595</v>
      </c>
      <c r="M361" s="7">
        <f t="shared" si="5"/>
        <v>7140</v>
      </c>
      <c r="N361" s="4"/>
      <c r="O361" s="9"/>
    </row>
    <row r="362" spans="1:15" ht="20" customHeight="1" x14ac:dyDescent="0.2">
      <c r="A362" s="3">
        <v>358</v>
      </c>
      <c r="B362" s="19"/>
      <c r="C362" s="4" t="s">
        <v>1019</v>
      </c>
      <c r="D362" s="4" t="s">
        <v>652</v>
      </c>
      <c r="E362" s="4" t="s">
        <v>137</v>
      </c>
      <c r="F362" s="8"/>
      <c r="G362" s="8"/>
      <c r="H362" s="8"/>
      <c r="I362" s="8"/>
      <c r="J362" s="8"/>
      <c r="K362" s="8">
        <v>24</v>
      </c>
      <c r="L362" s="18">
        <v>190</v>
      </c>
      <c r="M362" s="7">
        <f t="shared" si="5"/>
        <v>4560</v>
      </c>
      <c r="N362" s="4"/>
      <c r="O362" s="9"/>
    </row>
    <row r="363" spans="1:15" ht="20" customHeight="1" x14ac:dyDescent="0.2">
      <c r="A363" s="3">
        <v>359</v>
      </c>
      <c r="B363" s="19"/>
      <c r="C363" s="4" t="s">
        <v>1020</v>
      </c>
      <c r="D363" s="4" t="s">
        <v>652</v>
      </c>
      <c r="E363" s="4" t="s">
        <v>775</v>
      </c>
      <c r="F363" s="8"/>
      <c r="G363" s="8"/>
      <c r="H363" s="8"/>
      <c r="I363" s="8"/>
      <c r="J363" s="8"/>
      <c r="K363" s="8">
        <v>20</v>
      </c>
      <c r="L363" s="18">
        <v>120</v>
      </c>
      <c r="M363" s="7">
        <f t="shared" si="5"/>
        <v>2400</v>
      </c>
      <c r="N363" s="4"/>
      <c r="O363" s="9"/>
    </row>
    <row r="364" spans="1:15" ht="20" customHeight="1" x14ac:dyDescent="0.2">
      <c r="A364" s="3">
        <v>360</v>
      </c>
      <c r="B364" s="19"/>
      <c r="C364" s="4" t="s">
        <v>1021</v>
      </c>
      <c r="D364" s="4" t="s">
        <v>652</v>
      </c>
      <c r="E364" s="4" t="s">
        <v>196</v>
      </c>
      <c r="F364" s="8"/>
      <c r="G364" s="8"/>
      <c r="H364" s="8"/>
      <c r="I364" s="8"/>
      <c r="J364" s="8"/>
      <c r="K364" s="8">
        <v>0</v>
      </c>
      <c r="L364" s="18">
        <v>8000</v>
      </c>
      <c r="M364" s="7">
        <f t="shared" si="5"/>
        <v>0</v>
      </c>
      <c r="N364" s="4"/>
      <c r="O364" s="9"/>
    </row>
    <row r="365" spans="1:15" ht="20" customHeight="1" x14ac:dyDescent="0.2">
      <c r="A365" s="3">
        <v>361</v>
      </c>
      <c r="B365" s="19"/>
      <c r="C365" s="4" t="s">
        <v>1022</v>
      </c>
      <c r="D365" s="4" t="s">
        <v>652</v>
      </c>
      <c r="E365" s="4" t="s">
        <v>196</v>
      </c>
      <c r="F365" s="8"/>
      <c r="G365" s="8"/>
      <c r="H365" s="8"/>
      <c r="I365" s="8"/>
      <c r="J365" s="8"/>
      <c r="K365" s="8">
        <v>0</v>
      </c>
      <c r="L365" s="18">
        <v>3500</v>
      </c>
      <c r="M365" s="7">
        <f t="shared" si="5"/>
        <v>0</v>
      </c>
      <c r="N365" s="4"/>
      <c r="O365" s="9"/>
    </row>
    <row r="366" spans="1:15" ht="20" customHeight="1" x14ac:dyDescent="0.2">
      <c r="A366" s="3">
        <v>362</v>
      </c>
      <c r="B366" s="19"/>
      <c r="C366" s="4" t="s">
        <v>1023</v>
      </c>
      <c r="D366" s="4" t="s">
        <v>652</v>
      </c>
      <c r="E366" s="4" t="s">
        <v>196</v>
      </c>
      <c r="F366" s="8"/>
      <c r="G366" s="8"/>
      <c r="H366" s="8"/>
      <c r="I366" s="8"/>
      <c r="J366" s="8"/>
      <c r="K366" s="8">
        <v>0</v>
      </c>
      <c r="L366" s="18">
        <v>3800</v>
      </c>
      <c r="M366" s="7">
        <f t="shared" si="5"/>
        <v>0</v>
      </c>
      <c r="N366" s="4"/>
      <c r="O366" s="9"/>
    </row>
    <row r="367" spans="1:15" ht="20" customHeight="1" x14ac:dyDescent="0.2">
      <c r="A367" s="3">
        <v>363</v>
      </c>
      <c r="B367" s="19"/>
      <c r="C367" s="4" t="s">
        <v>1024</v>
      </c>
      <c r="D367" s="4" t="s">
        <v>652</v>
      </c>
      <c r="E367" s="4" t="s">
        <v>196</v>
      </c>
      <c r="F367" s="8"/>
      <c r="G367" s="8"/>
      <c r="H367" s="8"/>
      <c r="I367" s="8"/>
      <c r="J367" s="8"/>
      <c r="K367" s="8">
        <v>0</v>
      </c>
      <c r="L367" s="18">
        <v>6000</v>
      </c>
      <c r="M367" s="7">
        <f t="shared" si="5"/>
        <v>0</v>
      </c>
      <c r="N367" s="4"/>
      <c r="O367" s="9"/>
    </row>
    <row r="368" spans="1:15" ht="20" customHeight="1" x14ac:dyDescent="0.2">
      <c r="A368" s="3">
        <v>364</v>
      </c>
      <c r="B368" s="19"/>
      <c r="C368" s="4" t="s">
        <v>1025</v>
      </c>
      <c r="D368" s="4" t="s">
        <v>652</v>
      </c>
      <c r="E368" s="4" t="s">
        <v>196</v>
      </c>
      <c r="F368" s="8"/>
      <c r="G368" s="8"/>
      <c r="H368" s="8"/>
      <c r="I368" s="8"/>
      <c r="J368" s="8"/>
      <c r="K368" s="8">
        <v>0</v>
      </c>
      <c r="L368" s="18">
        <v>3300</v>
      </c>
      <c r="M368" s="7">
        <f t="shared" si="5"/>
        <v>0</v>
      </c>
      <c r="N368" s="4"/>
      <c r="O368" s="9"/>
    </row>
    <row r="369" spans="1:15" ht="20" customHeight="1" x14ac:dyDescent="0.2">
      <c r="A369" s="3">
        <v>365</v>
      </c>
      <c r="B369" s="19"/>
      <c r="C369" s="4" t="s">
        <v>1026</v>
      </c>
      <c r="D369" s="4" t="s">
        <v>652</v>
      </c>
      <c r="E369" s="4" t="s">
        <v>196</v>
      </c>
      <c r="F369" s="8"/>
      <c r="G369" s="8"/>
      <c r="H369" s="8"/>
      <c r="I369" s="8"/>
      <c r="J369" s="8"/>
      <c r="K369" s="8">
        <v>0</v>
      </c>
      <c r="L369" s="18">
        <v>3500</v>
      </c>
      <c r="M369" s="7">
        <f t="shared" si="5"/>
        <v>0</v>
      </c>
      <c r="N369" s="4"/>
      <c r="O369" s="9"/>
    </row>
    <row r="370" spans="1:15" ht="20" customHeight="1" x14ac:dyDescent="0.2">
      <c r="A370" s="3">
        <v>366</v>
      </c>
      <c r="B370" s="19"/>
      <c r="C370" s="4" t="s">
        <v>1027</v>
      </c>
      <c r="D370" s="4" t="s">
        <v>652</v>
      </c>
      <c r="E370" s="4" t="s">
        <v>196</v>
      </c>
      <c r="F370" s="8"/>
      <c r="G370" s="8"/>
      <c r="H370" s="8"/>
      <c r="I370" s="8"/>
      <c r="J370" s="8"/>
      <c r="K370" s="8">
        <v>0</v>
      </c>
      <c r="L370" s="18">
        <v>3700</v>
      </c>
      <c r="M370" s="7">
        <f t="shared" si="5"/>
        <v>0</v>
      </c>
      <c r="N370" s="4"/>
      <c r="O370" s="9"/>
    </row>
    <row r="371" spans="1:15" ht="20" customHeight="1" x14ac:dyDescent="0.2">
      <c r="A371" s="3">
        <v>367</v>
      </c>
      <c r="B371" s="19"/>
      <c r="C371" s="4" t="s">
        <v>1028</v>
      </c>
      <c r="D371" s="4" t="s">
        <v>652</v>
      </c>
      <c r="E371" s="4" t="s">
        <v>196</v>
      </c>
      <c r="F371" s="8"/>
      <c r="G371" s="8"/>
      <c r="H371" s="8"/>
      <c r="I371" s="8"/>
      <c r="J371" s="8"/>
      <c r="K371" s="8">
        <v>0</v>
      </c>
      <c r="L371" s="18">
        <v>3780</v>
      </c>
      <c r="M371" s="7">
        <f t="shared" si="5"/>
        <v>0</v>
      </c>
      <c r="N371" s="4"/>
      <c r="O371" s="9"/>
    </row>
    <row r="372" spans="1:15" ht="20" customHeight="1" x14ac:dyDescent="0.2">
      <c r="A372" s="3">
        <v>368</v>
      </c>
      <c r="B372" s="19"/>
      <c r="C372" s="4" t="s">
        <v>1029</v>
      </c>
      <c r="D372" s="4" t="s">
        <v>652</v>
      </c>
      <c r="E372" s="4" t="s">
        <v>196</v>
      </c>
      <c r="F372" s="8"/>
      <c r="G372" s="8"/>
      <c r="H372" s="8"/>
      <c r="I372" s="8"/>
      <c r="J372" s="8"/>
      <c r="K372" s="8">
        <v>0</v>
      </c>
      <c r="L372" s="18">
        <v>3000</v>
      </c>
      <c r="M372" s="7">
        <f t="shared" si="5"/>
        <v>0</v>
      </c>
      <c r="N372" s="4"/>
      <c r="O372" s="9"/>
    </row>
    <row r="373" spans="1:15" ht="20" customHeight="1" x14ac:dyDescent="0.2">
      <c r="A373" s="3">
        <v>369</v>
      </c>
      <c r="B373" s="19"/>
      <c r="C373" s="4" t="s">
        <v>1030</v>
      </c>
      <c r="D373" s="4" t="s">
        <v>652</v>
      </c>
      <c r="E373" s="4" t="s">
        <v>196</v>
      </c>
      <c r="F373" s="8"/>
      <c r="G373" s="8"/>
      <c r="H373" s="8"/>
      <c r="I373" s="8"/>
      <c r="J373" s="8"/>
      <c r="K373" s="8">
        <v>0</v>
      </c>
      <c r="L373" s="18">
        <v>3100</v>
      </c>
      <c r="M373" s="7">
        <f t="shared" si="5"/>
        <v>0</v>
      </c>
      <c r="N373" s="4"/>
      <c r="O373" s="9"/>
    </row>
    <row r="374" spans="1:15" ht="20" customHeight="1" x14ac:dyDescent="0.2">
      <c r="A374" s="3">
        <v>370</v>
      </c>
      <c r="B374" s="19"/>
      <c r="C374" s="4" t="s">
        <v>1031</v>
      </c>
      <c r="D374" s="4" t="s">
        <v>652</v>
      </c>
      <c r="E374" s="4" t="s">
        <v>196</v>
      </c>
      <c r="F374" s="8"/>
      <c r="G374" s="8"/>
      <c r="H374" s="8"/>
      <c r="I374" s="8"/>
      <c r="J374" s="8"/>
      <c r="K374" s="8">
        <v>0</v>
      </c>
      <c r="L374" s="18">
        <v>3100</v>
      </c>
      <c r="M374" s="7">
        <f t="shared" si="5"/>
        <v>0</v>
      </c>
      <c r="N374" s="4"/>
      <c r="O374" s="9"/>
    </row>
    <row r="375" spans="1:15" ht="20" customHeight="1" x14ac:dyDescent="0.2">
      <c r="A375" s="3">
        <v>371</v>
      </c>
      <c r="B375" s="19"/>
      <c r="C375" s="4" t="s">
        <v>1032</v>
      </c>
      <c r="D375" s="4" t="s">
        <v>652</v>
      </c>
      <c r="E375" s="4" t="s">
        <v>196</v>
      </c>
      <c r="F375" s="8"/>
      <c r="G375" s="8"/>
      <c r="H375" s="8"/>
      <c r="I375" s="8"/>
      <c r="J375" s="8"/>
      <c r="K375" s="8">
        <v>0</v>
      </c>
      <c r="L375" s="18">
        <v>3200</v>
      </c>
      <c r="M375" s="7">
        <f t="shared" si="5"/>
        <v>0</v>
      </c>
      <c r="N375" s="4"/>
      <c r="O375" s="9"/>
    </row>
    <row r="376" spans="1:15" ht="20" customHeight="1" x14ac:dyDescent="0.2">
      <c r="A376" s="3">
        <v>372</v>
      </c>
      <c r="B376" s="19"/>
      <c r="C376" s="4" t="s">
        <v>1033</v>
      </c>
      <c r="D376" s="4" t="s">
        <v>652</v>
      </c>
      <c r="E376" s="4" t="s">
        <v>196</v>
      </c>
      <c r="F376" s="8"/>
      <c r="G376" s="8"/>
      <c r="H376" s="8"/>
      <c r="I376" s="8"/>
      <c r="J376" s="8"/>
      <c r="K376" s="8">
        <v>0</v>
      </c>
      <c r="L376" s="18">
        <v>3750</v>
      </c>
      <c r="M376" s="7">
        <f t="shared" si="5"/>
        <v>0</v>
      </c>
      <c r="N376" s="4"/>
      <c r="O376" s="9"/>
    </row>
    <row r="377" spans="1:15" ht="20" customHeight="1" x14ac:dyDescent="0.2">
      <c r="A377" s="3">
        <v>373</v>
      </c>
      <c r="B377" s="19"/>
      <c r="C377" s="4" t="s">
        <v>1034</v>
      </c>
      <c r="D377" s="4" t="s">
        <v>652</v>
      </c>
      <c r="E377" s="4" t="s">
        <v>196</v>
      </c>
      <c r="F377" s="8"/>
      <c r="G377" s="8"/>
      <c r="H377" s="8"/>
      <c r="I377" s="8"/>
      <c r="J377" s="8"/>
      <c r="K377" s="8">
        <v>0</v>
      </c>
      <c r="L377" s="18">
        <v>3850</v>
      </c>
      <c r="M377" s="7">
        <f t="shared" si="5"/>
        <v>0</v>
      </c>
      <c r="N377" s="4"/>
      <c r="O377" s="9"/>
    </row>
    <row r="378" spans="1:15" ht="20" customHeight="1" x14ac:dyDescent="0.2">
      <c r="A378" s="3">
        <v>374</v>
      </c>
      <c r="B378" s="19"/>
      <c r="C378" s="4" t="s">
        <v>1035</v>
      </c>
      <c r="D378" s="4" t="s">
        <v>652</v>
      </c>
      <c r="E378" s="4" t="s">
        <v>196</v>
      </c>
      <c r="F378" s="8"/>
      <c r="G378" s="8"/>
      <c r="H378" s="8"/>
      <c r="I378" s="8"/>
      <c r="J378" s="8"/>
      <c r="K378" s="8">
        <v>0</v>
      </c>
      <c r="L378" s="18">
        <v>3800</v>
      </c>
      <c r="M378" s="7">
        <f t="shared" si="5"/>
        <v>0</v>
      </c>
      <c r="N378" s="4"/>
      <c r="O378" s="9"/>
    </row>
    <row r="379" spans="1:15" ht="20" customHeight="1" x14ac:dyDescent="0.2">
      <c r="A379" s="3">
        <v>375</v>
      </c>
      <c r="B379" s="19"/>
      <c r="C379" s="4" t="s">
        <v>1036</v>
      </c>
      <c r="D379" s="4" t="s">
        <v>652</v>
      </c>
      <c r="E379" s="4" t="s">
        <v>196</v>
      </c>
      <c r="F379" s="8"/>
      <c r="G379" s="8"/>
      <c r="H379" s="8"/>
      <c r="I379" s="8"/>
      <c r="J379" s="8"/>
      <c r="K379" s="8">
        <v>0</v>
      </c>
      <c r="L379" s="18">
        <v>3900</v>
      </c>
      <c r="M379" s="7">
        <f t="shared" si="5"/>
        <v>0</v>
      </c>
      <c r="N379" s="4"/>
      <c r="O379" s="9"/>
    </row>
    <row r="380" spans="1:15" ht="20" customHeight="1" x14ac:dyDescent="0.2">
      <c r="A380" s="3">
        <v>376</v>
      </c>
      <c r="B380" s="19"/>
      <c r="C380" s="4" t="s">
        <v>1037</v>
      </c>
      <c r="D380" s="4" t="s">
        <v>652</v>
      </c>
      <c r="E380" s="4" t="s">
        <v>196</v>
      </c>
      <c r="F380" s="8"/>
      <c r="G380" s="8"/>
      <c r="H380" s="8"/>
      <c r="I380" s="8"/>
      <c r="J380" s="8"/>
      <c r="K380" s="8">
        <v>0</v>
      </c>
      <c r="L380" s="18">
        <v>3900</v>
      </c>
      <c r="M380" s="7">
        <f t="shared" si="5"/>
        <v>0</v>
      </c>
      <c r="N380" s="4"/>
      <c r="O380" s="9"/>
    </row>
    <row r="381" spans="1:15" ht="20" customHeight="1" x14ac:dyDescent="0.2">
      <c r="A381" s="3">
        <v>377</v>
      </c>
      <c r="B381" s="19"/>
      <c r="C381" s="4" t="s">
        <v>1038</v>
      </c>
      <c r="D381" s="4" t="s">
        <v>652</v>
      </c>
      <c r="E381" s="4" t="s">
        <v>196</v>
      </c>
      <c r="F381" s="8"/>
      <c r="G381" s="8"/>
      <c r="H381" s="8"/>
      <c r="I381" s="8"/>
      <c r="J381" s="8"/>
      <c r="K381" s="8">
        <v>0</v>
      </c>
      <c r="L381" s="18">
        <v>3900</v>
      </c>
      <c r="M381" s="7">
        <f t="shared" si="5"/>
        <v>0</v>
      </c>
      <c r="N381" s="4"/>
      <c r="O381" s="9"/>
    </row>
    <row r="382" spans="1:15" ht="20" customHeight="1" x14ac:dyDescent="0.2">
      <c r="A382" s="3">
        <v>378</v>
      </c>
      <c r="B382" s="19"/>
      <c r="C382" s="4" t="s">
        <v>1039</v>
      </c>
      <c r="D382" s="4" t="s">
        <v>652</v>
      </c>
      <c r="E382" s="4" t="s">
        <v>196</v>
      </c>
      <c r="F382" s="8"/>
      <c r="G382" s="8"/>
      <c r="H382" s="8"/>
      <c r="I382" s="8"/>
      <c r="J382" s="8"/>
      <c r="K382" s="8">
        <v>0</v>
      </c>
      <c r="L382" s="18">
        <v>5200</v>
      </c>
      <c r="M382" s="7">
        <f t="shared" si="5"/>
        <v>0</v>
      </c>
      <c r="N382" s="4"/>
      <c r="O382" s="9"/>
    </row>
    <row r="383" spans="1:15" ht="20" customHeight="1" x14ac:dyDescent="0.2">
      <c r="A383" s="3">
        <v>379</v>
      </c>
      <c r="B383" s="19"/>
      <c r="C383" s="4" t="s">
        <v>1040</v>
      </c>
      <c r="D383" s="4" t="s">
        <v>652</v>
      </c>
      <c r="E383" s="4" t="s">
        <v>196</v>
      </c>
      <c r="F383" s="8"/>
      <c r="G383" s="8"/>
      <c r="H383" s="8"/>
      <c r="I383" s="8"/>
      <c r="J383" s="8"/>
      <c r="K383" s="8">
        <v>0</v>
      </c>
      <c r="L383" s="18">
        <v>5300</v>
      </c>
      <c r="M383" s="7">
        <f t="shared" si="5"/>
        <v>0</v>
      </c>
      <c r="N383" s="4"/>
      <c r="O383" s="9"/>
    </row>
    <row r="384" spans="1:15" ht="20" customHeight="1" x14ac:dyDescent="0.2">
      <c r="A384" s="3">
        <v>380</v>
      </c>
      <c r="B384" s="19"/>
      <c r="C384" s="4" t="s">
        <v>1041</v>
      </c>
      <c r="D384" s="4" t="s">
        <v>652</v>
      </c>
      <c r="E384" s="4" t="s">
        <v>196</v>
      </c>
      <c r="F384" s="8"/>
      <c r="G384" s="8"/>
      <c r="H384" s="8"/>
      <c r="I384" s="8"/>
      <c r="J384" s="8"/>
      <c r="K384" s="8">
        <v>0</v>
      </c>
      <c r="L384" s="18">
        <v>7500</v>
      </c>
      <c r="M384" s="7">
        <f t="shared" si="5"/>
        <v>0</v>
      </c>
      <c r="N384" s="4"/>
      <c r="O384" s="9"/>
    </row>
    <row r="385" spans="1:15" ht="20" customHeight="1" x14ac:dyDescent="0.2">
      <c r="A385" s="3">
        <v>381</v>
      </c>
      <c r="B385" s="19"/>
      <c r="C385" s="4" t="s">
        <v>1042</v>
      </c>
      <c r="D385" s="4" t="s">
        <v>652</v>
      </c>
      <c r="E385" s="4" t="s">
        <v>196</v>
      </c>
      <c r="F385" s="8"/>
      <c r="G385" s="8"/>
      <c r="H385" s="8"/>
      <c r="I385" s="8"/>
      <c r="J385" s="8"/>
      <c r="K385" s="8">
        <v>0</v>
      </c>
      <c r="L385" s="18">
        <v>3100</v>
      </c>
      <c r="M385" s="7">
        <f t="shared" si="5"/>
        <v>0</v>
      </c>
      <c r="N385" s="4"/>
      <c r="O385" s="9"/>
    </row>
    <row r="386" spans="1:15" ht="20" customHeight="1" x14ac:dyDescent="0.2">
      <c r="A386" s="3">
        <v>382</v>
      </c>
      <c r="B386" s="19"/>
      <c r="C386" s="4" t="s">
        <v>1043</v>
      </c>
      <c r="D386" s="4" t="s">
        <v>652</v>
      </c>
      <c r="E386" s="4" t="s">
        <v>152</v>
      </c>
      <c r="F386" s="8"/>
      <c r="G386" s="8"/>
      <c r="H386" s="8"/>
      <c r="I386" s="8"/>
      <c r="J386" s="8"/>
      <c r="K386" s="8">
        <v>24</v>
      </c>
      <c r="L386" s="18">
        <v>1400</v>
      </c>
      <c r="M386" s="7">
        <f t="shared" si="5"/>
        <v>33600</v>
      </c>
      <c r="N386" s="4"/>
      <c r="O386" s="9"/>
    </row>
    <row r="387" spans="1:15" ht="20" customHeight="1" x14ac:dyDescent="0.2">
      <c r="A387" s="3">
        <v>383</v>
      </c>
      <c r="B387" s="19"/>
      <c r="C387" s="4" t="s">
        <v>1044</v>
      </c>
      <c r="D387" s="4" t="s">
        <v>652</v>
      </c>
      <c r="E387" s="4" t="s">
        <v>152</v>
      </c>
      <c r="F387" s="8"/>
      <c r="G387" s="8"/>
      <c r="H387" s="8"/>
      <c r="I387" s="8"/>
      <c r="J387" s="8"/>
      <c r="K387" s="8">
        <v>0</v>
      </c>
      <c r="L387" s="18">
        <v>130</v>
      </c>
      <c r="M387" s="7">
        <f t="shared" si="5"/>
        <v>0</v>
      </c>
      <c r="N387" s="4"/>
      <c r="O387" s="9"/>
    </row>
    <row r="388" spans="1:15" ht="20" customHeight="1" x14ac:dyDescent="0.2">
      <c r="A388" s="3">
        <v>384</v>
      </c>
      <c r="B388" s="19"/>
      <c r="C388" s="4" t="s">
        <v>1045</v>
      </c>
      <c r="D388" s="4" t="s">
        <v>652</v>
      </c>
      <c r="E388" s="4" t="s">
        <v>152</v>
      </c>
      <c r="F388" s="8"/>
      <c r="G388" s="8"/>
      <c r="H388" s="8"/>
      <c r="I388" s="8"/>
      <c r="J388" s="8"/>
      <c r="K388" s="8">
        <v>0</v>
      </c>
      <c r="L388" s="18">
        <v>32</v>
      </c>
      <c r="M388" s="7">
        <f t="shared" si="5"/>
        <v>0</v>
      </c>
      <c r="N388" s="4"/>
      <c r="O388" s="9"/>
    </row>
    <row r="389" spans="1:15" ht="20" customHeight="1" x14ac:dyDescent="0.2">
      <c r="A389" s="3">
        <v>385</v>
      </c>
      <c r="B389" s="19"/>
      <c r="C389" s="4" t="s">
        <v>1046</v>
      </c>
      <c r="D389" s="4" t="s">
        <v>652</v>
      </c>
      <c r="E389" s="4" t="s">
        <v>121</v>
      </c>
      <c r="F389" s="8"/>
      <c r="G389" s="8"/>
      <c r="H389" s="8"/>
      <c r="I389" s="8"/>
      <c r="J389" s="8"/>
      <c r="K389" s="8">
        <v>0</v>
      </c>
      <c r="L389" s="18">
        <v>7800</v>
      </c>
      <c r="M389" s="7">
        <f t="shared" ref="M389:M452" si="6">IF(OR(K389="",L389=""),"",K389*L389)</f>
        <v>0</v>
      </c>
      <c r="N389" s="4"/>
      <c r="O389" s="9"/>
    </row>
    <row r="390" spans="1:15" ht="20" customHeight="1" x14ac:dyDescent="0.2">
      <c r="A390" s="3">
        <v>386</v>
      </c>
      <c r="B390" s="19"/>
      <c r="C390" s="4" t="s">
        <v>1047</v>
      </c>
      <c r="D390" s="4" t="s">
        <v>652</v>
      </c>
      <c r="E390" s="4" t="s">
        <v>121</v>
      </c>
      <c r="F390" s="8"/>
      <c r="G390" s="8"/>
      <c r="H390" s="8"/>
      <c r="I390" s="8"/>
      <c r="J390" s="8"/>
      <c r="K390" s="8">
        <v>0</v>
      </c>
      <c r="L390" s="18">
        <v>3800</v>
      </c>
      <c r="M390" s="7">
        <f t="shared" si="6"/>
        <v>0</v>
      </c>
      <c r="N390" s="4"/>
      <c r="O390" s="9"/>
    </row>
    <row r="391" spans="1:15" ht="20" customHeight="1" x14ac:dyDescent="0.2">
      <c r="A391" s="3">
        <v>387</v>
      </c>
      <c r="B391" s="19"/>
      <c r="C391" s="4" t="s">
        <v>1048</v>
      </c>
      <c r="D391" s="4" t="s">
        <v>652</v>
      </c>
      <c r="E391" s="4" t="s">
        <v>791</v>
      </c>
      <c r="F391" s="8"/>
      <c r="G391" s="8"/>
      <c r="H391" s="8"/>
      <c r="I391" s="8"/>
      <c r="J391" s="8"/>
      <c r="K391" s="8">
        <v>0</v>
      </c>
      <c r="L391" s="18">
        <v>49755</v>
      </c>
      <c r="M391" s="7">
        <f t="shared" si="6"/>
        <v>0</v>
      </c>
      <c r="N391" s="4"/>
      <c r="O391" s="9"/>
    </row>
    <row r="392" spans="1:15" ht="20" customHeight="1" x14ac:dyDescent="0.2">
      <c r="A392" s="3">
        <v>388</v>
      </c>
      <c r="B392" s="19"/>
      <c r="C392" s="4" t="s">
        <v>1049</v>
      </c>
      <c r="D392" s="4" t="s">
        <v>652</v>
      </c>
      <c r="E392" s="4" t="s">
        <v>791</v>
      </c>
      <c r="F392" s="8"/>
      <c r="G392" s="8"/>
      <c r="H392" s="8"/>
      <c r="I392" s="8"/>
      <c r="J392" s="8"/>
      <c r="K392" s="8">
        <v>1</v>
      </c>
      <c r="L392" s="18">
        <v>3800</v>
      </c>
      <c r="M392" s="7">
        <f t="shared" si="6"/>
        <v>3800</v>
      </c>
      <c r="N392" s="4"/>
      <c r="O392" s="9"/>
    </row>
    <row r="393" spans="1:15" ht="20" customHeight="1" x14ac:dyDescent="0.2">
      <c r="A393" s="3">
        <v>389</v>
      </c>
      <c r="B393" s="19"/>
      <c r="C393" s="4" t="s">
        <v>1050</v>
      </c>
      <c r="D393" s="4" t="s">
        <v>652</v>
      </c>
      <c r="E393" s="4" t="s">
        <v>791</v>
      </c>
      <c r="F393" s="8"/>
      <c r="G393" s="8"/>
      <c r="H393" s="8"/>
      <c r="I393" s="8"/>
      <c r="J393" s="8"/>
      <c r="K393" s="8">
        <v>0</v>
      </c>
      <c r="L393" s="18">
        <v>4390</v>
      </c>
      <c r="M393" s="7">
        <f t="shared" si="6"/>
        <v>0</v>
      </c>
      <c r="N393" s="4"/>
      <c r="O393" s="9"/>
    </row>
    <row r="394" spans="1:15" ht="20" customHeight="1" x14ac:dyDescent="0.2">
      <c r="A394" s="3">
        <v>390</v>
      </c>
      <c r="B394" s="19"/>
      <c r="C394" s="4" t="s">
        <v>1051</v>
      </c>
      <c r="D394" s="4" t="s">
        <v>652</v>
      </c>
      <c r="E394" s="4" t="s">
        <v>791</v>
      </c>
      <c r="F394" s="8"/>
      <c r="G394" s="8"/>
      <c r="H394" s="8"/>
      <c r="I394" s="8"/>
      <c r="J394" s="8"/>
      <c r="K394" s="8">
        <v>0</v>
      </c>
      <c r="L394" s="18">
        <v>1190</v>
      </c>
      <c r="M394" s="7">
        <f t="shared" si="6"/>
        <v>0</v>
      </c>
      <c r="N394" s="4"/>
      <c r="O394" s="9"/>
    </row>
    <row r="395" spans="1:15" ht="20" customHeight="1" x14ac:dyDescent="0.2">
      <c r="A395" s="3">
        <v>391</v>
      </c>
      <c r="B395" s="19"/>
      <c r="C395" s="4" t="s">
        <v>1052</v>
      </c>
      <c r="D395" s="4" t="s">
        <v>652</v>
      </c>
      <c r="E395" s="4" t="s">
        <v>791</v>
      </c>
      <c r="F395" s="8"/>
      <c r="G395" s="8"/>
      <c r="H395" s="8"/>
      <c r="I395" s="8"/>
      <c r="J395" s="8"/>
      <c r="K395" s="8">
        <v>20</v>
      </c>
      <c r="L395" s="18">
        <v>3800</v>
      </c>
      <c r="M395" s="7">
        <f t="shared" si="6"/>
        <v>76000</v>
      </c>
      <c r="N395" s="4"/>
      <c r="O395" s="9"/>
    </row>
    <row r="396" spans="1:15" ht="20" customHeight="1" x14ac:dyDescent="0.2">
      <c r="A396" s="3">
        <v>392</v>
      </c>
      <c r="B396" s="19"/>
      <c r="C396" s="4" t="s">
        <v>1053</v>
      </c>
      <c r="D396" s="4" t="s">
        <v>652</v>
      </c>
      <c r="E396" s="4" t="s">
        <v>154</v>
      </c>
      <c r="F396" s="8"/>
      <c r="G396" s="8"/>
      <c r="H396" s="8"/>
      <c r="I396" s="8"/>
      <c r="J396" s="8"/>
      <c r="K396" s="8">
        <v>50</v>
      </c>
      <c r="L396" s="18">
        <v>95</v>
      </c>
      <c r="M396" s="7">
        <f t="shared" si="6"/>
        <v>4750</v>
      </c>
      <c r="N396" s="4"/>
      <c r="O396" s="9"/>
    </row>
    <row r="397" spans="1:15" ht="20" customHeight="1" x14ac:dyDescent="0.2">
      <c r="A397" s="3">
        <v>393</v>
      </c>
      <c r="B397" s="19"/>
      <c r="C397" s="4" t="s">
        <v>1054</v>
      </c>
      <c r="D397" s="4" t="s">
        <v>652</v>
      </c>
      <c r="E397" s="4" t="s">
        <v>154</v>
      </c>
      <c r="F397" s="8"/>
      <c r="G397" s="8"/>
      <c r="H397" s="8"/>
      <c r="I397" s="8"/>
      <c r="J397" s="8"/>
      <c r="K397" s="8">
        <v>0</v>
      </c>
      <c r="L397" s="18">
        <v>90</v>
      </c>
      <c r="M397" s="7">
        <f t="shared" si="6"/>
        <v>0</v>
      </c>
      <c r="N397" s="4"/>
      <c r="O397" s="9"/>
    </row>
    <row r="398" spans="1:15" ht="20" customHeight="1" x14ac:dyDescent="0.2">
      <c r="A398" s="3">
        <v>394</v>
      </c>
      <c r="B398" s="19"/>
      <c r="C398" s="4" t="s">
        <v>1055</v>
      </c>
      <c r="D398" s="4" t="s">
        <v>652</v>
      </c>
      <c r="E398" s="4" t="s">
        <v>154</v>
      </c>
      <c r="F398" s="8"/>
      <c r="G398" s="8"/>
      <c r="H398" s="8"/>
      <c r="I398" s="8"/>
      <c r="J398" s="8"/>
      <c r="K398" s="8">
        <v>0</v>
      </c>
      <c r="L398" s="18">
        <v>90</v>
      </c>
      <c r="M398" s="7">
        <f t="shared" si="6"/>
        <v>0</v>
      </c>
      <c r="N398" s="4"/>
      <c r="O398" s="9"/>
    </row>
    <row r="399" spans="1:15" ht="20" customHeight="1" x14ac:dyDescent="0.2">
      <c r="A399" s="3">
        <v>395</v>
      </c>
      <c r="B399" s="19"/>
      <c r="C399" s="4" t="s">
        <v>1056</v>
      </c>
      <c r="D399" s="4" t="s">
        <v>652</v>
      </c>
      <c r="E399" s="4" t="s">
        <v>154</v>
      </c>
      <c r="F399" s="8"/>
      <c r="G399" s="8"/>
      <c r="H399" s="8"/>
      <c r="I399" s="8"/>
      <c r="J399" s="8"/>
      <c r="K399" s="8">
        <v>0</v>
      </c>
      <c r="L399" s="18">
        <v>90</v>
      </c>
      <c r="M399" s="7">
        <f t="shared" si="6"/>
        <v>0</v>
      </c>
      <c r="N399" s="4"/>
      <c r="O399" s="9"/>
    </row>
    <row r="400" spans="1:15" ht="20" customHeight="1" x14ac:dyDescent="0.2">
      <c r="A400" s="3">
        <v>396</v>
      </c>
      <c r="B400" s="19"/>
      <c r="C400" s="4" t="s">
        <v>1057</v>
      </c>
      <c r="D400" s="4" t="s">
        <v>652</v>
      </c>
      <c r="E400" s="4" t="s">
        <v>154</v>
      </c>
      <c r="F400" s="8"/>
      <c r="G400" s="8"/>
      <c r="H400" s="8"/>
      <c r="I400" s="8"/>
      <c r="J400" s="8"/>
      <c r="K400" s="8">
        <v>0</v>
      </c>
      <c r="L400" s="18">
        <v>90</v>
      </c>
      <c r="M400" s="7">
        <f t="shared" si="6"/>
        <v>0</v>
      </c>
      <c r="N400" s="4"/>
      <c r="O400" s="9"/>
    </row>
    <row r="401" spans="1:15" ht="20" customHeight="1" x14ac:dyDescent="0.2">
      <c r="A401" s="3">
        <v>397</v>
      </c>
      <c r="B401" s="19"/>
      <c r="C401" s="4" t="s">
        <v>1058</v>
      </c>
      <c r="D401" s="4" t="s">
        <v>652</v>
      </c>
      <c r="E401" s="4" t="s">
        <v>154</v>
      </c>
      <c r="F401" s="8"/>
      <c r="G401" s="8"/>
      <c r="H401" s="8"/>
      <c r="I401" s="8"/>
      <c r="J401" s="8"/>
      <c r="K401" s="8">
        <v>50</v>
      </c>
      <c r="L401" s="18">
        <v>95</v>
      </c>
      <c r="M401" s="7">
        <f t="shared" si="6"/>
        <v>4750</v>
      </c>
      <c r="N401" s="4"/>
      <c r="O401" s="9"/>
    </row>
    <row r="402" spans="1:15" ht="20" customHeight="1" x14ac:dyDescent="0.2">
      <c r="A402" s="3">
        <v>398</v>
      </c>
      <c r="B402" s="19"/>
      <c r="C402" s="4" t="s">
        <v>1059</v>
      </c>
      <c r="D402" s="4" t="s">
        <v>652</v>
      </c>
      <c r="E402" s="4" t="s">
        <v>154</v>
      </c>
      <c r="F402" s="8"/>
      <c r="G402" s="8"/>
      <c r="H402" s="8"/>
      <c r="I402" s="8"/>
      <c r="J402" s="8"/>
      <c r="K402" s="8">
        <v>150</v>
      </c>
      <c r="L402" s="18">
        <v>110</v>
      </c>
      <c r="M402" s="7">
        <f t="shared" si="6"/>
        <v>16500</v>
      </c>
      <c r="N402" s="4"/>
      <c r="O402" s="9"/>
    </row>
    <row r="403" spans="1:15" ht="20" customHeight="1" x14ac:dyDescent="0.2">
      <c r="A403" s="3">
        <v>399</v>
      </c>
      <c r="B403" s="19"/>
      <c r="C403" s="4" t="s">
        <v>1060</v>
      </c>
      <c r="D403" s="4" t="s">
        <v>652</v>
      </c>
      <c r="E403" s="4" t="s">
        <v>154</v>
      </c>
      <c r="F403" s="8"/>
      <c r="G403" s="8"/>
      <c r="H403" s="8"/>
      <c r="I403" s="8"/>
      <c r="J403" s="8"/>
      <c r="K403" s="8">
        <v>12</v>
      </c>
      <c r="L403" s="18">
        <v>95</v>
      </c>
      <c r="M403" s="7">
        <f t="shared" si="6"/>
        <v>1140</v>
      </c>
      <c r="N403" s="4"/>
      <c r="O403" s="9"/>
    </row>
    <row r="404" spans="1:15" ht="20" customHeight="1" x14ac:dyDescent="0.2">
      <c r="A404" s="3">
        <v>400</v>
      </c>
      <c r="B404" s="19"/>
      <c r="C404" s="4" t="s">
        <v>1061</v>
      </c>
      <c r="D404" s="4" t="s">
        <v>652</v>
      </c>
      <c r="E404" s="4" t="s">
        <v>154</v>
      </c>
      <c r="F404" s="8"/>
      <c r="G404" s="8"/>
      <c r="H404" s="8"/>
      <c r="I404" s="8"/>
      <c r="J404" s="8"/>
      <c r="K404" s="8">
        <v>12</v>
      </c>
      <c r="L404" s="18">
        <v>95</v>
      </c>
      <c r="M404" s="7">
        <f t="shared" si="6"/>
        <v>1140</v>
      </c>
      <c r="N404" s="4"/>
      <c r="O404" s="9"/>
    </row>
    <row r="405" spans="1:15" ht="20" customHeight="1" x14ac:dyDescent="0.2">
      <c r="A405" s="3">
        <v>401</v>
      </c>
      <c r="B405" s="19"/>
      <c r="C405" s="4" t="s">
        <v>1062</v>
      </c>
      <c r="D405" s="4" t="s">
        <v>652</v>
      </c>
      <c r="E405" s="4" t="s">
        <v>154</v>
      </c>
      <c r="F405" s="8"/>
      <c r="G405" s="8"/>
      <c r="H405" s="8"/>
      <c r="I405" s="8"/>
      <c r="J405" s="8"/>
      <c r="K405" s="8">
        <v>0</v>
      </c>
      <c r="L405" s="18">
        <v>34</v>
      </c>
      <c r="M405" s="7">
        <f t="shared" si="6"/>
        <v>0</v>
      </c>
      <c r="N405" s="4"/>
      <c r="O405" s="9"/>
    </row>
    <row r="406" spans="1:15" ht="20" customHeight="1" x14ac:dyDescent="0.2">
      <c r="A406" s="3">
        <v>402</v>
      </c>
      <c r="B406" s="19"/>
      <c r="C406" s="4" t="s">
        <v>1063</v>
      </c>
      <c r="D406" s="4" t="s">
        <v>652</v>
      </c>
      <c r="E406" s="4" t="s">
        <v>125</v>
      </c>
      <c r="F406" s="8"/>
      <c r="G406" s="8"/>
      <c r="H406" s="8"/>
      <c r="I406" s="8"/>
      <c r="J406" s="8"/>
      <c r="K406" s="8">
        <v>40</v>
      </c>
      <c r="L406" s="18">
        <v>698</v>
      </c>
      <c r="M406" s="7">
        <f t="shared" si="6"/>
        <v>27920</v>
      </c>
      <c r="N406" s="4"/>
      <c r="O406" s="9"/>
    </row>
    <row r="407" spans="1:15" ht="20" customHeight="1" x14ac:dyDescent="0.2">
      <c r="A407" s="3">
        <v>403</v>
      </c>
      <c r="B407" s="19"/>
      <c r="C407" s="4" t="s">
        <v>1064</v>
      </c>
      <c r="D407" s="4" t="s">
        <v>652</v>
      </c>
      <c r="E407" s="4" t="s">
        <v>252</v>
      </c>
      <c r="F407" s="8"/>
      <c r="G407" s="8"/>
      <c r="H407" s="8"/>
      <c r="I407" s="8"/>
      <c r="J407" s="8"/>
      <c r="K407" s="8">
        <v>10</v>
      </c>
      <c r="L407" s="18">
        <v>264.29000000000002</v>
      </c>
      <c r="M407" s="7">
        <f t="shared" si="6"/>
        <v>2642.9</v>
      </c>
      <c r="N407" s="4"/>
      <c r="O407" s="9"/>
    </row>
    <row r="408" spans="1:15" ht="20" customHeight="1" x14ac:dyDescent="0.2">
      <c r="A408" s="3">
        <v>404</v>
      </c>
      <c r="B408" s="19"/>
      <c r="C408" s="4" t="s">
        <v>1065</v>
      </c>
      <c r="D408" s="4" t="s">
        <v>652</v>
      </c>
      <c r="E408" s="4" t="s">
        <v>271</v>
      </c>
      <c r="F408" s="8"/>
      <c r="G408" s="8"/>
      <c r="H408" s="8"/>
      <c r="I408" s="8"/>
      <c r="J408" s="8"/>
      <c r="K408" s="8">
        <v>10000</v>
      </c>
      <c r="L408" s="18">
        <v>5</v>
      </c>
      <c r="M408" s="7">
        <f t="shared" si="6"/>
        <v>50000</v>
      </c>
      <c r="N408" s="4"/>
      <c r="O408" s="9"/>
    </row>
    <row r="409" spans="1:15" ht="20" customHeight="1" x14ac:dyDescent="0.2">
      <c r="A409" s="3">
        <v>405</v>
      </c>
      <c r="B409" s="19"/>
      <c r="C409" s="4" t="s">
        <v>1066</v>
      </c>
      <c r="D409" s="4" t="s">
        <v>652</v>
      </c>
      <c r="E409" s="4"/>
      <c r="F409" s="8"/>
      <c r="G409" s="8"/>
      <c r="H409" s="8"/>
      <c r="I409" s="8"/>
      <c r="J409" s="8"/>
      <c r="K409" s="8">
        <v>1200</v>
      </c>
      <c r="L409" s="18">
        <v>13.91</v>
      </c>
      <c r="M409" s="7">
        <f t="shared" si="6"/>
        <v>16692</v>
      </c>
      <c r="N409" s="4"/>
      <c r="O409" s="9"/>
    </row>
    <row r="410" spans="1:15" ht="20" customHeight="1" x14ac:dyDescent="0.2">
      <c r="A410" s="3">
        <v>406</v>
      </c>
      <c r="B410" s="19"/>
      <c r="C410" s="4" t="s">
        <v>1067</v>
      </c>
      <c r="D410" s="4" t="s">
        <v>652</v>
      </c>
      <c r="E410" s="4"/>
      <c r="F410" s="8"/>
      <c r="G410" s="8"/>
      <c r="H410" s="8"/>
      <c r="I410" s="8"/>
      <c r="J410" s="8"/>
      <c r="K410" s="8">
        <v>800</v>
      </c>
      <c r="L410" s="18">
        <v>19.260000000000002</v>
      </c>
      <c r="M410" s="7">
        <f t="shared" si="6"/>
        <v>15408.000000000002</v>
      </c>
      <c r="N410" s="4"/>
      <c r="O410" s="9"/>
    </row>
    <row r="411" spans="1:15" ht="20" customHeight="1" x14ac:dyDescent="0.2">
      <c r="A411" s="3">
        <v>407</v>
      </c>
      <c r="B411" s="19"/>
      <c r="C411" s="4" t="s">
        <v>1068</v>
      </c>
      <c r="D411" s="4" t="s">
        <v>652</v>
      </c>
      <c r="E411" s="4" t="s">
        <v>302</v>
      </c>
      <c r="F411" s="8"/>
      <c r="G411" s="8"/>
      <c r="H411" s="8"/>
      <c r="I411" s="8"/>
      <c r="J411" s="8"/>
      <c r="K411" s="8">
        <v>120</v>
      </c>
      <c r="L411" s="18">
        <v>20</v>
      </c>
      <c r="M411" s="7">
        <f t="shared" si="6"/>
        <v>2400</v>
      </c>
      <c r="N411" s="4"/>
      <c r="O411" s="9"/>
    </row>
    <row r="412" spans="1:15" ht="20" customHeight="1" x14ac:dyDescent="0.2">
      <c r="A412" s="3">
        <v>408</v>
      </c>
      <c r="B412" s="19"/>
      <c r="C412" s="4" t="s">
        <v>1069</v>
      </c>
      <c r="D412" s="4" t="s">
        <v>652</v>
      </c>
      <c r="E412" s="4" t="s">
        <v>684</v>
      </c>
      <c r="F412" s="8"/>
      <c r="G412" s="8"/>
      <c r="H412" s="8"/>
      <c r="I412" s="8"/>
      <c r="J412" s="8"/>
      <c r="K412" s="8">
        <v>0</v>
      </c>
      <c r="L412" s="18">
        <v>642</v>
      </c>
      <c r="M412" s="7">
        <f t="shared" si="6"/>
        <v>0</v>
      </c>
      <c r="N412" s="4"/>
      <c r="O412" s="9"/>
    </row>
    <row r="413" spans="1:15" ht="20" customHeight="1" x14ac:dyDescent="0.2">
      <c r="A413" s="3">
        <v>409</v>
      </c>
      <c r="B413" s="19"/>
      <c r="C413" s="4" t="s">
        <v>1070</v>
      </c>
      <c r="D413" s="4" t="s">
        <v>652</v>
      </c>
      <c r="E413" s="4" t="s">
        <v>684</v>
      </c>
      <c r="F413" s="8"/>
      <c r="G413" s="8"/>
      <c r="H413" s="8"/>
      <c r="I413" s="8"/>
      <c r="J413" s="8"/>
      <c r="K413" s="8">
        <v>250</v>
      </c>
      <c r="L413" s="18">
        <v>422.65</v>
      </c>
      <c r="M413" s="7">
        <f t="shared" si="6"/>
        <v>105662.5</v>
      </c>
      <c r="N413" s="4"/>
      <c r="O413" s="9"/>
    </row>
    <row r="414" spans="1:15" ht="20" customHeight="1" x14ac:dyDescent="0.2">
      <c r="A414" s="3">
        <v>410</v>
      </c>
      <c r="B414" s="19"/>
      <c r="C414" s="4" t="s">
        <v>1071</v>
      </c>
      <c r="D414" s="4" t="s">
        <v>652</v>
      </c>
      <c r="E414" s="4" t="s">
        <v>276</v>
      </c>
      <c r="F414" s="8"/>
      <c r="G414" s="8"/>
      <c r="H414" s="8"/>
      <c r="I414" s="8"/>
      <c r="J414" s="8"/>
      <c r="K414" s="8">
        <v>50</v>
      </c>
      <c r="L414" s="18">
        <v>75</v>
      </c>
      <c r="M414" s="7">
        <f t="shared" si="6"/>
        <v>3750</v>
      </c>
      <c r="N414" s="4"/>
      <c r="O414" s="9"/>
    </row>
    <row r="415" spans="1:15" ht="20" customHeight="1" x14ac:dyDescent="0.2">
      <c r="A415" s="3">
        <v>411</v>
      </c>
      <c r="B415" s="19"/>
      <c r="C415" s="4" t="s">
        <v>1072</v>
      </c>
      <c r="D415" s="4" t="s">
        <v>652</v>
      </c>
      <c r="E415" s="4" t="s">
        <v>276</v>
      </c>
      <c r="F415" s="8"/>
      <c r="G415" s="8"/>
      <c r="H415" s="8"/>
      <c r="I415" s="8"/>
      <c r="J415" s="8"/>
      <c r="K415" s="8">
        <v>1000</v>
      </c>
      <c r="L415" s="18">
        <v>75</v>
      </c>
      <c r="M415" s="7">
        <f t="shared" si="6"/>
        <v>75000</v>
      </c>
      <c r="N415" s="4"/>
      <c r="O415" s="9"/>
    </row>
    <row r="416" spans="1:15" ht="20" customHeight="1" x14ac:dyDescent="0.2">
      <c r="A416" s="3">
        <v>412</v>
      </c>
      <c r="B416" s="19"/>
      <c r="C416" s="4" t="s">
        <v>1073</v>
      </c>
      <c r="D416" s="4" t="s">
        <v>652</v>
      </c>
      <c r="E416" s="4" t="s">
        <v>152</v>
      </c>
      <c r="F416" s="8"/>
      <c r="G416" s="8"/>
      <c r="H416" s="8"/>
      <c r="I416" s="8"/>
      <c r="J416" s="8"/>
      <c r="K416" s="8">
        <v>50</v>
      </c>
      <c r="L416" s="18">
        <v>10</v>
      </c>
      <c r="M416" s="7">
        <f t="shared" si="6"/>
        <v>500</v>
      </c>
      <c r="N416" s="4"/>
      <c r="O416" s="9"/>
    </row>
    <row r="417" spans="1:15" ht="20" customHeight="1" x14ac:dyDescent="0.2">
      <c r="A417" s="3">
        <v>413</v>
      </c>
      <c r="B417" s="19"/>
      <c r="C417" s="4" t="s">
        <v>1074</v>
      </c>
      <c r="D417" s="4" t="s">
        <v>652</v>
      </c>
      <c r="E417" s="4" t="s">
        <v>252</v>
      </c>
      <c r="F417" s="8"/>
      <c r="G417" s="8"/>
      <c r="H417" s="8"/>
      <c r="I417" s="8"/>
      <c r="J417" s="8"/>
      <c r="K417" s="8">
        <v>4</v>
      </c>
      <c r="L417" s="18">
        <v>75</v>
      </c>
      <c r="M417" s="7">
        <f t="shared" si="6"/>
        <v>300</v>
      </c>
      <c r="N417" s="4"/>
      <c r="O417" s="9"/>
    </row>
    <row r="418" spans="1:15" ht="20" customHeight="1" x14ac:dyDescent="0.2">
      <c r="A418" s="3">
        <v>414</v>
      </c>
      <c r="B418" s="19"/>
      <c r="C418" s="4" t="s">
        <v>1075</v>
      </c>
      <c r="D418" s="4" t="s">
        <v>652</v>
      </c>
      <c r="E418" s="4" t="s">
        <v>252</v>
      </c>
      <c r="F418" s="8"/>
      <c r="G418" s="8"/>
      <c r="H418" s="8"/>
      <c r="I418" s="8"/>
      <c r="J418" s="8"/>
      <c r="K418" s="8">
        <v>133</v>
      </c>
      <c r="L418" s="18">
        <v>211</v>
      </c>
      <c r="M418" s="7">
        <f t="shared" si="6"/>
        <v>28063</v>
      </c>
      <c r="N418" s="4"/>
      <c r="O418" s="9"/>
    </row>
    <row r="419" spans="1:15" ht="20" customHeight="1" x14ac:dyDescent="0.2">
      <c r="A419" s="3">
        <v>415</v>
      </c>
      <c r="B419" s="19"/>
      <c r="C419" s="4" t="s">
        <v>1076</v>
      </c>
      <c r="D419" s="4" t="s">
        <v>652</v>
      </c>
      <c r="E419" s="4" t="s">
        <v>252</v>
      </c>
      <c r="F419" s="8"/>
      <c r="G419" s="8"/>
      <c r="H419" s="8"/>
      <c r="I419" s="8"/>
      <c r="J419" s="8"/>
      <c r="K419" s="8">
        <v>0</v>
      </c>
      <c r="L419" s="18">
        <v>135</v>
      </c>
      <c r="M419" s="7">
        <f t="shared" si="6"/>
        <v>0</v>
      </c>
      <c r="N419" s="4"/>
      <c r="O419" s="9"/>
    </row>
    <row r="420" spans="1:15" ht="20" customHeight="1" x14ac:dyDescent="0.2">
      <c r="A420" s="3">
        <v>416</v>
      </c>
      <c r="B420" s="19"/>
      <c r="C420" s="4" t="s">
        <v>1077</v>
      </c>
      <c r="D420" s="4" t="s">
        <v>652</v>
      </c>
      <c r="E420" s="4" t="s">
        <v>252</v>
      </c>
      <c r="F420" s="8"/>
      <c r="G420" s="8"/>
      <c r="H420" s="8"/>
      <c r="I420" s="8"/>
      <c r="J420" s="8"/>
      <c r="K420" s="8">
        <v>0</v>
      </c>
      <c r="L420" s="18">
        <v>406.6</v>
      </c>
      <c r="M420" s="7">
        <f t="shared" si="6"/>
        <v>0</v>
      </c>
      <c r="N420" s="4"/>
      <c r="O420" s="9"/>
    </row>
    <row r="421" spans="1:15" ht="20" customHeight="1" x14ac:dyDescent="0.2">
      <c r="A421" s="3">
        <v>417</v>
      </c>
      <c r="B421" s="19"/>
      <c r="C421" s="4" t="s">
        <v>1078</v>
      </c>
      <c r="D421" s="4" t="s">
        <v>652</v>
      </c>
      <c r="E421" s="4" t="s">
        <v>252</v>
      </c>
      <c r="F421" s="8"/>
      <c r="G421" s="8"/>
      <c r="H421" s="8"/>
      <c r="I421" s="8"/>
      <c r="J421" s="8"/>
      <c r="K421" s="8">
        <v>16</v>
      </c>
      <c r="L421" s="18">
        <v>130</v>
      </c>
      <c r="M421" s="7">
        <f t="shared" si="6"/>
        <v>2080</v>
      </c>
      <c r="N421" s="4"/>
      <c r="O421" s="9"/>
    </row>
    <row r="422" spans="1:15" ht="20" customHeight="1" x14ac:dyDescent="0.2">
      <c r="A422" s="3">
        <v>418</v>
      </c>
      <c r="B422" s="19"/>
      <c r="C422" s="4" t="s">
        <v>1079</v>
      </c>
      <c r="D422" s="4" t="s">
        <v>652</v>
      </c>
      <c r="E422" s="4" t="s">
        <v>252</v>
      </c>
      <c r="F422" s="8"/>
      <c r="G422" s="8"/>
      <c r="H422" s="8"/>
      <c r="I422" s="8"/>
      <c r="J422" s="8"/>
      <c r="K422" s="8">
        <v>10</v>
      </c>
      <c r="L422" s="18">
        <v>513</v>
      </c>
      <c r="M422" s="7">
        <f t="shared" si="6"/>
        <v>5130</v>
      </c>
      <c r="N422" s="4"/>
      <c r="O422" s="9"/>
    </row>
    <row r="423" spans="1:15" ht="20" customHeight="1" x14ac:dyDescent="0.2">
      <c r="A423" s="3">
        <v>419</v>
      </c>
      <c r="B423" s="19"/>
      <c r="C423" s="4" t="s">
        <v>1080</v>
      </c>
      <c r="D423" s="4" t="s">
        <v>652</v>
      </c>
      <c r="E423" s="4" t="s">
        <v>252</v>
      </c>
      <c r="F423" s="8"/>
      <c r="G423" s="8"/>
      <c r="H423" s="8"/>
      <c r="I423" s="8"/>
      <c r="J423" s="8"/>
      <c r="K423" s="8">
        <v>100</v>
      </c>
      <c r="L423" s="18">
        <v>150</v>
      </c>
      <c r="M423" s="7">
        <f t="shared" si="6"/>
        <v>15000</v>
      </c>
      <c r="N423" s="4"/>
      <c r="O423" s="9"/>
    </row>
    <row r="424" spans="1:15" ht="20" customHeight="1" x14ac:dyDescent="0.2">
      <c r="A424" s="3">
        <v>420</v>
      </c>
      <c r="B424" s="19"/>
      <c r="C424" s="4" t="s">
        <v>1081</v>
      </c>
      <c r="D424" s="4" t="s">
        <v>652</v>
      </c>
      <c r="E424" s="4" t="s">
        <v>252</v>
      </c>
      <c r="F424" s="8"/>
      <c r="G424" s="8"/>
      <c r="H424" s="8"/>
      <c r="I424" s="8"/>
      <c r="J424" s="8"/>
      <c r="K424" s="8">
        <v>0</v>
      </c>
      <c r="L424" s="18">
        <v>120</v>
      </c>
      <c r="M424" s="7">
        <f t="shared" si="6"/>
        <v>0</v>
      </c>
      <c r="N424" s="4"/>
      <c r="O424" s="9"/>
    </row>
    <row r="425" spans="1:15" ht="20" customHeight="1" x14ac:dyDescent="0.2">
      <c r="A425" s="3">
        <v>421</v>
      </c>
      <c r="B425" s="19"/>
      <c r="C425" s="4" t="s">
        <v>1082</v>
      </c>
      <c r="D425" s="4" t="s">
        <v>652</v>
      </c>
      <c r="E425" s="4" t="s">
        <v>252</v>
      </c>
      <c r="F425" s="8"/>
      <c r="G425" s="8"/>
      <c r="H425" s="8"/>
      <c r="I425" s="8"/>
      <c r="J425" s="8"/>
      <c r="K425" s="8">
        <v>50</v>
      </c>
      <c r="L425" s="18">
        <v>980</v>
      </c>
      <c r="M425" s="7">
        <f t="shared" si="6"/>
        <v>49000</v>
      </c>
      <c r="N425" s="4"/>
      <c r="O425" s="9"/>
    </row>
    <row r="426" spans="1:15" ht="20" customHeight="1" x14ac:dyDescent="0.2">
      <c r="A426" s="3">
        <v>422</v>
      </c>
      <c r="B426" s="19"/>
      <c r="C426" s="4" t="s">
        <v>1083</v>
      </c>
      <c r="D426" s="4" t="s">
        <v>652</v>
      </c>
      <c r="E426" s="4" t="s">
        <v>190</v>
      </c>
      <c r="F426" s="8"/>
      <c r="G426" s="8"/>
      <c r="H426" s="8"/>
      <c r="I426" s="8"/>
      <c r="J426" s="8"/>
      <c r="K426" s="8">
        <v>50</v>
      </c>
      <c r="L426" s="18">
        <v>45</v>
      </c>
      <c r="M426" s="7">
        <f t="shared" si="6"/>
        <v>2250</v>
      </c>
      <c r="N426" s="4"/>
      <c r="O426" s="9"/>
    </row>
    <row r="427" spans="1:15" ht="20" customHeight="1" x14ac:dyDescent="0.2">
      <c r="A427" s="3">
        <v>423</v>
      </c>
      <c r="B427" s="19"/>
      <c r="C427" s="4" t="s">
        <v>1084</v>
      </c>
      <c r="D427" s="4" t="s">
        <v>652</v>
      </c>
      <c r="E427" s="4" t="s">
        <v>190</v>
      </c>
      <c r="F427" s="8"/>
      <c r="G427" s="8"/>
      <c r="H427" s="8"/>
      <c r="I427" s="8"/>
      <c r="J427" s="8"/>
      <c r="K427" s="8">
        <v>200</v>
      </c>
      <c r="L427" s="18">
        <v>35</v>
      </c>
      <c r="M427" s="7">
        <f t="shared" si="6"/>
        <v>7000</v>
      </c>
      <c r="N427" s="4"/>
      <c r="O427" s="9"/>
    </row>
    <row r="428" spans="1:15" ht="20" customHeight="1" x14ac:dyDescent="0.2">
      <c r="A428" s="3">
        <v>424</v>
      </c>
      <c r="B428" s="19"/>
      <c r="C428" s="4" t="s">
        <v>1085</v>
      </c>
      <c r="D428" s="4" t="s">
        <v>652</v>
      </c>
      <c r="E428" s="4" t="s">
        <v>133</v>
      </c>
      <c r="F428" s="8"/>
      <c r="G428" s="8"/>
      <c r="H428" s="8"/>
      <c r="I428" s="8"/>
      <c r="J428" s="8"/>
      <c r="K428" s="8">
        <v>150</v>
      </c>
      <c r="L428" s="18">
        <v>187</v>
      </c>
      <c r="M428" s="7">
        <f t="shared" si="6"/>
        <v>28050</v>
      </c>
      <c r="N428" s="4"/>
      <c r="O428" s="9"/>
    </row>
    <row r="429" spans="1:15" ht="20" customHeight="1" x14ac:dyDescent="0.2">
      <c r="A429" s="3">
        <v>425</v>
      </c>
      <c r="B429" s="19"/>
      <c r="C429" s="4" t="s">
        <v>1086</v>
      </c>
      <c r="D429" s="4" t="s">
        <v>652</v>
      </c>
      <c r="E429" s="4"/>
      <c r="F429" s="8"/>
      <c r="G429" s="8"/>
      <c r="H429" s="8"/>
      <c r="I429" s="8"/>
      <c r="J429" s="8"/>
      <c r="K429" s="8">
        <v>1</v>
      </c>
      <c r="L429" s="18">
        <v>580</v>
      </c>
      <c r="M429" s="7">
        <f t="shared" si="6"/>
        <v>580</v>
      </c>
      <c r="N429" s="4"/>
      <c r="O429" s="9"/>
    </row>
    <row r="430" spans="1:15" ht="20" customHeight="1" x14ac:dyDescent="0.2">
      <c r="A430" s="3">
        <v>426</v>
      </c>
      <c r="B430" s="19"/>
      <c r="C430" s="4" t="s">
        <v>1087</v>
      </c>
      <c r="D430" s="4" t="s">
        <v>652</v>
      </c>
      <c r="E430" s="4" t="s">
        <v>775</v>
      </c>
      <c r="F430" s="8"/>
      <c r="G430" s="8"/>
      <c r="H430" s="8"/>
      <c r="I430" s="8"/>
      <c r="J430" s="8"/>
      <c r="K430" s="8">
        <v>0</v>
      </c>
      <c r="L430" s="18">
        <v>660</v>
      </c>
      <c r="M430" s="7">
        <f t="shared" si="6"/>
        <v>0</v>
      </c>
      <c r="N430" s="4"/>
      <c r="O430" s="9"/>
    </row>
    <row r="431" spans="1:15" ht="20" customHeight="1" x14ac:dyDescent="0.2">
      <c r="A431" s="3">
        <v>427</v>
      </c>
      <c r="B431" s="19"/>
      <c r="C431" s="4" t="s">
        <v>1088</v>
      </c>
      <c r="D431" s="4" t="s">
        <v>652</v>
      </c>
      <c r="E431" s="4" t="s">
        <v>276</v>
      </c>
      <c r="F431" s="8"/>
      <c r="G431" s="8"/>
      <c r="H431" s="8"/>
      <c r="I431" s="8"/>
      <c r="J431" s="8"/>
      <c r="K431" s="8">
        <v>4</v>
      </c>
      <c r="L431" s="18">
        <v>700</v>
      </c>
      <c r="M431" s="7">
        <f t="shared" si="6"/>
        <v>2800</v>
      </c>
      <c r="N431" s="4"/>
      <c r="O431" s="9"/>
    </row>
    <row r="432" spans="1:15" ht="20" customHeight="1" x14ac:dyDescent="0.2">
      <c r="A432" s="3">
        <v>428</v>
      </c>
      <c r="B432" s="19"/>
      <c r="C432" s="4" t="s">
        <v>1089</v>
      </c>
      <c r="D432" s="4" t="s">
        <v>652</v>
      </c>
      <c r="E432" s="4" t="s">
        <v>276</v>
      </c>
      <c r="F432" s="8"/>
      <c r="G432" s="8"/>
      <c r="H432" s="8"/>
      <c r="I432" s="8"/>
      <c r="J432" s="8"/>
      <c r="K432" s="8">
        <v>5</v>
      </c>
      <c r="L432" s="18">
        <v>250</v>
      </c>
      <c r="M432" s="7">
        <f t="shared" si="6"/>
        <v>1250</v>
      </c>
      <c r="N432" s="4"/>
      <c r="O432" s="9"/>
    </row>
    <row r="433" spans="1:15" ht="22" customHeight="1" x14ac:dyDescent="0.35">
      <c r="A433" s="10" t="s">
        <v>86</v>
      </c>
      <c r="B433" s="20"/>
      <c r="C433" s="11"/>
      <c r="D433" s="11"/>
      <c r="E433" s="11"/>
      <c r="F433" s="11"/>
      <c r="G433" s="11"/>
      <c r="H433" s="11"/>
      <c r="I433" s="11"/>
      <c r="J433" s="11"/>
      <c r="K433" s="13">
        <f>SUM(K5:K432)</f>
        <v>589644</v>
      </c>
      <c r="L433" s="11"/>
      <c r="M433" s="13">
        <f>SUM(M5:M432)</f>
        <v>19680884.630000003</v>
      </c>
      <c r="N433" s="11"/>
      <c r="O433" s="11"/>
    </row>
    <row r="434" spans="1:15" ht="32" customHeight="1" x14ac:dyDescent="0.2">
      <c r="A434" s="23" t="s">
        <v>1090</v>
      </c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</row>
  </sheetData>
  <autoFilter ref="A4:O432" xr:uid="{00000000-0009-0000-0000-000002000000}"/>
  <mergeCells count="5">
    <mergeCell ref="A434:O434"/>
    <mergeCell ref="E2:G2"/>
    <mergeCell ref="I2:J2"/>
    <mergeCell ref="A1:O1"/>
    <mergeCell ref="F3:O3"/>
  </mergeCells>
  <conditionalFormatting sqref="E3">
    <cfRule type="cellIs" dxfId="53" priority="1" operator="greaterThan">
      <formula>0.009</formula>
    </cfRule>
    <cfRule type="cellIs" dxfId="52" priority="2" operator="lessThan">
      <formula>-0.009</formula>
    </cfRule>
  </conditionalFormatting>
  <dataValidations count="1">
    <dataValidation type="list" allowBlank="1" sqref="O5:O432" xr:uid="{00000000-0002-0000-02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งานบ้าน · DBR/2570/0005</oddHeader>
    <oddFooter>&amp;Lส่งออกจากฐาน VPK-S1 วันที่ 12 ต.ค. 2569&amp;Rหน้า 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6848"/>
    <pageSetUpPr fitToPage="1"/>
  </sheetPr>
  <dimension ref="A1:O9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1091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19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9633924</v>
      </c>
      <c r="D3" s="15" t="s">
        <v>94</v>
      </c>
      <c r="E3" s="17">
        <f>M8-C3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1092</v>
      </c>
      <c r="D5" s="4" t="s">
        <v>1093</v>
      </c>
      <c r="E5" s="4" t="s">
        <v>941</v>
      </c>
      <c r="F5" s="8"/>
      <c r="G5" s="8"/>
      <c r="H5" s="8"/>
      <c r="I5" s="8"/>
      <c r="J5" s="8"/>
      <c r="K5" s="8">
        <v>60</v>
      </c>
      <c r="L5" s="18">
        <v>455</v>
      </c>
      <c r="M5" s="7">
        <f>IF(OR(K5="",L5=""),"",K5*L5)</f>
        <v>27300</v>
      </c>
      <c r="N5" s="4"/>
      <c r="O5" s="9"/>
    </row>
    <row r="6" spans="1:15" ht="20" customHeight="1" x14ac:dyDescent="0.2">
      <c r="A6" s="3">
        <v>2</v>
      </c>
      <c r="B6" s="19"/>
      <c r="C6" s="4" t="s">
        <v>1094</v>
      </c>
      <c r="D6" s="4" t="s">
        <v>1093</v>
      </c>
      <c r="E6" s="4" t="s">
        <v>941</v>
      </c>
      <c r="F6" s="8"/>
      <c r="G6" s="8"/>
      <c r="H6" s="8"/>
      <c r="I6" s="8"/>
      <c r="J6" s="8"/>
      <c r="K6" s="8">
        <v>6000</v>
      </c>
      <c r="L6" s="18">
        <v>1423</v>
      </c>
      <c r="M6" s="7">
        <f>IF(OR(K6="",L6=""),"",K6*L6)</f>
        <v>8538000</v>
      </c>
      <c r="N6" s="4"/>
      <c r="O6" s="9"/>
    </row>
    <row r="7" spans="1:15" ht="20" customHeight="1" x14ac:dyDescent="0.2">
      <c r="A7" s="3">
        <v>3</v>
      </c>
      <c r="B7" s="19"/>
      <c r="C7" s="4" t="s">
        <v>1095</v>
      </c>
      <c r="D7" s="4" t="s">
        <v>1096</v>
      </c>
      <c r="E7" s="4"/>
      <c r="F7" s="8"/>
      <c r="G7" s="8"/>
      <c r="H7" s="8"/>
      <c r="I7" s="8"/>
      <c r="J7" s="8"/>
      <c r="K7" s="8">
        <v>1</v>
      </c>
      <c r="L7" s="18">
        <v>1068624</v>
      </c>
      <c r="M7" s="7">
        <f>IF(OR(K7="",L7=""),"",K7*L7)</f>
        <v>1068624</v>
      </c>
      <c r="N7" s="4"/>
      <c r="O7" s="9"/>
    </row>
    <row r="8" spans="1:15" ht="22" customHeight="1" x14ac:dyDescent="0.35">
      <c r="A8" s="10" t="s">
        <v>86</v>
      </c>
      <c r="B8" s="20"/>
      <c r="C8" s="11"/>
      <c r="D8" s="11"/>
      <c r="E8" s="11"/>
      <c r="F8" s="11"/>
      <c r="G8" s="11"/>
      <c r="H8" s="11"/>
      <c r="I8" s="11"/>
      <c r="J8" s="11"/>
      <c r="K8" s="13">
        <f>SUM(K5:K7)</f>
        <v>6061</v>
      </c>
      <c r="L8" s="11"/>
      <c r="M8" s="13">
        <f>SUM(M5:M7)</f>
        <v>9633924</v>
      </c>
      <c r="N8" s="11"/>
      <c r="O8" s="11"/>
    </row>
    <row r="9" spans="1:15" ht="32" customHeight="1" x14ac:dyDescent="0.2">
      <c r="A9" s="23" t="s">
        <v>1097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</sheetData>
  <autoFilter ref="A4:O7" xr:uid="{00000000-0009-0000-0000-000003000000}"/>
  <mergeCells count="5">
    <mergeCell ref="E2:G2"/>
    <mergeCell ref="I2:J2"/>
    <mergeCell ref="A1:O1"/>
    <mergeCell ref="F3:O3"/>
    <mergeCell ref="A9:O9"/>
  </mergeCells>
  <conditionalFormatting sqref="E3">
    <cfRule type="cellIs" dxfId="51" priority="1" operator="greaterThan">
      <formula>0.009</formula>
    </cfRule>
    <cfRule type="cellIs" dxfId="50" priority="2" operator="lessThan">
      <formula>-0.009</formula>
    </cfRule>
  </conditionalFormatting>
  <dataValidations count="1">
    <dataValidation type="list" allowBlank="1" sqref="O5:O7" xr:uid="{00000000-0002-0000-03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เชื้อเพลิง · DBR/2570/0006</oddHeader>
    <oddFooter>&amp;Lส่งออกจากฐาน VPK-S1 วันที่ 12 ต.ค. 2569&amp;Rหน้า 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6848"/>
    <pageSetUpPr fitToPage="1"/>
  </sheetPr>
  <dimension ref="A1:O105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1098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21</v>
      </c>
      <c r="D2" s="14" t="s">
        <v>7</v>
      </c>
      <c r="E2" s="24" t="s">
        <v>23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2699621.6</v>
      </c>
      <c r="D3" s="15" t="s">
        <v>94</v>
      </c>
      <c r="E3" s="17">
        <f>M104-C3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40" x14ac:dyDescent="0.2">
      <c r="A5" s="3">
        <v>1</v>
      </c>
      <c r="B5" s="19"/>
      <c r="C5" s="4" t="s">
        <v>1099</v>
      </c>
      <c r="D5" s="4" t="s">
        <v>1100</v>
      </c>
      <c r="E5" s="4" t="s">
        <v>125</v>
      </c>
      <c r="F5" s="8"/>
      <c r="G5" s="8"/>
      <c r="H5" s="8"/>
      <c r="I5" s="8"/>
      <c r="J5" s="8"/>
      <c r="K5" s="8">
        <v>0</v>
      </c>
      <c r="L5" s="18">
        <v>145</v>
      </c>
      <c r="M5" s="7">
        <f t="shared" ref="M5:M36" si="0">IF(OR(K5="",L5=""),"",K5*L5)</f>
        <v>0</v>
      </c>
      <c r="N5" s="4"/>
      <c r="O5" s="9"/>
    </row>
    <row r="6" spans="1:15" ht="40" x14ac:dyDescent="0.2">
      <c r="A6" s="3">
        <v>2</v>
      </c>
      <c r="B6" s="19"/>
      <c r="C6" s="4" t="s">
        <v>1101</v>
      </c>
      <c r="D6" s="4" t="s">
        <v>1100</v>
      </c>
      <c r="E6" s="4" t="s">
        <v>196</v>
      </c>
      <c r="F6" s="8"/>
      <c r="G6" s="8"/>
      <c r="H6" s="8"/>
      <c r="I6" s="8"/>
      <c r="J6" s="8"/>
      <c r="K6" s="8">
        <v>20</v>
      </c>
      <c r="L6" s="18">
        <v>220</v>
      </c>
      <c r="M6" s="7">
        <f t="shared" si="0"/>
        <v>4400</v>
      </c>
      <c r="N6" s="4"/>
      <c r="O6" s="9"/>
    </row>
    <row r="7" spans="1:15" ht="40" x14ac:dyDescent="0.2">
      <c r="A7" s="3">
        <v>3</v>
      </c>
      <c r="B7" s="19"/>
      <c r="C7" s="4" t="s">
        <v>1102</v>
      </c>
      <c r="D7" s="4" t="s">
        <v>1100</v>
      </c>
      <c r="E7" s="4" t="s">
        <v>196</v>
      </c>
      <c r="F7" s="8"/>
      <c r="G7" s="8"/>
      <c r="H7" s="8"/>
      <c r="I7" s="8"/>
      <c r="J7" s="8"/>
      <c r="K7" s="8">
        <v>20</v>
      </c>
      <c r="L7" s="18">
        <v>300</v>
      </c>
      <c r="M7" s="7">
        <f t="shared" si="0"/>
        <v>6000</v>
      </c>
      <c r="N7" s="4"/>
      <c r="O7" s="9"/>
    </row>
    <row r="8" spans="1:15" ht="40" x14ac:dyDescent="0.2">
      <c r="A8" s="3">
        <v>4</v>
      </c>
      <c r="B8" s="19"/>
      <c r="C8" s="4" t="s">
        <v>1103</v>
      </c>
      <c r="D8" s="4" t="s">
        <v>1100</v>
      </c>
      <c r="E8" s="4" t="s">
        <v>196</v>
      </c>
      <c r="F8" s="8"/>
      <c r="G8" s="8"/>
      <c r="H8" s="8"/>
      <c r="I8" s="8"/>
      <c r="J8" s="8"/>
      <c r="K8" s="8">
        <v>0</v>
      </c>
      <c r="L8" s="18">
        <v>255</v>
      </c>
      <c r="M8" s="7">
        <f t="shared" si="0"/>
        <v>0</v>
      </c>
      <c r="N8" s="4"/>
      <c r="O8" s="9"/>
    </row>
    <row r="9" spans="1:15" ht="40" x14ac:dyDescent="0.2">
      <c r="A9" s="3">
        <v>5</v>
      </c>
      <c r="B9" s="19"/>
      <c r="C9" s="4" t="s">
        <v>1104</v>
      </c>
      <c r="D9" s="4" t="s">
        <v>1100</v>
      </c>
      <c r="E9" s="4" t="s">
        <v>125</v>
      </c>
      <c r="F9" s="8"/>
      <c r="G9" s="8"/>
      <c r="H9" s="8"/>
      <c r="I9" s="8"/>
      <c r="J9" s="8"/>
      <c r="K9" s="8">
        <v>0</v>
      </c>
      <c r="L9" s="18">
        <v>604.54999999999995</v>
      </c>
      <c r="M9" s="7">
        <f t="shared" si="0"/>
        <v>0</v>
      </c>
      <c r="N9" s="4"/>
      <c r="O9" s="9"/>
    </row>
    <row r="10" spans="1:15" ht="40" x14ac:dyDescent="0.2">
      <c r="A10" s="3">
        <v>6</v>
      </c>
      <c r="B10" s="19"/>
      <c r="C10" s="4" t="s">
        <v>1105</v>
      </c>
      <c r="D10" s="4" t="s">
        <v>1100</v>
      </c>
      <c r="E10" s="4" t="s">
        <v>125</v>
      </c>
      <c r="F10" s="8"/>
      <c r="G10" s="8"/>
      <c r="H10" s="8"/>
      <c r="I10" s="8"/>
      <c r="J10" s="8"/>
      <c r="K10" s="8">
        <v>0</v>
      </c>
      <c r="L10" s="18">
        <v>339</v>
      </c>
      <c r="M10" s="7">
        <f t="shared" si="0"/>
        <v>0</v>
      </c>
      <c r="N10" s="4"/>
      <c r="O10" s="9"/>
    </row>
    <row r="11" spans="1:15" ht="40" x14ac:dyDescent="0.2">
      <c r="A11" s="3">
        <v>7</v>
      </c>
      <c r="B11" s="19"/>
      <c r="C11" s="4" t="s">
        <v>1106</v>
      </c>
      <c r="D11" s="4" t="s">
        <v>1100</v>
      </c>
      <c r="E11" s="4" t="s">
        <v>343</v>
      </c>
      <c r="F11" s="8"/>
      <c r="G11" s="8"/>
      <c r="H11" s="8"/>
      <c r="I11" s="8"/>
      <c r="J11" s="8"/>
      <c r="K11" s="8">
        <v>0</v>
      </c>
      <c r="L11" s="18">
        <v>330</v>
      </c>
      <c r="M11" s="7">
        <f t="shared" si="0"/>
        <v>0</v>
      </c>
      <c r="N11" s="4"/>
      <c r="O11" s="9"/>
    </row>
    <row r="12" spans="1:15" ht="40" x14ac:dyDescent="0.2">
      <c r="A12" s="3">
        <v>8</v>
      </c>
      <c r="B12" s="19"/>
      <c r="C12" s="4" t="s">
        <v>1107</v>
      </c>
      <c r="D12" s="4" t="s">
        <v>1100</v>
      </c>
      <c r="E12" s="4" t="s">
        <v>125</v>
      </c>
      <c r="F12" s="8"/>
      <c r="G12" s="8"/>
      <c r="H12" s="8"/>
      <c r="I12" s="8"/>
      <c r="J12" s="8"/>
      <c r="K12" s="8">
        <v>20</v>
      </c>
      <c r="L12" s="18">
        <v>305</v>
      </c>
      <c r="M12" s="7">
        <f t="shared" si="0"/>
        <v>6100</v>
      </c>
      <c r="N12" s="4"/>
      <c r="O12" s="9"/>
    </row>
    <row r="13" spans="1:15" ht="40" x14ac:dyDescent="0.2">
      <c r="A13" s="3">
        <v>9</v>
      </c>
      <c r="B13" s="19"/>
      <c r="C13" s="4" t="s">
        <v>1108</v>
      </c>
      <c r="D13" s="4" t="s">
        <v>1100</v>
      </c>
      <c r="E13" s="4" t="s">
        <v>125</v>
      </c>
      <c r="F13" s="8"/>
      <c r="G13" s="8"/>
      <c r="H13" s="8"/>
      <c r="I13" s="8"/>
      <c r="J13" s="8"/>
      <c r="K13" s="8">
        <v>24</v>
      </c>
      <c r="L13" s="18">
        <v>663.4</v>
      </c>
      <c r="M13" s="7">
        <f t="shared" si="0"/>
        <v>15921.599999999999</v>
      </c>
      <c r="N13" s="4"/>
      <c r="O13" s="9"/>
    </row>
    <row r="14" spans="1:15" ht="40" x14ac:dyDescent="0.2">
      <c r="A14" s="3">
        <v>10</v>
      </c>
      <c r="B14" s="19"/>
      <c r="C14" s="4" t="s">
        <v>1109</v>
      </c>
      <c r="D14" s="4" t="s">
        <v>1100</v>
      </c>
      <c r="E14" s="4" t="s">
        <v>125</v>
      </c>
      <c r="F14" s="8"/>
      <c r="G14" s="8"/>
      <c r="H14" s="8"/>
      <c r="I14" s="8"/>
      <c r="J14" s="8"/>
      <c r="K14" s="8">
        <v>300</v>
      </c>
      <c r="L14" s="18">
        <v>170</v>
      </c>
      <c r="M14" s="7">
        <f t="shared" si="0"/>
        <v>51000</v>
      </c>
      <c r="N14" s="4"/>
      <c r="O14" s="9"/>
    </row>
    <row r="15" spans="1:15" ht="40" x14ac:dyDescent="0.2">
      <c r="A15" s="3">
        <v>11</v>
      </c>
      <c r="B15" s="19"/>
      <c r="C15" s="4" t="s">
        <v>1110</v>
      </c>
      <c r="D15" s="4" t="s">
        <v>1100</v>
      </c>
      <c r="E15" s="4" t="s">
        <v>125</v>
      </c>
      <c r="F15" s="8"/>
      <c r="G15" s="8"/>
      <c r="H15" s="8"/>
      <c r="I15" s="8"/>
      <c r="J15" s="8"/>
      <c r="K15" s="8">
        <v>100</v>
      </c>
      <c r="L15" s="18">
        <v>175</v>
      </c>
      <c r="M15" s="7">
        <f t="shared" si="0"/>
        <v>17500</v>
      </c>
      <c r="N15" s="4"/>
      <c r="O15" s="9"/>
    </row>
    <row r="16" spans="1:15" ht="40" x14ac:dyDescent="0.2">
      <c r="A16" s="3">
        <v>12</v>
      </c>
      <c r="B16" s="19"/>
      <c r="C16" s="4" t="s">
        <v>1111</v>
      </c>
      <c r="D16" s="4" t="s">
        <v>1100</v>
      </c>
      <c r="E16" s="4" t="s">
        <v>125</v>
      </c>
      <c r="F16" s="8"/>
      <c r="G16" s="8"/>
      <c r="H16" s="8"/>
      <c r="I16" s="8"/>
      <c r="J16" s="8"/>
      <c r="K16" s="8">
        <v>50</v>
      </c>
      <c r="L16" s="18">
        <v>190</v>
      </c>
      <c r="M16" s="7">
        <f t="shared" si="0"/>
        <v>9500</v>
      </c>
      <c r="N16" s="4"/>
      <c r="O16" s="9"/>
    </row>
    <row r="17" spans="1:15" ht="40" x14ac:dyDescent="0.2">
      <c r="A17" s="3">
        <v>13</v>
      </c>
      <c r="B17" s="19"/>
      <c r="C17" s="4" t="s">
        <v>1112</v>
      </c>
      <c r="D17" s="4" t="s">
        <v>1100</v>
      </c>
      <c r="E17" s="4" t="s">
        <v>125</v>
      </c>
      <c r="F17" s="8"/>
      <c r="G17" s="8"/>
      <c r="H17" s="8"/>
      <c r="I17" s="8"/>
      <c r="J17" s="8"/>
      <c r="K17" s="8">
        <v>250</v>
      </c>
      <c r="L17" s="18">
        <v>195</v>
      </c>
      <c r="M17" s="7">
        <f t="shared" si="0"/>
        <v>48750</v>
      </c>
      <c r="N17" s="4"/>
      <c r="O17" s="9"/>
    </row>
    <row r="18" spans="1:15" ht="40" x14ac:dyDescent="0.2">
      <c r="A18" s="3">
        <v>14</v>
      </c>
      <c r="B18" s="19"/>
      <c r="C18" s="4" t="s">
        <v>1113</v>
      </c>
      <c r="D18" s="4" t="s">
        <v>1100</v>
      </c>
      <c r="E18" s="4" t="s">
        <v>125</v>
      </c>
      <c r="F18" s="8"/>
      <c r="G18" s="8"/>
      <c r="H18" s="8"/>
      <c r="I18" s="8"/>
      <c r="J18" s="8"/>
      <c r="K18" s="8">
        <v>120</v>
      </c>
      <c r="L18" s="18">
        <v>360</v>
      </c>
      <c r="M18" s="7">
        <f t="shared" si="0"/>
        <v>43200</v>
      </c>
      <c r="N18" s="4"/>
      <c r="O18" s="9"/>
    </row>
    <row r="19" spans="1:15" ht="40" x14ac:dyDescent="0.2">
      <c r="A19" s="3">
        <v>15</v>
      </c>
      <c r="B19" s="19"/>
      <c r="C19" s="4" t="s">
        <v>1114</v>
      </c>
      <c r="D19" s="4" t="s">
        <v>1100</v>
      </c>
      <c r="E19" s="4" t="s">
        <v>343</v>
      </c>
      <c r="F19" s="8"/>
      <c r="G19" s="8"/>
      <c r="H19" s="8"/>
      <c r="I19" s="8"/>
      <c r="J19" s="8"/>
      <c r="K19" s="8">
        <v>0</v>
      </c>
      <c r="L19" s="18">
        <v>165</v>
      </c>
      <c r="M19" s="7">
        <f t="shared" si="0"/>
        <v>0</v>
      </c>
      <c r="N19" s="4"/>
      <c r="O19" s="9"/>
    </row>
    <row r="20" spans="1:15" ht="40" x14ac:dyDescent="0.2">
      <c r="A20" s="3">
        <v>16</v>
      </c>
      <c r="B20" s="19"/>
      <c r="C20" s="4" t="s">
        <v>1115</v>
      </c>
      <c r="D20" s="4" t="s">
        <v>1100</v>
      </c>
      <c r="E20" s="4" t="s">
        <v>125</v>
      </c>
      <c r="F20" s="8"/>
      <c r="G20" s="8"/>
      <c r="H20" s="8"/>
      <c r="I20" s="8"/>
      <c r="J20" s="8"/>
      <c r="K20" s="8">
        <v>0</v>
      </c>
      <c r="L20" s="18">
        <v>290</v>
      </c>
      <c r="M20" s="7">
        <f t="shared" si="0"/>
        <v>0</v>
      </c>
      <c r="N20" s="4"/>
      <c r="O20" s="9"/>
    </row>
    <row r="21" spans="1:15" ht="40" x14ac:dyDescent="0.2">
      <c r="A21" s="3">
        <v>17</v>
      </c>
      <c r="B21" s="19"/>
      <c r="C21" s="4" t="s">
        <v>1116</v>
      </c>
      <c r="D21" s="4" t="s">
        <v>1100</v>
      </c>
      <c r="E21" s="4" t="s">
        <v>125</v>
      </c>
      <c r="F21" s="8"/>
      <c r="G21" s="8"/>
      <c r="H21" s="8"/>
      <c r="I21" s="8"/>
      <c r="J21" s="8"/>
      <c r="K21" s="8">
        <v>0</v>
      </c>
      <c r="L21" s="18">
        <v>145</v>
      </c>
      <c r="M21" s="7">
        <f t="shared" si="0"/>
        <v>0</v>
      </c>
      <c r="N21" s="4"/>
      <c r="O21" s="9"/>
    </row>
    <row r="22" spans="1:15" ht="40" x14ac:dyDescent="0.2">
      <c r="A22" s="3">
        <v>18</v>
      </c>
      <c r="B22" s="19"/>
      <c r="C22" s="4" t="s">
        <v>1117</v>
      </c>
      <c r="D22" s="4" t="s">
        <v>1100</v>
      </c>
      <c r="E22" s="4" t="s">
        <v>343</v>
      </c>
      <c r="F22" s="8"/>
      <c r="G22" s="8"/>
      <c r="H22" s="8"/>
      <c r="I22" s="8"/>
      <c r="J22" s="8"/>
      <c r="K22" s="8">
        <v>0</v>
      </c>
      <c r="L22" s="18">
        <v>225</v>
      </c>
      <c r="M22" s="7">
        <f t="shared" si="0"/>
        <v>0</v>
      </c>
      <c r="N22" s="4"/>
      <c r="O22" s="9"/>
    </row>
    <row r="23" spans="1:15" ht="40" x14ac:dyDescent="0.2">
      <c r="A23" s="3">
        <v>19</v>
      </c>
      <c r="B23" s="19"/>
      <c r="C23" s="4" t="s">
        <v>1118</v>
      </c>
      <c r="D23" s="4" t="s">
        <v>1100</v>
      </c>
      <c r="E23" s="4" t="s">
        <v>343</v>
      </c>
      <c r="F23" s="8"/>
      <c r="G23" s="8"/>
      <c r="H23" s="8"/>
      <c r="I23" s="8"/>
      <c r="J23" s="8"/>
      <c r="K23" s="8">
        <v>0</v>
      </c>
      <c r="L23" s="18">
        <v>515</v>
      </c>
      <c r="M23" s="7">
        <f t="shared" si="0"/>
        <v>0</v>
      </c>
      <c r="N23" s="4"/>
      <c r="O23" s="9"/>
    </row>
    <row r="24" spans="1:15" ht="40" x14ac:dyDescent="0.2">
      <c r="A24" s="3">
        <v>20</v>
      </c>
      <c r="B24" s="19"/>
      <c r="C24" s="4" t="s">
        <v>1119</v>
      </c>
      <c r="D24" s="4" t="s">
        <v>1100</v>
      </c>
      <c r="E24" s="4" t="s">
        <v>125</v>
      </c>
      <c r="F24" s="8"/>
      <c r="G24" s="8"/>
      <c r="H24" s="8"/>
      <c r="I24" s="8"/>
      <c r="J24" s="8"/>
      <c r="K24" s="8">
        <v>100</v>
      </c>
      <c r="L24" s="18">
        <v>155</v>
      </c>
      <c r="M24" s="7">
        <f t="shared" si="0"/>
        <v>15500</v>
      </c>
      <c r="N24" s="4"/>
      <c r="O24" s="9"/>
    </row>
    <row r="25" spans="1:15" ht="40" x14ac:dyDescent="0.2">
      <c r="A25" s="3">
        <v>21</v>
      </c>
      <c r="B25" s="19"/>
      <c r="C25" s="4" t="s">
        <v>1120</v>
      </c>
      <c r="D25" s="4" t="s">
        <v>1100</v>
      </c>
      <c r="E25" s="4" t="s">
        <v>125</v>
      </c>
      <c r="F25" s="8"/>
      <c r="G25" s="8"/>
      <c r="H25" s="8"/>
      <c r="I25" s="8"/>
      <c r="J25" s="8"/>
      <c r="K25" s="8">
        <v>0</v>
      </c>
      <c r="L25" s="18">
        <v>150</v>
      </c>
      <c r="M25" s="7">
        <f t="shared" si="0"/>
        <v>0</v>
      </c>
      <c r="N25" s="4"/>
      <c r="O25" s="9"/>
    </row>
    <row r="26" spans="1:15" ht="40" x14ac:dyDescent="0.2">
      <c r="A26" s="3">
        <v>22</v>
      </c>
      <c r="B26" s="19"/>
      <c r="C26" s="4" t="s">
        <v>1121</v>
      </c>
      <c r="D26" s="4" t="s">
        <v>1100</v>
      </c>
      <c r="E26" s="4" t="s">
        <v>125</v>
      </c>
      <c r="F26" s="8"/>
      <c r="G26" s="8"/>
      <c r="H26" s="8"/>
      <c r="I26" s="8"/>
      <c r="J26" s="8"/>
      <c r="K26" s="8">
        <v>130</v>
      </c>
      <c r="L26" s="18">
        <v>445</v>
      </c>
      <c r="M26" s="7">
        <f t="shared" si="0"/>
        <v>57850</v>
      </c>
      <c r="N26" s="4"/>
      <c r="O26" s="9"/>
    </row>
    <row r="27" spans="1:15" ht="40" x14ac:dyDescent="0.2">
      <c r="A27" s="3">
        <v>23</v>
      </c>
      <c r="B27" s="19"/>
      <c r="C27" s="4" t="s">
        <v>1122</v>
      </c>
      <c r="D27" s="4" t="s">
        <v>1100</v>
      </c>
      <c r="E27" s="4" t="s">
        <v>125</v>
      </c>
      <c r="F27" s="8"/>
      <c r="G27" s="8"/>
      <c r="H27" s="8"/>
      <c r="I27" s="8"/>
      <c r="J27" s="8"/>
      <c r="K27" s="8">
        <v>50</v>
      </c>
      <c r="L27" s="18">
        <v>595</v>
      </c>
      <c r="M27" s="7">
        <f t="shared" si="0"/>
        <v>29750</v>
      </c>
      <c r="N27" s="4"/>
      <c r="O27" s="9"/>
    </row>
    <row r="28" spans="1:15" ht="40" x14ac:dyDescent="0.2">
      <c r="A28" s="3">
        <v>24</v>
      </c>
      <c r="B28" s="19"/>
      <c r="C28" s="4" t="s">
        <v>1123</v>
      </c>
      <c r="D28" s="4" t="s">
        <v>1100</v>
      </c>
      <c r="E28" s="4" t="s">
        <v>125</v>
      </c>
      <c r="F28" s="8"/>
      <c r="G28" s="8"/>
      <c r="H28" s="8"/>
      <c r="I28" s="8"/>
      <c r="J28" s="8"/>
      <c r="K28" s="8">
        <v>50</v>
      </c>
      <c r="L28" s="18">
        <v>420</v>
      </c>
      <c r="M28" s="7">
        <f t="shared" si="0"/>
        <v>21000</v>
      </c>
      <c r="N28" s="4"/>
      <c r="O28" s="9"/>
    </row>
    <row r="29" spans="1:15" ht="40" x14ac:dyDescent="0.2">
      <c r="A29" s="3">
        <v>25</v>
      </c>
      <c r="B29" s="19"/>
      <c r="C29" s="4" t="s">
        <v>1124</v>
      </c>
      <c r="D29" s="4" t="s">
        <v>1100</v>
      </c>
      <c r="E29" s="4" t="s">
        <v>499</v>
      </c>
      <c r="F29" s="8"/>
      <c r="G29" s="8"/>
      <c r="H29" s="8"/>
      <c r="I29" s="8"/>
      <c r="J29" s="8"/>
      <c r="K29" s="8">
        <v>200</v>
      </c>
      <c r="L29" s="18">
        <v>90</v>
      </c>
      <c r="M29" s="7">
        <f t="shared" si="0"/>
        <v>18000</v>
      </c>
      <c r="N29" s="4"/>
      <c r="O29" s="9"/>
    </row>
    <row r="30" spans="1:15" ht="40" x14ac:dyDescent="0.2">
      <c r="A30" s="3">
        <v>26</v>
      </c>
      <c r="B30" s="19"/>
      <c r="C30" s="4" t="s">
        <v>1125</v>
      </c>
      <c r="D30" s="4" t="s">
        <v>1100</v>
      </c>
      <c r="E30" s="4" t="s">
        <v>499</v>
      </c>
      <c r="F30" s="8"/>
      <c r="G30" s="8"/>
      <c r="H30" s="8"/>
      <c r="I30" s="8"/>
      <c r="J30" s="8"/>
      <c r="K30" s="8">
        <v>100</v>
      </c>
      <c r="L30" s="18">
        <v>100</v>
      </c>
      <c r="M30" s="7">
        <f t="shared" si="0"/>
        <v>10000</v>
      </c>
      <c r="N30" s="4"/>
      <c r="O30" s="9"/>
    </row>
    <row r="31" spans="1:15" ht="40" x14ac:dyDescent="0.2">
      <c r="A31" s="3">
        <v>27</v>
      </c>
      <c r="B31" s="19"/>
      <c r="C31" s="4" t="s">
        <v>1126</v>
      </c>
      <c r="D31" s="4" t="s">
        <v>1100</v>
      </c>
      <c r="E31" s="4" t="s">
        <v>137</v>
      </c>
      <c r="F31" s="8"/>
      <c r="G31" s="8"/>
      <c r="H31" s="8"/>
      <c r="I31" s="8"/>
      <c r="J31" s="8"/>
      <c r="K31" s="8">
        <v>650</v>
      </c>
      <c r="L31" s="18">
        <v>86</v>
      </c>
      <c r="M31" s="7">
        <f t="shared" si="0"/>
        <v>55900</v>
      </c>
      <c r="N31" s="4"/>
      <c r="O31" s="9"/>
    </row>
    <row r="32" spans="1:15" ht="40" x14ac:dyDescent="0.2">
      <c r="A32" s="3">
        <v>28</v>
      </c>
      <c r="B32" s="19"/>
      <c r="C32" s="4" t="s">
        <v>1127</v>
      </c>
      <c r="D32" s="4" t="s">
        <v>1100</v>
      </c>
      <c r="E32" s="4" t="s">
        <v>154</v>
      </c>
      <c r="F32" s="8"/>
      <c r="G32" s="8"/>
      <c r="H32" s="8"/>
      <c r="I32" s="8"/>
      <c r="J32" s="8"/>
      <c r="K32" s="8">
        <v>100</v>
      </c>
      <c r="L32" s="18">
        <v>160</v>
      </c>
      <c r="M32" s="7">
        <f t="shared" si="0"/>
        <v>16000</v>
      </c>
      <c r="N32" s="4"/>
      <c r="O32" s="9"/>
    </row>
    <row r="33" spans="1:15" ht="40" x14ac:dyDescent="0.2">
      <c r="A33" s="3">
        <v>29</v>
      </c>
      <c r="B33" s="19"/>
      <c r="C33" s="4" t="s">
        <v>1128</v>
      </c>
      <c r="D33" s="4" t="s">
        <v>1100</v>
      </c>
      <c r="E33" s="4" t="s">
        <v>343</v>
      </c>
      <c r="F33" s="8"/>
      <c r="G33" s="8"/>
      <c r="H33" s="8"/>
      <c r="I33" s="8"/>
      <c r="J33" s="8"/>
      <c r="K33" s="8">
        <v>0</v>
      </c>
      <c r="L33" s="18">
        <v>380</v>
      </c>
      <c r="M33" s="7">
        <f t="shared" si="0"/>
        <v>0</v>
      </c>
      <c r="N33" s="4"/>
      <c r="O33" s="9"/>
    </row>
    <row r="34" spans="1:15" ht="40" x14ac:dyDescent="0.2">
      <c r="A34" s="3">
        <v>30</v>
      </c>
      <c r="B34" s="19"/>
      <c r="C34" s="4" t="s">
        <v>1129</v>
      </c>
      <c r="D34" s="4" t="s">
        <v>1100</v>
      </c>
      <c r="E34" s="4" t="s">
        <v>343</v>
      </c>
      <c r="F34" s="8"/>
      <c r="G34" s="8"/>
      <c r="H34" s="8"/>
      <c r="I34" s="8"/>
      <c r="J34" s="8"/>
      <c r="K34" s="8">
        <v>0</v>
      </c>
      <c r="L34" s="18">
        <v>220</v>
      </c>
      <c r="M34" s="7">
        <f t="shared" si="0"/>
        <v>0</v>
      </c>
      <c r="N34" s="4"/>
      <c r="O34" s="9"/>
    </row>
    <row r="35" spans="1:15" ht="40" x14ac:dyDescent="0.2">
      <c r="A35" s="3">
        <v>31</v>
      </c>
      <c r="B35" s="19"/>
      <c r="C35" s="4" t="s">
        <v>973</v>
      </c>
      <c r="D35" s="4" t="s">
        <v>1100</v>
      </c>
      <c r="E35" s="4" t="s">
        <v>252</v>
      </c>
      <c r="F35" s="8"/>
      <c r="G35" s="8"/>
      <c r="H35" s="8"/>
      <c r="I35" s="8"/>
      <c r="J35" s="8"/>
      <c r="K35" s="8">
        <v>0</v>
      </c>
      <c r="L35" s="18">
        <v>60</v>
      </c>
      <c r="M35" s="7">
        <f t="shared" si="0"/>
        <v>0</v>
      </c>
      <c r="N35" s="4"/>
      <c r="O35" s="9"/>
    </row>
    <row r="36" spans="1:15" ht="40" x14ac:dyDescent="0.2">
      <c r="A36" s="3">
        <v>32</v>
      </c>
      <c r="B36" s="19"/>
      <c r="C36" s="4" t="s">
        <v>1130</v>
      </c>
      <c r="D36" s="4" t="s">
        <v>1100</v>
      </c>
      <c r="E36" s="4" t="s">
        <v>252</v>
      </c>
      <c r="F36" s="8"/>
      <c r="G36" s="8"/>
      <c r="H36" s="8"/>
      <c r="I36" s="8"/>
      <c r="J36" s="8"/>
      <c r="K36" s="8">
        <v>0</v>
      </c>
      <c r="L36" s="18">
        <v>60</v>
      </c>
      <c r="M36" s="7">
        <f t="shared" si="0"/>
        <v>0</v>
      </c>
      <c r="N36" s="4"/>
      <c r="O36" s="9"/>
    </row>
    <row r="37" spans="1:15" ht="40" x14ac:dyDescent="0.2">
      <c r="A37" s="3">
        <v>33</v>
      </c>
      <c r="B37" s="19"/>
      <c r="C37" s="4" t="s">
        <v>1131</v>
      </c>
      <c r="D37" s="4" t="s">
        <v>1100</v>
      </c>
      <c r="E37" s="4" t="s">
        <v>343</v>
      </c>
      <c r="F37" s="8"/>
      <c r="G37" s="8"/>
      <c r="H37" s="8"/>
      <c r="I37" s="8"/>
      <c r="J37" s="8"/>
      <c r="K37" s="8">
        <v>100</v>
      </c>
      <c r="L37" s="18">
        <v>85</v>
      </c>
      <c r="M37" s="7">
        <f t="shared" ref="M37:M68" si="1">IF(OR(K37="",L37=""),"",K37*L37)</f>
        <v>8500</v>
      </c>
      <c r="N37" s="4"/>
      <c r="O37" s="9"/>
    </row>
    <row r="38" spans="1:15" ht="40" x14ac:dyDescent="0.2">
      <c r="A38" s="3">
        <v>34</v>
      </c>
      <c r="B38" s="19"/>
      <c r="C38" s="4" t="s">
        <v>1132</v>
      </c>
      <c r="D38" s="4" t="s">
        <v>1100</v>
      </c>
      <c r="E38" s="4" t="s">
        <v>343</v>
      </c>
      <c r="F38" s="8"/>
      <c r="G38" s="8"/>
      <c r="H38" s="8"/>
      <c r="I38" s="8"/>
      <c r="J38" s="8"/>
      <c r="K38" s="8">
        <v>0</v>
      </c>
      <c r="L38" s="18">
        <v>1180</v>
      </c>
      <c r="M38" s="7">
        <f t="shared" si="1"/>
        <v>0</v>
      </c>
      <c r="N38" s="4"/>
      <c r="O38" s="9"/>
    </row>
    <row r="39" spans="1:15" ht="40" x14ac:dyDescent="0.2">
      <c r="A39" s="3">
        <v>35</v>
      </c>
      <c r="B39" s="19"/>
      <c r="C39" s="4" t="s">
        <v>1133</v>
      </c>
      <c r="D39" s="4" t="s">
        <v>1100</v>
      </c>
      <c r="E39" s="4" t="s">
        <v>343</v>
      </c>
      <c r="F39" s="8"/>
      <c r="G39" s="8"/>
      <c r="H39" s="8"/>
      <c r="I39" s="8"/>
      <c r="J39" s="8"/>
      <c r="K39" s="8">
        <v>0</v>
      </c>
      <c r="L39" s="18">
        <v>1180</v>
      </c>
      <c r="M39" s="7">
        <f t="shared" si="1"/>
        <v>0</v>
      </c>
      <c r="N39" s="4"/>
      <c r="O39" s="9"/>
    </row>
    <row r="40" spans="1:15" ht="40" x14ac:dyDescent="0.2">
      <c r="A40" s="3">
        <v>36</v>
      </c>
      <c r="B40" s="19"/>
      <c r="C40" s="4" t="s">
        <v>1134</v>
      </c>
      <c r="D40" s="4" t="s">
        <v>1100</v>
      </c>
      <c r="E40" s="4" t="s">
        <v>982</v>
      </c>
      <c r="F40" s="8"/>
      <c r="G40" s="8"/>
      <c r="H40" s="8"/>
      <c r="I40" s="8"/>
      <c r="J40" s="8"/>
      <c r="K40" s="8">
        <v>0</v>
      </c>
      <c r="L40" s="18">
        <v>63</v>
      </c>
      <c r="M40" s="7">
        <f t="shared" si="1"/>
        <v>0</v>
      </c>
      <c r="N40" s="4"/>
      <c r="O40" s="9"/>
    </row>
    <row r="41" spans="1:15" ht="40" x14ac:dyDescent="0.2">
      <c r="A41" s="3">
        <v>37</v>
      </c>
      <c r="B41" s="19"/>
      <c r="C41" s="4" t="s">
        <v>1135</v>
      </c>
      <c r="D41" s="4" t="s">
        <v>1100</v>
      </c>
      <c r="E41" s="4" t="s">
        <v>982</v>
      </c>
      <c r="F41" s="8"/>
      <c r="G41" s="8"/>
      <c r="H41" s="8"/>
      <c r="I41" s="8"/>
      <c r="J41" s="8"/>
      <c r="K41" s="8">
        <v>0</v>
      </c>
      <c r="L41" s="18">
        <v>82</v>
      </c>
      <c r="M41" s="7">
        <f t="shared" si="1"/>
        <v>0</v>
      </c>
      <c r="N41" s="4"/>
      <c r="O41" s="9"/>
    </row>
    <row r="42" spans="1:15" ht="40" x14ac:dyDescent="0.2">
      <c r="A42" s="3">
        <v>38</v>
      </c>
      <c r="B42" s="19"/>
      <c r="C42" s="4" t="s">
        <v>1136</v>
      </c>
      <c r="D42" s="4" t="s">
        <v>1100</v>
      </c>
      <c r="E42" s="4" t="s">
        <v>982</v>
      </c>
      <c r="F42" s="8"/>
      <c r="G42" s="8"/>
      <c r="H42" s="8"/>
      <c r="I42" s="8"/>
      <c r="J42" s="8"/>
      <c r="K42" s="8">
        <v>0</v>
      </c>
      <c r="L42" s="18">
        <v>90</v>
      </c>
      <c r="M42" s="7">
        <f t="shared" si="1"/>
        <v>0</v>
      </c>
      <c r="N42" s="4"/>
      <c r="O42" s="9"/>
    </row>
    <row r="43" spans="1:15" ht="40" x14ac:dyDescent="0.2">
      <c r="A43" s="3">
        <v>39</v>
      </c>
      <c r="B43" s="19"/>
      <c r="C43" s="4" t="s">
        <v>1137</v>
      </c>
      <c r="D43" s="4" t="s">
        <v>1100</v>
      </c>
      <c r="E43" s="4" t="s">
        <v>982</v>
      </c>
      <c r="F43" s="8"/>
      <c r="G43" s="8"/>
      <c r="H43" s="8"/>
      <c r="I43" s="8"/>
      <c r="J43" s="8"/>
      <c r="K43" s="8">
        <v>0</v>
      </c>
      <c r="L43" s="18">
        <v>92</v>
      </c>
      <c r="M43" s="7">
        <f t="shared" si="1"/>
        <v>0</v>
      </c>
      <c r="N43" s="4"/>
      <c r="O43" s="9"/>
    </row>
    <row r="44" spans="1:15" ht="40" x14ac:dyDescent="0.2">
      <c r="A44" s="3">
        <v>40</v>
      </c>
      <c r="B44" s="19"/>
      <c r="C44" s="4" t="s">
        <v>1138</v>
      </c>
      <c r="D44" s="4" t="s">
        <v>1100</v>
      </c>
      <c r="E44" s="4" t="s">
        <v>343</v>
      </c>
      <c r="F44" s="8"/>
      <c r="G44" s="8"/>
      <c r="H44" s="8"/>
      <c r="I44" s="8"/>
      <c r="J44" s="8"/>
      <c r="K44" s="8">
        <v>0</v>
      </c>
      <c r="L44" s="18">
        <v>120</v>
      </c>
      <c r="M44" s="7">
        <f t="shared" si="1"/>
        <v>0</v>
      </c>
      <c r="N44" s="4"/>
      <c r="O44" s="9"/>
    </row>
    <row r="45" spans="1:15" ht="40" x14ac:dyDescent="0.2">
      <c r="A45" s="3">
        <v>41</v>
      </c>
      <c r="B45" s="19"/>
      <c r="C45" s="4" t="s">
        <v>1139</v>
      </c>
      <c r="D45" s="4" t="s">
        <v>1100</v>
      </c>
      <c r="E45" s="4" t="s">
        <v>343</v>
      </c>
      <c r="F45" s="8"/>
      <c r="G45" s="8"/>
      <c r="H45" s="8"/>
      <c r="I45" s="8"/>
      <c r="J45" s="8"/>
      <c r="K45" s="8">
        <v>0</v>
      </c>
      <c r="L45" s="18">
        <v>74</v>
      </c>
      <c r="M45" s="7">
        <f t="shared" si="1"/>
        <v>0</v>
      </c>
      <c r="N45" s="4"/>
      <c r="O45" s="9"/>
    </row>
    <row r="46" spans="1:15" ht="40" x14ac:dyDescent="0.2">
      <c r="A46" s="3">
        <v>42</v>
      </c>
      <c r="B46" s="19"/>
      <c r="C46" s="4" t="s">
        <v>1140</v>
      </c>
      <c r="D46" s="4" t="s">
        <v>1100</v>
      </c>
      <c r="E46" s="4" t="s">
        <v>343</v>
      </c>
      <c r="F46" s="8"/>
      <c r="G46" s="8"/>
      <c r="H46" s="8"/>
      <c r="I46" s="8"/>
      <c r="J46" s="8"/>
      <c r="K46" s="8">
        <v>200</v>
      </c>
      <c r="L46" s="18">
        <v>74</v>
      </c>
      <c r="M46" s="7">
        <f t="shared" si="1"/>
        <v>14800</v>
      </c>
      <c r="N46" s="4"/>
      <c r="O46" s="9"/>
    </row>
    <row r="47" spans="1:15" ht="40" x14ac:dyDescent="0.2">
      <c r="A47" s="3">
        <v>43</v>
      </c>
      <c r="B47" s="19"/>
      <c r="C47" s="4" t="s">
        <v>1141</v>
      </c>
      <c r="D47" s="4" t="s">
        <v>1100</v>
      </c>
      <c r="E47" s="4" t="s">
        <v>343</v>
      </c>
      <c r="F47" s="8"/>
      <c r="G47" s="8"/>
      <c r="H47" s="8"/>
      <c r="I47" s="8"/>
      <c r="J47" s="8"/>
      <c r="K47" s="8">
        <v>0</v>
      </c>
      <c r="L47" s="18">
        <v>102</v>
      </c>
      <c r="M47" s="7">
        <f t="shared" si="1"/>
        <v>0</v>
      </c>
      <c r="N47" s="4"/>
      <c r="O47" s="9"/>
    </row>
    <row r="48" spans="1:15" ht="40" x14ac:dyDescent="0.2">
      <c r="A48" s="3">
        <v>44</v>
      </c>
      <c r="B48" s="19"/>
      <c r="C48" s="4" t="s">
        <v>1142</v>
      </c>
      <c r="D48" s="4" t="s">
        <v>1100</v>
      </c>
      <c r="E48" s="4" t="s">
        <v>343</v>
      </c>
      <c r="F48" s="8"/>
      <c r="G48" s="8"/>
      <c r="H48" s="8"/>
      <c r="I48" s="8"/>
      <c r="J48" s="8"/>
      <c r="K48" s="8">
        <v>0</v>
      </c>
      <c r="L48" s="18">
        <v>345</v>
      </c>
      <c r="M48" s="7">
        <f t="shared" si="1"/>
        <v>0</v>
      </c>
      <c r="N48" s="4"/>
      <c r="O48" s="9"/>
    </row>
    <row r="49" spans="1:15" ht="40" x14ac:dyDescent="0.2">
      <c r="A49" s="3">
        <v>45</v>
      </c>
      <c r="B49" s="19"/>
      <c r="C49" s="4" t="s">
        <v>1143</v>
      </c>
      <c r="D49" s="4" t="s">
        <v>1100</v>
      </c>
      <c r="E49" s="4" t="s">
        <v>982</v>
      </c>
      <c r="F49" s="8"/>
      <c r="G49" s="8"/>
      <c r="H49" s="8"/>
      <c r="I49" s="8"/>
      <c r="J49" s="8"/>
      <c r="K49" s="8">
        <v>0</v>
      </c>
      <c r="L49" s="18">
        <v>90</v>
      </c>
      <c r="M49" s="7">
        <f t="shared" si="1"/>
        <v>0</v>
      </c>
      <c r="N49" s="4"/>
      <c r="O49" s="9"/>
    </row>
    <row r="50" spans="1:15" ht="40" x14ac:dyDescent="0.2">
      <c r="A50" s="3">
        <v>46</v>
      </c>
      <c r="B50" s="19"/>
      <c r="C50" s="4" t="s">
        <v>1144</v>
      </c>
      <c r="D50" s="4" t="s">
        <v>1100</v>
      </c>
      <c r="E50" s="4" t="s">
        <v>982</v>
      </c>
      <c r="F50" s="8"/>
      <c r="G50" s="8"/>
      <c r="H50" s="8"/>
      <c r="I50" s="8"/>
      <c r="J50" s="8"/>
      <c r="K50" s="8">
        <v>0</v>
      </c>
      <c r="L50" s="18">
        <v>90</v>
      </c>
      <c r="M50" s="7">
        <f t="shared" si="1"/>
        <v>0</v>
      </c>
      <c r="N50" s="4"/>
      <c r="O50" s="9"/>
    </row>
    <row r="51" spans="1:15" ht="40" x14ac:dyDescent="0.2">
      <c r="A51" s="3">
        <v>47</v>
      </c>
      <c r="B51" s="19"/>
      <c r="C51" s="4" t="s">
        <v>1145</v>
      </c>
      <c r="D51" s="4" t="s">
        <v>1100</v>
      </c>
      <c r="E51" s="4" t="s">
        <v>343</v>
      </c>
      <c r="F51" s="8"/>
      <c r="G51" s="8"/>
      <c r="H51" s="8"/>
      <c r="I51" s="8"/>
      <c r="J51" s="8"/>
      <c r="K51" s="8">
        <v>1000</v>
      </c>
      <c r="L51" s="18">
        <v>65</v>
      </c>
      <c r="M51" s="7">
        <f t="shared" si="1"/>
        <v>65000</v>
      </c>
      <c r="N51" s="4"/>
      <c r="O51" s="9"/>
    </row>
    <row r="52" spans="1:15" ht="40" x14ac:dyDescent="0.2">
      <c r="A52" s="3">
        <v>48</v>
      </c>
      <c r="B52" s="19"/>
      <c r="C52" s="4" t="s">
        <v>1146</v>
      </c>
      <c r="D52" s="4" t="s">
        <v>1100</v>
      </c>
      <c r="E52" s="4" t="s">
        <v>343</v>
      </c>
      <c r="F52" s="8"/>
      <c r="G52" s="8"/>
      <c r="H52" s="8"/>
      <c r="I52" s="8"/>
      <c r="J52" s="8"/>
      <c r="K52" s="8">
        <v>20</v>
      </c>
      <c r="L52" s="18">
        <v>600</v>
      </c>
      <c r="M52" s="7">
        <f t="shared" si="1"/>
        <v>12000</v>
      </c>
      <c r="N52" s="4"/>
      <c r="O52" s="9"/>
    </row>
    <row r="53" spans="1:15" ht="40" x14ac:dyDescent="0.2">
      <c r="A53" s="3">
        <v>49</v>
      </c>
      <c r="B53" s="19"/>
      <c r="C53" s="4" t="s">
        <v>1147</v>
      </c>
      <c r="D53" s="4" t="s">
        <v>1100</v>
      </c>
      <c r="E53" s="4" t="s">
        <v>343</v>
      </c>
      <c r="F53" s="8"/>
      <c r="G53" s="8"/>
      <c r="H53" s="8"/>
      <c r="I53" s="8"/>
      <c r="J53" s="8"/>
      <c r="K53" s="8">
        <v>200</v>
      </c>
      <c r="L53" s="18">
        <v>66</v>
      </c>
      <c r="M53" s="7">
        <f t="shared" si="1"/>
        <v>13200</v>
      </c>
      <c r="N53" s="4"/>
      <c r="O53" s="9"/>
    </row>
    <row r="54" spans="1:15" ht="40" x14ac:dyDescent="0.2">
      <c r="A54" s="3">
        <v>50</v>
      </c>
      <c r="B54" s="19"/>
      <c r="C54" s="4" t="s">
        <v>1148</v>
      </c>
      <c r="D54" s="4" t="s">
        <v>1100</v>
      </c>
      <c r="E54" s="4" t="s">
        <v>343</v>
      </c>
      <c r="F54" s="8"/>
      <c r="G54" s="8"/>
      <c r="H54" s="8"/>
      <c r="I54" s="8"/>
      <c r="J54" s="8"/>
      <c r="K54" s="8">
        <v>100</v>
      </c>
      <c r="L54" s="18">
        <v>155</v>
      </c>
      <c r="M54" s="7">
        <f t="shared" si="1"/>
        <v>15500</v>
      </c>
      <c r="N54" s="4"/>
      <c r="O54" s="9"/>
    </row>
    <row r="55" spans="1:15" ht="40" x14ac:dyDescent="0.2">
      <c r="A55" s="3">
        <v>51</v>
      </c>
      <c r="B55" s="19"/>
      <c r="C55" s="4" t="s">
        <v>1149</v>
      </c>
      <c r="D55" s="4" t="s">
        <v>1100</v>
      </c>
      <c r="E55" s="4" t="s">
        <v>343</v>
      </c>
      <c r="F55" s="8"/>
      <c r="G55" s="8"/>
      <c r="H55" s="8"/>
      <c r="I55" s="8"/>
      <c r="J55" s="8"/>
      <c r="K55" s="8">
        <v>50</v>
      </c>
      <c r="L55" s="18">
        <v>229</v>
      </c>
      <c r="M55" s="7">
        <f t="shared" si="1"/>
        <v>11450</v>
      </c>
      <c r="N55" s="4"/>
      <c r="O55" s="9"/>
    </row>
    <row r="56" spans="1:15" ht="40" x14ac:dyDescent="0.2">
      <c r="A56" s="3">
        <v>52</v>
      </c>
      <c r="B56" s="19"/>
      <c r="C56" s="4" t="s">
        <v>1150</v>
      </c>
      <c r="D56" s="4" t="s">
        <v>1100</v>
      </c>
      <c r="E56" s="4" t="s">
        <v>343</v>
      </c>
      <c r="F56" s="8"/>
      <c r="G56" s="8"/>
      <c r="H56" s="8"/>
      <c r="I56" s="8"/>
      <c r="J56" s="8"/>
      <c r="K56" s="8">
        <v>0</v>
      </c>
      <c r="L56" s="18">
        <v>500</v>
      </c>
      <c r="M56" s="7">
        <f t="shared" si="1"/>
        <v>0</v>
      </c>
      <c r="N56" s="4"/>
      <c r="O56" s="9"/>
    </row>
    <row r="57" spans="1:15" ht="40" x14ac:dyDescent="0.2">
      <c r="A57" s="3">
        <v>53</v>
      </c>
      <c r="B57" s="19"/>
      <c r="C57" s="4" t="s">
        <v>1151</v>
      </c>
      <c r="D57" s="4" t="s">
        <v>1100</v>
      </c>
      <c r="E57" s="4" t="s">
        <v>343</v>
      </c>
      <c r="F57" s="8"/>
      <c r="G57" s="8"/>
      <c r="H57" s="8"/>
      <c r="I57" s="8"/>
      <c r="J57" s="8"/>
      <c r="K57" s="8">
        <v>0</v>
      </c>
      <c r="L57" s="18">
        <v>45</v>
      </c>
      <c r="M57" s="7">
        <f t="shared" si="1"/>
        <v>0</v>
      </c>
      <c r="N57" s="4"/>
      <c r="O57" s="9"/>
    </row>
    <row r="58" spans="1:15" ht="40" x14ac:dyDescent="0.2">
      <c r="A58" s="3">
        <v>54</v>
      </c>
      <c r="B58" s="19"/>
      <c r="C58" s="4" t="s">
        <v>1152</v>
      </c>
      <c r="D58" s="4" t="s">
        <v>1100</v>
      </c>
      <c r="E58" s="4" t="s">
        <v>343</v>
      </c>
      <c r="F58" s="8"/>
      <c r="G58" s="8"/>
      <c r="H58" s="8"/>
      <c r="I58" s="8"/>
      <c r="J58" s="8"/>
      <c r="K58" s="8">
        <v>0</v>
      </c>
      <c r="L58" s="18">
        <v>150</v>
      </c>
      <c r="M58" s="7">
        <f t="shared" si="1"/>
        <v>0</v>
      </c>
      <c r="N58" s="4"/>
      <c r="O58" s="9"/>
    </row>
    <row r="59" spans="1:15" ht="40" x14ac:dyDescent="0.2">
      <c r="A59" s="3">
        <v>55</v>
      </c>
      <c r="B59" s="19"/>
      <c r="C59" s="4" t="s">
        <v>1153</v>
      </c>
      <c r="D59" s="4" t="s">
        <v>1100</v>
      </c>
      <c r="E59" s="4" t="s">
        <v>343</v>
      </c>
      <c r="F59" s="8"/>
      <c r="G59" s="8"/>
      <c r="H59" s="8"/>
      <c r="I59" s="8"/>
      <c r="J59" s="8"/>
      <c r="K59" s="8">
        <v>0</v>
      </c>
      <c r="L59" s="18">
        <v>130</v>
      </c>
      <c r="M59" s="7">
        <f t="shared" si="1"/>
        <v>0</v>
      </c>
      <c r="N59" s="4"/>
      <c r="O59" s="9"/>
    </row>
    <row r="60" spans="1:15" ht="40" x14ac:dyDescent="0.2">
      <c r="A60" s="3">
        <v>56</v>
      </c>
      <c r="B60" s="19"/>
      <c r="C60" s="4" t="s">
        <v>1154</v>
      </c>
      <c r="D60" s="4" t="s">
        <v>1100</v>
      </c>
      <c r="E60" s="4" t="s">
        <v>343</v>
      </c>
      <c r="F60" s="8"/>
      <c r="G60" s="8"/>
      <c r="H60" s="8"/>
      <c r="I60" s="8"/>
      <c r="J60" s="8"/>
      <c r="K60" s="8">
        <v>1000</v>
      </c>
      <c r="L60" s="18">
        <v>30</v>
      </c>
      <c r="M60" s="7">
        <f t="shared" si="1"/>
        <v>30000</v>
      </c>
      <c r="N60" s="4"/>
      <c r="O60" s="9"/>
    </row>
    <row r="61" spans="1:15" ht="40" x14ac:dyDescent="0.2">
      <c r="A61" s="3">
        <v>57</v>
      </c>
      <c r="B61" s="19"/>
      <c r="C61" s="4" t="s">
        <v>1155</v>
      </c>
      <c r="D61" s="4" t="s">
        <v>1100</v>
      </c>
      <c r="E61" s="4" t="s">
        <v>982</v>
      </c>
      <c r="F61" s="8"/>
      <c r="G61" s="8"/>
      <c r="H61" s="8"/>
      <c r="I61" s="8"/>
      <c r="J61" s="8"/>
      <c r="K61" s="8">
        <v>0</v>
      </c>
      <c r="L61" s="18">
        <v>55</v>
      </c>
      <c r="M61" s="7">
        <f t="shared" si="1"/>
        <v>0</v>
      </c>
      <c r="N61" s="4"/>
      <c r="O61" s="9"/>
    </row>
    <row r="62" spans="1:15" ht="40" x14ac:dyDescent="0.2">
      <c r="A62" s="3">
        <v>58</v>
      </c>
      <c r="B62" s="19"/>
      <c r="C62" s="4" t="s">
        <v>1156</v>
      </c>
      <c r="D62" s="4" t="s">
        <v>1100</v>
      </c>
      <c r="E62" s="4" t="s">
        <v>343</v>
      </c>
      <c r="F62" s="8"/>
      <c r="G62" s="8"/>
      <c r="H62" s="8"/>
      <c r="I62" s="8"/>
      <c r="J62" s="8"/>
      <c r="K62" s="8">
        <v>0</v>
      </c>
      <c r="L62" s="18">
        <v>515</v>
      </c>
      <c r="M62" s="7">
        <f t="shared" si="1"/>
        <v>0</v>
      </c>
      <c r="N62" s="4"/>
      <c r="O62" s="9"/>
    </row>
    <row r="63" spans="1:15" ht="40" x14ac:dyDescent="0.2">
      <c r="A63" s="3">
        <v>59</v>
      </c>
      <c r="B63" s="19"/>
      <c r="C63" s="4" t="s">
        <v>1157</v>
      </c>
      <c r="D63" s="4" t="s">
        <v>1100</v>
      </c>
      <c r="E63" s="4" t="s">
        <v>343</v>
      </c>
      <c r="F63" s="8"/>
      <c r="G63" s="8"/>
      <c r="H63" s="8"/>
      <c r="I63" s="8"/>
      <c r="J63" s="8"/>
      <c r="K63" s="8">
        <v>0</v>
      </c>
      <c r="L63" s="18">
        <v>195</v>
      </c>
      <c r="M63" s="7">
        <f t="shared" si="1"/>
        <v>0</v>
      </c>
      <c r="N63" s="4"/>
      <c r="O63" s="9"/>
    </row>
    <row r="64" spans="1:15" ht="40" x14ac:dyDescent="0.2">
      <c r="A64" s="3">
        <v>60</v>
      </c>
      <c r="B64" s="19"/>
      <c r="C64" s="4" t="s">
        <v>1158</v>
      </c>
      <c r="D64" s="4" t="s">
        <v>1100</v>
      </c>
      <c r="E64" s="4" t="s">
        <v>343</v>
      </c>
      <c r="F64" s="8"/>
      <c r="G64" s="8"/>
      <c r="H64" s="8"/>
      <c r="I64" s="8"/>
      <c r="J64" s="8"/>
      <c r="K64" s="8">
        <v>0</v>
      </c>
      <c r="L64" s="18">
        <v>162</v>
      </c>
      <c r="M64" s="7">
        <f t="shared" si="1"/>
        <v>0</v>
      </c>
      <c r="N64" s="4"/>
      <c r="O64" s="9"/>
    </row>
    <row r="65" spans="1:15" ht="40" x14ac:dyDescent="0.2">
      <c r="A65" s="3">
        <v>61</v>
      </c>
      <c r="B65" s="19"/>
      <c r="C65" s="4" t="s">
        <v>1159</v>
      </c>
      <c r="D65" s="4" t="s">
        <v>1100</v>
      </c>
      <c r="E65" s="4" t="s">
        <v>343</v>
      </c>
      <c r="F65" s="8"/>
      <c r="G65" s="8"/>
      <c r="H65" s="8"/>
      <c r="I65" s="8"/>
      <c r="J65" s="8"/>
      <c r="K65" s="8">
        <v>0</v>
      </c>
      <c r="L65" s="18">
        <v>260</v>
      </c>
      <c r="M65" s="7">
        <f t="shared" si="1"/>
        <v>0</v>
      </c>
      <c r="N65" s="4"/>
      <c r="O65" s="9"/>
    </row>
    <row r="66" spans="1:15" ht="40" x14ac:dyDescent="0.2">
      <c r="A66" s="3">
        <v>62</v>
      </c>
      <c r="B66" s="19"/>
      <c r="C66" s="4" t="s">
        <v>1160</v>
      </c>
      <c r="D66" s="4" t="s">
        <v>1100</v>
      </c>
      <c r="E66" s="4" t="s">
        <v>343</v>
      </c>
      <c r="F66" s="8"/>
      <c r="G66" s="8"/>
      <c r="H66" s="8"/>
      <c r="I66" s="8"/>
      <c r="J66" s="8"/>
      <c r="K66" s="8">
        <v>300</v>
      </c>
      <c r="L66" s="18">
        <v>275</v>
      </c>
      <c r="M66" s="7">
        <f t="shared" si="1"/>
        <v>82500</v>
      </c>
      <c r="N66" s="4"/>
      <c r="O66" s="9"/>
    </row>
    <row r="67" spans="1:15" ht="40" x14ac:dyDescent="0.2">
      <c r="A67" s="3">
        <v>63</v>
      </c>
      <c r="B67" s="19"/>
      <c r="C67" s="4" t="s">
        <v>1161</v>
      </c>
      <c r="D67" s="4" t="s">
        <v>1100</v>
      </c>
      <c r="E67" s="4" t="s">
        <v>343</v>
      </c>
      <c r="F67" s="8"/>
      <c r="G67" s="8"/>
      <c r="H67" s="8"/>
      <c r="I67" s="8"/>
      <c r="J67" s="8"/>
      <c r="K67" s="8">
        <v>0</v>
      </c>
      <c r="L67" s="18">
        <v>240</v>
      </c>
      <c r="M67" s="7">
        <f t="shared" si="1"/>
        <v>0</v>
      </c>
      <c r="N67" s="4"/>
      <c r="O67" s="9"/>
    </row>
    <row r="68" spans="1:15" ht="40" x14ac:dyDescent="0.2">
      <c r="A68" s="3">
        <v>64</v>
      </c>
      <c r="B68" s="19"/>
      <c r="C68" s="4" t="s">
        <v>1162</v>
      </c>
      <c r="D68" s="4" t="s">
        <v>1100</v>
      </c>
      <c r="E68" s="4" t="s">
        <v>343</v>
      </c>
      <c r="F68" s="8"/>
      <c r="G68" s="8"/>
      <c r="H68" s="8"/>
      <c r="I68" s="8"/>
      <c r="J68" s="8"/>
      <c r="K68" s="8">
        <v>0</v>
      </c>
      <c r="L68" s="18">
        <v>260</v>
      </c>
      <c r="M68" s="7">
        <f t="shared" si="1"/>
        <v>0</v>
      </c>
      <c r="N68" s="4"/>
      <c r="O68" s="9"/>
    </row>
    <row r="69" spans="1:15" ht="40" x14ac:dyDescent="0.2">
      <c r="A69" s="3">
        <v>65</v>
      </c>
      <c r="B69" s="19"/>
      <c r="C69" s="4" t="s">
        <v>1163</v>
      </c>
      <c r="D69" s="4" t="s">
        <v>1100</v>
      </c>
      <c r="E69" s="4" t="s">
        <v>343</v>
      </c>
      <c r="F69" s="8"/>
      <c r="G69" s="8"/>
      <c r="H69" s="8"/>
      <c r="I69" s="8"/>
      <c r="J69" s="8"/>
      <c r="K69" s="8">
        <v>0</v>
      </c>
      <c r="L69" s="18">
        <v>260</v>
      </c>
      <c r="M69" s="7">
        <f t="shared" ref="M69:M100" si="2">IF(OR(K69="",L69=""),"",K69*L69)</f>
        <v>0</v>
      </c>
      <c r="N69" s="4"/>
      <c r="O69" s="9"/>
    </row>
    <row r="70" spans="1:15" ht="40" x14ac:dyDescent="0.2">
      <c r="A70" s="3">
        <v>66</v>
      </c>
      <c r="B70" s="19"/>
      <c r="C70" s="4" t="s">
        <v>1164</v>
      </c>
      <c r="D70" s="4" t="s">
        <v>1100</v>
      </c>
      <c r="E70" s="4" t="s">
        <v>125</v>
      </c>
      <c r="F70" s="8"/>
      <c r="G70" s="8"/>
      <c r="H70" s="8"/>
      <c r="I70" s="8"/>
      <c r="J70" s="8"/>
      <c r="K70" s="8">
        <v>0</v>
      </c>
      <c r="L70" s="18">
        <v>260</v>
      </c>
      <c r="M70" s="7">
        <f t="shared" si="2"/>
        <v>0</v>
      </c>
      <c r="N70" s="4"/>
      <c r="O70" s="9"/>
    </row>
    <row r="71" spans="1:15" ht="40" x14ac:dyDescent="0.2">
      <c r="A71" s="3">
        <v>67</v>
      </c>
      <c r="B71" s="19"/>
      <c r="C71" s="4" t="s">
        <v>1165</v>
      </c>
      <c r="D71" s="4" t="s">
        <v>1100</v>
      </c>
      <c r="E71" s="4" t="s">
        <v>196</v>
      </c>
      <c r="F71" s="8"/>
      <c r="G71" s="8"/>
      <c r="H71" s="8"/>
      <c r="I71" s="8"/>
      <c r="J71" s="8"/>
      <c r="K71" s="8">
        <v>0</v>
      </c>
      <c r="L71" s="18">
        <v>260</v>
      </c>
      <c r="M71" s="7">
        <f t="shared" si="2"/>
        <v>0</v>
      </c>
      <c r="N71" s="4"/>
      <c r="O71" s="9"/>
    </row>
    <row r="72" spans="1:15" ht="40" x14ac:dyDescent="0.2">
      <c r="A72" s="3">
        <v>68</v>
      </c>
      <c r="B72" s="19"/>
      <c r="C72" s="4" t="s">
        <v>1166</v>
      </c>
      <c r="D72" s="4" t="s">
        <v>1100</v>
      </c>
      <c r="E72" s="4" t="s">
        <v>343</v>
      </c>
      <c r="F72" s="8"/>
      <c r="G72" s="8"/>
      <c r="H72" s="8"/>
      <c r="I72" s="8"/>
      <c r="J72" s="8"/>
      <c r="K72" s="8">
        <v>200</v>
      </c>
      <c r="L72" s="18">
        <v>195</v>
      </c>
      <c r="M72" s="7">
        <f t="shared" si="2"/>
        <v>39000</v>
      </c>
      <c r="N72" s="4"/>
      <c r="O72" s="9"/>
    </row>
    <row r="73" spans="1:15" ht="40" x14ac:dyDescent="0.2">
      <c r="A73" s="3">
        <v>69</v>
      </c>
      <c r="B73" s="19"/>
      <c r="C73" s="4" t="s">
        <v>1167</v>
      </c>
      <c r="D73" s="4" t="s">
        <v>1100</v>
      </c>
      <c r="E73" s="4" t="s">
        <v>343</v>
      </c>
      <c r="F73" s="8"/>
      <c r="G73" s="8"/>
      <c r="H73" s="8"/>
      <c r="I73" s="8"/>
      <c r="J73" s="8"/>
      <c r="K73" s="8">
        <v>200</v>
      </c>
      <c r="L73" s="18">
        <v>900</v>
      </c>
      <c r="M73" s="7">
        <f t="shared" si="2"/>
        <v>180000</v>
      </c>
      <c r="N73" s="4"/>
      <c r="O73" s="9"/>
    </row>
    <row r="74" spans="1:15" ht="40" x14ac:dyDescent="0.2">
      <c r="A74" s="3">
        <v>70</v>
      </c>
      <c r="B74" s="19"/>
      <c r="C74" s="4" t="s">
        <v>1168</v>
      </c>
      <c r="D74" s="4" t="s">
        <v>1100</v>
      </c>
      <c r="E74" s="4" t="s">
        <v>343</v>
      </c>
      <c r="F74" s="8"/>
      <c r="G74" s="8"/>
      <c r="H74" s="8"/>
      <c r="I74" s="8"/>
      <c r="J74" s="8"/>
      <c r="K74" s="8">
        <v>0</v>
      </c>
      <c r="L74" s="18">
        <v>950</v>
      </c>
      <c r="M74" s="7">
        <f t="shared" si="2"/>
        <v>0</v>
      </c>
      <c r="N74" s="4"/>
      <c r="O74" s="9"/>
    </row>
    <row r="75" spans="1:15" ht="40" x14ac:dyDescent="0.2">
      <c r="A75" s="3">
        <v>71</v>
      </c>
      <c r="B75" s="19"/>
      <c r="C75" s="4" t="s">
        <v>1169</v>
      </c>
      <c r="D75" s="4" t="s">
        <v>1100</v>
      </c>
      <c r="E75" s="4" t="s">
        <v>343</v>
      </c>
      <c r="F75" s="8"/>
      <c r="G75" s="8"/>
      <c r="H75" s="8"/>
      <c r="I75" s="8"/>
      <c r="J75" s="8"/>
      <c r="K75" s="8">
        <v>100</v>
      </c>
      <c r="L75" s="18">
        <v>22</v>
      </c>
      <c r="M75" s="7">
        <f t="shared" si="2"/>
        <v>2200</v>
      </c>
      <c r="N75" s="4"/>
      <c r="O75" s="9"/>
    </row>
    <row r="76" spans="1:15" ht="40" x14ac:dyDescent="0.2">
      <c r="A76" s="3">
        <v>72</v>
      </c>
      <c r="B76" s="19"/>
      <c r="C76" s="4" t="s">
        <v>1170</v>
      </c>
      <c r="D76" s="4" t="s">
        <v>1100</v>
      </c>
      <c r="E76" s="4" t="s">
        <v>343</v>
      </c>
      <c r="F76" s="8"/>
      <c r="G76" s="8"/>
      <c r="H76" s="8"/>
      <c r="I76" s="8"/>
      <c r="J76" s="8"/>
      <c r="K76" s="8">
        <v>200</v>
      </c>
      <c r="L76" s="18">
        <v>65</v>
      </c>
      <c r="M76" s="7">
        <f t="shared" si="2"/>
        <v>13000</v>
      </c>
      <c r="N76" s="4"/>
      <c r="O76" s="9"/>
    </row>
    <row r="77" spans="1:15" ht="40" x14ac:dyDescent="0.2">
      <c r="A77" s="3">
        <v>73</v>
      </c>
      <c r="B77" s="19"/>
      <c r="C77" s="4" t="s">
        <v>1171</v>
      </c>
      <c r="D77" s="4" t="s">
        <v>1100</v>
      </c>
      <c r="E77" s="4" t="s">
        <v>343</v>
      </c>
      <c r="F77" s="8"/>
      <c r="G77" s="8"/>
      <c r="H77" s="8"/>
      <c r="I77" s="8"/>
      <c r="J77" s="8"/>
      <c r="K77" s="8">
        <v>0</v>
      </c>
      <c r="L77" s="18">
        <v>115</v>
      </c>
      <c r="M77" s="7">
        <f t="shared" si="2"/>
        <v>0</v>
      </c>
      <c r="N77" s="4"/>
      <c r="O77" s="9"/>
    </row>
    <row r="78" spans="1:15" ht="40" x14ac:dyDescent="0.2">
      <c r="A78" s="3">
        <v>74</v>
      </c>
      <c r="B78" s="19"/>
      <c r="C78" s="4" t="s">
        <v>1172</v>
      </c>
      <c r="D78" s="4" t="s">
        <v>1100</v>
      </c>
      <c r="E78" s="4" t="s">
        <v>343</v>
      </c>
      <c r="F78" s="8"/>
      <c r="G78" s="8"/>
      <c r="H78" s="8"/>
      <c r="I78" s="8"/>
      <c r="J78" s="8"/>
      <c r="K78" s="8">
        <v>200</v>
      </c>
      <c r="L78" s="18">
        <v>45</v>
      </c>
      <c r="M78" s="7">
        <f t="shared" si="2"/>
        <v>9000</v>
      </c>
      <c r="N78" s="4"/>
      <c r="O78" s="9"/>
    </row>
    <row r="79" spans="1:15" ht="40" x14ac:dyDescent="0.2">
      <c r="A79" s="3">
        <v>75</v>
      </c>
      <c r="B79" s="19"/>
      <c r="C79" s="4" t="s">
        <v>1173</v>
      </c>
      <c r="D79" s="4" t="s">
        <v>1100</v>
      </c>
      <c r="E79" s="4" t="s">
        <v>343</v>
      </c>
      <c r="F79" s="8"/>
      <c r="G79" s="8"/>
      <c r="H79" s="8"/>
      <c r="I79" s="8"/>
      <c r="J79" s="8"/>
      <c r="K79" s="8">
        <v>0</v>
      </c>
      <c r="L79" s="18">
        <v>235</v>
      </c>
      <c r="M79" s="7">
        <f t="shared" si="2"/>
        <v>0</v>
      </c>
      <c r="N79" s="4"/>
      <c r="O79" s="9"/>
    </row>
    <row r="80" spans="1:15" ht="40" x14ac:dyDescent="0.2">
      <c r="A80" s="3">
        <v>76</v>
      </c>
      <c r="B80" s="19"/>
      <c r="C80" s="4" t="s">
        <v>1174</v>
      </c>
      <c r="D80" s="4" t="s">
        <v>1100</v>
      </c>
      <c r="E80" s="4" t="s">
        <v>343</v>
      </c>
      <c r="F80" s="8"/>
      <c r="G80" s="8"/>
      <c r="H80" s="8"/>
      <c r="I80" s="8"/>
      <c r="J80" s="8"/>
      <c r="K80" s="8">
        <v>100</v>
      </c>
      <c r="L80" s="18">
        <v>105</v>
      </c>
      <c r="M80" s="7">
        <f t="shared" si="2"/>
        <v>10500</v>
      </c>
      <c r="N80" s="4"/>
      <c r="O80" s="9"/>
    </row>
    <row r="81" spans="1:15" ht="40" x14ac:dyDescent="0.2">
      <c r="A81" s="3">
        <v>77</v>
      </c>
      <c r="B81" s="19"/>
      <c r="C81" s="4" t="s">
        <v>1175</v>
      </c>
      <c r="D81" s="4" t="s">
        <v>1100</v>
      </c>
      <c r="E81" s="4" t="s">
        <v>343</v>
      </c>
      <c r="F81" s="8"/>
      <c r="G81" s="8"/>
      <c r="H81" s="8"/>
      <c r="I81" s="8"/>
      <c r="J81" s="8"/>
      <c r="K81" s="8">
        <v>0</v>
      </c>
      <c r="L81" s="18">
        <v>145</v>
      </c>
      <c r="M81" s="7">
        <f t="shared" si="2"/>
        <v>0</v>
      </c>
      <c r="N81" s="4"/>
      <c r="O81" s="9"/>
    </row>
    <row r="82" spans="1:15" ht="40" x14ac:dyDescent="0.2">
      <c r="A82" s="3">
        <v>78</v>
      </c>
      <c r="B82" s="19"/>
      <c r="C82" s="4" t="s">
        <v>1176</v>
      </c>
      <c r="D82" s="4" t="s">
        <v>1100</v>
      </c>
      <c r="E82" s="4" t="s">
        <v>343</v>
      </c>
      <c r="F82" s="8"/>
      <c r="G82" s="8"/>
      <c r="H82" s="8"/>
      <c r="I82" s="8"/>
      <c r="J82" s="8"/>
      <c r="K82" s="8">
        <v>0</v>
      </c>
      <c r="L82" s="18">
        <v>585</v>
      </c>
      <c r="M82" s="7">
        <f t="shared" si="2"/>
        <v>0</v>
      </c>
      <c r="N82" s="4"/>
      <c r="O82" s="9"/>
    </row>
    <row r="83" spans="1:15" ht="40" x14ac:dyDescent="0.2">
      <c r="A83" s="3">
        <v>79</v>
      </c>
      <c r="B83" s="19"/>
      <c r="C83" s="4" t="s">
        <v>1177</v>
      </c>
      <c r="D83" s="4" t="s">
        <v>1100</v>
      </c>
      <c r="E83" s="4" t="s">
        <v>343</v>
      </c>
      <c r="F83" s="8"/>
      <c r="G83" s="8"/>
      <c r="H83" s="8"/>
      <c r="I83" s="8"/>
      <c r="J83" s="8"/>
      <c r="K83" s="8">
        <v>0</v>
      </c>
      <c r="L83" s="18">
        <v>520</v>
      </c>
      <c r="M83" s="7">
        <f t="shared" si="2"/>
        <v>0</v>
      </c>
      <c r="N83" s="4"/>
      <c r="O83" s="9"/>
    </row>
    <row r="84" spans="1:15" ht="40" x14ac:dyDescent="0.2">
      <c r="A84" s="3">
        <v>80</v>
      </c>
      <c r="B84" s="19"/>
      <c r="C84" s="4" t="s">
        <v>1178</v>
      </c>
      <c r="D84" s="4" t="s">
        <v>1100</v>
      </c>
      <c r="E84" s="4" t="s">
        <v>343</v>
      </c>
      <c r="F84" s="8"/>
      <c r="G84" s="8"/>
      <c r="H84" s="8"/>
      <c r="I84" s="8"/>
      <c r="J84" s="8"/>
      <c r="K84" s="8">
        <v>0</v>
      </c>
      <c r="L84" s="18">
        <v>585</v>
      </c>
      <c r="M84" s="7">
        <f t="shared" si="2"/>
        <v>0</v>
      </c>
      <c r="N84" s="4"/>
      <c r="O84" s="9"/>
    </row>
    <row r="85" spans="1:15" ht="40" x14ac:dyDescent="0.2">
      <c r="A85" s="3">
        <v>81</v>
      </c>
      <c r="B85" s="19"/>
      <c r="C85" s="4" t="s">
        <v>1179</v>
      </c>
      <c r="D85" s="4" t="s">
        <v>1100</v>
      </c>
      <c r="E85" s="4" t="s">
        <v>343</v>
      </c>
      <c r="F85" s="8"/>
      <c r="G85" s="8"/>
      <c r="H85" s="8"/>
      <c r="I85" s="8"/>
      <c r="J85" s="8"/>
      <c r="K85" s="8">
        <v>100</v>
      </c>
      <c r="L85" s="18">
        <v>185</v>
      </c>
      <c r="M85" s="7">
        <f t="shared" si="2"/>
        <v>18500</v>
      </c>
      <c r="N85" s="4"/>
      <c r="O85" s="9"/>
    </row>
    <row r="86" spans="1:15" ht="40" x14ac:dyDescent="0.2">
      <c r="A86" s="3">
        <v>82</v>
      </c>
      <c r="B86" s="19"/>
      <c r="C86" s="4" t="s">
        <v>1180</v>
      </c>
      <c r="D86" s="4" t="s">
        <v>1100</v>
      </c>
      <c r="E86" s="4" t="s">
        <v>343</v>
      </c>
      <c r="F86" s="8"/>
      <c r="G86" s="8"/>
      <c r="H86" s="8"/>
      <c r="I86" s="8"/>
      <c r="J86" s="8"/>
      <c r="K86" s="8">
        <v>0</v>
      </c>
      <c r="L86" s="18">
        <v>140</v>
      </c>
      <c r="M86" s="7">
        <f t="shared" si="2"/>
        <v>0</v>
      </c>
      <c r="N86" s="4"/>
      <c r="O86" s="9"/>
    </row>
    <row r="87" spans="1:15" ht="40" x14ac:dyDescent="0.2">
      <c r="A87" s="3">
        <v>83</v>
      </c>
      <c r="B87" s="19"/>
      <c r="C87" s="4" t="s">
        <v>1181</v>
      </c>
      <c r="D87" s="4" t="s">
        <v>1100</v>
      </c>
      <c r="E87" s="4" t="s">
        <v>343</v>
      </c>
      <c r="F87" s="8"/>
      <c r="G87" s="8"/>
      <c r="H87" s="8"/>
      <c r="I87" s="8"/>
      <c r="J87" s="8"/>
      <c r="K87" s="8">
        <v>0</v>
      </c>
      <c r="L87" s="18">
        <v>110</v>
      </c>
      <c r="M87" s="7">
        <f t="shared" si="2"/>
        <v>0</v>
      </c>
      <c r="N87" s="4"/>
      <c r="O87" s="9"/>
    </row>
    <row r="88" spans="1:15" ht="40" x14ac:dyDescent="0.2">
      <c r="A88" s="3">
        <v>84</v>
      </c>
      <c r="B88" s="19"/>
      <c r="C88" s="4" t="s">
        <v>1182</v>
      </c>
      <c r="D88" s="4" t="s">
        <v>1100</v>
      </c>
      <c r="E88" s="4" t="s">
        <v>343</v>
      </c>
      <c r="F88" s="8"/>
      <c r="G88" s="8"/>
      <c r="H88" s="8"/>
      <c r="I88" s="8"/>
      <c r="J88" s="8"/>
      <c r="K88" s="8">
        <v>0</v>
      </c>
      <c r="L88" s="18">
        <v>87</v>
      </c>
      <c r="M88" s="7">
        <f t="shared" si="2"/>
        <v>0</v>
      </c>
      <c r="N88" s="4"/>
      <c r="O88" s="9"/>
    </row>
    <row r="89" spans="1:15" ht="40" x14ac:dyDescent="0.2">
      <c r="A89" s="3">
        <v>85</v>
      </c>
      <c r="B89" s="19"/>
      <c r="C89" s="4" t="s">
        <v>1183</v>
      </c>
      <c r="D89" s="4" t="s">
        <v>1100</v>
      </c>
      <c r="E89" s="4" t="s">
        <v>343</v>
      </c>
      <c r="F89" s="8"/>
      <c r="G89" s="8"/>
      <c r="H89" s="8"/>
      <c r="I89" s="8"/>
      <c r="J89" s="8"/>
      <c r="K89" s="8">
        <v>0</v>
      </c>
      <c r="L89" s="18">
        <v>720</v>
      </c>
      <c r="M89" s="7">
        <f t="shared" si="2"/>
        <v>0</v>
      </c>
      <c r="N89" s="4"/>
      <c r="O89" s="9"/>
    </row>
    <row r="90" spans="1:15" ht="40" x14ac:dyDescent="0.2">
      <c r="A90" s="3">
        <v>86</v>
      </c>
      <c r="B90" s="19"/>
      <c r="C90" s="4" t="s">
        <v>1184</v>
      </c>
      <c r="D90" s="4" t="s">
        <v>1100</v>
      </c>
      <c r="E90" s="4" t="s">
        <v>343</v>
      </c>
      <c r="F90" s="8"/>
      <c r="G90" s="8"/>
      <c r="H90" s="8"/>
      <c r="I90" s="8"/>
      <c r="J90" s="8"/>
      <c r="K90" s="8">
        <v>0</v>
      </c>
      <c r="L90" s="18">
        <v>128</v>
      </c>
      <c r="M90" s="7">
        <f t="shared" si="2"/>
        <v>0</v>
      </c>
      <c r="N90" s="4"/>
      <c r="O90" s="9"/>
    </row>
    <row r="91" spans="1:15" ht="40" x14ac:dyDescent="0.2">
      <c r="A91" s="3">
        <v>87</v>
      </c>
      <c r="B91" s="19"/>
      <c r="C91" s="4" t="s">
        <v>1185</v>
      </c>
      <c r="D91" s="4" t="s">
        <v>1100</v>
      </c>
      <c r="E91" s="4" t="s">
        <v>343</v>
      </c>
      <c r="F91" s="8"/>
      <c r="G91" s="8"/>
      <c r="H91" s="8"/>
      <c r="I91" s="8"/>
      <c r="J91" s="8"/>
      <c r="K91" s="8">
        <v>200</v>
      </c>
      <c r="L91" s="18">
        <v>128</v>
      </c>
      <c r="M91" s="7">
        <f t="shared" si="2"/>
        <v>25600</v>
      </c>
      <c r="N91" s="4"/>
      <c r="O91" s="9"/>
    </row>
    <row r="92" spans="1:15" ht="40" x14ac:dyDescent="0.2">
      <c r="A92" s="3">
        <v>88</v>
      </c>
      <c r="B92" s="19"/>
      <c r="C92" s="4" t="s">
        <v>1186</v>
      </c>
      <c r="D92" s="4" t="s">
        <v>1100</v>
      </c>
      <c r="E92" s="4" t="s">
        <v>343</v>
      </c>
      <c r="F92" s="8"/>
      <c r="G92" s="8"/>
      <c r="H92" s="8"/>
      <c r="I92" s="8"/>
      <c r="J92" s="8"/>
      <c r="K92" s="8">
        <v>0</v>
      </c>
      <c r="L92" s="18">
        <v>64</v>
      </c>
      <c r="M92" s="7">
        <f t="shared" si="2"/>
        <v>0</v>
      </c>
      <c r="N92" s="4"/>
      <c r="O92" s="9"/>
    </row>
    <row r="93" spans="1:15" ht="40" x14ac:dyDescent="0.2">
      <c r="A93" s="3">
        <v>89</v>
      </c>
      <c r="B93" s="19"/>
      <c r="C93" s="4" t="s">
        <v>1187</v>
      </c>
      <c r="D93" s="4" t="s">
        <v>1100</v>
      </c>
      <c r="E93" s="4" t="s">
        <v>343</v>
      </c>
      <c r="F93" s="8"/>
      <c r="G93" s="8"/>
      <c r="H93" s="8"/>
      <c r="I93" s="8"/>
      <c r="J93" s="8"/>
      <c r="K93" s="8">
        <v>0</v>
      </c>
      <c r="L93" s="18">
        <v>120</v>
      </c>
      <c r="M93" s="7">
        <f t="shared" si="2"/>
        <v>0</v>
      </c>
      <c r="N93" s="4"/>
      <c r="O93" s="9"/>
    </row>
    <row r="94" spans="1:15" ht="40" x14ac:dyDescent="0.2">
      <c r="A94" s="3">
        <v>90</v>
      </c>
      <c r="B94" s="19"/>
      <c r="C94" s="4" t="s">
        <v>1188</v>
      </c>
      <c r="D94" s="4" t="s">
        <v>1100</v>
      </c>
      <c r="E94" s="4" t="s">
        <v>343</v>
      </c>
      <c r="F94" s="8"/>
      <c r="G94" s="8"/>
      <c r="H94" s="8"/>
      <c r="I94" s="8"/>
      <c r="J94" s="8"/>
      <c r="K94" s="8">
        <v>200</v>
      </c>
      <c r="L94" s="18">
        <v>120</v>
      </c>
      <c r="M94" s="7">
        <f t="shared" si="2"/>
        <v>24000</v>
      </c>
      <c r="N94" s="4"/>
      <c r="O94" s="9"/>
    </row>
    <row r="95" spans="1:15" ht="40" x14ac:dyDescent="0.2">
      <c r="A95" s="3">
        <v>91</v>
      </c>
      <c r="B95" s="19"/>
      <c r="C95" s="4" t="s">
        <v>1189</v>
      </c>
      <c r="D95" s="4" t="s">
        <v>1100</v>
      </c>
      <c r="E95" s="4" t="s">
        <v>343</v>
      </c>
      <c r="F95" s="8"/>
      <c r="G95" s="8"/>
      <c r="H95" s="8"/>
      <c r="I95" s="8"/>
      <c r="J95" s="8"/>
      <c r="K95" s="8">
        <v>0</v>
      </c>
      <c r="L95" s="18">
        <v>64</v>
      </c>
      <c r="M95" s="7">
        <f t="shared" si="2"/>
        <v>0</v>
      </c>
      <c r="N95" s="4"/>
      <c r="O95" s="9"/>
    </row>
    <row r="96" spans="1:15" ht="40" x14ac:dyDescent="0.2">
      <c r="A96" s="3">
        <v>92</v>
      </c>
      <c r="B96" s="19"/>
      <c r="C96" s="4" t="s">
        <v>1190</v>
      </c>
      <c r="D96" s="4" t="s">
        <v>1100</v>
      </c>
      <c r="E96" s="4" t="s">
        <v>343</v>
      </c>
      <c r="F96" s="8"/>
      <c r="G96" s="8"/>
      <c r="H96" s="8"/>
      <c r="I96" s="8"/>
      <c r="J96" s="8"/>
      <c r="K96" s="8">
        <v>100</v>
      </c>
      <c r="L96" s="18">
        <v>78</v>
      </c>
      <c r="M96" s="7">
        <f t="shared" si="2"/>
        <v>7800</v>
      </c>
      <c r="N96" s="4"/>
      <c r="O96" s="9"/>
    </row>
    <row r="97" spans="1:15" ht="40" x14ac:dyDescent="0.2">
      <c r="A97" s="3">
        <v>93</v>
      </c>
      <c r="B97" s="19"/>
      <c r="C97" s="4" t="s">
        <v>1191</v>
      </c>
      <c r="D97" s="4" t="s">
        <v>1100</v>
      </c>
      <c r="E97" s="4" t="s">
        <v>343</v>
      </c>
      <c r="F97" s="8"/>
      <c r="G97" s="8"/>
      <c r="H97" s="8"/>
      <c r="I97" s="8"/>
      <c r="J97" s="8"/>
      <c r="K97" s="8">
        <v>0</v>
      </c>
      <c r="L97" s="18">
        <v>98</v>
      </c>
      <c r="M97" s="7">
        <f t="shared" si="2"/>
        <v>0</v>
      </c>
      <c r="N97" s="4"/>
      <c r="O97" s="9"/>
    </row>
    <row r="98" spans="1:15" ht="40" x14ac:dyDescent="0.2">
      <c r="A98" s="3">
        <v>94</v>
      </c>
      <c r="B98" s="19"/>
      <c r="C98" s="4" t="s">
        <v>1192</v>
      </c>
      <c r="D98" s="4" t="s">
        <v>1100</v>
      </c>
      <c r="E98" s="4" t="s">
        <v>343</v>
      </c>
      <c r="F98" s="8"/>
      <c r="G98" s="8"/>
      <c r="H98" s="8"/>
      <c r="I98" s="8"/>
      <c r="J98" s="8"/>
      <c r="K98" s="8">
        <v>0</v>
      </c>
      <c r="L98" s="18">
        <v>500</v>
      </c>
      <c r="M98" s="7">
        <f t="shared" si="2"/>
        <v>0</v>
      </c>
      <c r="N98" s="4"/>
      <c r="O98" s="9"/>
    </row>
    <row r="99" spans="1:15" ht="40" x14ac:dyDescent="0.2">
      <c r="A99" s="3">
        <v>95</v>
      </c>
      <c r="B99" s="19"/>
      <c r="C99" s="4" t="s">
        <v>1193</v>
      </c>
      <c r="D99" s="4" t="s">
        <v>1100</v>
      </c>
      <c r="E99" s="4" t="s">
        <v>343</v>
      </c>
      <c r="F99" s="8"/>
      <c r="G99" s="8"/>
      <c r="H99" s="8"/>
      <c r="I99" s="8"/>
      <c r="J99" s="8"/>
      <c r="K99" s="8">
        <v>0</v>
      </c>
      <c r="L99" s="18">
        <v>500</v>
      </c>
      <c r="M99" s="7">
        <f t="shared" si="2"/>
        <v>0</v>
      </c>
      <c r="N99" s="4"/>
      <c r="O99" s="9"/>
    </row>
    <row r="100" spans="1:15" ht="40" x14ac:dyDescent="0.2">
      <c r="A100" s="3">
        <v>96</v>
      </c>
      <c r="B100" s="19"/>
      <c r="C100" s="4" t="s">
        <v>1194</v>
      </c>
      <c r="D100" s="4" t="s">
        <v>1100</v>
      </c>
      <c r="E100" s="4" t="s">
        <v>343</v>
      </c>
      <c r="F100" s="8"/>
      <c r="G100" s="8"/>
      <c r="H100" s="8"/>
      <c r="I100" s="8"/>
      <c r="J100" s="8"/>
      <c r="K100" s="8">
        <v>3000</v>
      </c>
      <c r="L100" s="18">
        <v>86</v>
      </c>
      <c r="M100" s="7">
        <f t="shared" si="2"/>
        <v>258000</v>
      </c>
      <c r="N100" s="4"/>
      <c r="O100" s="9"/>
    </row>
    <row r="101" spans="1:15" ht="40" x14ac:dyDescent="0.2">
      <c r="A101" s="3">
        <v>97</v>
      </c>
      <c r="B101" s="19"/>
      <c r="C101" s="4" t="s">
        <v>1195</v>
      </c>
      <c r="D101" s="4" t="s">
        <v>1100</v>
      </c>
      <c r="E101" s="4" t="s">
        <v>343</v>
      </c>
      <c r="F101" s="8"/>
      <c r="G101" s="8"/>
      <c r="H101" s="8"/>
      <c r="I101" s="8"/>
      <c r="J101" s="8"/>
      <c r="K101" s="8">
        <v>14500</v>
      </c>
      <c r="L101" s="18">
        <v>89</v>
      </c>
      <c r="M101" s="7">
        <f t="shared" ref="M101:M132" si="3">IF(OR(K101="",L101=""),"",K101*L101)</f>
        <v>1290500</v>
      </c>
      <c r="N101" s="4"/>
      <c r="O101" s="9"/>
    </row>
    <row r="102" spans="1:15" ht="40" x14ac:dyDescent="0.2">
      <c r="A102" s="3">
        <v>98</v>
      </c>
      <c r="B102" s="19"/>
      <c r="C102" s="4" t="s">
        <v>1196</v>
      </c>
      <c r="D102" s="4" t="s">
        <v>1100</v>
      </c>
      <c r="E102" s="4" t="s">
        <v>343</v>
      </c>
      <c r="F102" s="8"/>
      <c r="G102" s="8"/>
      <c r="H102" s="8"/>
      <c r="I102" s="8"/>
      <c r="J102" s="8"/>
      <c r="K102" s="8">
        <v>1800</v>
      </c>
      <c r="L102" s="18">
        <v>79</v>
      </c>
      <c r="M102" s="7">
        <f t="shared" si="3"/>
        <v>142200</v>
      </c>
      <c r="N102" s="4"/>
      <c r="O102" s="9"/>
    </row>
    <row r="103" spans="1:15" ht="40" x14ac:dyDescent="0.2">
      <c r="A103" s="3">
        <v>99</v>
      </c>
      <c r="B103" s="19"/>
      <c r="C103" s="4" t="s">
        <v>1197</v>
      </c>
      <c r="D103" s="4" t="s">
        <v>1100</v>
      </c>
      <c r="E103" s="4" t="s">
        <v>343</v>
      </c>
      <c r="F103" s="8"/>
      <c r="G103" s="8"/>
      <c r="H103" s="8"/>
      <c r="I103" s="8"/>
      <c r="J103" s="8"/>
      <c r="K103" s="8">
        <v>0</v>
      </c>
      <c r="L103" s="18">
        <v>95</v>
      </c>
      <c r="M103" s="7">
        <f t="shared" si="3"/>
        <v>0</v>
      </c>
      <c r="N103" s="4"/>
      <c r="O103" s="9"/>
    </row>
    <row r="104" spans="1:15" ht="20" x14ac:dyDescent="0.35">
      <c r="A104" s="10" t="s">
        <v>86</v>
      </c>
      <c r="B104" s="20"/>
      <c r="C104" s="11"/>
      <c r="D104" s="11"/>
      <c r="E104" s="11"/>
      <c r="F104" s="11"/>
      <c r="G104" s="11"/>
      <c r="H104" s="11"/>
      <c r="I104" s="11"/>
      <c r="J104" s="11"/>
      <c r="K104" s="13">
        <f>SUM(K5:K103)</f>
        <v>26154</v>
      </c>
      <c r="L104" s="11"/>
      <c r="M104" s="13">
        <f>SUM(M5:M103)</f>
        <v>2699621.6</v>
      </c>
      <c r="N104" s="11"/>
      <c r="O104" s="11"/>
    </row>
    <row r="105" spans="1:15" x14ac:dyDescent="0.2">
      <c r="A105" s="23" t="s">
        <v>1198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</row>
  </sheetData>
  <autoFilter ref="A4:O103" xr:uid="{00000000-0009-0000-0000-000004000000}"/>
  <mergeCells count="5">
    <mergeCell ref="E2:G2"/>
    <mergeCell ref="I2:J2"/>
    <mergeCell ref="A1:O1"/>
    <mergeCell ref="F3:O3"/>
    <mergeCell ref="A105:O105"/>
  </mergeCells>
  <conditionalFormatting sqref="E3">
    <cfRule type="cellIs" dxfId="49" priority="1" operator="greaterThan">
      <formula>0.009</formula>
    </cfRule>
    <cfRule type="cellIs" dxfId="48" priority="2" operator="lessThan">
      <formula>-0.009</formula>
    </cfRule>
  </conditionalFormatting>
  <dataValidations count="1">
    <dataValidation type="list" allowBlank="1" sqref="O5:O103" xr:uid="{00000000-0002-0000-04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เครื่องแต่งกาย · DBR/2570/0007</oddHeader>
    <oddFooter>&amp;Lส่งออกจากฐาน VPK-S1 วันที่ 12 ต.ค. 2569&amp;Rหน้า 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848"/>
    <pageSetUpPr fitToPage="1"/>
  </sheetPr>
  <dimension ref="A1:O9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24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10018000</v>
      </c>
      <c r="D3" s="15" t="s">
        <v>94</v>
      </c>
      <c r="E3" s="17">
        <f>M8-C3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60" x14ac:dyDescent="0.2">
      <c r="A5" s="3">
        <v>1</v>
      </c>
      <c r="B5" s="19"/>
      <c r="C5" s="4" t="s">
        <v>1200</v>
      </c>
      <c r="D5" s="4" t="s">
        <v>25</v>
      </c>
      <c r="E5" s="4" t="s">
        <v>941</v>
      </c>
      <c r="F5" s="8"/>
      <c r="G5" s="8"/>
      <c r="H5" s="8"/>
      <c r="I5" s="8"/>
      <c r="J5" s="8"/>
      <c r="K5" s="8">
        <v>4000</v>
      </c>
      <c r="L5" s="18">
        <v>294</v>
      </c>
      <c r="M5" s="7">
        <f>IF(OR(K5="",L5=""),"",K5*L5)</f>
        <v>1176000</v>
      </c>
      <c r="N5" s="4"/>
      <c r="O5" s="9"/>
    </row>
    <row r="6" spans="1:15" ht="40" x14ac:dyDescent="0.2">
      <c r="A6" s="3">
        <v>2</v>
      </c>
      <c r="B6" s="19"/>
      <c r="C6" s="4" t="s">
        <v>1201</v>
      </c>
      <c r="D6" s="4" t="s">
        <v>1093</v>
      </c>
      <c r="E6" s="4" t="s">
        <v>941</v>
      </c>
      <c r="F6" s="8"/>
      <c r="G6" s="8"/>
      <c r="H6" s="8"/>
      <c r="I6" s="8"/>
      <c r="J6" s="8"/>
      <c r="K6" s="8">
        <v>400</v>
      </c>
      <c r="L6" s="18">
        <v>4085</v>
      </c>
      <c r="M6" s="7">
        <f>IF(OR(K6="",L6=""),"",K6*L6)</f>
        <v>1634000</v>
      </c>
      <c r="N6" s="4"/>
      <c r="O6" s="9"/>
    </row>
    <row r="7" spans="1:15" ht="40" x14ac:dyDescent="0.2">
      <c r="A7" s="3">
        <v>3</v>
      </c>
      <c r="B7" s="19"/>
      <c r="C7" s="4" t="s">
        <v>1202</v>
      </c>
      <c r="D7" s="4" t="s">
        <v>25</v>
      </c>
      <c r="E7" s="4"/>
      <c r="F7" s="8"/>
      <c r="G7" s="8"/>
      <c r="H7" s="8"/>
      <c r="I7" s="8"/>
      <c r="J7" s="8"/>
      <c r="K7" s="8">
        <v>800000</v>
      </c>
      <c r="L7" s="18">
        <v>9.01</v>
      </c>
      <c r="M7" s="7">
        <f>IF(OR(K7="",L7=""),"",K7*L7)</f>
        <v>7208000</v>
      </c>
      <c r="N7" s="4"/>
      <c r="O7" s="9"/>
    </row>
    <row r="8" spans="1:15" ht="20" x14ac:dyDescent="0.35">
      <c r="A8" s="10" t="s">
        <v>86</v>
      </c>
      <c r="B8" s="20"/>
      <c r="C8" s="11"/>
      <c r="D8" s="11"/>
      <c r="E8" s="11"/>
      <c r="F8" s="11"/>
      <c r="G8" s="11"/>
      <c r="H8" s="11"/>
      <c r="I8" s="11"/>
      <c r="J8" s="11"/>
      <c r="K8" s="13">
        <f>SUM(K5:K7)</f>
        <v>804400</v>
      </c>
      <c r="L8" s="11"/>
      <c r="M8" s="13">
        <f>SUM(M5:M7)</f>
        <v>10018000</v>
      </c>
      <c r="N8" s="11"/>
      <c r="O8" s="11"/>
    </row>
    <row r="9" spans="1:15" x14ac:dyDescent="0.2">
      <c r="A9" s="23" t="s">
        <v>1203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</sheetData>
  <autoFilter ref="A4:O7" xr:uid="{00000000-0009-0000-0000-000005000000}"/>
  <mergeCells count="5">
    <mergeCell ref="E2:G2"/>
    <mergeCell ref="I2:J2"/>
    <mergeCell ref="A1:O1"/>
    <mergeCell ref="F3:O3"/>
    <mergeCell ref="A9:O9"/>
  </mergeCells>
  <conditionalFormatting sqref="E3">
    <cfRule type="cellIs" dxfId="47" priority="1" operator="greaterThan">
      <formula>0.009</formula>
    </cfRule>
    <cfRule type="cellIs" dxfId="46" priority="2" operator="lessThan">
      <formula>-0.009</formula>
    </cfRule>
  </conditionalFormatting>
  <dataValidations count="1">
    <dataValidation type="list" allowBlank="1" sqref="O5:O7" xr:uid="{00000000-0002-0000-05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ออกซิเจนเหลว · DBR/2570/0008</oddHeader>
    <oddFooter>&amp;Lส่งออกจากฐาน VPK-S1 วันที่ 12 ต.ค. 2569&amp;Rหน้า &amp;P /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6848"/>
    <pageSetUpPr fitToPage="1"/>
  </sheetPr>
  <dimension ref="A1:O299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1204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26</v>
      </c>
      <c r="D2" s="14" t="s">
        <v>7</v>
      </c>
      <c r="E2" s="24" t="s">
        <v>28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53413677.25</v>
      </c>
      <c r="D3" s="15" t="s">
        <v>94</v>
      </c>
      <c r="E3" s="17">
        <f>M298-C3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x14ac:dyDescent="0.2">
      <c r="A5" s="3">
        <v>1</v>
      </c>
      <c r="B5" s="19"/>
      <c r="C5" s="4" t="s">
        <v>1205</v>
      </c>
      <c r="D5" s="4" t="s">
        <v>1206</v>
      </c>
      <c r="E5" s="4"/>
      <c r="F5" s="8"/>
      <c r="G5" s="8"/>
      <c r="H5" s="8"/>
      <c r="I5" s="8"/>
      <c r="J5" s="8"/>
      <c r="K5" s="8">
        <v>1</v>
      </c>
      <c r="L5" s="18">
        <v>503999.99999999988</v>
      </c>
      <c r="M5" s="7">
        <f t="shared" ref="M5:M68" si="0">IF(OR(K5="",L5=""),"",K5*L5)</f>
        <v>503999.99999999988</v>
      </c>
      <c r="N5" s="4" t="s">
        <v>1207</v>
      </c>
      <c r="O5" s="9"/>
    </row>
    <row r="6" spans="1:15" ht="20" x14ac:dyDescent="0.2">
      <c r="A6" s="3">
        <v>2</v>
      </c>
      <c r="B6" s="19"/>
      <c r="C6" s="4" t="s">
        <v>1208</v>
      </c>
      <c r="D6" s="4" t="s">
        <v>1206</v>
      </c>
      <c r="E6" s="4"/>
      <c r="F6" s="8"/>
      <c r="G6" s="8"/>
      <c r="H6" s="8"/>
      <c r="I6" s="8"/>
      <c r="J6" s="8"/>
      <c r="K6" s="8">
        <v>1</v>
      </c>
      <c r="L6" s="18">
        <v>540000</v>
      </c>
      <c r="M6" s="7">
        <f t="shared" si="0"/>
        <v>540000</v>
      </c>
      <c r="N6" s="4" t="s">
        <v>1207</v>
      </c>
      <c r="O6" s="9"/>
    </row>
    <row r="7" spans="1:15" ht="20" x14ac:dyDescent="0.2">
      <c r="A7" s="3">
        <v>3</v>
      </c>
      <c r="B7" s="19"/>
      <c r="C7" s="4" t="s">
        <v>1209</v>
      </c>
      <c r="D7" s="4" t="s">
        <v>1206</v>
      </c>
      <c r="E7" s="4"/>
      <c r="F7" s="8"/>
      <c r="G7" s="8"/>
      <c r="H7" s="8"/>
      <c r="I7" s="8"/>
      <c r="J7" s="8"/>
      <c r="K7" s="8">
        <v>1</v>
      </c>
      <c r="L7" s="18">
        <v>196000</v>
      </c>
      <c r="M7" s="7">
        <f t="shared" si="0"/>
        <v>196000</v>
      </c>
      <c r="N7" s="4" t="s">
        <v>1207</v>
      </c>
      <c r="O7" s="9"/>
    </row>
    <row r="8" spans="1:15" ht="20" x14ac:dyDescent="0.2">
      <c r="A8" s="3">
        <v>4</v>
      </c>
      <c r="B8" s="19"/>
      <c r="C8" s="4" t="s">
        <v>1210</v>
      </c>
      <c r="D8" s="4" t="s">
        <v>1206</v>
      </c>
      <c r="E8" s="4"/>
      <c r="F8" s="8"/>
      <c r="G8" s="8"/>
      <c r="H8" s="8"/>
      <c r="I8" s="8"/>
      <c r="J8" s="8"/>
      <c r="K8" s="8">
        <v>1</v>
      </c>
      <c r="L8" s="18">
        <v>118800</v>
      </c>
      <c r="M8" s="7">
        <f t="shared" si="0"/>
        <v>118800</v>
      </c>
      <c r="N8" s="4" t="s">
        <v>1207</v>
      </c>
      <c r="O8" s="9"/>
    </row>
    <row r="9" spans="1:15" ht="20" x14ac:dyDescent="0.2">
      <c r="A9" s="3">
        <v>5</v>
      </c>
      <c r="B9" s="19"/>
      <c r="C9" s="4" t="s">
        <v>1211</v>
      </c>
      <c r="D9" s="4" t="s">
        <v>1206</v>
      </c>
      <c r="E9" s="4"/>
      <c r="F9" s="8"/>
      <c r="G9" s="8"/>
      <c r="H9" s="8"/>
      <c r="I9" s="8"/>
      <c r="J9" s="8"/>
      <c r="K9" s="8">
        <v>1</v>
      </c>
      <c r="L9" s="18">
        <v>465000</v>
      </c>
      <c r="M9" s="7">
        <f t="shared" si="0"/>
        <v>465000</v>
      </c>
      <c r="N9" s="4" t="s">
        <v>1207</v>
      </c>
      <c r="O9" s="9"/>
    </row>
    <row r="10" spans="1:15" ht="40" x14ac:dyDescent="0.2">
      <c r="A10" s="3">
        <v>6</v>
      </c>
      <c r="B10" s="19"/>
      <c r="C10" s="4" t="s">
        <v>1212</v>
      </c>
      <c r="D10" s="4" t="s">
        <v>1206</v>
      </c>
      <c r="E10" s="4"/>
      <c r="F10" s="8"/>
      <c r="G10" s="8"/>
      <c r="H10" s="8"/>
      <c r="I10" s="8"/>
      <c r="J10" s="8"/>
      <c r="K10" s="8">
        <v>1</v>
      </c>
      <c r="L10" s="18">
        <v>1572000</v>
      </c>
      <c r="M10" s="7">
        <f t="shared" si="0"/>
        <v>1572000</v>
      </c>
      <c r="N10" s="4" t="s">
        <v>1207</v>
      </c>
      <c r="O10" s="9"/>
    </row>
    <row r="11" spans="1:15" ht="40" x14ac:dyDescent="0.2">
      <c r="A11" s="3">
        <v>7</v>
      </c>
      <c r="B11" s="19"/>
      <c r="C11" s="4" t="s">
        <v>1213</v>
      </c>
      <c r="D11" s="4" t="s">
        <v>1206</v>
      </c>
      <c r="E11" s="4"/>
      <c r="F11" s="8"/>
      <c r="G11" s="8"/>
      <c r="H11" s="8"/>
      <c r="I11" s="8"/>
      <c r="J11" s="8"/>
      <c r="K11" s="8">
        <v>1</v>
      </c>
      <c r="L11" s="18">
        <v>466092</v>
      </c>
      <c r="M11" s="7">
        <f t="shared" si="0"/>
        <v>466092</v>
      </c>
      <c r="N11" s="4" t="s">
        <v>1214</v>
      </c>
      <c r="O11" s="9"/>
    </row>
    <row r="12" spans="1:15" ht="40" x14ac:dyDescent="0.2">
      <c r="A12" s="3">
        <v>8</v>
      </c>
      <c r="B12" s="19"/>
      <c r="C12" s="4" t="s">
        <v>1215</v>
      </c>
      <c r="D12" s="4" t="s">
        <v>1206</v>
      </c>
      <c r="E12" s="4"/>
      <c r="F12" s="8"/>
      <c r="G12" s="8"/>
      <c r="H12" s="8"/>
      <c r="I12" s="8"/>
      <c r="J12" s="8"/>
      <c r="K12" s="8">
        <v>1</v>
      </c>
      <c r="L12" s="18">
        <v>755492</v>
      </c>
      <c r="M12" s="7">
        <f t="shared" si="0"/>
        <v>755492</v>
      </c>
      <c r="N12" s="4" t="s">
        <v>1214</v>
      </c>
      <c r="O12" s="9"/>
    </row>
    <row r="13" spans="1:15" ht="40" x14ac:dyDescent="0.2">
      <c r="A13" s="3">
        <v>9</v>
      </c>
      <c r="B13" s="19"/>
      <c r="C13" s="4" t="s">
        <v>1216</v>
      </c>
      <c r="D13" s="4" t="s">
        <v>1206</v>
      </c>
      <c r="E13" s="4"/>
      <c r="F13" s="8"/>
      <c r="G13" s="8"/>
      <c r="H13" s="8"/>
      <c r="I13" s="8"/>
      <c r="J13" s="8"/>
      <c r="K13" s="8">
        <v>1</v>
      </c>
      <c r="L13" s="18">
        <v>517880.00000000012</v>
      </c>
      <c r="M13" s="7">
        <f t="shared" si="0"/>
        <v>517880.00000000012</v>
      </c>
      <c r="N13" s="4" t="s">
        <v>1214</v>
      </c>
      <c r="O13" s="9"/>
    </row>
    <row r="14" spans="1:15" ht="40" x14ac:dyDescent="0.2">
      <c r="A14" s="3">
        <v>10</v>
      </c>
      <c r="B14" s="19"/>
      <c r="C14" s="4" t="s">
        <v>1217</v>
      </c>
      <c r="D14" s="4" t="s">
        <v>1206</v>
      </c>
      <c r="E14" s="4"/>
      <c r="F14" s="8"/>
      <c r="G14" s="8"/>
      <c r="H14" s="8"/>
      <c r="I14" s="8"/>
      <c r="J14" s="8"/>
      <c r="K14" s="8">
        <v>1</v>
      </c>
      <c r="L14" s="18">
        <v>569668</v>
      </c>
      <c r="M14" s="7">
        <f t="shared" si="0"/>
        <v>569668</v>
      </c>
      <c r="N14" s="4" t="s">
        <v>1214</v>
      </c>
      <c r="O14" s="9"/>
    </row>
    <row r="15" spans="1:15" ht="40" x14ac:dyDescent="0.2">
      <c r="A15" s="3">
        <v>11</v>
      </c>
      <c r="B15" s="19"/>
      <c r="C15" s="4" t="s">
        <v>1218</v>
      </c>
      <c r="D15" s="4" t="s">
        <v>1206</v>
      </c>
      <c r="E15" s="4"/>
      <c r="F15" s="8"/>
      <c r="G15" s="8"/>
      <c r="H15" s="8"/>
      <c r="I15" s="8"/>
      <c r="J15" s="8"/>
      <c r="K15" s="8">
        <v>1</v>
      </c>
      <c r="L15" s="18">
        <v>517880.00000000012</v>
      </c>
      <c r="M15" s="7">
        <f t="shared" si="0"/>
        <v>517880.00000000012</v>
      </c>
      <c r="N15" s="4" t="s">
        <v>1214</v>
      </c>
      <c r="O15" s="9"/>
    </row>
    <row r="16" spans="1:15" ht="40" x14ac:dyDescent="0.2">
      <c r="A16" s="3">
        <v>12</v>
      </c>
      <c r="B16" s="19"/>
      <c r="C16" s="4" t="s">
        <v>1219</v>
      </c>
      <c r="D16" s="4" t="s">
        <v>1206</v>
      </c>
      <c r="E16" s="4"/>
      <c r="F16" s="8"/>
      <c r="G16" s="8"/>
      <c r="H16" s="8"/>
      <c r="I16" s="8"/>
      <c r="J16" s="8"/>
      <c r="K16" s="8">
        <v>1</v>
      </c>
      <c r="L16" s="18">
        <v>479039</v>
      </c>
      <c r="M16" s="7">
        <f t="shared" si="0"/>
        <v>479039</v>
      </c>
      <c r="N16" s="4" t="s">
        <v>1214</v>
      </c>
      <c r="O16" s="9"/>
    </row>
    <row r="17" spans="1:15" ht="40" x14ac:dyDescent="0.2">
      <c r="A17" s="3">
        <v>13</v>
      </c>
      <c r="B17" s="19"/>
      <c r="C17" s="4" t="s">
        <v>1220</v>
      </c>
      <c r="D17" s="4" t="s">
        <v>1206</v>
      </c>
      <c r="E17" s="4"/>
      <c r="F17" s="8"/>
      <c r="G17" s="8"/>
      <c r="H17" s="8"/>
      <c r="I17" s="8"/>
      <c r="J17" s="8"/>
      <c r="K17" s="8">
        <v>1</v>
      </c>
      <c r="L17" s="18">
        <v>483516</v>
      </c>
      <c r="M17" s="7">
        <f t="shared" si="0"/>
        <v>483516</v>
      </c>
      <c r="N17" s="4" t="s">
        <v>1214</v>
      </c>
      <c r="O17" s="9"/>
    </row>
    <row r="18" spans="1:15" ht="40" x14ac:dyDescent="0.2">
      <c r="A18" s="3">
        <v>14</v>
      </c>
      <c r="B18" s="19"/>
      <c r="C18" s="4" t="s">
        <v>1221</v>
      </c>
      <c r="D18" s="4" t="s">
        <v>1206</v>
      </c>
      <c r="E18" s="4"/>
      <c r="F18" s="8"/>
      <c r="G18" s="8"/>
      <c r="H18" s="8"/>
      <c r="I18" s="8"/>
      <c r="J18" s="8"/>
      <c r="K18" s="8">
        <v>1</v>
      </c>
      <c r="L18" s="18">
        <v>3697064</v>
      </c>
      <c r="M18" s="7">
        <f t="shared" si="0"/>
        <v>3697064</v>
      </c>
      <c r="N18" s="4" t="s">
        <v>1214</v>
      </c>
      <c r="O18" s="9"/>
    </row>
    <row r="19" spans="1:15" ht="40" x14ac:dyDescent="0.2">
      <c r="A19" s="3">
        <v>15</v>
      </c>
      <c r="B19" s="19"/>
      <c r="C19" s="4" t="s">
        <v>1222</v>
      </c>
      <c r="D19" s="4" t="s">
        <v>1206</v>
      </c>
      <c r="E19" s="4"/>
      <c r="F19" s="8"/>
      <c r="G19" s="8"/>
      <c r="H19" s="8"/>
      <c r="I19" s="8"/>
      <c r="J19" s="8"/>
      <c r="K19" s="8">
        <v>1</v>
      </c>
      <c r="L19" s="18">
        <v>395160.00000000012</v>
      </c>
      <c r="M19" s="7">
        <f t="shared" si="0"/>
        <v>395160.00000000012</v>
      </c>
      <c r="N19" s="4" t="s">
        <v>1214</v>
      </c>
      <c r="O19" s="9"/>
    </row>
    <row r="20" spans="1:15" ht="40" x14ac:dyDescent="0.2">
      <c r="A20" s="3">
        <v>16</v>
      </c>
      <c r="B20" s="19"/>
      <c r="C20" s="4" t="s">
        <v>1223</v>
      </c>
      <c r="D20" s="4" t="s">
        <v>1206</v>
      </c>
      <c r="E20" s="4"/>
      <c r="F20" s="8"/>
      <c r="G20" s="8"/>
      <c r="H20" s="8"/>
      <c r="I20" s="8"/>
      <c r="J20" s="8"/>
      <c r="K20" s="8">
        <v>1</v>
      </c>
      <c r="L20" s="18">
        <v>390720.00000000012</v>
      </c>
      <c r="M20" s="7">
        <f t="shared" si="0"/>
        <v>390720.00000000012</v>
      </c>
      <c r="N20" s="4" t="s">
        <v>1214</v>
      </c>
      <c r="O20" s="9"/>
    </row>
    <row r="21" spans="1:15" ht="40" x14ac:dyDescent="0.2">
      <c r="A21" s="3">
        <v>17</v>
      </c>
      <c r="B21" s="19"/>
      <c r="C21" s="4" t="s">
        <v>1224</v>
      </c>
      <c r="D21" s="4" t="s">
        <v>1206</v>
      </c>
      <c r="E21" s="4"/>
      <c r="F21" s="8"/>
      <c r="G21" s="8"/>
      <c r="H21" s="8"/>
      <c r="I21" s="8"/>
      <c r="J21" s="8"/>
      <c r="K21" s="8">
        <v>1</v>
      </c>
      <c r="L21" s="18">
        <v>1380300</v>
      </c>
      <c r="M21" s="7">
        <f t="shared" si="0"/>
        <v>1380300</v>
      </c>
      <c r="N21" s="4" t="s">
        <v>1214</v>
      </c>
      <c r="O21" s="9"/>
    </row>
    <row r="22" spans="1:15" ht="40" x14ac:dyDescent="0.2">
      <c r="A22" s="3">
        <v>18</v>
      </c>
      <c r="B22" s="19"/>
      <c r="C22" s="4" t="s">
        <v>1225</v>
      </c>
      <c r="D22" s="4" t="s">
        <v>1206</v>
      </c>
      <c r="E22" s="4"/>
      <c r="F22" s="8"/>
      <c r="G22" s="8"/>
      <c r="H22" s="8"/>
      <c r="I22" s="8"/>
      <c r="J22" s="8"/>
      <c r="K22" s="8">
        <v>1</v>
      </c>
      <c r="L22" s="18">
        <v>446190</v>
      </c>
      <c r="M22" s="7">
        <f t="shared" si="0"/>
        <v>446190</v>
      </c>
      <c r="N22" s="4" t="s">
        <v>1214</v>
      </c>
      <c r="O22" s="9"/>
    </row>
    <row r="23" spans="1:15" ht="40" x14ac:dyDescent="0.2">
      <c r="A23" s="3">
        <v>19</v>
      </c>
      <c r="B23" s="19"/>
      <c r="C23" s="4" t="s">
        <v>1226</v>
      </c>
      <c r="D23" s="4" t="s">
        <v>1206</v>
      </c>
      <c r="E23" s="4"/>
      <c r="F23" s="8"/>
      <c r="G23" s="8"/>
      <c r="H23" s="8"/>
      <c r="I23" s="8"/>
      <c r="J23" s="8"/>
      <c r="K23" s="8">
        <v>1</v>
      </c>
      <c r="L23" s="18">
        <v>492940</v>
      </c>
      <c r="M23" s="7">
        <f t="shared" si="0"/>
        <v>492940</v>
      </c>
      <c r="N23" s="4" t="s">
        <v>1214</v>
      </c>
      <c r="O23" s="9"/>
    </row>
    <row r="24" spans="1:15" ht="40" x14ac:dyDescent="0.2">
      <c r="A24" s="3">
        <v>20</v>
      </c>
      <c r="B24" s="19"/>
      <c r="C24" s="4" t="s">
        <v>1227</v>
      </c>
      <c r="D24" s="4" t="s">
        <v>1206</v>
      </c>
      <c r="E24" s="4"/>
      <c r="F24" s="8"/>
      <c r="G24" s="8"/>
      <c r="H24" s="8"/>
      <c r="I24" s="8"/>
      <c r="J24" s="8"/>
      <c r="K24" s="8">
        <v>1</v>
      </c>
      <c r="L24" s="18">
        <v>497970</v>
      </c>
      <c r="M24" s="7">
        <f t="shared" si="0"/>
        <v>497970</v>
      </c>
      <c r="N24" s="4" t="s">
        <v>1214</v>
      </c>
      <c r="O24" s="9"/>
    </row>
    <row r="25" spans="1:15" ht="40" x14ac:dyDescent="0.2">
      <c r="A25" s="3">
        <v>21</v>
      </c>
      <c r="B25" s="19"/>
      <c r="C25" s="4" t="s">
        <v>1228</v>
      </c>
      <c r="D25" s="4" t="s">
        <v>1206</v>
      </c>
      <c r="E25" s="4"/>
      <c r="F25" s="8"/>
      <c r="G25" s="8"/>
      <c r="H25" s="8"/>
      <c r="I25" s="8"/>
      <c r="J25" s="8"/>
      <c r="K25" s="8">
        <v>1</v>
      </c>
      <c r="L25" s="18">
        <v>300000</v>
      </c>
      <c r="M25" s="7">
        <f t="shared" si="0"/>
        <v>300000</v>
      </c>
      <c r="N25" s="4" t="s">
        <v>1214</v>
      </c>
      <c r="O25" s="9"/>
    </row>
    <row r="26" spans="1:15" ht="40" x14ac:dyDescent="0.2">
      <c r="A26" s="3">
        <v>22</v>
      </c>
      <c r="B26" s="19"/>
      <c r="C26" s="4" t="s">
        <v>1229</v>
      </c>
      <c r="D26" s="4" t="s">
        <v>1206</v>
      </c>
      <c r="E26" s="4"/>
      <c r="F26" s="8"/>
      <c r="G26" s="8"/>
      <c r="H26" s="8"/>
      <c r="I26" s="8"/>
      <c r="J26" s="8"/>
      <c r="K26" s="8">
        <v>1</v>
      </c>
      <c r="L26" s="18">
        <v>333000</v>
      </c>
      <c r="M26" s="7">
        <f t="shared" si="0"/>
        <v>333000</v>
      </c>
      <c r="N26" s="4" t="s">
        <v>1214</v>
      </c>
      <c r="O26" s="9"/>
    </row>
    <row r="27" spans="1:15" ht="40" x14ac:dyDescent="0.2">
      <c r="A27" s="3">
        <v>23</v>
      </c>
      <c r="B27" s="19"/>
      <c r="C27" s="4" t="s">
        <v>1230</v>
      </c>
      <c r="D27" s="4" t="s">
        <v>1206</v>
      </c>
      <c r="E27" s="4"/>
      <c r="F27" s="8"/>
      <c r="G27" s="8"/>
      <c r="H27" s="8"/>
      <c r="I27" s="8"/>
      <c r="J27" s="8"/>
      <c r="K27" s="8">
        <v>1</v>
      </c>
      <c r="L27" s="18">
        <v>267448</v>
      </c>
      <c r="M27" s="7">
        <f t="shared" si="0"/>
        <v>267448</v>
      </c>
      <c r="N27" s="4" t="s">
        <v>1214</v>
      </c>
      <c r="O27" s="9"/>
    </row>
    <row r="28" spans="1:15" ht="40" x14ac:dyDescent="0.2">
      <c r="A28" s="3">
        <v>24</v>
      </c>
      <c r="B28" s="19"/>
      <c r="C28" s="4" t="s">
        <v>1231</v>
      </c>
      <c r="D28" s="4" t="s">
        <v>1206</v>
      </c>
      <c r="E28" s="4"/>
      <c r="F28" s="8"/>
      <c r="G28" s="8"/>
      <c r="H28" s="8"/>
      <c r="I28" s="8"/>
      <c r="J28" s="8"/>
      <c r="K28" s="8">
        <v>1</v>
      </c>
      <c r="L28" s="18">
        <v>237015</v>
      </c>
      <c r="M28" s="7">
        <f t="shared" si="0"/>
        <v>237015</v>
      </c>
      <c r="N28" s="4" t="s">
        <v>1214</v>
      </c>
      <c r="O28" s="9"/>
    </row>
    <row r="29" spans="1:15" ht="40" x14ac:dyDescent="0.2">
      <c r="A29" s="3">
        <v>25</v>
      </c>
      <c r="B29" s="19"/>
      <c r="C29" s="4" t="s">
        <v>1232</v>
      </c>
      <c r="D29" s="4" t="s">
        <v>1206</v>
      </c>
      <c r="E29" s="4"/>
      <c r="F29" s="8"/>
      <c r="G29" s="8"/>
      <c r="H29" s="8"/>
      <c r="I29" s="8"/>
      <c r="J29" s="8"/>
      <c r="K29" s="8">
        <v>1</v>
      </c>
      <c r="L29" s="18">
        <v>390720.00000000012</v>
      </c>
      <c r="M29" s="7">
        <f t="shared" si="0"/>
        <v>390720.00000000012</v>
      </c>
      <c r="N29" s="4" t="s">
        <v>1214</v>
      </c>
      <c r="O29" s="9"/>
    </row>
    <row r="30" spans="1:15" ht="40" x14ac:dyDescent="0.2">
      <c r="A30" s="3">
        <v>26</v>
      </c>
      <c r="B30" s="19"/>
      <c r="C30" s="4" t="s">
        <v>1233</v>
      </c>
      <c r="D30" s="4" t="s">
        <v>1206</v>
      </c>
      <c r="E30" s="4"/>
      <c r="F30" s="8"/>
      <c r="G30" s="8"/>
      <c r="H30" s="8"/>
      <c r="I30" s="8"/>
      <c r="J30" s="8"/>
      <c r="K30" s="8">
        <v>1</v>
      </c>
      <c r="L30" s="18">
        <v>8988</v>
      </c>
      <c r="M30" s="7">
        <f t="shared" si="0"/>
        <v>8988</v>
      </c>
      <c r="N30" s="4" t="s">
        <v>1214</v>
      </c>
      <c r="O30" s="9"/>
    </row>
    <row r="31" spans="1:15" ht="40" x14ac:dyDescent="0.2">
      <c r="A31" s="3">
        <v>27</v>
      </c>
      <c r="B31" s="19"/>
      <c r="C31" s="4" t="s">
        <v>1234</v>
      </c>
      <c r="D31" s="4" t="s">
        <v>1206</v>
      </c>
      <c r="E31" s="4"/>
      <c r="F31" s="8"/>
      <c r="G31" s="8"/>
      <c r="H31" s="8"/>
      <c r="I31" s="8"/>
      <c r="J31" s="8"/>
      <c r="K31" s="8">
        <v>1</v>
      </c>
      <c r="L31" s="18">
        <v>346320</v>
      </c>
      <c r="M31" s="7">
        <f t="shared" si="0"/>
        <v>346320</v>
      </c>
      <c r="N31" s="4" t="s">
        <v>1214</v>
      </c>
      <c r="O31" s="9"/>
    </row>
    <row r="32" spans="1:15" ht="40" x14ac:dyDescent="0.2">
      <c r="A32" s="3">
        <v>28</v>
      </c>
      <c r="B32" s="19"/>
      <c r="C32" s="4" t="s">
        <v>1235</v>
      </c>
      <c r="D32" s="4" t="s">
        <v>1206</v>
      </c>
      <c r="E32" s="4"/>
      <c r="F32" s="8"/>
      <c r="G32" s="8"/>
      <c r="H32" s="8"/>
      <c r="I32" s="8"/>
      <c r="J32" s="8"/>
      <c r="K32" s="8">
        <v>1</v>
      </c>
      <c r="L32" s="18">
        <v>136144</v>
      </c>
      <c r="M32" s="7">
        <f t="shared" si="0"/>
        <v>136144</v>
      </c>
      <c r="N32" s="4" t="s">
        <v>1214</v>
      </c>
      <c r="O32" s="9"/>
    </row>
    <row r="33" spans="1:15" ht="40" x14ac:dyDescent="0.2">
      <c r="A33" s="3">
        <v>29</v>
      </c>
      <c r="B33" s="19"/>
      <c r="C33" s="4" t="s">
        <v>1236</v>
      </c>
      <c r="D33" s="4" t="s">
        <v>1206</v>
      </c>
      <c r="E33" s="4"/>
      <c r="F33" s="8"/>
      <c r="G33" s="8"/>
      <c r="H33" s="8"/>
      <c r="I33" s="8"/>
      <c r="J33" s="8"/>
      <c r="K33" s="8">
        <v>1</v>
      </c>
      <c r="L33" s="18">
        <v>689440</v>
      </c>
      <c r="M33" s="7">
        <f t="shared" si="0"/>
        <v>689440</v>
      </c>
      <c r="N33" s="4" t="s">
        <v>1214</v>
      </c>
      <c r="O33" s="9"/>
    </row>
    <row r="34" spans="1:15" ht="40" x14ac:dyDescent="0.2">
      <c r="A34" s="3">
        <v>30</v>
      </c>
      <c r="B34" s="19"/>
      <c r="C34" s="4" t="s">
        <v>1237</v>
      </c>
      <c r="D34" s="4" t="s">
        <v>1206</v>
      </c>
      <c r="E34" s="4"/>
      <c r="F34" s="8"/>
      <c r="G34" s="8"/>
      <c r="H34" s="8"/>
      <c r="I34" s="8"/>
      <c r="J34" s="8"/>
      <c r="K34" s="8">
        <v>1</v>
      </c>
      <c r="L34" s="18">
        <v>144744</v>
      </c>
      <c r="M34" s="7">
        <f t="shared" si="0"/>
        <v>144744</v>
      </c>
      <c r="N34" s="4" t="s">
        <v>1214</v>
      </c>
      <c r="O34" s="9"/>
    </row>
    <row r="35" spans="1:15" ht="40" x14ac:dyDescent="0.2">
      <c r="A35" s="3">
        <v>31</v>
      </c>
      <c r="B35" s="19"/>
      <c r="C35" s="4" t="s">
        <v>1238</v>
      </c>
      <c r="D35" s="4" t="s">
        <v>1206</v>
      </c>
      <c r="E35" s="4"/>
      <c r="F35" s="8"/>
      <c r="G35" s="8"/>
      <c r="H35" s="8"/>
      <c r="I35" s="8"/>
      <c r="J35" s="8"/>
      <c r="K35" s="8">
        <v>1</v>
      </c>
      <c r="L35" s="18">
        <v>152712</v>
      </c>
      <c r="M35" s="7">
        <f t="shared" si="0"/>
        <v>152712</v>
      </c>
      <c r="N35" s="4" t="s">
        <v>1214</v>
      </c>
      <c r="O35" s="9"/>
    </row>
    <row r="36" spans="1:15" ht="40" x14ac:dyDescent="0.2">
      <c r="A36" s="3">
        <v>32</v>
      </c>
      <c r="B36" s="19"/>
      <c r="C36" s="4" t="s">
        <v>1239</v>
      </c>
      <c r="D36" s="4" t="s">
        <v>1206</v>
      </c>
      <c r="E36" s="4"/>
      <c r="F36" s="8"/>
      <c r="G36" s="8"/>
      <c r="H36" s="8"/>
      <c r="I36" s="8"/>
      <c r="J36" s="8"/>
      <c r="K36" s="8">
        <v>1</v>
      </c>
      <c r="L36" s="18">
        <v>146055</v>
      </c>
      <c r="M36" s="7">
        <f t="shared" si="0"/>
        <v>146055</v>
      </c>
      <c r="N36" s="4" t="s">
        <v>1214</v>
      </c>
      <c r="O36" s="9"/>
    </row>
    <row r="37" spans="1:15" ht="40" x14ac:dyDescent="0.2">
      <c r="A37" s="3">
        <v>33</v>
      </c>
      <c r="B37" s="19"/>
      <c r="C37" s="4" t="s">
        <v>1240</v>
      </c>
      <c r="D37" s="4" t="s">
        <v>1206</v>
      </c>
      <c r="E37" s="4"/>
      <c r="F37" s="8"/>
      <c r="G37" s="8"/>
      <c r="H37" s="8"/>
      <c r="I37" s="8"/>
      <c r="J37" s="8"/>
      <c r="K37" s="8">
        <v>1</v>
      </c>
      <c r="L37" s="18">
        <v>7000</v>
      </c>
      <c r="M37" s="7">
        <f t="shared" si="0"/>
        <v>7000</v>
      </c>
      <c r="N37" s="4" t="s">
        <v>1214</v>
      </c>
      <c r="O37" s="9"/>
    </row>
    <row r="38" spans="1:15" ht="40" x14ac:dyDescent="0.2">
      <c r="A38" s="3">
        <v>34</v>
      </c>
      <c r="B38" s="19"/>
      <c r="C38" s="4" t="s">
        <v>1241</v>
      </c>
      <c r="D38" s="4" t="s">
        <v>1206</v>
      </c>
      <c r="E38" s="4"/>
      <c r="F38" s="8"/>
      <c r="G38" s="8"/>
      <c r="H38" s="8"/>
      <c r="I38" s="8"/>
      <c r="J38" s="8"/>
      <c r="K38" s="8">
        <v>1</v>
      </c>
      <c r="L38" s="18">
        <v>151677</v>
      </c>
      <c r="M38" s="7">
        <f t="shared" si="0"/>
        <v>151677</v>
      </c>
      <c r="N38" s="4" t="s">
        <v>1214</v>
      </c>
      <c r="O38" s="9"/>
    </row>
    <row r="39" spans="1:15" ht="40" x14ac:dyDescent="0.2">
      <c r="A39" s="3">
        <v>35</v>
      </c>
      <c r="B39" s="19"/>
      <c r="C39" s="4" t="s">
        <v>1242</v>
      </c>
      <c r="D39" s="4" t="s">
        <v>1206</v>
      </c>
      <c r="E39" s="4"/>
      <c r="F39" s="8"/>
      <c r="G39" s="8"/>
      <c r="H39" s="8"/>
      <c r="I39" s="8"/>
      <c r="J39" s="8"/>
      <c r="K39" s="8">
        <v>1</v>
      </c>
      <c r="L39" s="18">
        <v>95670</v>
      </c>
      <c r="M39" s="7">
        <f t="shared" si="0"/>
        <v>95670</v>
      </c>
      <c r="N39" s="4" t="s">
        <v>1214</v>
      </c>
      <c r="O39" s="9"/>
    </row>
    <row r="40" spans="1:15" ht="40" x14ac:dyDescent="0.2">
      <c r="A40" s="3">
        <v>36</v>
      </c>
      <c r="B40" s="19"/>
      <c r="C40" s="4" t="s">
        <v>1243</v>
      </c>
      <c r="D40" s="4" t="s">
        <v>1206</v>
      </c>
      <c r="E40" s="4"/>
      <c r="F40" s="8"/>
      <c r="G40" s="8"/>
      <c r="H40" s="8"/>
      <c r="I40" s="8"/>
      <c r="J40" s="8"/>
      <c r="K40" s="8">
        <v>1</v>
      </c>
      <c r="L40" s="18">
        <v>36915</v>
      </c>
      <c r="M40" s="7">
        <f t="shared" si="0"/>
        <v>36915</v>
      </c>
      <c r="N40" s="4" t="s">
        <v>1214</v>
      </c>
      <c r="O40" s="9"/>
    </row>
    <row r="41" spans="1:15" ht="40" x14ac:dyDescent="0.2">
      <c r="A41" s="3">
        <v>37</v>
      </c>
      <c r="B41" s="19"/>
      <c r="C41" s="4" t="s">
        <v>1244</v>
      </c>
      <c r="D41" s="4" t="s">
        <v>1206</v>
      </c>
      <c r="E41" s="4"/>
      <c r="F41" s="8"/>
      <c r="G41" s="8"/>
      <c r="H41" s="8"/>
      <c r="I41" s="8"/>
      <c r="J41" s="8"/>
      <c r="K41" s="8">
        <v>1</v>
      </c>
      <c r="L41" s="18">
        <v>205440</v>
      </c>
      <c r="M41" s="7">
        <f t="shared" si="0"/>
        <v>205440</v>
      </c>
      <c r="N41" s="4" t="s">
        <v>1214</v>
      </c>
      <c r="O41" s="9"/>
    </row>
    <row r="42" spans="1:15" ht="40" x14ac:dyDescent="0.2">
      <c r="A42" s="3">
        <v>38</v>
      </c>
      <c r="B42" s="19"/>
      <c r="C42" s="4" t="s">
        <v>1245</v>
      </c>
      <c r="D42" s="4" t="s">
        <v>1206</v>
      </c>
      <c r="E42" s="4"/>
      <c r="F42" s="8"/>
      <c r="G42" s="8"/>
      <c r="H42" s="8"/>
      <c r="I42" s="8"/>
      <c r="J42" s="8"/>
      <c r="K42" s="8">
        <v>1</v>
      </c>
      <c r="L42" s="18">
        <v>82176</v>
      </c>
      <c r="M42" s="7">
        <f t="shared" si="0"/>
        <v>82176</v>
      </c>
      <c r="N42" s="4" t="s">
        <v>1214</v>
      </c>
      <c r="O42" s="9"/>
    </row>
    <row r="43" spans="1:15" ht="40" x14ac:dyDescent="0.2">
      <c r="A43" s="3">
        <v>39</v>
      </c>
      <c r="B43" s="19"/>
      <c r="C43" s="4" t="s">
        <v>1246</v>
      </c>
      <c r="D43" s="4" t="s">
        <v>1206</v>
      </c>
      <c r="E43" s="4"/>
      <c r="F43" s="8"/>
      <c r="G43" s="8"/>
      <c r="H43" s="8"/>
      <c r="I43" s="8"/>
      <c r="J43" s="8"/>
      <c r="K43" s="8">
        <v>1</v>
      </c>
      <c r="L43" s="18">
        <v>533280</v>
      </c>
      <c r="M43" s="7">
        <f t="shared" si="0"/>
        <v>533280</v>
      </c>
      <c r="N43" s="4" t="s">
        <v>1214</v>
      </c>
      <c r="O43" s="9"/>
    </row>
    <row r="44" spans="1:15" ht="40" x14ac:dyDescent="0.2">
      <c r="A44" s="3">
        <v>40</v>
      </c>
      <c r="B44" s="19"/>
      <c r="C44" s="4" t="s">
        <v>1247</v>
      </c>
      <c r="D44" s="4" t="s">
        <v>1206</v>
      </c>
      <c r="E44" s="4"/>
      <c r="F44" s="8"/>
      <c r="G44" s="8"/>
      <c r="H44" s="8"/>
      <c r="I44" s="8"/>
      <c r="J44" s="8"/>
      <c r="K44" s="8">
        <v>1</v>
      </c>
      <c r="L44" s="18">
        <v>38520</v>
      </c>
      <c r="M44" s="7">
        <f t="shared" si="0"/>
        <v>38520</v>
      </c>
      <c r="N44" s="4" t="s">
        <v>1214</v>
      </c>
      <c r="O44" s="9"/>
    </row>
    <row r="45" spans="1:15" ht="40" x14ac:dyDescent="0.2">
      <c r="A45" s="3">
        <v>41</v>
      </c>
      <c r="B45" s="19"/>
      <c r="C45" s="4" t="s">
        <v>1248</v>
      </c>
      <c r="D45" s="4" t="s">
        <v>1206</v>
      </c>
      <c r="E45" s="4"/>
      <c r="F45" s="8"/>
      <c r="G45" s="8"/>
      <c r="H45" s="8"/>
      <c r="I45" s="8"/>
      <c r="J45" s="8"/>
      <c r="K45" s="8">
        <v>1</v>
      </c>
      <c r="L45" s="18">
        <v>243960</v>
      </c>
      <c r="M45" s="7">
        <f t="shared" si="0"/>
        <v>243960</v>
      </c>
      <c r="N45" s="4" t="s">
        <v>1214</v>
      </c>
      <c r="O45" s="9"/>
    </row>
    <row r="46" spans="1:15" ht="40" x14ac:dyDescent="0.2">
      <c r="A46" s="3">
        <v>42</v>
      </c>
      <c r="B46" s="19"/>
      <c r="C46" s="4" t="s">
        <v>1249</v>
      </c>
      <c r="D46" s="4" t="s">
        <v>1206</v>
      </c>
      <c r="E46" s="4"/>
      <c r="F46" s="8"/>
      <c r="G46" s="8"/>
      <c r="H46" s="8"/>
      <c r="I46" s="8"/>
      <c r="J46" s="8"/>
      <c r="K46" s="8">
        <v>1</v>
      </c>
      <c r="L46" s="18">
        <v>38520</v>
      </c>
      <c r="M46" s="7">
        <f t="shared" si="0"/>
        <v>38520</v>
      </c>
      <c r="N46" s="4" t="s">
        <v>1214</v>
      </c>
      <c r="O46" s="9"/>
    </row>
    <row r="47" spans="1:15" ht="40" x14ac:dyDescent="0.2">
      <c r="A47" s="3">
        <v>43</v>
      </c>
      <c r="B47" s="19"/>
      <c r="C47" s="4" t="s">
        <v>1250</v>
      </c>
      <c r="D47" s="4" t="s">
        <v>1206</v>
      </c>
      <c r="E47" s="4"/>
      <c r="F47" s="8"/>
      <c r="G47" s="8"/>
      <c r="H47" s="8"/>
      <c r="I47" s="8"/>
      <c r="J47" s="8"/>
      <c r="K47" s="8">
        <v>1</v>
      </c>
      <c r="L47" s="18">
        <v>1520898</v>
      </c>
      <c r="M47" s="7">
        <f t="shared" si="0"/>
        <v>1520898</v>
      </c>
      <c r="N47" s="4" t="s">
        <v>1214</v>
      </c>
      <c r="O47" s="9"/>
    </row>
    <row r="48" spans="1:15" ht="40" x14ac:dyDescent="0.2">
      <c r="A48" s="3">
        <v>44</v>
      </c>
      <c r="B48" s="19"/>
      <c r="C48" s="4" t="s">
        <v>1251</v>
      </c>
      <c r="D48" s="4" t="s">
        <v>1206</v>
      </c>
      <c r="E48" s="4"/>
      <c r="F48" s="8"/>
      <c r="G48" s="8"/>
      <c r="H48" s="8"/>
      <c r="I48" s="8"/>
      <c r="J48" s="8"/>
      <c r="K48" s="8">
        <v>1</v>
      </c>
      <c r="L48" s="18">
        <v>1462278</v>
      </c>
      <c r="M48" s="7">
        <f t="shared" si="0"/>
        <v>1462278</v>
      </c>
      <c r="N48" s="4" t="s">
        <v>1214</v>
      </c>
      <c r="O48" s="9"/>
    </row>
    <row r="49" spans="1:15" ht="40" x14ac:dyDescent="0.2">
      <c r="A49" s="3">
        <v>45</v>
      </c>
      <c r="B49" s="19"/>
      <c r="C49" s="4" t="s">
        <v>1252</v>
      </c>
      <c r="D49" s="4" t="s">
        <v>1206</v>
      </c>
      <c r="E49" s="4"/>
      <c r="F49" s="8"/>
      <c r="G49" s="8"/>
      <c r="H49" s="8"/>
      <c r="I49" s="8"/>
      <c r="J49" s="8"/>
      <c r="K49" s="8">
        <v>1</v>
      </c>
      <c r="L49" s="18">
        <v>447260</v>
      </c>
      <c r="M49" s="7">
        <f t="shared" si="0"/>
        <v>447260</v>
      </c>
      <c r="N49" s="4" t="s">
        <v>1214</v>
      </c>
      <c r="O49" s="9"/>
    </row>
    <row r="50" spans="1:15" ht="40" x14ac:dyDescent="0.2">
      <c r="A50" s="3">
        <v>46</v>
      </c>
      <c r="B50" s="19"/>
      <c r="C50" s="4" t="s">
        <v>1253</v>
      </c>
      <c r="D50" s="4" t="s">
        <v>1206</v>
      </c>
      <c r="E50" s="4"/>
      <c r="F50" s="8"/>
      <c r="G50" s="8"/>
      <c r="H50" s="8"/>
      <c r="I50" s="8"/>
      <c r="J50" s="8"/>
      <c r="K50" s="8">
        <v>1</v>
      </c>
      <c r="L50" s="18">
        <v>608600</v>
      </c>
      <c r="M50" s="7">
        <f t="shared" si="0"/>
        <v>608600</v>
      </c>
      <c r="N50" s="4" t="s">
        <v>1214</v>
      </c>
      <c r="O50" s="9"/>
    </row>
    <row r="51" spans="1:15" ht="40" x14ac:dyDescent="0.2">
      <c r="A51" s="3">
        <v>47</v>
      </c>
      <c r="B51" s="19"/>
      <c r="C51" s="4" t="s">
        <v>1254</v>
      </c>
      <c r="D51" s="4" t="s">
        <v>1206</v>
      </c>
      <c r="E51" s="4"/>
      <c r="F51" s="8"/>
      <c r="G51" s="8"/>
      <c r="H51" s="8"/>
      <c r="I51" s="8"/>
      <c r="J51" s="8"/>
      <c r="K51" s="8">
        <v>1</v>
      </c>
      <c r="L51" s="18">
        <v>180000</v>
      </c>
      <c r="M51" s="7">
        <f t="shared" si="0"/>
        <v>180000</v>
      </c>
      <c r="N51" s="4" t="s">
        <v>1214</v>
      </c>
      <c r="O51" s="9"/>
    </row>
    <row r="52" spans="1:15" ht="40" x14ac:dyDescent="0.2">
      <c r="A52" s="3">
        <v>48</v>
      </c>
      <c r="B52" s="19"/>
      <c r="C52" s="4" t="s">
        <v>1255</v>
      </c>
      <c r="D52" s="4" t="s">
        <v>1206</v>
      </c>
      <c r="E52" s="4"/>
      <c r="F52" s="8"/>
      <c r="G52" s="8"/>
      <c r="H52" s="8"/>
      <c r="I52" s="8"/>
      <c r="J52" s="8"/>
      <c r="K52" s="8">
        <v>1</v>
      </c>
      <c r="L52" s="18">
        <v>1253302</v>
      </c>
      <c r="M52" s="7">
        <f t="shared" si="0"/>
        <v>1253302</v>
      </c>
      <c r="N52" s="4" t="s">
        <v>1214</v>
      </c>
      <c r="O52" s="9"/>
    </row>
    <row r="53" spans="1:15" ht="40" x14ac:dyDescent="0.2">
      <c r="A53" s="3">
        <v>49</v>
      </c>
      <c r="B53" s="19"/>
      <c r="C53" s="4" t="s">
        <v>1256</v>
      </c>
      <c r="D53" s="4" t="s">
        <v>1206</v>
      </c>
      <c r="E53" s="4"/>
      <c r="F53" s="8"/>
      <c r="G53" s="8"/>
      <c r="H53" s="8"/>
      <c r="I53" s="8"/>
      <c r="J53" s="8"/>
      <c r="K53" s="8">
        <v>1</v>
      </c>
      <c r="L53" s="18">
        <v>111192</v>
      </c>
      <c r="M53" s="7">
        <f t="shared" si="0"/>
        <v>111192</v>
      </c>
      <c r="N53" s="4" t="s">
        <v>1214</v>
      </c>
      <c r="O53" s="9"/>
    </row>
    <row r="54" spans="1:15" ht="40" x14ac:dyDescent="0.2">
      <c r="A54" s="3">
        <v>50</v>
      </c>
      <c r="B54" s="19"/>
      <c r="C54" s="4" t="s">
        <v>1257</v>
      </c>
      <c r="D54" s="4" t="s">
        <v>1206</v>
      </c>
      <c r="E54" s="4"/>
      <c r="F54" s="8"/>
      <c r="G54" s="8"/>
      <c r="H54" s="8"/>
      <c r="I54" s="8"/>
      <c r="J54" s="8"/>
      <c r="K54" s="8">
        <v>1</v>
      </c>
      <c r="L54" s="18">
        <v>106800</v>
      </c>
      <c r="M54" s="7">
        <f t="shared" si="0"/>
        <v>106800</v>
      </c>
      <c r="N54" s="4" t="s">
        <v>1214</v>
      </c>
      <c r="O54" s="9"/>
    </row>
    <row r="55" spans="1:15" ht="40" x14ac:dyDescent="0.2">
      <c r="A55" s="3">
        <v>51</v>
      </c>
      <c r="B55" s="19"/>
      <c r="C55" s="4" t="s">
        <v>1258</v>
      </c>
      <c r="D55" s="4" t="s">
        <v>1206</v>
      </c>
      <c r="E55" s="4"/>
      <c r="F55" s="8"/>
      <c r="G55" s="8"/>
      <c r="H55" s="8"/>
      <c r="I55" s="8"/>
      <c r="J55" s="8"/>
      <c r="K55" s="8">
        <v>1</v>
      </c>
      <c r="L55" s="18">
        <v>102528</v>
      </c>
      <c r="M55" s="7">
        <f t="shared" si="0"/>
        <v>102528</v>
      </c>
      <c r="N55" s="4" t="s">
        <v>1214</v>
      </c>
      <c r="O55" s="9"/>
    </row>
    <row r="56" spans="1:15" ht="40" x14ac:dyDescent="0.2">
      <c r="A56" s="3">
        <v>52</v>
      </c>
      <c r="B56" s="19"/>
      <c r="C56" s="4" t="s">
        <v>1259</v>
      </c>
      <c r="D56" s="4" t="s">
        <v>1206</v>
      </c>
      <c r="E56" s="4"/>
      <c r="F56" s="8"/>
      <c r="G56" s="8"/>
      <c r="H56" s="8"/>
      <c r="I56" s="8"/>
      <c r="J56" s="8"/>
      <c r="K56" s="8">
        <v>1</v>
      </c>
      <c r="L56" s="18">
        <v>270960</v>
      </c>
      <c r="M56" s="7">
        <f t="shared" si="0"/>
        <v>270960</v>
      </c>
      <c r="N56" s="4" t="s">
        <v>1214</v>
      </c>
      <c r="O56" s="9"/>
    </row>
    <row r="57" spans="1:15" ht="40" x14ac:dyDescent="0.2">
      <c r="A57" s="3">
        <v>53</v>
      </c>
      <c r="B57" s="19"/>
      <c r="C57" s="4" t="s">
        <v>1260</v>
      </c>
      <c r="D57" s="4" t="s">
        <v>1206</v>
      </c>
      <c r="E57" s="4"/>
      <c r="F57" s="8"/>
      <c r="G57" s="8"/>
      <c r="H57" s="8"/>
      <c r="I57" s="8"/>
      <c r="J57" s="8"/>
      <c r="K57" s="8">
        <v>1</v>
      </c>
      <c r="L57" s="18">
        <v>43300</v>
      </c>
      <c r="M57" s="7">
        <f t="shared" si="0"/>
        <v>43300</v>
      </c>
      <c r="N57" s="4" t="s">
        <v>1214</v>
      </c>
      <c r="O57" s="9"/>
    </row>
    <row r="58" spans="1:15" ht="40" x14ac:dyDescent="0.2">
      <c r="A58" s="3">
        <v>54</v>
      </c>
      <c r="B58" s="19"/>
      <c r="C58" s="4" t="s">
        <v>1261</v>
      </c>
      <c r="D58" s="4" t="s">
        <v>1206</v>
      </c>
      <c r="E58" s="4"/>
      <c r="F58" s="8"/>
      <c r="G58" s="8"/>
      <c r="H58" s="8"/>
      <c r="I58" s="8"/>
      <c r="J58" s="8"/>
      <c r="K58" s="8">
        <v>1</v>
      </c>
      <c r="L58" s="18">
        <v>422400</v>
      </c>
      <c r="M58" s="7">
        <f t="shared" si="0"/>
        <v>422400</v>
      </c>
      <c r="N58" s="4" t="s">
        <v>1214</v>
      </c>
      <c r="O58" s="9"/>
    </row>
    <row r="59" spans="1:15" ht="40" x14ac:dyDescent="0.2">
      <c r="A59" s="3">
        <v>55</v>
      </c>
      <c r="B59" s="19"/>
      <c r="C59" s="4" t="s">
        <v>1262</v>
      </c>
      <c r="D59" s="4" t="s">
        <v>1206</v>
      </c>
      <c r="E59" s="4"/>
      <c r="F59" s="8"/>
      <c r="G59" s="8"/>
      <c r="H59" s="8"/>
      <c r="I59" s="8"/>
      <c r="J59" s="8"/>
      <c r="K59" s="8">
        <v>1</v>
      </c>
      <c r="L59" s="18">
        <v>34176</v>
      </c>
      <c r="M59" s="7">
        <f t="shared" si="0"/>
        <v>34176</v>
      </c>
      <c r="N59" s="4" t="s">
        <v>1214</v>
      </c>
      <c r="O59" s="9"/>
    </row>
    <row r="60" spans="1:15" ht="40" x14ac:dyDescent="0.2">
      <c r="A60" s="3">
        <v>56</v>
      </c>
      <c r="B60" s="19"/>
      <c r="C60" s="4" t="s">
        <v>1263</v>
      </c>
      <c r="D60" s="4" t="s">
        <v>1206</v>
      </c>
      <c r="E60" s="4"/>
      <c r="F60" s="8"/>
      <c r="G60" s="8"/>
      <c r="H60" s="8"/>
      <c r="I60" s="8"/>
      <c r="J60" s="8"/>
      <c r="K60" s="8">
        <v>1</v>
      </c>
      <c r="L60" s="18">
        <v>1379070</v>
      </c>
      <c r="M60" s="7">
        <f t="shared" si="0"/>
        <v>1379070</v>
      </c>
      <c r="N60" s="4" t="s">
        <v>1214</v>
      </c>
      <c r="O60" s="9"/>
    </row>
    <row r="61" spans="1:15" ht="40" x14ac:dyDescent="0.2">
      <c r="A61" s="3">
        <v>57</v>
      </c>
      <c r="B61" s="19"/>
      <c r="C61" s="4" t="s">
        <v>1264</v>
      </c>
      <c r="D61" s="4" t="s">
        <v>1206</v>
      </c>
      <c r="E61" s="4"/>
      <c r="F61" s="8"/>
      <c r="G61" s="8"/>
      <c r="H61" s="8"/>
      <c r="I61" s="8"/>
      <c r="J61" s="8"/>
      <c r="K61" s="8">
        <v>1</v>
      </c>
      <c r="L61" s="18">
        <v>919380.00000000012</v>
      </c>
      <c r="M61" s="7">
        <f t="shared" si="0"/>
        <v>919380.00000000012</v>
      </c>
      <c r="N61" s="4" t="s">
        <v>1214</v>
      </c>
      <c r="O61" s="9"/>
    </row>
    <row r="62" spans="1:15" ht="40" x14ac:dyDescent="0.2">
      <c r="A62" s="3">
        <v>58</v>
      </c>
      <c r="B62" s="19"/>
      <c r="C62" s="4" t="s">
        <v>1265</v>
      </c>
      <c r="D62" s="4" t="s">
        <v>1206</v>
      </c>
      <c r="E62" s="4"/>
      <c r="F62" s="8"/>
      <c r="G62" s="8"/>
      <c r="H62" s="8"/>
      <c r="I62" s="8"/>
      <c r="J62" s="8"/>
      <c r="K62" s="8">
        <v>1</v>
      </c>
      <c r="L62" s="18">
        <v>919380.00000000012</v>
      </c>
      <c r="M62" s="7">
        <f t="shared" si="0"/>
        <v>919380.00000000012</v>
      </c>
      <c r="N62" s="4" t="s">
        <v>1214</v>
      </c>
      <c r="O62" s="9"/>
    </row>
    <row r="63" spans="1:15" ht="40" x14ac:dyDescent="0.2">
      <c r="A63" s="3">
        <v>59</v>
      </c>
      <c r="B63" s="19"/>
      <c r="C63" s="4" t="s">
        <v>1266</v>
      </c>
      <c r="D63" s="4" t="s">
        <v>1206</v>
      </c>
      <c r="E63" s="4"/>
      <c r="F63" s="8"/>
      <c r="G63" s="8"/>
      <c r="H63" s="8"/>
      <c r="I63" s="8"/>
      <c r="J63" s="8"/>
      <c r="K63" s="8">
        <v>1</v>
      </c>
      <c r="L63" s="18">
        <v>240000</v>
      </c>
      <c r="M63" s="7">
        <f t="shared" si="0"/>
        <v>240000</v>
      </c>
      <c r="N63" s="4" t="s">
        <v>1214</v>
      </c>
      <c r="O63" s="9"/>
    </row>
    <row r="64" spans="1:15" ht="40" x14ac:dyDescent="0.2">
      <c r="A64" s="3">
        <v>60</v>
      </c>
      <c r="B64" s="19"/>
      <c r="C64" s="4" t="s">
        <v>1267</v>
      </c>
      <c r="D64" s="4" t="s">
        <v>1206</v>
      </c>
      <c r="E64" s="4"/>
      <c r="F64" s="8"/>
      <c r="G64" s="8"/>
      <c r="H64" s="8"/>
      <c r="I64" s="8"/>
      <c r="J64" s="8"/>
      <c r="K64" s="8">
        <v>1</v>
      </c>
      <c r="L64" s="18">
        <v>399936</v>
      </c>
      <c r="M64" s="7">
        <f t="shared" si="0"/>
        <v>399936</v>
      </c>
      <c r="N64" s="4" t="s">
        <v>1214</v>
      </c>
      <c r="O64" s="9"/>
    </row>
    <row r="65" spans="1:15" ht="40" x14ac:dyDescent="0.2">
      <c r="A65" s="3">
        <v>61</v>
      </c>
      <c r="B65" s="19"/>
      <c r="C65" s="4" t="s">
        <v>1268</v>
      </c>
      <c r="D65" s="4" t="s">
        <v>1206</v>
      </c>
      <c r="E65" s="4"/>
      <c r="F65" s="8"/>
      <c r="G65" s="8"/>
      <c r="H65" s="8"/>
      <c r="I65" s="8"/>
      <c r="J65" s="8"/>
      <c r="K65" s="8">
        <v>1</v>
      </c>
      <c r="L65" s="18">
        <v>298316</v>
      </c>
      <c r="M65" s="7">
        <f t="shared" si="0"/>
        <v>298316</v>
      </c>
      <c r="N65" s="4" t="s">
        <v>1214</v>
      </c>
      <c r="O65" s="9"/>
    </row>
    <row r="66" spans="1:15" ht="40" x14ac:dyDescent="0.2">
      <c r="A66" s="3">
        <v>62</v>
      </c>
      <c r="B66" s="19"/>
      <c r="C66" s="4" t="s">
        <v>1269</v>
      </c>
      <c r="D66" s="4" t="s">
        <v>1206</v>
      </c>
      <c r="E66" s="4"/>
      <c r="F66" s="8"/>
      <c r="G66" s="8"/>
      <c r="H66" s="8"/>
      <c r="I66" s="8"/>
      <c r="J66" s="8"/>
      <c r="K66" s="8">
        <v>1</v>
      </c>
      <c r="L66" s="18">
        <v>425000</v>
      </c>
      <c r="M66" s="7">
        <f t="shared" si="0"/>
        <v>425000</v>
      </c>
      <c r="N66" s="4" t="s">
        <v>1214</v>
      </c>
      <c r="O66" s="9"/>
    </row>
    <row r="67" spans="1:15" ht="40" x14ac:dyDescent="0.2">
      <c r="A67" s="3">
        <v>63</v>
      </c>
      <c r="B67" s="19"/>
      <c r="C67" s="4" t="s">
        <v>1270</v>
      </c>
      <c r="D67" s="4" t="s">
        <v>1206</v>
      </c>
      <c r="E67" s="4"/>
      <c r="F67" s="8"/>
      <c r="G67" s="8"/>
      <c r="H67" s="8"/>
      <c r="I67" s="8"/>
      <c r="J67" s="8"/>
      <c r="K67" s="8">
        <v>1</v>
      </c>
      <c r="L67" s="18">
        <v>183600</v>
      </c>
      <c r="M67" s="7">
        <f t="shared" si="0"/>
        <v>183600</v>
      </c>
      <c r="N67" s="4" t="s">
        <v>1214</v>
      </c>
      <c r="O67" s="9"/>
    </row>
    <row r="68" spans="1:15" ht="40" x14ac:dyDescent="0.2">
      <c r="A68" s="3">
        <v>64</v>
      </c>
      <c r="B68" s="19"/>
      <c r="C68" s="4" t="s">
        <v>1271</v>
      </c>
      <c r="D68" s="4" t="s">
        <v>1206</v>
      </c>
      <c r="E68" s="4"/>
      <c r="F68" s="8"/>
      <c r="G68" s="8"/>
      <c r="H68" s="8"/>
      <c r="I68" s="8"/>
      <c r="J68" s="8"/>
      <c r="K68" s="8">
        <v>1</v>
      </c>
      <c r="L68" s="18">
        <v>142800</v>
      </c>
      <c r="M68" s="7">
        <f t="shared" si="0"/>
        <v>142800</v>
      </c>
      <c r="N68" s="4" t="s">
        <v>1214</v>
      </c>
      <c r="O68" s="9"/>
    </row>
    <row r="69" spans="1:15" ht="40" x14ac:dyDescent="0.2">
      <c r="A69" s="3">
        <v>65</v>
      </c>
      <c r="B69" s="19"/>
      <c r="C69" s="4" t="s">
        <v>1272</v>
      </c>
      <c r="D69" s="4" t="s">
        <v>1206</v>
      </c>
      <c r="E69" s="4"/>
      <c r="F69" s="8"/>
      <c r="G69" s="8"/>
      <c r="H69" s="8"/>
      <c r="I69" s="8"/>
      <c r="J69" s="8"/>
      <c r="K69" s="8">
        <v>1</v>
      </c>
      <c r="L69" s="18">
        <v>122400</v>
      </c>
      <c r="M69" s="7">
        <f t="shared" ref="M69:M132" si="1">IF(OR(K69="",L69=""),"",K69*L69)</f>
        <v>122400</v>
      </c>
      <c r="N69" s="4" t="s">
        <v>1214</v>
      </c>
      <c r="O69" s="9"/>
    </row>
    <row r="70" spans="1:15" ht="40" x14ac:dyDescent="0.2">
      <c r="A70" s="3">
        <v>66</v>
      </c>
      <c r="B70" s="19"/>
      <c r="C70" s="4" t="s">
        <v>1273</v>
      </c>
      <c r="D70" s="4" t="s">
        <v>1206</v>
      </c>
      <c r="E70" s="4"/>
      <c r="F70" s="8"/>
      <c r="G70" s="8"/>
      <c r="H70" s="8"/>
      <c r="I70" s="8"/>
      <c r="J70" s="8"/>
      <c r="K70" s="8">
        <v>1</v>
      </c>
      <c r="L70" s="18">
        <v>108000</v>
      </c>
      <c r="M70" s="7">
        <f t="shared" si="1"/>
        <v>108000</v>
      </c>
      <c r="N70" s="4" t="s">
        <v>1214</v>
      </c>
      <c r="O70" s="9"/>
    </row>
    <row r="71" spans="1:15" ht="40" x14ac:dyDescent="0.2">
      <c r="A71" s="3">
        <v>67</v>
      </c>
      <c r="B71" s="19"/>
      <c r="C71" s="4" t="s">
        <v>1274</v>
      </c>
      <c r="D71" s="4" t="s">
        <v>1206</v>
      </c>
      <c r="E71" s="4"/>
      <c r="F71" s="8"/>
      <c r="G71" s="8"/>
      <c r="H71" s="8"/>
      <c r="I71" s="8"/>
      <c r="J71" s="8"/>
      <c r="K71" s="8">
        <v>1</v>
      </c>
      <c r="L71" s="18">
        <v>81000</v>
      </c>
      <c r="M71" s="7">
        <f t="shared" si="1"/>
        <v>81000</v>
      </c>
      <c r="N71" s="4" t="s">
        <v>1214</v>
      </c>
      <c r="O71" s="9"/>
    </row>
    <row r="72" spans="1:15" ht="40" x14ac:dyDescent="0.2">
      <c r="A72" s="3">
        <v>68</v>
      </c>
      <c r="B72" s="19"/>
      <c r="C72" s="4" t="s">
        <v>1275</v>
      </c>
      <c r="D72" s="4" t="s">
        <v>1206</v>
      </c>
      <c r="E72" s="4"/>
      <c r="F72" s="8"/>
      <c r="G72" s="8"/>
      <c r="H72" s="8"/>
      <c r="I72" s="8"/>
      <c r="J72" s="8"/>
      <c r="K72" s="8">
        <v>1</v>
      </c>
      <c r="L72" s="18">
        <v>108000</v>
      </c>
      <c r="M72" s="7">
        <f t="shared" si="1"/>
        <v>108000</v>
      </c>
      <c r="N72" s="4" t="s">
        <v>1214</v>
      </c>
      <c r="O72" s="9"/>
    </row>
    <row r="73" spans="1:15" ht="40" x14ac:dyDescent="0.2">
      <c r="A73" s="3">
        <v>69</v>
      </c>
      <c r="B73" s="19"/>
      <c r="C73" s="4" t="s">
        <v>1276</v>
      </c>
      <c r="D73" s="4" t="s">
        <v>1206</v>
      </c>
      <c r="E73" s="4"/>
      <c r="F73" s="8"/>
      <c r="G73" s="8"/>
      <c r="H73" s="8"/>
      <c r="I73" s="8"/>
      <c r="J73" s="8"/>
      <c r="K73" s="8">
        <v>1</v>
      </c>
      <c r="L73" s="18">
        <v>87000</v>
      </c>
      <c r="M73" s="7">
        <f t="shared" si="1"/>
        <v>87000</v>
      </c>
      <c r="N73" s="4" t="s">
        <v>1214</v>
      </c>
      <c r="O73" s="9"/>
    </row>
    <row r="74" spans="1:15" ht="40" x14ac:dyDescent="0.2">
      <c r="A74" s="3">
        <v>70</v>
      </c>
      <c r="B74" s="19"/>
      <c r="C74" s="4" t="s">
        <v>1277</v>
      </c>
      <c r="D74" s="4" t="s">
        <v>1206</v>
      </c>
      <c r="E74" s="4"/>
      <c r="F74" s="8"/>
      <c r="G74" s="8"/>
      <c r="H74" s="8"/>
      <c r="I74" s="8"/>
      <c r="J74" s="8"/>
      <c r="K74" s="8">
        <v>1</v>
      </c>
      <c r="L74" s="18">
        <v>183600</v>
      </c>
      <c r="M74" s="7">
        <f t="shared" si="1"/>
        <v>183600</v>
      </c>
      <c r="N74" s="4" t="s">
        <v>1214</v>
      </c>
      <c r="O74" s="9"/>
    </row>
    <row r="75" spans="1:15" ht="40" x14ac:dyDescent="0.2">
      <c r="A75" s="3">
        <v>71</v>
      </c>
      <c r="B75" s="19"/>
      <c r="C75" s="4" t="s">
        <v>1278</v>
      </c>
      <c r="D75" s="4" t="s">
        <v>1206</v>
      </c>
      <c r="E75" s="4"/>
      <c r="F75" s="8"/>
      <c r="G75" s="8"/>
      <c r="H75" s="8"/>
      <c r="I75" s="8"/>
      <c r="J75" s="8"/>
      <c r="K75" s="8">
        <v>1</v>
      </c>
      <c r="L75" s="18">
        <v>897600</v>
      </c>
      <c r="M75" s="7">
        <f t="shared" si="1"/>
        <v>897600</v>
      </c>
      <c r="N75" s="4" t="s">
        <v>1214</v>
      </c>
      <c r="O75" s="9"/>
    </row>
    <row r="76" spans="1:15" ht="40" x14ac:dyDescent="0.2">
      <c r="A76" s="3">
        <v>72</v>
      </c>
      <c r="B76" s="19"/>
      <c r="C76" s="4" t="s">
        <v>1279</v>
      </c>
      <c r="D76" s="4" t="s">
        <v>1206</v>
      </c>
      <c r="E76" s="4"/>
      <c r="F76" s="8"/>
      <c r="G76" s="8"/>
      <c r="H76" s="8"/>
      <c r="I76" s="8"/>
      <c r="J76" s="8"/>
      <c r="K76" s="8">
        <v>1</v>
      </c>
      <c r="L76" s="18">
        <v>116000</v>
      </c>
      <c r="M76" s="7">
        <f t="shared" si="1"/>
        <v>116000</v>
      </c>
      <c r="N76" s="4" t="s">
        <v>1214</v>
      </c>
      <c r="O76" s="9"/>
    </row>
    <row r="77" spans="1:15" ht="40" x14ac:dyDescent="0.2">
      <c r="A77" s="3">
        <v>73</v>
      </c>
      <c r="B77" s="19"/>
      <c r="C77" s="4" t="s">
        <v>1280</v>
      </c>
      <c r="D77" s="4" t="s">
        <v>1206</v>
      </c>
      <c r="E77" s="4"/>
      <c r="F77" s="8"/>
      <c r="G77" s="8"/>
      <c r="H77" s="8"/>
      <c r="I77" s="8"/>
      <c r="J77" s="8"/>
      <c r="K77" s="8">
        <v>1</v>
      </c>
      <c r="L77" s="18">
        <v>24798</v>
      </c>
      <c r="M77" s="7">
        <f t="shared" si="1"/>
        <v>24798</v>
      </c>
      <c r="N77" s="4" t="s">
        <v>1214</v>
      </c>
      <c r="O77" s="9"/>
    </row>
    <row r="78" spans="1:15" ht="40" x14ac:dyDescent="0.2">
      <c r="A78" s="3">
        <v>74</v>
      </c>
      <c r="B78" s="19"/>
      <c r="C78" s="4" t="s">
        <v>1281</v>
      </c>
      <c r="D78" s="4" t="s">
        <v>1206</v>
      </c>
      <c r="E78" s="4"/>
      <c r="F78" s="8"/>
      <c r="G78" s="8"/>
      <c r="H78" s="8"/>
      <c r="I78" s="8"/>
      <c r="J78" s="8"/>
      <c r="K78" s="8">
        <v>1</v>
      </c>
      <c r="L78" s="18">
        <v>83400</v>
      </c>
      <c r="M78" s="7">
        <f t="shared" si="1"/>
        <v>83400</v>
      </c>
      <c r="N78" s="4" t="s">
        <v>1214</v>
      </c>
      <c r="O78" s="9"/>
    </row>
    <row r="79" spans="1:15" ht="40" x14ac:dyDescent="0.2">
      <c r="A79" s="3">
        <v>75</v>
      </c>
      <c r="B79" s="19"/>
      <c r="C79" s="4" t="s">
        <v>1282</v>
      </c>
      <c r="D79" s="4" t="s">
        <v>1206</v>
      </c>
      <c r="E79" s="4"/>
      <c r="F79" s="8"/>
      <c r="G79" s="8"/>
      <c r="H79" s="8"/>
      <c r="I79" s="8"/>
      <c r="J79" s="8"/>
      <c r="K79" s="8">
        <v>1</v>
      </c>
      <c r="L79" s="18">
        <v>1998000</v>
      </c>
      <c r="M79" s="7">
        <f t="shared" si="1"/>
        <v>1998000</v>
      </c>
      <c r="N79" s="4" t="s">
        <v>1214</v>
      </c>
      <c r="O79" s="9"/>
    </row>
    <row r="80" spans="1:15" ht="40" x14ac:dyDescent="0.2">
      <c r="A80" s="3">
        <v>76</v>
      </c>
      <c r="B80" s="19"/>
      <c r="C80" s="4" t="s">
        <v>1283</v>
      </c>
      <c r="D80" s="4" t="s">
        <v>1206</v>
      </c>
      <c r="E80" s="4"/>
      <c r="F80" s="8"/>
      <c r="G80" s="8"/>
      <c r="H80" s="8"/>
      <c r="I80" s="8"/>
      <c r="J80" s="8"/>
      <c r="K80" s="8">
        <v>1</v>
      </c>
      <c r="L80" s="18">
        <v>5664400</v>
      </c>
      <c r="M80" s="7">
        <f t="shared" si="1"/>
        <v>5664400</v>
      </c>
      <c r="N80" s="4" t="s">
        <v>1214</v>
      </c>
      <c r="O80" s="9"/>
    </row>
    <row r="81" spans="1:15" ht="40" x14ac:dyDescent="0.2">
      <c r="A81" s="3">
        <v>77</v>
      </c>
      <c r="B81" s="19"/>
      <c r="C81" s="4" t="s">
        <v>1284</v>
      </c>
      <c r="D81" s="4" t="s">
        <v>1206</v>
      </c>
      <c r="E81" s="4"/>
      <c r="F81" s="8"/>
      <c r="G81" s="8"/>
      <c r="H81" s="8"/>
      <c r="I81" s="8"/>
      <c r="J81" s="8"/>
      <c r="K81" s="8">
        <v>1</v>
      </c>
      <c r="L81" s="18">
        <v>2163700</v>
      </c>
      <c r="M81" s="7">
        <f t="shared" si="1"/>
        <v>2163700</v>
      </c>
      <c r="N81" s="4" t="s">
        <v>1214</v>
      </c>
      <c r="O81" s="9"/>
    </row>
    <row r="82" spans="1:15" ht="40" x14ac:dyDescent="0.2">
      <c r="A82" s="3">
        <v>78</v>
      </c>
      <c r="B82" s="19"/>
      <c r="C82" s="4" t="s">
        <v>1285</v>
      </c>
      <c r="D82" s="4" t="s">
        <v>1206</v>
      </c>
      <c r="E82" s="4"/>
      <c r="F82" s="8"/>
      <c r="G82" s="8"/>
      <c r="H82" s="8"/>
      <c r="I82" s="8"/>
      <c r="J82" s="8"/>
      <c r="K82" s="8">
        <v>1</v>
      </c>
      <c r="L82" s="18">
        <v>3093156</v>
      </c>
      <c r="M82" s="7">
        <f t="shared" si="1"/>
        <v>3093156</v>
      </c>
      <c r="N82" s="4" t="s">
        <v>1214</v>
      </c>
      <c r="O82" s="9"/>
    </row>
    <row r="83" spans="1:15" ht="20" x14ac:dyDescent="0.2">
      <c r="A83" s="3">
        <v>79</v>
      </c>
      <c r="B83" s="19"/>
      <c r="C83" s="4" t="s">
        <v>1286</v>
      </c>
      <c r="D83" s="4" t="s">
        <v>1206</v>
      </c>
      <c r="E83" s="4"/>
      <c r="F83" s="8"/>
      <c r="G83" s="8"/>
      <c r="H83" s="8"/>
      <c r="I83" s="8"/>
      <c r="J83" s="8"/>
      <c r="K83" s="8">
        <v>1</v>
      </c>
      <c r="L83" s="18">
        <v>201280</v>
      </c>
      <c r="M83" s="7">
        <f t="shared" si="1"/>
        <v>201280</v>
      </c>
      <c r="N83" s="4" t="s">
        <v>1207</v>
      </c>
      <c r="O83" s="9"/>
    </row>
    <row r="84" spans="1:15" ht="20" x14ac:dyDescent="0.2">
      <c r="A84" s="3">
        <v>80</v>
      </c>
      <c r="B84" s="19"/>
      <c r="C84" s="4" t="s">
        <v>1287</v>
      </c>
      <c r="D84" s="4" t="s">
        <v>1206</v>
      </c>
      <c r="E84" s="4"/>
      <c r="F84" s="8"/>
      <c r="G84" s="8"/>
      <c r="H84" s="8"/>
      <c r="I84" s="8"/>
      <c r="J84" s="8"/>
      <c r="K84" s="8">
        <v>1</v>
      </c>
      <c r="L84" s="18">
        <v>524800</v>
      </c>
      <c r="M84" s="7">
        <f t="shared" si="1"/>
        <v>524800</v>
      </c>
      <c r="N84" s="4" t="s">
        <v>1207</v>
      </c>
      <c r="O84" s="9"/>
    </row>
    <row r="85" spans="1:15" ht="20" x14ac:dyDescent="0.2">
      <c r="A85" s="3">
        <v>81</v>
      </c>
      <c r="B85" s="19"/>
      <c r="C85" s="4" t="s">
        <v>1288</v>
      </c>
      <c r="D85" s="4" t="s">
        <v>1206</v>
      </c>
      <c r="E85" s="4"/>
      <c r="F85" s="8"/>
      <c r="G85" s="8"/>
      <c r="H85" s="8"/>
      <c r="I85" s="8"/>
      <c r="J85" s="8"/>
      <c r="K85" s="8">
        <v>1</v>
      </c>
      <c r="L85" s="18">
        <v>61776</v>
      </c>
      <c r="M85" s="7">
        <f t="shared" si="1"/>
        <v>61776</v>
      </c>
      <c r="N85" s="4" t="s">
        <v>1207</v>
      </c>
      <c r="O85" s="9"/>
    </row>
    <row r="86" spans="1:15" ht="60" x14ac:dyDescent="0.2">
      <c r="A86" s="3">
        <v>82</v>
      </c>
      <c r="B86" s="19"/>
      <c r="C86" s="4" t="s">
        <v>1289</v>
      </c>
      <c r="D86" s="4" t="s">
        <v>1206</v>
      </c>
      <c r="E86" s="4"/>
      <c r="F86" s="8"/>
      <c r="G86" s="8"/>
      <c r="H86" s="8"/>
      <c r="I86" s="8"/>
      <c r="J86" s="8"/>
      <c r="K86" s="8">
        <v>1</v>
      </c>
      <c r="L86" s="18">
        <v>660000</v>
      </c>
      <c r="M86" s="7">
        <f t="shared" si="1"/>
        <v>660000</v>
      </c>
      <c r="N86" s="4" t="s">
        <v>1207</v>
      </c>
      <c r="O86" s="9"/>
    </row>
    <row r="87" spans="1:15" ht="20" x14ac:dyDescent="0.2">
      <c r="A87" s="3">
        <v>83</v>
      </c>
      <c r="B87" s="19"/>
      <c r="C87" s="4" t="s">
        <v>1290</v>
      </c>
      <c r="D87" s="4" t="s">
        <v>1206</v>
      </c>
      <c r="E87" s="4"/>
      <c r="F87" s="8"/>
      <c r="G87" s="8"/>
      <c r="H87" s="8"/>
      <c r="I87" s="8"/>
      <c r="J87" s="8"/>
      <c r="K87" s="8">
        <v>1</v>
      </c>
      <c r="L87" s="18">
        <v>264000</v>
      </c>
      <c r="M87" s="7">
        <f t="shared" si="1"/>
        <v>264000</v>
      </c>
      <c r="N87" s="4" t="s">
        <v>1291</v>
      </c>
      <c r="O87" s="9"/>
    </row>
    <row r="88" spans="1:15" ht="20" x14ac:dyDescent="0.2">
      <c r="A88" s="3">
        <v>84</v>
      </c>
      <c r="B88" s="19"/>
      <c r="C88" s="4" t="s">
        <v>1292</v>
      </c>
      <c r="D88" s="4" t="s">
        <v>1206</v>
      </c>
      <c r="E88" s="4"/>
      <c r="F88" s="8"/>
      <c r="G88" s="8"/>
      <c r="H88" s="8"/>
      <c r="I88" s="8"/>
      <c r="J88" s="8"/>
      <c r="K88" s="8">
        <v>1</v>
      </c>
      <c r="L88" s="18">
        <v>210000</v>
      </c>
      <c r="M88" s="7">
        <f t="shared" si="1"/>
        <v>210000</v>
      </c>
      <c r="N88" s="4" t="s">
        <v>1291</v>
      </c>
      <c r="O88" s="9"/>
    </row>
    <row r="89" spans="1:15" ht="20" x14ac:dyDescent="0.2">
      <c r="A89" s="3">
        <v>85</v>
      </c>
      <c r="B89" s="19"/>
      <c r="C89" s="4" t="s">
        <v>1293</v>
      </c>
      <c r="D89" s="4" t="s">
        <v>1206</v>
      </c>
      <c r="E89" s="4"/>
      <c r="F89" s="8"/>
      <c r="G89" s="8"/>
      <c r="H89" s="8"/>
      <c r="I89" s="8"/>
      <c r="J89" s="8"/>
      <c r="K89" s="8">
        <v>1</v>
      </c>
      <c r="L89" s="18">
        <v>55100</v>
      </c>
      <c r="M89" s="7">
        <f t="shared" si="1"/>
        <v>55100</v>
      </c>
      <c r="N89" s="4" t="s">
        <v>1291</v>
      </c>
      <c r="O89" s="9"/>
    </row>
    <row r="90" spans="1:15" ht="20" x14ac:dyDescent="0.2">
      <c r="A90" s="3">
        <v>86</v>
      </c>
      <c r="B90" s="19"/>
      <c r="C90" s="4" t="s">
        <v>1294</v>
      </c>
      <c r="D90" s="4" t="s">
        <v>1206</v>
      </c>
      <c r="E90" s="4"/>
      <c r="F90" s="8"/>
      <c r="G90" s="8"/>
      <c r="H90" s="8"/>
      <c r="I90" s="8"/>
      <c r="J90" s="8"/>
      <c r="K90" s="8">
        <v>1</v>
      </c>
      <c r="L90" s="18">
        <v>49300</v>
      </c>
      <c r="M90" s="7">
        <f t="shared" si="1"/>
        <v>49300</v>
      </c>
      <c r="N90" s="4" t="s">
        <v>1291</v>
      </c>
      <c r="O90" s="9"/>
    </row>
    <row r="91" spans="1:15" ht="20" x14ac:dyDescent="0.2">
      <c r="A91" s="3">
        <v>87</v>
      </c>
      <c r="B91" s="19"/>
      <c r="C91" s="4" t="s">
        <v>1295</v>
      </c>
      <c r="D91" s="4" t="s">
        <v>1206</v>
      </c>
      <c r="E91" s="4"/>
      <c r="F91" s="8"/>
      <c r="G91" s="8"/>
      <c r="H91" s="8"/>
      <c r="I91" s="8"/>
      <c r="J91" s="8"/>
      <c r="K91" s="8">
        <v>1</v>
      </c>
      <c r="L91" s="18">
        <v>580</v>
      </c>
      <c r="M91" s="7">
        <f t="shared" si="1"/>
        <v>580</v>
      </c>
      <c r="N91" s="4" t="s">
        <v>1291</v>
      </c>
      <c r="O91" s="9"/>
    </row>
    <row r="92" spans="1:15" ht="20" x14ac:dyDescent="0.2">
      <c r="A92" s="3">
        <v>88</v>
      </c>
      <c r="B92" s="19"/>
      <c r="C92" s="4" t="s">
        <v>1296</v>
      </c>
      <c r="D92" s="4" t="s">
        <v>1206</v>
      </c>
      <c r="E92" s="4"/>
      <c r="F92" s="8"/>
      <c r="G92" s="8"/>
      <c r="H92" s="8"/>
      <c r="I92" s="8"/>
      <c r="J92" s="8"/>
      <c r="K92" s="8">
        <v>1</v>
      </c>
      <c r="L92" s="18">
        <v>1740</v>
      </c>
      <c r="M92" s="7">
        <f t="shared" si="1"/>
        <v>1740</v>
      </c>
      <c r="N92" s="4" t="s">
        <v>1291</v>
      </c>
      <c r="O92" s="9"/>
    </row>
    <row r="93" spans="1:15" ht="20" x14ac:dyDescent="0.2">
      <c r="A93" s="3">
        <v>89</v>
      </c>
      <c r="B93" s="19"/>
      <c r="C93" s="4" t="s">
        <v>1297</v>
      </c>
      <c r="D93" s="4" t="s">
        <v>1206</v>
      </c>
      <c r="E93" s="4"/>
      <c r="F93" s="8"/>
      <c r="G93" s="8"/>
      <c r="H93" s="8"/>
      <c r="I93" s="8"/>
      <c r="J93" s="8"/>
      <c r="K93" s="8">
        <v>1</v>
      </c>
      <c r="L93" s="18">
        <v>24700</v>
      </c>
      <c r="M93" s="7">
        <f t="shared" si="1"/>
        <v>24700</v>
      </c>
      <c r="N93" s="4" t="s">
        <v>1291</v>
      </c>
      <c r="O93" s="9"/>
    </row>
    <row r="94" spans="1:15" ht="20" x14ac:dyDescent="0.2">
      <c r="A94" s="3">
        <v>90</v>
      </c>
      <c r="B94" s="19"/>
      <c r="C94" s="4" t="s">
        <v>1298</v>
      </c>
      <c r="D94" s="4" t="s">
        <v>1206</v>
      </c>
      <c r="E94" s="4"/>
      <c r="F94" s="8"/>
      <c r="G94" s="8"/>
      <c r="H94" s="8"/>
      <c r="I94" s="8"/>
      <c r="J94" s="8"/>
      <c r="K94" s="8">
        <v>1</v>
      </c>
      <c r="L94" s="18">
        <v>140000</v>
      </c>
      <c r="M94" s="7">
        <f t="shared" si="1"/>
        <v>140000</v>
      </c>
      <c r="N94" s="4" t="s">
        <v>1291</v>
      </c>
      <c r="O94" s="9"/>
    </row>
    <row r="95" spans="1:15" ht="20" x14ac:dyDescent="0.2">
      <c r="A95" s="3">
        <v>91</v>
      </c>
      <c r="B95" s="19"/>
      <c r="C95" s="4" t="s">
        <v>1299</v>
      </c>
      <c r="D95" s="4" t="s">
        <v>1206</v>
      </c>
      <c r="E95" s="4"/>
      <c r="F95" s="8"/>
      <c r="G95" s="8"/>
      <c r="H95" s="8"/>
      <c r="I95" s="8"/>
      <c r="J95" s="8"/>
      <c r="K95" s="8">
        <v>1</v>
      </c>
      <c r="L95" s="18">
        <v>18200</v>
      </c>
      <c r="M95" s="7">
        <f t="shared" si="1"/>
        <v>18200</v>
      </c>
      <c r="N95" s="4" t="s">
        <v>1291</v>
      </c>
      <c r="O95" s="9"/>
    </row>
    <row r="96" spans="1:15" ht="20" x14ac:dyDescent="0.2">
      <c r="A96" s="3">
        <v>92</v>
      </c>
      <c r="B96" s="19"/>
      <c r="C96" s="4" t="s">
        <v>1300</v>
      </c>
      <c r="D96" s="4" t="s">
        <v>1206</v>
      </c>
      <c r="E96" s="4"/>
      <c r="F96" s="8"/>
      <c r="G96" s="8"/>
      <c r="H96" s="8"/>
      <c r="I96" s="8"/>
      <c r="J96" s="8"/>
      <c r="K96" s="8">
        <v>1</v>
      </c>
      <c r="L96" s="18">
        <v>40000</v>
      </c>
      <c r="M96" s="7">
        <f t="shared" si="1"/>
        <v>40000</v>
      </c>
      <c r="N96" s="4" t="s">
        <v>1291</v>
      </c>
      <c r="O96" s="9"/>
    </row>
    <row r="97" spans="1:15" ht="40" x14ac:dyDescent="0.2">
      <c r="A97" s="3">
        <v>93</v>
      </c>
      <c r="B97" s="19"/>
      <c r="C97" s="4" t="s">
        <v>1301</v>
      </c>
      <c r="D97" s="4" t="s">
        <v>1206</v>
      </c>
      <c r="E97" s="4"/>
      <c r="F97" s="8"/>
      <c r="G97" s="8"/>
      <c r="H97" s="8"/>
      <c r="I97" s="8"/>
      <c r="J97" s="8"/>
      <c r="K97" s="8">
        <v>1</v>
      </c>
      <c r="L97" s="18">
        <v>59500</v>
      </c>
      <c r="M97" s="7">
        <f t="shared" si="1"/>
        <v>59500</v>
      </c>
      <c r="N97" s="4" t="s">
        <v>1291</v>
      </c>
      <c r="O97" s="9"/>
    </row>
    <row r="98" spans="1:15" ht="40" x14ac:dyDescent="0.2">
      <c r="A98" s="3">
        <v>94</v>
      </c>
      <c r="B98" s="19"/>
      <c r="C98" s="4" t="s">
        <v>1302</v>
      </c>
      <c r="D98" s="4" t="s">
        <v>1206</v>
      </c>
      <c r="E98" s="4"/>
      <c r="F98" s="8"/>
      <c r="G98" s="8"/>
      <c r="H98" s="8"/>
      <c r="I98" s="8"/>
      <c r="J98" s="8"/>
      <c r="K98" s="8">
        <v>1</v>
      </c>
      <c r="L98" s="18">
        <v>33250</v>
      </c>
      <c r="M98" s="7">
        <f t="shared" si="1"/>
        <v>33250</v>
      </c>
      <c r="N98" s="4" t="s">
        <v>1291</v>
      </c>
      <c r="O98" s="9"/>
    </row>
    <row r="99" spans="1:15" ht="20" x14ac:dyDescent="0.2">
      <c r="A99" s="3">
        <v>95</v>
      </c>
      <c r="B99" s="19"/>
      <c r="C99" s="4" t="s">
        <v>1303</v>
      </c>
      <c r="D99" s="4" t="s">
        <v>1206</v>
      </c>
      <c r="E99" s="4"/>
      <c r="F99" s="8"/>
      <c r="G99" s="8"/>
      <c r="H99" s="8"/>
      <c r="I99" s="8"/>
      <c r="J99" s="8"/>
      <c r="K99" s="8">
        <v>1</v>
      </c>
      <c r="L99" s="18">
        <v>44000</v>
      </c>
      <c r="M99" s="7">
        <f t="shared" si="1"/>
        <v>44000</v>
      </c>
      <c r="N99" s="4" t="s">
        <v>1291</v>
      </c>
      <c r="O99" s="9"/>
    </row>
    <row r="100" spans="1:15" ht="20" x14ac:dyDescent="0.2">
      <c r="A100" s="3">
        <v>96</v>
      </c>
      <c r="B100" s="19"/>
      <c r="C100" s="4" t="s">
        <v>1304</v>
      </c>
      <c r="D100" s="4" t="s">
        <v>1206</v>
      </c>
      <c r="E100" s="4"/>
      <c r="F100" s="8"/>
      <c r="G100" s="8"/>
      <c r="H100" s="8"/>
      <c r="I100" s="8"/>
      <c r="J100" s="8"/>
      <c r="K100" s="8">
        <v>1</v>
      </c>
      <c r="L100" s="18">
        <v>44000</v>
      </c>
      <c r="M100" s="7">
        <f t="shared" si="1"/>
        <v>44000</v>
      </c>
      <c r="N100" s="4" t="s">
        <v>1291</v>
      </c>
      <c r="O100" s="9"/>
    </row>
    <row r="101" spans="1:15" ht="20" x14ac:dyDescent="0.2">
      <c r="A101" s="3">
        <v>97</v>
      </c>
      <c r="B101" s="19"/>
      <c r="C101" s="4" t="s">
        <v>1305</v>
      </c>
      <c r="D101" s="4" t="s">
        <v>1206</v>
      </c>
      <c r="E101" s="4"/>
      <c r="F101" s="8"/>
      <c r="G101" s="8"/>
      <c r="H101" s="8"/>
      <c r="I101" s="8"/>
      <c r="J101" s="8"/>
      <c r="K101" s="8">
        <v>1</v>
      </c>
      <c r="L101" s="18">
        <v>1498</v>
      </c>
      <c r="M101" s="7">
        <f t="shared" si="1"/>
        <v>1498</v>
      </c>
      <c r="N101" s="4" t="s">
        <v>1291</v>
      </c>
      <c r="O101" s="9"/>
    </row>
    <row r="102" spans="1:15" ht="20" x14ac:dyDescent="0.2">
      <c r="A102" s="3">
        <v>98</v>
      </c>
      <c r="B102" s="19"/>
      <c r="C102" s="4" t="s">
        <v>1306</v>
      </c>
      <c r="D102" s="4" t="s">
        <v>1206</v>
      </c>
      <c r="E102" s="4"/>
      <c r="F102" s="8"/>
      <c r="G102" s="8"/>
      <c r="H102" s="8"/>
      <c r="I102" s="8"/>
      <c r="J102" s="8"/>
      <c r="K102" s="8">
        <v>1</v>
      </c>
      <c r="L102" s="18">
        <v>24000</v>
      </c>
      <c r="M102" s="7">
        <f t="shared" si="1"/>
        <v>24000</v>
      </c>
      <c r="N102" s="4" t="s">
        <v>1291</v>
      </c>
      <c r="O102" s="9"/>
    </row>
    <row r="103" spans="1:15" ht="20" x14ac:dyDescent="0.2">
      <c r="A103" s="3">
        <v>99</v>
      </c>
      <c r="B103" s="19"/>
      <c r="C103" s="4" t="s">
        <v>1307</v>
      </c>
      <c r="D103" s="4" t="s">
        <v>1206</v>
      </c>
      <c r="E103" s="4"/>
      <c r="F103" s="8"/>
      <c r="G103" s="8"/>
      <c r="H103" s="8"/>
      <c r="I103" s="8"/>
      <c r="J103" s="8"/>
      <c r="K103" s="8">
        <v>1</v>
      </c>
      <c r="L103" s="18">
        <v>640</v>
      </c>
      <c r="M103" s="7">
        <f t="shared" si="1"/>
        <v>640</v>
      </c>
      <c r="N103" s="4" t="s">
        <v>1291</v>
      </c>
      <c r="O103" s="9"/>
    </row>
    <row r="104" spans="1:15" ht="20" x14ac:dyDescent="0.2">
      <c r="A104" s="3">
        <v>100</v>
      </c>
      <c r="B104" s="19"/>
      <c r="C104" s="4" t="s">
        <v>1308</v>
      </c>
      <c r="D104" s="4" t="s">
        <v>1206</v>
      </c>
      <c r="E104" s="4"/>
      <c r="F104" s="8"/>
      <c r="G104" s="8"/>
      <c r="H104" s="8"/>
      <c r="I104" s="8"/>
      <c r="J104" s="8"/>
      <c r="K104" s="8">
        <v>1</v>
      </c>
      <c r="L104" s="18">
        <v>300</v>
      </c>
      <c r="M104" s="7">
        <f t="shared" si="1"/>
        <v>300</v>
      </c>
      <c r="N104" s="4" t="s">
        <v>1291</v>
      </c>
      <c r="O104" s="9"/>
    </row>
    <row r="105" spans="1:15" ht="20" x14ac:dyDescent="0.2">
      <c r="A105" s="3">
        <v>101</v>
      </c>
      <c r="B105" s="19"/>
      <c r="C105" s="4" t="s">
        <v>1309</v>
      </c>
      <c r="D105" s="4" t="s">
        <v>1206</v>
      </c>
      <c r="E105" s="4"/>
      <c r="F105" s="8"/>
      <c r="G105" s="8"/>
      <c r="H105" s="8"/>
      <c r="I105" s="8"/>
      <c r="J105" s="8"/>
      <c r="K105" s="8">
        <v>1</v>
      </c>
      <c r="L105" s="18">
        <v>14400</v>
      </c>
      <c r="M105" s="7">
        <f t="shared" si="1"/>
        <v>14400</v>
      </c>
      <c r="N105" s="4" t="s">
        <v>1291</v>
      </c>
      <c r="O105" s="9"/>
    </row>
    <row r="106" spans="1:15" ht="20" x14ac:dyDescent="0.2">
      <c r="A106" s="3">
        <v>102</v>
      </c>
      <c r="B106" s="19"/>
      <c r="C106" s="4" t="s">
        <v>1310</v>
      </c>
      <c r="D106" s="4" t="s">
        <v>1206</v>
      </c>
      <c r="E106" s="4"/>
      <c r="F106" s="8"/>
      <c r="G106" s="8"/>
      <c r="H106" s="8"/>
      <c r="I106" s="8"/>
      <c r="J106" s="8"/>
      <c r="K106" s="8">
        <v>1</v>
      </c>
      <c r="L106" s="18">
        <v>3600</v>
      </c>
      <c r="M106" s="7">
        <f t="shared" si="1"/>
        <v>3600</v>
      </c>
      <c r="N106" s="4" t="s">
        <v>1291</v>
      </c>
      <c r="O106" s="9"/>
    </row>
    <row r="107" spans="1:15" ht="20" x14ac:dyDescent="0.2">
      <c r="A107" s="3">
        <v>103</v>
      </c>
      <c r="B107" s="19"/>
      <c r="C107" s="4" t="s">
        <v>1311</v>
      </c>
      <c r="D107" s="4" t="s">
        <v>1206</v>
      </c>
      <c r="E107" s="4"/>
      <c r="F107" s="8"/>
      <c r="G107" s="8"/>
      <c r="H107" s="8"/>
      <c r="I107" s="8"/>
      <c r="J107" s="8"/>
      <c r="K107" s="8">
        <v>1</v>
      </c>
      <c r="L107" s="18">
        <v>17000</v>
      </c>
      <c r="M107" s="7">
        <f t="shared" si="1"/>
        <v>17000</v>
      </c>
      <c r="N107" s="4" t="s">
        <v>1291</v>
      </c>
      <c r="O107" s="9"/>
    </row>
    <row r="108" spans="1:15" ht="20" x14ac:dyDescent="0.2">
      <c r="A108" s="3">
        <v>104</v>
      </c>
      <c r="B108" s="19"/>
      <c r="C108" s="4" t="s">
        <v>1312</v>
      </c>
      <c r="D108" s="4" t="s">
        <v>1206</v>
      </c>
      <c r="E108" s="4"/>
      <c r="F108" s="8"/>
      <c r="G108" s="8"/>
      <c r="H108" s="8"/>
      <c r="I108" s="8"/>
      <c r="J108" s="8"/>
      <c r="K108" s="8">
        <v>1</v>
      </c>
      <c r="L108" s="18">
        <v>4000</v>
      </c>
      <c r="M108" s="7">
        <f t="shared" si="1"/>
        <v>4000</v>
      </c>
      <c r="N108" s="4" t="s">
        <v>1291</v>
      </c>
      <c r="O108" s="9"/>
    </row>
    <row r="109" spans="1:15" ht="20" x14ac:dyDescent="0.2">
      <c r="A109" s="3">
        <v>105</v>
      </c>
      <c r="B109" s="19"/>
      <c r="C109" s="4" t="s">
        <v>1313</v>
      </c>
      <c r="D109" s="4" t="s">
        <v>1206</v>
      </c>
      <c r="E109" s="4"/>
      <c r="F109" s="8"/>
      <c r="G109" s="8"/>
      <c r="H109" s="8"/>
      <c r="I109" s="8"/>
      <c r="J109" s="8"/>
      <c r="K109" s="8">
        <v>1</v>
      </c>
      <c r="L109" s="18">
        <v>1050</v>
      </c>
      <c r="M109" s="7">
        <f t="shared" si="1"/>
        <v>1050</v>
      </c>
      <c r="N109" s="4" t="s">
        <v>1291</v>
      </c>
      <c r="O109" s="9"/>
    </row>
    <row r="110" spans="1:15" ht="20" x14ac:dyDescent="0.2">
      <c r="A110" s="3">
        <v>106</v>
      </c>
      <c r="B110" s="19"/>
      <c r="C110" s="4" t="s">
        <v>1314</v>
      </c>
      <c r="D110" s="4" t="s">
        <v>1206</v>
      </c>
      <c r="E110" s="4"/>
      <c r="F110" s="8"/>
      <c r="G110" s="8"/>
      <c r="H110" s="8"/>
      <c r="I110" s="8"/>
      <c r="J110" s="8"/>
      <c r="K110" s="8">
        <v>1</v>
      </c>
      <c r="L110" s="18">
        <v>580</v>
      </c>
      <c r="M110" s="7">
        <f t="shared" si="1"/>
        <v>580</v>
      </c>
      <c r="N110" s="4" t="s">
        <v>1291</v>
      </c>
      <c r="O110" s="9"/>
    </row>
    <row r="111" spans="1:15" ht="20" x14ac:dyDescent="0.2">
      <c r="A111" s="3">
        <v>107</v>
      </c>
      <c r="B111" s="19"/>
      <c r="C111" s="4" t="s">
        <v>1315</v>
      </c>
      <c r="D111" s="4" t="s">
        <v>1206</v>
      </c>
      <c r="E111" s="4"/>
      <c r="F111" s="8"/>
      <c r="G111" s="8"/>
      <c r="H111" s="8"/>
      <c r="I111" s="8"/>
      <c r="J111" s="8"/>
      <c r="K111" s="8">
        <v>1</v>
      </c>
      <c r="L111" s="18">
        <v>60000</v>
      </c>
      <c r="M111" s="7">
        <f t="shared" si="1"/>
        <v>60000</v>
      </c>
      <c r="N111" s="4" t="s">
        <v>1291</v>
      </c>
      <c r="O111" s="9"/>
    </row>
    <row r="112" spans="1:15" ht="20" x14ac:dyDescent="0.2">
      <c r="A112" s="3">
        <v>108</v>
      </c>
      <c r="B112" s="19"/>
      <c r="C112" s="4" t="s">
        <v>1316</v>
      </c>
      <c r="D112" s="4" t="s">
        <v>1206</v>
      </c>
      <c r="E112" s="4"/>
      <c r="F112" s="8"/>
      <c r="G112" s="8"/>
      <c r="H112" s="8"/>
      <c r="I112" s="8"/>
      <c r="J112" s="8"/>
      <c r="K112" s="8">
        <v>1</v>
      </c>
      <c r="L112" s="18">
        <v>43500</v>
      </c>
      <c r="M112" s="7">
        <f t="shared" si="1"/>
        <v>43500</v>
      </c>
      <c r="N112" s="4" t="s">
        <v>1291</v>
      </c>
      <c r="O112" s="9"/>
    </row>
    <row r="113" spans="1:15" ht="20" x14ac:dyDescent="0.2">
      <c r="A113" s="3">
        <v>109</v>
      </c>
      <c r="B113" s="19"/>
      <c r="C113" s="4" t="s">
        <v>1317</v>
      </c>
      <c r="D113" s="4" t="s">
        <v>1206</v>
      </c>
      <c r="E113" s="4"/>
      <c r="F113" s="8"/>
      <c r="G113" s="8"/>
      <c r="H113" s="8"/>
      <c r="I113" s="8"/>
      <c r="J113" s="8"/>
      <c r="K113" s="8">
        <v>1</v>
      </c>
      <c r="L113" s="18">
        <v>5400</v>
      </c>
      <c r="M113" s="7">
        <f t="shared" si="1"/>
        <v>5400</v>
      </c>
      <c r="N113" s="4" t="s">
        <v>1291</v>
      </c>
      <c r="O113" s="9"/>
    </row>
    <row r="114" spans="1:15" ht="20" x14ac:dyDescent="0.2">
      <c r="A114" s="3">
        <v>110</v>
      </c>
      <c r="B114" s="19"/>
      <c r="C114" s="4" t="s">
        <v>1318</v>
      </c>
      <c r="D114" s="4" t="s">
        <v>1206</v>
      </c>
      <c r="E114" s="4"/>
      <c r="F114" s="8"/>
      <c r="G114" s="8"/>
      <c r="H114" s="8"/>
      <c r="I114" s="8"/>
      <c r="J114" s="8"/>
      <c r="K114" s="8">
        <v>1</v>
      </c>
      <c r="L114" s="18">
        <v>4200</v>
      </c>
      <c r="M114" s="7">
        <f t="shared" si="1"/>
        <v>4200</v>
      </c>
      <c r="N114" s="4" t="s">
        <v>1291</v>
      </c>
      <c r="O114" s="9"/>
    </row>
    <row r="115" spans="1:15" ht="20" x14ac:dyDescent="0.2">
      <c r="A115" s="3">
        <v>111</v>
      </c>
      <c r="B115" s="19"/>
      <c r="C115" s="4" t="s">
        <v>1319</v>
      </c>
      <c r="D115" s="4" t="s">
        <v>1206</v>
      </c>
      <c r="E115" s="4"/>
      <c r="F115" s="8"/>
      <c r="G115" s="8"/>
      <c r="H115" s="8"/>
      <c r="I115" s="8"/>
      <c r="J115" s="8"/>
      <c r="K115" s="8">
        <v>1</v>
      </c>
      <c r="L115" s="18">
        <v>540</v>
      </c>
      <c r="M115" s="7">
        <f t="shared" si="1"/>
        <v>540</v>
      </c>
      <c r="N115" s="4" t="s">
        <v>1291</v>
      </c>
      <c r="O115" s="9"/>
    </row>
    <row r="116" spans="1:15" ht="40" x14ac:dyDescent="0.2">
      <c r="A116" s="3">
        <v>112</v>
      </c>
      <c r="B116" s="19"/>
      <c r="C116" s="4" t="s">
        <v>1320</v>
      </c>
      <c r="D116" s="4" t="s">
        <v>1206</v>
      </c>
      <c r="E116" s="4"/>
      <c r="F116" s="8"/>
      <c r="G116" s="8"/>
      <c r="H116" s="8"/>
      <c r="I116" s="8"/>
      <c r="J116" s="8"/>
      <c r="K116" s="8">
        <v>1</v>
      </c>
      <c r="L116" s="18">
        <v>16800</v>
      </c>
      <c r="M116" s="7">
        <f t="shared" si="1"/>
        <v>16800</v>
      </c>
      <c r="N116" s="4" t="s">
        <v>1291</v>
      </c>
      <c r="O116" s="9"/>
    </row>
    <row r="117" spans="1:15" ht="40" x14ac:dyDescent="0.2">
      <c r="A117" s="3">
        <v>113</v>
      </c>
      <c r="B117" s="19"/>
      <c r="C117" s="4" t="s">
        <v>1321</v>
      </c>
      <c r="D117" s="4" t="s">
        <v>1206</v>
      </c>
      <c r="E117" s="4"/>
      <c r="F117" s="8"/>
      <c r="G117" s="8"/>
      <c r="H117" s="8"/>
      <c r="I117" s="8"/>
      <c r="J117" s="8"/>
      <c r="K117" s="8">
        <v>1</v>
      </c>
      <c r="L117" s="18">
        <v>16800</v>
      </c>
      <c r="M117" s="7">
        <f t="shared" si="1"/>
        <v>16800</v>
      </c>
      <c r="N117" s="4" t="s">
        <v>1291</v>
      </c>
      <c r="O117" s="9"/>
    </row>
    <row r="118" spans="1:15" ht="20" x14ac:dyDescent="0.2">
      <c r="A118" s="3">
        <v>114</v>
      </c>
      <c r="B118" s="19"/>
      <c r="C118" s="4" t="s">
        <v>1322</v>
      </c>
      <c r="D118" s="4" t="s">
        <v>1206</v>
      </c>
      <c r="E118" s="4"/>
      <c r="F118" s="8"/>
      <c r="G118" s="8"/>
      <c r="H118" s="8"/>
      <c r="I118" s="8"/>
      <c r="J118" s="8"/>
      <c r="K118" s="8">
        <v>1</v>
      </c>
      <c r="L118" s="18">
        <v>36000</v>
      </c>
      <c r="M118" s="7">
        <f t="shared" si="1"/>
        <v>36000</v>
      </c>
      <c r="N118" s="4" t="s">
        <v>1291</v>
      </c>
      <c r="O118" s="9"/>
    </row>
    <row r="119" spans="1:15" ht="20" x14ac:dyDescent="0.2">
      <c r="A119" s="3">
        <v>115</v>
      </c>
      <c r="B119" s="19"/>
      <c r="C119" s="4" t="s">
        <v>1323</v>
      </c>
      <c r="D119" s="4" t="s">
        <v>1206</v>
      </c>
      <c r="E119" s="4"/>
      <c r="F119" s="8"/>
      <c r="G119" s="8"/>
      <c r="H119" s="8"/>
      <c r="I119" s="8"/>
      <c r="J119" s="8"/>
      <c r="K119" s="8">
        <v>1</v>
      </c>
      <c r="L119" s="18">
        <v>29250</v>
      </c>
      <c r="M119" s="7">
        <f t="shared" si="1"/>
        <v>29250</v>
      </c>
      <c r="N119" s="4" t="s">
        <v>1291</v>
      </c>
      <c r="O119" s="9"/>
    </row>
    <row r="120" spans="1:15" ht="20" x14ac:dyDescent="0.2">
      <c r="A120" s="3">
        <v>116</v>
      </c>
      <c r="B120" s="19"/>
      <c r="C120" s="4" t="s">
        <v>1324</v>
      </c>
      <c r="D120" s="4" t="s">
        <v>1206</v>
      </c>
      <c r="E120" s="4"/>
      <c r="F120" s="8"/>
      <c r="G120" s="8"/>
      <c r="H120" s="8"/>
      <c r="I120" s="8"/>
      <c r="J120" s="8"/>
      <c r="K120" s="8">
        <v>1</v>
      </c>
      <c r="L120" s="18">
        <v>1900</v>
      </c>
      <c r="M120" s="7">
        <f t="shared" si="1"/>
        <v>1900</v>
      </c>
      <c r="N120" s="4" t="s">
        <v>1291</v>
      </c>
      <c r="O120" s="9"/>
    </row>
    <row r="121" spans="1:15" ht="20" x14ac:dyDescent="0.2">
      <c r="A121" s="3">
        <v>117</v>
      </c>
      <c r="B121" s="19"/>
      <c r="C121" s="4" t="s">
        <v>1325</v>
      </c>
      <c r="D121" s="4" t="s">
        <v>1206</v>
      </c>
      <c r="E121" s="4"/>
      <c r="F121" s="8"/>
      <c r="G121" s="8"/>
      <c r="H121" s="8"/>
      <c r="I121" s="8"/>
      <c r="J121" s="8"/>
      <c r="K121" s="8">
        <v>1</v>
      </c>
      <c r="L121" s="18">
        <v>6860</v>
      </c>
      <c r="M121" s="7">
        <f t="shared" si="1"/>
        <v>6860</v>
      </c>
      <c r="N121" s="4" t="s">
        <v>1291</v>
      </c>
      <c r="O121" s="9"/>
    </row>
    <row r="122" spans="1:15" ht="20" x14ac:dyDescent="0.2">
      <c r="A122" s="3">
        <v>118</v>
      </c>
      <c r="B122" s="19"/>
      <c r="C122" s="4" t="s">
        <v>1326</v>
      </c>
      <c r="D122" s="4" t="s">
        <v>1206</v>
      </c>
      <c r="E122" s="4"/>
      <c r="F122" s="8"/>
      <c r="G122" s="8"/>
      <c r="H122" s="8"/>
      <c r="I122" s="8"/>
      <c r="J122" s="8"/>
      <c r="K122" s="8">
        <v>1</v>
      </c>
      <c r="L122" s="18">
        <v>1600</v>
      </c>
      <c r="M122" s="7">
        <f t="shared" si="1"/>
        <v>1600</v>
      </c>
      <c r="N122" s="4" t="s">
        <v>1291</v>
      </c>
      <c r="O122" s="9"/>
    </row>
    <row r="123" spans="1:15" ht="20" x14ac:dyDescent="0.2">
      <c r="A123" s="3">
        <v>119</v>
      </c>
      <c r="B123" s="19"/>
      <c r="C123" s="4" t="s">
        <v>1327</v>
      </c>
      <c r="D123" s="4" t="s">
        <v>1206</v>
      </c>
      <c r="E123" s="4"/>
      <c r="F123" s="8"/>
      <c r="G123" s="8"/>
      <c r="H123" s="8"/>
      <c r="I123" s="8"/>
      <c r="J123" s="8"/>
      <c r="K123" s="8">
        <v>1</v>
      </c>
      <c r="L123" s="18">
        <v>272880</v>
      </c>
      <c r="M123" s="7">
        <f t="shared" si="1"/>
        <v>272880</v>
      </c>
      <c r="N123" s="4" t="s">
        <v>1291</v>
      </c>
      <c r="O123" s="9"/>
    </row>
    <row r="124" spans="1:15" ht="20" x14ac:dyDescent="0.2">
      <c r="A124" s="3">
        <v>120</v>
      </c>
      <c r="B124" s="19"/>
      <c r="C124" s="4" t="s">
        <v>1328</v>
      </c>
      <c r="D124" s="4" t="s">
        <v>1206</v>
      </c>
      <c r="E124" s="4"/>
      <c r="F124" s="8"/>
      <c r="G124" s="8"/>
      <c r="H124" s="8"/>
      <c r="I124" s="8"/>
      <c r="J124" s="8"/>
      <c r="K124" s="8">
        <v>1</v>
      </c>
      <c r="L124" s="18">
        <v>3750</v>
      </c>
      <c r="M124" s="7">
        <f t="shared" si="1"/>
        <v>3750</v>
      </c>
      <c r="N124" s="4" t="s">
        <v>1291</v>
      </c>
      <c r="O124" s="9"/>
    </row>
    <row r="125" spans="1:15" ht="20" x14ac:dyDescent="0.2">
      <c r="A125" s="3">
        <v>121</v>
      </c>
      <c r="B125" s="19"/>
      <c r="C125" s="4" t="s">
        <v>1329</v>
      </c>
      <c r="D125" s="4" t="s">
        <v>1206</v>
      </c>
      <c r="E125" s="4"/>
      <c r="F125" s="8"/>
      <c r="G125" s="8"/>
      <c r="H125" s="8"/>
      <c r="I125" s="8"/>
      <c r="J125" s="8"/>
      <c r="K125" s="8">
        <v>1</v>
      </c>
      <c r="L125" s="18">
        <v>600</v>
      </c>
      <c r="M125" s="7">
        <f t="shared" si="1"/>
        <v>600</v>
      </c>
      <c r="N125" s="4" t="s">
        <v>1291</v>
      </c>
      <c r="O125" s="9"/>
    </row>
    <row r="126" spans="1:15" ht="20" x14ac:dyDescent="0.2">
      <c r="A126" s="3">
        <v>122</v>
      </c>
      <c r="B126" s="19"/>
      <c r="C126" s="4" t="s">
        <v>1330</v>
      </c>
      <c r="D126" s="4" t="s">
        <v>1206</v>
      </c>
      <c r="E126" s="4"/>
      <c r="F126" s="8"/>
      <c r="G126" s="8"/>
      <c r="H126" s="8"/>
      <c r="I126" s="8"/>
      <c r="J126" s="8"/>
      <c r="K126" s="8">
        <v>1</v>
      </c>
      <c r="L126" s="18">
        <v>11900</v>
      </c>
      <c r="M126" s="7">
        <f t="shared" si="1"/>
        <v>11900</v>
      </c>
      <c r="N126" s="4" t="s">
        <v>1291</v>
      </c>
      <c r="O126" s="9"/>
    </row>
    <row r="127" spans="1:15" ht="20" x14ac:dyDescent="0.2">
      <c r="A127" s="3">
        <v>123</v>
      </c>
      <c r="B127" s="19"/>
      <c r="C127" s="4" t="s">
        <v>1331</v>
      </c>
      <c r="D127" s="4" t="s">
        <v>1206</v>
      </c>
      <c r="E127" s="4"/>
      <c r="F127" s="8"/>
      <c r="G127" s="8"/>
      <c r="H127" s="8"/>
      <c r="I127" s="8"/>
      <c r="J127" s="8"/>
      <c r="K127" s="8">
        <v>1</v>
      </c>
      <c r="L127" s="18">
        <v>1600</v>
      </c>
      <c r="M127" s="7">
        <f t="shared" si="1"/>
        <v>1600</v>
      </c>
      <c r="N127" s="4" t="s">
        <v>1291</v>
      </c>
      <c r="O127" s="9"/>
    </row>
    <row r="128" spans="1:15" ht="20" x14ac:dyDescent="0.2">
      <c r="A128" s="3">
        <v>124</v>
      </c>
      <c r="B128" s="19"/>
      <c r="C128" s="4" t="s">
        <v>1332</v>
      </c>
      <c r="D128" s="4" t="s">
        <v>1206</v>
      </c>
      <c r="E128" s="4"/>
      <c r="F128" s="8"/>
      <c r="G128" s="8"/>
      <c r="H128" s="8"/>
      <c r="I128" s="8"/>
      <c r="J128" s="8"/>
      <c r="K128" s="8">
        <v>1</v>
      </c>
      <c r="L128" s="18">
        <v>1700</v>
      </c>
      <c r="M128" s="7">
        <f t="shared" si="1"/>
        <v>1700</v>
      </c>
      <c r="N128" s="4" t="s">
        <v>1291</v>
      </c>
      <c r="O128" s="9"/>
    </row>
    <row r="129" spans="1:15" ht="20" x14ac:dyDescent="0.2">
      <c r="A129" s="3">
        <v>125</v>
      </c>
      <c r="B129" s="19"/>
      <c r="C129" s="4" t="s">
        <v>1333</v>
      </c>
      <c r="D129" s="4" t="s">
        <v>1206</v>
      </c>
      <c r="E129" s="4"/>
      <c r="F129" s="8"/>
      <c r="G129" s="8"/>
      <c r="H129" s="8"/>
      <c r="I129" s="8"/>
      <c r="J129" s="8"/>
      <c r="K129" s="8">
        <v>1</v>
      </c>
      <c r="L129" s="18">
        <v>6500</v>
      </c>
      <c r="M129" s="7">
        <f t="shared" si="1"/>
        <v>6500</v>
      </c>
      <c r="N129" s="4" t="s">
        <v>1291</v>
      </c>
      <c r="O129" s="9"/>
    </row>
    <row r="130" spans="1:15" ht="20" x14ac:dyDescent="0.2">
      <c r="A130" s="3">
        <v>126</v>
      </c>
      <c r="B130" s="19"/>
      <c r="C130" s="4" t="s">
        <v>1334</v>
      </c>
      <c r="D130" s="4" t="s">
        <v>1206</v>
      </c>
      <c r="E130" s="4"/>
      <c r="F130" s="8"/>
      <c r="G130" s="8"/>
      <c r="H130" s="8"/>
      <c r="I130" s="8"/>
      <c r="J130" s="8"/>
      <c r="K130" s="8">
        <v>1</v>
      </c>
      <c r="L130" s="18">
        <v>28500</v>
      </c>
      <c r="M130" s="7">
        <f t="shared" si="1"/>
        <v>28500</v>
      </c>
      <c r="N130" s="4" t="s">
        <v>1291</v>
      </c>
      <c r="O130" s="9"/>
    </row>
    <row r="131" spans="1:15" ht="20" x14ac:dyDescent="0.2">
      <c r="A131" s="3">
        <v>127</v>
      </c>
      <c r="B131" s="19"/>
      <c r="C131" s="4" t="s">
        <v>1335</v>
      </c>
      <c r="D131" s="4" t="s">
        <v>1206</v>
      </c>
      <c r="E131" s="4"/>
      <c r="F131" s="8"/>
      <c r="G131" s="8"/>
      <c r="H131" s="8"/>
      <c r="I131" s="8"/>
      <c r="J131" s="8"/>
      <c r="K131" s="8">
        <v>1</v>
      </c>
      <c r="L131" s="18">
        <v>2240</v>
      </c>
      <c r="M131" s="7">
        <f t="shared" si="1"/>
        <v>2240</v>
      </c>
      <c r="N131" s="4" t="s">
        <v>1291</v>
      </c>
      <c r="O131" s="9"/>
    </row>
    <row r="132" spans="1:15" ht="20" x14ac:dyDescent="0.2">
      <c r="A132" s="3">
        <v>128</v>
      </c>
      <c r="B132" s="19"/>
      <c r="C132" s="4" t="s">
        <v>1336</v>
      </c>
      <c r="D132" s="4" t="s">
        <v>1206</v>
      </c>
      <c r="E132" s="4"/>
      <c r="F132" s="8"/>
      <c r="G132" s="8"/>
      <c r="H132" s="8"/>
      <c r="I132" s="8"/>
      <c r="J132" s="8"/>
      <c r="K132" s="8">
        <v>1</v>
      </c>
      <c r="L132" s="18">
        <v>3800</v>
      </c>
      <c r="M132" s="7">
        <f t="shared" si="1"/>
        <v>3800</v>
      </c>
      <c r="N132" s="4" t="s">
        <v>1291</v>
      </c>
      <c r="O132" s="9"/>
    </row>
    <row r="133" spans="1:15" ht="20" x14ac:dyDescent="0.2">
      <c r="A133" s="3">
        <v>129</v>
      </c>
      <c r="B133" s="19"/>
      <c r="C133" s="4" t="s">
        <v>1337</v>
      </c>
      <c r="D133" s="4" t="s">
        <v>1206</v>
      </c>
      <c r="E133" s="4"/>
      <c r="F133" s="8"/>
      <c r="G133" s="8"/>
      <c r="H133" s="8"/>
      <c r="I133" s="8"/>
      <c r="J133" s="8"/>
      <c r="K133" s="8">
        <v>1</v>
      </c>
      <c r="L133" s="18">
        <v>3750</v>
      </c>
      <c r="M133" s="7">
        <f t="shared" ref="M133:M196" si="2">IF(OR(K133="",L133=""),"",K133*L133)</f>
        <v>3750</v>
      </c>
      <c r="N133" s="4" t="s">
        <v>1291</v>
      </c>
      <c r="O133" s="9"/>
    </row>
    <row r="134" spans="1:15" ht="40" x14ac:dyDescent="0.2">
      <c r="A134" s="3">
        <v>130</v>
      </c>
      <c r="B134" s="19"/>
      <c r="C134" s="4" t="s">
        <v>1338</v>
      </c>
      <c r="D134" s="4" t="s">
        <v>1206</v>
      </c>
      <c r="E134" s="4"/>
      <c r="F134" s="8"/>
      <c r="G134" s="8"/>
      <c r="H134" s="8"/>
      <c r="I134" s="8"/>
      <c r="J134" s="8"/>
      <c r="K134" s="8">
        <v>1</v>
      </c>
      <c r="L134" s="18">
        <v>22500</v>
      </c>
      <c r="M134" s="7">
        <f t="shared" si="2"/>
        <v>22500</v>
      </c>
      <c r="N134" s="4" t="s">
        <v>1291</v>
      </c>
      <c r="O134" s="9"/>
    </row>
    <row r="135" spans="1:15" ht="20" x14ac:dyDescent="0.2">
      <c r="A135" s="3">
        <v>131</v>
      </c>
      <c r="B135" s="19"/>
      <c r="C135" s="4" t="s">
        <v>1339</v>
      </c>
      <c r="D135" s="4" t="s">
        <v>1206</v>
      </c>
      <c r="E135" s="4"/>
      <c r="F135" s="8"/>
      <c r="G135" s="8"/>
      <c r="H135" s="8"/>
      <c r="I135" s="8"/>
      <c r="J135" s="8"/>
      <c r="K135" s="8">
        <v>1</v>
      </c>
      <c r="L135" s="18">
        <v>2500</v>
      </c>
      <c r="M135" s="7">
        <f t="shared" si="2"/>
        <v>2500</v>
      </c>
      <c r="N135" s="4" t="s">
        <v>1291</v>
      </c>
      <c r="O135" s="9"/>
    </row>
    <row r="136" spans="1:15" ht="20" x14ac:dyDescent="0.2">
      <c r="A136" s="3">
        <v>132</v>
      </c>
      <c r="B136" s="19"/>
      <c r="C136" s="4" t="s">
        <v>1340</v>
      </c>
      <c r="D136" s="4" t="s">
        <v>1206</v>
      </c>
      <c r="E136" s="4"/>
      <c r="F136" s="8"/>
      <c r="G136" s="8"/>
      <c r="H136" s="8"/>
      <c r="I136" s="8"/>
      <c r="J136" s="8"/>
      <c r="K136" s="8">
        <v>1</v>
      </c>
      <c r="L136" s="18">
        <v>16000</v>
      </c>
      <c r="M136" s="7">
        <f t="shared" si="2"/>
        <v>16000</v>
      </c>
      <c r="N136" s="4" t="s">
        <v>1291</v>
      </c>
      <c r="O136" s="9"/>
    </row>
    <row r="137" spans="1:15" ht="20" x14ac:dyDescent="0.2">
      <c r="A137" s="3">
        <v>133</v>
      </c>
      <c r="B137" s="19"/>
      <c r="C137" s="4" t="s">
        <v>1341</v>
      </c>
      <c r="D137" s="4" t="s">
        <v>1206</v>
      </c>
      <c r="E137" s="4"/>
      <c r="F137" s="8"/>
      <c r="G137" s="8"/>
      <c r="H137" s="8"/>
      <c r="I137" s="8"/>
      <c r="J137" s="8"/>
      <c r="K137" s="8">
        <v>1</v>
      </c>
      <c r="L137" s="18">
        <v>326400</v>
      </c>
      <c r="M137" s="7">
        <f t="shared" si="2"/>
        <v>326400</v>
      </c>
      <c r="N137" s="4" t="s">
        <v>1291</v>
      </c>
      <c r="O137" s="9"/>
    </row>
    <row r="138" spans="1:15" ht="20" x14ac:dyDescent="0.2">
      <c r="A138" s="3">
        <v>134</v>
      </c>
      <c r="B138" s="19"/>
      <c r="C138" s="4" t="s">
        <v>1342</v>
      </c>
      <c r="D138" s="4" t="s">
        <v>1206</v>
      </c>
      <c r="E138" s="4"/>
      <c r="F138" s="8"/>
      <c r="G138" s="8"/>
      <c r="H138" s="8"/>
      <c r="I138" s="8"/>
      <c r="J138" s="8"/>
      <c r="K138" s="8">
        <v>1</v>
      </c>
      <c r="L138" s="18">
        <v>5000</v>
      </c>
      <c r="M138" s="7">
        <f t="shared" si="2"/>
        <v>5000</v>
      </c>
      <c r="N138" s="4" t="s">
        <v>1291</v>
      </c>
      <c r="O138" s="9"/>
    </row>
    <row r="139" spans="1:15" ht="20" x14ac:dyDescent="0.2">
      <c r="A139" s="3">
        <v>135</v>
      </c>
      <c r="B139" s="19"/>
      <c r="C139" s="4" t="s">
        <v>1343</v>
      </c>
      <c r="D139" s="4" t="s">
        <v>1206</v>
      </c>
      <c r="E139" s="4"/>
      <c r="F139" s="8"/>
      <c r="G139" s="8"/>
      <c r="H139" s="8"/>
      <c r="I139" s="8"/>
      <c r="J139" s="8"/>
      <c r="K139" s="8">
        <v>1</v>
      </c>
      <c r="L139" s="18">
        <v>8500</v>
      </c>
      <c r="M139" s="7">
        <f t="shared" si="2"/>
        <v>8500</v>
      </c>
      <c r="N139" s="4" t="s">
        <v>1291</v>
      </c>
      <c r="O139" s="9"/>
    </row>
    <row r="140" spans="1:15" ht="20" x14ac:dyDescent="0.2">
      <c r="A140" s="3">
        <v>136</v>
      </c>
      <c r="B140" s="19"/>
      <c r="C140" s="4" t="s">
        <v>1344</v>
      </c>
      <c r="D140" s="4" t="s">
        <v>1206</v>
      </c>
      <c r="E140" s="4"/>
      <c r="F140" s="8"/>
      <c r="G140" s="8"/>
      <c r="H140" s="8"/>
      <c r="I140" s="8"/>
      <c r="J140" s="8"/>
      <c r="K140" s="8">
        <v>1</v>
      </c>
      <c r="L140" s="18">
        <v>100000</v>
      </c>
      <c r="M140" s="7">
        <f t="shared" si="2"/>
        <v>100000</v>
      </c>
      <c r="N140" s="4" t="s">
        <v>1291</v>
      </c>
      <c r="O140" s="9"/>
    </row>
    <row r="141" spans="1:15" ht="20" x14ac:dyDescent="0.2">
      <c r="A141" s="3">
        <v>137</v>
      </c>
      <c r="B141" s="19"/>
      <c r="C141" s="4" t="s">
        <v>1345</v>
      </c>
      <c r="D141" s="4" t="s">
        <v>1206</v>
      </c>
      <c r="E141" s="4"/>
      <c r="F141" s="8"/>
      <c r="G141" s="8"/>
      <c r="H141" s="8"/>
      <c r="I141" s="8"/>
      <c r="J141" s="8"/>
      <c r="K141" s="8">
        <v>1</v>
      </c>
      <c r="L141" s="18">
        <v>130000</v>
      </c>
      <c r="M141" s="7">
        <f t="shared" si="2"/>
        <v>130000</v>
      </c>
      <c r="N141" s="4" t="s">
        <v>1291</v>
      </c>
      <c r="O141" s="9"/>
    </row>
    <row r="142" spans="1:15" ht="40" x14ac:dyDescent="0.2">
      <c r="A142" s="3">
        <v>138</v>
      </c>
      <c r="B142" s="19"/>
      <c r="C142" s="4" t="s">
        <v>1346</v>
      </c>
      <c r="D142" s="4" t="s">
        <v>1206</v>
      </c>
      <c r="E142" s="4"/>
      <c r="F142" s="8"/>
      <c r="G142" s="8"/>
      <c r="H142" s="8"/>
      <c r="I142" s="8"/>
      <c r="J142" s="8"/>
      <c r="K142" s="8">
        <v>1</v>
      </c>
      <c r="L142" s="18">
        <v>237500</v>
      </c>
      <c r="M142" s="7">
        <f t="shared" si="2"/>
        <v>237500</v>
      </c>
      <c r="N142" s="4" t="s">
        <v>1291</v>
      </c>
      <c r="O142" s="9"/>
    </row>
    <row r="143" spans="1:15" ht="20" x14ac:dyDescent="0.2">
      <c r="A143" s="3">
        <v>139</v>
      </c>
      <c r="B143" s="19"/>
      <c r="C143" s="4" t="s">
        <v>1347</v>
      </c>
      <c r="D143" s="4" t="s">
        <v>1206</v>
      </c>
      <c r="E143" s="4"/>
      <c r="F143" s="8"/>
      <c r="G143" s="8"/>
      <c r="H143" s="8"/>
      <c r="I143" s="8"/>
      <c r="J143" s="8"/>
      <c r="K143" s="8">
        <v>1</v>
      </c>
      <c r="L143" s="18">
        <v>395200</v>
      </c>
      <c r="M143" s="7">
        <f t="shared" si="2"/>
        <v>395200</v>
      </c>
      <c r="N143" s="4" t="s">
        <v>1291</v>
      </c>
      <c r="O143" s="9"/>
    </row>
    <row r="144" spans="1:15" ht="20" x14ac:dyDescent="0.2">
      <c r="A144" s="3">
        <v>140</v>
      </c>
      <c r="B144" s="19"/>
      <c r="C144" s="4" t="s">
        <v>1348</v>
      </c>
      <c r="D144" s="4" t="s">
        <v>1206</v>
      </c>
      <c r="E144" s="4"/>
      <c r="F144" s="8"/>
      <c r="G144" s="8"/>
      <c r="H144" s="8"/>
      <c r="I144" s="8"/>
      <c r="J144" s="8"/>
      <c r="K144" s="8">
        <v>1</v>
      </c>
      <c r="L144" s="18">
        <v>30000</v>
      </c>
      <c r="M144" s="7">
        <f t="shared" si="2"/>
        <v>30000</v>
      </c>
      <c r="N144" s="4" t="s">
        <v>1291</v>
      </c>
      <c r="O144" s="9"/>
    </row>
    <row r="145" spans="1:15" ht="20" x14ac:dyDescent="0.2">
      <c r="A145" s="3">
        <v>141</v>
      </c>
      <c r="B145" s="19"/>
      <c r="C145" s="4" t="s">
        <v>1349</v>
      </c>
      <c r="D145" s="4" t="s">
        <v>1206</v>
      </c>
      <c r="E145" s="4"/>
      <c r="F145" s="8"/>
      <c r="G145" s="8"/>
      <c r="H145" s="8"/>
      <c r="I145" s="8"/>
      <c r="J145" s="8"/>
      <c r="K145" s="8">
        <v>1</v>
      </c>
      <c r="L145" s="18">
        <v>116000</v>
      </c>
      <c r="M145" s="7">
        <f t="shared" si="2"/>
        <v>116000</v>
      </c>
      <c r="N145" s="4" t="s">
        <v>1291</v>
      </c>
      <c r="O145" s="9"/>
    </row>
    <row r="146" spans="1:15" ht="20" x14ac:dyDescent="0.2">
      <c r="A146" s="3">
        <v>142</v>
      </c>
      <c r="B146" s="19"/>
      <c r="C146" s="4" t="s">
        <v>1350</v>
      </c>
      <c r="D146" s="4" t="s">
        <v>1206</v>
      </c>
      <c r="E146" s="4"/>
      <c r="F146" s="8"/>
      <c r="G146" s="8"/>
      <c r="H146" s="8"/>
      <c r="I146" s="8"/>
      <c r="J146" s="8"/>
      <c r="K146" s="8">
        <v>1</v>
      </c>
      <c r="L146" s="18">
        <v>160000</v>
      </c>
      <c r="M146" s="7">
        <f t="shared" si="2"/>
        <v>160000</v>
      </c>
      <c r="N146" s="4" t="s">
        <v>1291</v>
      </c>
      <c r="O146" s="9"/>
    </row>
    <row r="147" spans="1:15" ht="20" x14ac:dyDescent="0.2">
      <c r="A147" s="3">
        <v>143</v>
      </c>
      <c r="B147" s="19"/>
      <c r="C147" s="4" t="s">
        <v>1351</v>
      </c>
      <c r="D147" s="4" t="s">
        <v>1206</v>
      </c>
      <c r="E147" s="4"/>
      <c r="F147" s="8"/>
      <c r="G147" s="8"/>
      <c r="H147" s="8"/>
      <c r="I147" s="8"/>
      <c r="J147" s="8"/>
      <c r="K147" s="8">
        <v>1</v>
      </c>
      <c r="L147" s="18">
        <v>47500</v>
      </c>
      <c r="M147" s="7">
        <f t="shared" si="2"/>
        <v>47500</v>
      </c>
      <c r="N147" s="4" t="s">
        <v>1291</v>
      </c>
      <c r="O147" s="9"/>
    </row>
    <row r="148" spans="1:15" ht="20" x14ac:dyDescent="0.2">
      <c r="A148" s="3">
        <v>144</v>
      </c>
      <c r="B148" s="19"/>
      <c r="C148" s="4" t="s">
        <v>1352</v>
      </c>
      <c r="D148" s="4" t="s">
        <v>1206</v>
      </c>
      <c r="E148" s="4"/>
      <c r="F148" s="8"/>
      <c r="G148" s="8"/>
      <c r="H148" s="8"/>
      <c r="I148" s="8"/>
      <c r="J148" s="8"/>
      <c r="K148" s="8">
        <v>1</v>
      </c>
      <c r="L148" s="18">
        <v>42500</v>
      </c>
      <c r="M148" s="7">
        <f t="shared" si="2"/>
        <v>42500</v>
      </c>
      <c r="N148" s="4" t="s">
        <v>1291</v>
      </c>
      <c r="O148" s="9"/>
    </row>
    <row r="149" spans="1:15" ht="20" x14ac:dyDescent="0.2">
      <c r="A149" s="3">
        <v>145</v>
      </c>
      <c r="B149" s="19"/>
      <c r="C149" s="4" t="s">
        <v>1353</v>
      </c>
      <c r="D149" s="4" t="s">
        <v>1206</v>
      </c>
      <c r="E149" s="4"/>
      <c r="F149" s="8"/>
      <c r="G149" s="8"/>
      <c r="H149" s="8"/>
      <c r="I149" s="8"/>
      <c r="J149" s="8"/>
      <c r="K149" s="8">
        <v>1</v>
      </c>
      <c r="L149" s="18">
        <v>120000</v>
      </c>
      <c r="M149" s="7">
        <f t="shared" si="2"/>
        <v>120000</v>
      </c>
      <c r="N149" s="4" t="s">
        <v>1291</v>
      </c>
      <c r="O149" s="9"/>
    </row>
    <row r="150" spans="1:15" ht="20" x14ac:dyDescent="0.2">
      <c r="A150" s="3">
        <v>146</v>
      </c>
      <c r="B150" s="19"/>
      <c r="C150" s="4" t="s">
        <v>1354</v>
      </c>
      <c r="D150" s="4" t="s">
        <v>1206</v>
      </c>
      <c r="E150" s="4"/>
      <c r="F150" s="8"/>
      <c r="G150" s="8"/>
      <c r="H150" s="8"/>
      <c r="I150" s="8"/>
      <c r="J150" s="8"/>
      <c r="K150" s="8">
        <v>1</v>
      </c>
      <c r="L150" s="18">
        <v>39000</v>
      </c>
      <c r="M150" s="7">
        <f t="shared" si="2"/>
        <v>39000</v>
      </c>
      <c r="N150" s="4" t="s">
        <v>1291</v>
      </c>
      <c r="O150" s="9"/>
    </row>
    <row r="151" spans="1:15" ht="20" x14ac:dyDescent="0.2">
      <c r="A151" s="3">
        <v>147</v>
      </c>
      <c r="B151" s="19"/>
      <c r="C151" s="4" t="s">
        <v>1355</v>
      </c>
      <c r="D151" s="4" t="s">
        <v>1206</v>
      </c>
      <c r="E151" s="4"/>
      <c r="F151" s="8"/>
      <c r="G151" s="8"/>
      <c r="H151" s="8"/>
      <c r="I151" s="8"/>
      <c r="J151" s="8"/>
      <c r="K151" s="8">
        <v>1</v>
      </c>
      <c r="L151" s="18">
        <v>26000</v>
      </c>
      <c r="M151" s="7">
        <f t="shared" si="2"/>
        <v>26000</v>
      </c>
      <c r="N151" s="4" t="s">
        <v>1291</v>
      </c>
      <c r="O151" s="9"/>
    </row>
    <row r="152" spans="1:15" ht="20" x14ac:dyDescent="0.2">
      <c r="A152" s="3">
        <v>148</v>
      </c>
      <c r="B152" s="19"/>
      <c r="C152" s="4" t="s">
        <v>1356</v>
      </c>
      <c r="D152" s="4" t="s">
        <v>1206</v>
      </c>
      <c r="E152" s="4"/>
      <c r="F152" s="8"/>
      <c r="G152" s="8"/>
      <c r="H152" s="8"/>
      <c r="I152" s="8"/>
      <c r="J152" s="8"/>
      <c r="K152" s="8">
        <v>1</v>
      </c>
      <c r="L152" s="18">
        <v>45000</v>
      </c>
      <c r="M152" s="7">
        <f t="shared" si="2"/>
        <v>45000</v>
      </c>
      <c r="N152" s="4" t="s">
        <v>1291</v>
      </c>
      <c r="O152" s="9"/>
    </row>
    <row r="153" spans="1:15" ht="20" x14ac:dyDescent="0.2">
      <c r="A153" s="3">
        <v>149</v>
      </c>
      <c r="B153" s="19"/>
      <c r="C153" s="4" t="s">
        <v>1357</v>
      </c>
      <c r="D153" s="4" t="s">
        <v>1206</v>
      </c>
      <c r="E153" s="4"/>
      <c r="F153" s="8"/>
      <c r="G153" s="8"/>
      <c r="H153" s="8"/>
      <c r="I153" s="8"/>
      <c r="J153" s="8"/>
      <c r="K153" s="8">
        <v>1</v>
      </c>
      <c r="L153" s="18">
        <v>292500</v>
      </c>
      <c r="M153" s="7">
        <f t="shared" si="2"/>
        <v>292500</v>
      </c>
      <c r="N153" s="4" t="s">
        <v>1291</v>
      </c>
      <c r="O153" s="9"/>
    </row>
    <row r="154" spans="1:15" ht="20" x14ac:dyDescent="0.2">
      <c r="A154" s="3">
        <v>150</v>
      </c>
      <c r="B154" s="19"/>
      <c r="C154" s="4" t="s">
        <v>1358</v>
      </c>
      <c r="D154" s="4" t="s">
        <v>1206</v>
      </c>
      <c r="E154" s="4"/>
      <c r="F154" s="8"/>
      <c r="G154" s="8"/>
      <c r="H154" s="8"/>
      <c r="I154" s="8"/>
      <c r="J154" s="8"/>
      <c r="K154" s="8">
        <v>1</v>
      </c>
      <c r="L154" s="18">
        <v>1900</v>
      </c>
      <c r="M154" s="7">
        <f t="shared" si="2"/>
        <v>1900</v>
      </c>
      <c r="N154" s="4" t="s">
        <v>1291</v>
      </c>
      <c r="O154" s="9"/>
    </row>
    <row r="155" spans="1:15" ht="20" x14ac:dyDescent="0.2">
      <c r="A155" s="3">
        <v>151</v>
      </c>
      <c r="B155" s="19"/>
      <c r="C155" s="4" t="s">
        <v>1359</v>
      </c>
      <c r="D155" s="4" t="s">
        <v>1206</v>
      </c>
      <c r="E155" s="4"/>
      <c r="F155" s="8"/>
      <c r="G155" s="8"/>
      <c r="H155" s="8"/>
      <c r="I155" s="8"/>
      <c r="J155" s="8"/>
      <c r="K155" s="8">
        <v>1</v>
      </c>
      <c r="L155" s="18">
        <v>2000</v>
      </c>
      <c r="M155" s="7">
        <f t="shared" si="2"/>
        <v>2000</v>
      </c>
      <c r="N155" s="4" t="s">
        <v>1291</v>
      </c>
      <c r="O155" s="9"/>
    </row>
    <row r="156" spans="1:15" ht="20" x14ac:dyDescent="0.2">
      <c r="A156" s="3">
        <v>152</v>
      </c>
      <c r="B156" s="19"/>
      <c r="C156" s="4" t="s">
        <v>1360</v>
      </c>
      <c r="D156" s="4" t="s">
        <v>1206</v>
      </c>
      <c r="E156" s="4"/>
      <c r="F156" s="8"/>
      <c r="G156" s="8"/>
      <c r="H156" s="8"/>
      <c r="I156" s="8"/>
      <c r="J156" s="8"/>
      <c r="K156" s="8">
        <v>1</v>
      </c>
      <c r="L156" s="18">
        <v>3400</v>
      </c>
      <c r="M156" s="7">
        <f t="shared" si="2"/>
        <v>3400</v>
      </c>
      <c r="N156" s="4" t="s">
        <v>1291</v>
      </c>
      <c r="O156" s="9"/>
    </row>
    <row r="157" spans="1:15" ht="20" x14ac:dyDescent="0.2">
      <c r="A157" s="3">
        <v>153</v>
      </c>
      <c r="B157" s="19"/>
      <c r="C157" s="4" t="s">
        <v>1361</v>
      </c>
      <c r="D157" s="4" t="s">
        <v>1206</v>
      </c>
      <c r="E157" s="4"/>
      <c r="F157" s="8"/>
      <c r="G157" s="8"/>
      <c r="H157" s="8"/>
      <c r="I157" s="8"/>
      <c r="J157" s="8"/>
      <c r="K157" s="8">
        <v>1</v>
      </c>
      <c r="L157" s="18">
        <v>550</v>
      </c>
      <c r="M157" s="7">
        <f t="shared" si="2"/>
        <v>550</v>
      </c>
      <c r="N157" s="4" t="s">
        <v>1291</v>
      </c>
      <c r="O157" s="9"/>
    </row>
    <row r="158" spans="1:15" ht="20" x14ac:dyDescent="0.2">
      <c r="A158" s="3">
        <v>154</v>
      </c>
      <c r="B158" s="19"/>
      <c r="C158" s="4" t="s">
        <v>1362</v>
      </c>
      <c r="D158" s="4" t="s">
        <v>1206</v>
      </c>
      <c r="E158" s="4"/>
      <c r="F158" s="8"/>
      <c r="G158" s="8"/>
      <c r="H158" s="8"/>
      <c r="I158" s="8"/>
      <c r="J158" s="8"/>
      <c r="K158" s="8">
        <v>1</v>
      </c>
      <c r="L158" s="18">
        <v>31140</v>
      </c>
      <c r="M158" s="7">
        <f t="shared" si="2"/>
        <v>31140</v>
      </c>
      <c r="N158" s="4" t="s">
        <v>1291</v>
      </c>
      <c r="O158" s="9"/>
    </row>
    <row r="159" spans="1:15" ht="20" x14ac:dyDescent="0.2">
      <c r="A159" s="3">
        <v>155</v>
      </c>
      <c r="B159" s="19"/>
      <c r="C159" s="4" t="s">
        <v>1363</v>
      </c>
      <c r="D159" s="4" t="s">
        <v>1206</v>
      </c>
      <c r="E159" s="4"/>
      <c r="F159" s="8"/>
      <c r="G159" s="8"/>
      <c r="H159" s="8"/>
      <c r="I159" s="8"/>
      <c r="J159" s="8"/>
      <c r="K159" s="8">
        <v>1</v>
      </c>
      <c r="L159" s="18">
        <v>3500</v>
      </c>
      <c r="M159" s="7">
        <f t="shared" si="2"/>
        <v>3500</v>
      </c>
      <c r="N159" s="4" t="s">
        <v>1291</v>
      </c>
      <c r="O159" s="9"/>
    </row>
    <row r="160" spans="1:15" ht="40" x14ac:dyDescent="0.2">
      <c r="A160" s="3">
        <v>156</v>
      </c>
      <c r="B160" s="19"/>
      <c r="C160" s="4" t="s">
        <v>1364</v>
      </c>
      <c r="D160" s="4" t="s">
        <v>1206</v>
      </c>
      <c r="E160" s="4"/>
      <c r="F160" s="8"/>
      <c r="G160" s="8"/>
      <c r="H160" s="8"/>
      <c r="I160" s="8"/>
      <c r="J160" s="8"/>
      <c r="K160" s="8">
        <v>1</v>
      </c>
      <c r="L160" s="18">
        <v>2675</v>
      </c>
      <c r="M160" s="7">
        <f t="shared" si="2"/>
        <v>2675</v>
      </c>
      <c r="N160" s="4" t="s">
        <v>1291</v>
      </c>
      <c r="O160" s="9"/>
    </row>
    <row r="161" spans="1:15" ht="20" x14ac:dyDescent="0.2">
      <c r="A161" s="3">
        <v>157</v>
      </c>
      <c r="B161" s="19"/>
      <c r="C161" s="4" t="s">
        <v>1365</v>
      </c>
      <c r="D161" s="4" t="s">
        <v>1206</v>
      </c>
      <c r="E161" s="4"/>
      <c r="F161" s="8"/>
      <c r="G161" s="8"/>
      <c r="H161" s="8"/>
      <c r="I161" s="8"/>
      <c r="J161" s="8"/>
      <c r="K161" s="8">
        <v>1</v>
      </c>
      <c r="L161" s="18">
        <v>136800</v>
      </c>
      <c r="M161" s="7">
        <f t="shared" si="2"/>
        <v>136800</v>
      </c>
      <c r="N161" s="4" t="s">
        <v>1291</v>
      </c>
      <c r="O161" s="9"/>
    </row>
    <row r="162" spans="1:15" ht="20" x14ac:dyDescent="0.2">
      <c r="A162" s="3">
        <v>158</v>
      </c>
      <c r="B162" s="19"/>
      <c r="C162" s="4" t="s">
        <v>1366</v>
      </c>
      <c r="D162" s="4" t="s">
        <v>1206</v>
      </c>
      <c r="E162" s="4"/>
      <c r="F162" s="8"/>
      <c r="G162" s="8"/>
      <c r="H162" s="8"/>
      <c r="I162" s="8"/>
      <c r="J162" s="8"/>
      <c r="K162" s="8">
        <v>1</v>
      </c>
      <c r="L162" s="18">
        <v>70000</v>
      </c>
      <c r="M162" s="7">
        <f t="shared" si="2"/>
        <v>70000</v>
      </c>
      <c r="N162" s="4" t="s">
        <v>1291</v>
      </c>
      <c r="O162" s="9"/>
    </row>
    <row r="163" spans="1:15" ht="20" x14ac:dyDescent="0.2">
      <c r="A163" s="3">
        <v>159</v>
      </c>
      <c r="B163" s="19"/>
      <c r="C163" s="4" t="s">
        <v>1367</v>
      </c>
      <c r="D163" s="4" t="s">
        <v>1206</v>
      </c>
      <c r="E163" s="4"/>
      <c r="F163" s="8"/>
      <c r="G163" s="8"/>
      <c r="H163" s="8"/>
      <c r="I163" s="8"/>
      <c r="J163" s="8"/>
      <c r="K163" s="8">
        <v>1</v>
      </c>
      <c r="L163" s="18">
        <v>72200</v>
      </c>
      <c r="M163" s="7">
        <f t="shared" si="2"/>
        <v>72200</v>
      </c>
      <c r="N163" s="4" t="s">
        <v>1291</v>
      </c>
      <c r="O163" s="9"/>
    </row>
    <row r="164" spans="1:15" ht="20" x14ac:dyDescent="0.2">
      <c r="A164" s="3">
        <v>160</v>
      </c>
      <c r="B164" s="19"/>
      <c r="C164" s="4" t="s">
        <v>1368</v>
      </c>
      <c r="D164" s="4" t="s">
        <v>1206</v>
      </c>
      <c r="E164" s="4"/>
      <c r="F164" s="8"/>
      <c r="G164" s="8"/>
      <c r="H164" s="8"/>
      <c r="I164" s="8"/>
      <c r="J164" s="8"/>
      <c r="K164" s="8">
        <v>1</v>
      </c>
      <c r="L164" s="18">
        <v>39900</v>
      </c>
      <c r="M164" s="7">
        <f t="shared" si="2"/>
        <v>39900</v>
      </c>
      <c r="N164" s="4" t="s">
        <v>1291</v>
      </c>
      <c r="O164" s="9"/>
    </row>
    <row r="165" spans="1:15" ht="20" x14ac:dyDescent="0.2">
      <c r="A165" s="3">
        <v>161</v>
      </c>
      <c r="B165" s="19"/>
      <c r="C165" s="4" t="s">
        <v>1369</v>
      </c>
      <c r="D165" s="4" t="s">
        <v>1206</v>
      </c>
      <c r="E165" s="4"/>
      <c r="F165" s="8"/>
      <c r="G165" s="8"/>
      <c r="H165" s="8"/>
      <c r="I165" s="8"/>
      <c r="J165" s="8"/>
      <c r="K165" s="8">
        <v>1</v>
      </c>
      <c r="L165" s="18">
        <v>5600</v>
      </c>
      <c r="M165" s="7">
        <f t="shared" si="2"/>
        <v>5600</v>
      </c>
      <c r="N165" s="4" t="s">
        <v>1291</v>
      </c>
      <c r="O165" s="9"/>
    </row>
    <row r="166" spans="1:15" ht="20" x14ac:dyDescent="0.2">
      <c r="A166" s="3">
        <v>162</v>
      </c>
      <c r="B166" s="19"/>
      <c r="C166" s="4" t="s">
        <v>1370</v>
      </c>
      <c r="D166" s="4" t="s">
        <v>1206</v>
      </c>
      <c r="E166" s="4"/>
      <c r="F166" s="8"/>
      <c r="G166" s="8"/>
      <c r="H166" s="8"/>
      <c r="I166" s="8"/>
      <c r="J166" s="8"/>
      <c r="K166" s="8">
        <v>1</v>
      </c>
      <c r="L166" s="18">
        <v>79800</v>
      </c>
      <c r="M166" s="7">
        <f t="shared" si="2"/>
        <v>79800</v>
      </c>
      <c r="N166" s="4" t="s">
        <v>1291</v>
      </c>
      <c r="O166" s="9"/>
    </row>
    <row r="167" spans="1:15" ht="20" x14ac:dyDescent="0.2">
      <c r="A167" s="3">
        <v>163</v>
      </c>
      <c r="B167" s="19"/>
      <c r="C167" s="4" t="s">
        <v>1371</v>
      </c>
      <c r="D167" s="4" t="s">
        <v>1206</v>
      </c>
      <c r="E167" s="4"/>
      <c r="F167" s="8"/>
      <c r="G167" s="8"/>
      <c r="H167" s="8"/>
      <c r="I167" s="8"/>
      <c r="J167" s="8"/>
      <c r="K167" s="8">
        <v>1</v>
      </c>
      <c r="L167" s="18">
        <v>900</v>
      </c>
      <c r="M167" s="7">
        <f t="shared" si="2"/>
        <v>900</v>
      </c>
      <c r="N167" s="4" t="s">
        <v>1291</v>
      </c>
      <c r="O167" s="9"/>
    </row>
    <row r="168" spans="1:15" ht="20" x14ac:dyDescent="0.2">
      <c r="A168" s="3">
        <v>164</v>
      </c>
      <c r="B168" s="19"/>
      <c r="C168" s="4" t="s">
        <v>1372</v>
      </c>
      <c r="D168" s="4" t="s">
        <v>1206</v>
      </c>
      <c r="E168" s="4"/>
      <c r="F168" s="8"/>
      <c r="G168" s="8"/>
      <c r="H168" s="8"/>
      <c r="I168" s="8"/>
      <c r="J168" s="8"/>
      <c r="K168" s="8">
        <v>1</v>
      </c>
      <c r="L168" s="18">
        <v>2000</v>
      </c>
      <c r="M168" s="7">
        <f t="shared" si="2"/>
        <v>2000</v>
      </c>
      <c r="N168" s="4" t="s">
        <v>1291</v>
      </c>
      <c r="O168" s="9"/>
    </row>
    <row r="169" spans="1:15" ht="20" x14ac:dyDescent="0.2">
      <c r="A169" s="3">
        <v>165</v>
      </c>
      <c r="B169" s="19"/>
      <c r="C169" s="4" t="s">
        <v>1373</v>
      </c>
      <c r="D169" s="4" t="s">
        <v>1206</v>
      </c>
      <c r="E169" s="4"/>
      <c r="F169" s="8"/>
      <c r="G169" s="8"/>
      <c r="H169" s="8"/>
      <c r="I169" s="8"/>
      <c r="J169" s="8"/>
      <c r="K169" s="8">
        <v>1</v>
      </c>
      <c r="L169" s="18">
        <v>41396.25</v>
      </c>
      <c r="M169" s="7">
        <f t="shared" si="2"/>
        <v>41396.25</v>
      </c>
      <c r="N169" s="4" t="s">
        <v>1291</v>
      </c>
      <c r="O169" s="9"/>
    </row>
    <row r="170" spans="1:15" ht="20" x14ac:dyDescent="0.2">
      <c r="A170" s="3">
        <v>166</v>
      </c>
      <c r="B170" s="19"/>
      <c r="C170" s="4" t="s">
        <v>1374</v>
      </c>
      <c r="D170" s="4" t="s">
        <v>1206</v>
      </c>
      <c r="E170" s="4"/>
      <c r="F170" s="8"/>
      <c r="G170" s="8"/>
      <c r="H170" s="8"/>
      <c r="I170" s="8"/>
      <c r="J170" s="8"/>
      <c r="K170" s="8">
        <v>1</v>
      </c>
      <c r="L170" s="18">
        <v>45000</v>
      </c>
      <c r="M170" s="7">
        <f t="shared" si="2"/>
        <v>45000</v>
      </c>
      <c r="N170" s="4" t="s">
        <v>1291</v>
      </c>
      <c r="O170" s="9"/>
    </row>
    <row r="171" spans="1:15" ht="20" x14ac:dyDescent="0.2">
      <c r="A171" s="3">
        <v>167</v>
      </c>
      <c r="B171" s="19"/>
      <c r="C171" s="4" t="s">
        <v>1375</v>
      </c>
      <c r="D171" s="4" t="s">
        <v>1206</v>
      </c>
      <c r="E171" s="4"/>
      <c r="F171" s="8"/>
      <c r="G171" s="8"/>
      <c r="H171" s="8"/>
      <c r="I171" s="8"/>
      <c r="J171" s="8"/>
      <c r="K171" s="8">
        <v>1</v>
      </c>
      <c r="L171" s="18">
        <v>8500</v>
      </c>
      <c r="M171" s="7">
        <f t="shared" si="2"/>
        <v>8500</v>
      </c>
      <c r="N171" s="4" t="s">
        <v>1291</v>
      </c>
      <c r="O171" s="9"/>
    </row>
    <row r="172" spans="1:15" ht="40" x14ac:dyDescent="0.2">
      <c r="A172" s="3">
        <v>168</v>
      </c>
      <c r="B172" s="19"/>
      <c r="C172" s="4" t="s">
        <v>1376</v>
      </c>
      <c r="D172" s="4" t="s">
        <v>1206</v>
      </c>
      <c r="E172" s="4"/>
      <c r="F172" s="8"/>
      <c r="G172" s="8"/>
      <c r="H172" s="8"/>
      <c r="I172" s="8"/>
      <c r="J172" s="8"/>
      <c r="K172" s="8">
        <v>1</v>
      </c>
      <c r="L172" s="18">
        <v>550</v>
      </c>
      <c r="M172" s="7">
        <f t="shared" si="2"/>
        <v>550</v>
      </c>
      <c r="N172" s="4" t="s">
        <v>1291</v>
      </c>
      <c r="O172" s="9"/>
    </row>
    <row r="173" spans="1:15" ht="20" x14ac:dyDescent="0.2">
      <c r="A173" s="3">
        <v>169</v>
      </c>
      <c r="B173" s="19"/>
      <c r="C173" s="4" t="s">
        <v>1377</v>
      </c>
      <c r="D173" s="4" t="s">
        <v>1206</v>
      </c>
      <c r="E173" s="4"/>
      <c r="F173" s="8"/>
      <c r="G173" s="8"/>
      <c r="H173" s="8"/>
      <c r="I173" s="8"/>
      <c r="J173" s="8"/>
      <c r="K173" s="8">
        <v>1</v>
      </c>
      <c r="L173" s="18">
        <v>9000</v>
      </c>
      <c r="M173" s="7">
        <f t="shared" si="2"/>
        <v>9000</v>
      </c>
      <c r="N173" s="4" t="s">
        <v>1291</v>
      </c>
      <c r="O173" s="9"/>
    </row>
    <row r="174" spans="1:15" ht="20" x14ac:dyDescent="0.2">
      <c r="A174" s="3">
        <v>170</v>
      </c>
      <c r="B174" s="19"/>
      <c r="C174" s="4" t="s">
        <v>1378</v>
      </c>
      <c r="D174" s="4" t="s">
        <v>1206</v>
      </c>
      <c r="E174" s="4"/>
      <c r="F174" s="8"/>
      <c r="G174" s="8"/>
      <c r="H174" s="8"/>
      <c r="I174" s="8"/>
      <c r="J174" s="8"/>
      <c r="K174" s="8">
        <v>1</v>
      </c>
      <c r="L174" s="18">
        <v>208000</v>
      </c>
      <c r="M174" s="7">
        <f t="shared" si="2"/>
        <v>208000</v>
      </c>
      <c r="N174" s="4" t="s">
        <v>1291</v>
      </c>
      <c r="O174" s="9"/>
    </row>
    <row r="175" spans="1:15" ht="80" x14ac:dyDescent="0.2">
      <c r="A175" s="3">
        <v>171</v>
      </c>
      <c r="B175" s="19"/>
      <c r="C175" s="4" t="s">
        <v>1379</v>
      </c>
      <c r="D175" s="4" t="s">
        <v>1206</v>
      </c>
      <c r="E175" s="4"/>
      <c r="F175" s="8"/>
      <c r="G175" s="8"/>
      <c r="H175" s="8"/>
      <c r="I175" s="8"/>
      <c r="J175" s="8"/>
      <c r="K175" s="8">
        <v>1</v>
      </c>
      <c r="L175" s="18">
        <v>390000</v>
      </c>
      <c r="M175" s="7">
        <f t="shared" si="2"/>
        <v>390000</v>
      </c>
      <c r="N175" s="4" t="s">
        <v>1291</v>
      </c>
      <c r="O175" s="9"/>
    </row>
    <row r="176" spans="1:15" ht="20" x14ac:dyDescent="0.2">
      <c r="A176" s="3">
        <v>172</v>
      </c>
      <c r="B176" s="19"/>
      <c r="C176" s="4" t="s">
        <v>1380</v>
      </c>
      <c r="D176" s="4" t="s">
        <v>1206</v>
      </c>
      <c r="E176" s="4"/>
      <c r="F176" s="8"/>
      <c r="G176" s="8"/>
      <c r="H176" s="8"/>
      <c r="I176" s="8"/>
      <c r="J176" s="8"/>
      <c r="K176" s="8">
        <v>1</v>
      </c>
      <c r="L176" s="18">
        <v>168000</v>
      </c>
      <c r="M176" s="7">
        <f t="shared" si="2"/>
        <v>168000</v>
      </c>
      <c r="N176" s="4" t="s">
        <v>1291</v>
      </c>
      <c r="O176" s="9"/>
    </row>
    <row r="177" spans="1:15" ht="20" x14ac:dyDescent="0.2">
      <c r="A177" s="3">
        <v>173</v>
      </c>
      <c r="B177" s="19"/>
      <c r="C177" s="4" t="s">
        <v>1381</v>
      </c>
      <c r="D177" s="4" t="s">
        <v>1206</v>
      </c>
      <c r="E177" s="4"/>
      <c r="F177" s="8"/>
      <c r="G177" s="8"/>
      <c r="H177" s="8"/>
      <c r="I177" s="8"/>
      <c r="J177" s="8"/>
      <c r="K177" s="8">
        <v>1</v>
      </c>
      <c r="L177" s="18">
        <v>165000</v>
      </c>
      <c r="M177" s="7">
        <f t="shared" si="2"/>
        <v>165000</v>
      </c>
      <c r="N177" s="4" t="s">
        <v>1291</v>
      </c>
      <c r="O177" s="9"/>
    </row>
    <row r="178" spans="1:15" ht="20" x14ac:dyDescent="0.2">
      <c r="A178" s="3">
        <v>174</v>
      </c>
      <c r="B178" s="19"/>
      <c r="C178" s="4" t="s">
        <v>1382</v>
      </c>
      <c r="D178" s="4" t="s">
        <v>1206</v>
      </c>
      <c r="E178" s="4"/>
      <c r="F178" s="8"/>
      <c r="G178" s="8"/>
      <c r="H178" s="8"/>
      <c r="I178" s="8"/>
      <c r="J178" s="8"/>
      <c r="K178" s="8">
        <v>1</v>
      </c>
      <c r="L178" s="18">
        <v>250000</v>
      </c>
      <c r="M178" s="7">
        <f t="shared" si="2"/>
        <v>250000</v>
      </c>
      <c r="N178" s="4" t="s">
        <v>1291</v>
      </c>
      <c r="O178" s="9"/>
    </row>
    <row r="179" spans="1:15" ht="20" x14ac:dyDescent="0.2">
      <c r="A179" s="3">
        <v>175</v>
      </c>
      <c r="B179" s="19"/>
      <c r="C179" s="4" t="s">
        <v>1383</v>
      </c>
      <c r="D179" s="4" t="s">
        <v>1206</v>
      </c>
      <c r="E179" s="4"/>
      <c r="F179" s="8"/>
      <c r="G179" s="8"/>
      <c r="H179" s="8"/>
      <c r="I179" s="8"/>
      <c r="J179" s="8"/>
      <c r="K179" s="8">
        <v>1</v>
      </c>
      <c r="L179" s="18">
        <v>6400</v>
      </c>
      <c r="M179" s="7">
        <f t="shared" si="2"/>
        <v>6400</v>
      </c>
      <c r="N179" s="4" t="s">
        <v>1291</v>
      </c>
      <c r="O179" s="9"/>
    </row>
    <row r="180" spans="1:15" ht="20" x14ac:dyDescent="0.2">
      <c r="A180" s="3">
        <v>176</v>
      </c>
      <c r="B180" s="19"/>
      <c r="C180" s="4" t="s">
        <v>1384</v>
      </c>
      <c r="D180" s="4" t="s">
        <v>1206</v>
      </c>
      <c r="E180" s="4"/>
      <c r="F180" s="8"/>
      <c r="G180" s="8"/>
      <c r="H180" s="8"/>
      <c r="I180" s="8"/>
      <c r="J180" s="8"/>
      <c r="K180" s="8">
        <v>1</v>
      </c>
      <c r="L180" s="18">
        <v>128000</v>
      </c>
      <c r="M180" s="7">
        <f t="shared" si="2"/>
        <v>128000</v>
      </c>
      <c r="N180" s="4" t="s">
        <v>1291</v>
      </c>
      <c r="O180" s="9"/>
    </row>
    <row r="181" spans="1:15" ht="20" x14ac:dyDescent="0.2">
      <c r="A181" s="3">
        <v>177</v>
      </c>
      <c r="B181" s="19"/>
      <c r="C181" s="4" t="s">
        <v>1385</v>
      </c>
      <c r="D181" s="4" t="s">
        <v>1206</v>
      </c>
      <c r="E181" s="4"/>
      <c r="F181" s="8"/>
      <c r="G181" s="8"/>
      <c r="H181" s="8"/>
      <c r="I181" s="8"/>
      <c r="J181" s="8"/>
      <c r="K181" s="8">
        <v>1</v>
      </c>
      <c r="L181" s="18">
        <v>400</v>
      </c>
      <c r="M181" s="7">
        <f t="shared" si="2"/>
        <v>400</v>
      </c>
      <c r="N181" s="4" t="s">
        <v>1291</v>
      </c>
      <c r="O181" s="9"/>
    </row>
    <row r="182" spans="1:15" ht="40" x14ac:dyDescent="0.2">
      <c r="A182" s="3">
        <v>178</v>
      </c>
      <c r="B182" s="19"/>
      <c r="C182" s="4" t="s">
        <v>1386</v>
      </c>
      <c r="D182" s="4" t="s">
        <v>1206</v>
      </c>
      <c r="E182" s="4"/>
      <c r="F182" s="8"/>
      <c r="G182" s="8"/>
      <c r="H182" s="8"/>
      <c r="I182" s="8"/>
      <c r="J182" s="8"/>
      <c r="K182" s="8">
        <v>1</v>
      </c>
      <c r="L182" s="18">
        <v>17000</v>
      </c>
      <c r="M182" s="7">
        <f t="shared" si="2"/>
        <v>17000</v>
      </c>
      <c r="N182" s="4" t="s">
        <v>1291</v>
      </c>
      <c r="O182" s="9"/>
    </row>
    <row r="183" spans="1:15" ht="20" x14ac:dyDescent="0.2">
      <c r="A183" s="3">
        <v>179</v>
      </c>
      <c r="B183" s="19"/>
      <c r="C183" s="4" t="s">
        <v>1387</v>
      </c>
      <c r="D183" s="4" t="s">
        <v>1206</v>
      </c>
      <c r="E183" s="4"/>
      <c r="F183" s="8"/>
      <c r="G183" s="8"/>
      <c r="H183" s="8"/>
      <c r="I183" s="8"/>
      <c r="J183" s="8"/>
      <c r="K183" s="8">
        <v>1</v>
      </c>
      <c r="L183" s="18">
        <v>7200</v>
      </c>
      <c r="M183" s="7">
        <f t="shared" si="2"/>
        <v>7200</v>
      </c>
      <c r="N183" s="4" t="s">
        <v>1291</v>
      </c>
      <c r="O183" s="9"/>
    </row>
    <row r="184" spans="1:15" ht="20" x14ac:dyDescent="0.2">
      <c r="A184" s="3">
        <v>180</v>
      </c>
      <c r="B184" s="19"/>
      <c r="C184" s="4" t="s">
        <v>1388</v>
      </c>
      <c r="D184" s="4" t="s">
        <v>1206</v>
      </c>
      <c r="E184" s="4"/>
      <c r="F184" s="8"/>
      <c r="G184" s="8"/>
      <c r="H184" s="8"/>
      <c r="I184" s="8"/>
      <c r="J184" s="8"/>
      <c r="K184" s="8">
        <v>1</v>
      </c>
      <c r="L184" s="18">
        <v>10000</v>
      </c>
      <c r="M184" s="7">
        <f t="shared" si="2"/>
        <v>10000</v>
      </c>
      <c r="N184" s="4" t="s">
        <v>1291</v>
      </c>
      <c r="O184" s="9"/>
    </row>
    <row r="185" spans="1:15" ht="40" x14ac:dyDescent="0.2">
      <c r="A185" s="3">
        <v>181</v>
      </c>
      <c r="B185" s="19"/>
      <c r="C185" s="4" t="s">
        <v>1389</v>
      </c>
      <c r="D185" s="4" t="s">
        <v>1206</v>
      </c>
      <c r="E185" s="4"/>
      <c r="F185" s="8"/>
      <c r="G185" s="8"/>
      <c r="H185" s="8"/>
      <c r="I185" s="8"/>
      <c r="J185" s="8"/>
      <c r="K185" s="8">
        <v>1</v>
      </c>
      <c r="L185" s="18">
        <v>4000</v>
      </c>
      <c r="M185" s="7">
        <f t="shared" si="2"/>
        <v>4000</v>
      </c>
      <c r="N185" s="4" t="s">
        <v>1291</v>
      </c>
      <c r="O185" s="9"/>
    </row>
    <row r="186" spans="1:15" ht="40" x14ac:dyDescent="0.2">
      <c r="A186" s="3">
        <v>182</v>
      </c>
      <c r="B186" s="19"/>
      <c r="C186" s="4" t="s">
        <v>1390</v>
      </c>
      <c r="D186" s="4" t="s">
        <v>1206</v>
      </c>
      <c r="E186" s="4"/>
      <c r="F186" s="8"/>
      <c r="G186" s="8"/>
      <c r="H186" s="8"/>
      <c r="I186" s="8"/>
      <c r="J186" s="8"/>
      <c r="K186" s="8">
        <v>1</v>
      </c>
      <c r="L186" s="18">
        <v>6000</v>
      </c>
      <c r="M186" s="7">
        <f t="shared" si="2"/>
        <v>6000</v>
      </c>
      <c r="N186" s="4" t="s">
        <v>1291</v>
      </c>
      <c r="O186" s="9"/>
    </row>
    <row r="187" spans="1:15" ht="20" x14ac:dyDescent="0.2">
      <c r="A187" s="3">
        <v>183</v>
      </c>
      <c r="B187" s="19"/>
      <c r="C187" s="4" t="s">
        <v>1391</v>
      </c>
      <c r="D187" s="4" t="s">
        <v>1206</v>
      </c>
      <c r="E187" s="4"/>
      <c r="F187" s="8"/>
      <c r="G187" s="8"/>
      <c r="H187" s="8"/>
      <c r="I187" s="8"/>
      <c r="J187" s="8"/>
      <c r="K187" s="8">
        <v>1</v>
      </c>
      <c r="L187" s="18">
        <v>6600</v>
      </c>
      <c r="M187" s="7">
        <f t="shared" si="2"/>
        <v>6600</v>
      </c>
      <c r="N187" s="4" t="s">
        <v>1291</v>
      </c>
      <c r="O187" s="9"/>
    </row>
    <row r="188" spans="1:15" ht="20" x14ac:dyDescent="0.2">
      <c r="A188" s="3">
        <v>184</v>
      </c>
      <c r="B188" s="19"/>
      <c r="C188" s="4" t="s">
        <v>1392</v>
      </c>
      <c r="D188" s="4" t="s">
        <v>1206</v>
      </c>
      <c r="E188" s="4"/>
      <c r="F188" s="8"/>
      <c r="G188" s="8"/>
      <c r="H188" s="8"/>
      <c r="I188" s="8"/>
      <c r="J188" s="8"/>
      <c r="K188" s="8">
        <v>1</v>
      </c>
      <c r="L188" s="18">
        <v>16500</v>
      </c>
      <c r="M188" s="7">
        <f t="shared" si="2"/>
        <v>16500</v>
      </c>
      <c r="N188" s="4" t="s">
        <v>1291</v>
      </c>
      <c r="O188" s="9"/>
    </row>
    <row r="189" spans="1:15" ht="20" x14ac:dyDescent="0.2">
      <c r="A189" s="3">
        <v>185</v>
      </c>
      <c r="B189" s="19"/>
      <c r="C189" s="4" t="s">
        <v>1393</v>
      </c>
      <c r="D189" s="4" t="s">
        <v>1206</v>
      </c>
      <c r="E189" s="4"/>
      <c r="F189" s="8"/>
      <c r="G189" s="8"/>
      <c r="H189" s="8"/>
      <c r="I189" s="8"/>
      <c r="J189" s="8"/>
      <c r="K189" s="8">
        <v>1</v>
      </c>
      <c r="L189" s="18">
        <v>12000</v>
      </c>
      <c r="M189" s="7">
        <f t="shared" si="2"/>
        <v>12000</v>
      </c>
      <c r="N189" s="4" t="s">
        <v>1291</v>
      </c>
      <c r="O189" s="9"/>
    </row>
    <row r="190" spans="1:15" ht="20" x14ac:dyDescent="0.2">
      <c r="A190" s="3">
        <v>186</v>
      </c>
      <c r="B190" s="19"/>
      <c r="C190" s="4" t="s">
        <v>1394</v>
      </c>
      <c r="D190" s="4" t="s">
        <v>1206</v>
      </c>
      <c r="E190" s="4"/>
      <c r="F190" s="8"/>
      <c r="G190" s="8"/>
      <c r="H190" s="8"/>
      <c r="I190" s="8"/>
      <c r="J190" s="8"/>
      <c r="K190" s="8">
        <v>1</v>
      </c>
      <c r="L190" s="18">
        <v>750</v>
      </c>
      <c r="M190" s="7">
        <f t="shared" si="2"/>
        <v>750</v>
      </c>
      <c r="N190" s="4" t="s">
        <v>1291</v>
      </c>
      <c r="O190" s="9"/>
    </row>
    <row r="191" spans="1:15" ht="20" x14ac:dyDescent="0.2">
      <c r="A191" s="3">
        <v>187</v>
      </c>
      <c r="B191" s="19"/>
      <c r="C191" s="4" t="s">
        <v>1395</v>
      </c>
      <c r="D191" s="4" t="s">
        <v>1206</v>
      </c>
      <c r="E191" s="4"/>
      <c r="F191" s="8"/>
      <c r="G191" s="8"/>
      <c r="H191" s="8"/>
      <c r="I191" s="8"/>
      <c r="J191" s="8"/>
      <c r="K191" s="8">
        <v>1</v>
      </c>
      <c r="L191" s="18">
        <v>750</v>
      </c>
      <c r="M191" s="7">
        <f t="shared" si="2"/>
        <v>750</v>
      </c>
      <c r="N191" s="4" t="s">
        <v>1291</v>
      </c>
      <c r="O191" s="9"/>
    </row>
    <row r="192" spans="1:15" ht="20" x14ac:dyDescent="0.2">
      <c r="A192" s="3">
        <v>188</v>
      </c>
      <c r="B192" s="19"/>
      <c r="C192" s="4" t="s">
        <v>1396</v>
      </c>
      <c r="D192" s="4" t="s">
        <v>1206</v>
      </c>
      <c r="E192" s="4"/>
      <c r="F192" s="8"/>
      <c r="G192" s="8"/>
      <c r="H192" s="8"/>
      <c r="I192" s="8"/>
      <c r="J192" s="8"/>
      <c r="K192" s="8">
        <v>1</v>
      </c>
      <c r="L192" s="18">
        <v>750</v>
      </c>
      <c r="M192" s="7">
        <f t="shared" si="2"/>
        <v>750</v>
      </c>
      <c r="N192" s="4" t="s">
        <v>1291</v>
      </c>
      <c r="O192" s="9"/>
    </row>
    <row r="193" spans="1:15" ht="20" x14ac:dyDescent="0.2">
      <c r="A193" s="3">
        <v>189</v>
      </c>
      <c r="B193" s="19"/>
      <c r="C193" s="4" t="s">
        <v>1397</v>
      </c>
      <c r="D193" s="4" t="s">
        <v>1206</v>
      </c>
      <c r="E193" s="4"/>
      <c r="F193" s="8"/>
      <c r="G193" s="8"/>
      <c r="H193" s="8"/>
      <c r="I193" s="8"/>
      <c r="J193" s="8"/>
      <c r="K193" s="8">
        <v>1</v>
      </c>
      <c r="L193" s="18">
        <v>1500</v>
      </c>
      <c r="M193" s="7">
        <f t="shared" si="2"/>
        <v>1500</v>
      </c>
      <c r="N193" s="4" t="s">
        <v>1291</v>
      </c>
      <c r="O193" s="9"/>
    </row>
    <row r="194" spans="1:15" ht="20" x14ac:dyDescent="0.2">
      <c r="A194" s="3">
        <v>190</v>
      </c>
      <c r="B194" s="19"/>
      <c r="C194" s="4" t="s">
        <v>1398</v>
      </c>
      <c r="D194" s="4" t="s">
        <v>1206</v>
      </c>
      <c r="E194" s="4"/>
      <c r="F194" s="8"/>
      <c r="G194" s="8"/>
      <c r="H194" s="8"/>
      <c r="I194" s="8"/>
      <c r="J194" s="8"/>
      <c r="K194" s="8">
        <v>1</v>
      </c>
      <c r="L194" s="18">
        <v>3000</v>
      </c>
      <c r="M194" s="7">
        <f t="shared" si="2"/>
        <v>3000</v>
      </c>
      <c r="N194" s="4" t="s">
        <v>1291</v>
      </c>
      <c r="O194" s="9"/>
    </row>
    <row r="195" spans="1:15" ht="20" x14ac:dyDescent="0.2">
      <c r="A195" s="3">
        <v>191</v>
      </c>
      <c r="B195" s="19"/>
      <c r="C195" s="4" t="s">
        <v>1399</v>
      </c>
      <c r="D195" s="4" t="s">
        <v>1206</v>
      </c>
      <c r="E195" s="4"/>
      <c r="F195" s="8"/>
      <c r="G195" s="8"/>
      <c r="H195" s="8"/>
      <c r="I195" s="8"/>
      <c r="J195" s="8"/>
      <c r="K195" s="8">
        <v>1</v>
      </c>
      <c r="L195" s="18">
        <v>3000</v>
      </c>
      <c r="M195" s="7">
        <f t="shared" si="2"/>
        <v>3000</v>
      </c>
      <c r="N195" s="4" t="s">
        <v>1291</v>
      </c>
      <c r="O195" s="9"/>
    </row>
    <row r="196" spans="1:15" ht="20" x14ac:dyDescent="0.2">
      <c r="A196" s="3">
        <v>192</v>
      </c>
      <c r="B196" s="19"/>
      <c r="C196" s="4" t="s">
        <v>1400</v>
      </c>
      <c r="D196" s="4" t="s">
        <v>1206</v>
      </c>
      <c r="E196" s="4"/>
      <c r="F196" s="8"/>
      <c r="G196" s="8"/>
      <c r="H196" s="8"/>
      <c r="I196" s="8"/>
      <c r="J196" s="8"/>
      <c r="K196" s="8">
        <v>1</v>
      </c>
      <c r="L196" s="18">
        <v>42000</v>
      </c>
      <c r="M196" s="7">
        <f t="shared" si="2"/>
        <v>42000</v>
      </c>
      <c r="N196" s="4" t="s">
        <v>1291</v>
      </c>
      <c r="O196" s="9"/>
    </row>
    <row r="197" spans="1:15" ht="20" x14ac:dyDescent="0.2">
      <c r="A197" s="3">
        <v>193</v>
      </c>
      <c r="B197" s="19"/>
      <c r="C197" s="4" t="s">
        <v>1401</v>
      </c>
      <c r="D197" s="4" t="s">
        <v>1206</v>
      </c>
      <c r="E197" s="4"/>
      <c r="F197" s="8"/>
      <c r="G197" s="8"/>
      <c r="H197" s="8"/>
      <c r="I197" s="8"/>
      <c r="J197" s="8"/>
      <c r="K197" s="8">
        <v>1</v>
      </c>
      <c r="L197" s="18">
        <v>4800</v>
      </c>
      <c r="M197" s="7">
        <f t="shared" ref="M197:M260" si="3">IF(OR(K197="",L197=""),"",K197*L197)</f>
        <v>4800</v>
      </c>
      <c r="N197" s="4" t="s">
        <v>1291</v>
      </c>
      <c r="O197" s="9"/>
    </row>
    <row r="198" spans="1:15" ht="20" x14ac:dyDescent="0.2">
      <c r="A198" s="3">
        <v>194</v>
      </c>
      <c r="B198" s="19"/>
      <c r="C198" s="4" t="s">
        <v>1402</v>
      </c>
      <c r="D198" s="4" t="s">
        <v>1206</v>
      </c>
      <c r="E198" s="4"/>
      <c r="F198" s="8"/>
      <c r="G198" s="8"/>
      <c r="H198" s="8"/>
      <c r="I198" s="8"/>
      <c r="J198" s="8"/>
      <c r="K198" s="8">
        <v>1</v>
      </c>
      <c r="L198" s="18">
        <v>400</v>
      </c>
      <c r="M198" s="7">
        <f t="shared" si="3"/>
        <v>400</v>
      </c>
      <c r="N198" s="4" t="s">
        <v>1291</v>
      </c>
      <c r="O198" s="9"/>
    </row>
    <row r="199" spans="1:15" ht="20" x14ac:dyDescent="0.2">
      <c r="A199" s="3">
        <v>195</v>
      </c>
      <c r="B199" s="19"/>
      <c r="C199" s="4" t="s">
        <v>1403</v>
      </c>
      <c r="D199" s="4" t="s">
        <v>1206</v>
      </c>
      <c r="E199" s="4"/>
      <c r="F199" s="8"/>
      <c r="G199" s="8"/>
      <c r="H199" s="8"/>
      <c r="I199" s="8"/>
      <c r="J199" s="8"/>
      <c r="K199" s="8">
        <v>1</v>
      </c>
      <c r="L199" s="18">
        <v>8000</v>
      </c>
      <c r="M199" s="7">
        <f t="shared" si="3"/>
        <v>8000</v>
      </c>
      <c r="N199" s="4" t="s">
        <v>1291</v>
      </c>
      <c r="O199" s="9"/>
    </row>
    <row r="200" spans="1:15" ht="20" x14ac:dyDescent="0.2">
      <c r="A200" s="3">
        <v>196</v>
      </c>
      <c r="B200" s="19"/>
      <c r="C200" s="4" t="s">
        <v>1404</v>
      </c>
      <c r="D200" s="4" t="s">
        <v>1206</v>
      </c>
      <c r="E200" s="4"/>
      <c r="F200" s="8"/>
      <c r="G200" s="8"/>
      <c r="H200" s="8"/>
      <c r="I200" s="8"/>
      <c r="J200" s="8"/>
      <c r="K200" s="8">
        <v>1</v>
      </c>
      <c r="L200" s="18">
        <v>400</v>
      </c>
      <c r="M200" s="7">
        <f t="shared" si="3"/>
        <v>400</v>
      </c>
      <c r="N200" s="4" t="s">
        <v>1291</v>
      </c>
      <c r="O200" s="9"/>
    </row>
    <row r="201" spans="1:15" ht="20" x14ac:dyDescent="0.2">
      <c r="A201" s="3">
        <v>197</v>
      </c>
      <c r="B201" s="19"/>
      <c r="C201" s="4" t="s">
        <v>1405</v>
      </c>
      <c r="D201" s="4" t="s">
        <v>1206</v>
      </c>
      <c r="E201" s="4"/>
      <c r="F201" s="8"/>
      <c r="G201" s="8"/>
      <c r="H201" s="8"/>
      <c r="I201" s="8"/>
      <c r="J201" s="8"/>
      <c r="K201" s="8">
        <v>1</v>
      </c>
      <c r="L201" s="18">
        <v>7500</v>
      </c>
      <c r="M201" s="7">
        <f t="shared" si="3"/>
        <v>7500</v>
      </c>
      <c r="N201" s="4" t="s">
        <v>1291</v>
      </c>
      <c r="O201" s="9"/>
    </row>
    <row r="202" spans="1:15" ht="20" x14ac:dyDescent="0.2">
      <c r="A202" s="3">
        <v>198</v>
      </c>
      <c r="B202" s="19"/>
      <c r="C202" s="4" t="s">
        <v>1406</v>
      </c>
      <c r="D202" s="4" t="s">
        <v>1206</v>
      </c>
      <c r="E202" s="4"/>
      <c r="F202" s="8"/>
      <c r="G202" s="8"/>
      <c r="H202" s="8"/>
      <c r="I202" s="8"/>
      <c r="J202" s="8"/>
      <c r="K202" s="8">
        <v>1</v>
      </c>
      <c r="L202" s="18">
        <v>750</v>
      </c>
      <c r="M202" s="7">
        <f t="shared" si="3"/>
        <v>750</v>
      </c>
      <c r="N202" s="4" t="s">
        <v>1291</v>
      </c>
      <c r="O202" s="9"/>
    </row>
    <row r="203" spans="1:15" ht="20" x14ac:dyDescent="0.2">
      <c r="A203" s="3">
        <v>199</v>
      </c>
      <c r="B203" s="19"/>
      <c r="C203" s="4" t="s">
        <v>1407</v>
      </c>
      <c r="D203" s="4" t="s">
        <v>1206</v>
      </c>
      <c r="E203" s="4"/>
      <c r="F203" s="8"/>
      <c r="G203" s="8"/>
      <c r="H203" s="8"/>
      <c r="I203" s="8"/>
      <c r="J203" s="8"/>
      <c r="K203" s="8">
        <v>1</v>
      </c>
      <c r="L203" s="18">
        <v>750</v>
      </c>
      <c r="M203" s="7">
        <f t="shared" si="3"/>
        <v>750</v>
      </c>
      <c r="N203" s="4" t="s">
        <v>1291</v>
      </c>
      <c r="O203" s="9"/>
    </row>
    <row r="204" spans="1:15" ht="20" x14ac:dyDescent="0.2">
      <c r="A204" s="3">
        <v>200</v>
      </c>
      <c r="B204" s="19"/>
      <c r="C204" s="4" t="s">
        <v>1408</v>
      </c>
      <c r="D204" s="4" t="s">
        <v>1206</v>
      </c>
      <c r="E204" s="4"/>
      <c r="F204" s="8"/>
      <c r="G204" s="8"/>
      <c r="H204" s="8"/>
      <c r="I204" s="8"/>
      <c r="J204" s="8"/>
      <c r="K204" s="8">
        <v>1</v>
      </c>
      <c r="L204" s="18">
        <v>750</v>
      </c>
      <c r="M204" s="7">
        <f t="shared" si="3"/>
        <v>750</v>
      </c>
      <c r="N204" s="4" t="s">
        <v>1291</v>
      </c>
      <c r="O204" s="9"/>
    </row>
    <row r="205" spans="1:15" ht="20" x14ac:dyDescent="0.2">
      <c r="A205" s="3">
        <v>201</v>
      </c>
      <c r="B205" s="19"/>
      <c r="C205" s="4" t="s">
        <v>1409</v>
      </c>
      <c r="D205" s="4" t="s">
        <v>1206</v>
      </c>
      <c r="E205" s="4"/>
      <c r="F205" s="8"/>
      <c r="G205" s="8"/>
      <c r="H205" s="8"/>
      <c r="I205" s="8"/>
      <c r="J205" s="8"/>
      <c r="K205" s="8">
        <v>1</v>
      </c>
      <c r="L205" s="18">
        <v>750</v>
      </c>
      <c r="M205" s="7">
        <f t="shared" si="3"/>
        <v>750</v>
      </c>
      <c r="N205" s="4" t="s">
        <v>1291</v>
      </c>
      <c r="O205" s="9"/>
    </row>
    <row r="206" spans="1:15" ht="20" x14ac:dyDescent="0.2">
      <c r="A206" s="3">
        <v>202</v>
      </c>
      <c r="B206" s="19"/>
      <c r="C206" s="4" t="s">
        <v>1410</v>
      </c>
      <c r="D206" s="4" t="s">
        <v>1206</v>
      </c>
      <c r="E206" s="4"/>
      <c r="F206" s="8"/>
      <c r="G206" s="8"/>
      <c r="H206" s="8"/>
      <c r="I206" s="8"/>
      <c r="J206" s="8"/>
      <c r="K206" s="8">
        <v>1</v>
      </c>
      <c r="L206" s="18">
        <v>750</v>
      </c>
      <c r="M206" s="7">
        <f t="shared" si="3"/>
        <v>750</v>
      </c>
      <c r="N206" s="4" t="s">
        <v>1291</v>
      </c>
      <c r="O206" s="9"/>
    </row>
    <row r="207" spans="1:15" ht="20" x14ac:dyDescent="0.2">
      <c r="A207" s="3">
        <v>203</v>
      </c>
      <c r="B207" s="19"/>
      <c r="C207" s="4" t="s">
        <v>1411</v>
      </c>
      <c r="D207" s="4" t="s">
        <v>1206</v>
      </c>
      <c r="E207" s="4"/>
      <c r="F207" s="8"/>
      <c r="G207" s="8"/>
      <c r="H207" s="8"/>
      <c r="I207" s="8"/>
      <c r="J207" s="8"/>
      <c r="K207" s="8">
        <v>1</v>
      </c>
      <c r="L207" s="18">
        <v>750</v>
      </c>
      <c r="M207" s="7">
        <f t="shared" si="3"/>
        <v>750</v>
      </c>
      <c r="N207" s="4" t="s">
        <v>1291</v>
      </c>
      <c r="O207" s="9"/>
    </row>
    <row r="208" spans="1:15" ht="20" x14ac:dyDescent="0.2">
      <c r="A208" s="3">
        <v>204</v>
      </c>
      <c r="B208" s="19"/>
      <c r="C208" s="4" t="s">
        <v>1412</v>
      </c>
      <c r="D208" s="4" t="s">
        <v>1206</v>
      </c>
      <c r="E208" s="4"/>
      <c r="F208" s="8"/>
      <c r="G208" s="8"/>
      <c r="H208" s="8"/>
      <c r="I208" s="8"/>
      <c r="J208" s="8"/>
      <c r="K208" s="8">
        <v>1</v>
      </c>
      <c r="L208" s="18">
        <v>10000</v>
      </c>
      <c r="M208" s="7">
        <f t="shared" si="3"/>
        <v>10000</v>
      </c>
      <c r="N208" s="4" t="s">
        <v>1291</v>
      </c>
      <c r="O208" s="9"/>
    </row>
    <row r="209" spans="1:15" ht="20" x14ac:dyDescent="0.2">
      <c r="A209" s="3">
        <v>205</v>
      </c>
      <c r="B209" s="19"/>
      <c r="C209" s="4" t="s">
        <v>1413</v>
      </c>
      <c r="D209" s="4" t="s">
        <v>1206</v>
      </c>
      <c r="E209" s="4"/>
      <c r="F209" s="8"/>
      <c r="G209" s="8"/>
      <c r="H209" s="8"/>
      <c r="I209" s="8"/>
      <c r="J209" s="8"/>
      <c r="K209" s="8">
        <v>1</v>
      </c>
      <c r="L209" s="18">
        <v>850</v>
      </c>
      <c r="M209" s="7">
        <f t="shared" si="3"/>
        <v>850</v>
      </c>
      <c r="N209" s="4" t="s">
        <v>1291</v>
      </c>
      <c r="O209" s="9"/>
    </row>
    <row r="210" spans="1:15" ht="20" x14ac:dyDescent="0.2">
      <c r="A210" s="3">
        <v>206</v>
      </c>
      <c r="B210" s="19"/>
      <c r="C210" s="4" t="s">
        <v>1414</v>
      </c>
      <c r="D210" s="4" t="s">
        <v>1206</v>
      </c>
      <c r="E210" s="4"/>
      <c r="F210" s="8"/>
      <c r="G210" s="8"/>
      <c r="H210" s="8"/>
      <c r="I210" s="8"/>
      <c r="J210" s="8"/>
      <c r="K210" s="8">
        <v>1</v>
      </c>
      <c r="L210" s="18">
        <v>2400</v>
      </c>
      <c r="M210" s="7">
        <f t="shared" si="3"/>
        <v>2400</v>
      </c>
      <c r="N210" s="4" t="s">
        <v>1291</v>
      </c>
      <c r="O210" s="9"/>
    </row>
    <row r="211" spans="1:15" ht="20" x14ac:dyDescent="0.2">
      <c r="A211" s="3">
        <v>207</v>
      </c>
      <c r="B211" s="19"/>
      <c r="C211" s="4" t="s">
        <v>1415</v>
      </c>
      <c r="D211" s="4" t="s">
        <v>1206</v>
      </c>
      <c r="E211" s="4"/>
      <c r="F211" s="8"/>
      <c r="G211" s="8"/>
      <c r="H211" s="8"/>
      <c r="I211" s="8"/>
      <c r="J211" s="8"/>
      <c r="K211" s="8">
        <v>1</v>
      </c>
      <c r="L211" s="18">
        <v>1500</v>
      </c>
      <c r="M211" s="7">
        <f t="shared" si="3"/>
        <v>1500</v>
      </c>
      <c r="N211" s="4" t="s">
        <v>1291</v>
      </c>
      <c r="O211" s="9"/>
    </row>
    <row r="212" spans="1:15" ht="20" x14ac:dyDescent="0.2">
      <c r="A212" s="3">
        <v>208</v>
      </c>
      <c r="B212" s="19"/>
      <c r="C212" s="4" t="s">
        <v>1416</v>
      </c>
      <c r="D212" s="4" t="s">
        <v>1206</v>
      </c>
      <c r="E212" s="4"/>
      <c r="F212" s="8"/>
      <c r="G212" s="8"/>
      <c r="H212" s="8"/>
      <c r="I212" s="8"/>
      <c r="J212" s="8"/>
      <c r="K212" s="8">
        <v>1</v>
      </c>
      <c r="L212" s="18">
        <v>750</v>
      </c>
      <c r="M212" s="7">
        <f t="shared" si="3"/>
        <v>750</v>
      </c>
      <c r="N212" s="4" t="s">
        <v>1291</v>
      </c>
      <c r="O212" s="9"/>
    </row>
    <row r="213" spans="1:15" ht="20" x14ac:dyDescent="0.2">
      <c r="A213" s="3">
        <v>209</v>
      </c>
      <c r="B213" s="19"/>
      <c r="C213" s="4" t="s">
        <v>1417</v>
      </c>
      <c r="D213" s="4" t="s">
        <v>1206</v>
      </c>
      <c r="E213" s="4"/>
      <c r="F213" s="8"/>
      <c r="G213" s="8"/>
      <c r="H213" s="8"/>
      <c r="I213" s="8"/>
      <c r="J213" s="8"/>
      <c r="K213" s="8">
        <v>1</v>
      </c>
      <c r="L213" s="18">
        <v>9900</v>
      </c>
      <c r="M213" s="7">
        <f t="shared" si="3"/>
        <v>9900</v>
      </c>
      <c r="N213" s="4" t="s">
        <v>1291</v>
      </c>
      <c r="O213" s="9"/>
    </row>
    <row r="214" spans="1:15" ht="20" x14ac:dyDescent="0.2">
      <c r="A214" s="3">
        <v>210</v>
      </c>
      <c r="B214" s="19"/>
      <c r="C214" s="4" t="s">
        <v>1418</v>
      </c>
      <c r="D214" s="4" t="s">
        <v>1206</v>
      </c>
      <c r="E214" s="4"/>
      <c r="F214" s="8"/>
      <c r="G214" s="8"/>
      <c r="H214" s="8"/>
      <c r="I214" s="8"/>
      <c r="J214" s="8"/>
      <c r="K214" s="8">
        <v>1</v>
      </c>
      <c r="L214" s="18">
        <v>4950</v>
      </c>
      <c r="M214" s="7">
        <f t="shared" si="3"/>
        <v>4950</v>
      </c>
      <c r="N214" s="4" t="s">
        <v>1291</v>
      </c>
      <c r="O214" s="9"/>
    </row>
    <row r="215" spans="1:15" ht="20" x14ac:dyDescent="0.2">
      <c r="A215" s="3">
        <v>211</v>
      </c>
      <c r="B215" s="19"/>
      <c r="C215" s="4" t="s">
        <v>1419</v>
      </c>
      <c r="D215" s="4" t="s">
        <v>1206</v>
      </c>
      <c r="E215" s="4"/>
      <c r="F215" s="8"/>
      <c r="G215" s="8"/>
      <c r="H215" s="8"/>
      <c r="I215" s="8"/>
      <c r="J215" s="8"/>
      <c r="K215" s="8">
        <v>1</v>
      </c>
      <c r="L215" s="18">
        <v>9900</v>
      </c>
      <c r="M215" s="7">
        <f t="shared" si="3"/>
        <v>9900</v>
      </c>
      <c r="N215" s="4" t="s">
        <v>1291</v>
      </c>
      <c r="O215" s="9"/>
    </row>
    <row r="216" spans="1:15" ht="20" x14ac:dyDescent="0.2">
      <c r="A216" s="3">
        <v>212</v>
      </c>
      <c r="B216" s="19"/>
      <c r="C216" s="4" t="s">
        <v>1420</v>
      </c>
      <c r="D216" s="4" t="s">
        <v>1206</v>
      </c>
      <c r="E216" s="4"/>
      <c r="F216" s="8"/>
      <c r="G216" s="8"/>
      <c r="H216" s="8"/>
      <c r="I216" s="8"/>
      <c r="J216" s="8"/>
      <c r="K216" s="8">
        <v>1</v>
      </c>
      <c r="L216" s="18">
        <v>9750</v>
      </c>
      <c r="M216" s="7">
        <f t="shared" si="3"/>
        <v>9750</v>
      </c>
      <c r="N216" s="4" t="s">
        <v>1291</v>
      </c>
      <c r="O216" s="9"/>
    </row>
    <row r="217" spans="1:15" ht="20" x14ac:dyDescent="0.2">
      <c r="A217" s="3">
        <v>213</v>
      </c>
      <c r="B217" s="19"/>
      <c r="C217" s="4" t="s">
        <v>1421</v>
      </c>
      <c r="D217" s="4" t="s">
        <v>1206</v>
      </c>
      <c r="E217" s="4"/>
      <c r="F217" s="8"/>
      <c r="G217" s="8"/>
      <c r="H217" s="8"/>
      <c r="I217" s="8"/>
      <c r="J217" s="8"/>
      <c r="K217" s="8">
        <v>1</v>
      </c>
      <c r="L217" s="18">
        <v>750</v>
      </c>
      <c r="M217" s="7">
        <f t="shared" si="3"/>
        <v>750</v>
      </c>
      <c r="N217" s="4" t="s">
        <v>1291</v>
      </c>
      <c r="O217" s="9"/>
    </row>
    <row r="218" spans="1:15" ht="20" x14ac:dyDescent="0.2">
      <c r="A218" s="3">
        <v>214</v>
      </c>
      <c r="B218" s="19"/>
      <c r="C218" s="4" t="s">
        <v>1422</v>
      </c>
      <c r="D218" s="4" t="s">
        <v>1206</v>
      </c>
      <c r="E218" s="4"/>
      <c r="F218" s="8"/>
      <c r="G218" s="8"/>
      <c r="H218" s="8"/>
      <c r="I218" s="8"/>
      <c r="J218" s="8"/>
      <c r="K218" s="8">
        <v>1</v>
      </c>
      <c r="L218" s="18">
        <v>5250</v>
      </c>
      <c r="M218" s="7">
        <f t="shared" si="3"/>
        <v>5250</v>
      </c>
      <c r="N218" s="4" t="s">
        <v>1291</v>
      </c>
      <c r="O218" s="9"/>
    </row>
    <row r="219" spans="1:15" ht="20" x14ac:dyDescent="0.2">
      <c r="A219" s="3">
        <v>215</v>
      </c>
      <c r="B219" s="19"/>
      <c r="C219" s="4" t="s">
        <v>1423</v>
      </c>
      <c r="D219" s="4" t="s">
        <v>1206</v>
      </c>
      <c r="E219" s="4"/>
      <c r="F219" s="8"/>
      <c r="G219" s="8"/>
      <c r="H219" s="8"/>
      <c r="I219" s="8"/>
      <c r="J219" s="8"/>
      <c r="K219" s="8">
        <v>1</v>
      </c>
      <c r="L219" s="18">
        <v>1500</v>
      </c>
      <c r="M219" s="7">
        <f t="shared" si="3"/>
        <v>1500</v>
      </c>
      <c r="N219" s="4" t="s">
        <v>1291</v>
      </c>
      <c r="O219" s="9"/>
    </row>
    <row r="220" spans="1:15" ht="20" x14ac:dyDescent="0.2">
      <c r="A220" s="3">
        <v>216</v>
      </c>
      <c r="B220" s="19"/>
      <c r="C220" s="4" t="s">
        <v>1424</v>
      </c>
      <c r="D220" s="4" t="s">
        <v>1206</v>
      </c>
      <c r="E220" s="4"/>
      <c r="F220" s="8"/>
      <c r="G220" s="8"/>
      <c r="H220" s="8"/>
      <c r="I220" s="8"/>
      <c r="J220" s="8"/>
      <c r="K220" s="8">
        <v>1</v>
      </c>
      <c r="L220" s="18">
        <v>500</v>
      </c>
      <c r="M220" s="7">
        <f t="shared" si="3"/>
        <v>500</v>
      </c>
      <c r="N220" s="4" t="s">
        <v>1291</v>
      </c>
      <c r="O220" s="9"/>
    </row>
    <row r="221" spans="1:15" ht="20" x14ac:dyDescent="0.2">
      <c r="A221" s="3">
        <v>217</v>
      </c>
      <c r="B221" s="19"/>
      <c r="C221" s="4" t="s">
        <v>1425</v>
      </c>
      <c r="D221" s="4" t="s">
        <v>1206</v>
      </c>
      <c r="E221" s="4"/>
      <c r="F221" s="8"/>
      <c r="G221" s="8"/>
      <c r="H221" s="8"/>
      <c r="I221" s="8"/>
      <c r="J221" s="8"/>
      <c r="K221" s="8">
        <v>1</v>
      </c>
      <c r="L221" s="18">
        <v>3200</v>
      </c>
      <c r="M221" s="7">
        <f t="shared" si="3"/>
        <v>3200</v>
      </c>
      <c r="N221" s="4" t="s">
        <v>1291</v>
      </c>
      <c r="O221" s="9"/>
    </row>
    <row r="222" spans="1:15" ht="20" x14ac:dyDescent="0.2">
      <c r="A222" s="3">
        <v>218</v>
      </c>
      <c r="B222" s="19"/>
      <c r="C222" s="4" t="s">
        <v>1426</v>
      </c>
      <c r="D222" s="4" t="s">
        <v>1206</v>
      </c>
      <c r="E222" s="4"/>
      <c r="F222" s="8"/>
      <c r="G222" s="8"/>
      <c r="H222" s="8"/>
      <c r="I222" s="8"/>
      <c r="J222" s="8"/>
      <c r="K222" s="8">
        <v>1</v>
      </c>
      <c r="L222" s="18">
        <v>3000</v>
      </c>
      <c r="M222" s="7">
        <f t="shared" si="3"/>
        <v>3000</v>
      </c>
      <c r="N222" s="4" t="s">
        <v>1291</v>
      </c>
      <c r="O222" s="9"/>
    </row>
    <row r="223" spans="1:15" ht="20" x14ac:dyDescent="0.2">
      <c r="A223" s="3">
        <v>219</v>
      </c>
      <c r="B223" s="19"/>
      <c r="C223" s="4" t="s">
        <v>1427</v>
      </c>
      <c r="D223" s="4" t="s">
        <v>1206</v>
      </c>
      <c r="E223" s="4"/>
      <c r="F223" s="8"/>
      <c r="G223" s="8"/>
      <c r="H223" s="8"/>
      <c r="I223" s="8"/>
      <c r="J223" s="8"/>
      <c r="K223" s="8">
        <v>1</v>
      </c>
      <c r="L223" s="18">
        <v>12400</v>
      </c>
      <c r="M223" s="7">
        <f t="shared" si="3"/>
        <v>12400</v>
      </c>
      <c r="N223" s="4" t="s">
        <v>1291</v>
      </c>
      <c r="O223" s="9"/>
    </row>
    <row r="224" spans="1:15" ht="20" x14ac:dyDescent="0.2">
      <c r="A224" s="3">
        <v>220</v>
      </c>
      <c r="B224" s="19"/>
      <c r="C224" s="4" t="s">
        <v>1428</v>
      </c>
      <c r="D224" s="4" t="s">
        <v>1206</v>
      </c>
      <c r="E224" s="4"/>
      <c r="F224" s="8"/>
      <c r="G224" s="8"/>
      <c r="H224" s="8"/>
      <c r="I224" s="8"/>
      <c r="J224" s="8"/>
      <c r="K224" s="8">
        <v>1</v>
      </c>
      <c r="L224" s="18">
        <v>2000</v>
      </c>
      <c r="M224" s="7">
        <f t="shared" si="3"/>
        <v>2000</v>
      </c>
      <c r="N224" s="4" t="s">
        <v>1291</v>
      </c>
      <c r="O224" s="9"/>
    </row>
    <row r="225" spans="1:15" ht="20" x14ac:dyDescent="0.2">
      <c r="A225" s="3">
        <v>221</v>
      </c>
      <c r="B225" s="19"/>
      <c r="C225" s="4" t="s">
        <v>1429</v>
      </c>
      <c r="D225" s="4" t="s">
        <v>1206</v>
      </c>
      <c r="E225" s="4"/>
      <c r="F225" s="8"/>
      <c r="G225" s="8"/>
      <c r="H225" s="8"/>
      <c r="I225" s="8"/>
      <c r="J225" s="8"/>
      <c r="K225" s="8">
        <v>1</v>
      </c>
      <c r="L225" s="18">
        <v>750</v>
      </c>
      <c r="M225" s="7">
        <f t="shared" si="3"/>
        <v>750</v>
      </c>
      <c r="N225" s="4" t="s">
        <v>1291</v>
      </c>
      <c r="O225" s="9"/>
    </row>
    <row r="226" spans="1:15" ht="20" x14ac:dyDescent="0.2">
      <c r="A226" s="3">
        <v>222</v>
      </c>
      <c r="B226" s="19"/>
      <c r="C226" s="4" t="s">
        <v>1430</v>
      </c>
      <c r="D226" s="4" t="s">
        <v>1206</v>
      </c>
      <c r="E226" s="4"/>
      <c r="F226" s="8"/>
      <c r="G226" s="8"/>
      <c r="H226" s="8"/>
      <c r="I226" s="8"/>
      <c r="J226" s="8"/>
      <c r="K226" s="8">
        <v>1</v>
      </c>
      <c r="L226" s="18">
        <v>1250</v>
      </c>
      <c r="M226" s="7">
        <f t="shared" si="3"/>
        <v>1250</v>
      </c>
      <c r="N226" s="4" t="s">
        <v>1291</v>
      </c>
      <c r="O226" s="9"/>
    </row>
    <row r="227" spans="1:15" ht="20" x14ac:dyDescent="0.2">
      <c r="A227" s="3">
        <v>223</v>
      </c>
      <c r="B227" s="19"/>
      <c r="C227" s="4" t="s">
        <v>1431</v>
      </c>
      <c r="D227" s="4" t="s">
        <v>1206</v>
      </c>
      <c r="E227" s="4"/>
      <c r="F227" s="8"/>
      <c r="G227" s="8"/>
      <c r="H227" s="8"/>
      <c r="I227" s="8"/>
      <c r="J227" s="8"/>
      <c r="K227" s="8">
        <v>1</v>
      </c>
      <c r="L227" s="18">
        <v>500</v>
      </c>
      <c r="M227" s="7">
        <f t="shared" si="3"/>
        <v>500</v>
      </c>
      <c r="N227" s="4" t="s">
        <v>1291</v>
      </c>
      <c r="O227" s="9"/>
    </row>
    <row r="228" spans="1:15" ht="20" x14ac:dyDescent="0.2">
      <c r="A228" s="3">
        <v>224</v>
      </c>
      <c r="B228" s="19"/>
      <c r="C228" s="4" t="s">
        <v>1432</v>
      </c>
      <c r="D228" s="4" t="s">
        <v>1206</v>
      </c>
      <c r="E228" s="4"/>
      <c r="F228" s="8"/>
      <c r="G228" s="8"/>
      <c r="H228" s="8"/>
      <c r="I228" s="8"/>
      <c r="J228" s="8"/>
      <c r="K228" s="8">
        <v>1</v>
      </c>
      <c r="L228" s="18">
        <v>3948</v>
      </c>
      <c r="M228" s="7">
        <f t="shared" si="3"/>
        <v>3948</v>
      </c>
      <c r="N228" s="4" t="s">
        <v>1291</v>
      </c>
      <c r="O228" s="9"/>
    </row>
    <row r="229" spans="1:15" ht="20" x14ac:dyDescent="0.2">
      <c r="A229" s="3">
        <v>225</v>
      </c>
      <c r="B229" s="19"/>
      <c r="C229" s="4" t="s">
        <v>1433</v>
      </c>
      <c r="D229" s="4" t="s">
        <v>1206</v>
      </c>
      <c r="E229" s="4"/>
      <c r="F229" s="8"/>
      <c r="G229" s="8"/>
      <c r="H229" s="8"/>
      <c r="I229" s="8"/>
      <c r="J229" s="8"/>
      <c r="K229" s="8">
        <v>1</v>
      </c>
      <c r="L229" s="18">
        <v>1500</v>
      </c>
      <c r="M229" s="7">
        <f t="shared" si="3"/>
        <v>1500</v>
      </c>
      <c r="N229" s="4" t="s">
        <v>1291</v>
      </c>
      <c r="O229" s="9"/>
    </row>
    <row r="230" spans="1:15" ht="20" x14ac:dyDescent="0.2">
      <c r="A230" s="3">
        <v>226</v>
      </c>
      <c r="B230" s="19"/>
      <c r="C230" s="4" t="s">
        <v>1434</v>
      </c>
      <c r="D230" s="4" t="s">
        <v>1206</v>
      </c>
      <c r="E230" s="4"/>
      <c r="F230" s="8"/>
      <c r="G230" s="8"/>
      <c r="H230" s="8"/>
      <c r="I230" s="8"/>
      <c r="J230" s="8"/>
      <c r="K230" s="8">
        <v>1</v>
      </c>
      <c r="L230" s="18">
        <v>4044</v>
      </c>
      <c r="M230" s="7">
        <f t="shared" si="3"/>
        <v>4044</v>
      </c>
      <c r="N230" s="4" t="s">
        <v>1291</v>
      </c>
      <c r="O230" s="9"/>
    </row>
    <row r="231" spans="1:15" ht="20" x14ac:dyDescent="0.2">
      <c r="A231" s="3">
        <v>227</v>
      </c>
      <c r="B231" s="19"/>
      <c r="C231" s="4" t="s">
        <v>1435</v>
      </c>
      <c r="D231" s="4" t="s">
        <v>1206</v>
      </c>
      <c r="E231" s="4"/>
      <c r="F231" s="8"/>
      <c r="G231" s="8"/>
      <c r="H231" s="8"/>
      <c r="I231" s="8"/>
      <c r="J231" s="8"/>
      <c r="K231" s="8">
        <v>1</v>
      </c>
      <c r="L231" s="18">
        <v>5000</v>
      </c>
      <c r="M231" s="7">
        <f t="shared" si="3"/>
        <v>5000</v>
      </c>
      <c r="N231" s="4" t="s">
        <v>1291</v>
      </c>
      <c r="O231" s="9"/>
    </row>
    <row r="232" spans="1:15" ht="20" x14ac:dyDescent="0.2">
      <c r="A232" s="3">
        <v>228</v>
      </c>
      <c r="B232" s="19"/>
      <c r="C232" s="4" t="s">
        <v>1436</v>
      </c>
      <c r="D232" s="4" t="s">
        <v>1206</v>
      </c>
      <c r="E232" s="4"/>
      <c r="F232" s="8"/>
      <c r="G232" s="8"/>
      <c r="H232" s="8"/>
      <c r="I232" s="8"/>
      <c r="J232" s="8"/>
      <c r="K232" s="8">
        <v>1</v>
      </c>
      <c r="L232" s="18">
        <v>750</v>
      </c>
      <c r="M232" s="7">
        <f t="shared" si="3"/>
        <v>750</v>
      </c>
      <c r="N232" s="4" t="s">
        <v>1291</v>
      </c>
      <c r="O232" s="9"/>
    </row>
    <row r="233" spans="1:15" ht="20" x14ac:dyDescent="0.2">
      <c r="A233" s="3">
        <v>229</v>
      </c>
      <c r="B233" s="19"/>
      <c r="C233" s="4" t="s">
        <v>1437</v>
      </c>
      <c r="D233" s="4" t="s">
        <v>1206</v>
      </c>
      <c r="E233" s="4"/>
      <c r="F233" s="8"/>
      <c r="G233" s="8"/>
      <c r="H233" s="8"/>
      <c r="I233" s="8"/>
      <c r="J233" s="8"/>
      <c r="K233" s="8">
        <v>1</v>
      </c>
      <c r="L233" s="18">
        <v>750</v>
      </c>
      <c r="M233" s="7">
        <f t="shared" si="3"/>
        <v>750</v>
      </c>
      <c r="N233" s="4" t="s">
        <v>1291</v>
      </c>
      <c r="O233" s="9"/>
    </row>
    <row r="234" spans="1:15" ht="20" x14ac:dyDescent="0.2">
      <c r="A234" s="3">
        <v>230</v>
      </c>
      <c r="B234" s="19"/>
      <c r="C234" s="4" t="s">
        <v>1438</v>
      </c>
      <c r="D234" s="4" t="s">
        <v>1206</v>
      </c>
      <c r="E234" s="4"/>
      <c r="F234" s="8"/>
      <c r="G234" s="8"/>
      <c r="H234" s="8"/>
      <c r="I234" s="8"/>
      <c r="J234" s="8"/>
      <c r="K234" s="8">
        <v>1</v>
      </c>
      <c r="L234" s="18">
        <v>750</v>
      </c>
      <c r="M234" s="7">
        <f t="shared" si="3"/>
        <v>750</v>
      </c>
      <c r="N234" s="4" t="s">
        <v>1291</v>
      </c>
      <c r="O234" s="9"/>
    </row>
    <row r="235" spans="1:15" ht="20" x14ac:dyDescent="0.2">
      <c r="A235" s="3">
        <v>231</v>
      </c>
      <c r="B235" s="19"/>
      <c r="C235" s="4" t="s">
        <v>1439</v>
      </c>
      <c r="D235" s="4" t="s">
        <v>1206</v>
      </c>
      <c r="E235" s="4"/>
      <c r="F235" s="8"/>
      <c r="G235" s="8"/>
      <c r="H235" s="8"/>
      <c r="I235" s="8"/>
      <c r="J235" s="8"/>
      <c r="K235" s="8">
        <v>1</v>
      </c>
      <c r="L235" s="18">
        <v>3500</v>
      </c>
      <c r="M235" s="7">
        <f t="shared" si="3"/>
        <v>3500</v>
      </c>
      <c r="N235" s="4" t="s">
        <v>1291</v>
      </c>
      <c r="O235" s="9"/>
    </row>
    <row r="236" spans="1:15" ht="20" x14ac:dyDescent="0.2">
      <c r="A236" s="3">
        <v>232</v>
      </c>
      <c r="B236" s="19"/>
      <c r="C236" s="4" t="s">
        <v>1440</v>
      </c>
      <c r="D236" s="4" t="s">
        <v>1206</v>
      </c>
      <c r="E236" s="4"/>
      <c r="F236" s="8"/>
      <c r="G236" s="8"/>
      <c r="H236" s="8"/>
      <c r="I236" s="8"/>
      <c r="J236" s="8"/>
      <c r="K236" s="8">
        <v>1</v>
      </c>
      <c r="L236" s="18">
        <v>4000</v>
      </c>
      <c r="M236" s="7">
        <f t="shared" si="3"/>
        <v>4000</v>
      </c>
      <c r="N236" s="4" t="s">
        <v>1291</v>
      </c>
      <c r="O236" s="9"/>
    </row>
    <row r="237" spans="1:15" ht="20" x14ac:dyDescent="0.2">
      <c r="A237" s="3">
        <v>233</v>
      </c>
      <c r="B237" s="19"/>
      <c r="C237" s="4" t="s">
        <v>1441</v>
      </c>
      <c r="D237" s="4" t="s">
        <v>1206</v>
      </c>
      <c r="E237" s="4"/>
      <c r="F237" s="8"/>
      <c r="G237" s="8"/>
      <c r="H237" s="8"/>
      <c r="I237" s="8"/>
      <c r="J237" s="8"/>
      <c r="K237" s="8">
        <v>1</v>
      </c>
      <c r="L237" s="18">
        <v>750</v>
      </c>
      <c r="M237" s="7">
        <f t="shared" si="3"/>
        <v>750</v>
      </c>
      <c r="N237" s="4" t="s">
        <v>1291</v>
      </c>
      <c r="O237" s="9"/>
    </row>
    <row r="238" spans="1:15" ht="20" x14ac:dyDescent="0.2">
      <c r="A238" s="3">
        <v>234</v>
      </c>
      <c r="B238" s="19"/>
      <c r="C238" s="4" t="s">
        <v>1442</v>
      </c>
      <c r="D238" s="4" t="s">
        <v>1206</v>
      </c>
      <c r="E238" s="4"/>
      <c r="F238" s="8"/>
      <c r="G238" s="8"/>
      <c r="H238" s="8"/>
      <c r="I238" s="8"/>
      <c r="J238" s="8"/>
      <c r="K238" s="8">
        <v>1</v>
      </c>
      <c r="L238" s="18">
        <v>7200</v>
      </c>
      <c r="M238" s="7">
        <f t="shared" si="3"/>
        <v>7200</v>
      </c>
      <c r="N238" s="4" t="s">
        <v>1291</v>
      </c>
      <c r="O238" s="9"/>
    </row>
    <row r="239" spans="1:15" ht="20" x14ac:dyDescent="0.2">
      <c r="A239" s="3">
        <v>235</v>
      </c>
      <c r="B239" s="19"/>
      <c r="C239" s="4" t="s">
        <v>1443</v>
      </c>
      <c r="D239" s="4" t="s">
        <v>1206</v>
      </c>
      <c r="E239" s="4"/>
      <c r="F239" s="8"/>
      <c r="G239" s="8"/>
      <c r="H239" s="8"/>
      <c r="I239" s="8"/>
      <c r="J239" s="8"/>
      <c r="K239" s="8">
        <v>1</v>
      </c>
      <c r="L239" s="18">
        <v>750</v>
      </c>
      <c r="M239" s="7">
        <f t="shared" si="3"/>
        <v>750</v>
      </c>
      <c r="N239" s="4" t="s">
        <v>1291</v>
      </c>
      <c r="O239" s="9"/>
    </row>
    <row r="240" spans="1:15" ht="20" x14ac:dyDescent="0.2">
      <c r="A240" s="3">
        <v>236</v>
      </c>
      <c r="B240" s="19"/>
      <c r="C240" s="4" t="s">
        <v>1444</v>
      </c>
      <c r="D240" s="4" t="s">
        <v>1206</v>
      </c>
      <c r="E240" s="4"/>
      <c r="F240" s="8"/>
      <c r="G240" s="8"/>
      <c r="H240" s="8"/>
      <c r="I240" s="8"/>
      <c r="J240" s="8"/>
      <c r="K240" s="8">
        <v>1</v>
      </c>
      <c r="L240" s="18">
        <v>26400</v>
      </c>
      <c r="M240" s="7">
        <f t="shared" si="3"/>
        <v>26400</v>
      </c>
      <c r="N240" s="4" t="s">
        <v>1291</v>
      </c>
      <c r="O240" s="9"/>
    </row>
    <row r="241" spans="1:15" ht="20" x14ac:dyDescent="0.2">
      <c r="A241" s="3">
        <v>237</v>
      </c>
      <c r="B241" s="19"/>
      <c r="C241" s="4" t="s">
        <v>1445</v>
      </c>
      <c r="D241" s="4" t="s">
        <v>1206</v>
      </c>
      <c r="E241" s="4"/>
      <c r="F241" s="8"/>
      <c r="G241" s="8"/>
      <c r="H241" s="8"/>
      <c r="I241" s="8"/>
      <c r="J241" s="8"/>
      <c r="K241" s="8">
        <v>1</v>
      </c>
      <c r="L241" s="18">
        <v>2800</v>
      </c>
      <c r="M241" s="7">
        <f t="shared" si="3"/>
        <v>2800</v>
      </c>
      <c r="N241" s="4" t="s">
        <v>1291</v>
      </c>
      <c r="O241" s="9"/>
    </row>
    <row r="242" spans="1:15" ht="20" x14ac:dyDescent="0.2">
      <c r="A242" s="3">
        <v>238</v>
      </c>
      <c r="B242" s="19"/>
      <c r="C242" s="4" t="s">
        <v>1446</v>
      </c>
      <c r="D242" s="4" t="s">
        <v>1206</v>
      </c>
      <c r="E242" s="4"/>
      <c r="F242" s="8"/>
      <c r="G242" s="8"/>
      <c r="H242" s="8"/>
      <c r="I242" s="8"/>
      <c r="J242" s="8"/>
      <c r="K242" s="8">
        <v>1</v>
      </c>
      <c r="L242" s="18">
        <v>2100</v>
      </c>
      <c r="M242" s="7">
        <f t="shared" si="3"/>
        <v>2100</v>
      </c>
      <c r="N242" s="4" t="s">
        <v>1291</v>
      </c>
      <c r="O242" s="9"/>
    </row>
    <row r="243" spans="1:15" ht="20" x14ac:dyDescent="0.2">
      <c r="A243" s="3">
        <v>239</v>
      </c>
      <c r="B243" s="19"/>
      <c r="C243" s="4" t="s">
        <v>1447</v>
      </c>
      <c r="D243" s="4" t="s">
        <v>1206</v>
      </c>
      <c r="E243" s="4"/>
      <c r="F243" s="8"/>
      <c r="G243" s="8"/>
      <c r="H243" s="8"/>
      <c r="I243" s="8"/>
      <c r="J243" s="8"/>
      <c r="K243" s="8">
        <v>1</v>
      </c>
      <c r="L243" s="18">
        <v>3800</v>
      </c>
      <c r="M243" s="7">
        <f t="shared" si="3"/>
        <v>3800</v>
      </c>
      <c r="N243" s="4" t="s">
        <v>1291</v>
      </c>
      <c r="O243" s="9"/>
    </row>
    <row r="244" spans="1:15" ht="40" x14ac:dyDescent="0.2">
      <c r="A244" s="3">
        <v>240</v>
      </c>
      <c r="B244" s="19"/>
      <c r="C244" s="4" t="s">
        <v>1448</v>
      </c>
      <c r="D244" s="4" t="s">
        <v>1206</v>
      </c>
      <c r="E244" s="4"/>
      <c r="F244" s="8"/>
      <c r="G244" s="8"/>
      <c r="H244" s="8"/>
      <c r="I244" s="8"/>
      <c r="J244" s="8"/>
      <c r="K244" s="8">
        <v>1</v>
      </c>
      <c r="L244" s="18">
        <v>50750</v>
      </c>
      <c r="M244" s="7">
        <f t="shared" si="3"/>
        <v>50750</v>
      </c>
      <c r="N244" s="4" t="s">
        <v>1291</v>
      </c>
      <c r="O244" s="9"/>
    </row>
    <row r="245" spans="1:15" ht="20" x14ac:dyDescent="0.2">
      <c r="A245" s="3">
        <v>241</v>
      </c>
      <c r="B245" s="19"/>
      <c r="C245" s="4" t="s">
        <v>1449</v>
      </c>
      <c r="D245" s="4" t="s">
        <v>1206</v>
      </c>
      <c r="E245" s="4"/>
      <c r="F245" s="8"/>
      <c r="G245" s="8"/>
      <c r="H245" s="8"/>
      <c r="I245" s="8"/>
      <c r="J245" s="8"/>
      <c r="K245" s="8">
        <v>1</v>
      </c>
      <c r="L245" s="18">
        <v>4400</v>
      </c>
      <c r="M245" s="7">
        <f t="shared" si="3"/>
        <v>4400</v>
      </c>
      <c r="N245" s="4" t="s">
        <v>1291</v>
      </c>
      <c r="O245" s="9"/>
    </row>
    <row r="246" spans="1:15" ht="20" x14ac:dyDescent="0.2">
      <c r="A246" s="3">
        <v>242</v>
      </c>
      <c r="B246" s="19"/>
      <c r="C246" s="4" t="s">
        <v>1450</v>
      </c>
      <c r="D246" s="4" t="s">
        <v>1206</v>
      </c>
      <c r="E246" s="4"/>
      <c r="F246" s="8"/>
      <c r="G246" s="8"/>
      <c r="H246" s="8"/>
      <c r="I246" s="8"/>
      <c r="J246" s="8"/>
      <c r="K246" s="8">
        <v>1</v>
      </c>
      <c r="L246" s="18">
        <v>8800</v>
      </c>
      <c r="M246" s="7">
        <f t="shared" si="3"/>
        <v>8800</v>
      </c>
      <c r="N246" s="4" t="s">
        <v>1291</v>
      </c>
      <c r="O246" s="9"/>
    </row>
    <row r="247" spans="1:15" ht="20" x14ac:dyDescent="0.2">
      <c r="A247" s="3">
        <v>243</v>
      </c>
      <c r="B247" s="19"/>
      <c r="C247" s="4" t="s">
        <v>1451</v>
      </c>
      <c r="D247" s="4" t="s">
        <v>1206</v>
      </c>
      <c r="E247" s="4"/>
      <c r="F247" s="8"/>
      <c r="G247" s="8"/>
      <c r="H247" s="8"/>
      <c r="I247" s="8"/>
      <c r="J247" s="8"/>
      <c r="K247" s="8">
        <v>1</v>
      </c>
      <c r="L247" s="18">
        <v>4400</v>
      </c>
      <c r="M247" s="7">
        <f t="shared" si="3"/>
        <v>4400</v>
      </c>
      <c r="N247" s="4" t="s">
        <v>1291</v>
      </c>
      <c r="O247" s="9"/>
    </row>
    <row r="248" spans="1:15" ht="20" x14ac:dyDescent="0.2">
      <c r="A248" s="3">
        <v>244</v>
      </c>
      <c r="B248" s="19"/>
      <c r="C248" s="4" t="s">
        <v>1452</v>
      </c>
      <c r="D248" s="4" t="s">
        <v>1206</v>
      </c>
      <c r="E248" s="4"/>
      <c r="F248" s="8"/>
      <c r="G248" s="8"/>
      <c r="H248" s="8"/>
      <c r="I248" s="8"/>
      <c r="J248" s="8"/>
      <c r="K248" s="8">
        <v>1</v>
      </c>
      <c r="L248" s="18">
        <v>8800</v>
      </c>
      <c r="M248" s="7">
        <f t="shared" si="3"/>
        <v>8800</v>
      </c>
      <c r="N248" s="4" t="s">
        <v>1291</v>
      </c>
      <c r="O248" s="9"/>
    </row>
    <row r="249" spans="1:15" ht="20" x14ac:dyDescent="0.2">
      <c r="A249" s="3">
        <v>245</v>
      </c>
      <c r="B249" s="19"/>
      <c r="C249" s="4" t="s">
        <v>1453</v>
      </c>
      <c r="D249" s="4" t="s">
        <v>1206</v>
      </c>
      <c r="E249" s="4"/>
      <c r="F249" s="8"/>
      <c r="G249" s="8"/>
      <c r="H249" s="8"/>
      <c r="I249" s="8"/>
      <c r="J249" s="8"/>
      <c r="K249" s="8">
        <v>1</v>
      </c>
      <c r="L249" s="18">
        <v>8800</v>
      </c>
      <c r="M249" s="7">
        <f t="shared" si="3"/>
        <v>8800</v>
      </c>
      <c r="N249" s="4" t="s">
        <v>1291</v>
      </c>
      <c r="O249" s="9"/>
    </row>
    <row r="250" spans="1:15" ht="20" x14ac:dyDescent="0.2">
      <c r="A250" s="3">
        <v>246</v>
      </c>
      <c r="B250" s="19"/>
      <c r="C250" s="4" t="s">
        <v>1454</v>
      </c>
      <c r="D250" s="4" t="s">
        <v>1206</v>
      </c>
      <c r="E250" s="4"/>
      <c r="F250" s="8"/>
      <c r="G250" s="8"/>
      <c r="H250" s="8"/>
      <c r="I250" s="8"/>
      <c r="J250" s="8"/>
      <c r="K250" s="8">
        <v>1</v>
      </c>
      <c r="L250" s="18">
        <v>2200</v>
      </c>
      <c r="M250" s="7">
        <f t="shared" si="3"/>
        <v>2200</v>
      </c>
      <c r="N250" s="4" t="s">
        <v>1291</v>
      </c>
      <c r="O250" s="9"/>
    </row>
    <row r="251" spans="1:15" ht="20" x14ac:dyDescent="0.2">
      <c r="A251" s="3">
        <v>247</v>
      </c>
      <c r="B251" s="19"/>
      <c r="C251" s="4" t="s">
        <v>1455</v>
      </c>
      <c r="D251" s="4" t="s">
        <v>1206</v>
      </c>
      <c r="E251" s="4"/>
      <c r="F251" s="8"/>
      <c r="G251" s="8"/>
      <c r="H251" s="8"/>
      <c r="I251" s="8"/>
      <c r="J251" s="8"/>
      <c r="K251" s="8">
        <v>1</v>
      </c>
      <c r="L251" s="18">
        <v>2200</v>
      </c>
      <c r="M251" s="7">
        <f t="shared" si="3"/>
        <v>2200</v>
      </c>
      <c r="N251" s="4" t="s">
        <v>1291</v>
      </c>
      <c r="O251" s="9"/>
    </row>
    <row r="252" spans="1:15" ht="20" x14ac:dyDescent="0.2">
      <c r="A252" s="3">
        <v>248</v>
      </c>
      <c r="B252" s="19"/>
      <c r="C252" s="4" t="s">
        <v>1456</v>
      </c>
      <c r="D252" s="4" t="s">
        <v>1206</v>
      </c>
      <c r="E252" s="4"/>
      <c r="F252" s="8"/>
      <c r="G252" s="8"/>
      <c r="H252" s="8"/>
      <c r="I252" s="8"/>
      <c r="J252" s="8"/>
      <c r="K252" s="8">
        <v>1</v>
      </c>
      <c r="L252" s="18">
        <v>2200</v>
      </c>
      <c r="M252" s="7">
        <f t="shared" si="3"/>
        <v>2200</v>
      </c>
      <c r="N252" s="4" t="s">
        <v>1291</v>
      </c>
      <c r="O252" s="9"/>
    </row>
    <row r="253" spans="1:15" ht="20" x14ac:dyDescent="0.2">
      <c r="A253" s="3">
        <v>249</v>
      </c>
      <c r="B253" s="19"/>
      <c r="C253" s="4" t="s">
        <v>1457</v>
      </c>
      <c r="D253" s="4" t="s">
        <v>1206</v>
      </c>
      <c r="E253" s="4"/>
      <c r="F253" s="8"/>
      <c r="G253" s="8"/>
      <c r="H253" s="8"/>
      <c r="I253" s="8"/>
      <c r="J253" s="8"/>
      <c r="K253" s="8">
        <v>1</v>
      </c>
      <c r="L253" s="18">
        <v>2200</v>
      </c>
      <c r="M253" s="7">
        <f t="shared" si="3"/>
        <v>2200</v>
      </c>
      <c r="N253" s="4" t="s">
        <v>1291</v>
      </c>
      <c r="O253" s="9"/>
    </row>
    <row r="254" spans="1:15" ht="20" x14ac:dyDescent="0.2">
      <c r="A254" s="3">
        <v>250</v>
      </c>
      <c r="B254" s="19"/>
      <c r="C254" s="4" t="s">
        <v>1458</v>
      </c>
      <c r="D254" s="4" t="s">
        <v>1206</v>
      </c>
      <c r="E254" s="4"/>
      <c r="F254" s="8"/>
      <c r="G254" s="8"/>
      <c r="H254" s="8"/>
      <c r="I254" s="8"/>
      <c r="J254" s="8"/>
      <c r="K254" s="8">
        <v>1</v>
      </c>
      <c r="L254" s="18">
        <v>2200</v>
      </c>
      <c r="M254" s="7">
        <f t="shared" si="3"/>
        <v>2200</v>
      </c>
      <c r="N254" s="4" t="s">
        <v>1291</v>
      </c>
      <c r="O254" s="9"/>
    </row>
    <row r="255" spans="1:15" ht="20" x14ac:dyDescent="0.2">
      <c r="A255" s="3">
        <v>251</v>
      </c>
      <c r="B255" s="19"/>
      <c r="C255" s="4" t="s">
        <v>1459</v>
      </c>
      <c r="D255" s="4" t="s">
        <v>1206</v>
      </c>
      <c r="E255" s="4"/>
      <c r="F255" s="8"/>
      <c r="G255" s="8"/>
      <c r="H255" s="8"/>
      <c r="I255" s="8"/>
      <c r="J255" s="8"/>
      <c r="K255" s="8">
        <v>1</v>
      </c>
      <c r="L255" s="18">
        <v>8800</v>
      </c>
      <c r="M255" s="7">
        <f t="shared" si="3"/>
        <v>8800</v>
      </c>
      <c r="N255" s="4" t="s">
        <v>1291</v>
      </c>
      <c r="O255" s="9"/>
    </row>
    <row r="256" spans="1:15" ht="20" x14ac:dyDescent="0.2">
      <c r="A256" s="3">
        <v>252</v>
      </c>
      <c r="B256" s="19"/>
      <c r="C256" s="4" t="s">
        <v>1460</v>
      </c>
      <c r="D256" s="4" t="s">
        <v>1206</v>
      </c>
      <c r="E256" s="4"/>
      <c r="F256" s="8"/>
      <c r="G256" s="8"/>
      <c r="H256" s="8"/>
      <c r="I256" s="8"/>
      <c r="J256" s="8"/>
      <c r="K256" s="8">
        <v>1</v>
      </c>
      <c r="L256" s="18">
        <v>4400</v>
      </c>
      <c r="M256" s="7">
        <f t="shared" si="3"/>
        <v>4400</v>
      </c>
      <c r="N256" s="4" t="s">
        <v>1291</v>
      </c>
      <c r="O256" s="9"/>
    </row>
    <row r="257" spans="1:15" ht="20" x14ac:dyDescent="0.2">
      <c r="A257" s="3">
        <v>253</v>
      </c>
      <c r="B257" s="19"/>
      <c r="C257" s="4" t="s">
        <v>1461</v>
      </c>
      <c r="D257" s="4" t="s">
        <v>1206</v>
      </c>
      <c r="E257" s="4"/>
      <c r="F257" s="8"/>
      <c r="G257" s="8"/>
      <c r="H257" s="8"/>
      <c r="I257" s="8"/>
      <c r="J257" s="8"/>
      <c r="K257" s="8">
        <v>1</v>
      </c>
      <c r="L257" s="18">
        <v>4400</v>
      </c>
      <c r="M257" s="7">
        <f t="shared" si="3"/>
        <v>4400</v>
      </c>
      <c r="N257" s="4" t="s">
        <v>1291</v>
      </c>
      <c r="O257" s="9"/>
    </row>
    <row r="258" spans="1:15" ht="20" x14ac:dyDescent="0.2">
      <c r="A258" s="3">
        <v>254</v>
      </c>
      <c r="B258" s="19"/>
      <c r="C258" s="4" t="s">
        <v>1462</v>
      </c>
      <c r="D258" s="4" t="s">
        <v>1206</v>
      </c>
      <c r="E258" s="4"/>
      <c r="F258" s="8"/>
      <c r="G258" s="8"/>
      <c r="H258" s="8"/>
      <c r="I258" s="8"/>
      <c r="J258" s="8"/>
      <c r="K258" s="8">
        <v>1</v>
      </c>
      <c r="L258" s="18">
        <v>2200</v>
      </c>
      <c r="M258" s="7">
        <f t="shared" si="3"/>
        <v>2200</v>
      </c>
      <c r="N258" s="4" t="s">
        <v>1291</v>
      </c>
      <c r="O258" s="9"/>
    </row>
    <row r="259" spans="1:15" ht="20" x14ac:dyDescent="0.2">
      <c r="A259" s="3">
        <v>255</v>
      </c>
      <c r="B259" s="19"/>
      <c r="C259" s="4" t="s">
        <v>1463</v>
      </c>
      <c r="D259" s="4" t="s">
        <v>1206</v>
      </c>
      <c r="E259" s="4"/>
      <c r="F259" s="8"/>
      <c r="G259" s="8"/>
      <c r="H259" s="8"/>
      <c r="I259" s="8"/>
      <c r="J259" s="8"/>
      <c r="K259" s="8">
        <v>1</v>
      </c>
      <c r="L259" s="18">
        <v>6400</v>
      </c>
      <c r="M259" s="7">
        <f t="shared" si="3"/>
        <v>6400</v>
      </c>
      <c r="N259" s="4" t="s">
        <v>1291</v>
      </c>
      <c r="O259" s="9"/>
    </row>
    <row r="260" spans="1:15" ht="20" x14ac:dyDescent="0.2">
      <c r="A260" s="3">
        <v>256</v>
      </c>
      <c r="B260" s="19"/>
      <c r="C260" s="4" t="s">
        <v>1464</v>
      </c>
      <c r="D260" s="4" t="s">
        <v>1206</v>
      </c>
      <c r="E260" s="4"/>
      <c r="F260" s="8"/>
      <c r="G260" s="8"/>
      <c r="H260" s="8"/>
      <c r="I260" s="8"/>
      <c r="J260" s="8"/>
      <c r="K260" s="8">
        <v>1</v>
      </c>
      <c r="L260" s="18">
        <v>5400</v>
      </c>
      <c r="M260" s="7">
        <f t="shared" si="3"/>
        <v>5400</v>
      </c>
      <c r="N260" s="4" t="s">
        <v>1291</v>
      </c>
      <c r="O260" s="9"/>
    </row>
    <row r="261" spans="1:15" ht="20" x14ac:dyDescent="0.2">
      <c r="A261" s="3">
        <v>257</v>
      </c>
      <c r="B261" s="19"/>
      <c r="C261" s="4" t="s">
        <v>1465</v>
      </c>
      <c r="D261" s="4" t="s">
        <v>1206</v>
      </c>
      <c r="E261" s="4"/>
      <c r="F261" s="8"/>
      <c r="G261" s="8"/>
      <c r="H261" s="8"/>
      <c r="I261" s="8"/>
      <c r="J261" s="8"/>
      <c r="K261" s="8">
        <v>1</v>
      </c>
      <c r="L261" s="18">
        <v>4700</v>
      </c>
      <c r="M261" s="7">
        <f t="shared" ref="M261:M324" si="4">IF(OR(K261="",L261=""),"",K261*L261)</f>
        <v>4700</v>
      </c>
      <c r="N261" s="4" t="s">
        <v>1291</v>
      </c>
      <c r="O261" s="9"/>
    </row>
    <row r="262" spans="1:15" ht="20" x14ac:dyDescent="0.2">
      <c r="A262" s="3">
        <v>258</v>
      </c>
      <c r="B262" s="19"/>
      <c r="C262" s="4" t="s">
        <v>1466</v>
      </c>
      <c r="D262" s="4" t="s">
        <v>1206</v>
      </c>
      <c r="E262" s="4"/>
      <c r="F262" s="8"/>
      <c r="G262" s="8"/>
      <c r="H262" s="8"/>
      <c r="I262" s="8"/>
      <c r="J262" s="8"/>
      <c r="K262" s="8">
        <v>1</v>
      </c>
      <c r="L262" s="18">
        <v>39000</v>
      </c>
      <c r="M262" s="7">
        <f t="shared" si="4"/>
        <v>39000</v>
      </c>
      <c r="N262" s="4" t="s">
        <v>1291</v>
      </c>
      <c r="O262" s="9"/>
    </row>
    <row r="263" spans="1:15" ht="20" x14ac:dyDescent="0.2">
      <c r="A263" s="3">
        <v>259</v>
      </c>
      <c r="B263" s="19"/>
      <c r="C263" s="4" t="s">
        <v>1467</v>
      </c>
      <c r="D263" s="4" t="s">
        <v>1206</v>
      </c>
      <c r="E263" s="4"/>
      <c r="F263" s="8"/>
      <c r="G263" s="8"/>
      <c r="H263" s="8"/>
      <c r="I263" s="8"/>
      <c r="J263" s="8"/>
      <c r="K263" s="8">
        <v>1</v>
      </c>
      <c r="L263" s="18">
        <v>750</v>
      </c>
      <c r="M263" s="7">
        <f t="shared" si="4"/>
        <v>750</v>
      </c>
      <c r="N263" s="4" t="s">
        <v>1291</v>
      </c>
      <c r="O263" s="9"/>
    </row>
    <row r="264" spans="1:15" ht="20" x14ac:dyDescent="0.2">
      <c r="A264" s="3">
        <v>260</v>
      </c>
      <c r="B264" s="19"/>
      <c r="C264" s="4" t="s">
        <v>1468</v>
      </c>
      <c r="D264" s="4" t="s">
        <v>1206</v>
      </c>
      <c r="E264" s="4"/>
      <c r="F264" s="8"/>
      <c r="G264" s="8"/>
      <c r="H264" s="8"/>
      <c r="I264" s="8"/>
      <c r="J264" s="8"/>
      <c r="K264" s="8">
        <v>1</v>
      </c>
      <c r="L264" s="18">
        <v>9000</v>
      </c>
      <c r="M264" s="7">
        <f t="shared" si="4"/>
        <v>9000</v>
      </c>
      <c r="N264" s="4" t="s">
        <v>1291</v>
      </c>
      <c r="O264" s="9"/>
    </row>
    <row r="265" spans="1:15" ht="20" x14ac:dyDescent="0.2">
      <c r="A265" s="3">
        <v>261</v>
      </c>
      <c r="B265" s="19"/>
      <c r="C265" s="4" t="s">
        <v>1469</v>
      </c>
      <c r="D265" s="4" t="s">
        <v>1206</v>
      </c>
      <c r="E265" s="4"/>
      <c r="F265" s="8"/>
      <c r="G265" s="8"/>
      <c r="H265" s="8"/>
      <c r="I265" s="8"/>
      <c r="J265" s="8"/>
      <c r="K265" s="8">
        <v>1</v>
      </c>
      <c r="L265" s="18">
        <v>750</v>
      </c>
      <c r="M265" s="7">
        <f t="shared" si="4"/>
        <v>750</v>
      </c>
      <c r="N265" s="4" t="s">
        <v>1291</v>
      </c>
      <c r="O265" s="9"/>
    </row>
    <row r="266" spans="1:15" ht="20" x14ac:dyDescent="0.2">
      <c r="A266" s="3">
        <v>262</v>
      </c>
      <c r="B266" s="19"/>
      <c r="C266" s="4" t="s">
        <v>1470</v>
      </c>
      <c r="D266" s="4" t="s">
        <v>1206</v>
      </c>
      <c r="E266" s="4"/>
      <c r="F266" s="8"/>
      <c r="G266" s="8"/>
      <c r="H266" s="8"/>
      <c r="I266" s="8"/>
      <c r="J266" s="8"/>
      <c r="K266" s="8">
        <v>1</v>
      </c>
      <c r="L266" s="18">
        <v>2900</v>
      </c>
      <c r="M266" s="7">
        <f t="shared" si="4"/>
        <v>2900</v>
      </c>
      <c r="N266" s="4" t="s">
        <v>1291</v>
      </c>
      <c r="O266" s="9"/>
    </row>
    <row r="267" spans="1:15" ht="20" x14ac:dyDescent="0.2">
      <c r="A267" s="3">
        <v>263</v>
      </c>
      <c r="B267" s="19"/>
      <c r="C267" s="4" t="s">
        <v>1471</v>
      </c>
      <c r="D267" s="4" t="s">
        <v>1206</v>
      </c>
      <c r="E267" s="4"/>
      <c r="F267" s="8"/>
      <c r="G267" s="8"/>
      <c r="H267" s="8"/>
      <c r="I267" s="8"/>
      <c r="J267" s="8"/>
      <c r="K267" s="8">
        <v>1</v>
      </c>
      <c r="L267" s="18">
        <v>3400</v>
      </c>
      <c r="M267" s="7">
        <f t="shared" si="4"/>
        <v>3400</v>
      </c>
      <c r="N267" s="4" t="s">
        <v>1291</v>
      </c>
      <c r="O267" s="9"/>
    </row>
    <row r="268" spans="1:15" ht="20" x14ac:dyDescent="0.2">
      <c r="A268" s="3">
        <v>264</v>
      </c>
      <c r="B268" s="19"/>
      <c r="C268" s="4" t="s">
        <v>1472</v>
      </c>
      <c r="D268" s="4" t="s">
        <v>1206</v>
      </c>
      <c r="E268" s="4"/>
      <c r="F268" s="8"/>
      <c r="G268" s="8"/>
      <c r="H268" s="8"/>
      <c r="I268" s="8"/>
      <c r="J268" s="8"/>
      <c r="K268" s="8">
        <v>1</v>
      </c>
      <c r="L268" s="18">
        <v>93000</v>
      </c>
      <c r="M268" s="7">
        <f t="shared" si="4"/>
        <v>93000</v>
      </c>
      <c r="N268" s="4" t="s">
        <v>1291</v>
      </c>
      <c r="O268" s="9"/>
    </row>
    <row r="269" spans="1:15" ht="20" x14ac:dyDescent="0.2">
      <c r="A269" s="3">
        <v>265</v>
      </c>
      <c r="B269" s="19"/>
      <c r="C269" s="4" t="s">
        <v>1473</v>
      </c>
      <c r="D269" s="4" t="s">
        <v>1206</v>
      </c>
      <c r="E269" s="4"/>
      <c r="F269" s="8"/>
      <c r="G269" s="8"/>
      <c r="H269" s="8"/>
      <c r="I269" s="8"/>
      <c r="J269" s="8"/>
      <c r="K269" s="8">
        <v>1</v>
      </c>
      <c r="L269" s="18">
        <v>2700</v>
      </c>
      <c r="M269" s="7">
        <f t="shared" si="4"/>
        <v>2700</v>
      </c>
      <c r="N269" s="4" t="s">
        <v>1291</v>
      </c>
      <c r="O269" s="9"/>
    </row>
    <row r="270" spans="1:15" ht="20" x14ac:dyDescent="0.2">
      <c r="A270" s="3">
        <v>266</v>
      </c>
      <c r="B270" s="19"/>
      <c r="C270" s="4" t="s">
        <v>1474</v>
      </c>
      <c r="D270" s="4" t="s">
        <v>1206</v>
      </c>
      <c r="E270" s="4"/>
      <c r="F270" s="8"/>
      <c r="G270" s="8"/>
      <c r="H270" s="8"/>
      <c r="I270" s="8"/>
      <c r="J270" s="8"/>
      <c r="K270" s="8">
        <v>1</v>
      </c>
      <c r="L270" s="18">
        <v>17500</v>
      </c>
      <c r="M270" s="7">
        <f t="shared" si="4"/>
        <v>17500</v>
      </c>
      <c r="N270" s="4" t="s">
        <v>1291</v>
      </c>
      <c r="O270" s="9"/>
    </row>
    <row r="271" spans="1:15" ht="20" x14ac:dyDescent="0.2">
      <c r="A271" s="3">
        <v>267</v>
      </c>
      <c r="B271" s="19"/>
      <c r="C271" s="4" t="s">
        <v>1475</v>
      </c>
      <c r="D271" s="4" t="s">
        <v>1206</v>
      </c>
      <c r="E271" s="4"/>
      <c r="F271" s="8"/>
      <c r="G271" s="8"/>
      <c r="H271" s="8"/>
      <c r="I271" s="8"/>
      <c r="J271" s="8"/>
      <c r="K271" s="8">
        <v>1</v>
      </c>
      <c r="L271" s="18">
        <v>16200</v>
      </c>
      <c r="M271" s="7">
        <f t="shared" si="4"/>
        <v>16200</v>
      </c>
      <c r="N271" s="4" t="s">
        <v>1291</v>
      </c>
      <c r="O271" s="9"/>
    </row>
    <row r="272" spans="1:15" ht="20" x14ac:dyDescent="0.2">
      <c r="A272" s="3">
        <v>268</v>
      </c>
      <c r="B272" s="19"/>
      <c r="C272" s="4" t="s">
        <v>1476</v>
      </c>
      <c r="D272" s="4" t="s">
        <v>1206</v>
      </c>
      <c r="E272" s="4"/>
      <c r="F272" s="8"/>
      <c r="G272" s="8"/>
      <c r="H272" s="8"/>
      <c r="I272" s="8"/>
      <c r="J272" s="8"/>
      <c r="K272" s="8">
        <v>1</v>
      </c>
      <c r="L272" s="18">
        <v>9200</v>
      </c>
      <c r="M272" s="7">
        <f t="shared" si="4"/>
        <v>9200</v>
      </c>
      <c r="N272" s="4" t="s">
        <v>1291</v>
      </c>
      <c r="O272" s="9"/>
    </row>
    <row r="273" spans="1:15" ht="20" x14ac:dyDescent="0.2">
      <c r="A273" s="3">
        <v>269</v>
      </c>
      <c r="B273" s="19"/>
      <c r="C273" s="4" t="s">
        <v>1477</v>
      </c>
      <c r="D273" s="4" t="s">
        <v>1206</v>
      </c>
      <c r="E273" s="4"/>
      <c r="F273" s="8"/>
      <c r="G273" s="8"/>
      <c r="H273" s="8"/>
      <c r="I273" s="8"/>
      <c r="J273" s="8"/>
      <c r="K273" s="8">
        <v>1</v>
      </c>
      <c r="L273" s="18">
        <v>2000</v>
      </c>
      <c r="M273" s="7">
        <f t="shared" si="4"/>
        <v>2000</v>
      </c>
      <c r="N273" s="4" t="s">
        <v>1291</v>
      </c>
      <c r="O273" s="9"/>
    </row>
    <row r="274" spans="1:15" ht="20" x14ac:dyDescent="0.2">
      <c r="A274" s="3">
        <v>270</v>
      </c>
      <c r="B274" s="19"/>
      <c r="C274" s="4" t="s">
        <v>1478</v>
      </c>
      <c r="D274" s="4" t="s">
        <v>1206</v>
      </c>
      <c r="E274" s="4"/>
      <c r="F274" s="8"/>
      <c r="G274" s="8"/>
      <c r="H274" s="8"/>
      <c r="I274" s="8"/>
      <c r="J274" s="8"/>
      <c r="K274" s="8">
        <v>1</v>
      </c>
      <c r="L274" s="18">
        <v>1700</v>
      </c>
      <c r="M274" s="7">
        <f t="shared" si="4"/>
        <v>1700</v>
      </c>
      <c r="N274" s="4" t="s">
        <v>1291</v>
      </c>
      <c r="O274" s="9"/>
    </row>
    <row r="275" spans="1:15" ht="20" x14ac:dyDescent="0.2">
      <c r="A275" s="3">
        <v>271</v>
      </c>
      <c r="B275" s="19"/>
      <c r="C275" s="4" t="s">
        <v>1479</v>
      </c>
      <c r="D275" s="4" t="s">
        <v>1206</v>
      </c>
      <c r="E275" s="4"/>
      <c r="F275" s="8"/>
      <c r="G275" s="8"/>
      <c r="H275" s="8"/>
      <c r="I275" s="8"/>
      <c r="J275" s="8"/>
      <c r="K275" s="8">
        <v>1</v>
      </c>
      <c r="L275" s="18">
        <v>10000</v>
      </c>
      <c r="M275" s="7">
        <f t="shared" si="4"/>
        <v>10000</v>
      </c>
      <c r="N275" s="4" t="s">
        <v>1291</v>
      </c>
      <c r="O275" s="9"/>
    </row>
    <row r="276" spans="1:15" ht="20" x14ac:dyDescent="0.2">
      <c r="A276" s="3">
        <v>272</v>
      </c>
      <c r="B276" s="19"/>
      <c r="C276" s="4" t="s">
        <v>1480</v>
      </c>
      <c r="D276" s="4" t="s">
        <v>1206</v>
      </c>
      <c r="E276" s="4"/>
      <c r="F276" s="8"/>
      <c r="G276" s="8"/>
      <c r="H276" s="8"/>
      <c r="I276" s="8"/>
      <c r="J276" s="8"/>
      <c r="K276" s="8">
        <v>1</v>
      </c>
      <c r="L276" s="18">
        <v>3500</v>
      </c>
      <c r="M276" s="7">
        <f t="shared" si="4"/>
        <v>3500</v>
      </c>
      <c r="N276" s="4" t="s">
        <v>1291</v>
      </c>
      <c r="O276" s="9"/>
    </row>
    <row r="277" spans="1:15" ht="20" x14ac:dyDescent="0.2">
      <c r="A277" s="3">
        <v>273</v>
      </c>
      <c r="B277" s="19"/>
      <c r="C277" s="4" t="s">
        <v>1481</v>
      </c>
      <c r="D277" s="4" t="s">
        <v>1206</v>
      </c>
      <c r="E277" s="4"/>
      <c r="F277" s="8"/>
      <c r="G277" s="8"/>
      <c r="H277" s="8"/>
      <c r="I277" s="8"/>
      <c r="J277" s="8"/>
      <c r="K277" s="8">
        <v>1</v>
      </c>
      <c r="L277" s="18">
        <v>600</v>
      </c>
      <c r="M277" s="7">
        <f t="shared" si="4"/>
        <v>600</v>
      </c>
      <c r="N277" s="4" t="s">
        <v>1291</v>
      </c>
      <c r="O277" s="9"/>
    </row>
    <row r="278" spans="1:15" ht="20" x14ac:dyDescent="0.2">
      <c r="A278" s="3">
        <v>274</v>
      </c>
      <c r="B278" s="19"/>
      <c r="C278" s="4" t="s">
        <v>1482</v>
      </c>
      <c r="D278" s="4" t="s">
        <v>1206</v>
      </c>
      <c r="E278" s="4"/>
      <c r="F278" s="8"/>
      <c r="G278" s="8"/>
      <c r="H278" s="8"/>
      <c r="I278" s="8"/>
      <c r="J278" s="8"/>
      <c r="K278" s="8">
        <v>1</v>
      </c>
      <c r="L278" s="18">
        <v>750</v>
      </c>
      <c r="M278" s="7">
        <f t="shared" si="4"/>
        <v>750</v>
      </c>
      <c r="N278" s="4" t="s">
        <v>1291</v>
      </c>
      <c r="O278" s="9"/>
    </row>
    <row r="279" spans="1:15" ht="20" x14ac:dyDescent="0.2">
      <c r="A279" s="3">
        <v>275</v>
      </c>
      <c r="B279" s="19"/>
      <c r="C279" s="4" t="s">
        <v>1483</v>
      </c>
      <c r="D279" s="4" t="s">
        <v>1206</v>
      </c>
      <c r="E279" s="4"/>
      <c r="F279" s="8"/>
      <c r="G279" s="8"/>
      <c r="H279" s="8"/>
      <c r="I279" s="8"/>
      <c r="J279" s="8"/>
      <c r="K279" s="8">
        <v>1</v>
      </c>
      <c r="L279" s="18">
        <v>2200</v>
      </c>
      <c r="M279" s="7">
        <f t="shared" si="4"/>
        <v>2200</v>
      </c>
      <c r="N279" s="4" t="s">
        <v>1291</v>
      </c>
      <c r="O279" s="9"/>
    </row>
    <row r="280" spans="1:15" ht="20" x14ac:dyDescent="0.2">
      <c r="A280" s="3">
        <v>276</v>
      </c>
      <c r="B280" s="19"/>
      <c r="C280" s="4" t="s">
        <v>1484</v>
      </c>
      <c r="D280" s="4" t="s">
        <v>1206</v>
      </c>
      <c r="E280" s="4"/>
      <c r="F280" s="8"/>
      <c r="G280" s="8"/>
      <c r="H280" s="8"/>
      <c r="I280" s="8"/>
      <c r="J280" s="8"/>
      <c r="K280" s="8">
        <v>1</v>
      </c>
      <c r="L280" s="18">
        <v>2200</v>
      </c>
      <c r="M280" s="7">
        <f t="shared" si="4"/>
        <v>2200</v>
      </c>
      <c r="N280" s="4" t="s">
        <v>1291</v>
      </c>
      <c r="O280" s="9"/>
    </row>
    <row r="281" spans="1:15" ht="20" x14ac:dyDescent="0.2">
      <c r="A281" s="3">
        <v>277</v>
      </c>
      <c r="B281" s="19"/>
      <c r="C281" s="4" t="s">
        <v>1485</v>
      </c>
      <c r="D281" s="4" t="s">
        <v>1206</v>
      </c>
      <c r="E281" s="4"/>
      <c r="F281" s="8"/>
      <c r="G281" s="8"/>
      <c r="H281" s="8"/>
      <c r="I281" s="8"/>
      <c r="J281" s="8"/>
      <c r="K281" s="8">
        <v>1</v>
      </c>
      <c r="L281" s="18">
        <v>2200</v>
      </c>
      <c r="M281" s="7">
        <f t="shared" si="4"/>
        <v>2200</v>
      </c>
      <c r="N281" s="4" t="s">
        <v>1291</v>
      </c>
      <c r="O281" s="9"/>
    </row>
    <row r="282" spans="1:15" ht="20" x14ac:dyDescent="0.2">
      <c r="A282" s="3">
        <v>278</v>
      </c>
      <c r="B282" s="19"/>
      <c r="C282" s="4" t="s">
        <v>1486</v>
      </c>
      <c r="D282" s="4" t="s">
        <v>1206</v>
      </c>
      <c r="E282" s="4"/>
      <c r="F282" s="8"/>
      <c r="G282" s="8"/>
      <c r="H282" s="8"/>
      <c r="I282" s="8"/>
      <c r="J282" s="8"/>
      <c r="K282" s="8">
        <v>1</v>
      </c>
      <c r="L282" s="18">
        <v>2200</v>
      </c>
      <c r="M282" s="7">
        <f t="shared" si="4"/>
        <v>2200</v>
      </c>
      <c r="N282" s="4" t="s">
        <v>1291</v>
      </c>
      <c r="O282" s="9"/>
    </row>
    <row r="283" spans="1:15" ht="20" x14ac:dyDescent="0.2">
      <c r="A283" s="3">
        <v>279</v>
      </c>
      <c r="B283" s="19"/>
      <c r="C283" s="4" t="s">
        <v>1487</v>
      </c>
      <c r="D283" s="4" t="s">
        <v>1206</v>
      </c>
      <c r="E283" s="4"/>
      <c r="F283" s="8"/>
      <c r="G283" s="8"/>
      <c r="H283" s="8"/>
      <c r="I283" s="8"/>
      <c r="J283" s="8"/>
      <c r="K283" s="8">
        <v>1</v>
      </c>
      <c r="L283" s="18">
        <v>1600</v>
      </c>
      <c r="M283" s="7">
        <f t="shared" si="4"/>
        <v>1600</v>
      </c>
      <c r="N283" s="4" t="s">
        <v>1291</v>
      </c>
      <c r="O283" s="9"/>
    </row>
    <row r="284" spans="1:15" ht="20" x14ac:dyDescent="0.2">
      <c r="A284" s="3">
        <v>280</v>
      </c>
      <c r="B284" s="19"/>
      <c r="C284" s="4" t="s">
        <v>1488</v>
      </c>
      <c r="D284" s="4" t="s">
        <v>1206</v>
      </c>
      <c r="E284" s="4"/>
      <c r="F284" s="8"/>
      <c r="G284" s="8"/>
      <c r="H284" s="8"/>
      <c r="I284" s="8"/>
      <c r="J284" s="8"/>
      <c r="K284" s="8">
        <v>1</v>
      </c>
      <c r="L284" s="18">
        <v>600</v>
      </c>
      <c r="M284" s="7">
        <f t="shared" si="4"/>
        <v>600</v>
      </c>
      <c r="N284" s="4" t="s">
        <v>1291</v>
      </c>
      <c r="O284" s="9"/>
    </row>
    <row r="285" spans="1:15" ht="20" x14ac:dyDescent="0.2">
      <c r="A285" s="3">
        <v>281</v>
      </c>
      <c r="B285" s="19"/>
      <c r="C285" s="4" t="s">
        <v>1489</v>
      </c>
      <c r="D285" s="4" t="s">
        <v>1206</v>
      </c>
      <c r="E285" s="4"/>
      <c r="F285" s="8"/>
      <c r="G285" s="8"/>
      <c r="H285" s="8"/>
      <c r="I285" s="8"/>
      <c r="J285" s="8"/>
      <c r="K285" s="8">
        <v>1</v>
      </c>
      <c r="L285" s="18">
        <v>600</v>
      </c>
      <c r="M285" s="7">
        <f t="shared" si="4"/>
        <v>600</v>
      </c>
      <c r="N285" s="4" t="s">
        <v>1291</v>
      </c>
      <c r="O285" s="9"/>
    </row>
    <row r="286" spans="1:15" ht="20" x14ac:dyDescent="0.2">
      <c r="A286" s="3">
        <v>282</v>
      </c>
      <c r="B286" s="19"/>
      <c r="C286" s="4" t="s">
        <v>1490</v>
      </c>
      <c r="D286" s="4" t="s">
        <v>1206</v>
      </c>
      <c r="E286" s="4"/>
      <c r="F286" s="8"/>
      <c r="G286" s="8"/>
      <c r="H286" s="8"/>
      <c r="I286" s="8"/>
      <c r="J286" s="8"/>
      <c r="K286" s="8">
        <v>1</v>
      </c>
      <c r="L286" s="18">
        <v>25000</v>
      </c>
      <c r="M286" s="7">
        <f t="shared" si="4"/>
        <v>25000</v>
      </c>
      <c r="N286" s="4" t="s">
        <v>1291</v>
      </c>
      <c r="O286" s="9"/>
    </row>
    <row r="287" spans="1:15" ht="20" x14ac:dyDescent="0.2">
      <c r="A287" s="3">
        <v>283</v>
      </c>
      <c r="B287" s="19"/>
      <c r="C287" s="4" t="s">
        <v>1491</v>
      </c>
      <c r="D287" s="4" t="s">
        <v>1206</v>
      </c>
      <c r="E287" s="4"/>
      <c r="F287" s="8"/>
      <c r="G287" s="8"/>
      <c r="H287" s="8"/>
      <c r="I287" s="8"/>
      <c r="J287" s="8"/>
      <c r="K287" s="8">
        <v>1</v>
      </c>
      <c r="L287" s="18">
        <v>37500</v>
      </c>
      <c r="M287" s="7">
        <f t="shared" si="4"/>
        <v>37500</v>
      </c>
      <c r="N287" s="4" t="s">
        <v>1291</v>
      </c>
      <c r="O287" s="9"/>
    </row>
    <row r="288" spans="1:15" ht="40" x14ac:dyDescent="0.2">
      <c r="A288" s="3">
        <v>284</v>
      </c>
      <c r="B288" s="19"/>
      <c r="C288" s="4" t="s">
        <v>1492</v>
      </c>
      <c r="D288" s="4" t="s">
        <v>1206</v>
      </c>
      <c r="E288" s="4"/>
      <c r="F288" s="8"/>
      <c r="G288" s="8"/>
      <c r="H288" s="8"/>
      <c r="I288" s="8"/>
      <c r="J288" s="8"/>
      <c r="K288" s="8">
        <v>1</v>
      </c>
      <c r="L288" s="18">
        <v>60000</v>
      </c>
      <c r="M288" s="7">
        <f t="shared" si="4"/>
        <v>60000</v>
      </c>
      <c r="N288" s="4" t="s">
        <v>1291</v>
      </c>
      <c r="O288" s="9"/>
    </row>
    <row r="289" spans="1:15" ht="40" x14ac:dyDescent="0.2">
      <c r="A289" s="3">
        <v>285</v>
      </c>
      <c r="B289" s="19"/>
      <c r="C289" s="4" t="s">
        <v>1493</v>
      </c>
      <c r="D289" s="4" t="s">
        <v>1206</v>
      </c>
      <c r="E289" s="4"/>
      <c r="F289" s="8"/>
      <c r="G289" s="8"/>
      <c r="H289" s="8"/>
      <c r="I289" s="8"/>
      <c r="J289" s="8"/>
      <c r="K289" s="8">
        <v>1</v>
      </c>
      <c r="L289" s="18">
        <v>525</v>
      </c>
      <c r="M289" s="7">
        <f t="shared" si="4"/>
        <v>525</v>
      </c>
      <c r="N289" s="4" t="s">
        <v>1291</v>
      </c>
      <c r="O289" s="9"/>
    </row>
    <row r="290" spans="1:15" ht="40" x14ac:dyDescent="0.2">
      <c r="A290" s="3">
        <v>286</v>
      </c>
      <c r="B290" s="19"/>
      <c r="C290" s="4" t="s">
        <v>1494</v>
      </c>
      <c r="D290" s="4" t="s">
        <v>1206</v>
      </c>
      <c r="E290" s="4"/>
      <c r="F290" s="8"/>
      <c r="G290" s="8"/>
      <c r="H290" s="8"/>
      <c r="I290" s="8"/>
      <c r="J290" s="8"/>
      <c r="K290" s="8">
        <v>1</v>
      </c>
      <c r="L290" s="18">
        <v>30000</v>
      </c>
      <c r="M290" s="7">
        <f t="shared" si="4"/>
        <v>30000</v>
      </c>
      <c r="N290" s="4" t="s">
        <v>1291</v>
      </c>
      <c r="O290" s="9"/>
    </row>
    <row r="291" spans="1:15" ht="20" x14ac:dyDescent="0.2">
      <c r="A291" s="3">
        <v>287</v>
      </c>
      <c r="B291" s="19"/>
      <c r="C291" s="4" t="s">
        <v>1495</v>
      </c>
      <c r="D291" s="4" t="s">
        <v>1206</v>
      </c>
      <c r="E291" s="4"/>
      <c r="F291" s="8"/>
      <c r="G291" s="8"/>
      <c r="H291" s="8"/>
      <c r="I291" s="8"/>
      <c r="J291" s="8"/>
      <c r="K291" s="8">
        <v>1</v>
      </c>
      <c r="L291" s="18">
        <v>42800</v>
      </c>
      <c r="M291" s="7">
        <f t="shared" si="4"/>
        <v>42800</v>
      </c>
      <c r="N291" s="4" t="s">
        <v>1291</v>
      </c>
      <c r="O291" s="9"/>
    </row>
    <row r="292" spans="1:15" ht="20" x14ac:dyDescent="0.2">
      <c r="A292" s="3">
        <v>288</v>
      </c>
      <c r="B292" s="19"/>
      <c r="C292" s="4" t="s">
        <v>1496</v>
      </c>
      <c r="D292" s="4" t="s">
        <v>1206</v>
      </c>
      <c r="E292" s="4"/>
      <c r="F292" s="8"/>
      <c r="G292" s="8"/>
      <c r="H292" s="8"/>
      <c r="I292" s="8"/>
      <c r="J292" s="8"/>
      <c r="K292" s="8">
        <v>1</v>
      </c>
      <c r="L292" s="18">
        <v>32500</v>
      </c>
      <c r="M292" s="7">
        <f t="shared" si="4"/>
        <v>32500</v>
      </c>
      <c r="N292" s="4" t="s">
        <v>1291</v>
      </c>
      <c r="O292" s="9"/>
    </row>
    <row r="293" spans="1:15" ht="20" x14ac:dyDescent="0.2">
      <c r="A293" s="3">
        <v>289</v>
      </c>
      <c r="B293" s="19"/>
      <c r="C293" s="4" t="s">
        <v>1497</v>
      </c>
      <c r="D293" s="4" t="s">
        <v>1206</v>
      </c>
      <c r="E293" s="4"/>
      <c r="F293" s="8"/>
      <c r="G293" s="8"/>
      <c r="H293" s="8"/>
      <c r="I293" s="8"/>
      <c r="J293" s="8"/>
      <c r="K293" s="8">
        <v>1</v>
      </c>
      <c r="L293" s="18">
        <v>64000</v>
      </c>
      <c r="M293" s="7">
        <f t="shared" si="4"/>
        <v>64000</v>
      </c>
      <c r="N293" s="4" t="s">
        <v>1291</v>
      </c>
      <c r="O293" s="9"/>
    </row>
    <row r="294" spans="1:15" ht="40" x14ac:dyDescent="0.2">
      <c r="A294" s="3">
        <v>290</v>
      </c>
      <c r="B294" s="19"/>
      <c r="C294" s="4" t="s">
        <v>1498</v>
      </c>
      <c r="D294" s="4" t="s">
        <v>1206</v>
      </c>
      <c r="E294" s="4"/>
      <c r="F294" s="8"/>
      <c r="G294" s="8"/>
      <c r="H294" s="8"/>
      <c r="I294" s="8"/>
      <c r="J294" s="8"/>
      <c r="K294" s="8">
        <v>1</v>
      </c>
      <c r="L294" s="18">
        <v>18000</v>
      </c>
      <c r="M294" s="7">
        <f t="shared" si="4"/>
        <v>18000</v>
      </c>
      <c r="N294" s="4" t="s">
        <v>1291</v>
      </c>
      <c r="O294" s="9"/>
    </row>
    <row r="295" spans="1:15" ht="20" x14ac:dyDescent="0.2">
      <c r="A295" s="3">
        <v>291</v>
      </c>
      <c r="B295" s="19"/>
      <c r="C295" s="4" t="s">
        <v>1499</v>
      </c>
      <c r="D295" s="4" t="s">
        <v>1206</v>
      </c>
      <c r="E295" s="4"/>
      <c r="F295" s="8"/>
      <c r="G295" s="8"/>
      <c r="H295" s="8"/>
      <c r="I295" s="8"/>
      <c r="J295" s="8"/>
      <c r="K295" s="8">
        <v>1</v>
      </c>
      <c r="L295" s="18">
        <v>45000</v>
      </c>
      <c r="M295" s="7">
        <f t="shared" si="4"/>
        <v>45000</v>
      </c>
      <c r="N295" s="4" t="s">
        <v>1291</v>
      </c>
      <c r="O295" s="9"/>
    </row>
    <row r="296" spans="1:15" ht="40" x14ac:dyDescent="0.2">
      <c r="A296" s="3">
        <v>292</v>
      </c>
      <c r="B296" s="19"/>
      <c r="C296" s="4" t="s">
        <v>1500</v>
      </c>
      <c r="D296" s="4" t="s">
        <v>1206</v>
      </c>
      <c r="E296" s="4"/>
      <c r="F296" s="8"/>
      <c r="G296" s="8"/>
      <c r="H296" s="8"/>
      <c r="I296" s="8"/>
      <c r="J296" s="8"/>
      <c r="K296" s="8">
        <v>1</v>
      </c>
      <c r="L296" s="18">
        <v>18000</v>
      </c>
      <c r="M296" s="7">
        <f t="shared" si="4"/>
        <v>18000</v>
      </c>
      <c r="N296" s="4" t="s">
        <v>1291</v>
      </c>
      <c r="O296" s="9"/>
    </row>
    <row r="297" spans="1:15" ht="20" x14ac:dyDescent="0.2">
      <c r="A297" s="3">
        <v>293</v>
      </c>
      <c r="B297" s="19"/>
      <c r="C297" s="4" t="s">
        <v>1501</v>
      </c>
      <c r="D297" s="4" t="s">
        <v>1206</v>
      </c>
      <c r="E297" s="4"/>
      <c r="F297" s="8"/>
      <c r="G297" s="8"/>
      <c r="H297" s="8"/>
      <c r="I297" s="8"/>
      <c r="J297" s="8"/>
      <c r="K297" s="8">
        <v>1</v>
      </c>
      <c r="L297" s="18">
        <v>9000</v>
      </c>
      <c r="M297" s="7">
        <f t="shared" si="4"/>
        <v>9000</v>
      </c>
      <c r="N297" s="4" t="s">
        <v>1291</v>
      </c>
      <c r="O297" s="9"/>
    </row>
    <row r="298" spans="1:15" ht="20" x14ac:dyDescent="0.35">
      <c r="A298" s="10" t="s">
        <v>86</v>
      </c>
      <c r="B298" s="20"/>
      <c r="C298" s="11"/>
      <c r="D298" s="11"/>
      <c r="E298" s="11"/>
      <c r="F298" s="11"/>
      <c r="G298" s="11"/>
      <c r="H298" s="11"/>
      <c r="I298" s="11"/>
      <c r="J298" s="11"/>
      <c r="K298" s="13">
        <f>SUM(K5:K297)</f>
        <v>293</v>
      </c>
      <c r="L298" s="11"/>
      <c r="M298" s="13">
        <f>SUM(M5:M297)</f>
        <v>53413677.25</v>
      </c>
      <c r="N298" s="11"/>
      <c r="O298" s="11"/>
    </row>
    <row r="299" spans="1:15" x14ac:dyDescent="0.2">
      <c r="A299" s="23" t="s">
        <v>1502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</row>
  </sheetData>
  <autoFilter ref="A4:O297" xr:uid="{00000000-0009-0000-0000-000006000000}"/>
  <mergeCells count="5">
    <mergeCell ref="E2:G2"/>
    <mergeCell ref="I2:J2"/>
    <mergeCell ref="A299:O299"/>
    <mergeCell ref="A1:O1"/>
    <mergeCell ref="F3:O3"/>
  </mergeCells>
  <conditionalFormatting sqref="E3">
    <cfRule type="cellIs" dxfId="45" priority="1" operator="greaterThan">
      <formula>0.009</formula>
    </cfRule>
    <cfRule type="cellIs" dxfId="44" priority="2" operator="lessThan">
      <formula>-0.009</formula>
    </cfRule>
  </conditionalFormatting>
  <dataValidations count="1">
    <dataValidation type="list" allowBlank="1" sqref="O5:O297" xr:uid="{00000000-0002-0000-06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Lab · DBR/2570/0009</oddHeader>
    <oddFooter>&amp;Lส่งออกจากฐาน VPK-S1 วันที่ 12 ต.ค. 2569&amp;Rหน้า &amp;P /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6848"/>
    <pageSetUpPr fitToPage="1"/>
  </sheetPr>
  <dimension ref="A1:O8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1503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29</v>
      </c>
      <c r="D2" s="14" t="s">
        <v>7</v>
      </c>
      <c r="E2" s="24" t="s">
        <v>28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998960</v>
      </c>
      <c r="D3" s="15" t="s">
        <v>94</v>
      </c>
      <c r="E3" s="17">
        <f>M7-C3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40" x14ac:dyDescent="0.2">
      <c r="A5" s="3">
        <v>1</v>
      </c>
      <c r="B5" s="19"/>
      <c r="C5" s="4" t="s">
        <v>1504</v>
      </c>
      <c r="D5" s="4" t="s">
        <v>1505</v>
      </c>
      <c r="E5" s="4"/>
      <c r="F5" s="8"/>
      <c r="G5" s="8"/>
      <c r="H5" s="8"/>
      <c r="I5" s="8"/>
      <c r="J5" s="8"/>
      <c r="K5" s="8">
        <v>1</v>
      </c>
      <c r="L5" s="18">
        <v>500000</v>
      </c>
      <c r="M5" s="7">
        <f>IF(OR(K5="",L5=""),"",K5*L5)</f>
        <v>500000</v>
      </c>
      <c r="N5" s="4" t="s">
        <v>1291</v>
      </c>
      <c r="O5" s="9"/>
    </row>
    <row r="6" spans="1:15" ht="60" x14ac:dyDescent="0.2">
      <c r="A6" s="3">
        <v>2</v>
      </c>
      <c r="B6" s="19"/>
      <c r="C6" s="4" t="s">
        <v>1506</v>
      </c>
      <c r="D6" s="4" t="s">
        <v>1505</v>
      </c>
      <c r="E6" s="4"/>
      <c r="F6" s="8"/>
      <c r="G6" s="8"/>
      <c r="H6" s="8"/>
      <c r="I6" s="8"/>
      <c r="J6" s="8"/>
      <c r="K6" s="8">
        <v>1</v>
      </c>
      <c r="L6" s="18">
        <v>498960</v>
      </c>
      <c r="M6" s="7">
        <f>IF(OR(K6="",L6=""),"",K6*L6)</f>
        <v>498960</v>
      </c>
      <c r="N6" s="4" t="s">
        <v>1291</v>
      </c>
      <c r="O6" s="9"/>
    </row>
    <row r="7" spans="1:15" ht="20" x14ac:dyDescent="0.35">
      <c r="A7" s="10" t="s">
        <v>86</v>
      </c>
      <c r="B7" s="20"/>
      <c r="C7" s="11"/>
      <c r="D7" s="11"/>
      <c r="E7" s="11"/>
      <c r="F7" s="11"/>
      <c r="G7" s="11"/>
      <c r="H7" s="11"/>
      <c r="I7" s="11"/>
      <c r="J7" s="11"/>
      <c r="K7" s="13">
        <f>SUM(K5:K6)</f>
        <v>2</v>
      </c>
      <c r="L7" s="11"/>
      <c r="M7" s="13">
        <f>SUM(M5:M6)</f>
        <v>998960</v>
      </c>
      <c r="N7" s="11"/>
      <c r="O7" s="11"/>
    </row>
    <row r="8" spans="1:15" x14ac:dyDescent="0.2">
      <c r="A8" s="23" t="s">
        <v>1507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</sheetData>
  <autoFilter ref="A4:O6" xr:uid="{00000000-0009-0000-0000-000007000000}"/>
  <mergeCells count="5">
    <mergeCell ref="E2:G2"/>
    <mergeCell ref="I2:J2"/>
    <mergeCell ref="A1:O1"/>
    <mergeCell ref="F3:O3"/>
    <mergeCell ref="A8:O8"/>
  </mergeCells>
  <conditionalFormatting sqref="E3">
    <cfRule type="cellIs" dxfId="43" priority="1" operator="greaterThan">
      <formula>0.009</formula>
    </cfRule>
    <cfRule type="cellIs" dxfId="42" priority="2" operator="lessThan">
      <formula>-0.009</formula>
    </cfRule>
  </conditionalFormatting>
  <dataValidations count="1">
    <dataValidation type="list" allowBlank="1" sqref="O5:O6" xr:uid="{00000000-0002-0000-07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LabCOVID · DBR/2570/0010</oddHeader>
    <oddFooter>&amp;Lส่งออกจากฐาน VPK-S1 วันที่ 12 ต.ค. 2569&amp;Rหน้า &amp;P /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6848"/>
    <pageSetUpPr fitToPage="1"/>
  </sheetPr>
  <dimension ref="A1:O29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1508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31</v>
      </c>
      <c r="D2" s="14" t="s">
        <v>7</v>
      </c>
      <c r="E2" s="24" t="s">
        <v>28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1199640</v>
      </c>
      <c r="D3" s="15" t="s">
        <v>94</v>
      </c>
      <c r="E3" s="17">
        <f>M28-C3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x14ac:dyDescent="0.2">
      <c r="A5" s="3">
        <v>1</v>
      </c>
      <c r="B5" s="19"/>
      <c r="C5" s="4" t="s">
        <v>1306</v>
      </c>
      <c r="D5" s="4" t="s">
        <v>32</v>
      </c>
      <c r="E5" s="4"/>
      <c r="F5" s="8"/>
      <c r="G5" s="8"/>
      <c r="H5" s="8"/>
      <c r="I5" s="8"/>
      <c r="J5" s="8"/>
      <c r="K5" s="8">
        <v>1</v>
      </c>
      <c r="L5" s="18">
        <v>12000</v>
      </c>
      <c r="M5" s="7">
        <f t="shared" ref="M5:M27" si="0">IF(OR(K5="",L5=""),"",K5*L5)</f>
        <v>12000</v>
      </c>
      <c r="N5" s="4" t="s">
        <v>1291</v>
      </c>
      <c r="O5" s="9"/>
    </row>
    <row r="6" spans="1:15" ht="20" x14ac:dyDescent="0.2">
      <c r="A6" s="3">
        <v>2</v>
      </c>
      <c r="B6" s="19"/>
      <c r="C6" s="4" t="s">
        <v>1509</v>
      </c>
      <c r="D6" s="4" t="s">
        <v>32</v>
      </c>
      <c r="E6" s="4"/>
      <c r="F6" s="8"/>
      <c r="G6" s="8"/>
      <c r="H6" s="8"/>
      <c r="I6" s="8"/>
      <c r="J6" s="8"/>
      <c r="K6" s="8">
        <v>1</v>
      </c>
      <c r="L6" s="18">
        <v>23400</v>
      </c>
      <c r="M6" s="7">
        <f t="shared" si="0"/>
        <v>23400</v>
      </c>
      <c r="N6" s="4" t="s">
        <v>1291</v>
      </c>
      <c r="O6" s="9"/>
    </row>
    <row r="7" spans="1:15" ht="20" x14ac:dyDescent="0.2">
      <c r="A7" s="3">
        <v>3</v>
      </c>
      <c r="B7" s="19"/>
      <c r="C7" s="4" t="s">
        <v>1510</v>
      </c>
      <c r="D7" s="4" t="s">
        <v>32</v>
      </c>
      <c r="E7" s="4"/>
      <c r="F7" s="8"/>
      <c r="G7" s="8"/>
      <c r="H7" s="8"/>
      <c r="I7" s="8"/>
      <c r="J7" s="8"/>
      <c r="K7" s="8">
        <v>1</v>
      </c>
      <c r="L7" s="18">
        <v>4800</v>
      </c>
      <c r="M7" s="7">
        <f t="shared" si="0"/>
        <v>4800</v>
      </c>
      <c r="N7" s="4" t="s">
        <v>1291</v>
      </c>
      <c r="O7" s="9"/>
    </row>
    <row r="8" spans="1:15" ht="20" x14ac:dyDescent="0.2">
      <c r="A8" s="3">
        <v>4</v>
      </c>
      <c r="B8" s="19"/>
      <c r="C8" s="4" t="s">
        <v>1511</v>
      </c>
      <c r="D8" s="4" t="s">
        <v>32</v>
      </c>
      <c r="E8" s="4"/>
      <c r="F8" s="8"/>
      <c r="G8" s="8"/>
      <c r="H8" s="8"/>
      <c r="I8" s="8"/>
      <c r="J8" s="8"/>
      <c r="K8" s="8">
        <v>1</v>
      </c>
      <c r="L8" s="18">
        <v>69550</v>
      </c>
      <c r="M8" s="7">
        <f t="shared" si="0"/>
        <v>69550</v>
      </c>
      <c r="N8" s="4" t="s">
        <v>1291</v>
      </c>
      <c r="O8" s="9"/>
    </row>
    <row r="9" spans="1:15" ht="20" x14ac:dyDescent="0.2">
      <c r="A9" s="3">
        <v>5</v>
      </c>
      <c r="B9" s="19"/>
      <c r="C9" s="4" t="s">
        <v>1512</v>
      </c>
      <c r="D9" s="4" t="s">
        <v>32</v>
      </c>
      <c r="E9" s="4"/>
      <c r="F9" s="8"/>
      <c r="G9" s="8"/>
      <c r="H9" s="8"/>
      <c r="I9" s="8"/>
      <c r="J9" s="8"/>
      <c r="K9" s="8">
        <v>1</v>
      </c>
      <c r="L9" s="18">
        <v>337050</v>
      </c>
      <c r="M9" s="7">
        <f t="shared" si="0"/>
        <v>337050</v>
      </c>
      <c r="N9" s="4" t="s">
        <v>1291</v>
      </c>
      <c r="O9" s="9"/>
    </row>
    <row r="10" spans="1:15" ht="20" x14ac:dyDescent="0.2">
      <c r="A10" s="3">
        <v>6</v>
      </c>
      <c r="B10" s="19"/>
      <c r="C10" s="4" t="s">
        <v>1513</v>
      </c>
      <c r="D10" s="4" t="s">
        <v>32</v>
      </c>
      <c r="E10" s="4"/>
      <c r="F10" s="8"/>
      <c r="G10" s="8"/>
      <c r="H10" s="8"/>
      <c r="I10" s="8"/>
      <c r="J10" s="8"/>
      <c r="K10" s="8">
        <v>1</v>
      </c>
      <c r="L10" s="18">
        <v>192600</v>
      </c>
      <c r="M10" s="7">
        <f t="shared" si="0"/>
        <v>192600</v>
      </c>
      <c r="N10" s="4" t="s">
        <v>1291</v>
      </c>
      <c r="O10" s="9"/>
    </row>
    <row r="11" spans="1:15" ht="20" x14ac:dyDescent="0.2">
      <c r="A11" s="3">
        <v>7</v>
      </c>
      <c r="B11" s="19"/>
      <c r="C11" s="4" t="s">
        <v>1514</v>
      </c>
      <c r="D11" s="4" t="s">
        <v>32</v>
      </c>
      <c r="E11" s="4"/>
      <c r="F11" s="8"/>
      <c r="G11" s="8"/>
      <c r="H11" s="8"/>
      <c r="I11" s="8"/>
      <c r="J11" s="8"/>
      <c r="K11" s="8">
        <v>1</v>
      </c>
      <c r="L11" s="18">
        <v>1000</v>
      </c>
      <c r="M11" s="7">
        <f t="shared" si="0"/>
        <v>1000</v>
      </c>
      <c r="N11" s="4" t="s">
        <v>1291</v>
      </c>
      <c r="O11" s="9"/>
    </row>
    <row r="12" spans="1:15" ht="20" x14ac:dyDescent="0.2">
      <c r="A12" s="3">
        <v>8</v>
      </c>
      <c r="B12" s="19"/>
      <c r="C12" s="4" t="s">
        <v>1323</v>
      </c>
      <c r="D12" s="4" t="s">
        <v>32</v>
      </c>
      <c r="E12" s="4"/>
      <c r="F12" s="8"/>
      <c r="G12" s="8"/>
      <c r="H12" s="8"/>
      <c r="I12" s="8"/>
      <c r="J12" s="8"/>
      <c r="K12" s="8">
        <v>1</v>
      </c>
      <c r="L12" s="18">
        <v>3900</v>
      </c>
      <c r="M12" s="7">
        <f t="shared" si="0"/>
        <v>3900</v>
      </c>
      <c r="N12" s="4" t="s">
        <v>1291</v>
      </c>
      <c r="O12" s="9"/>
    </row>
    <row r="13" spans="1:15" ht="20" x14ac:dyDescent="0.2">
      <c r="A13" s="3">
        <v>9</v>
      </c>
      <c r="B13" s="19"/>
      <c r="C13" s="4" t="s">
        <v>1515</v>
      </c>
      <c r="D13" s="4" t="s">
        <v>32</v>
      </c>
      <c r="E13" s="4"/>
      <c r="F13" s="8"/>
      <c r="G13" s="8"/>
      <c r="H13" s="8"/>
      <c r="I13" s="8"/>
      <c r="J13" s="8"/>
      <c r="K13" s="8">
        <v>1</v>
      </c>
      <c r="L13" s="18">
        <v>10000</v>
      </c>
      <c r="M13" s="7">
        <f t="shared" si="0"/>
        <v>10000</v>
      </c>
      <c r="N13" s="4" t="s">
        <v>1291</v>
      </c>
      <c r="O13" s="9"/>
    </row>
    <row r="14" spans="1:15" ht="20" x14ac:dyDescent="0.2">
      <c r="A14" s="3">
        <v>10</v>
      </c>
      <c r="B14" s="19"/>
      <c r="C14" s="4" t="s">
        <v>1516</v>
      </c>
      <c r="D14" s="4" t="s">
        <v>32</v>
      </c>
      <c r="E14" s="4"/>
      <c r="F14" s="8"/>
      <c r="G14" s="8"/>
      <c r="H14" s="8"/>
      <c r="I14" s="8"/>
      <c r="J14" s="8"/>
      <c r="K14" s="8">
        <v>1</v>
      </c>
      <c r="L14" s="18">
        <v>18000</v>
      </c>
      <c r="M14" s="7">
        <f t="shared" si="0"/>
        <v>18000</v>
      </c>
      <c r="N14" s="4" t="s">
        <v>1291</v>
      </c>
      <c r="O14" s="9"/>
    </row>
    <row r="15" spans="1:15" ht="20" x14ac:dyDescent="0.2">
      <c r="A15" s="3">
        <v>11</v>
      </c>
      <c r="B15" s="19"/>
      <c r="C15" s="4" t="s">
        <v>1517</v>
      </c>
      <c r="D15" s="4" t="s">
        <v>32</v>
      </c>
      <c r="E15" s="4"/>
      <c r="F15" s="8"/>
      <c r="G15" s="8"/>
      <c r="H15" s="8"/>
      <c r="I15" s="8"/>
      <c r="J15" s="8"/>
      <c r="K15" s="8">
        <v>1</v>
      </c>
      <c r="L15" s="18">
        <v>8800</v>
      </c>
      <c r="M15" s="7">
        <f t="shared" si="0"/>
        <v>8800</v>
      </c>
      <c r="N15" s="4" t="s">
        <v>1291</v>
      </c>
      <c r="O15" s="9"/>
    </row>
    <row r="16" spans="1:15" ht="20" x14ac:dyDescent="0.2">
      <c r="A16" s="3">
        <v>12</v>
      </c>
      <c r="B16" s="19"/>
      <c r="C16" s="4" t="s">
        <v>1518</v>
      </c>
      <c r="D16" s="4" t="s">
        <v>32</v>
      </c>
      <c r="E16" s="4"/>
      <c r="F16" s="8"/>
      <c r="G16" s="8"/>
      <c r="H16" s="8"/>
      <c r="I16" s="8"/>
      <c r="J16" s="8"/>
      <c r="K16" s="8">
        <v>1</v>
      </c>
      <c r="L16" s="18">
        <v>16500</v>
      </c>
      <c r="M16" s="7">
        <f t="shared" si="0"/>
        <v>16500</v>
      </c>
      <c r="N16" s="4" t="s">
        <v>1291</v>
      </c>
      <c r="O16" s="9"/>
    </row>
    <row r="17" spans="1:15" ht="20" x14ac:dyDescent="0.2">
      <c r="A17" s="3">
        <v>13</v>
      </c>
      <c r="B17" s="19"/>
      <c r="C17" s="4" t="s">
        <v>1519</v>
      </c>
      <c r="D17" s="4" t="s">
        <v>32</v>
      </c>
      <c r="E17" s="4"/>
      <c r="F17" s="8"/>
      <c r="G17" s="8"/>
      <c r="H17" s="8"/>
      <c r="I17" s="8"/>
      <c r="J17" s="8"/>
      <c r="K17" s="8">
        <v>1</v>
      </c>
      <c r="L17" s="18">
        <v>8800</v>
      </c>
      <c r="M17" s="7">
        <f t="shared" si="0"/>
        <v>8800</v>
      </c>
      <c r="N17" s="4" t="s">
        <v>1291</v>
      </c>
      <c r="O17" s="9"/>
    </row>
    <row r="18" spans="1:15" ht="20" x14ac:dyDescent="0.2">
      <c r="A18" s="3">
        <v>14</v>
      </c>
      <c r="B18" s="19"/>
      <c r="C18" s="4" t="s">
        <v>1520</v>
      </c>
      <c r="D18" s="4" t="s">
        <v>32</v>
      </c>
      <c r="E18" s="4"/>
      <c r="F18" s="8"/>
      <c r="G18" s="8"/>
      <c r="H18" s="8"/>
      <c r="I18" s="8"/>
      <c r="J18" s="8"/>
      <c r="K18" s="8">
        <v>1</v>
      </c>
      <c r="L18" s="18">
        <v>16500</v>
      </c>
      <c r="M18" s="7">
        <f t="shared" si="0"/>
        <v>16500</v>
      </c>
      <c r="N18" s="4" t="s">
        <v>1291</v>
      </c>
      <c r="O18" s="9"/>
    </row>
    <row r="19" spans="1:15" ht="20" x14ac:dyDescent="0.2">
      <c r="A19" s="3">
        <v>15</v>
      </c>
      <c r="B19" s="19"/>
      <c r="C19" s="4" t="s">
        <v>1325</v>
      </c>
      <c r="D19" s="4" t="s">
        <v>32</v>
      </c>
      <c r="E19" s="4"/>
      <c r="F19" s="8"/>
      <c r="G19" s="8"/>
      <c r="H19" s="8"/>
      <c r="I19" s="8"/>
      <c r="J19" s="8"/>
      <c r="K19" s="8">
        <v>1</v>
      </c>
      <c r="L19" s="18">
        <v>14700</v>
      </c>
      <c r="M19" s="7">
        <f t="shared" si="0"/>
        <v>14700</v>
      </c>
      <c r="N19" s="4" t="s">
        <v>1291</v>
      </c>
      <c r="O19" s="9"/>
    </row>
    <row r="20" spans="1:15" ht="20" x14ac:dyDescent="0.2">
      <c r="A20" s="3">
        <v>16</v>
      </c>
      <c r="B20" s="19"/>
      <c r="C20" s="4" t="s">
        <v>1521</v>
      </c>
      <c r="D20" s="4" t="s">
        <v>32</v>
      </c>
      <c r="E20" s="4"/>
      <c r="F20" s="8"/>
      <c r="G20" s="8"/>
      <c r="H20" s="8"/>
      <c r="I20" s="8"/>
      <c r="J20" s="8"/>
      <c r="K20" s="8">
        <v>1</v>
      </c>
      <c r="L20" s="18">
        <v>19800</v>
      </c>
      <c r="M20" s="7">
        <f t="shared" si="0"/>
        <v>19800</v>
      </c>
      <c r="N20" s="4" t="s">
        <v>1291</v>
      </c>
      <c r="O20" s="9"/>
    </row>
    <row r="21" spans="1:15" ht="20" x14ac:dyDescent="0.2">
      <c r="A21" s="3">
        <v>17</v>
      </c>
      <c r="B21" s="19"/>
      <c r="C21" s="4" t="s">
        <v>1522</v>
      </c>
      <c r="D21" s="4" t="s">
        <v>32</v>
      </c>
      <c r="E21" s="4"/>
      <c r="F21" s="8"/>
      <c r="G21" s="8"/>
      <c r="H21" s="8"/>
      <c r="I21" s="8"/>
      <c r="J21" s="8"/>
      <c r="K21" s="8">
        <v>1</v>
      </c>
      <c r="L21" s="18">
        <v>8400</v>
      </c>
      <c r="M21" s="7">
        <f t="shared" si="0"/>
        <v>8400</v>
      </c>
      <c r="N21" s="4" t="s">
        <v>1291</v>
      </c>
      <c r="O21" s="9"/>
    </row>
    <row r="22" spans="1:15" ht="20" x14ac:dyDescent="0.2">
      <c r="A22" s="3">
        <v>18</v>
      </c>
      <c r="B22" s="19"/>
      <c r="C22" s="4" t="s">
        <v>1523</v>
      </c>
      <c r="D22" s="4" t="s">
        <v>32</v>
      </c>
      <c r="E22" s="4"/>
      <c r="F22" s="8"/>
      <c r="G22" s="8"/>
      <c r="H22" s="8"/>
      <c r="I22" s="8"/>
      <c r="J22" s="8"/>
      <c r="K22" s="8">
        <v>1</v>
      </c>
      <c r="L22" s="18">
        <v>9000</v>
      </c>
      <c r="M22" s="7">
        <f t="shared" si="0"/>
        <v>9000</v>
      </c>
      <c r="N22" s="4" t="s">
        <v>1291</v>
      </c>
      <c r="O22" s="9"/>
    </row>
    <row r="23" spans="1:15" ht="20" x14ac:dyDescent="0.2">
      <c r="A23" s="3">
        <v>19</v>
      </c>
      <c r="B23" s="19"/>
      <c r="C23" s="4" t="s">
        <v>1524</v>
      </c>
      <c r="D23" s="4" t="s">
        <v>32</v>
      </c>
      <c r="E23" s="4"/>
      <c r="F23" s="8"/>
      <c r="G23" s="8"/>
      <c r="H23" s="8"/>
      <c r="I23" s="8"/>
      <c r="J23" s="8"/>
      <c r="K23" s="8">
        <v>1</v>
      </c>
      <c r="L23" s="18">
        <v>15600</v>
      </c>
      <c r="M23" s="7">
        <f t="shared" si="0"/>
        <v>15600</v>
      </c>
      <c r="N23" s="4" t="s">
        <v>1291</v>
      </c>
      <c r="O23" s="9"/>
    </row>
    <row r="24" spans="1:15" ht="20" x14ac:dyDescent="0.2">
      <c r="A24" s="3">
        <v>20</v>
      </c>
      <c r="B24" s="19"/>
      <c r="C24" s="4" t="s">
        <v>1525</v>
      </c>
      <c r="D24" s="4" t="s">
        <v>32</v>
      </c>
      <c r="E24" s="4"/>
      <c r="F24" s="8"/>
      <c r="G24" s="8"/>
      <c r="H24" s="8"/>
      <c r="I24" s="8"/>
      <c r="J24" s="8"/>
      <c r="K24" s="8">
        <v>1</v>
      </c>
      <c r="L24" s="18">
        <v>230000</v>
      </c>
      <c r="M24" s="7">
        <f t="shared" si="0"/>
        <v>230000</v>
      </c>
      <c r="N24" s="4" t="s">
        <v>1291</v>
      </c>
      <c r="O24" s="9"/>
    </row>
    <row r="25" spans="1:15" ht="20" x14ac:dyDescent="0.2">
      <c r="A25" s="3">
        <v>21</v>
      </c>
      <c r="B25" s="19"/>
      <c r="C25" s="4" t="s">
        <v>1526</v>
      </c>
      <c r="D25" s="4" t="s">
        <v>32</v>
      </c>
      <c r="E25" s="4"/>
      <c r="F25" s="8"/>
      <c r="G25" s="8"/>
      <c r="H25" s="8"/>
      <c r="I25" s="8"/>
      <c r="J25" s="8"/>
      <c r="K25" s="8">
        <v>1</v>
      </c>
      <c r="L25" s="18">
        <v>174000</v>
      </c>
      <c r="M25" s="7">
        <f t="shared" si="0"/>
        <v>174000</v>
      </c>
      <c r="N25" s="4" t="s">
        <v>1291</v>
      </c>
      <c r="O25" s="9"/>
    </row>
    <row r="26" spans="1:15" ht="20" x14ac:dyDescent="0.2">
      <c r="A26" s="3">
        <v>22</v>
      </c>
      <c r="B26" s="19"/>
      <c r="C26" s="4" t="s">
        <v>1527</v>
      </c>
      <c r="D26" s="4" t="s">
        <v>32</v>
      </c>
      <c r="E26" s="4"/>
      <c r="F26" s="8"/>
      <c r="G26" s="8"/>
      <c r="H26" s="8"/>
      <c r="I26" s="8"/>
      <c r="J26" s="8"/>
      <c r="K26" s="8">
        <v>1</v>
      </c>
      <c r="L26" s="18">
        <v>440</v>
      </c>
      <c r="M26" s="7">
        <f t="shared" si="0"/>
        <v>440</v>
      </c>
      <c r="N26" s="4" t="s">
        <v>1291</v>
      </c>
      <c r="O26" s="9"/>
    </row>
    <row r="27" spans="1:15" ht="40" x14ac:dyDescent="0.2">
      <c r="A27" s="3">
        <v>23</v>
      </c>
      <c r="B27" s="19"/>
      <c r="C27" s="4" t="s">
        <v>1492</v>
      </c>
      <c r="D27" s="4" t="s">
        <v>32</v>
      </c>
      <c r="E27" s="4"/>
      <c r="F27" s="8"/>
      <c r="G27" s="8"/>
      <c r="H27" s="8"/>
      <c r="I27" s="8"/>
      <c r="J27" s="8"/>
      <c r="K27" s="8">
        <v>1</v>
      </c>
      <c r="L27" s="18">
        <v>4800</v>
      </c>
      <c r="M27" s="7">
        <f t="shared" si="0"/>
        <v>4800</v>
      </c>
      <c r="N27" s="4" t="s">
        <v>1291</v>
      </c>
      <c r="O27" s="9"/>
    </row>
    <row r="28" spans="1:15" ht="20" x14ac:dyDescent="0.35">
      <c r="A28" s="10" t="s">
        <v>86</v>
      </c>
      <c r="B28" s="20"/>
      <c r="C28" s="11"/>
      <c r="D28" s="11"/>
      <c r="E28" s="11"/>
      <c r="F28" s="11"/>
      <c r="G28" s="11"/>
      <c r="H28" s="11"/>
      <c r="I28" s="11"/>
      <c r="J28" s="11"/>
      <c r="K28" s="13">
        <f>SUM(K5:K27)</f>
        <v>23</v>
      </c>
      <c r="L28" s="11"/>
      <c r="M28" s="13">
        <f>SUM(M5:M27)</f>
        <v>1199640</v>
      </c>
      <c r="N28" s="11"/>
      <c r="O28" s="11"/>
    </row>
    <row r="29" spans="1:15" x14ac:dyDescent="0.2">
      <c r="A29" s="23" t="s">
        <v>1528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</row>
  </sheetData>
  <autoFilter ref="A4:O27" xr:uid="{00000000-0009-0000-0000-000008000000}"/>
  <mergeCells count="5">
    <mergeCell ref="A29:O29"/>
    <mergeCell ref="E2:G2"/>
    <mergeCell ref="I2:J2"/>
    <mergeCell ref="A1:O1"/>
    <mergeCell ref="F3:O3"/>
  </mergeCells>
  <conditionalFormatting sqref="E3">
    <cfRule type="cellIs" dxfId="41" priority="1" operator="greaterThan">
      <formula>0.009</formula>
    </cfRule>
    <cfRule type="cellIs" dxfId="40" priority="2" operator="lessThan">
      <formula>-0.009</formula>
    </cfRule>
  </conditionalFormatting>
  <dataValidations count="1">
    <dataValidation type="list" allowBlank="1" sqref="O5:O27" xr:uid="{00000000-0002-0000-08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พยาธิกายวิภาค · DBR/2570/0011</oddHeader>
    <oddFooter>&amp;Lส่งออกจากฐาน VPK-S1 วันที่ 12 ต.ค. 2569&amp;Rหน้า &amp;P / 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6848"/>
    <pageSetUpPr fitToPage="1"/>
  </sheetPr>
  <dimension ref="A1:O83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1529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33</v>
      </c>
      <c r="D2" s="14" t="s">
        <v>7</v>
      </c>
      <c r="E2" s="24" t="s">
        <v>35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17933878.399999999</v>
      </c>
      <c r="D3" s="15" t="s">
        <v>94</v>
      </c>
      <c r="E3" s="17">
        <f>M82-C3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x14ac:dyDescent="0.2">
      <c r="A5" s="3">
        <v>1</v>
      </c>
      <c r="B5" s="19"/>
      <c r="C5" s="4" t="s">
        <v>1530</v>
      </c>
      <c r="D5" s="4" t="s">
        <v>34</v>
      </c>
      <c r="E5" s="4"/>
      <c r="F5" s="8"/>
      <c r="G5" s="8"/>
      <c r="H5" s="8"/>
      <c r="I5" s="8"/>
      <c r="J5" s="8"/>
      <c r="K5" s="8">
        <v>1</v>
      </c>
      <c r="L5" s="18">
        <v>240364.79999999999</v>
      </c>
      <c r="M5" s="7">
        <f t="shared" ref="M5:M36" si="0">IF(OR(K5="",L5=""),"",K5*L5)</f>
        <v>240364.79999999999</v>
      </c>
      <c r="N5" s="4" t="s">
        <v>1531</v>
      </c>
      <c r="O5" s="9"/>
    </row>
    <row r="6" spans="1:15" ht="20" x14ac:dyDescent="0.2">
      <c r="A6" s="3">
        <v>2</v>
      </c>
      <c r="B6" s="19"/>
      <c r="C6" s="4" t="s">
        <v>1532</v>
      </c>
      <c r="D6" s="4" t="s">
        <v>34</v>
      </c>
      <c r="E6" s="4"/>
      <c r="F6" s="8"/>
      <c r="G6" s="8"/>
      <c r="H6" s="8"/>
      <c r="I6" s="8"/>
      <c r="J6" s="8"/>
      <c r="K6" s="8">
        <v>1</v>
      </c>
      <c r="L6" s="18">
        <v>300456</v>
      </c>
      <c r="M6" s="7">
        <f t="shared" si="0"/>
        <v>300456</v>
      </c>
      <c r="N6" s="4" t="s">
        <v>1531</v>
      </c>
      <c r="O6" s="9"/>
    </row>
    <row r="7" spans="1:15" ht="20" x14ac:dyDescent="0.2">
      <c r="A7" s="3">
        <v>3</v>
      </c>
      <c r="B7" s="19"/>
      <c r="C7" s="4" t="s">
        <v>1533</v>
      </c>
      <c r="D7" s="4" t="s">
        <v>34</v>
      </c>
      <c r="E7" s="4"/>
      <c r="F7" s="8"/>
      <c r="G7" s="8"/>
      <c r="H7" s="8"/>
      <c r="I7" s="8"/>
      <c r="J7" s="8"/>
      <c r="K7" s="8">
        <v>1</v>
      </c>
      <c r="L7" s="18">
        <v>332812.79999999999</v>
      </c>
      <c r="M7" s="7">
        <f t="shared" si="0"/>
        <v>332812.79999999999</v>
      </c>
      <c r="N7" s="4" t="s">
        <v>1531</v>
      </c>
      <c r="O7" s="9"/>
    </row>
    <row r="8" spans="1:15" ht="20" x14ac:dyDescent="0.2">
      <c r="A8" s="3">
        <v>4</v>
      </c>
      <c r="B8" s="19"/>
      <c r="C8" s="4" t="s">
        <v>1534</v>
      </c>
      <c r="D8" s="4" t="s">
        <v>34</v>
      </c>
      <c r="E8" s="4"/>
      <c r="F8" s="8"/>
      <c r="G8" s="8"/>
      <c r="H8" s="8"/>
      <c r="I8" s="8"/>
      <c r="J8" s="8"/>
      <c r="K8" s="8">
        <v>1</v>
      </c>
      <c r="L8" s="18">
        <v>1309680</v>
      </c>
      <c r="M8" s="7">
        <f t="shared" si="0"/>
        <v>1309680</v>
      </c>
      <c r="N8" s="4" t="s">
        <v>1531</v>
      </c>
      <c r="O8" s="9"/>
    </row>
    <row r="9" spans="1:15" ht="40" x14ac:dyDescent="0.2">
      <c r="A9" s="3">
        <v>5</v>
      </c>
      <c r="B9" s="19"/>
      <c r="C9" s="4" t="s">
        <v>1535</v>
      </c>
      <c r="D9" s="4" t="s">
        <v>34</v>
      </c>
      <c r="E9" s="4"/>
      <c r="F9" s="8"/>
      <c r="G9" s="8"/>
      <c r="H9" s="8"/>
      <c r="I9" s="8"/>
      <c r="J9" s="8"/>
      <c r="K9" s="8">
        <v>1</v>
      </c>
      <c r="L9" s="18">
        <v>5007600</v>
      </c>
      <c r="M9" s="7">
        <f t="shared" si="0"/>
        <v>5007600</v>
      </c>
      <c r="N9" s="4" t="s">
        <v>1531</v>
      </c>
      <c r="O9" s="9"/>
    </row>
    <row r="10" spans="1:15" ht="40" x14ac:dyDescent="0.2">
      <c r="A10" s="3">
        <v>6</v>
      </c>
      <c r="B10" s="19"/>
      <c r="C10" s="4" t="s">
        <v>1536</v>
      </c>
      <c r="D10" s="4" t="s">
        <v>34</v>
      </c>
      <c r="E10" s="4"/>
      <c r="F10" s="8"/>
      <c r="G10" s="8"/>
      <c r="H10" s="8"/>
      <c r="I10" s="8"/>
      <c r="J10" s="8"/>
      <c r="K10" s="8">
        <v>1</v>
      </c>
      <c r="L10" s="18">
        <v>667680</v>
      </c>
      <c r="M10" s="7">
        <f t="shared" si="0"/>
        <v>667680</v>
      </c>
      <c r="N10" s="4" t="s">
        <v>1531</v>
      </c>
      <c r="O10" s="9"/>
    </row>
    <row r="11" spans="1:15" ht="20" x14ac:dyDescent="0.2">
      <c r="A11" s="3">
        <v>7</v>
      </c>
      <c r="B11" s="19"/>
      <c r="C11" s="4" t="s">
        <v>1537</v>
      </c>
      <c r="D11" s="4" t="s">
        <v>34</v>
      </c>
      <c r="E11" s="4"/>
      <c r="F11" s="8"/>
      <c r="G11" s="8"/>
      <c r="H11" s="8"/>
      <c r="I11" s="8"/>
      <c r="J11" s="8"/>
      <c r="K11" s="8">
        <v>1</v>
      </c>
      <c r="L11" s="18">
        <v>500760</v>
      </c>
      <c r="M11" s="7">
        <f t="shared" si="0"/>
        <v>500760</v>
      </c>
      <c r="N11" s="4" t="s">
        <v>1531</v>
      </c>
      <c r="O11" s="9"/>
    </row>
    <row r="12" spans="1:15" ht="20" x14ac:dyDescent="0.2">
      <c r="A12" s="3">
        <v>8</v>
      </c>
      <c r="B12" s="19"/>
      <c r="C12" s="4" t="s">
        <v>1538</v>
      </c>
      <c r="D12" s="4" t="s">
        <v>34</v>
      </c>
      <c r="E12" s="4"/>
      <c r="F12" s="8"/>
      <c r="G12" s="8"/>
      <c r="H12" s="8"/>
      <c r="I12" s="8"/>
      <c r="J12" s="8"/>
      <c r="K12" s="8">
        <v>1</v>
      </c>
      <c r="L12" s="18">
        <v>132000</v>
      </c>
      <c r="M12" s="7">
        <f t="shared" si="0"/>
        <v>132000</v>
      </c>
      <c r="N12" s="4" t="s">
        <v>1531</v>
      </c>
      <c r="O12" s="9"/>
    </row>
    <row r="13" spans="1:15" ht="20" x14ac:dyDescent="0.2">
      <c r="A13" s="3">
        <v>9</v>
      </c>
      <c r="B13" s="19"/>
      <c r="C13" s="4" t="s">
        <v>1539</v>
      </c>
      <c r="D13" s="4" t="s">
        <v>34</v>
      </c>
      <c r="E13" s="4"/>
      <c r="F13" s="8"/>
      <c r="G13" s="8"/>
      <c r="H13" s="8"/>
      <c r="I13" s="8"/>
      <c r="J13" s="8"/>
      <c r="K13" s="8">
        <v>1</v>
      </c>
      <c r="L13" s="18">
        <v>96000</v>
      </c>
      <c r="M13" s="7">
        <f t="shared" si="0"/>
        <v>96000</v>
      </c>
      <c r="N13" s="4" t="s">
        <v>1531</v>
      </c>
      <c r="O13" s="9"/>
    </row>
    <row r="14" spans="1:15" ht="20" x14ac:dyDescent="0.2">
      <c r="A14" s="3">
        <v>10</v>
      </c>
      <c r="B14" s="19"/>
      <c r="C14" s="4" t="s">
        <v>1540</v>
      </c>
      <c r="D14" s="4" t="s">
        <v>34</v>
      </c>
      <c r="E14" s="4"/>
      <c r="F14" s="8"/>
      <c r="G14" s="8"/>
      <c r="H14" s="8"/>
      <c r="I14" s="8"/>
      <c r="J14" s="8"/>
      <c r="K14" s="8">
        <v>1</v>
      </c>
      <c r="L14" s="18">
        <v>139200</v>
      </c>
      <c r="M14" s="7">
        <f t="shared" si="0"/>
        <v>139200</v>
      </c>
      <c r="N14" s="4" t="s">
        <v>1531</v>
      </c>
      <c r="O14" s="9"/>
    </row>
    <row r="15" spans="1:15" ht="20" x14ac:dyDescent="0.2">
      <c r="A15" s="3">
        <v>11</v>
      </c>
      <c r="B15" s="19"/>
      <c r="C15" s="4" t="s">
        <v>1541</v>
      </c>
      <c r="D15" s="4" t="s">
        <v>34</v>
      </c>
      <c r="E15" s="4"/>
      <c r="F15" s="8"/>
      <c r="G15" s="8"/>
      <c r="H15" s="8"/>
      <c r="I15" s="8"/>
      <c r="J15" s="8"/>
      <c r="K15" s="8">
        <v>1</v>
      </c>
      <c r="L15" s="18">
        <v>139200</v>
      </c>
      <c r="M15" s="7">
        <f t="shared" si="0"/>
        <v>139200</v>
      </c>
      <c r="N15" s="4" t="s">
        <v>1531</v>
      </c>
      <c r="O15" s="9"/>
    </row>
    <row r="16" spans="1:15" ht="20" x14ac:dyDescent="0.2">
      <c r="A16" s="3">
        <v>12</v>
      </c>
      <c r="B16" s="19"/>
      <c r="C16" s="4" t="s">
        <v>1542</v>
      </c>
      <c r="D16" s="4" t="s">
        <v>34</v>
      </c>
      <c r="E16" s="4"/>
      <c r="F16" s="8"/>
      <c r="G16" s="8"/>
      <c r="H16" s="8"/>
      <c r="I16" s="8"/>
      <c r="J16" s="8"/>
      <c r="K16" s="8">
        <v>1</v>
      </c>
      <c r="L16" s="18">
        <v>81600</v>
      </c>
      <c r="M16" s="7">
        <f t="shared" si="0"/>
        <v>81600</v>
      </c>
      <c r="N16" s="4" t="s">
        <v>1531</v>
      </c>
      <c r="O16" s="9"/>
    </row>
    <row r="17" spans="1:15" ht="20" x14ac:dyDescent="0.2">
      <c r="A17" s="3">
        <v>13</v>
      </c>
      <c r="B17" s="19"/>
      <c r="C17" s="4" t="s">
        <v>1543</v>
      </c>
      <c r="D17" s="4" t="s">
        <v>34</v>
      </c>
      <c r="E17" s="4"/>
      <c r="F17" s="8"/>
      <c r="G17" s="8"/>
      <c r="H17" s="8"/>
      <c r="I17" s="8"/>
      <c r="J17" s="8"/>
      <c r="K17" s="8">
        <v>1</v>
      </c>
      <c r="L17" s="18">
        <v>38400</v>
      </c>
      <c r="M17" s="7">
        <f t="shared" si="0"/>
        <v>38400</v>
      </c>
      <c r="N17" s="4" t="s">
        <v>1531</v>
      </c>
      <c r="O17" s="9"/>
    </row>
    <row r="18" spans="1:15" ht="20" x14ac:dyDescent="0.2">
      <c r="A18" s="3">
        <v>14</v>
      </c>
      <c r="B18" s="19"/>
      <c r="C18" s="4" t="s">
        <v>1544</v>
      </c>
      <c r="D18" s="4" t="s">
        <v>34</v>
      </c>
      <c r="E18" s="4"/>
      <c r="F18" s="8"/>
      <c r="G18" s="8"/>
      <c r="H18" s="8"/>
      <c r="I18" s="8"/>
      <c r="J18" s="8"/>
      <c r="K18" s="8">
        <v>1</v>
      </c>
      <c r="L18" s="18">
        <v>62400</v>
      </c>
      <c r="M18" s="7">
        <f t="shared" si="0"/>
        <v>62400</v>
      </c>
      <c r="N18" s="4" t="s">
        <v>1531</v>
      </c>
      <c r="O18" s="9"/>
    </row>
    <row r="19" spans="1:15" ht="20" x14ac:dyDescent="0.2">
      <c r="A19" s="3">
        <v>15</v>
      </c>
      <c r="B19" s="19"/>
      <c r="C19" s="4" t="s">
        <v>1545</v>
      </c>
      <c r="D19" s="4" t="s">
        <v>34</v>
      </c>
      <c r="E19" s="4"/>
      <c r="F19" s="8"/>
      <c r="G19" s="8"/>
      <c r="H19" s="8"/>
      <c r="I19" s="8"/>
      <c r="J19" s="8"/>
      <c r="K19" s="8">
        <v>1</v>
      </c>
      <c r="L19" s="18">
        <v>19500</v>
      </c>
      <c r="M19" s="7">
        <f t="shared" si="0"/>
        <v>19500</v>
      </c>
      <c r="N19" s="4" t="s">
        <v>1531</v>
      </c>
      <c r="O19" s="9"/>
    </row>
    <row r="20" spans="1:15" ht="40" x14ac:dyDescent="0.2">
      <c r="A20" s="3">
        <v>16</v>
      </c>
      <c r="B20" s="19"/>
      <c r="C20" s="4" t="s">
        <v>1546</v>
      </c>
      <c r="D20" s="4" t="s">
        <v>34</v>
      </c>
      <c r="E20" s="4"/>
      <c r="F20" s="8"/>
      <c r="G20" s="8"/>
      <c r="H20" s="8"/>
      <c r="I20" s="8"/>
      <c r="J20" s="8"/>
      <c r="K20" s="8">
        <v>1</v>
      </c>
      <c r="L20" s="18">
        <v>19500</v>
      </c>
      <c r="M20" s="7">
        <f t="shared" si="0"/>
        <v>19500</v>
      </c>
      <c r="N20" s="4" t="s">
        <v>1547</v>
      </c>
      <c r="O20" s="9"/>
    </row>
    <row r="21" spans="1:15" ht="40" x14ac:dyDescent="0.2">
      <c r="A21" s="3">
        <v>17</v>
      </c>
      <c r="B21" s="19"/>
      <c r="C21" s="4" t="s">
        <v>1548</v>
      </c>
      <c r="D21" s="4" t="s">
        <v>34</v>
      </c>
      <c r="E21" s="4"/>
      <c r="F21" s="8"/>
      <c r="G21" s="8"/>
      <c r="H21" s="8"/>
      <c r="I21" s="8"/>
      <c r="J21" s="8"/>
      <c r="K21" s="8">
        <v>1</v>
      </c>
      <c r="L21" s="18">
        <v>496480</v>
      </c>
      <c r="M21" s="7">
        <f t="shared" si="0"/>
        <v>496480</v>
      </c>
      <c r="N21" s="4" t="s">
        <v>1549</v>
      </c>
      <c r="O21" s="9"/>
    </row>
    <row r="22" spans="1:15" ht="40" x14ac:dyDescent="0.2">
      <c r="A22" s="3">
        <v>18</v>
      </c>
      <c r="B22" s="19"/>
      <c r="C22" s="4" t="s">
        <v>1550</v>
      </c>
      <c r="D22" s="4" t="s">
        <v>34</v>
      </c>
      <c r="E22" s="4"/>
      <c r="F22" s="8"/>
      <c r="G22" s="8"/>
      <c r="H22" s="8"/>
      <c r="I22" s="8"/>
      <c r="J22" s="8"/>
      <c r="K22" s="8">
        <v>1</v>
      </c>
      <c r="L22" s="18">
        <v>499797</v>
      </c>
      <c r="M22" s="7">
        <f t="shared" si="0"/>
        <v>499797</v>
      </c>
      <c r="N22" s="4" t="s">
        <v>1549</v>
      </c>
      <c r="O22" s="9"/>
    </row>
    <row r="23" spans="1:15" ht="40" x14ac:dyDescent="0.2">
      <c r="A23" s="3">
        <v>19</v>
      </c>
      <c r="B23" s="19"/>
      <c r="C23" s="4" t="s">
        <v>1551</v>
      </c>
      <c r="D23" s="4" t="s">
        <v>34</v>
      </c>
      <c r="E23" s="4"/>
      <c r="F23" s="8"/>
      <c r="G23" s="8"/>
      <c r="H23" s="8"/>
      <c r="I23" s="8"/>
      <c r="J23" s="8"/>
      <c r="K23" s="8">
        <v>1</v>
      </c>
      <c r="L23" s="18">
        <v>115560</v>
      </c>
      <c r="M23" s="7">
        <f t="shared" si="0"/>
        <v>115560</v>
      </c>
      <c r="N23" s="4" t="s">
        <v>1549</v>
      </c>
      <c r="O23" s="9"/>
    </row>
    <row r="24" spans="1:15" ht="40" x14ac:dyDescent="0.2">
      <c r="A24" s="3">
        <v>20</v>
      </c>
      <c r="B24" s="19"/>
      <c r="C24" s="4" t="s">
        <v>1552</v>
      </c>
      <c r="D24" s="4" t="s">
        <v>34</v>
      </c>
      <c r="E24" s="4"/>
      <c r="F24" s="8"/>
      <c r="G24" s="8"/>
      <c r="H24" s="8"/>
      <c r="I24" s="8"/>
      <c r="J24" s="8"/>
      <c r="K24" s="8">
        <v>1</v>
      </c>
      <c r="L24" s="18">
        <v>326400</v>
      </c>
      <c r="M24" s="7">
        <f t="shared" si="0"/>
        <v>326400</v>
      </c>
      <c r="N24" s="4" t="s">
        <v>1549</v>
      </c>
      <c r="O24" s="9"/>
    </row>
    <row r="25" spans="1:15" ht="40" x14ac:dyDescent="0.2">
      <c r="A25" s="3">
        <v>21</v>
      </c>
      <c r="B25" s="19"/>
      <c r="C25" s="4" t="s">
        <v>1553</v>
      </c>
      <c r="D25" s="4" t="s">
        <v>34</v>
      </c>
      <c r="E25" s="4"/>
      <c r="F25" s="8"/>
      <c r="G25" s="8"/>
      <c r="H25" s="8"/>
      <c r="I25" s="8"/>
      <c r="J25" s="8"/>
      <c r="K25" s="8">
        <v>1</v>
      </c>
      <c r="L25" s="18">
        <v>367200</v>
      </c>
      <c r="M25" s="7">
        <f t="shared" si="0"/>
        <v>367200</v>
      </c>
      <c r="N25" s="4" t="s">
        <v>1549</v>
      </c>
      <c r="O25" s="9"/>
    </row>
    <row r="26" spans="1:15" ht="40" x14ac:dyDescent="0.2">
      <c r="A26" s="3">
        <v>22</v>
      </c>
      <c r="B26" s="19"/>
      <c r="C26" s="4" t="s">
        <v>1554</v>
      </c>
      <c r="D26" s="4" t="s">
        <v>34</v>
      </c>
      <c r="E26" s="4"/>
      <c r="F26" s="8"/>
      <c r="G26" s="8"/>
      <c r="H26" s="8"/>
      <c r="I26" s="8"/>
      <c r="J26" s="8"/>
      <c r="K26" s="8">
        <v>1</v>
      </c>
      <c r="L26" s="18">
        <v>491130.00000000012</v>
      </c>
      <c r="M26" s="7">
        <f t="shared" si="0"/>
        <v>491130.00000000012</v>
      </c>
      <c r="N26" s="4" t="s">
        <v>1549</v>
      </c>
      <c r="O26" s="9"/>
    </row>
    <row r="27" spans="1:15" ht="40" x14ac:dyDescent="0.2">
      <c r="A27" s="3">
        <v>23</v>
      </c>
      <c r="B27" s="19"/>
      <c r="C27" s="4" t="s">
        <v>1555</v>
      </c>
      <c r="D27" s="4" t="s">
        <v>34</v>
      </c>
      <c r="E27" s="4"/>
      <c r="F27" s="8"/>
      <c r="G27" s="8"/>
      <c r="H27" s="8"/>
      <c r="I27" s="8"/>
      <c r="J27" s="8"/>
      <c r="K27" s="8">
        <v>1</v>
      </c>
      <c r="L27" s="18">
        <v>204000</v>
      </c>
      <c r="M27" s="7">
        <f t="shared" si="0"/>
        <v>204000</v>
      </c>
      <c r="N27" s="4" t="s">
        <v>1549</v>
      </c>
      <c r="O27" s="9"/>
    </row>
    <row r="28" spans="1:15" ht="40" x14ac:dyDescent="0.2">
      <c r="A28" s="3">
        <v>24</v>
      </c>
      <c r="B28" s="19"/>
      <c r="C28" s="4" t="s">
        <v>1556</v>
      </c>
      <c r="D28" s="4" t="s">
        <v>34</v>
      </c>
      <c r="E28" s="4"/>
      <c r="F28" s="8"/>
      <c r="G28" s="8"/>
      <c r="H28" s="8"/>
      <c r="I28" s="8"/>
      <c r="J28" s="8"/>
      <c r="K28" s="8">
        <v>1</v>
      </c>
      <c r="L28" s="18">
        <v>187200</v>
      </c>
      <c r="M28" s="7">
        <f t="shared" si="0"/>
        <v>187200</v>
      </c>
      <c r="N28" s="4" t="s">
        <v>1549</v>
      </c>
      <c r="O28" s="9"/>
    </row>
    <row r="29" spans="1:15" ht="40" x14ac:dyDescent="0.2">
      <c r="A29" s="3">
        <v>25</v>
      </c>
      <c r="B29" s="19"/>
      <c r="C29" s="4" t="s">
        <v>1557</v>
      </c>
      <c r="D29" s="4" t="s">
        <v>34</v>
      </c>
      <c r="E29" s="4"/>
      <c r="F29" s="8"/>
      <c r="G29" s="8"/>
      <c r="H29" s="8"/>
      <c r="I29" s="8"/>
      <c r="J29" s="8"/>
      <c r="K29" s="8">
        <v>1</v>
      </c>
      <c r="L29" s="18">
        <v>84000</v>
      </c>
      <c r="M29" s="7">
        <f t="shared" si="0"/>
        <v>84000</v>
      </c>
      <c r="N29" s="4" t="s">
        <v>1549</v>
      </c>
      <c r="O29" s="9"/>
    </row>
    <row r="30" spans="1:15" ht="40" x14ac:dyDescent="0.2">
      <c r="A30" s="3">
        <v>26</v>
      </c>
      <c r="B30" s="19"/>
      <c r="C30" s="4" t="s">
        <v>1558</v>
      </c>
      <c r="D30" s="4" t="s">
        <v>34</v>
      </c>
      <c r="E30" s="4"/>
      <c r="F30" s="8"/>
      <c r="G30" s="8"/>
      <c r="H30" s="8"/>
      <c r="I30" s="8"/>
      <c r="J30" s="8"/>
      <c r="K30" s="8">
        <v>1</v>
      </c>
      <c r="L30" s="18">
        <v>19500</v>
      </c>
      <c r="M30" s="7">
        <f t="shared" si="0"/>
        <v>19500</v>
      </c>
      <c r="N30" s="4" t="s">
        <v>1549</v>
      </c>
      <c r="O30" s="9"/>
    </row>
    <row r="31" spans="1:15" ht="40" x14ac:dyDescent="0.2">
      <c r="A31" s="3">
        <v>27</v>
      </c>
      <c r="B31" s="19"/>
      <c r="C31" s="4" t="s">
        <v>1559</v>
      </c>
      <c r="D31" s="4" t="s">
        <v>34</v>
      </c>
      <c r="E31" s="4"/>
      <c r="F31" s="8"/>
      <c r="G31" s="8"/>
      <c r="H31" s="8"/>
      <c r="I31" s="8"/>
      <c r="J31" s="8"/>
      <c r="K31" s="8">
        <v>1</v>
      </c>
      <c r="L31" s="18">
        <v>33000</v>
      </c>
      <c r="M31" s="7">
        <f t="shared" si="0"/>
        <v>33000</v>
      </c>
      <c r="N31" s="4" t="s">
        <v>1560</v>
      </c>
      <c r="O31" s="9"/>
    </row>
    <row r="32" spans="1:15" ht="40" x14ac:dyDescent="0.2">
      <c r="A32" s="3">
        <v>28</v>
      </c>
      <c r="B32" s="19"/>
      <c r="C32" s="4" t="s">
        <v>1561</v>
      </c>
      <c r="D32" s="4" t="s">
        <v>34</v>
      </c>
      <c r="E32" s="4"/>
      <c r="F32" s="8"/>
      <c r="G32" s="8"/>
      <c r="H32" s="8"/>
      <c r="I32" s="8"/>
      <c r="J32" s="8"/>
      <c r="K32" s="8">
        <v>1</v>
      </c>
      <c r="L32" s="18">
        <v>154000</v>
      </c>
      <c r="M32" s="7">
        <f t="shared" si="0"/>
        <v>154000</v>
      </c>
      <c r="N32" s="4" t="s">
        <v>1549</v>
      </c>
      <c r="O32" s="9"/>
    </row>
    <row r="33" spans="1:15" ht="40" x14ac:dyDescent="0.2">
      <c r="A33" s="3">
        <v>29</v>
      </c>
      <c r="B33" s="19"/>
      <c r="C33" s="4" t="s">
        <v>1562</v>
      </c>
      <c r="D33" s="4" t="s">
        <v>34</v>
      </c>
      <c r="E33" s="4"/>
      <c r="F33" s="8"/>
      <c r="G33" s="8"/>
      <c r="H33" s="8"/>
      <c r="I33" s="8"/>
      <c r="J33" s="8"/>
      <c r="K33" s="8">
        <v>1</v>
      </c>
      <c r="L33" s="18">
        <v>449400</v>
      </c>
      <c r="M33" s="7">
        <f t="shared" si="0"/>
        <v>449400</v>
      </c>
      <c r="N33" s="4" t="s">
        <v>1549</v>
      </c>
      <c r="O33" s="9"/>
    </row>
    <row r="34" spans="1:15" ht="40" x14ac:dyDescent="0.2">
      <c r="A34" s="3">
        <v>30</v>
      </c>
      <c r="B34" s="19"/>
      <c r="C34" s="4" t="s">
        <v>1325</v>
      </c>
      <c r="D34" s="4" t="s">
        <v>34</v>
      </c>
      <c r="E34" s="4"/>
      <c r="F34" s="8"/>
      <c r="G34" s="8"/>
      <c r="H34" s="8"/>
      <c r="I34" s="8"/>
      <c r="J34" s="8"/>
      <c r="K34" s="8">
        <v>1</v>
      </c>
      <c r="L34" s="18">
        <v>3920</v>
      </c>
      <c r="M34" s="7">
        <f t="shared" si="0"/>
        <v>3920</v>
      </c>
      <c r="N34" s="4" t="s">
        <v>1563</v>
      </c>
      <c r="O34" s="9"/>
    </row>
    <row r="35" spans="1:15" ht="40" x14ac:dyDescent="0.2">
      <c r="A35" s="3">
        <v>31</v>
      </c>
      <c r="B35" s="19"/>
      <c r="C35" s="4" t="s">
        <v>1564</v>
      </c>
      <c r="D35" s="4" t="s">
        <v>34</v>
      </c>
      <c r="E35" s="4"/>
      <c r="F35" s="8"/>
      <c r="G35" s="8"/>
      <c r="H35" s="8"/>
      <c r="I35" s="8"/>
      <c r="J35" s="8"/>
      <c r="K35" s="8">
        <v>1</v>
      </c>
      <c r="L35" s="18">
        <v>38520</v>
      </c>
      <c r="M35" s="7">
        <f t="shared" si="0"/>
        <v>38520</v>
      </c>
      <c r="N35" s="4" t="s">
        <v>1563</v>
      </c>
      <c r="O35" s="9"/>
    </row>
    <row r="36" spans="1:15" ht="40" x14ac:dyDescent="0.2">
      <c r="A36" s="3">
        <v>32</v>
      </c>
      <c r="B36" s="19"/>
      <c r="C36" s="4" t="s">
        <v>1565</v>
      </c>
      <c r="D36" s="4" t="s">
        <v>34</v>
      </c>
      <c r="E36" s="4"/>
      <c r="F36" s="8"/>
      <c r="G36" s="8"/>
      <c r="H36" s="8"/>
      <c r="I36" s="8"/>
      <c r="J36" s="8"/>
      <c r="K36" s="8">
        <v>1</v>
      </c>
      <c r="L36" s="18">
        <v>79180</v>
      </c>
      <c r="M36" s="7">
        <f t="shared" si="0"/>
        <v>79180</v>
      </c>
      <c r="N36" s="4" t="s">
        <v>1563</v>
      </c>
      <c r="O36" s="9"/>
    </row>
    <row r="37" spans="1:15" ht="40" x14ac:dyDescent="0.2">
      <c r="A37" s="3">
        <v>33</v>
      </c>
      <c r="B37" s="19"/>
      <c r="C37" s="4" t="s">
        <v>1566</v>
      </c>
      <c r="D37" s="4" t="s">
        <v>34</v>
      </c>
      <c r="E37" s="4"/>
      <c r="F37" s="8"/>
      <c r="G37" s="8"/>
      <c r="H37" s="8"/>
      <c r="I37" s="8"/>
      <c r="J37" s="8"/>
      <c r="K37" s="8">
        <v>1</v>
      </c>
      <c r="L37" s="18">
        <v>61632</v>
      </c>
      <c r="M37" s="7">
        <f t="shared" ref="M37:M68" si="1">IF(OR(K37="",L37=""),"",K37*L37)</f>
        <v>61632</v>
      </c>
      <c r="N37" s="4" t="s">
        <v>1563</v>
      </c>
      <c r="O37" s="9"/>
    </row>
    <row r="38" spans="1:15" ht="40" x14ac:dyDescent="0.2">
      <c r="A38" s="3">
        <v>34</v>
      </c>
      <c r="B38" s="19"/>
      <c r="C38" s="4" t="s">
        <v>1567</v>
      </c>
      <c r="D38" s="4" t="s">
        <v>34</v>
      </c>
      <c r="E38" s="4"/>
      <c r="F38" s="8"/>
      <c r="G38" s="8"/>
      <c r="H38" s="8"/>
      <c r="I38" s="8"/>
      <c r="J38" s="8"/>
      <c r="K38" s="8">
        <v>1</v>
      </c>
      <c r="L38" s="18">
        <v>43335</v>
      </c>
      <c r="M38" s="7">
        <f t="shared" si="1"/>
        <v>43335</v>
      </c>
      <c r="N38" s="4" t="s">
        <v>1563</v>
      </c>
      <c r="O38" s="9"/>
    </row>
    <row r="39" spans="1:15" ht="40" x14ac:dyDescent="0.2">
      <c r="A39" s="3">
        <v>35</v>
      </c>
      <c r="B39" s="19"/>
      <c r="C39" s="4" t="s">
        <v>1568</v>
      </c>
      <c r="D39" s="4" t="s">
        <v>34</v>
      </c>
      <c r="E39" s="4"/>
      <c r="F39" s="8"/>
      <c r="G39" s="8"/>
      <c r="H39" s="8"/>
      <c r="I39" s="8"/>
      <c r="J39" s="8"/>
      <c r="K39" s="8">
        <v>1</v>
      </c>
      <c r="L39" s="18">
        <v>20800.8</v>
      </c>
      <c r="M39" s="7">
        <f t="shared" si="1"/>
        <v>20800.8</v>
      </c>
      <c r="N39" s="4" t="s">
        <v>1563</v>
      </c>
      <c r="O39" s="9"/>
    </row>
    <row r="40" spans="1:15" ht="40" x14ac:dyDescent="0.2">
      <c r="A40" s="3">
        <v>36</v>
      </c>
      <c r="B40" s="19"/>
      <c r="C40" s="4" t="s">
        <v>1569</v>
      </c>
      <c r="D40" s="4" t="s">
        <v>34</v>
      </c>
      <c r="E40" s="4"/>
      <c r="F40" s="8"/>
      <c r="G40" s="8"/>
      <c r="H40" s="8"/>
      <c r="I40" s="8"/>
      <c r="J40" s="8"/>
      <c r="K40" s="8">
        <v>1</v>
      </c>
      <c r="L40" s="18">
        <v>57120</v>
      </c>
      <c r="M40" s="7">
        <f t="shared" si="1"/>
        <v>57120</v>
      </c>
      <c r="N40" s="4" t="s">
        <v>1563</v>
      </c>
      <c r="O40" s="9"/>
    </row>
    <row r="41" spans="1:15" ht="40" x14ac:dyDescent="0.2">
      <c r="A41" s="3">
        <v>37</v>
      </c>
      <c r="B41" s="19"/>
      <c r="C41" s="4" t="s">
        <v>1570</v>
      </c>
      <c r="D41" s="4" t="s">
        <v>34</v>
      </c>
      <c r="E41" s="4"/>
      <c r="F41" s="8"/>
      <c r="G41" s="8"/>
      <c r="H41" s="8"/>
      <c r="I41" s="8"/>
      <c r="J41" s="8"/>
      <c r="K41" s="8">
        <v>1</v>
      </c>
      <c r="L41" s="18">
        <v>3600</v>
      </c>
      <c r="M41" s="7">
        <f t="shared" si="1"/>
        <v>3600</v>
      </c>
      <c r="N41" s="4" t="s">
        <v>1563</v>
      </c>
      <c r="O41" s="9"/>
    </row>
    <row r="42" spans="1:15" ht="40" x14ac:dyDescent="0.2">
      <c r="A42" s="3">
        <v>38</v>
      </c>
      <c r="B42" s="19"/>
      <c r="C42" s="4" t="s">
        <v>1324</v>
      </c>
      <c r="D42" s="4" t="s">
        <v>34</v>
      </c>
      <c r="E42" s="4"/>
      <c r="F42" s="8"/>
      <c r="G42" s="8"/>
      <c r="H42" s="8"/>
      <c r="I42" s="8"/>
      <c r="J42" s="8"/>
      <c r="K42" s="8">
        <v>1</v>
      </c>
      <c r="L42" s="18">
        <v>1860</v>
      </c>
      <c r="M42" s="7">
        <f t="shared" si="1"/>
        <v>1860</v>
      </c>
      <c r="N42" s="4" t="s">
        <v>1563</v>
      </c>
      <c r="O42" s="9"/>
    </row>
    <row r="43" spans="1:15" ht="40" x14ac:dyDescent="0.2">
      <c r="A43" s="3">
        <v>39</v>
      </c>
      <c r="B43" s="19"/>
      <c r="C43" s="4" t="s">
        <v>1571</v>
      </c>
      <c r="D43" s="4" t="s">
        <v>34</v>
      </c>
      <c r="E43" s="4"/>
      <c r="F43" s="8"/>
      <c r="G43" s="8"/>
      <c r="H43" s="8"/>
      <c r="I43" s="8"/>
      <c r="J43" s="8"/>
      <c r="K43" s="8">
        <v>1</v>
      </c>
      <c r="L43" s="18">
        <v>2250</v>
      </c>
      <c r="M43" s="7">
        <f t="shared" si="1"/>
        <v>2250</v>
      </c>
      <c r="N43" s="4" t="s">
        <v>1563</v>
      </c>
      <c r="O43" s="9"/>
    </row>
    <row r="44" spans="1:15" ht="40" x14ac:dyDescent="0.2">
      <c r="A44" s="3">
        <v>40</v>
      </c>
      <c r="B44" s="19"/>
      <c r="C44" s="4" t="s">
        <v>1572</v>
      </c>
      <c r="D44" s="4" t="s">
        <v>34</v>
      </c>
      <c r="E44" s="4"/>
      <c r="F44" s="8"/>
      <c r="G44" s="8"/>
      <c r="H44" s="8"/>
      <c r="I44" s="8"/>
      <c r="J44" s="8"/>
      <c r="K44" s="8">
        <v>1</v>
      </c>
      <c r="L44" s="18">
        <v>6720</v>
      </c>
      <c r="M44" s="7">
        <f t="shared" si="1"/>
        <v>6720</v>
      </c>
      <c r="N44" s="4" t="s">
        <v>1563</v>
      </c>
      <c r="O44" s="9"/>
    </row>
    <row r="45" spans="1:15" ht="40" x14ac:dyDescent="0.2">
      <c r="A45" s="3">
        <v>41</v>
      </c>
      <c r="B45" s="19"/>
      <c r="C45" s="4" t="s">
        <v>1573</v>
      </c>
      <c r="D45" s="4" t="s">
        <v>34</v>
      </c>
      <c r="E45" s="4"/>
      <c r="F45" s="8"/>
      <c r="G45" s="8"/>
      <c r="H45" s="8"/>
      <c r="I45" s="8"/>
      <c r="J45" s="8"/>
      <c r="K45" s="8">
        <v>1</v>
      </c>
      <c r="L45" s="18">
        <v>5400</v>
      </c>
      <c r="M45" s="7">
        <f t="shared" si="1"/>
        <v>5400</v>
      </c>
      <c r="N45" s="4" t="s">
        <v>1563</v>
      </c>
      <c r="O45" s="9"/>
    </row>
    <row r="46" spans="1:15" ht="40" x14ac:dyDescent="0.2">
      <c r="A46" s="3">
        <v>42</v>
      </c>
      <c r="B46" s="19"/>
      <c r="C46" s="4" t="s">
        <v>1574</v>
      </c>
      <c r="D46" s="4" t="s">
        <v>34</v>
      </c>
      <c r="E46" s="4"/>
      <c r="F46" s="8"/>
      <c r="G46" s="8"/>
      <c r="H46" s="8"/>
      <c r="I46" s="8"/>
      <c r="J46" s="8"/>
      <c r="K46" s="8">
        <v>1</v>
      </c>
      <c r="L46" s="18">
        <v>1920</v>
      </c>
      <c r="M46" s="7">
        <f t="shared" si="1"/>
        <v>1920</v>
      </c>
      <c r="N46" s="4" t="s">
        <v>1563</v>
      </c>
      <c r="O46" s="9"/>
    </row>
    <row r="47" spans="1:15" ht="40" x14ac:dyDescent="0.2">
      <c r="A47" s="3">
        <v>43</v>
      </c>
      <c r="B47" s="19"/>
      <c r="C47" s="4" t="s">
        <v>1575</v>
      </c>
      <c r="D47" s="4" t="s">
        <v>34</v>
      </c>
      <c r="E47" s="4"/>
      <c r="F47" s="8"/>
      <c r="G47" s="8"/>
      <c r="H47" s="8"/>
      <c r="I47" s="8"/>
      <c r="J47" s="8"/>
      <c r="K47" s="8">
        <v>1</v>
      </c>
      <c r="L47" s="18">
        <v>6000</v>
      </c>
      <c r="M47" s="7">
        <f t="shared" si="1"/>
        <v>6000</v>
      </c>
      <c r="N47" s="4" t="s">
        <v>1563</v>
      </c>
      <c r="O47" s="9"/>
    </row>
    <row r="48" spans="1:15" ht="40" x14ac:dyDescent="0.2">
      <c r="A48" s="3">
        <v>44</v>
      </c>
      <c r="B48" s="19"/>
      <c r="C48" s="4" t="s">
        <v>1576</v>
      </c>
      <c r="D48" s="4" t="s">
        <v>34</v>
      </c>
      <c r="E48" s="4"/>
      <c r="F48" s="8"/>
      <c r="G48" s="8"/>
      <c r="H48" s="8"/>
      <c r="I48" s="8"/>
      <c r="J48" s="8"/>
      <c r="K48" s="8">
        <v>1</v>
      </c>
      <c r="L48" s="18">
        <v>14400</v>
      </c>
      <c r="M48" s="7">
        <f t="shared" si="1"/>
        <v>14400</v>
      </c>
      <c r="N48" s="4" t="s">
        <v>1563</v>
      </c>
      <c r="O48" s="9"/>
    </row>
    <row r="49" spans="1:15" ht="60" x14ac:dyDescent="0.2">
      <c r="A49" s="3">
        <v>45</v>
      </c>
      <c r="B49" s="19"/>
      <c r="C49" s="4" t="s">
        <v>1577</v>
      </c>
      <c r="D49" s="4" t="s">
        <v>34</v>
      </c>
      <c r="E49" s="4"/>
      <c r="F49" s="8"/>
      <c r="G49" s="8"/>
      <c r="H49" s="8"/>
      <c r="I49" s="8"/>
      <c r="J49" s="8"/>
      <c r="K49" s="8">
        <v>1</v>
      </c>
      <c r="L49" s="18">
        <v>76800</v>
      </c>
      <c r="M49" s="7">
        <f t="shared" si="1"/>
        <v>76800</v>
      </c>
      <c r="N49" s="4" t="s">
        <v>1578</v>
      </c>
      <c r="O49" s="9"/>
    </row>
    <row r="50" spans="1:15" ht="60" x14ac:dyDescent="0.2">
      <c r="A50" s="3">
        <v>46</v>
      </c>
      <c r="B50" s="19"/>
      <c r="C50" s="4" t="s">
        <v>1579</v>
      </c>
      <c r="D50" s="4" t="s">
        <v>34</v>
      </c>
      <c r="E50" s="4"/>
      <c r="F50" s="8"/>
      <c r="G50" s="8"/>
      <c r="H50" s="8"/>
      <c r="I50" s="8"/>
      <c r="J50" s="8"/>
      <c r="K50" s="8">
        <v>1</v>
      </c>
      <c r="L50" s="18">
        <v>76800</v>
      </c>
      <c r="M50" s="7">
        <f t="shared" si="1"/>
        <v>76800</v>
      </c>
      <c r="N50" s="4" t="s">
        <v>1578</v>
      </c>
      <c r="O50" s="9"/>
    </row>
    <row r="51" spans="1:15" ht="60" x14ac:dyDescent="0.2">
      <c r="A51" s="3">
        <v>47</v>
      </c>
      <c r="B51" s="19"/>
      <c r="C51" s="4" t="s">
        <v>1580</v>
      </c>
      <c r="D51" s="4" t="s">
        <v>34</v>
      </c>
      <c r="E51" s="4"/>
      <c r="F51" s="8"/>
      <c r="G51" s="8"/>
      <c r="H51" s="8"/>
      <c r="I51" s="8"/>
      <c r="J51" s="8"/>
      <c r="K51" s="8">
        <v>1</v>
      </c>
      <c r="L51" s="18">
        <v>57600</v>
      </c>
      <c r="M51" s="7">
        <f t="shared" si="1"/>
        <v>57600</v>
      </c>
      <c r="N51" s="4" t="s">
        <v>1578</v>
      </c>
      <c r="O51" s="9"/>
    </row>
    <row r="52" spans="1:15" ht="60" x14ac:dyDescent="0.2">
      <c r="A52" s="3">
        <v>48</v>
      </c>
      <c r="B52" s="19"/>
      <c r="C52" s="4" t="s">
        <v>1581</v>
      </c>
      <c r="D52" s="4" t="s">
        <v>34</v>
      </c>
      <c r="E52" s="4"/>
      <c r="F52" s="8"/>
      <c r="G52" s="8"/>
      <c r="H52" s="8"/>
      <c r="I52" s="8"/>
      <c r="J52" s="8"/>
      <c r="K52" s="8">
        <v>1</v>
      </c>
      <c r="L52" s="18">
        <v>192000</v>
      </c>
      <c r="M52" s="7">
        <f t="shared" si="1"/>
        <v>192000</v>
      </c>
      <c r="N52" s="4" t="s">
        <v>1578</v>
      </c>
      <c r="O52" s="9"/>
    </row>
    <row r="53" spans="1:15" ht="60" x14ac:dyDescent="0.2">
      <c r="A53" s="3">
        <v>49</v>
      </c>
      <c r="B53" s="19"/>
      <c r="C53" s="4" t="s">
        <v>1582</v>
      </c>
      <c r="D53" s="4" t="s">
        <v>34</v>
      </c>
      <c r="E53" s="4"/>
      <c r="F53" s="8"/>
      <c r="G53" s="8"/>
      <c r="H53" s="8"/>
      <c r="I53" s="8"/>
      <c r="J53" s="8"/>
      <c r="K53" s="8">
        <v>1</v>
      </c>
      <c r="L53" s="18">
        <v>3600</v>
      </c>
      <c r="M53" s="7">
        <f t="shared" si="1"/>
        <v>3600</v>
      </c>
      <c r="N53" s="4" t="s">
        <v>1578</v>
      </c>
      <c r="O53" s="9"/>
    </row>
    <row r="54" spans="1:15" ht="60" x14ac:dyDescent="0.2">
      <c r="A54" s="3">
        <v>50</v>
      </c>
      <c r="B54" s="19"/>
      <c r="C54" s="4" t="s">
        <v>1583</v>
      </c>
      <c r="D54" s="4" t="s">
        <v>34</v>
      </c>
      <c r="E54" s="4"/>
      <c r="F54" s="8"/>
      <c r="G54" s="8"/>
      <c r="H54" s="8"/>
      <c r="I54" s="8"/>
      <c r="J54" s="8"/>
      <c r="K54" s="8">
        <v>1</v>
      </c>
      <c r="L54" s="18">
        <v>300</v>
      </c>
      <c r="M54" s="7">
        <f t="shared" si="1"/>
        <v>300</v>
      </c>
      <c r="N54" s="4" t="s">
        <v>1578</v>
      </c>
      <c r="O54" s="9"/>
    </row>
    <row r="55" spans="1:15" ht="60" x14ac:dyDescent="0.2">
      <c r="A55" s="3">
        <v>51</v>
      </c>
      <c r="B55" s="19"/>
      <c r="C55" s="4" t="s">
        <v>1584</v>
      </c>
      <c r="D55" s="4" t="s">
        <v>34</v>
      </c>
      <c r="E55" s="4"/>
      <c r="F55" s="8"/>
      <c r="G55" s="8"/>
      <c r="H55" s="8"/>
      <c r="I55" s="8"/>
      <c r="J55" s="8"/>
      <c r="K55" s="8">
        <v>1</v>
      </c>
      <c r="L55" s="18">
        <v>2000</v>
      </c>
      <c r="M55" s="7">
        <f t="shared" si="1"/>
        <v>2000</v>
      </c>
      <c r="N55" s="4" t="s">
        <v>1578</v>
      </c>
      <c r="O55" s="9"/>
    </row>
    <row r="56" spans="1:15" ht="60" x14ac:dyDescent="0.2">
      <c r="A56" s="3">
        <v>52</v>
      </c>
      <c r="B56" s="19"/>
      <c r="C56" s="4" t="s">
        <v>1585</v>
      </c>
      <c r="D56" s="4" t="s">
        <v>34</v>
      </c>
      <c r="E56" s="4"/>
      <c r="F56" s="8"/>
      <c r="G56" s="8"/>
      <c r="H56" s="8"/>
      <c r="I56" s="8"/>
      <c r="J56" s="8"/>
      <c r="K56" s="8">
        <v>1</v>
      </c>
      <c r="L56" s="18">
        <v>400</v>
      </c>
      <c r="M56" s="7">
        <f t="shared" si="1"/>
        <v>400</v>
      </c>
      <c r="N56" s="4" t="s">
        <v>1578</v>
      </c>
      <c r="O56" s="9"/>
    </row>
    <row r="57" spans="1:15" ht="60" x14ac:dyDescent="0.2">
      <c r="A57" s="3">
        <v>53</v>
      </c>
      <c r="B57" s="19"/>
      <c r="C57" s="4" t="s">
        <v>1586</v>
      </c>
      <c r="D57" s="4" t="s">
        <v>34</v>
      </c>
      <c r="E57" s="4"/>
      <c r="F57" s="8"/>
      <c r="G57" s="8"/>
      <c r="H57" s="8"/>
      <c r="I57" s="8"/>
      <c r="J57" s="8"/>
      <c r="K57" s="8">
        <v>1</v>
      </c>
      <c r="L57" s="18">
        <v>400</v>
      </c>
      <c r="M57" s="7">
        <f t="shared" si="1"/>
        <v>400</v>
      </c>
      <c r="N57" s="4" t="s">
        <v>1578</v>
      </c>
      <c r="O57" s="9"/>
    </row>
    <row r="58" spans="1:15" ht="60" x14ac:dyDescent="0.2">
      <c r="A58" s="3">
        <v>54</v>
      </c>
      <c r="B58" s="19"/>
      <c r="C58" s="4" t="s">
        <v>1587</v>
      </c>
      <c r="D58" s="4" t="s">
        <v>34</v>
      </c>
      <c r="E58" s="4"/>
      <c r="F58" s="8"/>
      <c r="G58" s="8"/>
      <c r="H58" s="8"/>
      <c r="I58" s="8"/>
      <c r="J58" s="8"/>
      <c r="K58" s="8">
        <v>1</v>
      </c>
      <c r="L58" s="18">
        <v>90000</v>
      </c>
      <c r="M58" s="7">
        <f t="shared" si="1"/>
        <v>90000</v>
      </c>
      <c r="N58" s="4" t="s">
        <v>1578</v>
      </c>
      <c r="O58" s="9"/>
    </row>
    <row r="59" spans="1:15" ht="60" x14ac:dyDescent="0.2">
      <c r="A59" s="3">
        <v>55</v>
      </c>
      <c r="B59" s="19"/>
      <c r="C59" s="4" t="s">
        <v>1588</v>
      </c>
      <c r="D59" s="4" t="s">
        <v>34</v>
      </c>
      <c r="E59" s="4"/>
      <c r="F59" s="8"/>
      <c r="G59" s="8"/>
      <c r="H59" s="8"/>
      <c r="I59" s="8"/>
      <c r="J59" s="8"/>
      <c r="K59" s="8">
        <v>1</v>
      </c>
      <c r="L59" s="18">
        <v>6000</v>
      </c>
      <c r="M59" s="7">
        <f t="shared" si="1"/>
        <v>6000</v>
      </c>
      <c r="N59" s="4" t="s">
        <v>1578</v>
      </c>
      <c r="O59" s="9"/>
    </row>
    <row r="60" spans="1:15" ht="60" x14ac:dyDescent="0.2">
      <c r="A60" s="3">
        <v>56</v>
      </c>
      <c r="B60" s="19"/>
      <c r="C60" s="4" t="s">
        <v>1589</v>
      </c>
      <c r="D60" s="4" t="s">
        <v>34</v>
      </c>
      <c r="E60" s="4"/>
      <c r="F60" s="8"/>
      <c r="G60" s="8"/>
      <c r="H60" s="8"/>
      <c r="I60" s="8"/>
      <c r="J60" s="8"/>
      <c r="K60" s="8">
        <v>1</v>
      </c>
      <c r="L60" s="18">
        <v>90000</v>
      </c>
      <c r="M60" s="7">
        <f t="shared" si="1"/>
        <v>90000</v>
      </c>
      <c r="N60" s="4" t="s">
        <v>1578</v>
      </c>
      <c r="O60" s="9"/>
    </row>
    <row r="61" spans="1:15" ht="60" x14ac:dyDescent="0.2">
      <c r="A61" s="3">
        <v>57</v>
      </c>
      <c r="B61" s="19"/>
      <c r="C61" s="4" t="s">
        <v>1590</v>
      </c>
      <c r="D61" s="4" t="s">
        <v>34</v>
      </c>
      <c r="E61" s="4"/>
      <c r="F61" s="8"/>
      <c r="G61" s="8"/>
      <c r="H61" s="8"/>
      <c r="I61" s="8"/>
      <c r="J61" s="8"/>
      <c r="K61" s="8">
        <v>1</v>
      </c>
      <c r="L61" s="18">
        <v>6000</v>
      </c>
      <c r="M61" s="7">
        <f t="shared" si="1"/>
        <v>6000</v>
      </c>
      <c r="N61" s="4" t="s">
        <v>1578</v>
      </c>
      <c r="O61" s="9"/>
    </row>
    <row r="62" spans="1:15" ht="60" x14ac:dyDescent="0.2">
      <c r="A62" s="3">
        <v>58</v>
      </c>
      <c r="B62" s="19"/>
      <c r="C62" s="4" t="s">
        <v>1591</v>
      </c>
      <c r="D62" s="4" t="s">
        <v>34</v>
      </c>
      <c r="E62" s="4"/>
      <c r="F62" s="8"/>
      <c r="G62" s="8"/>
      <c r="H62" s="8"/>
      <c r="I62" s="8"/>
      <c r="J62" s="8"/>
      <c r="K62" s="8">
        <v>1</v>
      </c>
      <c r="L62" s="18">
        <v>30000</v>
      </c>
      <c r="M62" s="7">
        <f t="shared" si="1"/>
        <v>30000</v>
      </c>
      <c r="N62" s="4" t="s">
        <v>1578</v>
      </c>
      <c r="O62" s="9"/>
    </row>
    <row r="63" spans="1:15" ht="60" x14ac:dyDescent="0.2">
      <c r="A63" s="3">
        <v>59</v>
      </c>
      <c r="B63" s="19"/>
      <c r="C63" s="4" t="s">
        <v>1592</v>
      </c>
      <c r="D63" s="4" t="s">
        <v>34</v>
      </c>
      <c r="E63" s="4"/>
      <c r="F63" s="8"/>
      <c r="G63" s="8"/>
      <c r="H63" s="8"/>
      <c r="I63" s="8"/>
      <c r="J63" s="8"/>
      <c r="K63" s="8">
        <v>1</v>
      </c>
      <c r="L63" s="18">
        <v>1200</v>
      </c>
      <c r="M63" s="7">
        <f t="shared" si="1"/>
        <v>1200</v>
      </c>
      <c r="N63" s="4" t="s">
        <v>1578</v>
      </c>
      <c r="O63" s="9"/>
    </row>
    <row r="64" spans="1:15" ht="60" x14ac:dyDescent="0.2">
      <c r="A64" s="3">
        <v>60</v>
      </c>
      <c r="B64" s="19"/>
      <c r="C64" s="4" t="s">
        <v>1593</v>
      </c>
      <c r="D64" s="4" t="s">
        <v>34</v>
      </c>
      <c r="E64" s="4"/>
      <c r="F64" s="8"/>
      <c r="G64" s="8"/>
      <c r="H64" s="8"/>
      <c r="I64" s="8"/>
      <c r="J64" s="8"/>
      <c r="K64" s="8">
        <v>1</v>
      </c>
      <c r="L64" s="18">
        <v>2400</v>
      </c>
      <c r="M64" s="7">
        <f t="shared" si="1"/>
        <v>2400</v>
      </c>
      <c r="N64" s="4" t="s">
        <v>1578</v>
      </c>
      <c r="O64" s="9"/>
    </row>
    <row r="65" spans="1:15" ht="60" x14ac:dyDescent="0.2">
      <c r="A65" s="3">
        <v>61</v>
      </c>
      <c r="B65" s="19"/>
      <c r="C65" s="4" t="s">
        <v>1594</v>
      </c>
      <c r="D65" s="4" t="s">
        <v>34</v>
      </c>
      <c r="E65" s="4"/>
      <c r="F65" s="8"/>
      <c r="G65" s="8"/>
      <c r="H65" s="8"/>
      <c r="I65" s="8"/>
      <c r="J65" s="8"/>
      <c r="K65" s="8">
        <v>1</v>
      </c>
      <c r="L65" s="18">
        <v>120000</v>
      </c>
      <c r="M65" s="7">
        <f t="shared" si="1"/>
        <v>120000</v>
      </c>
      <c r="N65" s="4" t="s">
        <v>1578</v>
      </c>
      <c r="O65" s="9"/>
    </row>
    <row r="66" spans="1:15" ht="60" x14ac:dyDescent="0.2">
      <c r="A66" s="3">
        <v>62</v>
      </c>
      <c r="B66" s="19"/>
      <c r="C66" s="4" t="s">
        <v>1595</v>
      </c>
      <c r="D66" s="4" t="s">
        <v>34</v>
      </c>
      <c r="E66" s="4"/>
      <c r="F66" s="8"/>
      <c r="G66" s="8"/>
      <c r="H66" s="8"/>
      <c r="I66" s="8"/>
      <c r="J66" s="8"/>
      <c r="K66" s="8">
        <v>1</v>
      </c>
      <c r="L66" s="18">
        <v>30000</v>
      </c>
      <c r="M66" s="7">
        <f t="shared" si="1"/>
        <v>30000</v>
      </c>
      <c r="N66" s="4" t="s">
        <v>1578</v>
      </c>
      <c r="O66" s="9"/>
    </row>
    <row r="67" spans="1:15" ht="60" x14ac:dyDescent="0.2">
      <c r="A67" s="3">
        <v>63</v>
      </c>
      <c r="B67" s="19"/>
      <c r="C67" s="4" t="s">
        <v>1596</v>
      </c>
      <c r="D67" s="4" t="s">
        <v>34</v>
      </c>
      <c r="E67" s="4"/>
      <c r="F67" s="8"/>
      <c r="G67" s="8"/>
      <c r="H67" s="8"/>
      <c r="I67" s="8"/>
      <c r="J67" s="8"/>
      <c r="K67" s="8">
        <v>1</v>
      </c>
      <c r="L67" s="18">
        <v>7200</v>
      </c>
      <c r="M67" s="7">
        <f t="shared" si="1"/>
        <v>7200</v>
      </c>
      <c r="N67" s="4" t="s">
        <v>1578</v>
      </c>
      <c r="O67" s="9"/>
    </row>
    <row r="68" spans="1:15" ht="60" x14ac:dyDescent="0.2">
      <c r="A68" s="3">
        <v>64</v>
      </c>
      <c r="B68" s="19"/>
      <c r="C68" s="4" t="s">
        <v>1597</v>
      </c>
      <c r="D68" s="4" t="s">
        <v>34</v>
      </c>
      <c r="E68" s="4"/>
      <c r="F68" s="8"/>
      <c r="G68" s="8"/>
      <c r="H68" s="8"/>
      <c r="I68" s="8"/>
      <c r="J68" s="8"/>
      <c r="K68" s="8">
        <v>1</v>
      </c>
      <c r="L68" s="18">
        <v>4800</v>
      </c>
      <c r="M68" s="7">
        <f t="shared" si="1"/>
        <v>4800</v>
      </c>
      <c r="N68" s="4" t="s">
        <v>1578</v>
      </c>
      <c r="O68" s="9"/>
    </row>
    <row r="69" spans="1:15" ht="60" x14ac:dyDescent="0.2">
      <c r="A69" s="3">
        <v>65</v>
      </c>
      <c r="B69" s="19"/>
      <c r="C69" s="4" t="s">
        <v>1598</v>
      </c>
      <c r="D69" s="4" t="s">
        <v>34</v>
      </c>
      <c r="E69" s="4"/>
      <c r="F69" s="8"/>
      <c r="G69" s="8"/>
      <c r="H69" s="8"/>
      <c r="I69" s="8"/>
      <c r="J69" s="8"/>
      <c r="K69" s="8">
        <v>1</v>
      </c>
      <c r="L69" s="18">
        <v>9600</v>
      </c>
      <c r="M69" s="7">
        <f t="shared" ref="M69:M100" si="2">IF(OR(K69="",L69=""),"",K69*L69)</f>
        <v>9600</v>
      </c>
      <c r="N69" s="4" t="s">
        <v>1578</v>
      </c>
      <c r="O69" s="9"/>
    </row>
    <row r="70" spans="1:15" ht="60" x14ac:dyDescent="0.2">
      <c r="A70" s="3">
        <v>66</v>
      </c>
      <c r="B70" s="19"/>
      <c r="C70" s="4" t="s">
        <v>1599</v>
      </c>
      <c r="D70" s="4" t="s">
        <v>34</v>
      </c>
      <c r="E70" s="4"/>
      <c r="F70" s="8"/>
      <c r="G70" s="8"/>
      <c r="H70" s="8"/>
      <c r="I70" s="8"/>
      <c r="J70" s="8"/>
      <c r="K70" s="8">
        <v>1</v>
      </c>
      <c r="L70" s="18">
        <v>3600</v>
      </c>
      <c r="M70" s="7">
        <f t="shared" si="2"/>
        <v>3600</v>
      </c>
      <c r="N70" s="4" t="s">
        <v>1578</v>
      </c>
      <c r="O70" s="9"/>
    </row>
    <row r="71" spans="1:15" ht="60" x14ac:dyDescent="0.2">
      <c r="A71" s="3">
        <v>67</v>
      </c>
      <c r="B71" s="19"/>
      <c r="C71" s="4" t="s">
        <v>1600</v>
      </c>
      <c r="D71" s="4" t="s">
        <v>34</v>
      </c>
      <c r="E71" s="4"/>
      <c r="F71" s="8"/>
      <c r="G71" s="8"/>
      <c r="H71" s="8"/>
      <c r="I71" s="8"/>
      <c r="J71" s="8"/>
      <c r="K71" s="8">
        <v>1</v>
      </c>
      <c r="L71" s="18">
        <v>7200</v>
      </c>
      <c r="M71" s="7">
        <f t="shared" si="2"/>
        <v>7200</v>
      </c>
      <c r="N71" s="4" t="s">
        <v>1578</v>
      </c>
      <c r="O71" s="9"/>
    </row>
    <row r="72" spans="1:15" ht="60" x14ac:dyDescent="0.2">
      <c r="A72" s="3">
        <v>68</v>
      </c>
      <c r="B72" s="19"/>
      <c r="C72" s="4" t="s">
        <v>1601</v>
      </c>
      <c r="D72" s="4" t="s">
        <v>34</v>
      </c>
      <c r="E72" s="4"/>
      <c r="F72" s="8"/>
      <c r="G72" s="8"/>
      <c r="H72" s="8"/>
      <c r="I72" s="8"/>
      <c r="J72" s="8"/>
      <c r="K72" s="8">
        <v>1</v>
      </c>
      <c r="L72" s="18">
        <v>1200</v>
      </c>
      <c r="M72" s="7">
        <f t="shared" si="2"/>
        <v>1200</v>
      </c>
      <c r="N72" s="4" t="s">
        <v>1578</v>
      </c>
      <c r="O72" s="9"/>
    </row>
    <row r="73" spans="1:15" ht="60" x14ac:dyDescent="0.2">
      <c r="A73" s="3">
        <v>69</v>
      </c>
      <c r="B73" s="19"/>
      <c r="C73" s="4" t="s">
        <v>1602</v>
      </c>
      <c r="D73" s="4" t="s">
        <v>34</v>
      </c>
      <c r="E73" s="4"/>
      <c r="F73" s="8"/>
      <c r="G73" s="8"/>
      <c r="H73" s="8"/>
      <c r="I73" s="8"/>
      <c r="J73" s="8"/>
      <c r="K73" s="8">
        <v>1</v>
      </c>
      <c r="L73" s="18">
        <v>12000</v>
      </c>
      <c r="M73" s="7">
        <f t="shared" si="2"/>
        <v>12000</v>
      </c>
      <c r="N73" s="4" t="s">
        <v>1578</v>
      </c>
      <c r="O73" s="9"/>
    </row>
    <row r="74" spans="1:15" ht="60" x14ac:dyDescent="0.2">
      <c r="A74" s="3">
        <v>70</v>
      </c>
      <c r="B74" s="19"/>
      <c r="C74" s="4" t="s">
        <v>1603</v>
      </c>
      <c r="D74" s="4" t="s">
        <v>34</v>
      </c>
      <c r="E74" s="4"/>
      <c r="F74" s="8"/>
      <c r="G74" s="8"/>
      <c r="H74" s="8"/>
      <c r="I74" s="8"/>
      <c r="J74" s="8"/>
      <c r="K74" s="8">
        <v>1</v>
      </c>
      <c r="L74" s="18">
        <v>3300000</v>
      </c>
      <c r="M74" s="7">
        <f t="shared" si="2"/>
        <v>3300000</v>
      </c>
      <c r="N74" s="4" t="s">
        <v>1604</v>
      </c>
      <c r="O74" s="9"/>
    </row>
    <row r="75" spans="1:15" ht="60" x14ac:dyDescent="0.2">
      <c r="A75" s="3">
        <v>71</v>
      </c>
      <c r="B75" s="19"/>
      <c r="C75" s="4" t="s">
        <v>1605</v>
      </c>
      <c r="D75" s="4" t="s">
        <v>34</v>
      </c>
      <c r="E75" s="4"/>
      <c r="F75" s="8"/>
      <c r="G75" s="8"/>
      <c r="H75" s="8"/>
      <c r="I75" s="8"/>
      <c r="J75" s="8"/>
      <c r="K75" s="8">
        <v>1</v>
      </c>
      <c r="L75" s="18">
        <v>27000</v>
      </c>
      <c r="M75" s="7">
        <f t="shared" si="2"/>
        <v>27000</v>
      </c>
      <c r="N75" s="4" t="s">
        <v>1604</v>
      </c>
      <c r="O75" s="9"/>
    </row>
    <row r="76" spans="1:15" ht="60" x14ac:dyDescent="0.2">
      <c r="A76" s="3">
        <v>72</v>
      </c>
      <c r="B76" s="19"/>
      <c r="C76" s="4" t="s">
        <v>1606</v>
      </c>
      <c r="D76" s="4" t="s">
        <v>34</v>
      </c>
      <c r="E76" s="4"/>
      <c r="F76" s="8"/>
      <c r="G76" s="8"/>
      <c r="H76" s="8"/>
      <c r="I76" s="8"/>
      <c r="J76" s="8"/>
      <c r="K76" s="8">
        <v>1</v>
      </c>
      <c r="L76" s="18">
        <v>32000</v>
      </c>
      <c r="M76" s="7">
        <f t="shared" si="2"/>
        <v>32000</v>
      </c>
      <c r="N76" s="4" t="s">
        <v>1604</v>
      </c>
      <c r="O76" s="9"/>
    </row>
    <row r="77" spans="1:15" ht="60" x14ac:dyDescent="0.2">
      <c r="A77" s="3">
        <v>73</v>
      </c>
      <c r="B77" s="19"/>
      <c r="C77" s="4" t="s">
        <v>1607</v>
      </c>
      <c r="D77" s="4" t="s">
        <v>34</v>
      </c>
      <c r="E77" s="4"/>
      <c r="F77" s="8"/>
      <c r="G77" s="8"/>
      <c r="H77" s="8"/>
      <c r="I77" s="8"/>
      <c r="J77" s="8"/>
      <c r="K77" s="8">
        <v>1</v>
      </c>
      <c r="L77" s="18">
        <v>19800</v>
      </c>
      <c r="M77" s="7">
        <f t="shared" si="2"/>
        <v>19800</v>
      </c>
      <c r="N77" s="4" t="s">
        <v>1604</v>
      </c>
      <c r="O77" s="9"/>
    </row>
    <row r="78" spans="1:15" ht="60" x14ac:dyDescent="0.2">
      <c r="A78" s="3">
        <v>74</v>
      </c>
      <c r="B78" s="19"/>
      <c r="C78" s="4" t="s">
        <v>1608</v>
      </c>
      <c r="D78" s="4" t="s">
        <v>34</v>
      </c>
      <c r="E78" s="4"/>
      <c r="F78" s="8"/>
      <c r="G78" s="8"/>
      <c r="H78" s="8"/>
      <c r="I78" s="8"/>
      <c r="J78" s="8"/>
      <c r="K78" s="8">
        <v>1</v>
      </c>
      <c r="L78" s="18">
        <v>65000</v>
      </c>
      <c r="M78" s="7">
        <f t="shared" si="2"/>
        <v>65000</v>
      </c>
      <c r="N78" s="4" t="s">
        <v>1604</v>
      </c>
      <c r="O78" s="9"/>
    </row>
    <row r="79" spans="1:15" ht="60" x14ac:dyDescent="0.2">
      <c r="A79" s="3">
        <v>75</v>
      </c>
      <c r="B79" s="19"/>
      <c r="C79" s="4" t="s">
        <v>1609</v>
      </c>
      <c r="D79" s="4" t="s">
        <v>34</v>
      </c>
      <c r="E79" s="4"/>
      <c r="F79" s="8"/>
      <c r="G79" s="8"/>
      <c r="H79" s="8"/>
      <c r="I79" s="8"/>
      <c r="J79" s="8"/>
      <c r="K79" s="8">
        <v>1</v>
      </c>
      <c r="L79" s="18">
        <v>367500</v>
      </c>
      <c r="M79" s="7">
        <f t="shared" si="2"/>
        <v>367500</v>
      </c>
      <c r="N79" s="4" t="s">
        <v>1604</v>
      </c>
      <c r="O79" s="9"/>
    </row>
    <row r="80" spans="1:15" ht="60" x14ac:dyDescent="0.2">
      <c r="A80" s="3">
        <v>76</v>
      </c>
      <c r="B80" s="19"/>
      <c r="C80" s="4" t="s">
        <v>1610</v>
      </c>
      <c r="D80" s="4" t="s">
        <v>34</v>
      </c>
      <c r="E80" s="4"/>
      <c r="F80" s="8"/>
      <c r="G80" s="8"/>
      <c r="H80" s="8"/>
      <c r="I80" s="8"/>
      <c r="J80" s="8"/>
      <c r="K80" s="8">
        <v>1</v>
      </c>
      <c r="L80" s="18">
        <v>70000</v>
      </c>
      <c r="M80" s="7">
        <f t="shared" si="2"/>
        <v>70000</v>
      </c>
      <c r="N80" s="4" t="s">
        <v>1604</v>
      </c>
      <c r="O80" s="9"/>
    </row>
    <row r="81" spans="1:15" ht="40" x14ac:dyDescent="0.2">
      <c r="A81" s="3">
        <v>77</v>
      </c>
      <c r="B81" s="19"/>
      <c r="C81" s="4" t="s">
        <v>1611</v>
      </c>
      <c r="D81" s="4" t="s">
        <v>34</v>
      </c>
      <c r="E81" s="4"/>
      <c r="F81" s="8"/>
      <c r="G81" s="8"/>
      <c r="H81" s="8"/>
      <c r="I81" s="8"/>
      <c r="J81" s="8"/>
      <c r="K81" s="8">
        <v>1</v>
      </c>
      <c r="L81" s="18">
        <v>360000</v>
      </c>
      <c r="M81" s="7">
        <f t="shared" si="2"/>
        <v>360000</v>
      </c>
      <c r="N81" s="4" t="s">
        <v>1612</v>
      </c>
      <c r="O81" s="9"/>
    </row>
    <row r="82" spans="1:15" ht="20" x14ac:dyDescent="0.35">
      <c r="A82" s="10" t="s">
        <v>86</v>
      </c>
      <c r="B82" s="20"/>
      <c r="C82" s="11"/>
      <c r="D82" s="11"/>
      <c r="E82" s="11"/>
      <c r="F82" s="11"/>
      <c r="G82" s="11"/>
      <c r="H82" s="11"/>
      <c r="I82" s="11"/>
      <c r="J82" s="11"/>
      <c r="K82" s="13">
        <f>SUM(K5:K81)</f>
        <v>77</v>
      </c>
      <c r="L82" s="11"/>
      <c r="M82" s="13">
        <f>SUM(M5:M81)</f>
        <v>17933878.399999999</v>
      </c>
      <c r="N82" s="11"/>
      <c r="O82" s="11"/>
    </row>
    <row r="83" spans="1:15" x14ac:dyDescent="0.2">
      <c r="A83" s="23" t="s">
        <v>1613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</sheetData>
  <autoFilter ref="A4:O81" xr:uid="{00000000-0009-0000-0000-000009000000}"/>
  <mergeCells count="5">
    <mergeCell ref="A83:O83"/>
    <mergeCell ref="E2:G2"/>
    <mergeCell ref="I2:J2"/>
    <mergeCell ref="A1:O1"/>
    <mergeCell ref="F3:O3"/>
  </mergeCells>
  <conditionalFormatting sqref="E3">
    <cfRule type="cellIs" dxfId="39" priority="1" operator="greaterThan">
      <formula>0.009</formula>
    </cfRule>
    <cfRule type="cellIs" dxfId="38" priority="2" operator="lessThan">
      <formula>-0.009</formula>
    </cfRule>
  </conditionalFormatting>
  <dataValidations count="1">
    <dataValidation type="list" allowBlank="1" sqref="O5:O81" xr:uid="{00000000-0002-0000-09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ธนาคารเลือด · DBR/2570/0012</oddHeader>
    <oddFooter>&amp;Lส่งออกจากฐาน VPK-S1 วันที่ 12 ต.ค. 2569&amp;Rหน้า &amp;P / 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6848"/>
    <pageSetUpPr fitToPage="1"/>
  </sheetPr>
  <dimension ref="A1:O1065"/>
  <sheetViews>
    <sheetView showGridLines="0" zoomScale="110" workbookViewId="0">
      <pane ySplit="4" topLeftCell="A5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6" x14ac:dyDescent="0.2">
      <c r="A1" s="26" t="s">
        <v>1614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40" x14ac:dyDescent="0.2">
      <c r="A2" s="14" t="s">
        <v>5</v>
      </c>
      <c r="C2" s="1" t="s">
        <v>36</v>
      </c>
      <c r="D2" s="14" t="s">
        <v>7</v>
      </c>
      <c r="E2" s="24" t="s">
        <v>38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19" x14ac:dyDescent="0.35">
      <c r="A3" s="15" t="s">
        <v>10</v>
      </c>
      <c r="C3" s="16">
        <v>572516952.38</v>
      </c>
      <c r="D3" s="15" t="s">
        <v>94</v>
      </c>
      <c r="E3" s="17">
        <f>M1064-C3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20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x14ac:dyDescent="0.2">
      <c r="A5" s="3">
        <v>1</v>
      </c>
      <c r="B5" s="19"/>
      <c r="C5" s="4" t="s">
        <v>1615</v>
      </c>
      <c r="D5" s="4" t="s">
        <v>1616</v>
      </c>
      <c r="E5" s="4"/>
      <c r="F5" s="8"/>
      <c r="G5" s="8"/>
      <c r="H5" s="8"/>
      <c r="I5" s="8"/>
      <c r="J5" s="8"/>
      <c r="K5" s="8">
        <v>0</v>
      </c>
      <c r="L5" s="18">
        <v>76</v>
      </c>
      <c r="M5" s="7">
        <f t="shared" ref="M5:M68" si="0">IF(OR(K5="",L5=""),"",K5*L5)</f>
        <v>0</v>
      </c>
      <c r="N5" s="4"/>
      <c r="O5" s="9"/>
    </row>
    <row r="6" spans="1:15" ht="40" x14ac:dyDescent="0.2">
      <c r="A6" s="3">
        <v>2</v>
      </c>
      <c r="B6" s="19" t="s">
        <v>1617</v>
      </c>
      <c r="C6" s="4" t="s">
        <v>1618</v>
      </c>
      <c r="D6" s="4" t="s">
        <v>1616</v>
      </c>
      <c r="E6" s="4"/>
      <c r="F6" s="8"/>
      <c r="G6" s="8"/>
      <c r="H6" s="8"/>
      <c r="I6" s="8"/>
      <c r="J6" s="8"/>
      <c r="K6" s="8">
        <v>0</v>
      </c>
      <c r="L6" s="18">
        <v>684.8</v>
      </c>
      <c r="M6" s="7">
        <f t="shared" si="0"/>
        <v>0</v>
      </c>
      <c r="N6" s="4"/>
      <c r="O6" s="9"/>
    </row>
    <row r="7" spans="1:15" ht="20" x14ac:dyDescent="0.2">
      <c r="A7" s="3">
        <v>3</v>
      </c>
      <c r="B7" s="19" t="s">
        <v>1619</v>
      </c>
      <c r="C7" s="4" t="s">
        <v>1620</v>
      </c>
      <c r="D7" s="4" t="s">
        <v>1616</v>
      </c>
      <c r="E7" s="4"/>
      <c r="F7" s="8"/>
      <c r="G7" s="8"/>
      <c r="H7" s="8"/>
      <c r="I7" s="8"/>
      <c r="J7" s="8"/>
      <c r="K7" s="8">
        <v>0</v>
      </c>
      <c r="L7" s="18">
        <v>0</v>
      </c>
      <c r="M7" s="7">
        <f t="shared" si="0"/>
        <v>0</v>
      </c>
      <c r="N7" s="4"/>
      <c r="O7" s="9"/>
    </row>
    <row r="8" spans="1:15" ht="40" x14ac:dyDescent="0.2">
      <c r="A8" s="3">
        <v>4</v>
      </c>
      <c r="B8" s="19" t="s">
        <v>1621</v>
      </c>
      <c r="C8" s="4" t="s">
        <v>1622</v>
      </c>
      <c r="D8" s="4" t="s">
        <v>1616</v>
      </c>
      <c r="E8" s="4"/>
      <c r="F8" s="8"/>
      <c r="G8" s="8"/>
      <c r="H8" s="8"/>
      <c r="I8" s="8"/>
      <c r="J8" s="8"/>
      <c r="K8" s="8">
        <v>0</v>
      </c>
      <c r="L8" s="18">
        <v>64.2</v>
      </c>
      <c r="M8" s="7">
        <f t="shared" si="0"/>
        <v>0</v>
      </c>
      <c r="N8" s="4"/>
      <c r="O8" s="9"/>
    </row>
    <row r="9" spans="1:15" ht="40" x14ac:dyDescent="0.2">
      <c r="A9" s="3">
        <v>5</v>
      </c>
      <c r="B9" s="19" t="s">
        <v>1623</v>
      </c>
      <c r="C9" s="4" t="s">
        <v>1624</v>
      </c>
      <c r="D9" s="4" t="s">
        <v>1616</v>
      </c>
      <c r="E9" s="4"/>
      <c r="F9" s="8"/>
      <c r="G9" s="8"/>
      <c r="H9" s="8"/>
      <c r="I9" s="8"/>
      <c r="J9" s="8"/>
      <c r="K9" s="8">
        <v>0</v>
      </c>
      <c r="L9" s="18">
        <v>0</v>
      </c>
      <c r="M9" s="7">
        <f t="shared" si="0"/>
        <v>0</v>
      </c>
      <c r="N9" s="4"/>
      <c r="O9" s="9"/>
    </row>
    <row r="10" spans="1:15" ht="20" x14ac:dyDescent="0.2">
      <c r="A10" s="3">
        <v>6</v>
      </c>
      <c r="B10" s="19" t="s">
        <v>1625</v>
      </c>
      <c r="C10" s="4" t="s">
        <v>1626</v>
      </c>
      <c r="D10" s="4" t="s">
        <v>1616</v>
      </c>
      <c r="E10" s="4"/>
      <c r="F10" s="8"/>
      <c r="G10" s="8"/>
      <c r="H10" s="8"/>
      <c r="I10" s="8"/>
      <c r="J10" s="8"/>
      <c r="K10" s="8">
        <v>0</v>
      </c>
      <c r="L10" s="18">
        <v>0</v>
      </c>
      <c r="M10" s="7">
        <f t="shared" si="0"/>
        <v>0</v>
      </c>
      <c r="N10" s="4"/>
      <c r="O10" s="9"/>
    </row>
    <row r="11" spans="1:15" ht="40" x14ac:dyDescent="0.2">
      <c r="A11" s="3">
        <v>7</v>
      </c>
      <c r="B11" s="19" t="s">
        <v>1627</v>
      </c>
      <c r="C11" s="4" t="s">
        <v>1628</v>
      </c>
      <c r="D11" s="4" t="s">
        <v>1616</v>
      </c>
      <c r="E11" s="4"/>
      <c r="F11" s="8"/>
      <c r="G11" s="8"/>
      <c r="H11" s="8"/>
      <c r="I11" s="8"/>
      <c r="J11" s="8"/>
      <c r="K11" s="8">
        <v>0</v>
      </c>
      <c r="L11" s="18">
        <v>0</v>
      </c>
      <c r="M11" s="7">
        <f t="shared" si="0"/>
        <v>0</v>
      </c>
      <c r="N11" s="4"/>
      <c r="O11" s="9"/>
    </row>
    <row r="12" spans="1:15" ht="20" x14ac:dyDescent="0.2">
      <c r="A12" s="3">
        <v>8</v>
      </c>
      <c r="B12" s="19" t="s">
        <v>1629</v>
      </c>
      <c r="C12" s="4" t="s">
        <v>1630</v>
      </c>
      <c r="D12" s="4" t="s">
        <v>1616</v>
      </c>
      <c r="E12" s="4"/>
      <c r="F12" s="8"/>
      <c r="G12" s="8"/>
      <c r="H12" s="8"/>
      <c r="I12" s="8"/>
      <c r="J12" s="8"/>
      <c r="K12" s="8">
        <v>0</v>
      </c>
      <c r="L12" s="18">
        <v>0</v>
      </c>
      <c r="M12" s="7">
        <f t="shared" si="0"/>
        <v>0</v>
      </c>
      <c r="N12" s="4"/>
      <c r="O12" s="9"/>
    </row>
    <row r="13" spans="1:15" ht="20" x14ac:dyDescent="0.2">
      <c r="A13" s="3">
        <v>9</v>
      </c>
      <c r="B13" s="19" t="s">
        <v>1631</v>
      </c>
      <c r="C13" s="4" t="s">
        <v>1632</v>
      </c>
      <c r="D13" s="4" t="s">
        <v>1616</v>
      </c>
      <c r="E13" s="4"/>
      <c r="F13" s="8"/>
      <c r="G13" s="8"/>
      <c r="H13" s="8"/>
      <c r="I13" s="8"/>
      <c r="J13" s="8"/>
      <c r="K13" s="8">
        <v>0</v>
      </c>
      <c r="L13" s="18">
        <v>0</v>
      </c>
      <c r="M13" s="7">
        <f t="shared" si="0"/>
        <v>0</v>
      </c>
      <c r="N13" s="4"/>
      <c r="O13" s="9"/>
    </row>
    <row r="14" spans="1:15" ht="20" x14ac:dyDescent="0.2">
      <c r="A14" s="3">
        <v>10</v>
      </c>
      <c r="B14" s="19" t="s">
        <v>1633</v>
      </c>
      <c r="C14" s="4" t="s">
        <v>1634</v>
      </c>
      <c r="D14" s="4" t="s">
        <v>1616</v>
      </c>
      <c r="E14" s="4"/>
      <c r="F14" s="8"/>
      <c r="G14" s="8"/>
      <c r="H14" s="8"/>
      <c r="I14" s="8"/>
      <c r="J14" s="8"/>
      <c r="K14" s="8">
        <v>2</v>
      </c>
      <c r="L14" s="18">
        <v>59.92</v>
      </c>
      <c r="M14" s="7">
        <f t="shared" si="0"/>
        <v>119.84</v>
      </c>
      <c r="N14" s="4"/>
      <c r="O14" s="9"/>
    </row>
    <row r="15" spans="1:15" ht="40" x14ac:dyDescent="0.2">
      <c r="A15" s="3">
        <v>11</v>
      </c>
      <c r="B15" s="19" t="s">
        <v>1635</v>
      </c>
      <c r="C15" s="4" t="s">
        <v>1636</v>
      </c>
      <c r="D15" s="4" t="s">
        <v>1616</v>
      </c>
      <c r="E15" s="4"/>
      <c r="F15" s="8"/>
      <c r="G15" s="8"/>
      <c r="H15" s="8"/>
      <c r="I15" s="8"/>
      <c r="J15" s="8"/>
      <c r="K15" s="8">
        <v>5</v>
      </c>
      <c r="L15" s="18">
        <v>60</v>
      </c>
      <c r="M15" s="7">
        <f t="shared" si="0"/>
        <v>300</v>
      </c>
      <c r="N15" s="4"/>
      <c r="O15" s="9"/>
    </row>
    <row r="16" spans="1:15" ht="20" x14ac:dyDescent="0.2">
      <c r="A16" s="3">
        <v>12</v>
      </c>
      <c r="B16" s="19" t="s">
        <v>1637</v>
      </c>
      <c r="C16" s="4" t="s">
        <v>1638</v>
      </c>
      <c r="D16" s="4" t="s">
        <v>1616</v>
      </c>
      <c r="E16" s="4"/>
      <c r="F16" s="8"/>
      <c r="G16" s="8"/>
      <c r="H16" s="8"/>
      <c r="I16" s="8"/>
      <c r="J16" s="8"/>
      <c r="K16" s="8">
        <v>5</v>
      </c>
      <c r="L16" s="18">
        <v>65</v>
      </c>
      <c r="M16" s="7">
        <f t="shared" si="0"/>
        <v>325</v>
      </c>
      <c r="N16" s="4"/>
      <c r="O16" s="9"/>
    </row>
    <row r="17" spans="1:15" ht="20" x14ac:dyDescent="0.2">
      <c r="A17" s="3">
        <v>13</v>
      </c>
      <c r="B17" s="19" t="s">
        <v>1639</v>
      </c>
      <c r="C17" s="4" t="s">
        <v>1640</v>
      </c>
      <c r="D17" s="4" t="s">
        <v>1616</v>
      </c>
      <c r="E17" s="4"/>
      <c r="F17" s="8"/>
      <c r="G17" s="8"/>
      <c r="H17" s="8"/>
      <c r="I17" s="8"/>
      <c r="J17" s="8"/>
      <c r="K17" s="8">
        <v>1</v>
      </c>
      <c r="L17" s="18">
        <v>500</v>
      </c>
      <c r="M17" s="7">
        <f t="shared" si="0"/>
        <v>500</v>
      </c>
      <c r="N17" s="4"/>
      <c r="O17" s="9"/>
    </row>
    <row r="18" spans="1:15" ht="20" x14ac:dyDescent="0.2">
      <c r="A18" s="3">
        <v>14</v>
      </c>
      <c r="B18" s="19" t="s">
        <v>1641</v>
      </c>
      <c r="C18" s="4" t="s">
        <v>1642</v>
      </c>
      <c r="D18" s="4" t="s">
        <v>1616</v>
      </c>
      <c r="E18" s="4"/>
      <c r="F18" s="8"/>
      <c r="G18" s="8"/>
      <c r="H18" s="8"/>
      <c r="I18" s="8"/>
      <c r="J18" s="8"/>
      <c r="K18" s="8">
        <v>8</v>
      </c>
      <c r="L18" s="18">
        <v>110</v>
      </c>
      <c r="M18" s="7">
        <f t="shared" si="0"/>
        <v>880</v>
      </c>
      <c r="N18" s="4"/>
      <c r="O18" s="9"/>
    </row>
    <row r="19" spans="1:15" ht="20" x14ac:dyDescent="0.2">
      <c r="A19" s="3">
        <v>15</v>
      </c>
      <c r="B19" s="19" t="s">
        <v>1643</v>
      </c>
      <c r="C19" s="4" t="s">
        <v>1644</v>
      </c>
      <c r="D19" s="4" t="s">
        <v>1616</v>
      </c>
      <c r="E19" s="4"/>
      <c r="F19" s="8"/>
      <c r="G19" s="8"/>
      <c r="H19" s="8"/>
      <c r="I19" s="8"/>
      <c r="J19" s="8"/>
      <c r="K19" s="8">
        <v>5</v>
      </c>
      <c r="L19" s="18">
        <v>177.5</v>
      </c>
      <c r="M19" s="7">
        <f t="shared" si="0"/>
        <v>887.5</v>
      </c>
      <c r="N19" s="4"/>
      <c r="O19" s="9"/>
    </row>
    <row r="20" spans="1:15" ht="20" x14ac:dyDescent="0.2">
      <c r="A20" s="3">
        <v>16</v>
      </c>
      <c r="B20" s="19" t="s">
        <v>1645</v>
      </c>
      <c r="C20" s="4" t="s">
        <v>1646</v>
      </c>
      <c r="D20" s="4" t="s">
        <v>1616</v>
      </c>
      <c r="E20" s="4"/>
      <c r="F20" s="8"/>
      <c r="G20" s="8"/>
      <c r="H20" s="8"/>
      <c r="I20" s="8"/>
      <c r="J20" s="8"/>
      <c r="K20" s="8">
        <v>10</v>
      </c>
      <c r="L20" s="18">
        <v>90</v>
      </c>
      <c r="M20" s="7">
        <f t="shared" si="0"/>
        <v>900</v>
      </c>
      <c r="N20" s="4"/>
      <c r="O20" s="9"/>
    </row>
    <row r="21" spans="1:15" ht="40" x14ac:dyDescent="0.2">
      <c r="A21" s="3">
        <v>17</v>
      </c>
      <c r="B21" s="19" t="s">
        <v>1647</v>
      </c>
      <c r="C21" s="4" t="s">
        <v>1648</v>
      </c>
      <c r="D21" s="4" t="s">
        <v>1616</v>
      </c>
      <c r="E21" s="4"/>
      <c r="F21" s="8"/>
      <c r="G21" s="8"/>
      <c r="H21" s="8"/>
      <c r="I21" s="8"/>
      <c r="J21" s="8"/>
      <c r="K21" s="8">
        <v>10</v>
      </c>
      <c r="L21" s="18">
        <v>100</v>
      </c>
      <c r="M21" s="7">
        <f t="shared" si="0"/>
        <v>1000</v>
      </c>
      <c r="N21" s="4"/>
      <c r="O21" s="9"/>
    </row>
    <row r="22" spans="1:15" ht="20" x14ac:dyDescent="0.2">
      <c r="A22" s="3">
        <v>18</v>
      </c>
      <c r="B22" s="19" t="s">
        <v>1649</v>
      </c>
      <c r="C22" s="4" t="s">
        <v>1650</v>
      </c>
      <c r="D22" s="4" t="s">
        <v>1616</v>
      </c>
      <c r="E22" s="4"/>
      <c r="F22" s="8"/>
      <c r="G22" s="8"/>
      <c r="H22" s="8"/>
      <c r="I22" s="8"/>
      <c r="J22" s="8"/>
      <c r="K22" s="8">
        <v>10</v>
      </c>
      <c r="L22" s="18">
        <v>120</v>
      </c>
      <c r="M22" s="7">
        <f t="shared" si="0"/>
        <v>1200</v>
      </c>
      <c r="N22" s="4"/>
      <c r="O22" s="9"/>
    </row>
    <row r="23" spans="1:15" ht="20" x14ac:dyDescent="0.2">
      <c r="A23" s="3">
        <v>19</v>
      </c>
      <c r="B23" s="19" t="s">
        <v>1651</v>
      </c>
      <c r="C23" s="4" t="s">
        <v>1652</v>
      </c>
      <c r="D23" s="4" t="s">
        <v>1616</v>
      </c>
      <c r="E23" s="4"/>
      <c r="F23" s="8"/>
      <c r="G23" s="8"/>
      <c r="H23" s="8"/>
      <c r="I23" s="8"/>
      <c r="J23" s="8"/>
      <c r="K23" s="8">
        <v>20</v>
      </c>
      <c r="L23" s="18">
        <v>90</v>
      </c>
      <c r="M23" s="7">
        <f t="shared" si="0"/>
        <v>1800</v>
      </c>
      <c r="N23" s="4"/>
      <c r="O23" s="9"/>
    </row>
    <row r="24" spans="1:15" ht="20" x14ac:dyDescent="0.2">
      <c r="A24" s="3">
        <v>20</v>
      </c>
      <c r="B24" s="19" t="s">
        <v>1653</v>
      </c>
      <c r="C24" s="4" t="s">
        <v>1654</v>
      </c>
      <c r="D24" s="4" t="s">
        <v>1616</v>
      </c>
      <c r="E24" s="4"/>
      <c r="F24" s="8"/>
      <c r="G24" s="8"/>
      <c r="H24" s="8"/>
      <c r="I24" s="8"/>
      <c r="J24" s="8"/>
      <c r="K24" s="8">
        <v>200</v>
      </c>
      <c r="L24" s="18">
        <v>9</v>
      </c>
      <c r="M24" s="7">
        <f t="shared" si="0"/>
        <v>1800</v>
      </c>
      <c r="N24" s="4"/>
      <c r="O24" s="9"/>
    </row>
    <row r="25" spans="1:15" ht="20" x14ac:dyDescent="0.2">
      <c r="A25" s="3">
        <v>21</v>
      </c>
      <c r="B25" s="19" t="s">
        <v>1655</v>
      </c>
      <c r="C25" s="4" t="s">
        <v>1656</v>
      </c>
      <c r="D25" s="4" t="s">
        <v>1616</v>
      </c>
      <c r="E25" s="4"/>
      <c r="F25" s="8"/>
      <c r="G25" s="8"/>
      <c r="H25" s="8"/>
      <c r="I25" s="8"/>
      <c r="J25" s="8"/>
      <c r="K25" s="8">
        <v>50</v>
      </c>
      <c r="L25" s="18">
        <v>38</v>
      </c>
      <c r="M25" s="7">
        <f t="shared" si="0"/>
        <v>1900</v>
      </c>
      <c r="N25" s="4"/>
      <c r="O25" s="9"/>
    </row>
    <row r="26" spans="1:15" ht="40" x14ac:dyDescent="0.2">
      <c r="A26" s="3">
        <v>22</v>
      </c>
      <c r="B26" s="19" t="s">
        <v>1657</v>
      </c>
      <c r="C26" s="4" t="s">
        <v>1658</v>
      </c>
      <c r="D26" s="4" t="s">
        <v>1616</v>
      </c>
      <c r="E26" s="4"/>
      <c r="F26" s="8"/>
      <c r="G26" s="8"/>
      <c r="H26" s="8"/>
      <c r="I26" s="8"/>
      <c r="J26" s="8"/>
      <c r="K26" s="8">
        <v>6</v>
      </c>
      <c r="L26" s="18">
        <v>350</v>
      </c>
      <c r="M26" s="7">
        <f t="shared" si="0"/>
        <v>2100</v>
      </c>
      <c r="N26" s="4"/>
      <c r="O26" s="9"/>
    </row>
    <row r="27" spans="1:15" ht="20" x14ac:dyDescent="0.2">
      <c r="A27" s="3">
        <v>23</v>
      </c>
      <c r="B27" s="19" t="s">
        <v>1659</v>
      </c>
      <c r="C27" s="4" t="s">
        <v>1660</v>
      </c>
      <c r="D27" s="4" t="s">
        <v>1616</v>
      </c>
      <c r="E27" s="4"/>
      <c r="F27" s="8"/>
      <c r="G27" s="8"/>
      <c r="H27" s="8"/>
      <c r="I27" s="8"/>
      <c r="J27" s="8"/>
      <c r="K27" s="8">
        <v>50</v>
      </c>
      <c r="L27" s="18">
        <v>45</v>
      </c>
      <c r="M27" s="7">
        <f t="shared" si="0"/>
        <v>2250</v>
      </c>
      <c r="N27" s="4"/>
      <c r="O27" s="9"/>
    </row>
    <row r="28" spans="1:15" ht="20" x14ac:dyDescent="0.2">
      <c r="A28" s="3">
        <v>24</v>
      </c>
      <c r="B28" s="19" t="s">
        <v>1661</v>
      </c>
      <c r="C28" s="4" t="s">
        <v>1662</v>
      </c>
      <c r="D28" s="4" t="s">
        <v>1616</v>
      </c>
      <c r="E28" s="4"/>
      <c r="F28" s="8"/>
      <c r="G28" s="8"/>
      <c r="H28" s="8"/>
      <c r="I28" s="8"/>
      <c r="J28" s="8"/>
      <c r="K28" s="8">
        <v>3</v>
      </c>
      <c r="L28" s="18">
        <v>780</v>
      </c>
      <c r="M28" s="7">
        <f t="shared" si="0"/>
        <v>2340</v>
      </c>
      <c r="N28" s="4"/>
      <c r="O28" s="9"/>
    </row>
    <row r="29" spans="1:15" ht="20" x14ac:dyDescent="0.2">
      <c r="A29" s="3">
        <v>25</v>
      </c>
      <c r="B29" s="19" t="s">
        <v>1663</v>
      </c>
      <c r="C29" s="4" t="s">
        <v>1664</v>
      </c>
      <c r="D29" s="4" t="s">
        <v>1616</v>
      </c>
      <c r="E29" s="4"/>
      <c r="F29" s="8"/>
      <c r="G29" s="8"/>
      <c r="H29" s="8"/>
      <c r="I29" s="8"/>
      <c r="J29" s="8"/>
      <c r="K29" s="8">
        <v>50</v>
      </c>
      <c r="L29" s="18">
        <v>48</v>
      </c>
      <c r="M29" s="7">
        <f t="shared" si="0"/>
        <v>2400</v>
      </c>
      <c r="N29" s="4"/>
      <c r="O29" s="9"/>
    </row>
    <row r="30" spans="1:15" ht="20" x14ac:dyDescent="0.2">
      <c r="A30" s="3">
        <v>26</v>
      </c>
      <c r="B30" s="19" t="s">
        <v>1665</v>
      </c>
      <c r="C30" s="4" t="s">
        <v>1666</v>
      </c>
      <c r="D30" s="4" t="s">
        <v>1616</v>
      </c>
      <c r="E30" s="4"/>
      <c r="F30" s="8"/>
      <c r="G30" s="8"/>
      <c r="H30" s="8"/>
      <c r="I30" s="8"/>
      <c r="J30" s="8"/>
      <c r="K30" s="8">
        <v>2</v>
      </c>
      <c r="L30" s="18">
        <v>1284</v>
      </c>
      <c r="M30" s="7">
        <f t="shared" si="0"/>
        <v>2568</v>
      </c>
      <c r="N30" s="4"/>
      <c r="O30" s="9"/>
    </row>
    <row r="31" spans="1:15" ht="20" x14ac:dyDescent="0.2">
      <c r="A31" s="3">
        <v>27</v>
      </c>
      <c r="B31" s="19" t="s">
        <v>1667</v>
      </c>
      <c r="C31" s="4" t="s">
        <v>1668</v>
      </c>
      <c r="D31" s="4" t="s">
        <v>1616</v>
      </c>
      <c r="E31" s="4"/>
      <c r="F31" s="8"/>
      <c r="G31" s="8"/>
      <c r="H31" s="8"/>
      <c r="I31" s="8"/>
      <c r="J31" s="8"/>
      <c r="K31" s="8">
        <v>20</v>
      </c>
      <c r="L31" s="18">
        <v>139</v>
      </c>
      <c r="M31" s="7">
        <f t="shared" si="0"/>
        <v>2780</v>
      </c>
      <c r="N31" s="4"/>
      <c r="O31" s="9"/>
    </row>
    <row r="32" spans="1:15" ht="20" x14ac:dyDescent="0.2">
      <c r="A32" s="3">
        <v>28</v>
      </c>
      <c r="B32" s="19" t="s">
        <v>1669</v>
      </c>
      <c r="C32" s="4" t="s">
        <v>1670</v>
      </c>
      <c r="D32" s="4" t="s">
        <v>1616</v>
      </c>
      <c r="E32" s="4"/>
      <c r="F32" s="8"/>
      <c r="G32" s="8"/>
      <c r="H32" s="8"/>
      <c r="I32" s="8"/>
      <c r="J32" s="8"/>
      <c r="K32" s="8">
        <v>100</v>
      </c>
      <c r="L32" s="18">
        <v>28</v>
      </c>
      <c r="M32" s="7">
        <f t="shared" si="0"/>
        <v>2800</v>
      </c>
      <c r="N32" s="4"/>
      <c r="O32" s="9"/>
    </row>
    <row r="33" spans="1:15" ht="20" x14ac:dyDescent="0.2">
      <c r="A33" s="3">
        <v>29</v>
      </c>
      <c r="B33" s="19" t="s">
        <v>1671</v>
      </c>
      <c r="C33" s="4" t="s">
        <v>1672</v>
      </c>
      <c r="D33" s="4" t="s">
        <v>1616</v>
      </c>
      <c r="E33" s="4"/>
      <c r="F33" s="8"/>
      <c r="G33" s="8"/>
      <c r="H33" s="8"/>
      <c r="I33" s="8"/>
      <c r="J33" s="8"/>
      <c r="K33" s="8">
        <v>20</v>
      </c>
      <c r="L33" s="18">
        <v>142.31</v>
      </c>
      <c r="M33" s="7">
        <f t="shared" si="0"/>
        <v>2846.2</v>
      </c>
      <c r="N33" s="4"/>
      <c r="O33" s="9"/>
    </row>
    <row r="34" spans="1:15" ht="20" x14ac:dyDescent="0.2">
      <c r="A34" s="3">
        <v>30</v>
      </c>
      <c r="B34" s="19" t="s">
        <v>1673</v>
      </c>
      <c r="C34" s="4" t="s">
        <v>1674</v>
      </c>
      <c r="D34" s="4" t="s">
        <v>1616</v>
      </c>
      <c r="E34" s="4"/>
      <c r="F34" s="8"/>
      <c r="G34" s="8"/>
      <c r="H34" s="8"/>
      <c r="I34" s="8"/>
      <c r="J34" s="8"/>
      <c r="K34" s="8">
        <v>30</v>
      </c>
      <c r="L34" s="18">
        <v>100</v>
      </c>
      <c r="M34" s="7">
        <f t="shared" si="0"/>
        <v>3000</v>
      </c>
      <c r="N34" s="4"/>
      <c r="O34" s="9"/>
    </row>
    <row r="35" spans="1:15" ht="20" x14ac:dyDescent="0.2">
      <c r="A35" s="3">
        <v>31</v>
      </c>
      <c r="B35" s="19" t="s">
        <v>1675</v>
      </c>
      <c r="C35" s="4" t="s">
        <v>1676</v>
      </c>
      <c r="D35" s="4" t="s">
        <v>1616</v>
      </c>
      <c r="E35" s="4"/>
      <c r="F35" s="8"/>
      <c r="G35" s="8"/>
      <c r="H35" s="8"/>
      <c r="I35" s="8"/>
      <c r="J35" s="8"/>
      <c r="K35" s="8">
        <v>80</v>
      </c>
      <c r="L35" s="18">
        <v>38.520000000000003</v>
      </c>
      <c r="M35" s="7">
        <f t="shared" si="0"/>
        <v>3081.6000000000004</v>
      </c>
      <c r="N35" s="4"/>
      <c r="O35" s="9"/>
    </row>
    <row r="36" spans="1:15" ht="20" x14ac:dyDescent="0.2">
      <c r="A36" s="3">
        <v>32</v>
      </c>
      <c r="B36" s="19" t="s">
        <v>1677</v>
      </c>
      <c r="C36" s="4" t="s">
        <v>1678</v>
      </c>
      <c r="D36" s="4" t="s">
        <v>1616</v>
      </c>
      <c r="E36" s="4"/>
      <c r="F36" s="8"/>
      <c r="G36" s="8"/>
      <c r="H36" s="8"/>
      <c r="I36" s="8"/>
      <c r="J36" s="8"/>
      <c r="K36" s="8">
        <v>300</v>
      </c>
      <c r="L36" s="18">
        <v>11</v>
      </c>
      <c r="M36" s="7">
        <f t="shared" si="0"/>
        <v>3300</v>
      </c>
      <c r="N36" s="4"/>
      <c r="O36" s="9"/>
    </row>
    <row r="37" spans="1:15" ht="20" x14ac:dyDescent="0.2">
      <c r="A37" s="3">
        <v>33</v>
      </c>
      <c r="B37" s="19" t="s">
        <v>1679</v>
      </c>
      <c r="C37" s="4" t="s">
        <v>1680</v>
      </c>
      <c r="D37" s="4" t="s">
        <v>1616</v>
      </c>
      <c r="E37" s="4"/>
      <c r="F37" s="8"/>
      <c r="G37" s="8"/>
      <c r="H37" s="8"/>
      <c r="I37" s="8"/>
      <c r="J37" s="8"/>
      <c r="K37" s="8">
        <v>20</v>
      </c>
      <c r="L37" s="18">
        <v>185</v>
      </c>
      <c r="M37" s="7">
        <f t="shared" si="0"/>
        <v>3700</v>
      </c>
      <c r="N37" s="4"/>
      <c r="O37" s="9"/>
    </row>
    <row r="38" spans="1:15" ht="20" x14ac:dyDescent="0.2">
      <c r="A38" s="3">
        <v>34</v>
      </c>
      <c r="B38" s="19" t="s">
        <v>1681</v>
      </c>
      <c r="C38" s="4" t="s">
        <v>1682</v>
      </c>
      <c r="D38" s="4" t="s">
        <v>1616</v>
      </c>
      <c r="E38" s="4"/>
      <c r="F38" s="8"/>
      <c r="G38" s="8"/>
      <c r="H38" s="8"/>
      <c r="I38" s="8"/>
      <c r="J38" s="8"/>
      <c r="K38" s="8">
        <v>100</v>
      </c>
      <c r="L38" s="18">
        <v>38</v>
      </c>
      <c r="M38" s="7">
        <f t="shared" si="0"/>
        <v>3800</v>
      </c>
      <c r="N38" s="4"/>
      <c r="O38" s="9"/>
    </row>
    <row r="39" spans="1:15" ht="20" x14ac:dyDescent="0.2">
      <c r="A39" s="3">
        <v>35</v>
      </c>
      <c r="B39" s="19" t="s">
        <v>1683</v>
      </c>
      <c r="C39" s="4" t="s">
        <v>1684</v>
      </c>
      <c r="D39" s="4" t="s">
        <v>1616</v>
      </c>
      <c r="E39" s="4"/>
      <c r="F39" s="8"/>
      <c r="G39" s="8"/>
      <c r="H39" s="8"/>
      <c r="I39" s="8"/>
      <c r="J39" s="8"/>
      <c r="K39" s="8">
        <v>20</v>
      </c>
      <c r="L39" s="18">
        <v>200</v>
      </c>
      <c r="M39" s="7">
        <f t="shared" si="0"/>
        <v>4000</v>
      </c>
      <c r="N39" s="4"/>
      <c r="O39" s="9"/>
    </row>
    <row r="40" spans="1:15" ht="20" x14ac:dyDescent="0.2">
      <c r="A40" s="3">
        <v>36</v>
      </c>
      <c r="B40" s="19" t="s">
        <v>1685</v>
      </c>
      <c r="C40" s="4" t="s">
        <v>1686</v>
      </c>
      <c r="D40" s="4" t="s">
        <v>1616</v>
      </c>
      <c r="E40" s="4"/>
      <c r="F40" s="8"/>
      <c r="G40" s="8"/>
      <c r="H40" s="8"/>
      <c r="I40" s="8"/>
      <c r="J40" s="8"/>
      <c r="K40" s="8">
        <v>30</v>
      </c>
      <c r="L40" s="18">
        <v>140</v>
      </c>
      <c r="M40" s="7">
        <f t="shared" si="0"/>
        <v>4200</v>
      </c>
      <c r="N40" s="4"/>
      <c r="O40" s="9"/>
    </row>
    <row r="41" spans="1:15" ht="20" x14ac:dyDescent="0.2">
      <c r="A41" s="3">
        <v>37</v>
      </c>
      <c r="B41" s="19" t="s">
        <v>1687</v>
      </c>
      <c r="C41" s="4" t="s">
        <v>1688</v>
      </c>
      <c r="D41" s="4" t="s">
        <v>1616</v>
      </c>
      <c r="E41" s="4"/>
      <c r="F41" s="8"/>
      <c r="G41" s="8"/>
      <c r="H41" s="8"/>
      <c r="I41" s="8"/>
      <c r="J41" s="8"/>
      <c r="K41" s="8">
        <v>20</v>
      </c>
      <c r="L41" s="18">
        <v>239</v>
      </c>
      <c r="M41" s="7">
        <f t="shared" si="0"/>
        <v>4780</v>
      </c>
      <c r="N41" s="4"/>
      <c r="O41" s="9"/>
    </row>
    <row r="42" spans="1:15" ht="20" x14ac:dyDescent="0.2">
      <c r="A42" s="3">
        <v>38</v>
      </c>
      <c r="B42" s="19" t="s">
        <v>1689</v>
      </c>
      <c r="C42" s="4" t="s">
        <v>1690</v>
      </c>
      <c r="D42" s="4" t="s">
        <v>1616</v>
      </c>
      <c r="E42" s="4"/>
      <c r="F42" s="8"/>
      <c r="G42" s="8"/>
      <c r="H42" s="8"/>
      <c r="I42" s="8"/>
      <c r="J42" s="8"/>
      <c r="K42" s="8">
        <v>240</v>
      </c>
      <c r="L42" s="18">
        <v>20</v>
      </c>
      <c r="M42" s="7">
        <f t="shared" si="0"/>
        <v>4800</v>
      </c>
      <c r="N42" s="4"/>
      <c r="O42" s="9"/>
    </row>
    <row r="43" spans="1:15" ht="40" x14ac:dyDescent="0.2">
      <c r="A43" s="3">
        <v>39</v>
      </c>
      <c r="B43" s="19" t="s">
        <v>1691</v>
      </c>
      <c r="C43" s="4" t="s">
        <v>1692</v>
      </c>
      <c r="D43" s="4" t="s">
        <v>1616</v>
      </c>
      <c r="E43" s="4"/>
      <c r="F43" s="8"/>
      <c r="G43" s="8"/>
      <c r="H43" s="8"/>
      <c r="I43" s="8"/>
      <c r="J43" s="8"/>
      <c r="K43" s="8">
        <v>13</v>
      </c>
      <c r="L43" s="18">
        <v>375</v>
      </c>
      <c r="M43" s="7">
        <f t="shared" si="0"/>
        <v>4875</v>
      </c>
      <c r="N43" s="4"/>
      <c r="O43" s="9"/>
    </row>
    <row r="44" spans="1:15" ht="20" x14ac:dyDescent="0.2">
      <c r="A44" s="3">
        <v>40</v>
      </c>
      <c r="B44" s="19" t="s">
        <v>1693</v>
      </c>
      <c r="C44" s="4" t="s">
        <v>1694</v>
      </c>
      <c r="D44" s="4" t="s">
        <v>1616</v>
      </c>
      <c r="E44" s="4"/>
      <c r="F44" s="8"/>
      <c r="G44" s="8"/>
      <c r="H44" s="8"/>
      <c r="I44" s="8"/>
      <c r="J44" s="8"/>
      <c r="K44" s="8">
        <v>100</v>
      </c>
      <c r="L44" s="18">
        <v>50</v>
      </c>
      <c r="M44" s="7">
        <f t="shared" si="0"/>
        <v>5000</v>
      </c>
      <c r="N44" s="4"/>
      <c r="O44" s="9"/>
    </row>
    <row r="45" spans="1:15" ht="20" x14ac:dyDescent="0.2">
      <c r="A45" s="3">
        <v>41</v>
      </c>
      <c r="B45" s="19" t="s">
        <v>1695</v>
      </c>
      <c r="C45" s="4" t="s">
        <v>1696</v>
      </c>
      <c r="D45" s="4" t="s">
        <v>1616</v>
      </c>
      <c r="E45" s="4"/>
      <c r="F45" s="8"/>
      <c r="G45" s="8"/>
      <c r="H45" s="8"/>
      <c r="I45" s="8"/>
      <c r="J45" s="8"/>
      <c r="K45" s="8">
        <v>10</v>
      </c>
      <c r="L45" s="18">
        <v>500</v>
      </c>
      <c r="M45" s="7">
        <f t="shared" si="0"/>
        <v>5000</v>
      </c>
      <c r="N45" s="4"/>
      <c r="O45" s="9"/>
    </row>
    <row r="46" spans="1:15" ht="20" x14ac:dyDescent="0.2">
      <c r="A46" s="3">
        <v>42</v>
      </c>
      <c r="B46" s="19" t="s">
        <v>1697</v>
      </c>
      <c r="C46" s="4" t="s">
        <v>1698</v>
      </c>
      <c r="D46" s="4" t="s">
        <v>1616</v>
      </c>
      <c r="E46" s="4"/>
      <c r="F46" s="8"/>
      <c r="G46" s="8"/>
      <c r="H46" s="8"/>
      <c r="I46" s="8"/>
      <c r="J46" s="8"/>
      <c r="K46" s="8">
        <v>100</v>
      </c>
      <c r="L46" s="18">
        <v>50</v>
      </c>
      <c r="M46" s="7">
        <f t="shared" si="0"/>
        <v>5000</v>
      </c>
      <c r="N46" s="4"/>
      <c r="O46" s="9"/>
    </row>
    <row r="47" spans="1:15" ht="20" x14ac:dyDescent="0.2">
      <c r="A47" s="3">
        <v>43</v>
      </c>
      <c r="B47" s="19" t="s">
        <v>1699</v>
      </c>
      <c r="C47" s="4" t="s">
        <v>1700</v>
      </c>
      <c r="D47" s="4" t="s">
        <v>1616</v>
      </c>
      <c r="E47" s="4"/>
      <c r="F47" s="8"/>
      <c r="G47" s="8"/>
      <c r="H47" s="8"/>
      <c r="I47" s="8"/>
      <c r="J47" s="8"/>
      <c r="K47" s="8">
        <v>100</v>
      </c>
      <c r="L47" s="18">
        <v>50</v>
      </c>
      <c r="M47" s="7">
        <f t="shared" si="0"/>
        <v>5000</v>
      </c>
      <c r="N47" s="4"/>
      <c r="O47" s="9"/>
    </row>
    <row r="48" spans="1:15" ht="40" x14ac:dyDescent="0.2">
      <c r="A48" s="3">
        <v>44</v>
      </c>
      <c r="B48" s="19" t="s">
        <v>1701</v>
      </c>
      <c r="C48" s="4" t="s">
        <v>1702</v>
      </c>
      <c r="D48" s="4" t="s">
        <v>1616</v>
      </c>
      <c r="E48" s="4"/>
      <c r="F48" s="8"/>
      <c r="G48" s="8"/>
      <c r="H48" s="8"/>
      <c r="I48" s="8"/>
      <c r="J48" s="8"/>
      <c r="K48" s="8">
        <v>300</v>
      </c>
      <c r="L48" s="18">
        <v>17</v>
      </c>
      <c r="M48" s="7">
        <f t="shared" si="0"/>
        <v>5100</v>
      </c>
      <c r="N48" s="4"/>
      <c r="O48" s="9"/>
    </row>
    <row r="49" spans="1:15" ht="20" x14ac:dyDescent="0.2">
      <c r="A49" s="3">
        <v>45</v>
      </c>
      <c r="B49" s="19" t="s">
        <v>1703</v>
      </c>
      <c r="C49" s="4" t="s">
        <v>1704</v>
      </c>
      <c r="D49" s="4" t="s">
        <v>1616</v>
      </c>
      <c r="E49" s="4"/>
      <c r="F49" s="8"/>
      <c r="G49" s="8"/>
      <c r="H49" s="8"/>
      <c r="I49" s="8"/>
      <c r="J49" s="8"/>
      <c r="K49" s="8">
        <v>100</v>
      </c>
      <c r="L49" s="18">
        <v>54</v>
      </c>
      <c r="M49" s="7">
        <f t="shared" si="0"/>
        <v>5400</v>
      </c>
      <c r="N49" s="4"/>
      <c r="O49" s="9"/>
    </row>
    <row r="50" spans="1:15" ht="20" x14ac:dyDescent="0.2">
      <c r="A50" s="3">
        <v>46</v>
      </c>
      <c r="B50" s="19" t="s">
        <v>1705</v>
      </c>
      <c r="C50" s="4" t="s">
        <v>1706</v>
      </c>
      <c r="D50" s="4" t="s">
        <v>1616</v>
      </c>
      <c r="E50" s="4"/>
      <c r="F50" s="8"/>
      <c r="G50" s="8"/>
      <c r="H50" s="8"/>
      <c r="I50" s="8"/>
      <c r="J50" s="8"/>
      <c r="K50" s="8">
        <v>50</v>
      </c>
      <c r="L50" s="18">
        <v>110</v>
      </c>
      <c r="M50" s="7">
        <f t="shared" si="0"/>
        <v>5500</v>
      </c>
      <c r="N50" s="4"/>
      <c r="O50" s="9"/>
    </row>
    <row r="51" spans="1:15" ht="20" x14ac:dyDescent="0.2">
      <c r="A51" s="3">
        <v>47</v>
      </c>
      <c r="B51" s="19" t="s">
        <v>1707</v>
      </c>
      <c r="C51" s="4" t="s">
        <v>1708</v>
      </c>
      <c r="D51" s="4" t="s">
        <v>1616</v>
      </c>
      <c r="E51" s="4"/>
      <c r="F51" s="8"/>
      <c r="G51" s="8"/>
      <c r="H51" s="8"/>
      <c r="I51" s="8"/>
      <c r="J51" s="8"/>
      <c r="K51" s="8">
        <v>10</v>
      </c>
      <c r="L51" s="18">
        <v>550</v>
      </c>
      <c r="M51" s="7">
        <f t="shared" si="0"/>
        <v>5500</v>
      </c>
      <c r="N51" s="4"/>
      <c r="O51" s="9"/>
    </row>
    <row r="52" spans="1:15" ht="20" x14ac:dyDescent="0.2">
      <c r="A52" s="3">
        <v>48</v>
      </c>
      <c r="B52" s="19" t="s">
        <v>1709</v>
      </c>
      <c r="C52" s="4" t="s">
        <v>1710</v>
      </c>
      <c r="D52" s="4" t="s">
        <v>1616</v>
      </c>
      <c r="E52" s="4"/>
      <c r="F52" s="8"/>
      <c r="G52" s="8"/>
      <c r="H52" s="8"/>
      <c r="I52" s="8"/>
      <c r="J52" s="8"/>
      <c r="K52" s="8">
        <v>70</v>
      </c>
      <c r="L52" s="18">
        <v>80</v>
      </c>
      <c r="M52" s="7">
        <f t="shared" si="0"/>
        <v>5600</v>
      </c>
      <c r="N52" s="4"/>
      <c r="O52" s="9"/>
    </row>
    <row r="53" spans="1:15" ht="40" x14ac:dyDescent="0.2">
      <c r="A53" s="3">
        <v>49</v>
      </c>
      <c r="B53" s="19" t="s">
        <v>1711</v>
      </c>
      <c r="C53" s="4" t="s">
        <v>1712</v>
      </c>
      <c r="D53" s="4" t="s">
        <v>1616</v>
      </c>
      <c r="E53" s="4"/>
      <c r="F53" s="8"/>
      <c r="G53" s="8"/>
      <c r="H53" s="8"/>
      <c r="I53" s="8"/>
      <c r="J53" s="8"/>
      <c r="K53" s="8">
        <v>240</v>
      </c>
      <c r="L53" s="18">
        <v>24</v>
      </c>
      <c r="M53" s="7">
        <f t="shared" si="0"/>
        <v>5760</v>
      </c>
      <c r="N53" s="4"/>
      <c r="O53" s="9"/>
    </row>
    <row r="54" spans="1:15" ht="20" x14ac:dyDescent="0.2">
      <c r="A54" s="3">
        <v>50</v>
      </c>
      <c r="B54" s="19" t="s">
        <v>1713</v>
      </c>
      <c r="C54" s="4" t="s">
        <v>1714</v>
      </c>
      <c r="D54" s="4" t="s">
        <v>1616</v>
      </c>
      <c r="E54" s="4"/>
      <c r="F54" s="8"/>
      <c r="G54" s="8"/>
      <c r="H54" s="8"/>
      <c r="I54" s="8"/>
      <c r="J54" s="8"/>
      <c r="K54" s="8">
        <v>20</v>
      </c>
      <c r="L54" s="18">
        <v>290</v>
      </c>
      <c r="M54" s="7">
        <f t="shared" si="0"/>
        <v>5800</v>
      </c>
      <c r="N54" s="4"/>
      <c r="O54" s="9"/>
    </row>
    <row r="55" spans="1:15" ht="20" x14ac:dyDescent="0.2">
      <c r="A55" s="3">
        <v>51</v>
      </c>
      <c r="B55" s="19" t="s">
        <v>1715</v>
      </c>
      <c r="C55" s="4" t="s">
        <v>1716</v>
      </c>
      <c r="D55" s="4" t="s">
        <v>1616</v>
      </c>
      <c r="E55" s="4"/>
      <c r="F55" s="8"/>
      <c r="G55" s="8"/>
      <c r="H55" s="8"/>
      <c r="I55" s="8"/>
      <c r="J55" s="8"/>
      <c r="K55" s="8">
        <v>1</v>
      </c>
      <c r="L55" s="18">
        <v>5800</v>
      </c>
      <c r="M55" s="7">
        <f t="shared" si="0"/>
        <v>5800</v>
      </c>
      <c r="N55" s="4"/>
      <c r="O55" s="9"/>
    </row>
    <row r="56" spans="1:15" ht="20" x14ac:dyDescent="0.2">
      <c r="A56" s="3">
        <v>52</v>
      </c>
      <c r="B56" s="19" t="s">
        <v>1717</v>
      </c>
      <c r="C56" s="4" t="s">
        <v>1718</v>
      </c>
      <c r="D56" s="4" t="s">
        <v>1616</v>
      </c>
      <c r="E56" s="4"/>
      <c r="F56" s="8"/>
      <c r="G56" s="8"/>
      <c r="H56" s="8"/>
      <c r="I56" s="8"/>
      <c r="J56" s="8"/>
      <c r="K56" s="8">
        <v>100</v>
      </c>
      <c r="L56" s="18">
        <v>60</v>
      </c>
      <c r="M56" s="7">
        <f t="shared" si="0"/>
        <v>6000</v>
      </c>
      <c r="N56" s="4"/>
      <c r="O56" s="9"/>
    </row>
    <row r="57" spans="1:15" ht="20" x14ac:dyDescent="0.2">
      <c r="A57" s="3">
        <v>53</v>
      </c>
      <c r="B57" s="19" t="s">
        <v>1719</v>
      </c>
      <c r="C57" s="4" t="s">
        <v>1720</v>
      </c>
      <c r="D57" s="4" t="s">
        <v>1616</v>
      </c>
      <c r="E57" s="4"/>
      <c r="F57" s="8"/>
      <c r="G57" s="8"/>
      <c r="H57" s="8"/>
      <c r="I57" s="8"/>
      <c r="J57" s="8"/>
      <c r="K57" s="8">
        <v>200</v>
      </c>
      <c r="L57" s="18">
        <v>30</v>
      </c>
      <c r="M57" s="7">
        <f t="shared" si="0"/>
        <v>6000</v>
      </c>
      <c r="N57" s="4"/>
      <c r="O57" s="9"/>
    </row>
    <row r="58" spans="1:15" ht="20" x14ac:dyDescent="0.2">
      <c r="A58" s="3">
        <v>54</v>
      </c>
      <c r="B58" s="19" t="s">
        <v>1721</v>
      </c>
      <c r="C58" s="4" t="s">
        <v>1722</v>
      </c>
      <c r="D58" s="4" t="s">
        <v>1616</v>
      </c>
      <c r="E58" s="4"/>
      <c r="F58" s="8"/>
      <c r="G58" s="8"/>
      <c r="H58" s="8"/>
      <c r="I58" s="8"/>
      <c r="J58" s="8"/>
      <c r="K58" s="8">
        <v>216</v>
      </c>
      <c r="L58" s="18">
        <v>28</v>
      </c>
      <c r="M58" s="7">
        <f t="shared" si="0"/>
        <v>6048</v>
      </c>
      <c r="N58" s="4"/>
      <c r="O58" s="9"/>
    </row>
    <row r="59" spans="1:15" ht="20" x14ac:dyDescent="0.2">
      <c r="A59" s="3">
        <v>55</v>
      </c>
      <c r="B59" s="19" t="s">
        <v>1723</v>
      </c>
      <c r="C59" s="4" t="s">
        <v>1724</v>
      </c>
      <c r="D59" s="4" t="s">
        <v>1616</v>
      </c>
      <c r="E59" s="4"/>
      <c r="F59" s="8"/>
      <c r="G59" s="8"/>
      <c r="H59" s="8"/>
      <c r="I59" s="8"/>
      <c r="J59" s="8"/>
      <c r="K59" s="8">
        <v>10</v>
      </c>
      <c r="L59" s="18">
        <v>620</v>
      </c>
      <c r="M59" s="7">
        <f t="shared" si="0"/>
        <v>6200</v>
      </c>
      <c r="N59" s="4"/>
      <c r="O59" s="9"/>
    </row>
    <row r="60" spans="1:15" ht="20" x14ac:dyDescent="0.2">
      <c r="A60" s="3">
        <v>56</v>
      </c>
      <c r="B60" s="19" t="s">
        <v>1725</v>
      </c>
      <c r="C60" s="4" t="s">
        <v>1726</v>
      </c>
      <c r="D60" s="4" t="s">
        <v>1616</v>
      </c>
      <c r="E60" s="4"/>
      <c r="F60" s="8"/>
      <c r="G60" s="8"/>
      <c r="H60" s="8"/>
      <c r="I60" s="8"/>
      <c r="J60" s="8"/>
      <c r="K60" s="8">
        <v>1</v>
      </c>
      <c r="L60" s="18">
        <v>6200.65</v>
      </c>
      <c r="M60" s="7">
        <f t="shared" si="0"/>
        <v>6200.65</v>
      </c>
      <c r="N60" s="4"/>
      <c r="O60" s="9"/>
    </row>
    <row r="61" spans="1:15" ht="20" x14ac:dyDescent="0.2">
      <c r="A61" s="3">
        <v>57</v>
      </c>
      <c r="B61" s="19" t="s">
        <v>1727</v>
      </c>
      <c r="C61" s="4" t="s">
        <v>1728</v>
      </c>
      <c r="D61" s="4" t="s">
        <v>1616</v>
      </c>
      <c r="E61" s="4"/>
      <c r="F61" s="8"/>
      <c r="G61" s="8"/>
      <c r="H61" s="8"/>
      <c r="I61" s="8"/>
      <c r="J61" s="8"/>
      <c r="K61" s="8">
        <v>15</v>
      </c>
      <c r="L61" s="18">
        <v>440</v>
      </c>
      <c r="M61" s="7">
        <f t="shared" si="0"/>
        <v>6600</v>
      </c>
      <c r="N61" s="4"/>
      <c r="O61" s="9"/>
    </row>
    <row r="62" spans="1:15" ht="20" x14ac:dyDescent="0.2">
      <c r="A62" s="3">
        <v>58</v>
      </c>
      <c r="B62" s="19" t="s">
        <v>1729</v>
      </c>
      <c r="C62" s="4" t="s">
        <v>1730</v>
      </c>
      <c r="D62" s="4" t="s">
        <v>1616</v>
      </c>
      <c r="E62" s="4"/>
      <c r="F62" s="8"/>
      <c r="G62" s="8"/>
      <c r="H62" s="8"/>
      <c r="I62" s="8"/>
      <c r="J62" s="8"/>
      <c r="K62" s="8">
        <v>15</v>
      </c>
      <c r="L62" s="18">
        <v>450</v>
      </c>
      <c r="M62" s="7">
        <f t="shared" si="0"/>
        <v>6750</v>
      </c>
      <c r="N62" s="4"/>
      <c r="O62" s="9"/>
    </row>
    <row r="63" spans="1:15" ht="20" x14ac:dyDescent="0.2">
      <c r="A63" s="3">
        <v>59</v>
      </c>
      <c r="B63" s="19" t="s">
        <v>1731</v>
      </c>
      <c r="C63" s="4" t="s">
        <v>1732</v>
      </c>
      <c r="D63" s="4" t="s">
        <v>1616</v>
      </c>
      <c r="E63" s="4"/>
      <c r="F63" s="8"/>
      <c r="G63" s="8"/>
      <c r="H63" s="8"/>
      <c r="I63" s="8"/>
      <c r="J63" s="8"/>
      <c r="K63" s="8">
        <v>50</v>
      </c>
      <c r="L63" s="18">
        <v>139.1</v>
      </c>
      <c r="M63" s="7">
        <f t="shared" si="0"/>
        <v>6955</v>
      </c>
      <c r="N63" s="4"/>
      <c r="O63" s="9"/>
    </row>
    <row r="64" spans="1:15" ht="20" x14ac:dyDescent="0.2">
      <c r="A64" s="3">
        <v>60</v>
      </c>
      <c r="B64" s="19" t="s">
        <v>1733</v>
      </c>
      <c r="C64" s="4" t="s">
        <v>1734</v>
      </c>
      <c r="D64" s="4" t="s">
        <v>1616</v>
      </c>
      <c r="E64" s="4"/>
      <c r="F64" s="8"/>
      <c r="G64" s="8"/>
      <c r="H64" s="8"/>
      <c r="I64" s="8"/>
      <c r="J64" s="8"/>
      <c r="K64" s="8">
        <v>10</v>
      </c>
      <c r="L64" s="18">
        <v>695.5</v>
      </c>
      <c r="M64" s="7">
        <f t="shared" si="0"/>
        <v>6955</v>
      </c>
      <c r="N64" s="4"/>
      <c r="O64" s="9"/>
    </row>
    <row r="65" spans="1:15" ht="20" x14ac:dyDescent="0.2">
      <c r="A65" s="3">
        <v>61</v>
      </c>
      <c r="B65" s="19" t="s">
        <v>1735</v>
      </c>
      <c r="C65" s="4" t="s">
        <v>1736</v>
      </c>
      <c r="D65" s="4" t="s">
        <v>1616</v>
      </c>
      <c r="E65" s="4"/>
      <c r="F65" s="8"/>
      <c r="G65" s="8"/>
      <c r="H65" s="8"/>
      <c r="I65" s="8"/>
      <c r="J65" s="8"/>
      <c r="K65" s="8">
        <v>2</v>
      </c>
      <c r="L65" s="18">
        <v>3563.1</v>
      </c>
      <c r="M65" s="7">
        <f t="shared" si="0"/>
        <v>7126.2</v>
      </c>
      <c r="N65" s="4"/>
      <c r="O65" s="9"/>
    </row>
    <row r="66" spans="1:15" ht="20" x14ac:dyDescent="0.2">
      <c r="A66" s="3">
        <v>62</v>
      </c>
      <c r="B66" s="19" t="s">
        <v>1737</v>
      </c>
      <c r="C66" s="4" t="s">
        <v>1738</v>
      </c>
      <c r="D66" s="4" t="s">
        <v>1616</v>
      </c>
      <c r="E66" s="4"/>
      <c r="F66" s="8"/>
      <c r="G66" s="8"/>
      <c r="H66" s="8"/>
      <c r="I66" s="8"/>
      <c r="J66" s="8"/>
      <c r="K66" s="8">
        <v>24</v>
      </c>
      <c r="L66" s="18">
        <v>300</v>
      </c>
      <c r="M66" s="7">
        <f t="shared" si="0"/>
        <v>7200</v>
      </c>
      <c r="N66" s="4"/>
      <c r="O66" s="9"/>
    </row>
    <row r="67" spans="1:15" ht="20" x14ac:dyDescent="0.2">
      <c r="A67" s="3">
        <v>63</v>
      </c>
      <c r="B67" s="19" t="s">
        <v>1739</v>
      </c>
      <c r="C67" s="4" t="s">
        <v>1740</v>
      </c>
      <c r="D67" s="4" t="s">
        <v>1616</v>
      </c>
      <c r="E67" s="4"/>
      <c r="F67" s="8"/>
      <c r="G67" s="8"/>
      <c r="H67" s="8"/>
      <c r="I67" s="8"/>
      <c r="J67" s="8"/>
      <c r="K67" s="8">
        <v>10</v>
      </c>
      <c r="L67" s="18">
        <v>720</v>
      </c>
      <c r="M67" s="7">
        <f t="shared" si="0"/>
        <v>7200</v>
      </c>
      <c r="N67" s="4"/>
      <c r="O67" s="9"/>
    </row>
    <row r="68" spans="1:15" ht="40" x14ac:dyDescent="0.2">
      <c r="A68" s="3">
        <v>64</v>
      </c>
      <c r="B68" s="19" t="s">
        <v>1741</v>
      </c>
      <c r="C68" s="4" t="s">
        <v>1742</v>
      </c>
      <c r="D68" s="4" t="s">
        <v>1616</v>
      </c>
      <c r="E68" s="4"/>
      <c r="F68" s="8"/>
      <c r="G68" s="8"/>
      <c r="H68" s="8"/>
      <c r="I68" s="8"/>
      <c r="J68" s="8"/>
      <c r="K68" s="8">
        <v>600</v>
      </c>
      <c r="L68" s="18">
        <v>12</v>
      </c>
      <c r="M68" s="7">
        <f t="shared" si="0"/>
        <v>7200</v>
      </c>
      <c r="N68" s="4"/>
      <c r="O68" s="9"/>
    </row>
    <row r="69" spans="1:15" ht="20" x14ac:dyDescent="0.2">
      <c r="A69" s="3">
        <v>65</v>
      </c>
      <c r="B69" s="19" t="s">
        <v>1743</v>
      </c>
      <c r="C69" s="4" t="s">
        <v>1744</v>
      </c>
      <c r="D69" s="4" t="s">
        <v>1616</v>
      </c>
      <c r="E69" s="4"/>
      <c r="F69" s="8"/>
      <c r="G69" s="8"/>
      <c r="H69" s="8"/>
      <c r="I69" s="8"/>
      <c r="J69" s="8"/>
      <c r="K69" s="8">
        <v>20</v>
      </c>
      <c r="L69" s="18">
        <v>375</v>
      </c>
      <c r="M69" s="7">
        <f t="shared" ref="M69:M132" si="1">IF(OR(K69="",L69=""),"",K69*L69)</f>
        <v>7500</v>
      </c>
      <c r="N69" s="4"/>
      <c r="O69" s="9"/>
    </row>
    <row r="70" spans="1:15" ht="40" x14ac:dyDescent="0.2">
      <c r="A70" s="3">
        <v>66</v>
      </c>
      <c r="B70" s="19" t="s">
        <v>1745</v>
      </c>
      <c r="C70" s="4" t="s">
        <v>1746</v>
      </c>
      <c r="D70" s="4" t="s">
        <v>1616</v>
      </c>
      <c r="E70" s="4"/>
      <c r="F70" s="8"/>
      <c r="G70" s="8"/>
      <c r="H70" s="8"/>
      <c r="I70" s="8"/>
      <c r="J70" s="8"/>
      <c r="K70" s="8">
        <v>150</v>
      </c>
      <c r="L70" s="18">
        <v>51.15</v>
      </c>
      <c r="M70" s="7">
        <f t="shared" si="1"/>
        <v>7672.5</v>
      </c>
      <c r="N70" s="4"/>
      <c r="O70" s="9"/>
    </row>
    <row r="71" spans="1:15" ht="20" x14ac:dyDescent="0.2">
      <c r="A71" s="3">
        <v>67</v>
      </c>
      <c r="B71" s="19" t="s">
        <v>1747</v>
      </c>
      <c r="C71" s="4" t="s">
        <v>1748</v>
      </c>
      <c r="D71" s="4" t="s">
        <v>1616</v>
      </c>
      <c r="E71" s="4"/>
      <c r="F71" s="8"/>
      <c r="G71" s="8"/>
      <c r="H71" s="8"/>
      <c r="I71" s="8"/>
      <c r="J71" s="8"/>
      <c r="K71" s="8">
        <v>10</v>
      </c>
      <c r="L71" s="18">
        <v>790</v>
      </c>
      <c r="M71" s="7">
        <f t="shared" si="1"/>
        <v>7900</v>
      </c>
      <c r="N71" s="4"/>
      <c r="O71" s="9"/>
    </row>
    <row r="72" spans="1:15" ht="20" x14ac:dyDescent="0.2">
      <c r="A72" s="3">
        <v>68</v>
      </c>
      <c r="B72" s="19" t="s">
        <v>1749</v>
      </c>
      <c r="C72" s="4" t="s">
        <v>1750</v>
      </c>
      <c r="D72" s="4" t="s">
        <v>1616</v>
      </c>
      <c r="E72" s="4"/>
      <c r="F72" s="8"/>
      <c r="G72" s="8"/>
      <c r="H72" s="8"/>
      <c r="I72" s="8"/>
      <c r="J72" s="8"/>
      <c r="K72" s="8">
        <v>2</v>
      </c>
      <c r="L72" s="18">
        <v>3954.72</v>
      </c>
      <c r="M72" s="7">
        <f t="shared" si="1"/>
        <v>7909.44</v>
      </c>
      <c r="N72" s="4"/>
      <c r="O72" s="9"/>
    </row>
    <row r="73" spans="1:15" ht="20" x14ac:dyDescent="0.2">
      <c r="A73" s="3">
        <v>69</v>
      </c>
      <c r="B73" s="19" t="s">
        <v>1751</v>
      </c>
      <c r="C73" s="4" t="s">
        <v>1752</v>
      </c>
      <c r="D73" s="4" t="s">
        <v>1616</v>
      </c>
      <c r="E73" s="4"/>
      <c r="F73" s="8"/>
      <c r="G73" s="8"/>
      <c r="H73" s="8"/>
      <c r="I73" s="8"/>
      <c r="J73" s="8"/>
      <c r="K73" s="8">
        <v>85</v>
      </c>
      <c r="L73" s="18">
        <v>95</v>
      </c>
      <c r="M73" s="7">
        <f t="shared" si="1"/>
        <v>8075</v>
      </c>
      <c r="N73" s="4"/>
      <c r="O73" s="9"/>
    </row>
    <row r="74" spans="1:15" ht="20" x14ac:dyDescent="0.2">
      <c r="A74" s="3">
        <v>70</v>
      </c>
      <c r="B74" s="19" t="s">
        <v>1753</v>
      </c>
      <c r="C74" s="4" t="s">
        <v>1754</v>
      </c>
      <c r="D74" s="4" t="s">
        <v>1616</v>
      </c>
      <c r="E74" s="4"/>
      <c r="F74" s="8"/>
      <c r="G74" s="8"/>
      <c r="H74" s="8"/>
      <c r="I74" s="8"/>
      <c r="J74" s="8"/>
      <c r="K74" s="8">
        <v>40</v>
      </c>
      <c r="L74" s="18">
        <v>203</v>
      </c>
      <c r="M74" s="7">
        <f t="shared" si="1"/>
        <v>8120</v>
      </c>
      <c r="N74" s="4"/>
      <c r="O74" s="9"/>
    </row>
    <row r="75" spans="1:15" ht="20" x14ac:dyDescent="0.2">
      <c r="A75" s="3">
        <v>71</v>
      </c>
      <c r="B75" s="19" t="s">
        <v>1755</v>
      </c>
      <c r="C75" s="4" t="s">
        <v>1756</v>
      </c>
      <c r="D75" s="4" t="s">
        <v>1616</v>
      </c>
      <c r="E75" s="4"/>
      <c r="F75" s="8"/>
      <c r="G75" s="8"/>
      <c r="H75" s="8"/>
      <c r="I75" s="8"/>
      <c r="J75" s="8"/>
      <c r="K75" s="8">
        <v>100</v>
      </c>
      <c r="L75" s="18">
        <v>85.6</v>
      </c>
      <c r="M75" s="7">
        <f t="shared" si="1"/>
        <v>8560</v>
      </c>
      <c r="N75" s="4"/>
      <c r="O75" s="9"/>
    </row>
    <row r="76" spans="1:15" ht="60" x14ac:dyDescent="0.2">
      <c r="A76" s="3">
        <v>72</v>
      </c>
      <c r="B76" s="19" t="s">
        <v>1757</v>
      </c>
      <c r="C76" s="4" t="s">
        <v>1758</v>
      </c>
      <c r="D76" s="4" t="s">
        <v>1616</v>
      </c>
      <c r="E76" s="4"/>
      <c r="F76" s="8"/>
      <c r="G76" s="8"/>
      <c r="H76" s="8"/>
      <c r="I76" s="8"/>
      <c r="J76" s="8"/>
      <c r="K76" s="8">
        <v>1</v>
      </c>
      <c r="L76" s="18">
        <v>8999.77</v>
      </c>
      <c r="M76" s="7">
        <f t="shared" si="1"/>
        <v>8999.77</v>
      </c>
      <c r="N76" s="4"/>
      <c r="O76" s="9"/>
    </row>
    <row r="77" spans="1:15" ht="20" x14ac:dyDescent="0.2">
      <c r="A77" s="3">
        <v>73</v>
      </c>
      <c r="B77" s="19" t="s">
        <v>1759</v>
      </c>
      <c r="C77" s="4" t="s">
        <v>1760</v>
      </c>
      <c r="D77" s="4" t="s">
        <v>1616</v>
      </c>
      <c r="E77" s="4"/>
      <c r="F77" s="8"/>
      <c r="G77" s="8"/>
      <c r="H77" s="8"/>
      <c r="I77" s="8"/>
      <c r="J77" s="8"/>
      <c r="K77" s="8">
        <v>200</v>
      </c>
      <c r="L77" s="18">
        <v>45</v>
      </c>
      <c r="M77" s="7">
        <f t="shared" si="1"/>
        <v>9000</v>
      </c>
      <c r="N77" s="4"/>
      <c r="O77" s="9"/>
    </row>
    <row r="78" spans="1:15" ht="20" x14ac:dyDescent="0.2">
      <c r="A78" s="3">
        <v>74</v>
      </c>
      <c r="B78" s="19" t="s">
        <v>1761</v>
      </c>
      <c r="C78" s="4" t="s">
        <v>1762</v>
      </c>
      <c r="D78" s="4" t="s">
        <v>1616</v>
      </c>
      <c r="E78" s="4"/>
      <c r="F78" s="8"/>
      <c r="G78" s="8"/>
      <c r="H78" s="8"/>
      <c r="I78" s="8"/>
      <c r="J78" s="8"/>
      <c r="K78" s="8">
        <v>50</v>
      </c>
      <c r="L78" s="18">
        <v>180</v>
      </c>
      <c r="M78" s="7">
        <f t="shared" si="1"/>
        <v>9000</v>
      </c>
      <c r="N78" s="4"/>
      <c r="O78" s="9"/>
    </row>
    <row r="79" spans="1:15" ht="20" x14ac:dyDescent="0.2">
      <c r="A79" s="3">
        <v>75</v>
      </c>
      <c r="B79" s="19" t="s">
        <v>1763</v>
      </c>
      <c r="C79" s="4" t="s">
        <v>1764</v>
      </c>
      <c r="D79" s="4" t="s">
        <v>1616</v>
      </c>
      <c r="E79" s="4"/>
      <c r="F79" s="8"/>
      <c r="G79" s="8"/>
      <c r="H79" s="8"/>
      <c r="I79" s="8"/>
      <c r="J79" s="8"/>
      <c r="K79" s="8">
        <v>60</v>
      </c>
      <c r="L79" s="18">
        <v>150</v>
      </c>
      <c r="M79" s="7">
        <f t="shared" si="1"/>
        <v>9000</v>
      </c>
      <c r="N79" s="4"/>
      <c r="O79" s="9"/>
    </row>
    <row r="80" spans="1:15" ht="20" x14ac:dyDescent="0.2">
      <c r="A80" s="3">
        <v>76</v>
      </c>
      <c r="B80" s="19" t="s">
        <v>1765</v>
      </c>
      <c r="C80" s="4" t="s">
        <v>1766</v>
      </c>
      <c r="D80" s="4" t="s">
        <v>1616</v>
      </c>
      <c r="E80" s="4"/>
      <c r="F80" s="8"/>
      <c r="G80" s="8"/>
      <c r="H80" s="8"/>
      <c r="I80" s="8"/>
      <c r="J80" s="8"/>
      <c r="K80" s="8">
        <v>300</v>
      </c>
      <c r="L80" s="18">
        <v>31.2</v>
      </c>
      <c r="M80" s="7">
        <f t="shared" si="1"/>
        <v>9360</v>
      </c>
      <c r="N80" s="4"/>
      <c r="O80" s="9"/>
    </row>
    <row r="81" spans="1:15" ht="20" x14ac:dyDescent="0.2">
      <c r="A81" s="3">
        <v>77</v>
      </c>
      <c r="B81" s="19" t="s">
        <v>1767</v>
      </c>
      <c r="C81" s="4" t="s">
        <v>1768</v>
      </c>
      <c r="D81" s="4" t="s">
        <v>1616</v>
      </c>
      <c r="E81" s="4"/>
      <c r="F81" s="8"/>
      <c r="G81" s="8"/>
      <c r="H81" s="8"/>
      <c r="I81" s="8"/>
      <c r="J81" s="8"/>
      <c r="K81" s="8">
        <v>80</v>
      </c>
      <c r="L81" s="18">
        <v>120</v>
      </c>
      <c r="M81" s="7">
        <f t="shared" si="1"/>
        <v>9600</v>
      </c>
      <c r="N81" s="4"/>
      <c r="O81" s="9"/>
    </row>
    <row r="82" spans="1:15" ht="20" x14ac:dyDescent="0.2">
      <c r="A82" s="3">
        <v>78</v>
      </c>
      <c r="B82" s="19" t="s">
        <v>1769</v>
      </c>
      <c r="C82" s="4" t="s">
        <v>1770</v>
      </c>
      <c r="D82" s="4" t="s">
        <v>1616</v>
      </c>
      <c r="E82" s="4"/>
      <c r="F82" s="8"/>
      <c r="G82" s="8"/>
      <c r="H82" s="8"/>
      <c r="I82" s="8"/>
      <c r="J82" s="8"/>
      <c r="K82" s="8">
        <v>40</v>
      </c>
      <c r="L82" s="18">
        <v>240</v>
      </c>
      <c r="M82" s="7">
        <f t="shared" si="1"/>
        <v>9600</v>
      </c>
      <c r="N82" s="4"/>
      <c r="O82" s="9"/>
    </row>
    <row r="83" spans="1:15" ht="20" x14ac:dyDescent="0.2">
      <c r="A83" s="3">
        <v>79</v>
      </c>
      <c r="B83" s="19" t="s">
        <v>1771</v>
      </c>
      <c r="C83" s="4" t="s">
        <v>1772</v>
      </c>
      <c r="D83" s="4" t="s">
        <v>1616</v>
      </c>
      <c r="E83" s="4"/>
      <c r="F83" s="8"/>
      <c r="G83" s="8"/>
      <c r="H83" s="8"/>
      <c r="I83" s="8"/>
      <c r="J83" s="8"/>
      <c r="K83" s="8">
        <v>200</v>
      </c>
      <c r="L83" s="18">
        <v>49</v>
      </c>
      <c r="M83" s="7">
        <f t="shared" si="1"/>
        <v>9800</v>
      </c>
      <c r="N83" s="4"/>
      <c r="O83" s="9"/>
    </row>
    <row r="84" spans="1:15" ht="20" x14ac:dyDescent="0.2">
      <c r="A84" s="3">
        <v>80</v>
      </c>
      <c r="B84" s="19" t="s">
        <v>1773</v>
      </c>
      <c r="C84" s="4" t="s">
        <v>1774</v>
      </c>
      <c r="D84" s="4" t="s">
        <v>1616</v>
      </c>
      <c r="E84" s="4"/>
      <c r="F84" s="8"/>
      <c r="G84" s="8"/>
      <c r="H84" s="8"/>
      <c r="I84" s="8"/>
      <c r="J84" s="8"/>
      <c r="K84" s="8">
        <v>30</v>
      </c>
      <c r="L84" s="18">
        <v>335</v>
      </c>
      <c r="M84" s="7">
        <f t="shared" si="1"/>
        <v>10050</v>
      </c>
      <c r="N84" s="4"/>
      <c r="O84" s="9"/>
    </row>
    <row r="85" spans="1:15" ht="20" x14ac:dyDescent="0.2">
      <c r="A85" s="3">
        <v>81</v>
      </c>
      <c r="B85" s="19" t="s">
        <v>1775</v>
      </c>
      <c r="C85" s="4" t="s">
        <v>1776</v>
      </c>
      <c r="D85" s="4" t="s">
        <v>1616</v>
      </c>
      <c r="E85" s="4"/>
      <c r="F85" s="8"/>
      <c r="G85" s="8"/>
      <c r="H85" s="8"/>
      <c r="I85" s="8"/>
      <c r="J85" s="8"/>
      <c r="K85" s="8">
        <v>10</v>
      </c>
      <c r="L85" s="18">
        <v>1050</v>
      </c>
      <c r="M85" s="7">
        <f t="shared" si="1"/>
        <v>10500</v>
      </c>
      <c r="N85" s="4"/>
      <c r="O85" s="9"/>
    </row>
    <row r="86" spans="1:15" ht="20" x14ac:dyDescent="0.2">
      <c r="A86" s="3">
        <v>82</v>
      </c>
      <c r="B86" s="19" t="s">
        <v>1777</v>
      </c>
      <c r="C86" s="4" t="s">
        <v>1778</v>
      </c>
      <c r="D86" s="4" t="s">
        <v>1616</v>
      </c>
      <c r="E86" s="4"/>
      <c r="F86" s="8"/>
      <c r="G86" s="8"/>
      <c r="H86" s="8"/>
      <c r="I86" s="8"/>
      <c r="J86" s="8"/>
      <c r="K86" s="8">
        <v>10</v>
      </c>
      <c r="L86" s="18">
        <v>1050</v>
      </c>
      <c r="M86" s="7">
        <f t="shared" si="1"/>
        <v>10500</v>
      </c>
      <c r="N86" s="4"/>
      <c r="O86" s="9"/>
    </row>
    <row r="87" spans="1:15" ht="20" x14ac:dyDescent="0.2">
      <c r="A87" s="3">
        <v>83</v>
      </c>
      <c r="B87" s="19" t="s">
        <v>1779</v>
      </c>
      <c r="C87" s="4" t="s">
        <v>1780</v>
      </c>
      <c r="D87" s="4" t="s">
        <v>1616</v>
      </c>
      <c r="E87" s="4"/>
      <c r="F87" s="8"/>
      <c r="G87" s="8"/>
      <c r="H87" s="8"/>
      <c r="I87" s="8"/>
      <c r="J87" s="8"/>
      <c r="K87" s="8">
        <v>10</v>
      </c>
      <c r="L87" s="18">
        <v>1050</v>
      </c>
      <c r="M87" s="7">
        <f t="shared" si="1"/>
        <v>10500</v>
      </c>
      <c r="N87" s="4"/>
      <c r="O87" s="9"/>
    </row>
    <row r="88" spans="1:15" ht="20" x14ac:dyDescent="0.2">
      <c r="A88" s="3">
        <v>84</v>
      </c>
      <c r="B88" s="19" t="s">
        <v>1781</v>
      </c>
      <c r="C88" s="4" t="s">
        <v>1782</v>
      </c>
      <c r="D88" s="4" t="s">
        <v>1616</v>
      </c>
      <c r="E88" s="4"/>
      <c r="F88" s="8"/>
      <c r="G88" s="8"/>
      <c r="H88" s="8"/>
      <c r="I88" s="8"/>
      <c r="J88" s="8"/>
      <c r="K88" s="8">
        <v>10</v>
      </c>
      <c r="L88" s="18">
        <v>1050</v>
      </c>
      <c r="M88" s="7">
        <f t="shared" si="1"/>
        <v>10500</v>
      </c>
      <c r="N88" s="4"/>
      <c r="O88" s="9"/>
    </row>
    <row r="89" spans="1:15" ht="20" x14ac:dyDescent="0.2">
      <c r="A89" s="3">
        <v>85</v>
      </c>
      <c r="B89" s="19" t="s">
        <v>1783</v>
      </c>
      <c r="C89" s="4" t="s">
        <v>1784</v>
      </c>
      <c r="D89" s="4" t="s">
        <v>1616</v>
      </c>
      <c r="E89" s="4"/>
      <c r="F89" s="8"/>
      <c r="G89" s="8"/>
      <c r="H89" s="8"/>
      <c r="I89" s="8"/>
      <c r="J89" s="8"/>
      <c r="K89" s="8">
        <v>10</v>
      </c>
      <c r="L89" s="18">
        <v>1050</v>
      </c>
      <c r="M89" s="7">
        <f t="shared" si="1"/>
        <v>10500</v>
      </c>
      <c r="N89" s="4"/>
      <c r="O89" s="9"/>
    </row>
    <row r="90" spans="1:15" ht="20" x14ac:dyDescent="0.2">
      <c r="A90" s="3">
        <v>86</v>
      </c>
      <c r="B90" s="19" t="s">
        <v>1785</v>
      </c>
      <c r="C90" s="4" t="s">
        <v>1786</v>
      </c>
      <c r="D90" s="4" t="s">
        <v>1616</v>
      </c>
      <c r="E90" s="4"/>
      <c r="F90" s="8"/>
      <c r="G90" s="8"/>
      <c r="H90" s="8"/>
      <c r="I90" s="8"/>
      <c r="J90" s="8"/>
      <c r="K90" s="8">
        <v>10</v>
      </c>
      <c r="L90" s="18">
        <v>1050</v>
      </c>
      <c r="M90" s="7">
        <f t="shared" si="1"/>
        <v>10500</v>
      </c>
      <c r="N90" s="4"/>
      <c r="O90" s="9"/>
    </row>
    <row r="91" spans="1:15" ht="20" x14ac:dyDescent="0.2">
      <c r="A91" s="3">
        <v>87</v>
      </c>
      <c r="B91" s="19" t="s">
        <v>1787</v>
      </c>
      <c r="C91" s="4" t="s">
        <v>1788</v>
      </c>
      <c r="D91" s="4" t="s">
        <v>1616</v>
      </c>
      <c r="E91" s="4"/>
      <c r="F91" s="8"/>
      <c r="G91" s="8"/>
      <c r="H91" s="8"/>
      <c r="I91" s="8"/>
      <c r="J91" s="8"/>
      <c r="K91" s="8">
        <v>120</v>
      </c>
      <c r="L91" s="18">
        <v>90</v>
      </c>
      <c r="M91" s="7">
        <f t="shared" si="1"/>
        <v>10800</v>
      </c>
      <c r="N91" s="4"/>
      <c r="O91" s="9"/>
    </row>
    <row r="92" spans="1:15" ht="20" x14ac:dyDescent="0.2">
      <c r="A92" s="3">
        <v>88</v>
      </c>
      <c r="B92" s="19" t="s">
        <v>1789</v>
      </c>
      <c r="C92" s="4" t="s">
        <v>1790</v>
      </c>
      <c r="D92" s="4" t="s">
        <v>1616</v>
      </c>
      <c r="E92" s="4"/>
      <c r="F92" s="8"/>
      <c r="G92" s="8"/>
      <c r="H92" s="8"/>
      <c r="I92" s="8"/>
      <c r="J92" s="8"/>
      <c r="K92" s="8">
        <v>240</v>
      </c>
      <c r="L92" s="18">
        <v>48.15</v>
      </c>
      <c r="M92" s="7">
        <f t="shared" si="1"/>
        <v>11556</v>
      </c>
      <c r="N92" s="4"/>
      <c r="O92" s="9"/>
    </row>
    <row r="93" spans="1:15" ht="20" x14ac:dyDescent="0.2">
      <c r="A93" s="3">
        <v>89</v>
      </c>
      <c r="B93" s="19" t="s">
        <v>1791</v>
      </c>
      <c r="C93" s="4" t="s">
        <v>1792</v>
      </c>
      <c r="D93" s="4" t="s">
        <v>1616</v>
      </c>
      <c r="E93" s="4"/>
      <c r="F93" s="8"/>
      <c r="G93" s="8"/>
      <c r="H93" s="8"/>
      <c r="I93" s="8"/>
      <c r="J93" s="8"/>
      <c r="K93" s="8">
        <v>60</v>
      </c>
      <c r="L93" s="18">
        <v>200</v>
      </c>
      <c r="M93" s="7">
        <f t="shared" si="1"/>
        <v>12000</v>
      </c>
      <c r="N93" s="4"/>
      <c r="O93" s="9"/>
    </row>
    <row r="94" spans="1:15" ht="20" x14ac:dyDescent="0.2">
      <c r="A94" s="3">
        <v>90</v>
      </c>
      <c r="B94" s="19" t="s">
        <v>1793</v>
      </c>
      <c r="C94" s="4" t="s">
        <v>1794</v>
      </c>
      <c r="D94" s="4" t="s">
        <v>1616</v>
      </c>
      <c r="E94" s="4"/>
      <c r="F94" s="8"/>
      <c r="G94" s="8"/>
      <c r="H94" s="8"/>
      <c r="I94" s="8"/>
      <c r="J94" s="8"/>
      <c r="K94" s="8">
        <v>20</v>
      </c>
      <c r="L94" s="18">
        <v>600</v>
      </c>
      <c r="M94" s="7">
        <f t="shared" si="1"/>
        <v>12000</v>
      </c>
      <c r="N94" s="4"/>
      <c r="O94" s="9"/>
    </row>
    <row r="95" spans="1:15" ht="20" x14ac:dyDescent="0.2">
      <c r="A95" s="3">
        <v>91</v>
      </c>
      <c r="B95" s="19" t="s">
        <v>1795</v>
      </c>
      <c r="C95" s="4" t="s">
        <v>1796</v>
      </c>
      <c r="D95" s="4" t="s">
        <v>1616</v>
      </c>
      <c r="E95" s="4"/>
      <c r="F95" s="8"/>
      <c r="G95" s="8"/>
      <c r="H95" s="8"/>
      <c r="I95" s="8"/>
      <c r="J95" s="8"/>
      <c r="K95" s="8">
        <v>500</v>
      </c>
      <c r="L95" s="18">
        <v>25</v>
      </c>
      <c r="M95" s="7">
        <f t="shared" si="1"/>
        <v>12500</v>
      </c>
      <c r="N95" s="4"/>
      <c r="O95" s="9"/>
    </row>
    <row r="96" spans="1:15" ht="20" x14ac:dyDescent="0.2">
      <c r="A96" s="3">
        <v>92</v>
      </c>
      <c r="B96" s="19" t="s">
        <v>1797</v>
      </c>
      <c r="C96" s="4" t="s">
        <v>1798</v>
      </c>
      <c r="D96" s="4" t="s">
        <v>1616</v>
      </c>
      <c r="E96" s="4"/>
      <c r="F96" s="8"/>
      <c r="G96" s="8"/>
      <c r="H96" s="8"/>
      <c r="I96" s="8"/>
      <c r="J96" s="8"/>
      <c r="K96" s="8">
        <v>400</v>
      </c>
      <c r="L96" s="18">
        <v>32</v>
      </c>
      <c r="M96" s="7">
        <f t="shared" si="1"/>
        <v>12800</v>
      </c>
      <c r="N96" s="4"/>
      <c r="O96" s="9"/>
    </row>
    <row r="97" spans="1:15" ht="20" x14ac:dyDescent="0.2">
      <c r="A97" s="3">
        <v>93</v>
      </c>
      <c r="B97" s="19" t="s">
        <v>1799</v>
      </c>
      <c r="C97" s="4" t="s">
        <v>1800</v>
      </c>
      <c r="D97" s="4" t="s">
        <v>1616</v>
      </c>
      <c r="E97" s="4"/>
      <c r="F97" s="8"/>
      <c r="G97" s="8"/>
      <c r="H97" s="8"/>
      <c r="I97" s="8"/>
      <c r="J97" s="8"/>
      <c r="K97" s="8">
        <v>480</v>
      </c>
      <c r="L97" s="18">
        <v>26.75</v>
      </c>
      <c r="M97" s="7">
        <f t="shared" si="1"/>
        <v>12840</v>
      </c>
      <c r="N97" s="4"/>
      <c r="O97" s="9"/>
    </row>
    <row r="98" spans="1:15" ht="20" x14ac:dyDescent="0.2">
      <c r="A98" s="3">
        <v>94</v>
      </c>
      <c r="B98" s="19" t="s">
        <v>1801</v>
      </c>
      <c r="C98" s="4" t="s">
        <v>1802</v>
      </c>
      <c r="D98" s="4" t="s">
        <v>1616</v>
      </c>
      <c r="E98" s="4"/>
      <c r="F98" s="8"/>
      <c r="G98" s="8"/>
      <c r="H98" s="8"/>
      <c r="I98" s="8"/>
      <c r="J98" s="8"/>
      <c r="K98" s="8">
        <v>60</v>
      </c>
      <c r="L98" s="18">
        <v>214</v>
      </c>
      <c r="M98" s="7">
        <f t="shared" si="1"/>
        <v>12840</v>
      </c>
      <c r="N98" s="4"/>
      <c r="O98" s="9"/>
    </row>
    <row r="99" spans="1:15" ht="20" x14ac:dyDescent="0.2">
      <c r="A99" s="3">
        <v>95</v>
      </c>
      <c r="B99" s="19" t="s">
        <v>1803</v>
      </c>
      <c r="C99" s="4" t="s">
        <v>1804</v>
      </c>
      <c r="D99" s="4" t="s">
        <v>1616</v>
      </c>
      <c r="E99" s="4"/>
      <c r="F99" s="8"/>
      <c r="G99" s="8"/>
      <c r="H99" s="8"/>
      <c r="I99" s="8"/>
      <c r="J99" s="8"/>
      <c r="K99" s="8">
        <v>25</v>
      </c>
      <c r="L99" s="18">
        <v>515</v>
      </c>
      <c r="M99" s="7">
        <f t="shared" si="1"/>
        <v>12875</v>
      </c>
      <c r="N99" s="4"/>
      <c r="O99" s="9"/>
    </row>
    <row r="100" spans="1:15" ht="20" x14ac:dyDescent="0.2">
      <c r="A100" s="3">
        <v>96</v>
      </c>
      <c r="B100" s="19" t="s">
        <v>1805</v>
      </c>
      <c r="C100" s="4" t="s">
        <v>1806</v>
      </c>
      <c r="D100" s="4" t="s">
        <v>1616</v>
      </c>
      <c r="E100" s="4"/>
      <c r="F100" s="8"/>
      <c r="G100" s="8"/>
      <c r="H100" s="8"/>
      <c r="I100" s="8"/>
      <c r="J100" s="8"/>
      <c r="K100" s="8">
        <v>1000</v>
      </c>
      <c r="L100" s="18">
        <v>13</v>
      </c>
      <c r="M100" s="7">
        <f t="shared" si="1"/>
        <v>13000</v>
      </c>
      <c r="N100" s="4"/>
      <c r="O100" s="9"/>
    </row>
    <row r="101" spans="1:15" ht="20" x14ac:dyDescent="0.2">
      <c r="A101" s="3">
        <v>97</v>
      </c>
      <c r="B101" s="19" t="s">
        <v>1807</v>
      </c>
      <c r="C101" s="4" t="s">
        <v>1808</v>
      </c>
      <c r="D101" s="4" t="s">
        <v>1616</v>
      </c>
      <c r="E101" s="4"/>
      <c r="F101" s="8"/>
      <c r="G101" s="8"/>
      <c r="H101" s="8"/>
      <c r="I101" s="8"/>
      <c r="J101" s="8"/>
      <c r="K101" s="8">
        <v>20</v>
      </c>
      <c r="L101" s="18">
        <v>650</v>
      </c>
      <c r="M101" s="7">
        <f t="shared" si="1"/>
        <v>13000</v>
      </c>
      <c r="N101" s="4"/>
      <c r="O101" s="9"/>
    </row>
    <row r="102" spans="1:15" ht="20" x14ac:dyDescent="0.2">
      <c r="A102" s="3">
        <v>98</v>
      </c>
      <c r="B102" s="19" t="s">
        <v>1809</v>
      </c>
      <c r="C102" s="4" t="s">
        <v>1810</v>
      </c>
      <c r="D102" s="4" t="s">
        <v>1616</v>
      </c>
      <c r="E102" s="4"/>
      <c r="F102" s="8"/>
      <c r="G102" s="8"/>
      <c r="H102" s="8"/>
      <c r="I102" s="8"/>
      <c r="J102" s="8"/>
      <c r="K102" s="8">
        <v>20</v>
      </c>
      <c r="L102" s="18">
        <v>660</v>
      </c>
      <c r="M102" s="7">
        <f t="shared" si="1"/>
        <v>13200</v>
      </c>
      <c r="N102" s="4"/>
      <c r="O102" s="9"/>
    </row>
    <row r="103" spans="1:15" ht="20" x14ac:dyDescent="0.2">
      <c r="A103" s="3">
        <v>99</v>
      </c>
      <c r="B103" s="19" t="s">
        <v>1811</v>
      </c>
      <c r="C103" s="4" t="s">
        <v>1812</v>
      </c>
      <c r="D103" s="4" t="s">
        <v>1616</v>
      </c>
      <c r="E103" s="4"/>
      <c r="F103" s="8"/>
      <c r="G103" s="8"/>
      <c r="H103" s="8"/>
      <c r="I103" s="8"/>
      <c r="J103" s="8"/>
      <c r="K103" s="8">
        <v>600</v>
      </c>
      <c r="L103" s="18">
        <v>22</v>
      </c>
      <c r="M103" s="7">
        <f t="shared" si="1"/>
        <v>13200</v>
      </c>
      <c r="N103" s="4"/>
      <c r="O103" s="9"/>
    </row>
    <row r="104" spans="1:15" ht="20" x14ac:dyDescent="0.2">
      <c r="A104" s="3">
        <v>100</v>
      </c>
      <c r="B104" s="19" t="s">
        <v>1813</v>
      </c>
      <c r="C104" s="4" t="s">
        <v>1814</v>
      </c>
      <c r="D104" s="4" t="s">
        <v>1616</v>
      </c>
      <c r="E104" s="4"/>
      <c r="F104" s="8"/>
      <c r="G104" s="8"/>
      <c r="H104" s="8"/>
      <c r="I104" s="8"/>
      <c r="J104" s="8"/>
      <c r="K104" s="8">
        <v>80</v>
      </c>
      <c r="L104" s="18">
        <v>170</v>
      </c>
      <c r="M104" s="7">
        <f t="shared" si="1"/>
        <v>13600</v>
      </c>
      <c r="N104" s="4"/>
      <c r="O104" s="9"/>
    </row>
    <row r="105" spans="1:15" ht="20" x14ac:dyDescent="0.2">
      <c r="A105" s="3">
        <v>101</v>
      </c>
      <c r="B105" s="19" t="s">
        <v>1815</v>
      </c>
      <c r="C105" s="4" t="s">
        <v>1816</v>
      </c>
      <c r="D105" s="4" t="s">
        <v>1616</v>
      </c>
      <c r="E105" s="4"/>
      <c r="F105" s="8"/>
      <c r="G105" s="8"/>
      <c r="H105" s="8"/>
      <c r="I105" s="8"/>
      <c r="J105" s="8"/>
      <c r="K105" s="8">
        <v>60</v>
      </c>
      <c r="L105" s="18">
        <v>230</v>
      </c>
      <c r="M105" s="7">
        <f t="shared" si="1"/>
        <v>13800</v>
      </c>
      <c r="N105" s="4"/>
      <c r="O105" s="9"/>
    </row>
    <row r="106" spans="1:15" ht="20" x14ac:dyDescent="0.2">
      <c r="A106" s="3">
        <v>102</v>
      </c>
      <c r="B106" s="19" t="s">
        <v>1817</v>
      </c>
      <c r="C106" s="4" t="s">
        <v>1818</v>
      </c>
      <c r="D106" s="4" t="s">
        <v>1616</v>
      </c>
      <c r="E106" s="4"/>
      <c r="F106" s="8"/>
      <c r="G106" s="8"/>
      <c r="H106" s="8"/>
      <c r="I106" s="8"/>
      <c r="J106" s="8"/>
      <c r="K106" s="8">
        <v>20</v>
      </c>
      <c r="L106" s="18">
        <v>700</v>
      </c>
      <c r="M106" s="7">
        <f t="shared" si="1"/>
        <v>14000</v>
      </c>
      <c r="N106" s="4"/>
      <c r="O106" s="9"/>
    </row>
    <row r="107" spans="1:15" ht="20" x14ac:dyDescent="0.2">
      <c r="A107" s="3">
        <v>103</v>
      </c>
      <c r="B107" s="19" t="s">
        <v>1819</v>
      </c>
      <c r="C107" s="4" t="s">
        <v>1820</v>
      </c>
      <c r="D107" s="4" t="s">
        <v>1616</v>
      </c>
      <c r="E107" s="4"/>
      <c r="F107" s="8"/>
      <c r="G107" s="8"/>
      <c r="H107" s="8"/>
      <c r="I107" s="8"/>
      <c r="J107" s="8"/>
      <c r="K107" s="8">
        <v>120</v>
      </c>
      <c r="L107" s="18">
        <v>120</v>
      </c>
      <c r="M107" s="7">
        <f t="shared" si="1"/>
        <v>14400</v>
      </c>
      <c r="N107" s="4"/>
      <c r="O107" s="9"/>
    </row>
    <row r="108" spans="1:15" ht="20" x14ac:dyDescent="0.2">
      <c r="A108" s="3">
        <v>104</v>
      </c>
      <c r="B108" s="19" t="s">
        <v>1821</v>
      </c>
      <c r="C108" s="4" t="s">
        <v>1822</v>
      </c>
      <c r="D108" s="4" t="s">
        <v>1616</v>
      </c>
      <c r="E108" s="4"/>
      <c r="F108" s="8"/>
      <c r="G108" s="8"/>
      <c r="H108" s="8"/>
      <c r="I108" s="8"/>
      <c r="J108" s="8"/>
      <c r="K108" s="8">
        <v>500</v>
      </c>
      <c r="L108" s="18">
        <v>30</v>
      </c>
      <c r="M108" s="7">
        <f t="shared" si="1"/>
        <v>15000</v>
      </c>
      <c r="N108" s="4"/>
      <c r="O108" s="9"/>
    </row>
    <row r="109" spans="1:15" ht="20" x14ac:dyDescent="0.2">
      <c r="A109" s="3">
        <v>105</v>
      </c>
      <c r="B109" s="19" t="s">
        <v>1823</v>
      </c>
      <c r="C109" s="4" t="s">
        <v>1824</v>
      </c>
      <c r="D109" s="4" t="s">
        <v>1616</v>
      </c>
      <c r="E109" s="4"/>
      <c r="F109" s="8"/>
      <c r="G109" s="8"/>
      <c r="H109" s="8"/>
      <c r="I109" s="8"/>
      <c r="J109" s="8"/>
      <c r="K109" s="8">
        <v>20</v>
      </c>
      <c r="L109" s="18">
        <v>800</v>
      </c>
      <c r="M109" s="7">
        <f t="shared" si="1"/>
        <v>16000</v>
      </c>
      <c r="N109" s="4"/>
      <c r="O109" s="9"/>
    </row>
    <row r="110" spans="1:15" ht="20" x14ac:dyDescent="0.2">
      <c r="A110" s="3">
        <v>106</v>
      </c>
      <c r="B110" s="19" t="s">
        <v>1825</v>
      </c>
      <c r="C110" s="4" t="s">
        <v>1826</v>
      </c>
      <c r="D110" s="4" t="s">
        <v>1616</v>
      </c>
      <c r="E110" s="4"/>
      <c r="F110" s="8"/>
      <c r="G110" s="8"/>
      <c r="H110" s="8"/>
      <c r="I110" s="8"/>
      <c r="J110" s="8"/>
      <c r="K110" s="8">
        <v>1000</v>
      </c>
      <c r="L110" s="18">
        <v>16.05</v>
      </c>
      <c r="M110" s="7">
        <f t="shared" si="1"/>
        <v>16050</v>
      </c>
      <c r="N110" s="4"/>
      <c r="O110" s="9"/>
    </row>
    <row r="111" spans="1:15" ht="20" x14ac:dyDescent="0.2">
      <c r="A111" s="3">
        <v>107</v>
      </c>
      <c r="B111" s="19" t="s">
        <v>1827</v>
      </c>
      <c r="C111" s="4" t="s">
        <v>1828</v>
      </c>
      <c r="D111" s="4" t="s">
        <v>1616</v>
      </c>
      <c r="E111" s="4"/>
      <c r="F111" s="8"/>
      <c r="G111" s="8"/>
      <c r="H111" s="8"/>
      <c r="I111" s="8"/>
      <c r="J111" s="8"/>
      <c r="K111" s="8">
        <v>500</v>
      </c>
      <c r="L111" s="18">
        <v>32.1</v>
      </c>
      <c r="M111" s="7">
        <f t="shared" si="1"/>
        <v>16050</v>
      </c>
      <c r="N111" s="4"/>
      <c r="O111" s="9"/>
    </row>
    <row r="112" spans="1:15" ht="20" x14ac:dyDescent="0.2">
      <c r="A112" s="3">
        <v>108</v>
      </c>
      <c r="B112" s="19" t="s">
        <v>1829</v>
      </c>
      <c r="C112" s="4" t="s">
        <v>1830</v>
      </c>
      <c r="D112" s="4" t="s">
        <v>1616</v>
      </c>
      <c r="E112" s="4"/>
      <c r="F112" s="8"/>
      <c r="G112" s="8"/>
      <c r="H112" s="8"/>
      <c r="I112" s="8"/>
      <c r="J112" s="8"/>
      <c r="K112" s="8">
        <v>500</v>
      </c>
      <c r="L112" s="18">
        <v>33</v>
      </c>
      <c r="M112" s="7">
        <f t="shared" si="1"/>
        <v>16500</v>
      </c>
      <c r="N112" s="4"/>
      <c r="O112" s="9"/>
    </row>
    <row r="113" spans="1:15" ht="20" x14ac:dyDescent="0.2">
      <c r="A113" s="3">
        <v>109</v>
      </c>
      <c r="B113" s="19" t="s">
        <v>1831</v>
      </c>
      <c r="C113" s="4" t="s">
        <v>1832</v>
      </c>
      <c r="D113" s="4" t="s">
        <v>1616</v>
      </c>
      <c r="E113" s="4"/>
      <c r="F113" s="8"/>
      <c r="G113" s="8"/>
      <c r="H113" s="8"/>
      <c r="I113" s="8"/>
      <c r="J113" s="8"/>
      <c r="K113" s="8">
        <v>90</v>
      </c>
      <c r="L113" s="18">
        <v>190</v>
      </c>
      <c r="M113" s="7">
        <f t="shared" si="1"/>
        <v>17100</v>
      </c>
      <c r="N113" s="4"/>
      <c r="O113" s="9"/>
    </row>
    <row r="114" spans="1:15" ht="20" x14ac:dyDescent="0.2">
      <c r="A114" s="3">
        <v>110</v>
      </c>
      <c r="B114" s="19" t="s">
        <v>1833</v>
      </c>
      <c r="C114" s="4" t="s">
        <v>1834</v>
      </c>
      <c r="D114" s="4" t="s">
        <v>1616</v>
      </c>
      <c r="E114" s="4"/>
      <c r="F114" s="8"/>
      <c r="G114" s="8"/>
      <c r="H114" s="8"/>
      <c r="I114" s="8"/>
      <c r="J114" s="8"/>
      <c r="K114" s="8">
        <v>20</v>
      </c>
      <c r="L114" s="18">
        <v>860</v>
      </c>
      <c r="M114" s="7">
        <f t="shared" si="1"/>
        <v>17200</v>
      </c>
      <c r="N114" s="4"/>
      <c r="O114" s="9"/>
    </row>
    <row r="115" spans="1:15" ht="20" x14ac:dyDescent="0.2">
      <c r="A115" s="3">
        <v>111</v>
      </c>
      <c r="B115" s="19" t="s">
        <v>1835</v>
      </c>
      <c r="C115" s="4" t="s">
        <v>1836</v>
      </c>
      <c r="D115" s="4" t="s">
        <v>1616</v>
      </c>
      <c r="E115" s="4"/>
      <c r="F115" s="8"/>
      <c r="G115" s="8"/>
      <c r="H115" s="8"/>
      <c r="I115" s="8"/>
      <c r="J115" s="8"/>
      <c r="K115" s="8">
        <v>50</v>
      </c>
      <c r="L115" s="18">
        <v>347.75</v>
      </c>
      <c r="M115" s="7">
        <f t="shared" si="1"/>
        <v>17387.5</v>
      </c>
      <c r="N115" s="4"/>
      <c r="O115" s="9"/>
    </row>
    <row r="116" spans="1:15" ht="20" x14ac:dyDescent="0.2">
      <c r="A116" s="3">
        <v>112</v>
      </c>
      <c r="B116" s="19" t="s">
        <v>1837</v>
      </c>
      <c r="C116" s="4" t="s">
        <v>1838</v>
      </c>
      <c r="D116" s="4" t="s">
        <v>1616</v>
      </c>
      <c r="E116" s="4"/>
      <c r="F116" s="8"/>
      <c r="G116" s="8"/>
      <c r="H116" s="8"/>
      <c r="I116" s="8"/>
      <c r="J116" s="8"/>
      <c r="K116" s="8">
        <v>20</v>
      </c>
      <c r="L116" s="18">
        <v>870</v>
      </c>
      <c r="M116" s="7">
        <f t="shared" si="1"/>
        <v>17400</v>
      </c>
      <c r="N116" s="4"/>
      <c r="O116" s="9"/>
    </row>
    <row r="117" spans="1:15" ht="20" x14ac:dyDescent="0.2">
      <c r="A117" s="3">
        <v>113</v>
      </c>
      <c r="B117" s="19" t="s">
        <v>1839</v>
      </c>
      <c r="C117" s="4" t="s">
        <v>1840</v>
      </c>
      <c r="D117" s="4" t="s">
        <v>1616</v>
      </c>
      <c r="E117" s="4"/>
      <c r="F117" s="8"/>
      <c r="G117" s="8"/>
      <c r="H117" s="8"/>
      <c r="I117" s="8"/>
      <c r="J117" s="8"/>
      <c r="K117" s="8">
        <v>50</v>
      </c>
      <c r="L117" s="18">
        <v>350</v>
      </c>
      <c r="M117" s="7">
        <f t="shared" si="1"/>
        <v>17500</v>
      </c>
      <c r="N117" s="4"/>
      <c r="O117" s="9"/>
    </row>
    <row r="118" spans="1:15" ht="40" x14ac:dyDescent="0.2">
      <c r="A118" s="3">
        <v>114</v>
      </c>
      <c r="B118" s="19" t="s">
        <v>1841</v>
      </c>
      <c r="C118" s="4" t="s">
        <v>1842</v>
      </c>
      <c r="D118" s="4" t="s">
        <v>1616</v>
      </c>
      <c r="E118" s="4"/>
      <c r="F118" s="8"/>
      <c r="G118" s="8"/>
      <c r="H118" s="8"/>
      <c r="I118" s="8"/>
      <c r="J118" s="8"/>
      <c r="K118" s="8">
        <v>40</v>
      </c>
      <c r="L118" s="18">
        <v>438.7</v>
      </c>
      <c r="M118" s="7">
        <f t="shared" si="1"/>
        <v>17548</v>
      </c>
      <c r="N118" s="4"/>
      <c r="O118" s="9"/>
    </row>
    <row r="119" spans="1:15" ht="20" x14ac:dyDescent="0.2">
      <c r="A119" s="3">
        <v>115</v>
      </c>
      <c r="B119" s="19" t="s">
        <v>1843</v>
      </c>
      <c r="C119" s="4" t="s">
        <v>1844</v>
      </c>
      <c r="D119" s="4" t="s">
        <v>1616</v>
      </c>
      <c r="E119" s="4"/>
      <c r="F119" s="8"/>
      <c r="G119" s="8"/>
      <c r="H119" s="8"/>
      <c r="I119" s="8"/>
      <c r="J119" s="8"/>
      <c r="K119" s="8">
        <v>60</v>
      </c>
      <c r="L119" s="18">
        <v>305</v>
      </c>
      <c r="M119" s="7">
        <f t="shared" si="1"/>
        <v>18300</v>
      </c>
      <c r="N119" s="4"/>
      <c r="O119" s="9"/>
    </row>
    <row r="120" spans="1:15" ht="20" x14ac:dyDescent="0.2">
      <c r="A120" s="3">
        <v>116</v>
      </c>
      <c r="B120" s="19" t="s">
        <v>1845</v>
      </c>
      <c r="C120" s="4" t="s">
        <v>1846</v>
      </c>
      <c r="D120" s="4" t="s">
        <v>1616</v>
      </c>
      <c r="E120" s="4"/>
      <c r="F120" s="8"/>
      <c r="G120" s="8"/>
      <c r="H120" s="8"/>
      <c r="I120" s="8"/>
      <c r="J120" s="8"/>
      <c r="K120" s="8">
        <v>80</v>
      </c>
      <c r="L120" s="18">
        <v>230</v>
      </c>
      <c r="M120" s="7">
        <f t="shared" si="1"/>
        <v>18400</v>
      </c>
      <c r="N120" s="4"/>
      <c r="O120" s="9"/>
    </row>
    <row r="121" spans="1:15" ht="20" x14ac:dyDescent="0.2">
      <c r="A121" s="3">
        <v>117</v>
      </c>
      <c r="B121" s="19" t="s">
        <v>1847</v>
      </c>
      <c r="C121" s="4" t="s">
        <v>1848</v>
      </c>
      <c r="D121" s="4" t="s">
        <v>1616</v>
      </c>
      <c r="E121" s="4"/>
      <c r="F121" s="8"/>
      <c r="G121" s="8"/>
      <c r="H121" s="8"/>
      <c r="I121" s="8"/>
      <c r="J121" s="8"/>
      <c r="K121" s="8">
        <v>250</v>
      </c>
      <c r="L121" s="18">
        <v>74.900000000000006</v>
      </c>
      <c r="M121" s="7">
        <f t="shared" si="1"/>
        <v>18725</v>
      </c>
      <c r="N121" s="4"/>
      <c r="O121" s="9"/>
    </row>
    <row r="122" spans="1:15" ht="20" x14ac:dyDescent="0.2">
      <c r="A122" s="3">
        <v>118</v>
      </c>
      <c r="B122" s="19" t="s">
        <v>1849</v>
      </c>
      <c r="C122" s="4" t="s">
        <v>1850</v>
      </c>
      <c r="D122" s="4" t="s">
        <v>1616</v>
      </c>
      <c r="E122" s="4"/>
      <c r="F122" s="8"/>
      <c r="G122" s="8"/>
      <c r="H122" s="8"/>
      <c r="I122" s="8"/>
      <c r="J122" s="8"/>
      <c r="K122" s="8">
        <v>160</v>
      </c>
      <c r="L122" s="18">
        <v>120</v>
      </c>
      <c r="M122" s="7">
        <f t="shared" si="1"/>
        <v>19200</v>
      </c>
      <c r="N122" s="4"/>
      <c r="O122" s="9"/>
    </row>
    <row r="123" spans="1:15" ht="20" x14ac:dyDescent="0.2">
      <c r="A123" s="3">
        <v>119</v>
      </c>
      <c r="B123" s="19" t="s">
        <v>1851</v>
      </c>
      <c r="C123" s="4" t="s">
        <v>1852</v>
      </c>
      <c r="D123" s="4" t="s">
        <v>1616</v>
      </c>
      <c r="E123" s="4"/>
      <c r="F123" s="8"/>
      <c r="G123" s="8"/>
      <c r="H123" s="8"/>
      <c r="I123" s="8"/>
      <c r="J123" s="8"/>
      <c r="K123" s="8">
        <v>2400</v>
      </c>
      <c r="L123" s="18">
        <v>8</v>
      </c>
      <c r="M123" s="7">
        <f t="shared" si="1"/>
        <v>19200</v>
      </c>
      <c r="N123" s="4"/>
      <c r="O123" s="9"/>
    </row>
    <row r="124" spans="1:15" ht="40" x14ac:dyDescent="0.2">
      <c r="A124" s="3">
        <v>120</v>
      </c>
      <c r="B124" s="19" t="s">
        <v>1853</v>
      </c>
      <c r="C124" s="4" t="s">
        <v>1854</v>
      </c>
      <c r="D124" s="4" t="s">
        <v>1616</v>
      </c>
      <c r="E124" s="4"/>
      <c r="F124" s="8"/>
      <c r="G124" s="8"/>
      <c r="H124" s="8"/>
      <c r="I124" s="8"/>
      <c r="J124" s="8"/>
      <c r="K124" s="8">
        <v>40</v>
      </c>
      <c r="L124" s="18">
        <v>480.3</v>
      </c>
      <c r="M124" s="7">
        <f t="shared" si="1"/>
        <v>19212</v>
      </c>
      <c r="N124" s="4"/>
      <c r="O124" s="9"/>
    </row>
    <row r="125" spans="1:15" ht="20" x14ac:dyDescent="0.2">
      <c r="A125" s="3">
        <v>121</v>
      </c>
      <c r="B125" s="19" t="s">
        <v>1855</v>
      </c>
      <c r="C125" s="4" t="s">
        <v>1856</v>
      </c>
      <c r="D125" s="4" t="s">
        <v>1616</v>
      </c>
      <c r="E125" s="4"/>
      <c r="F125" s="8"/>
      <c r="G125" s="8"/>
      <c r="H125" s="8"/>
      <c r="I125" s="8"/>
      <c r="J125" s="8"/>
      <c r="K125" s="8">
        <v>80</v>
      </c>
      <c r="L125" s="18">
        <v>240.75</v>
      </c>
      <c r="M125" s="7">
        <f t="shared" si="1"/>
        <v>19260</v>
      </c>
      <c r="N125" s="4"/>
      <c r="O125" s="9"/>
    </row>
    <row r="126" spans="1:15" ht="20" x14ac:dyDescent="0.2">
      <c r="A126" s="3">
        <v>122</v>
      </c>
      <c r="B126" s="19" t="s">
        <v>1857</v>
      </c>
      <c r="C126" s="4" t="s">
        <v>1858</v>
      </c>
      <c r="D126" s="4" t="s">
        <v>1616</v>
      </c>
      <c r="E126" s="4"/>
      <c r="F126" s="8"/>
      <c r="G126" s="8"/>
      <c r="H126" s="8"/>
      <c r="I126" s="8"/>
      <c r="J126" s="8"/>
      <c r="K126" s="8">
        <v>16</v>
      </c>
      <c r="L126" s="18">
        <v>1210</v>
      </c>
      <c r="M126" s="7">
        <f t="shared" si="1"/>
        <v>19360</v>
      </c>
      <c r="N126" s="4"/>
      <c r="O126" s="9"/>
    </row>
    <row r="127" spans="1:15" ht="20" x14ac:dyDescent="0.2">
      <c r="A127" s="3">
        <v>123</v>
      </c>
      <c r="B127" s="19" t="s">
        <v>1859</v>
      </c>
      <c r="C127" s="4" t="s">
        <v>1860</v>
      </c>
      <c r="D127" s="4" t="s">
        <v>1616</v>
      </c>
      <c r="E127" s="4"/>
      <c r="F127" s="8"/>
      <c r="G127" s="8"/>
      <c r="H127" s="8"/>
      <c r="I127" s="8"/>
      <c r="J127" s="8"/>
      <c r="K127" s="8">
        <v>2000</v>
      </c>
      <c r="L127" s="18">
        <v>9.7200000000000006</v>
      </c>
      <c r="M127" s="7">
        <f t="shared" si="1"/>
        <v>19440</v>
      </c>
      <c r="N127" s="4"/>
      <c r="O127" s="9"/>
    </row>
    <row r="128" spans="1:15" ht="40" x14ac:dyDescent="0.2">
      <c r="A128" s="3">
        <v>124</v>
      </c>
      <c r="B128" s="19" t="s">
        <v>1861</v>
      </c>
      <c r="C128" s="4" t="s">
        <v>1862</v>
      </c>
      <c r="D128" s="4" t="s">
        <v>1616</v>
      </c>
      <c r="E128" s="4"/>
      <c r="F128" s="8"/>
      <c r="G128" s="8"/>
      <c r="H128" s="8"/>
      <c r="I128" s="8"/>
      <c r="J128" s="8"/>
      <c r="K128" s="8">
        <v>260</v>
      </c>
      <c r="L128" s="18">
        <v>74.900000000000006</v>
      </c>
      <c r="M128" s="7">
        <f t="shared" si="1"/>
        <v>19474</v>
      </c>
      <c r="N128" s="4"/>
      <c r="O128" s="9"/>
    </row>
    <row r="129" spans="1:15" ht="20" x14ac:dyDescent="0.2">
      <c r="A129" s="3">
        <v>125</v>
      </c>
      <c r="B129" s="19" t="s">
        <v>1863</v>
      </c>
      <c r="C129" s="4" t="s">
        <v>1864</v>
      </c>
      <c r="D129" s="4" t="s">
        <v>1616</v>
      </c>
      <c r="E129" s="4"/>
      <c r="F129" s="8"/>
      <c r="G129" s="8"/>
      <c r="H129" s="8"/>
      <c r="I129" s="8"/>
      <c r="J129" s="8"/>
      <c r="K129" s="8">
        <v>80</v>
      </c>
      <c r="L129" s="18">
        <v>246.1</v>
      </c>
      <c r="M129" s="7">
        <f t="shared" si="1"/>
        <v>19688</v>
      </c>
      <c r="N129" s="4"/>
      <c r="O129" s="9"/>
    </row>
    <row r="130" spans="1:15" ht="20" x14ac:dyDescent="0.2">
      <c r="A130" s="3">
        <v>126</v>
      </c>
      <c r="B130" s="19" t="s">
        <v>1865</v>
      </c>
      <c r="C130" s="4" t="s">
        <v>1866</v>
      </c>
      <c r="D130" s="4" t="s">
        <v>1616</v>
      </c>
      <c r="E130" s="4"/>
      <c r="F130" s="8"/>
      <c r="G130" s="8"/>
      <c r="H130" s="8"/>
      <c r="I130" s="8"/>
      <c r="J130" s="8"/>
      <c r="K130" s="8">
        <v>20</v>
      </c>
      <c r="L130" s="18">
        <v>999.38</v>
      </c>
      <c r="M130" s="7">
        <f t="shared" si="1"/>
        <v>19987.599999999999</v>
      </c>
      <c r="N130" s="4"/>
      <c r="O130" s="9"/>
    </row>
    <row r="131" spans="1:15" ht="40" x14ac:dyDescent="0.2">
      <c r="A131" s="3">
        <v>127</v>
      </c>
      <c r="B131" s="19" t="s">
        <v>1867</v>
      </c>
      <c r="C131" s="4" t="s">
        <v>1868</v>
      </c>
      <c r="D131" s="4" t="s">
        <v>1616</v>
      </c>
      <c r="E131" s="4"/>
      <c r="F131" s="8"/>
      <c r="G131" s="8"/>
      <c r="H131" s="8"/>
      <c r="I131" s="8"/>
      <c r="J131" s="8"/>
      <c r="K131" s="8">
        <v>40</v>
      </c>
      <c r="L131" s="18">
        <v>500</v>
      </c>
      <c r="M131" s="7">
        <f t="shared" si="1"/>
        <v>20000</v>
      </c>
      <c r="N131" s="4"/>
      <c r="O131" s="9"/>
    </row>
    <row r="132" spans="1:15" ht="20" x14ac:dyDescent="0.2">
      <c r="A132" s="3">
        <v>128</v>
      </c>
      <c r="B132" s="19" t="s">
        <v>1869</v>
      </c>
      <c r="C132" s="4" t="s">
        <v>1870</v>
      </c>
      <c r="D132" s="4" t="s">
        <v>1616</v>
      </c>
      <c r="E132" s="4"/>
      <c r="F132" s="8"/>
      <c r="G132" s="8"/>
      <c r="H132" s="8"/>
      <c r="I132" s="8"/>
      <c r="J132" s="8"/>
      <c r="K132" s="8">
        <v>800</v>
      </c>
      <c r="L132" s="18">
        <v>25</v>
      </c>
      <c r="M132" s="7">
        <f t="shared" si="1"/>
        <v>20000</v>
      </c>
      <c r="N132" s="4"/>
      <c r="O132" s="9"/>
    </row>
    <row r="133" spans="1:15" ht="20" x14ac:dyDescent="0.2">
      <c r="A133" s="3">
        <v>129</v>
      </c>
      <c r="B133" s="19" t="s">
        <v>1871</v>
      </c>
      <c r="C133" s="4" t="s">
        <v>1872</v>
      </c>
      <c r="D133" s="4" t="s">
        <v>1616</v>
      </c>
      <c r="E133" s="4"/>
      <c r="F133" s="8"/>
      <c r="G133" s="8"/>
      <c r="H133" s="8"/>
      <c r="I133" s="8"/>
      <c r="J133" s="8"/>
      <c r="K133" s="8">
        <v>100</v>
      </c>
      <c r="L133" s="18">
        <v>200</v>
      </c>
      <c r="M133" s="7">
        <f t="shared" ref="M133:M196" si="2">IF(OR(K133="",L133=""),"",K133*L133)</f>
        <v>20000</v>
      </c>
      <c r="N133" s="4"/>
      <c r="O133" s="9"/>
    </row>
    <row r="134" spans="1:15" ht="20" x14ac:dyDescent="0.2">
      <c r="A134" s="3">
        <v>130</v>
      </c>
      <c r="B134" s="19" t="s">
        <v>1873</v>
      </c>
      <c r="C134" s="4" t="s">
        <v>1874</v>
      </c>
      <c r="D134" s="4" t="s">
        <v>1616</v>
      </c>
      <c r="E134" s="4"/>
      <c r="F134" s="8"/>
      <c r="G134" s="8"/>
      <c r="H134" s="8"/>
      <c r="I134" s="8"/>
      <c r="J134" s="8"/>
      <c r="K134" s="8">
        <v>20</v>
      </c>
      <c r="L134" s="18">
        <v>1000</v>
      </c>
      <c r="M134" s="7">
        <f t="shared" si="2"/>
        <v>20000</v>
      </c>
      <c r="N134" s="4"/>
      <c r="O134" s="9"/>
    </row>
    <row r="135" spans="1:15" ht="20" x14ac:dyDescent="0.2">
      <c r="A135" s="3">
        <v>131</v>
      </c>
      <c r="B135" s="19" t="s">
        <v>1875</v>
      </c>
      <c r="C135" s="4" t="s">
        <v>1876</v>
      </c>
      <c r="D135" s="4" t="s">
        <v>1616</v>
      </c>
      <c r="E135" s="4"/>
      <c r="F135" s="8"/>
      <c r="G135" s="8"/>
      <c r="H135" s="8"/>
      <c r="I135" s="8"/>
      <c r="J135" s="8"/>
      <c r="K135" s="8">
        <v>200</v>
      </c>
      <c r="L135" s="18">
        <v>100</v>
      </c>
      <c r="M135" s="7">
        <f t="shared" si="2"/>
        <v>20000</v>
      </c>
      <c r="N135" s="4"/>
      <c r="O135" s="9"/>
    </row>
    <row r="136" spans="1:15" ht="20" x14ac:dyDescent="0.2">
      <c r="A136" s="3">
        <v>132</v>
      </c>
      <c r="B136" s="19" t="s">
        <v>1877</v>
      </c>
      <c r="C136" s="4" t="s">
        <v>1878</v>
      </c>
      <c r="D136" s="4" t="s">
        <v>1616</v>
      </c>
      <c r="E136" s="4"/>
      <c r="F136" s="8"/>
      <c r="G136" s="8"/>
      <c r="H136" s="8"/>
      <c r="I136" s="8"/>
      <c r="J136" s="8"/>
      <c r="K136" s="8">
        <v>300</v>
      </c>
      <c r="L136" s="18">
        <v>67</v>
      </c>
      <c r="M136" s="7">
        <f t="shared" si="2"/>
        <v>20100</v>
      </c>
      <c r="N136" s="4"/>
      <c r="O136" s="9"/>
    </row>
    <row r="137" spans="1:15" ht="20" x14ac:dyDescent="0.2">
      <c r="A137" s="3">
        <v>133</v>
      </c>
      <c r="B137" s="19" t="s">
        <v>1879</v>
      </c>
      <c r="C137" s="4" t="s">
        <v>1880</v>
      </c>
      <c r="D137" s="4" t="s">
        <v>1616</v>
      </c>
      <c r="E137" s="4"/>
      <c r="F137" s="8"/>
      <c r="G137" s="8"/>
      <c r="H137" s="8"/>
      <c r="I137" s="8"/>
      <c r="J137" s="8"/>
      <c r="K137" s="8">
        <v>1200</v>
      </c>
      <c r="L137" s="18">
        <v>17</v>
      </c>
      <c r="M137" s="7">
        <f t="shared" si="2"/>
        <v>20400</v>
      </c>
      <c r="N137" s="4"/>
      <c r="O137" s="9"/>
    </row>
    <row r="138" spans="1:15" ht="20" x14ac:dyDescent="0.2">
      <c r="A138" s="3">
        <v>134</v>
      </c>
      <c r="B138" s="19" t="s">
        <v>1881</v>
      </c>
      <c r="C138" s="4" t="s">
        <v>1882</v>
      </c>
      <c r="D138" s="4" t="s">
        <v>1616</v>
      </c>
      <c r="E138" s="4"/>
      <c r="F138" s="8"/>
      <c r="G138" s="8"/>
      <c r="H138" s="8"/>
      <c r="I138" s="8"/>
      <c r="J138" s="8"/>
      <c r="K138" s="8">
        <v>120</v>
      </c>
      <c r="L138" s="18">
        <v>170</v>
      </c>
      <c r="M138" s="7">
        <f t="shared" si="2"/>
        <v>20400</v>
      </c>
      <c r="N138" s="4"/>
      <c r="O138" s="9"/>
    </row>
    <row r="139" spans="1:15" ht="20" x14ac:dyDescent="0.2">
      <c r="A139" s="3">
        <v>135</v>
      </c>
      <c r="B139" s="19" t="s">
        <v>1883</v>
      </c>
      <c r="C139" s="4" t="s">
        <v>1884</v>
      </c>
      <c r="D139" s="4" t="s">
        <v>1616</v>
      </c>
      <c r="E139" s="4"/>
      <c r="F139" s="8"/>
      <c r="G139" s="8"/>
      <c r="H139" s="8"/>
      <c r="I139" s="8"/>
      <c r="J139" s="8"/>
      <c r="K139" s="8">
        <v>120</v>
      </c>
      <c r="L139" s="18">
        <v>170</v>
      </c>
      <c r="M139" s="7">
        <f t="shared" si="2"/>
        <v>20400</v>
      </c>
      <c r="N139" s="4"/>
      <c r="O139" s="9"/>
    </row>
    <row r="140" spans="1:15" ht="20" x14ac:dyDescent="0.2">
      <c r="A140" s="3">
        <v>136</v>
      </c>
      <c r="B140" s="19" t="s">
        <v>1885</v>
      </c>
      <c r="C140" s="4" t="s">
        <v>1886</v>
      </c>
      <c r="D140" s="4" t="s">
        <v>1616</v>
      </c>
      <c r="E140" s="4"/>
      <c r="F140" s="8"/>
      <c r="G140" s="8"/>
      <c r="H140" s="8"/>
      <c r="I140" s="8"/>
      <c r="J140" s="8"/>
      <c r="K140" s="8">
        <v>20</v>
      </c>
      <c r="L140" s="18">
        <v>1040</v>
      </c>
      <c r="M140" s="7">
        <f t="shared" si="2"/>
        <v>20800</v>
      </c>
      <c r="N140" s="4"/>
      <c r="O140" s="9"/>
    </row>
    <row r="141" spans="1:15" ht="20" x14ac:dyDescent="0.2">
      <c r="A141" s="3">
        <v>137</v>
      </c>
      <c r="B141" s="19" t="s">
        <v>1887</v>
      </c>
      <c r="C141" s="4" t="s">
        <v>1888</v>
      </c>
      <c r="D141" s="4" t="s">
        <v>1616</v>
      </c>
      <c r="E141" s="4"/>
      <c r="F141" s="8"/>
      <c r="G141" s="8"/>
      <c r="H141" s="8"/>
      <c r="I141" s="8"/>
      <c r="J141" s="8"/>
      <c r="K141" s="8">
        <v>20</v>
      </c>
      <c r="L141" s="18">
        <v>1050</v>
      </c>
      <c r="M141" s="7">
        <f t="shared" si="2"/>
        <v>21000</v>
      </c>
      <c r="N141" s="4"/>
      <c r="O141" s="9"/>
    </row>
    <row r="142" spans="1:15" ht="20" x14ac:dyDescent="0.2">
      <c r="A142" s="3">
        <v>138</v>
      </c>
      <c r="B142" s="19" t="s">
        <v>1889</v>
      </c>
      <c r="C142" s="4" t="s">
        <v>1890</v>
      </c>
      <c r="D142" s="4" t="s">
        <v>1616</v>
      </c>
      <c r="E142" s="4"/>
      <c r="F142" s="8"/>
      <c r="G142" s="8"/>
      <c r="H142" s="8"/>
      <c r="I142" s="8"/>
      <c r="J142" s="8"/>
      <c r="K142" s="8">
        <v>600</v>
      </c>
      <c r="L142" s="18">
        <v>35</v>
      </c>
      <c r="M142" s="7">
        <f t="shared" si="2"/>
        <v>21000</v>
      </c>
      <c r="N142" s="4"/>
      <c r="O142" s="9"/>
    </row>
    <row r="143" spans="1:15" ht="20" x14ac:dyDescent="0.2">
      <c r="A143" s="3">
        <v>139</v>
      </c>
      <c r="B143" s="19" t="s">
        <v>1891</v>
      </c>
      <c r="C143" s="4" t="s">
        <v>1892</v>
      </c>
      <c r="D143" s="4" t="s">
        <v>1616</v>
      </c>
      <c r="E143" s="4"/>
      <c r="F143" s="8"/>
      <c r="G143" s="8"/>
      <c r="H143" s="8"/>
      <c r="I143" s="8"/>
      <c r="J143" s="8"/>
      <c r="K143" s="8">
        <v>120</v>
      </c>
      <c r="L143" s="18">
        <v>175.48</v>
      </c>
      <c r="M143" s="7">
        <f t="shared" si="2"/>
        <v>21057.599999999999</v>
      </c>
      <c r="N143" s="4"/>
      <c r="O143" s="9"/>
    </row>
    <row r="144" spans="1:15" ht="20" x14ac:dyDescent="0.2">
      <c r="A144" s="3">
        <v>140</v>
      </c>
      <c r="B144" s="19" t="s">
        <v>1893</v>
      </c>
      <c r="C144" s="4" t="s">
        <v>1894</v>
      </c>
      <c r="D144" s="4" t="s">
        <v>1616</v>
      </c>
      <c r="E144" s="4"/>
      <c r="F144" s="8"/>
      <c r="G144" s="8"/>
      <c r="H144" s="8"/>
      <c r="I144" s="8"/>
      <c r="J144" s="8"/>
      <c r="K144" s="8">
        <v>30</v>
      </c>
      <c r="L144" s="18">
        <v>706.2</v>
      </c>
      <c r="M144" s="7">
        <f t="shared" si="2"/>
        <v>21186</v>
      </c>
      <c r="N144" s="4"/>
      <c r="O144" s="9"/>
    </row>
    <row r="145" spans="1:15" ht="20" x14ac:dyDescent="0.2">
      <c r="A145" s="3">
        <v>141</v>
      </c>
      <c r="B145" s="19" t="s">
        <v>1895</v>
      </c>
      <c r="C145" s="4" t="s">
        <v>1896</v>
      </c>
      <c r="D145" s="4" t="s">
        <v>1616</v>
      </c>
      <c r="E145" s="4"/>
      <c r="F145" s="8"/>
      <c r="G145" s="8"/>
      <c r="H145" s="8"/>
      <c r="I145" s="8"/>
      <c r="J145" s="8"/>
      <c r="K145" s="8">
        <v>12</v>
      </c>
      <c r="L145" s="18">
        <v>1797.6</v>
      </c>
      <c r="M145" s="7">
        <f t="shared" si="2"/>
        <v>21571.199999999997</v>
      </c>
      <c r="N145" s="4"/>
      <c r="O145" s="9"/>
    </row>
    <row r="146" spans="1:15" ht="20" x14ac:dyDescent="0.2">
      <c r="A146" s="3">
        <v>142</v>
      </c>
      <c r="B146" s="19" t="s">
        <v>1897</v>
      </c>
      <c r="C146" s="4" t="s">
        <v>1898</v>
      </c>
      <c r="D146" s="4" t="s">
        <v>1616</v>
      </c>
      <c r="E146" s="4"/>
      <c r="F146" s="8"/>
      <c r="G146" s="8"/>
      <c r="H146" s="8"/>
      <c r="I146" s="8"/>
      <c r="J146" s="8"/>
      <c r="K146" s="8">
        <v>1200</v>
      </c>
      <c r="L146" s="18">
        <v>18</v>
      </c>
      <c r="M146" s="7">
        <f t="shared" si="2"/>
        <v>21600</v>
      </c>
      <c r="N146" s="4"/>
      <c r="O146" s="9"/>
    </row>
    <row r="147" spans="1:15" ht="40" x14ac:dyDescent="0.2">
      <c r="A147" s="3">
        <v>143</v>
      </c>
      <c r="B147" s="19" t="s">
        <v>1899</v>
      </c>
      <c r="C147" s="4" t="s">
        <v>1900</v>
      </c>
      <c r="D147" s="4" t="s">
        <v>1616</v>
      </c>
      <c r="E147" s="4"/>
      <c r="F147" s="8"/>
      <c r="G147" s="8"/>
      <c r="H147" s="8"/>
      <c r="I147" s="8"/>
      <c r="J147" s="8"/>
      <c r="K147" s="8">
        <v>1000</v>
      </c>
      <c r="L147" s="18">
        <v>22</v>
      </c>
      <c r="M147" s="7">
        <f t="shared" si="2"/>
        <v>22000</v>
      </c>
      <c r="N147" s="4"/>
      <c r="O147" s="9"/>
    </row>
    <row r="148" spans="1:15" ht="40" x14ac:dyDescent="0.2">
      <c r="A148" s="3">
        <v>144</v>
      </c>
      <c r="B148" s="19" t="s">
        <v>1901</v>
      </c>
      <c r="C148" s="4" t="s">
        <v>1902</v>
      </c>
      <c r="D148" s="4" t="s">
        <v>1616</v>
      </c>
      <c r="E148" s="4"/>
      <c r="F148" s="8"/>
      <c r="G148" s="8"/>
      <c r="H148" s="8"/>
      <c r="I148" s="8"/>
      <c r="J148" s="8"/>
      <c r="K148" s="8">
        <v>80</v>
      </c>
      <c r="L148" s="18">
        <v>275</v>
      </c>
      <c r="M148" s="7">
        <f t="shared" si="2"/>
        <v>22000</v>
      </c>
      <c r="N148" s="4"/>
      <c r="O148" s="9"/>
    </row>
    <row r="149" spans="1:15" ht="20" x14ac:dyDescent="0.2">
      <c r="A149" s="3">
        <v>145</v>
      </c>
      <c r="B149" s="19" t="s">
        <v>1903</v>
      </c>
      <c r="C149" s="4" t="s">
        <v>1904</v>
      </c>
      <c r="D149" s="4" t="s">
        <v>1616</v>
      </c>
      <c r="E149" s="4"/>
      <c r="F149" s="8"/>
      <c r="G149" s="8"/>
      <c r="H149" s="8"/>
      <c r="I149" s="8"/>
      <c r="J149" s="8"/>
      <c r="K149" s="8">
        <v>900</v>
      </c>
      <c r="L149" s="18">
        <v>25</v>
      </c>
      <c r="M149" s="7">
        <f t="shared" si="2"/>
        <v>22500</v>
      </c>
      <c r="N149" s="4"/>
      <c r="O149" s="9"/>
    </row>
    <row r="150" spans="1:15" ht="20" x14ac:dyDescent="0.2">
      <c r="A150" s="3">
        <v>146</v>
      </c>
      <c r="B150" s="19" t="s">
        <v>1905</v>
      </c>
      <c r="C150" s="4" t="s">
        <v>1906</v>
      </c>
      <c r="D150" s="4" t="s">
        <v>1616</v>
      </c>
      <c r="E150" s="4"/>
      <c r="F150" s="8"/>
      <c r="G150" s="8"/>
      <c r="H150" s="8"/>
      <c r="I150" s="8"/>
      <c r="J150" s="8"/>
      <c r="K150" s="8">
        <v>30</v>
      </c>
      <c r="L150" s="18">
        <v>750</v>
      </c>
      <c r="M150" s="7">
        <f t="shared" si="2"/>
        <v>22500</v>
      </c>
      <c r="N150" s="4"/>
      <c r="O150" s="9"/>
    </row>
    <row r="151" spans="1:15" ht="20" x14ac:dyDescent="0.2">
      <c r="A151" s="3">
        <v>147</v>
      </c>
      <c r="B151" s="19" t="s">
        <v>1907</v>
      </c>
      <c r="C151" s="4" t="s">
        <v>1908</v>
      </c>
      <c r="D151" s="4" t="s">
        <v>1616</v>
      </c>
      <c r="E151" s="4"/>
      <c r="F151" s="8"/>
      <c r="G151" s="8"/>
      <c r="H151" s="8"/>
      <c r="I151" s="8"/>
      <c r="J151" s="8"/>
      <c r="K151" s="8">
        <v>100</v>
      </c>
      <c r="L151" s="18">
        <v>228.98</v>
      </c>
      <c r="M151" s="7">
        <f t="shared" si="2"/>
        <v>22898</v>
      </c>
      <c r="N151" s="4"/>
      <c r="O151" s="9"/>
    </row>
    <row r="152" spans="1:15" ht="20" x14ac:dyDescent="0.2">
      <c r="A152" s="3">
        <v>148</v>
      </c>
      <c r="B152" s="19" t="s">
        <v>1909</v>
      </c>
      <c r="C152" s="4" t="s">
        <v>1910</v>
      </c>
      <c r="D152" s="4" t="s">
        <v>1616</v>
      </c>
      <c r="E152" s="4"/>
      <c r="F152" s="8"/>
      <c r="G152" s="8"/>
      <c r="H152" s="8"/>
      <c r="I152" s="8"/>
      <c r="J152" s="8"/>
      <c r="K152" s="8">
        <v>200</v>
      </c>
      <c r="L152" s="18">
        <v>117.7</v>
      </c>
      <c r="M152" s="7">
        <f t="shared" si="2"/>
        <v>23540</v>
      </c>
      <c r="N152" s="4"/>
      <c r="O152" s="9"/>
    </row>
    <row r="153" spans="1:15" ht="20" x14ac:dyDescent="0.2">
      <c r="A153" s="3">
        <v>149</v>
      </c>
      <c r="B153" s="19" t="s">
        <v>1911</v>
      </c>
      <c r="C153" s="4" t="s">
        <v>1912</v>
      </c>
      <c r="D153" s="4" t="s">
        <v>1616</v>
      </c>
      <c r="E153" s="4"/>
      <c r="F153" s="8"/>
      <c r="G153" s="8"/>
      <c r="H153" s="8"/>
      <c r="I153" s="8"/>
      <c r="J153" s="8"/>
      <c r="K153" s="8">
        <v>50</v>
      </c>
      <c r="L153" s="18">
        <v>475</v>
      </c>
      <c r="M153" s="7">
        <f t="shared" si="2"/>
        <v>23750</v>
      </c>
      <c r="N153" s="4"/>
      <c r="O153" s="9"/>
    </row>
    <row r="154" spans="1:15" ht="20" x14ac:dyDescent="0.2">
      <c r="A154" s="3">
        <v>150</v>
      </c>
      <c r="B154" s="19" t="s">
        <v>1913</v>
      </c>
      <c r="C154" s="4" t="s">
        <v>1914</v>
      </c>
      <c r="D154" s="4" t="s">
        <v>1616</v>
      </c>
      <c r="E154" s="4"/>
      <c r="F154" s="8"/>
      <c r="G154" s="8"/>
      <c r="H154" s="8"/>
      <c r="I154" s="8"/>
      <c r="J154" s="8"/>
      <c r="K154" s="8">
        <v>680</v>
      </c>
      <c r="L154" s="18">
        <v>35</v>
      </c>
      <c r="M154" s="7">
        <f t="shared" si="2"/>
        <v>23800</v>
      </c>
      <c r="N154" s="4"/>
      <c r="O154" s="9"/>
    </row>
    <row r="155" spans="1:15" ht="20" x14ac:dyDescent="0.2">
      <c r="A155" s="3">
        <v>151</v>
      </c>
      <c r="B155" s="19" t="s">
        <v>1915</v>
      </c>
      <c r="C155" s="4" t="s">
        <v>1916</v>
      </c>
      <c r="D155" s="4" t="s">
        <v>1616</v>
      </c>
      <c r="E155" s="4"/>
      <c r="F155" s="8"/>
      <c r="G155" s="8"/>
      <c r="H155" s="8"/>
      <c r="I155" s="8"/>
      <c r="J155" s="8"/>
      <c r="K155" s="8">
        <v>60</v>
      </c>
      <c r="L155" s="18">
        <v>398</v>
      </c>
      <c r="M155" s="7">
        <f t="shared" si="2"/>
        <v>23880</v>
      </c>
      <c r="N155" s="4"/>
      <c r="O155" s="9"/>
    </row>
    <row r="156" spans="1:15" ht="20" x14ac:dyDescent="0.2">
      <c r="A156" s="3">
        <v>152</v>
      </c>
      <c r="B156" s="19" t="s">
        <v>1917</v>
      </c>
      <c r="C156" s="4" t="s">
        <v>1918</v>
      </c>
      <c r="D156" s="4" t="s">
        <v>1616</v>
      </c>
      <c r="E156" s="4"/>
      <c r="F156" s="8"/>
      <c r="G156" s="8"/>
      <c r="H156" s="8"/>
      <c r="I156" s="8"/>
      <c r="J156" s="8"/>
      <c r="K156" s="8">
        <v>800</v>
      </c>
      <c r="L156" s="18">
        <v>30</v>
      </c>
      <c r="M156" s="7">
        <f t="shared" si="2"/>
        <v>24000</v>
      </c>
      <c r="N156" s="4"/>
      <c r="O156" s="9"/>
    </row>
    <row r="157" spans="1:15" ht="20" x14ac:dyDescent="0.2">
      <c r="A157" s="3">
        <v>153</v>
      </c>
      <c r="B157" s="19" t="s">
        <v>1919</v>
      </c>
      <c r="C157" s="4" t="s">
        <v>1920</v>
      </c>
      <c r="D157" s="4" t="s">
        <v>1616</v>
      </c>
      <c r="E157" s="4"/>
      <c r="F157" s="8"/>
      <c r="G157" s="8"/>
      <c r="H157" s="8"/>
      <c r="I157" s="8"/>
      <c r="J157" s="8"/>
      <c r="K157" s="8">
        <v>400</v>
      </c>
      <c r="L157" s="18">
        <v>60</v>
      </c>
      <c r="M157" s="7">
        <f t="shared" si="2"/>
        <v>24000</v>
      </c>
      <c r="N157" s="4"/>
      <c r="O157" s="9"/>
    </row>
    <row r="158" spans="1:15" ht="20" x14ac:dyDescent="0.2">
      <c r="A158" s="3">
        <v>154</v>
      </c>
      <c r="B158" s="19" t="s">
        <v>1921</v>
      </c>
      <c r="C158" s="4" t="s">
        <v>1922</v>
      </c>
      <c r="D158" s="4" t="s">
        <v>1616</v>
      </c>
      <c r="E158" s="4"/>
      <c r="F158" s="8"/>
      <c r="G158" s="8"/>
      <c r="H158" s="8"/>
      <c r="I158" s="8"/>
      <c r="J158" s="8"/>
      <c r="K158" s="8">
        <v>80</v>
      </c>
      <c r="L158" s="18">
        <v>300</v>
      </c>
      <c r="M158" s="7">
        <f t="shared" si="2"/>
        <v>24000</v>
      </c>
      <c r="N158" s="4"/>
      <c r="O158" s="9"/>
    </row>
    <row r="159" spans="1:15" ht="20" x14ac:dyDescent="0.2">
      <c r="A159" s="3">
        <v>155</v>
      </c>
      <c r="B159" s="19" t="s">
        <v>1923</v>
      </c>
      <c r="C159" s="4" t="s">
        <v>1924</v>
      </c>
      <c r="D159" s="4" t="s">
        <v>1616</v>
      </c>
      <c r="E159" s="4"/>
      <c r="F159" s="8"/>
      <c r="G159" s="8"/>
      <c r="H159" s="8"/>
      <c r="I159" s="8"/>
      <c r="J159" s="8"/>
      <c r="K159" s="8">
        <v>100</v>
      </c>
      <c r="L159" s="18">
        <v>248.99</v>
      </c>
      <c r="M159" s="7">
        <f t="shared" si="2"/>
        <v>24899</v>
      </c>
      <c r="N159" s="4"/>
      <c r="O159" s="9"/>
    </row>
    <row r="160" spans="1:15" ht="20" x14ac:dyDescent="0.2">
      <c r="A160" s="3">
        <v>156</v>
      </c>
      <c r="B160" s="19" t="s">
        <v>1925</v>
      </c>
      <c r="C160" s="4" t="s">
        <v>1926</v>
      </c>
      <c r="D160" s="4" t="s">
        <v>1616</v>
      </c>
      <c r="E160" s="4"/>
      <c r="F160" s="8"/>
      <c r="G160" s="8"/>
      <c r="H160" s="8"/>
      <c r="I160" s="8"/>
      <c r="J160" s="8"/>
      <c r="K160" s="8">
        <v>1000</v>
      </c>
      <c r="L160" s="18">
        <v>25</v>
      </c>
      <c r="M160" s="7">
        <f t="shared" si="2"/>
        <v>25000</v>
      </c>
      <c r="N160" s="4"/>
      <c r="O160" s="9"/>
    </row>
    <row r="161" spans="1:15" ht="20" x14ac:dyDescent="0.2">
      <c r="A161" s="3">
        <v>157</v>
      </c>
      <c r="B161" s="19" t="s">
        <v>1927</v>
      </c>
      <c r="C161" s="4" t="s">
        <v>1928</v>
      </c>
      <c r="D161" s="4" t="s">
        <v>1616</v>
      </c>
      <c r="E161" s="4"/>
      <c r="F161" s="8"/>
      <c r="G161" s="8"/>
      <c r="H161" s="8"/>
      <c r="I161" s="8"/>
      <c r="J161" s="8"/>
      <c r="K161" s="8">
        <v>200</v>
      </c>
      <c r="L161" s="18">
        <v>125</v>
      </c>
      <c r="M161" s="7">
        <f t="shared" si="2"/>
        <v>25000</v>
      </c>
      <c r="N161" s="4"/>
      <c r="O161" s="9"/>
    </row>
    <row r="162" spans="1:15" ht="20" x14ac:dyDescent="0.2">
      <c r="A162" s="3">
        <v>158</v>
      </c>
      <c r="B162" s="19" t="s">
        <v>1929</v>
      </c>
      <c r="C162" s="4" t="s">
        <v>1930</v>
      </c>
      <c r="D162" s="4" t="s">
        <v>1616</v>
      </c>
      <c r="E162" s="4"/>
      <c r="F162" s="8"/>
      <c r="G162" s="8"/>
      <c r="H162" s="8"/>
      <c r="I162" s="8"/>
      <c r="J162" s="8"/>
      <c r="K162" s="8">
        <v>3000</v>
      </c>
      <c r="L162" s="18">
        <v>8.56</v>
      </c>
      <c r="M162" s="7">
        <f t="shared" si="2"/>
        <v>25680</v>
      </c>
      <c r="N162" s="4"/>
      <c r="O162" s="9"/>
    </row>
    <row r="163" spans="1:15" ht="20" x14ac:dyDescent="0.2">
      <c r="A163" s="3">
        <v>159</v>
      </c>
      <c r="B163" s="19" t="s">
        <v>1931</v>
      </c>
      <c r="C163" s="4" t="s">
        <v>1932</v>
      </c>
      <c r="D163" s="4" t="s">
        <v>1616</v>
      </c>
      <c r="E163" s="4"/>
      <c r="F163" s="8"/>
      <c r="G163" s="8"/>
      <c r="H163" s="8"/>
      <c r="I163" s="8"/>
      <c r="J163" s="8"/>
      <c r="K163" s="8">
        <v>120</v>
      </c>
      <c r="L163" s="18">
        <v>220</v>
      </c>
      <c r="M163" s="7">
        <f t="shared" si="2"/>
        <v>26400</v>
      </c>
      <c r="N163" s="4"/>
      <c r="O163" s="9"/>
    </row>
    <row r="164" spans="1:15" ht="20" x14ac:dyDescent="0.2">
      <c r="A164" s="3">
        <v>160</v>
      </c>
      <c r="B164" s="19" t="s">
        <v>1933</v>
      </c>
      <c r="C164" s="4" t="s">
        <v>1934</v>
      </c>
      <c r="D164" s="4" t="s">
        <v>1616</v>
      </c>
      <c r="E164" s="4"/>
      <c r="F164" s="8"/>
      <c r="G164" s="8"/>
      <c r="H164" s="8"/>
      <c r="I164" s="8"/>
      <c r="J164" s="8"/>
      <c r="K164" s="8">
        <v>120</v>
      </c>
      <c r="L164" s="18">
        <v>220</v>
      </c>
      <c r="M164" s="7">
        <f t="shared" si="2"/>
        <v>26400</v>
      </c>
      <c r="N164" s="4"/>
      <c r="O164" s="9"/>
    </row>
    <row r="165" spans="1:15" ht="20" x14ac:dyDescent="0.2">
      <c r="A165" s="3">
        <v>161</v>
      </c>
      <c r="B165" s="19" t="s">
        <v>1935</v>
      </c>
      <c r="C165" s="4" t="s">
        <v>1936</v>
      </c>
      <c r="D165" s="4" t="s">
        <v>1616</v>
      </c>
      <c r="E165" s="4"/>
      <c r="F165" s="8"/>
      <c r="G165" s="8"/>
      <c r="H165" s="8"/>
      <c r="I165" s="8"/>
      <c r="J165" s="8"/>
      <c r="K165" s="8">
        <v>20</v>
      </c>
      <c r="L165" s="18">
        <v>1340</v>
      </c>
      <c r="M165" s="7">
        <f t="shared" si="2"/>
        <v>26800</v>
      </c>
      <c r="N165" s="4"/>
      <c r="O165" s="9"/>
    </row>
    <row r="166" spans="1:15" ht="20" x14ac:dyDescent="0.2">
      <c r="A166" s="3">
        <v>162</v>
      </c>
      <c r="B166" s="19" t="s">
        <v>1937</v>
      </c>
      <c r="C166" s="4" t="s">
        <v>1938</v>
      </c>
      <c r="D166" s="4" t="s">
        <v>1616</v>
      </c>
      <c r="E166" s="4"/>
      <c r="F166" s="8"/>
      <c r="G166" s="8"/>
      <c r="H166" s="8"/>
      <c r="I166" s="8"/>
      <c r="J166" s="8"/>
      <c r="K166" s="8">
        <v>20</v>
      </c>
      <c r="L166" s="18">
        <v>1351.58</v>
      </c>
      <c r="M166" s="7">
        <f t="shared" si="2"/>
        <v>27031.599999999999</v>
      </c>
      <c r="N166" s="4"/>
      <c r="O166" s="9"/>
    </row>
    <row r="167" spans="1:15" ht="20" x14ac:dyDescent="0.2">
      <c r="A167" s="3">
        <v>163</v>
      </c>
      <c r="B167" s="19" t="s">
        <v>1939</v>
      </c>
      <c r="C167" s="4" t="s">
        <v>1940</v>
      </c>
      <c r="D167" s="4" t="s">
        <v>1616</v>
      </c>
      <c r="E167" s="4"/>
      <c r="F167" s="8"/>
      <c r="G167" s="8"/>
      <c r="H167" s="8"/>
      <c r="I167" s="8"/>
      <c r="J167" s="8"/>
      <c r="K167" s="8">
        <v>20</v>
      </c>
      <c r="L167" s="18">
        <v>1351.58</v>
      </c>
      <c r="M167" s="7">
        <f t="shared" si="2"/>
        <v>27031.599999999999</v>
      </c>
      <c r="N167" s="4"/>
      <c r="O167" s="9"/>
    </row>
    <row r="168" spans="1:15" ht="20" x14ac:dyDescent="0.2">
      <c r="A168" s="3">
        <v>164</v>
      </c>
      <c r="B168" s="19" t="s">
        <v>1941</v>
      </c>
      <c r="C168" s="4" t="s">
        <v>1942</v>
      </c>
      <c r="D168" s="4" t="s">
        <v>1616</v>
      </c>
      <c r="E168" s="4"/>
      <c r="F168" s="8"/>
      <c r="G168" s="8"/>
      <c r="H168" s="8"/>
      <c r="I168" s="8"/>
      <c r="J168" s="8"/>
      <c r="K168" s="8">
        <v>100</v>
      </c>
      <c r="L168" s="18">
        <v>278.2</v>
      </c>
      <c r="M168" s="7">
        <f t="shared" si="2"/>
        <v>27820</v>
      </c>
      <c r="N168" s="4"/>
      <c r="O168" s="9"/>
    </row>
    <row r="169" spans="1:15" ht="20" x14ac:dyDescent="0.2">
      <c r="A169" s="3">
        <v>165</v>
      </c>
      <c r="B169" s="19" t="s">
        <v>1943</v>
      </c>
      <c r="C169" s="4" t="s">
        <v>1944</v>
      </c>
      <c r="D169" s="4" t="s">
        <v>1616</v>
      </c>
      <c r="E169" s="4"/>
      <c r="F169" s="8"/>
      <c r="G169" s="8"/>
      <c r="H169" s="8"/>
      <c r="I169" s="8"/>
      <c r="J169" s="8"/>
      <c r="K169" s="8">
        <v>200</v>
      </c>
      <c r="L169" s="18">
        <v>140</v>
      </c>
      <c r="M169" s="7">
        <f t="shared" si="2"/>
        <v>28000</v>
      </c>
      <c r="N169" s="4"/>
      <c r="O169" s="9"/>
    </row>
    <row r="170" spans="1:15" ht="20" x14ac:dyDescent="0.2">
      <c r="A170" s="3">
        <v>166</v>
      </c>
      <c r="B170" s="19" t="s">
        <v>1945</v>
      </c>
      <c r="C170" s="4" t="s">
        <v>1946</v>
      </c>
      <c r="D170" s="4" t="s">
        <v>1616</v>
      </c>
      <c r="E170" s="4"/>
      <c r="F170" s="8"/>
      <c r="G170" s="8"/>
      <c r="H170" s="8"/>
      <c r="I170" s="8"/>
      <c r="J170" s="8"/>
      <c r="K170" s="8">
        <v>120</v>
      </c>
      <c r="L170" s="18">
        <v>235</v>
      </c>
      <c r="M170" s="7">
        <f t="shared" si="2"/>
        <v>28200</v>
      </c>
      <c r="N170" s="4"/>
      <c r="O170" s="9"/>
    </row>
    <row r="171" spans="1:15" ht="20" x14ac:dyDescent="0.2">
      <c r="A171" s="3">
        <v>167</v>
      </c>
      <c r="B171" s="19" t="s">
        <v>1947</v>
      </c>
      <c r="C171" s="4" t="s">
        <v>1948</v>
      </c>
      <c r="D171" s="4" t="s">
        <v>1616</v>
      </c>
      <c r="E171" s="4"/>
      <c r="F171" s="8"/>
      <c r="G171" s="8"/>
      <c r="H171" s="8"/>
      <c r="I171" s="8"/>
      <c r="J171" s="8"/>
      <c r="K171" s="8">
        <v>100</v>
      </c>
      <c r="L171" s="18">
        <v>285</v>
      </c>
      <c r="M171" s="7">
        <f t="shared" si="2"/>
        <v>28500</v>
      </c>
      <c r="N171" s="4"/>
      <c r="O171" s="9"/>
    </row>
    <row r="172" spans="1:15" ht="20" x14ac:dyDescent="0.2">
      <c r="A172" s="3">
        <v>168</v>
      </c>
      <c r="B172" s="19" t="s">
        <v>1949</v>
      </c>
      <c r="C172" s="4" t="s">
        <v>1950</v>
      </c>
      <c r="D172" s="4" t="s">
        <v>1616</v>
      </c>
      <c r="E172" s="4"/>
      <c r="F172" s="8"/>
      <c r="G172" s="8"/>
      <c r="H172" s="8"/>
      <c r="I172" s="8"/>
      <c r="J172" s="8"/>
      <c r="K172" s="8">
        <v>4500</v>
      </c>
      <c r="L172" s="18">
        <v>6.42</v>
      </c>
      <c r="M172" s="7">
        <f t="shared" si="2"/>
        <v>28890</v>
      </c>
      <c r="N172" s="4"/>
      <c r="O172" s="9"/>
    </row>
    <row r="173" spans="1:15" ht="40" x14ac:dyDescent="0.2">
      <c r="A173" s="3">
        <v>169</v>
      </c>
      <c r="B173" s="19" t="s">
        <v>1951</v>
      </c>
      <c r="C173" s="4" t="s">
        <v>1952</v>
      </c>
      <c r="D173" s="4" t="s">
        <v>1616</v>
      </c>
      <c r="E173" s="4"/>
      <c r="F173" s="8"/>
      <c r="G173" s="8"/>
      <c r="H173" s="8"/>
      <c r="I173" s="8"/>
      <c r="J173" s="8"/>
      <c r="K173" s="8">
        <v>80</v>
      </c>
      <c r="L173" s="18">
        <v>365.94</v>
      </c>
      <c r="M173" s="7">
        <f t="shared" si="2"/>
        <v>29275.200000000001</v>
      </c>
      <c r="N173" s="4"/>
      <c r="O173" s="9"/>
    </row>
    <row r="174" spans="1:15" ht="20" x14ac:dyDescent="0.2">
      <c r="A174" s="3">
        <v>170</v>
      </c>
      <c r="B174" s="19" t="s">
        <v>1953</v>
      </c>
      <c r="C174" s="4" t="s">
        <v>1954</v>
      </c>
      <c r="D174" s="4" t="s">
        <v>1616</v>
      </c>
      <c r="E174" s="4"/>
      <c r="F174" s="8"/>
      <c r="G174" s="8"/>
      <c r="H174" s="8"/>
      <c r="I174" s="8"/>
      <c r="J174" s="8"/>
      <c r="K174" s="8">
        <v>12</v>
      </c>
      <c r="L174" s="18">
        <v>2482.4</v>
      </c>
      <c r="M174" s="7">
        <f t="shared" si="2"/>
        <v>29788.800000000003</v>
      </c>
      <c r="N174" s="4"/>
      <c r="O174" s="9"/>
    </row>
    <row r="175" spans="1:15" ht="20" x14ac:dyDescent="0.2">
      <c r="A175" s="3">
        <v>171</v>
      </c>
      <c r="B175" s="19" t="s">
        <v>1955</v>
      </c>
      <c r="C175" s="4" t="s">
        <v>1956</v>
      </c>
      <c r="D175" s="4" t="s">
        <v>1616</v>
      </c>
      <c r="E175" s="4"/>
      <c r="F175" s="8"/>
      <c r="G175" s="8"/>
      <c r="H175" s="8"/>
      <c r="I175" s="8"/>
      <c r="J175" s="8"/>
      <c r="K175" s="8">
        <v>2000</v>
      </c>
      <c r="L175" s="18">
        <v>14.98</v>
      </c>
      <c r="M175" s="7">
        <f t="shared" si="2"/>
        <v>29960</v>
      </c>
      <c r="N175" s="4"/>
      <c r="O175" s="9"/>
    </row>
    <row r="176" spans="1:15" ht="20" x14ac:dyDescent="0.2">
      <c r="A176" s="3">
        <v>172</v>
      </c>
      <c r="B176" s="19" t="s">
        <v>1957</v>
      </c>
      <c r="C176" s="4" t="s">
        <v>1958</v>
      </c>
      <c r="D176" s="4" t="s">
        <v>1616</v>
      </c>
      <c r="E176" s="4"/>
      <c r="F176" s="8"/>
      <c r="G176" s="8"/>
      <c r="H176" s="8"/>
      <c r="I176" s="8"/>
      <c r="J176" s="8"/>
      <c r="K176" s="8">
        <v>400</v>
      </c>
      <c r="L176" s="18">
        <v>75</v>
      </c>
      <c r="M176" s="7">
        <f t="shared" si="2"/>
        <v>30000</v>
      </c>
      <c r="N176" s="4"/>
      <c r="O176" s="9"/>
    </row>
    <row r="177" spans="1:15" ht="20" x14ac:dyDescent="0.2">
      <c r="A177" s="3">
        <v>173</v>
      </c>
      <c r="B177" s="19" t="s">
        <v>1959</v>
      </c>
      <c r="C177" s="4" t="s">
        <v>1960</v>
      </c>
      <c r="D177" s="4" t="s">
        <v>1616</v>
      </c>
      <c r="E177" s="4"/>
      <c r="F177" s="8"/>
      <c r="G177" s="8"/>
      <c r="H177" s="8"/>
      <c r="I177" s="8"/>
      <c r="J177" s="8"/>
      <c r="K177" s="8">
        <v>20</v>
      </c>
      <c r="L177" s="18">
        <v>1520</v>
      </c>
      <c r="M177" s="7">
        <f t="shared" si="2"/>
        <v>30400</v>
      </c>
      <c r="N177" s="4"/>
      <c r="O177" s="9"/>
    </row>
    <row r="178" spans="1:15" ht="20" x14ac:dyDescent="0.2">
      <c r="A178" s="3">
        <v>174</v>
      </c>
      <c r="B178" s="19" t="s">
        <v>1961</v>
      </c>
      <c r="C178" s="4" t="s">
        <v>1962</v>
      </c>
      <c r="D178" s="4" t="s">
        <v>1616</v>
      </c>
      <c r="E178" s="4"/>
      <c r="F178" s="8"/>
      <c r="G178" s="8"/>
      <c r="H178" s="8"/>
      <c r="I178" s="8"/>
      <c r="J178" s="8"/>
      <c r="K178" s="8">
        <v>6</v>
      </c>
      <c r="L178" s="18">
        <v>5080</v>
      </c>
      <c r="M178" s="7">
        <f t="shared" si="2"/>
        <v>30480</v>
      </c>
      <c r="N178" s="4"/>
      <c r="O178" s="9"/>
    </row>
    <row r="179" spans="1:15" ht="20" x14ac:dyDescent="0.2">
      <c r="A179" s="3">
        <v>175</v>
      </c>
      <c r="B179" s="19" t="s">
        <v>1963</v>
      </c>
      <c r="C179" s="4" t="s">
        <v>1964</v>
      </c>
      <c r="D179" s="4" t="s">
        <v>1616</v>
      </c>
      <c r="E179" s="4"/>
      <c r="F179" s="8"/>
      <c r="G179" s="8"/>
      <c r="H179" s="8"/>
      <c r="I179" s="8"/>
      <c r="J179" s="8"/>
      <c r="K179" s="8">
        <v>150</v>
      </c>
      <c r="L179" s="18">
        <v>203.3</v>
      </c>
      <c r="M179" s="7">
        <f t="shared" si="2"/>
        <v>30495</v>
      </c>
      <c r="N179" s="4"/>
      <c r="O179" s="9"/>
    </row>
    <row r="180" spans="1:15" ht="20" x14ac:dyDescent="0.2">
      <c r="A180" s="3">
        <v>176</v>
      </c>
      <c r="B180" s="19" t="s">
        <v>1965</v>
      </c>
      <c r="C180" s="4" t="s">
        <v>1966</v>
      </c>
      <c r="D180" s="4" t="s">
        <v>1616</v>
      </c>
      <c r="E180" s="4"/>
      <c r="F180" s="8"/>
      <c r="G180" s="8"/>
      <c r="H180" s="8"/>
      <c r="I180" s="8"/>
      <c r="J180" s="8"/>
      <c r="K180" s="8">
        <v>3600</v>
      </c>
      <c r="L180" s="18">
        <v>8.56</v>
      </c>
      <c r="M180" s="7">
        <f t="shared" si="2"/>
        <v>30816</v>
      </c>
      <c r="N180" s="4"/>
      <c r="O180" s="9"/>
    </row>
    <row r="181" spans="1:15" ht="40" x14ac:dyDescent="0.2">
      <c r="A181" s="3">
        <v>177</v>
      </c>
      <c r="B181" s="19" t="s">
        <v>1967</v>
      </c>
      <c r="C181" s="4" t="s">
        <v>1968</v>
      </c>
      <c r="D181" s="4" t="s">
        <v>1616</v>
      </c>
      <c r="E181" s="4"/>
      <c r="F181" s="8"/>
      <c r="G181" s="8"/>
      <c r="H181" s="8"/>
      <c r="I181" s="8"/>
      <c r="J181" s="8"/>
      <c r="K181" s="8">
        <v>100</v>
      </c>
      <c r="L181" s="18">
        <v>315</v>
      </c>
      <c r="M181" s="7">
        <f t="shared" si="2"/>
        <v>31500</v>
      </c>
      <c r="N181" s="4"/>
      <c r="O181" s="9"/>
    </row>
    <row r="182" spans="1:15" ht="20" x14ac:dyDescent="0.2">
      <c r="A182" s="3">
        <v>178</v>
      </c>
      <c r="B182" s="19" t="s">
        <v>1969</v>
      </c>
      <c r="C182" s="4" t="s">
        <v>1970</v>
      </c>
      <c r="D182" s="4" t="s">
        <v>1616</v>
      </c>
      <c r="E182" s="4"/>
      <c r="F182" s="8"/>
      <c r="G182" s="8"/>
      <c r="H182" s="8"/>
      <c r="I182" s="8"/>
      <c r="J182" s="8"/>
      <c r="K182" s="8">
        <v>160</v>
      </c>
      <c r="L182" s="18">
        <v>200</v>
      </c>
      <c r="M182" s="7">
        <f t="shared" si="2"/>
        <v>32000</v>
      </c>
      <c r="N182" s="4"/>
      <c r="O182" s="9"/>
    </row>
    <row r="183" spans="1:15" ht="20" x14ac:dyDescent="0.2">
      <c r="A183" s="3">
        <v>179</v>
      </c>
      <c r="B183" s="19" t="s">
        <v>1971</v>
      </c>
      <c r="C183" s="4" t="s">
        <v>1972</v>
      </c>
      <c r="D183" s="4" t="s">
        <v>1616</v>
      </c>
      <c r="E183" s="4"/>
      <c r="F183" s="8"/>
      <c r="G183" s="8"/>
      <c r="H183" s="8"/>
      <c r="I183" s="8"/>
      <c r="J183" s="8"/>
      <c r="K183" s="8">
        <v>1000</v>
      </c>
      <c r="L183" s="18">
        <v>32</v>
      </c>
      <c r="M183" s="7">
        <f t="shared" si="2"/>
        <v>32000</v>
      </c>
      <c r="N183" s="4"/>
      <c r="O183" s="9"/>
    </row>
    <row r="184" spans="1:15" ht="20" x14ac:dyDescent="0.2">
      <c r="A184" s="3">
        <v>180</v>
      </c>
      <c r="B184" s="19" t="s">
        <v>1973</v>
      </c>
      <c r="C184" s="4" t="s">
        <v>1974</v>
      </c>
      <c r="D184" s="4" t="s">
        <v>1616</v>
      </c>
      <c r="E184" s="4"/>
      <c r="F184" s="8"/>
      <c r="G184" s="8"/>
      <c r="H184" s="8"/>
      <c r="I184" s="8"/>
      <c r="J184" s="8"/>
      <c r="K184" s="8">
        <v>160</v>
      </c>
      <c r="L184" s="18">
        <v>200</v>
      </c>
      <c r="M184" s="7">
        <f t="shared" si="2"/>
        <v>32000</v>
      </c>
      <c r="N184" s="4"/>
      <c r="O184" s="9"/>
    </row>
    <row r="185" spans="1:15" ht="40" x14ac:dyDescent="0.2">
      <c r="A185" s="3">
        <v>181</v>
      </c>
      <c r="B185" s="19" t="s">
        <v>1975</v>
      </c>
      <c r="C185" s="4" t="s">
        <v>1976</v>
      </c>
      <c r="D185" s="4" t="s">
        <v>1616</v>
      </c>
      <c r="E185" s="4"/>
      <c r="F185" s="8"/>
      <c r="G185" s="8"/>
      <c r="H185" s="8"/>
      <c r="I185" s="8"/>
      <c r="J185" s="8"/>
      <c r="K185" s="8">
        <v>600</v>
      </c>
      <c r="L185" s="18">
        <v>53.5</v>
      </c>
      <c r="M185" s="7">
        <f t="shared" si="2"/>
        <v>32100</v>
      </c>
      <c r="N185" s="4"/>
      <c r="O185" s="9"/>
    </row>
    <row r="186" spans="1:15" ht="20" x14ac:dyDescent="0.2">
      <c r="A186" s="3">
        <v>182</v>
      </c>
      <c r="B186" s="19" t="s">
        <v>1977</v>
      </c>
      <c r="C186" s="4" t="s">
        <v>1978</v>
      </c>
      <c r="D186" s="4" t="s">
        <v>1616</v>
      </c>
      <c r="E186" s="4"/>
      <c r="F186" s="8"/>
      <c r="G186" s="8"/>
      <c r="H186" s="8"/>
      <c r="I186" s="8"/>
      <c r="J186" s="8"/>
      <c r="K186" s="8">
        <v>1000</v>
      </c>
      <c r="L186" s="18">
        <v>33</v>
      </c>
      <c r="M186" s="7">
        <f t="shared" si="2"/>
        <v>33000</v>
      </c>
      <c r="N186" s="4"/>
      <c r="O186" s="9"/>
    </row>
    <row r="187" spans="1:15" ht="20" x14ac:dyDescent="0.2">
      <c r="A187" s="3">
        <v>183</v>
      </c>
      <c r="B187" s="19" t="s">
        <v>1979</v>
      </c>
      <c r="C187" s="4" t="s">
        <v>1980</v>
      </c>
      <c r="D187" s="4" t="s">
        <v>1616</v>
      </c>
      <c r="E187" s="4"/>
      <c r="F187" s="8"/>
      <c r="G187" s="8"/>
      <c r="H187" s="8"/>
      <c r="I187" s="8"/>
      <c r="J187" s="8"/>
      <c r="K187" s="8">
        <v>120</v>
      </c>
      <c r="L187" s="18">
        <v>279</v>
      </c>
      <c r="M187" s="7">
        <f t="shared" si="2"/>
        <v>33480</v>
      </c>
      <c r="N187" s="4"/>
      <c r="O187" s="9"/>
    </row>
    <row r="188" spans="1:15" ht="20" x14ac:dyDescent="0.2">
      <c r="A188" s="3">
        <v>184</v>
      </c>
      <c r="B188" s="19" t="s">
        <v>1981</v>
      </c>
      <c r="C188" s="4" t="s">
        <v>1982</v>
      </c>
      <c r="D188" s="4" t="s">
        <v>1616</v>
      </c>
      <c r="E188" s="4"/>
      <c r="F188" s="8"/>
      <c r="G188" s="8"/>
      <c r="H188" s="8"/>
      <c r="I188" s="8"/>
      <c r="J188" s="8"/>
      <c r="K188" s="8">
        <v>210</v>
      </c>
      <c r="L188" s="18">
        <v>160.5</v>
      </c>
      <c r="M188" s="7">
        <f t="shared" si="2"/>
        <v>33705</v>
      </c>
      <c r="N188" s="4"/>
      <c r="O188" s="9"/>
    </row>
    <row r="189" spans="1:15" ht="20" x14ac:dyDescent="0.2">
      <c r="A189" s="3">
        <v>185</v>
      </c>
      <c r="B189" s="19" t="s">
        <v>1983</v>
      </c>
      <c r="C189" s="4" t="s">
        <v>1984</v>
      </c>
      <c r="D189" s="4" t="s">
        <v>1616</v>
      </c>
      <c r="E189" s="4"/>
      <c r="F189" s="8"/>
      <c r="G189" s="8"/>
      <c r="H189" s="8"/>
      <c r="I189" s="8"/>
      <c r="J189" s="8"/>
      <c r="K189" s="8">
        <v>10</v>
      </c>
      <c r="L189" s="18">
        <v>3400</v>
      </c>
      <c r="M189" s="7">
        <f t="shared" si="2"/>
        <v>34000</v>
      </c>
      <c r="N189" s="4"/>
      <c r="O189" s="9"/>
    </row>
    <row r="190" spans="1:15" ht="20" x14ac:dyDescent="0.2">
      <c r="A190" s="3">
        <v>186</v>
      </c>
      <c r="B190" s="19" t="s">
        <v>1985</v>
      </c>
      <c r="C190" s="4" t="s">
        <v>1986</v>
      </c>
      <c r="D190" s="4" t="s">
        <v>1616</v>
      </c>
      <c r="E190" s="4"/>
      <c r="F190" s="8"/>
      <c r="G190" s="8"/>
      <c r="H190" s="8"/>
      <c r="I190" s="8"/>
      <c r="J190" s="8"/>
      <c r="K190" s="8">
        <v>40</v>
      </c>
      <c r="L190" s="18">
        <v>854.93</v>
      </c>
      <c r="M190" s="7">
        <f t="shared" si="2"/>
        <v>34197.199999999997</v>
      </c>
      <c r="N190" s="4"/>
      <c r="O190" s="9"/>
    </row>
    <row r="191" spans="1:15" ht="20" x14ac:dyDescent="0.2">
      <c r="A191" s="3">
        <v>187</v>
      </c>
      <c r="B191" s="19" t="s">
        <v>1987</v>
      </c>
      <c r="C191" s="4" t="s">
        <v>1988</v>
      </c>
      <c r="D191" s="4" t="s">
        <v>1616</v>
      </c>
      <c r="E191" s="4"/>
      <c r="F191" s="8"/>
      <c r="G191" s="8"/>
      <c r="H191" s="8"/>
      <c r="I191" s="8"/>
      <c r="J191" s="8"/>
      <c r="K191" s="8">
        <v>80</v>
      </c>
      <c r="L191" s="18">
        <v>428</v>
      </c>
      <c r="M191" s="7">
        <f t="shared" si="2"/>
        <v>34240</v>
      </c>
      <c r="N191" s="4"/>
      <c r="O191" s="9"/>
    </row>
    <row r="192" spans="1:15" ht="20" x14ac:dyDescent="0.2">
      <c r="A192" s="3">
        <v>188</v>
      </c>
      <c r="B192" s="19" t="s">
        <v>1989</v>
      </c>
      <c r="C192" s="4" t="s">
        <v>1990</v>
      </c>
      <c r="D192" s="4" t="s">
        <v>1616</v>
      </c>
      <c r="E192" s="4"/>
      <c r="F192" s="8"/>
      <c r="G192" s="8"/>
      <c r="H192" s="8"/>
      <c r="I192" s="8"/>
      <c r="J192" s="8"/>
      <c r="K192" s="8">
        <v>200</v>
      </c>
      <c r="L192" s="18">
        <v>175</v>
      </c>
      <c r="M192" s="7">
        <f t="shared" si="2"/>
        <v>35000</v>
      </c>
      <c r="N192" s="4"/>
      <c r="O192" s="9"/>
    </row>
    <row r="193" spans="1:15" ht="20" x14ac:dyDescent="0.2">
      <c r="A193" s="3">
        <v>189</v>
      </c>
      <c r="B193" s="19" t="s">
        <v>1991</v>
      </c>
      <c r="C193" s="4" t="s">
        <v>1992</v>
      </c>
      <c r="D193" s="4" t="s">
        <v>1616</v>
      </c>
      <c r="E193" s="4"/>
      <c r="F193" s="8"/>
      <c r="G193" s="8"/>
      <c r="H193" s="8"/>
      <c r="I193" s="8"/>
      <c r="J193" s="8"/>
      <c r="K193" s="8">
        <v>100</v>
      </c>
      <c r="L193" s="18">
        <v>350</v>
      </c>
      <c r="M193" s="7">
        <f t="shared" si="2"/>
        <v>35000</v>
      </c>
      <c r="N193" s="4"/>
      <c r="O193" s="9"/>
    </row>
    <row r="194" spans="1:15" ht="20" x14ac:dyDescent="0.2">
      <c r="A194" s="3">
        <v>190</v>
      </c>
      <c r="B194" s="19" t="s">
        <v>1993</v>
      </c>
      <c r="C194" s="4" t="s">
        <v>1994</v>
      </c>
      <c r="D194" s="4" t="s">
        <v>1616</v>
      </c>
      <c r="E194" s="4"/>
      <c r="F194" s="8"/>
      <c r="G194" s="8"/>
      <c r="H194" s="8"/>
      <c r="I194" s="8"/>
      <c r="J194" s="8"/>
      <c r="K194" s="8">
        <v>80</v>
      </c>
      <c r="L194" s="18">
        <v>440</v>
      </c>
      <c r="M194" s="7">
        <f t="shared" si="2"/>
        <v>35200</v>
      </c>
      <c r="N194" s="4"/>
      <c r="O194" s="9"/>
    </row>
    <row r="195" spans="1:15" ht="20" x14ac:dyDescent="0.2">
      <c r="A195" s="3">
        <v>191</v>
      </c>
      <c r="B195" s="19" t="s">
        <v>1995</v>
      </c>
      <c r="C195" s="4" t="s">
        <v>1996</v>
      </c>
      <c r="D195" s="4" t="s">
        <v>1616</v>
      </c>
      <c r="E195" s="4"/>
      <c r="F195" s="8"/>
      <c r="G195" s="8"/>
      <c r="H195" s="8"/>
      <c r="I195" s="8"/>
      <c r="J195" s="8"/>
      <c r="K195" s="8">
        <v>4</v>
      </c>
      <c r="L195" s="18">
        <v>8934.5</v>
      </c>
      <c r="M195" s="7">
        <f t="shared" si="2"/>
        <v>35738</v>
      </c>
      <c r="N195" s="4"/>
      <c r="O195" s="9"/>
    </row>
    <row r="196" spans="1:15" ht="20" x14ac:dyDescent="0.2">
      <c r="A196" s="3">
        <v>192</v>
      </c>
      <c r="B196" s="19" t="s">
        <v>1997</v>
      </c>
      <c r="C196" s="4" t="s">
        <v>1998</v>
      </c>
      <c r="D196" s="4" t="s">
        <v>1616</v>
      </c>
      <c r="E196" s="4"/>
      <c r="F196" s="8"/>
      <c r="G196" s="8"/>
      <c r="H196" s="8"/>
      <c r="I196" s="8"/>
      <c r="J196" s="8"/>
      <c r="K196" s="8">
        <v>40</v>
      </c>
      <c r="L196" s="18">
        <v>900</v>
      </c>
      <c r="M196" s="7">
        <f t="shared" si="2"/>
        <v>36000</v>
      </c>
      <c r="N196" s="4"/>
      <c r="O196" s="9"/>
    </row>
    <row r="197" spans="1:15" ht="20" x14ac:dyDescent="0.2">
      <c r="A197" s="3">
        <v>193</v>
      </c>
      <c r="B197" s="19" t="s">
        <v>1999</v>
      </c>
      <c r="C197" s="4" t="s">
        <v>2000</v>
      </c>
      <c r="D197" s="4" t="s">
        <v>1616</v>
      </c>
      <c r="E197" s="4"/>
      <c r="F197" s="8"/>
      <c r="G197" s="8"/>
      <c r="H197" s="8"/>
      <c r="I197" s="8"/>
      <c r="J197" s="8"/>
      <c r="K197" s="8">
        <v>1200</v>
      </c>
      <c r="L197" s="18">
        <v>30</v>
      </c>
      <c r="M197" s="7">
        <f t="shared" ref="M197:M260" si="3">IF(OR(K197="",L197=""),"",K197*L197)</f>
        <v>36000</v>
      </c>
      <c r="N197" s="4"/>
      <c r="O197" s="9"/>
    </row>
    <row r="198" spans="1:15" ht="20" x14ac:dyDescent="0.2">
      <c r="A198" s="3">
        <v>194</v>
      </c>
      <c r="B198" s="19" t="s">
        <v>2001</v>
      </c>
      <c r="C198" s="4" t="s">
        <v>2002</v>
      </c>
      <c r="D198" s="4" t="s">
        <v>1616</v>
      </c>
      <c r="E198" s="4"/>
      <c r="F198" s="8"/>
      <c r="G198" s="8"/>
      <c r="H198" s="8"/>
      <c r="I198" s="8"/>
      <c r="J198" s="8"/>
      <c r="K198" s="8">
        <v>600</v>
      </c>
      <c r="L198" s="18">
        <v>60</v>
      </c>
      <c r="M198" s="7">
        <f t="shared" si="3"/>
        <v>36000</v>
      </c>
      <c r="N198" s="4"/>
      <c r="O198" s="9"/>
    </row>
    <row r="199" spans="1:15" ht="20" x14ac:dyDescent="0.2">
      <c r="A199" s="3">
        <v>195</v>
      </c>
      <c r="B199" s="19" t="s">
        <v>2003</v>
      </c>
      <c r="C199" s="4" t="s">
        <v>2004</v>
      </c>
      <c r="D199" s="4" t="s">
        <v>1616</v>
      </c>
      <c r="E199" s="4"/>
      <c r="F199" s="8"/>
      <c r="G199" s="8"/>
      <c r="H199" s="8"/>
      <c r="I199" s="8"/>
      <c r="J199" s="8"/>
      <c r="K199" s="8">
        <v>2800</v>
      </c>
      <c r="L199" s="18">
        <v>13</v>
      </c>
      <c r="M199" s="7">
        <f t="shared" si="3"/>
        <v>36400</v>
      </c>
      <c r="N199" s="4"/>
      <c r="O199" s="9"/>
    </row>
    <row r="200" spans="1:15" ht="20" x14ac:dyDescent="0.2">
      <c r="A200" s="3">
        <v>196</v>
      </c>
      <c r="B200" s="19" t="s">
        <v>2005</v>
      </c>
      <c r="C200" s="4" t="s">
        <v>2006</v>
      </c>
      <c r="D200" s="4" t="s">
        <v>1616</v>
      </c>
      <c r="E200" s="4"/>
      <c r="F200" s="8"/>
      <c r="G200" s="8"/>
      <c r="H200" s="8"/>
      <c r="I200" s="8"/>
      <c r="J200" s="8"/>
      <c r="K200" s="8">
        <v>160</v>
      </c>
      <c r="L200" s="18">
        <v>230</v>
      </c>
      <c r="M200" s="7">
        <f t="shared" si="3"/>
        <v>36800</v>
      </c>
      <c r="N200" s="4"/>
      <c r="O200" s="9"/>
    </row>
    <row r="201" spans="1:15" ht="20" x14ac:dyDescent="0.2">
      <c r="A201" s="3">
        <v>197</v>
      </c>
      <c r="B201" s="19" t="s">
        <v>2007</v>
      </c>
      <c r="C201" s="4" t="s">
        <v>2008</v>
      </c>
      <c r="D201" s="4" t="s">
        <v>1616</v>
      </c>
      <c r="E201" s="4"/>
      <c r="F201" s="8"/>
      <c r="G201" s="8"/>
      <c r="H201" s="8"/>
      <c r="I201" s="8"/>
      <c r="J201" s="8"/>
      <c r="K201" s="8">
        <v>1200</v>
      </c>
      <c r="L201" s="18">
        <v>31.03</v>
      </c>
      <c r="M201" s="7">
        <f t="shared" si="3"/>
        <v>37236</v>
      </c>
      <c r="N201" s="4"/>
      <c r="O201" s="9"/>
    </row>
    <row r="202" spans="1:15" ht="20" x14ac:dyDescent="0.2">
      <c r="A202" s="3">
        <v>198</v>
      </c>
      <c r="B202" s="19" t="s">
        <v>2009</v>
      </c>
      <c r="C202" s="4" t="s">
        <v>2010</v>
      </c>
      <c r="D202" s="4" t="s">
        <v>1616</v>
      </c>
      <c r="E202" s="4"/>
      <c r="F202" s="8"/>
      <c r="G202" s="8"/>
      <c r="H202" s="8"/>
      <c r="I202" s="8"/>
      <c r="J202" s="8"/>
      <c r="K202" s="8">
        <v>300</v>
      </c>
      <c r="L202" s="18">
        <v>125</v>
      </c>
      <c r="M202" s="7">
        <f t="shared" si="3"/>
        <v>37500</v>
      </c>
      <c r="N202" s="4"/>
      <c r="O202" s="9"/>
    </row>
    <row r="203" spans="1:15" ht="20" x14ac:dyDescent="0.2">
      <c r="A203" s="3">
        <v>199</v>
      </c>
      <c r="B203" s="19" t="s">
        <v>2011</v>
      </c>
      <c r="C203" s="4" t="s">
        <v>2012</v>
      </c>
      <c r="D203" s="4" t="s">
        <v>1616</v>
      </c>
      <c r="E203" s="4"/>
      <c r="F203" s="8"/>
      <c r="G203" s="8"/>
      <c r="H203" s="8"/>
      <c r="I203" s="8"/>
      <c r="J203" s="8"/>
      <c r="K203" s="8">
        <v>10</v>
      </c>
      <c r="L203" s="18">
        <v>3779.24</v>
      </c>
      <c r="M203" s="7">
        <f t="shared" si="3"/>
        <v>37792.399999999994</v>
      </c>
      <c r="N203" s="4"/>
      <c r="O203" s="9"/>
    </row>
    <row r="204" spans="1:15" ht="20" x14ac:dyDescent="0.2">
      <c r="A204" s="3">
        <v>200</v>
      </c>
      <c r="B204" s="19" t="s">
        <v>2013</v>
      </c>
      <c r="C204" s="4" t="s">
        <v>2014</v>
      </c>
      <c r="D204" s="4" t="s">
        <v>1616</v>
      </c>
      <c r="E204" s="4"/>
      <c r="F204" s="8"/>
      <c r="G204" s="8"/>
      <c r="H204" s="8"/>
      <c r="I204" s="8"/>
      <c r="J204" s="8"/>
      <c r="K204" s="8">
        <v>1200</v>
      </c>
      <c r="L204" s="18">
        <v>32</v>
      </c>
      <c r="M204" s="7">
        <f t="shared" si="3"/>
        <v>38400</v>
      </c>
      <c r="N204" s="4"/>
      <c r="O204" s="9"/>
    </row>
    <row r="205" spans="1:15" ht="20" x14ac:dyDescent="0.2">
      <c r="A205" s="3">
        <v>201</v>
      </c>
      <c r="B205" s="19" t="s">
        <v>2015</v>
      </c>
      <c r="C205" s="4" t="s">
        <v>2016</v>
      </c>
      <c r="D205" s="4" t="s">
        <v>1616</v>
      </c>
      <c r="E205" s="4"/>
      <c r="F205" s="8"/>
      <c r="G205" s="8"/>
      <c r="H205" s="8"/>
      <c r="I205" s="8"/>
      <c r="J205" s="8"/>
      <c r="K205" s="8">
        <v>800</v>
      </c>
      <c r="L205" s="18">
        <v>48.15</v>
      </c>
      <c r="M205" s="7">
        <f t="shared" si="3"/>
        <v>38520</v>
      </c>
      <c r="N205" s="4"/>
      <c r="O205" s="9"/>
    </row>
    <row r="206" spans="1:15" ht="20" x14ac:dyDescent="0.2">
      <c r="A206" s="3">
        <v>202</v>
      </c>
      <c r="B206" s="19" t="s">
        <v>2017</v>
      </c>
      <c r="C206" s="4" t="s">
        <v>2018</v>
      </c>
      <c r="D206" s="4" t="s">
        <v>1616</v>
      </c>
      <c r="E206" s="4"/>
      <c r="F206" s="8"/>
      <c r="G206" s="8"/>
      <c r="H206" s="8"/>
      <c r="I206" s="8"/>
      <c r="J206" s="8"/>
      <c r="K206" s="8">
        <v>450</v>
      </c>
      <c r="L206" s="18">
        <v>85.6</v>
      </c>
      <c r="M206" s="7">
        <f t="shared" si="3"/>
        <v>38520</v>
      </c>
      <c r="N206" s="4"/>
      <c r="O206" s="9"/>
    </row>
    <row r="207" spans="1:15" ht="20" x14ac:dyDescent="0.2">
      <c r="A207" s="3">
        <v>203</v>
      </c>
      <c r="B207" s="19" t="s">
        <v>2019</v>
      </c>
      <c r="C207" s="4" t="s">
        <v>2020</v>
      </c>
      <c r="D207" s="4" t="s">
        <v>1616</v>
      </c>
      <c r="E207" s="4"/>
      <c r="F207" s="8"/>
      <c r="G207" s="8"/>
      <c r="H207" s="8"/>
      <c r="I207" s="8"/>
      <c r="J207" s="8"/>
      <c r="K207" s="8">
        <v>300</v>
      </c>
      <c r="L207" s="18">
        <v>129.47</v>
      </c>
      <c r="M207" s="7">
        <f t="shared" si="3"/>
        <v>38841</v>
      </c>
      <c r="N207" s="4"/>
      <c r="O207" s="9"/>
    </row>
    <row r="208" spans="1:15" ht="20" x14ac:dyDescent="0.2">
      <c r="A208" s="3">
        <v>204</v>
      </c>
      <c r="B208" s="19" t="s">
        <v>2021</v>
      </c>
      <c r="C208" s="4" t="s">
        <v>2022</v>
      </c>
      <c r="D208" s="4" t="s">
        <v>1616</v>
      </c>
      <c r="E208" s="4"/>
      <c r="F208" s="8"/>
      <c r="G208" s="8"/>
      <c r="H208" s="8"/>
      <c r="I208" s="8"/>
      <c r="J208" s="8"/>
      <c r="K208" s="8">
        <v>30</v>
      </c>
      <c r="L208" s="18">
        <v>1305</v>
      </c>
      <c r="M208" s="7">
        <f t="shared" si="3"/>
        <v>39150</v>
      </c>
      <c r="N208" s="4"/>
      <c r="O208" s="9"/>
    </row>
    <row r="209" spans="1:15" ht="20" x14ac:dyDescent="0.2">
      <c r="A209" s="3">
        <v>205</v>
      </c>
      <c r="B209" s="19" t="s">
        <v>2023</v>
      </c>
      <c r="C209" s="4" t="s">
        <v>2024</v>
      </c>
      <c r="D209" s="4" t="s">
        <v>1616</v>
      </c>
      <c r="E209" s="4"/>
      <c r="F209" s="8"/>
      <c r="G209" s="8"/>
      <c r="H209" s="8"/>
      <c r="I209" s="8"/>
      <c r="J209" s="8"/>
      <c r="K209" s="8">
        <v>370</v>
      </c>
      <c r="L209" s="18">
        <v>107</v>
      </c>
      <c r="M209" s="7">
        <f t="shared" si="3"/>
        <v>39590</v>
      </c>
      <c r="N209" s="4"/>
      <c r="O209" s="9"/>
    </row>
    <row r="210" spans="1:15" ht="20" x14ac:dyDescent="0.2">
      <c r="A210" s="3">
        <v>206</v>
      </c>
      <c r="B210" s="19" t="s">
        <v>2025</v>
      </c>
      <c r="C210" s="4" t="s">
        <v>2026</v>
      </c>
      <c r="D210" s="4" t="s">
        <v>1616</v>
      </c>
      <c r="E210" s="4"/>
      <c r="F210" s="8"/>
      <c r="G210" s="8"/>
      <c r="H210" s="8"/>
      <c r="I210" s="8"/>
      <c r="J210" s="8"/>
      <c r="K210" s="8">
        <v>70</v>
      </c>
      <c r="L210" s="18">
        <v>570</v>
      </c>
      <c r="M210" s="7">
        <f t="shared" si="3"/>
        <v>39900</v>
      </c>
      <c r="N210" s="4"/>
      <c r="O210" s="9"/>
    </row>
    <row r="211" spans="1:15" ht="20" x14ac:dyDescent="0.2">
      <c r="A211" s="3">
        <v>207</v>
      </c>
      <c r="B211" s="19" t="s">
        <v>2027</v>
      </c>
      <c r="C211" s="4" t="s">
        <v>2028</v>
      </c>
      <c r="D211" s="4" t="s">
        <v>1616</v>
      </c>
      <c r="E211" s="4"/>
      <c r="F211" s="8"/>
      <c r="G211" s="8"/>
      <c r="H211" s="8"/>
      <c r="I211" s="8"/>
      <c r="J211" s="8"/>
      <c r="K211" s="8">
        <v>160</v>
      </c>
      <c r="L211" s="18">
        <v>250</v>
      </c>
      <c r="M211" s="7">
        <f t="shared" si="3"/>
        <v>40000</v>
      </c>
      <c r="N211" s="4"/>
      <c r="O211" s="9"/>
    </row>
    <row r="212" spans="1:15" ht="20" x14ac:dyDescent="0.2">
      <c r="A212" s="3">
        <v>208</v>
      </c>
      <c r="B212" s="19" t="s">
        <v>2029</v>
      </c>
      <c r="C212" s="4" t="s">
        <v>2030</v>
      </c>
      <c r="D212" s="4" t="s">
        <v>1616</v>
      </c>
      <c r="E212" s="4"/>
      <c r="F212" s="8"/>
      <c r="G212" s="8"/>
      <c r="H212" s="8"/>
      <c r="I212" s="8"/>
      <c r="J212" s="8"/>
      <c r="K212" s="8">
        <v>150</v>
      </c>
      <c r="L212" s="18">
        <v>267.5</v>
      </c>
      <c r="M212" s="7">
        <f t="shared" si="3"/>
        <v>40125</v>
      </c>
      <c r="N212" s="4"/>
      <c r="O212" s="9"/>
    </row>
    <row r="213" spans="1:15" ht="40" x14ac:dyDescent="0.2">
      <c r="A213" s="3">
        <v>209</v>
      </c>
      <c r="B213" s="19" t="s">
        <v>2031</v>
      </c>
      <c r="C213" s="4" t="s">
        <v>2032</v>
      </c>
      <c r="D213" s="4" t="s">
        <v>1616</v>
      </c>
      <c r="E213" s="4"/>
      <c r="F213" s="8"/>
      <c r="G213" s="8"/>
      <c r="H213" s="8"/>
      <c r="I213" s="8"/>
      <c r="J213" s="8"/>
      <c r="K213" s="8">
        <v>50</v>
      </c>
      <c r="L213" s="18">
        <v>802.5</v>
      </c>
      <c r="M213" s="7">
        <f t="shared" si="3"/>
        <v>40125</v>
      </c>
      <c r="N213" s="4"/>
      <c r="O213" s="9"/>
    </row>
    <row r="214" spans="1:15" ht="20" x14ac:dyDescent="0.2">
      <c r="A214" s="3">
        <v>210</v>
      </c>
      <c r="B214" s="19" t="s">
        <v>2033</v>
      </c>
      <c r="C214" s="4" t="s">
        <v>2034</v>
      </c>
      <c r="D214" s="4" t="s">
        <v>1616</v>
      </c>
      <c r="E214" s="4"/>
      <c r="F214" s="8"/>
      <c r="G214" s="8"/>
      <c r="H214" s="8"/>
      <c r="I214" s="8"/>
      <c r="J214" s="8"/>
      <c r="K214" s="8">
        <v>2520</v>
      </c>
      <c r="L214" s="18">
        <v>16</v>
      </c>
      <c r="M214" s="7">
        <f t="shared" si="3"/>
        <v>40320</v>
      </c>
      <c r="N214" s="4"/>
      <c r="O214" s="9"/>
    </row>
    <row r="215" spans="1:15" ht="20" x14ac:dyDescent="0.2">
      <c r="A215" s="3">
        <v>211</v>
      </c>
      <c r="B215" s="19" t="s">
        <v>2035</v>
      </c>
      <c r="C215" s="4" t="s">
        <v>2036</v>
      </c>
      <c r="D215" s="4" t="s">
        <v>1616</v>
      </c>
      <c r="E215" s="4"/>
      <c r="F215" s="8"/>
      <c r="G215" s="8"/>
      <c r="H215" s="8"/>
      <c r="I215" s="8"/>
      <c r="J215" s="8"/>
      <c r="K215" s="8">
        <v>100</v>
      </c>
      <c r="L215" s="18">
        <v>405</v>
      </c>
      <c r="M215" s="7">
        <f t="shared" si="3"/>
        <v>40500</v>
      </c>
      <c r="N215" s="4"/>
      <c r="O215" s="9"/>
    </row>
    <row r="216" spans="1:15" ht="20" x14ac:dyDescent="0.2">
      <c r="A216" s="3">
        <v>212</v>
      </c>
      <c r="B216" s="19" t="s">
        <v>2037</v>
      </c>
      <c r="C216" s="4" t="s">
        <v>2038</v>
      </c>
      <c r="D216" s="4" t="s">
        <v>1616</v>
      </c>
      <c r="E216" s="4"/>
      <c r="F216" s="8"/>
      <c r="G216" s="8"/>
      <c r="H216" s="8"/>
      <c r="I216" s="8"/>
      <c r="J216" s="8"/>
      <c r="K216" s="8">
        <v>90</v>
      </c>
      <c r="L216" s="18">
        <v>450</v>
      </c>
      <c r="M216" s="7">
        <f t="shared" si="3"/>
        <v>40500</v>
      </c>
      <c r="N216" s="4"/>
      <c r="O216" s="9"/>
    </row>
    <row r="217" spans="1:15" ht="20" x14ac:dyDescent="0.2">
      <c r="A217" s="3">
        <v>213</v>
      </c>
      <c r="B217" s="19" t="s">
        <v>2039</v>
      </c>
      <c r="C217" s="4" t="s">
        <v>2040</v>
      </c>
      <c r="D217" s="4" t="s">
        <v>1616</v>
      </c>
      <c r="E217" s="4"/>
      <c r="F217" s="8"/>
      <c r="G217" s="8"/>
      <c r="H217" s="8"/>
      <c r="I217" s="8"/>
      <c r="J217" s="8"/>
      <c r="K217" s="8">
        <v>5</v>
      </c>
      <c r="L217" s="18">
        <v>8125.58</v>
      </c>
      <c r="M217" s="7">
        <f t="shared" si="3"/>
        <v>40627.9</v>
      </c>
      <c r="N217" s="4"/>
      <c r="O217" s="9"/>
    </row>
    <row r="218" spans="1:15" ht="20" x14ac:dyDescent="0.2">
      <c r="A218" s="3">
        <v>214</v>
      </c>
      <c r="B218" s="19" t="s">
        <v>2041</v>
      </c>
      <c r="C218" s="4" t="s">
        <v>2042</v>
      </c>
      <c r="D218" s="4" t="s">
        <v>1616</v>
      </c>
      <c r="E218" s="4"/>
      <c r="F218" s="8"/>
      <c r="G218" s="8"/>
      <c r="H218" s="8"/>
      <c r="I218" s="8"/>
      <c r="J218" s="8"/>
      <c r="K218" s="8">
        <v>640</v>
      </c>
      <c r="L218" s="18">
        <v>65.27</v>
      </c>
      <c r="M218" s="7">
        <f t="shared" si="3"/>
        <v>41772.799999999996</v>
      </c>
      <c r="N218" s="4"/>
      <c r="O218" s="9"/>
    </row>
    <row r="219" spans="1:15" ht="20" x14ac:dyDescent="0.2">
      <c r="A219" s="3">
        <v>215</v>
      </c>
      <c r="B219" s="19" t="s">
        <v>2043</v>
      </c>
      <c r="C219" s="4" t="s">
        <v>2044</v>
      </c>
      <c r="D219" s="4" t="s">
        <v>1616</v>
      </c>
      <c r="E219" s="4"/>
      <c r="F219" s="8"/>
      <c r="G219" s="8"/>
      <c r="H219" s="8"/>
      <c r="I219" s="8"/>
      <c r="J219" s="8"/>
      <c r="K219" s="8">
        <v>60</v>
      </c>
      <c r="L219" s="18">
        <v>700</v>
      </c>
      <c r="M219" s="7">
        <f t="shared" si="3"/>
        <v>42000</v>
      </c>
      <c r="N219" s="4"/>
      <c r="O219" s="9"/>
    </row>
    <row r="220" spans="1:15" ht="40" x14ac:dyDescent="0.2">
      <c r="A220" s="3">
        <v>216</v>
      </c>
      <c r="B220" s="19" t="s">
        <v>2045</v>
      </c>
      <c r="C220" s="4" t="s">
        <v>2046</v>
      </c>
      <c r="D220" s="4" t="s">
        <v>1616</v>
      </c>
      <c r="E220" s="4"/>
      <c r="F220" s="8"/>
      <c r="G220" s="8"/>
      <c r="H220" s="8"/>
      <c r="I220" s="8"/>
      <c r="J220" s="8"/>
      <c r="K220" s="8">
        <v>400</v>
      </c>
      <c r="L220" s="18">
        <v>105</v>
      </c>
      <c r="M220" s="7">
        <f t="shared" si="3"/>
        <v>42000</v>
      </c>
      <c r="N220" s="4"/>
      <c r="O220" s="9"/>
    </row>
    <row r="221" spans="1:15" ht="20" x14ac:dyDescent="0.2">
      <c r="A221" s="3">
        <v>217</v>
      </c>
      <c r="B221" s="19" t="s">
        <v>2047</v>
      </c>
      <c r="C221" s="4" t="s">
        <v>2048</v>
      </c>
      <c r="D221" s="4" t="s">
        <v>1616</v>
      </c>
      <c r="E221" s="4"/>
      <c r="F221" s="8"/>
      <c r="G221" s="8"/>
      <c r="H221" s="8"/>
      <c r="I221" s="8"/>
      <c r="J221" s="8"/>
      <c r="K221" s="8">
        <v>150</v>
      </c>
      <c r="L221" s="18">
        <v>280</v>
      </c>
      <c r="M221" s="7">
        <f t="shared" si="3"/>
        <v>42000</v>
      </c>
      <c r="N221" s="4"/>
      <c r="O221" s="9"/>
    </row>
    <row r="222" spans="1:15" ht="20" x14ac:dyDescent="0.2">
      <c r="A222" s="3">
        <v>218</v>
      </c>
      <c r="B222" s="19" t="s">
        <v>2049</v>
      </c>
      <c r="C222" s="4" t="s">
        <v>2050</v>
      </c>
      <c r="D222" s="4" t="s">
        <v>1616</v>
      </c>
      <c r="E222" s="4"/>
      <c r="F222" s="8"/>
      <c r="G222" s="8"/>
      <c r="H222" s="8"/>
      <c r="I222" s="8"/>
      <c r="J222" s="8"/>
      <c r="K222" s="8">
        <v>30</v>
      </c>
      <c r="L222" s="18">
        <v>1400</v>
      </c>
      <c r="M222" s="7">
        <f t="shared" si="3"/>
        <v>42000</v>
      </c>
      <c r="N222" s="4"/>
      <c r="O222" s="9"/>
    </row>
    <row r="223" spans="1:15" ht="20" x14ac:dyDescent="0.2">
      <c r="A223" s="3">
        <v>219</v>
      </c>
      <c r="B223" s="19" t="s">
        <v>2051</v>
      </c>
      <c r="C223" s="4" t="s">
        <v>2052</v>
      </c>
      <c r="D223" s="4" t="s">
        <v>1616</v>
      </c>
      <c r="E223" s="4"/>
      <c r="F223" s="8"/>
      <c r="G223" s="8"/>
      <c r="H223" s="8"/>
      <c r="I223" s="8"/>
      <c r="J223" s="8"/>
      <c r="K223" s="8">
        <v>4000</v>
      </c>
      <c r="L223" s="18">
        <v>10.7</v>
      </c>
      <c r="M223" s="7">
        <f t="shared" si="3"/>
        <v>42800</v>
      </c>
      <c r="N223" s="4"/>
      <c r="O223" s="9"/>
    </row>
    <row r="224" spans="1:15" ht="20" x14ac:dyDescent="0.2">
      <c r="A224" s="3">
        <v>220</v>
      </c>
      <c r="B224" s="19" t="s">
        <v>2053</v>
      </c>
      <c r="C224" s="4" t="s">
        <v>2054</v>
      </c>
      <c r="D224" s="4" t="s">
        <v>1616</v>
      </c>
      <c r="E224" s="4"/>
      <c r="F224" s="8"/>
      <c r="G224" s="8"/>
      <c r="H224" s="8"/>
      <c r="I224" s="8"/>
      <c r="J224" s="8"/>
      <c r="K224" s="8">
        <v>8</v>
      </c>
      <c r="L224" s="18">
        <v>5350</v>
      </c>
      <c r="M224" s="7">
        <f t="shared" si="3"/>
        <v>42800</v>
      </c>
      <c r="N224" s="4"/>
      <c r="O224" s="9"/>
    </row>
    <row r="225" spans="1:15" ht="20" x14ac:dyDescent="0.2">
      <c r="A225" s="3">
        <v>221</v>
      </c>
      <c r="B225" s="19" t="s">
        <v>2055</v>
      </c>
      <c r="C225" s="4" t="s">
        <v>2056</v>
      </c>
      <c r="D225" s="4" t="s">
        <v>1616</v>
      </c>
      <c r="E225" s="4"/>
      <c r="F225" s="8"/>
      <c r="G225" s="8"/>
      <c r="H225" s="8"/>
      <c r="I225" s="8"/>
      <c r="J225" s="8"/>
      <c r="K225" s="8">
        <v>100</v>
      </c>
      <c r="L225" s="18">
        <v>428</v>
      </c>
      <c r="M225" s="7">
        <f t="shared" si="3"/>
        <v>42800</v>
      </c>
      <c r="N225" s="4"/>
      <c r="O225" s="9"/>
    </row>
    <row r="226" spans="1:15" ht="20" x14ac:dyDescent="0.2">
      <c r="A226" s="3">
        <v>222</v>
      </c>
      <c r="B226" s="19" t="s">
        <v>2057</v>
      </c>
      <c r="C226" s="4" t="s">
        <v>2058</v>
      </c>
      <c r="D226" s="4" t="s">
        <v>1616</v>
      </c>
      <c r="E226" s="4"/>
      <c r="F226" s="8"/>
      <c r="G226" s="8"/>
      <c r="H226" s="8"/>
      <c r="I226" s="8"/>
      <c r="J226" s="8"/>
      <c r="K226" s="8">
        <v>200</v>
      </c>
      <c r="L226" s="18">
        <v>214</v>
      </c>
      <c r="M226" s="7">
        <f t="shared" si="3"/>
        <v>42800</v>
      </c>
      <c r="N226" s="4"/>
      <c r="O226" s="9"/>
    </row>
    <row r="227" spans="1:15" ht="20" x14ac:dyDescent="0.2">
      <c r="A227" s="3">
        <v>223</v>
      </c>
      <c r="B227" s="19" t="s">
        <v>2059</v>
      </c>
      <c r="C227" s="4" t="s">
        <v>2060</v>
      </c>
      <c r="D227" s="4" t="s">
        <v>1616</v>
      </c>
      <c r="E227" s="4"/>
      <c r="F227" s="8"/>
      <c r="G227" s="8"/>
      <c r="H227" s="8"/>
      <c r="I227" s="8"/>
      <c r="J227" s="8"/>
      <c r="K227" s="8">
        <v>80</v>
      </c>
      <c r="L227" s="18">
        <v>550</v>
      </c>
      <c r="M227" s="7">
        <f t="shared" si="3"/>
        <v>44000</v>
      </c>
      <c r="N227" s="4"/>
      <c r="O227" s="9"/>
    </row>
    <row r="228" spans="1:15" ht="20" x14ac:dyDescent="0.2">
      <c r="A228" s="3">
        <v>224</v>
      </c>
      <c r="B228" s="19" t="s">
        <v>2061</v>
      </c>
      <c r="C228" s="4" t="s">
        <v>2062</v>
      </c>
      <c r="D228" s="4" t="s">
        <v>1616</v>
      </c>
      <c r="E228" s="4"/>
      <c r="F228" s="8"/>
      <c r="G228" s="8"/>
      <c r="H228" s="8"/>
      <c r="I228" s="8"/>
      <c r="J228" s="8"/>
      <c r="K228" s="8">
        <v>100</v>
      </c>
      <c r="L228" s="18">
        <v>441.5</v>
      </c>
      <c r="M228" s="7">
        <f t="shared" si="3"/>
        <v>44150</v>
      </c>
      <c r="N228" s="4"/>
      <c r="O228" s="9"/>
    </row>
    <row r="229" spans="1:15" ht="20" x14ac:dyDescent="0.2">
      <c r="A229" s="3">
        <v>225</v>
      </c>
      <c r="B229" s="19" t="s">
        <v>2063</v>
      </c>
      <c r="C229" s="4" t="s">
        <v>2064</v>
      </c>
      <c r="D229" s="4" t="s">
        <v>1616</v>
      </c>
      <c r="E229" s="4"/>
      <c r="F229" s="8"/>
      <c r="G229" s="8"/>
      <c r="H229" s="8"/>
      <c r="I229" s="8"/>
      <c r="J229" s="8"/>
      <c r="K229" s="8">
        <v>240</v>
      </c>
      <c r="L229" s="18">
        <v>187.2</v>
      </c>
      <c r="M229" s="7">
        <f t="shared" si="3"/>
        <v>44928</v>
      </c>
      <c r="N229" s="4"/>
      <c r="O229" s="9"/>
    </row>
    <row r="230" spans="1:15" ht="40" x14ac:dyDescent="0.2">
      <c r="A230" s="3">
        <v>226</v>
      </c>
      <c r="B230" s="19" t="s">
        <v>2065</v>
      </c>
      <c r="C230" s="4" t="s">
        <v>2066</v>
      </c>
      <c r="D230" s="4" t="s">
        <v>1616</v>
      </c>
      <c r="E230" s="4"/>
      <c r="F230" s="8"/>
      <c r="G230" s="8"/>
      <c r="H230" s="8"/>
      <c r="I230" s="8"/>
      <c r="J230" s="8"/>
      <c r="K230" s="8">
        <v>900</v>
      </c>
      <c r="L230" s="18">
        <v>50</v>
      </c>
      <c r="M230" s="7">
        <f t="shared" si="3"/>
        <v>45000</v>
      </c>
      <c r="N230" s="4"/>
      <c r="O230" s="9"/>
    </row>
    <row r="231" spans="1:15" ht="20" x14ac:dyDescent="0.2">
      <c r="A231" s="3">
        <v>227</v>
      </c>
      <c r="B231" s="19" t="s">
        <v>2067</v>
      </c>
      <c r="C231" s="4" t="s">
        <v>2068</v>
      </c>
      <c r="D231" s="4" t="s">
        <v>1616</v>
      </c>
      <c r="E231" s="4"/>
      <c r="F231" s="8"/>
      <c r="G231" s="8"/>
      <c r="H231" s="8"/>
      <c r="I231" s="8"/>
      <c r="J231" s="8"/>
      <c r="K231" s="8">
        <v>150</v>
      </c>
      <c r="L231" s="18">
        <v>300</v>
      </c>
      <c r="M231" s="7">
        <f t="shared" si="3"/>
        <v>45000</v>
      </c>
      <c r="N231" s="4"/>
      <c r="O231" s="9"/>
    </row>
    <row r="232" spans="1:15" ht="20" x14ac:dyDescent="0.2">
      <c r="A232" s="3">
        <v>228</v>
      </c>
      <c r="B232" s="19" t="s">
        <v>2069</v>
      </c>
      <c r="C232" s="4" t="s">
        <v>2070</v>
      </c>
      <c r="D232" s="4" t="s">
        <v>1616</v>
      </c>
      <c r="E232" s="4"/>
      <c r="F232" s="8"/>
      <c r="G232" s="8"/>
      <c r="H232" s="8"/>
      <c r="I232" s="8"/>
      <c r="J232" s="8"/>
      <c r="K232" s="8">
        <v>90</v>
      </c>
      <c r="L232" s="18">
        <v>500</v>
      </c>
      <c r="M232" s="7">
        <f t="shared" si="3"/>
        <v>45000</v>
      </c>
      <c r="N232" s="4"/>
      <c r="O232" s="9"/>
    </row>
    <row r="233" spans="1:15" ht="20" x14ac:dyDescent="0.2">
      <c r="A233" s="3">
        <v>229</v>
      </c>
      <c r="B233" s="19" t="s">
        <v>2071</v>
      </c>
      <c r="C233" s="4" t="s">
        <v>2072</v>
      </c>
      <c r="D233" s="4" t="s">
        <v>1616</v>
      </c>
      <c r="E233" s="4"/>
      <c r="F233" s="8"/>
      <c r="G233" s="8"/>
      <c r="H233" s="8"/>
      <c r="I233" s="8"/>
      <c r="J233" s="8"/>
      <c r="K233" s="8">
        <v>60</v>
      </c>
      <c r="L233" s="18">
        <v>757.56</v>
      </c>
      <c r="M233" s="7">
        <f t="shared" si="3"/>
        <v>45453.599999999999</v>
      </c>
      <c r="N233" s="4"/>
      <c r="O233" s="9"/>
    </row>
    <row r="234" spans="1:15" ht="20" x14ac:dyDescent="0.2">
      <c r="A234" s="3">
        <v>230</v>
      </c>
      <c r="B234" s="19" t="s">
        <v>2073</v>
      </c>
      <c r="C234" s="4" t="s">
        <v>2074</v>
      </c>
      <c r="D234" s="4" t="s">
        <v>1616</v>
      </c>
      <c r="E234" s="4"/>
      <c r="F234" s="8"/>
      <c r="G234" s="8"/>
      <c r="H234" s="8"/>
      <c r="I234" s="8"/>
      <c r="J234" s="8"/>
      <c r="K234" s="8">
        <v>240</v>
      </c>
      <c r="L234" s="18">
        <v>190</v>
      </c>
      <c r="M234" s="7">
        <f t="shared" si="3"/>
        <v>45600</v>
      </c>
      <c r="N234" s="4"/>
      <c r="O234" s="9"/>
    </row>
    <row r="235" spans="1:15" ht="20" x14ac:dyDescent="0.2">
      <c r="A235" s="3">
        <v>231</v>
      </c>
      <c r="B235" s="19" t="s">
        <v>2075</v>
      </c>
      <c r="C235" s="4" t="s">
        <v>2076</v>
      </c>
      <c r="D235" s="4" t="s">
        <v>1616</v>
      </c>
      <c r="E235" s="4"/>
      <c r="F235" s="8"/>
      <c r="G235" s="8"/>
      <c r="H235" s="8"/>
      <c r="I235" s="8"/>
      <c r="J235" s="8"/>
      <c r="K235" s="8">
        <v>140</v>
      </c>
      <c r="L235" s="18">
        <v>331.5</v>
      </c>
      <c r="M235" s="7">
        <f t="shared" si="3"/>
        <v>46410</v>
      </c>
      <c r="N235" s="4"/>
      <c r="O235" s="9"/>
    </row>
    <row r="236" spans="1:15" ht="20" x14ac:dyDescent="0.2">
      <c r="A236" s="3">
        <v>232</v>
      </c>
      <c r="B236" s="19" t="s">
        <v>2077</v>
      </c>
      <c r="C236" s="4" t="s">
        <v>2078</v>
      </c>
      <c r="D236" s="4" t="s">
        <v>1616</v>
      </c>
      <c r="E236" s="4"/>
      <c r="F236" s="8"/>
      <c r="G236" s="8"/>
      <c r="H236" s="8"/>
      <c r="I236" s="8"/>
      <c r="J236" s="8"/>
      <c r="K236" s="8">
        <v>120</v>
      </c>
      <c r="L236" s="18">
        <v>395</v>
      </c>
      <c r="M236" s="7">
        <f t="shared" si="3"/>
        <v>47400</v>
      </c>
      <c r="N236" s="4"/>
      <c r="O236" s="9"/>
    </row>
    <row r="237" spans="1:15" ht="20" x14ac:dyDescent="0.2">
      <c r="A237" s="3">
        <v>233</v>
      </c>
      <c r="B237" s="19" t="s">
        <v>2079</v>
      </c>
      <c r="C237" s="4" t="s">
        <v>2080</v>
      </c>
      <c r="D237" s="4" t="s">
        <v>1616</v>
      </c>
      <c r="E237" s="4"/>
      <c r="F237" s="8"/>
      <c r="G237" s="8"/>
      <c r="H237" s="8"/>
      <c r="I237" s="8"/>
      <c r="J237" s="8"/>
      <c r="K237" s="8">
        <v>320</v>
      </c>
      <c r="L237" s="18">
        <v>149.80000000000001</v>
      </c>
      <c r="M237" s="7">
        <f t="shared" si="3"/>
        <v>47936</v>
      </c>
      <c r="N237" s="4"/>
      <c r="O237" s="9"/>
    </row>
    <row r="238" spans="1:15" ht="20" x14ac:dyDescent="0.2">
      <c r="A238" s="3">
        <v>234</v>
      </c>
      <c r="B238" s="19" t="s">
        <v>2081</v>
      </c>
      <c r="C238" s="4" t="s">
        <v>2082</v>
      </c>
      <c r="D238" s="4" t="s">
        <v>1616</v>
      </c>
      <c r="E238" s="4"/>
      <c r="F238" s="8"/>
      <c r="G238" s="8"/>
      <c r="H238" s="8"/>
      <c r="I238" s="8"/>
      <c r="J238" s="8"/>
      <c r="K238" s="8">
        <v>80</v>
      </c>
      <c r="L238" s="18">
        <v>600</v>
      </c>
      <c r="M238" s="7">
        <f t="shared" si="3"/>
        <v>48000</v>
      </c>
      <c r="N238" s="4"/>
      <c r="O238" s="9"/>
    </row>
    <row r="239" spans="1:15" ht="20" x14ac:dyDescent="0.2">
      <c r="A239" s="3">
        <v>235</v>
      </c>
      <c r="B239" s="19" t="s">
        <v>2083</v>
      </c>
      <c r="C239" s="4" t="s">
        <v>2084</v>
      </c>
      <c r="D239" s="4" t="s">
        <v>1616</v>
      </c>
      <c r="E239" s="4"/>
      <c r="F239" s="8"/>
      <c r="G239" s="8"/>
      <c r="H239" s="8"/>
      <c r="I239" s="8"/>
      <c r="J239" s="8"/>
      <c r="K239" s="8">
        <v>300</v>
      </c>
      <c r="L239" s="18">
        <v>160.5</v>
      </c>
      <c r="M239" s="7">
        <f t="shared" si="3"/>
        <v>48150</v>
      </c>
      <c r="N239" s="4"/>
      <c r="O239" s="9"/>
    </row>
    <row r="240" spans="1:15" ht="20" x14ac:dyDescent="0.2">
      <c r="A240" s="3">
        <v>236</v>
      </c>
      <c r="B240" s="19" t="s">
        <v>2085</v>
      </c>
      <c r="C240" s="4" t="s">
        <v>2086</v>
      </c>
      <c r="D240" s="4" t="s">
        <v>1616</v>
      </c>
      <c r="E240" s="4"/>
      <c r="F240" s="8"/>
      <c r="G240" s="8"/>
      <c r="H240" s="8"/>
      <c r="I240" s="8"/>
      <c r="J240" s="8"/>
      <c r="K240" s="8">
        <v>300</v>
      </c>
      <c r="L240" s="18">
        <v>165</v>
      </c>
      <c r="M240" s="7">
        <f t="shared" si="3"/>
        <v>49500</v>
      </c>
      <c r="N240" s="4"/>
      <c r="O240" s="9"/>
    </row>
    <row r="241" spans="1:15" ht="20" x14ac:dyDescent="0.2">
      <c r="A241" s="3">
        <v>237</v>
      </c>
      <c r="B241" s="19" t="s">
        <v>2087</v>
      </c>
      <c r="C241" s="4" t="s">
        <v>2088</v>
      </c>
      <c r="D241" s="4" t="s">
        <v>1616</v>
      </c>
      <c r="E241" s="4"/>
      <c r="F241" s="8"/>
      <c r="G241" s="8"/>
      <c r="H241" s="8"/>
      <c r="I241" s="8"/>
      <c r="J241" s="8"/>
      <c r="K241" s="8">
        <v>800</v>
      </c>
      <c r="L241" s="18">
        <v>62.06</v>
      </c>
      <c r="M241" s="7">
        <f t="shared" si="3"/>
        <v>49648</v>
      </c>
      <c r="N241" s="4"/>
      <c r="O241" s="9"/>
    </row>
    <row r="242" spans="1:15" ht="20" x14ac:dyDescent="0.2">
      <c r="A242" s="3">
        <v>238</v>
      </c>
      <c r="B242" s="19" t="s">
        <v>2089</v>
      </c>
      <c r="C242" s="4" t="s">
        <v>2090</v>
      </c>
      <c r="D242" s="4" t="s">
        <v>1616</v>
      </c>
      <c r="E242" s="4"/>
      <c r="F242" s="8"/>
      <c r="G242" s="8"/>
      <c r="H242" s="8"/>
      <c r="I242" s="8"/>
      <c r="J242" s="8"/>
      <c r="K242" s="8">
        <v>20</v>
      </c>
      <c r="L242" s="18">
        <v>2500</v>
      </c>
      <c r="M242" s="7">
        <f t="shared" si="3"/>
        <v>50000</v>
      </c>
      <c r="N242" s="4"/>
      <c r="O242" s="9"/>
    </row>
    <row r="243" spans="1:15" ht="20" x14ac:dyDescent="0.2">
      <c r="A243" s="3">
        <v>239</v>
      </c>
      <c r="B243" s="19" t="s">
        <v>2091</v>
      </c>
      <c r="C243" s="4" t="s">
        <v>2092</v>
      </c>
      <c r="D243" s="4" t="s">
        <v>1616</v>
      </c>
      <c r="E243" s="4"/>
      <c r="F243" s="8"/>
      <c r="G243" s="8"/>
      <c r="H243" s="8"/>
      <c r="I243" s="8"/>
      <c r="J243" s="8"/>
      <c r="K243" s="8">
        <v>100</v>
      </c>
      <c r="L243" s="18">
        <v>500</v>
      </c>
      <c r="M243" s="7">
        <f t="shared" si="3"/>
        <v>50000</v>
      </c>
      <c r="N243" s="4"/>
      <c r="O243" s="9"/>
    </row>
    <row r="244" spans="1:15" ht="40" x14ac:dyDescent="0.2">
      <c r="A244" s="3">
        <v>240</v>
      </c>
      <c r="B244" s="19" t="s">
        <v>2093</v>
      </c>
      <c r="C244" s="4" t="s">
        <v>2094</v>
      </c>
      <c r="D244" s="4" t="s">
        <v>1616</v>
      </c>
      <c r="E244" s="4"/>
      <c r="F244" s="8"/>
      <c r="G244" s="8"/>
      <c r="H244" s="8"/>
      <c r="I244" s="8"/>
      <c r="J244" s="8"/>
      <c r="K244" s="8">
        <v>2200</v>
      </c>
      <c r="L244" s="18">
        <v>23</v>
      </c>
      <c r="M244" s="7">
        <f t="shared" si="3"/>
        <v>50600</v>
      </c>
      <c r="N244" s="4"/>
      <c r="O244" s="9"/>
    </row>
    <row r="245" spans="1:15" ht="20" x14ac:dyDescent="0.2">
      <c r="A245" s="3">
        <v>241</v>
      </c>
      <c r="B245" s="19" t="s">
        <v>2095</v>
      </c>
      <c r="C245" s="4" t="s">
        <v>2096</v>
      </c>
      <c r="D245" s="4" t="s">
        <v>1616</v>
      </c>
      <c r="E245" s="4"/>
      <c r="F245" s="8"/>
      <c r="G245" s="8"/>
      <c r="H245" s="8"/>
      <c r="I245" s="8"/>
      <c r="J245" s="8"/>
      <c r="K245" s="8">
        <v>420</v>
      </c>
      <c r="L245" s="18">
        <v>128.4</v>
      </c>
      <c r="M245" s="7">
        <f t="shared" si="3"/>
        <v>53928</v>
      </c>
      <c r="N245" s="4"/>
      <c r="O245" s="9"/>
    </row>
    <row r="246" spans="1:15" ht="20" x14ac:dyDescent="0.2">
      <c r="A246" s="3">
        <v>242</v>
      </c>
      <c r="B246" s="19" t="s">
        <v>2097</v>
      </c>
      <c r="C246" s="4" t="s">
        <v>2098</v>
      </c>
      <c r="D246" s="4" t="s">
        <v>1616</v>
      </c>
      <c r="E246" s="4"/>
      <c r="F246" s="8"/>
      <c r="G246" s="8"/>
      <c r="H246" s="8"/>
      <c r="I246" s="8"/>
      <c r="J246" s="8"/>
      <c r="K246" s="8">
        <v>60</v>
      </c>
      <c r="L246" s="18">
        <v>900</v>
      </c>
      <c r="M246" s="7">
        <f t="shared" si="3"/>
        <v>54000</v>
      </c>
      <c r="N246" s="4"/>
      <c r="O246" s="9"/>
    </row>
    <row r="247" spans="1:15" ht="40" x14ac:dyDescent="0.2">
      <c r="A247" s="3">
        <v>243</v>
      </c>
      <c r="B247" s="19" t="s">
        <v>2099</v>
      </c>
      <c r="C247" s="4" t="s">
        <v>2100</v>
      </c>
      <c r="D247" s="4" t="s">
        <v>1616</v>
      </c>
      <c r="E247" s="4"/>
      <c r="F247" s="8"/>
      <c r="G247" s="8"/>
      <c r="H247" s="8"/>
      <c r="I247" s="8"/>
      <c r="J247" s="8"/>
      <c r="K247" s="8">
        <v>40</v>
      </c>
      <c r="L247" s="18">
        <v>1362</v>
      </c>
      <c r="M247" s="7">
        <f t="shared" si="3"/>
        <v>54480</v>
      </c>
      <c r="N247" s="4"/>
      <c r="O247" s="9"/>
    </row>
    <row r="248" spans="1:15" ht="20" x14ac:dyDescent="0.2">
      <c r="A248" s="3">
        <v>244</v>
      </c>
      <c r="B248" s="19" t="s">
        <v>2101</v>
      </c>
      <c r="C248" s="4" t="s">
        <v>2102</v>
      </c>
      <c r="D248" s="4" t="s">
        <v>1616</v>
      </c>
      <c r="E248" s="4"/>
      <c r="F248" s="8"/>
      <c r="G248" s="8"/>
      <c r="H248" s="8"/>
      <c r="I248" s="8"/>
      <c r="J248" s="8"/>
      <c r="K248" s="8">
        <v>80</v>
      </c>
      <c r="L248" s="18">
        <v>700</v>
      </c>
      <c r="M248" s="7">
        <f t="shared" si="3"/>
        <v>56000</v>
      </c>
      <c r="N248" s="4"/>
      <c r="O248" s="9"/>
    </row>
    <row r="249" spans="1:15" ht="20" x14ac:dyDescent="0.2">
      <c r="A249" s="3">
        <v>245</v>
      </c>
      <c r="B249" s="19" t="s">
        <v>2103</v>
      </c>
      <c r="C249" s="4" t="s">
        <v>2104</v>
      </c>
      <c r="D249" s="4" t="s">
        <v>1616</v>
      </c>
      <c r="E249" s="4"/>
      <c r="F249" s="8"/>
      <c r="G249" s="8"/>
      <c r="H249" s="8"/>
      <c r="I249" s="8"/>
      <c r="J249" s="8"/>
      <c r="K249" s="8">
        <v>500</v>
      </c>
      <c r="L249" s="18">
        <v>118</v>
      </c>
      <c r="M249" s="7">
        <f t="shared" si="3"/>
        <v>59000</v>
      </c>
      <c r="N249" s="4"/>
      <c r="O249" s="9"/>
    </row>
    <row r="250" spans="1:15" ht="20" x14ac:dyDescent="0.2">
      <c r="A250" s="3">
        <v>246</v>
      </c>
      <c r="B250" s="19" t="s">
        <v>2105</v>
      </c>
      <c r="C250" s="4" t="s">
        <v>2106</v>
      </c>
      <c r="D250" s="4" t="s">
        <v>1616</v>
      </c>
      <c r="E250" s="4"/>
      <c r="F250" s="8"/>
      <c r="G250" s="8"/>
      <c r="H250" s="8"/>
      <c r="I250" s="8"/>
      <c r="J250" s="8"/>
      <c r="K250" s="8">
        <v>2000</v>
      </c>
      <c r="L250" s="18">
        <v>29.5</v>
      </c>
      <c r="M250" s="7">
        <f t="shared" si="3"/>
        <v>59000</v>
      </c>
      <c r="N250" s="4"/>
      <c r="O250" s="9"/>
    </row>
    <row r="251" spans="1:15" ht="20" x14ac:dyDescent="0.2">
      <c r="A251" s="3">
        <v>247</v>
      </c>
      <c r="B251" s="19" t="s">
        <v>2107</v>
      </c>
      <c r="C251" s="4" t="s">
        <v>2108</v>
      </c>
      <c r="D251" s="4" t="s">
        <v>1616</v>
      </c>
      <c r="E251" s="4"/>
      <c r="F251" s="8"/>
      <c r="G251" s="8"/>
      <c r="H251" s="8"/>
      <c r="I251" s="8"/>
      <c r="J251" s="8"/>
      <c r="K251" s="8">
        <v>40</v>
      </c>
      <c r="L251" s="18">
        <v>1498</v>
      </c>
      <c r="M251" s="7">
        <f t="shared" si="3"/>
        <v>59920</v>
      </c>
      <c r="N251" s="4"/>
      <c r="O251" s="9"/>
    </row>
    <row r="252" spans="1:15" ht="20" x14ac:dyDescent="0.2">
      <c r="A252" s="3">
        <v>248</v>
      </c>
      <c r="B252" s="19" t="s">
        <v>2109</v>
      </c>
      <c r="C252" s="4" t="s">
        <v>2110</v>
      </c>
      <c r="D252" s="4" t="s">
        <v>1616</v>
      </c>
      <c r="E252" s="4"/>
      <c r="F252" s="8"/>
      <c r="G252" s="8"/>
      <c r="H252" s="8"/>
      <c r="I252" s="8"/>
      <c r="J252" s="8"/>
      <c r="K252" s="8">
        <v>400</v>
      </c>
      <c r="L252" s="18">
        <v>150</v>
      </c>
      <c r="M252" s="7">
        <f t="shared" si="3"/>
        <v>60000</v>
      </c>
      <c r="N252" s="4"/>
      <c r="O252" s="9"/>
    </row>
    <row r="253" spans="1:15" ht="20" x14ac:dyDescent="0.2">
      <c r="A253" s="3">
        <v>249</v>
      </c>
      <c r="B253" s="19" t="s">
        <v>2111</v>
      </c>
      <c r="C253" s="4" t="s">
        <v>2112</v>
      </c>
      <c r="D253" s="4" t="s">
        <v>1616</v>
      </c>
      <c r="E253" s="4"/>
      <c r="F253" s="8"/>
      <c r="G253" s="8"/>
      <c r="H253" s="8"/>
      <c r="I253" s="8"/>
      <c r="J253" s="8"/>
      <c r="K253" s="8">
        <v>20</v>
      </c>
      <c r="L253" s="18">
        <v>3020</v>
      </c>
      <c r="M253" s="7">
        <f t="shared" si="3"/>
        <v>60400</v>
      </c>
      <c r="N253" s="4"/>
      <c r="O253" s="9"/>
    </row>
    <row r="254" spans="1:15" ht="20" x14ac:dyDescent="0.2">
      <c r="A254" s="3">
        <v>250</v>
      </c>
      <c r="B254" s="19" t="s">
        <v>2113</v>
      </c>
      <c r="C254" s="4" t="s">
        <v>2114</v>
      </c>
      <c r="D254" s="4" t="s">
        <v>1616</v>
      </c>
      <c r="E254" s="4"/>
      <c r="F254" s="8"/>
      <c r="G254" s="8"/>
      <c r="H254" s="8"/>
      <c r="I254" s="8"/>
      <c r="J254" s="8"/>
      <c r="K254" s="8">
        <v>160</v>
      </c>
      <c r="L254" s="18">
        <v>379.85</v>
      </c>
      <c r="M254" s="7">
        <f t="shared" si="3"/>
        <v>60776</v>
      </c>
      <c r="N254" s="4"/>
      <c r="O254" s="9"/>
    </row>
    <row r="255" spans="1:15" ht="20" x14ac:dyDescent="0.2">
      <c r="A255" s="3">
        <v>251</v>
      </c>
      <c r="B255" s="19" t="s">
        <v>2115</v>
      </c>
      <c r="C255" s="4" t="s">
        <v>2116</v>
      </c>
      <c r="D255" s="4" t="s">
        <v>1616</v>
      </c>
      <c r="E255" s="4"/>
      <c r="F255" s="8"/>
      <c r="G255" s="8"/>
      <c r="H255" s="8"/>
      <c r="I255" s="8"/>
      <c r="J255" s="8"/>
      <c r="K255" s="8">
        <v>100</v>
      </c>
      <c r="L255" s="18">
        <v>609.9</v>
      </c>
      <c r="M255" s="7">
        <f t="shared" si="3"/>
        <v>60990</v>
      </c>
      <c r="N255" s="4"/>
      <c r="O255" s="9"/>
    </row>
    <row r="256" spans="1:15" ht="20" x14ac:dyDescent="0.2">
      <c r="A256" s="3">
        <v>252</v>
      </c>
      <c r="B256" s="19" t="s">
        <v>2117</v>
      </c>
      <c r="C256" s="4" t="s">
        <v>2118</v>
      </c>
      <c r="D256" s="4" t="s">
        <v>1616</v>
      </c>
      <c r="E256" s="4"/>
      <c r="F256" s="8"/>
      <c r="G256" s="8"/>
      <c r="H256" s="8"/>
      <c r="I256" s="8"/>
      <c r="J256" s="8"/>
      <c r="K256" s="8">
        <v>2500</v>
      </c>
      <c r="L256" s="18">
        <v>25</v>
      </c>
      <c r="M256" s="7">
        <f t="shared" si="3"/>
        <v>62500</v>
      </c>
      <c r="N256" s="4"/>
      <c r="O256" s="9"/>
    </row>
    <row r="257" spans="1:15" ht="20" x14ac:dyDescent="0.2">
      <c r="A257" s="3">
        <v>253</v>
      </c>
      <c r="B257" s="19" t="s">
        <v>2119</v>
      </c>
      <c r="C257" s="4" t="s">
        <v>2120</v>
      </c>
      <c r="D257" s="4" t="s">
        <v>1616</v>
      </c>
      <c r="E257" s="4"/>
      <c r="F257" s="8"/>
      <c r="G257" s="8"/>
      <c r="H257" s="8"/>
      <c r="I257" s="8"/>
      <c r="J257" s="8"/>
      <c r="K257" s="8">
        <v>2500</v>
      </c>
      <c r="L257" s="18">
        <v>25</v>
      </c>
      <c r="M257" s="7">
        <f t="shared" si="3"/>
        <v>62500</v>
      </c>
      <c r="N257" s="4"/>
      <c r="O257" s="9"/>
    </row>
    <row r="258" spans="1:15" ht="20" x14ac:dyDescent="0.2">
      <c r="A258" s="3">
        <v>254</v>
      </c>
      <c r="B258" s="19" t="s">
        <v>2121</v>
      </c>
      <c r="C258" s="4" t="s">
        <v>2122</v>
      </c>
      <c r="D258" s="4" t="s">
        <v>1616</v>
      </c>
      <c r="E258" s="4"/>
      <c r="F258" s="8"/>
      <c r="G258" s="8"/>
      <c r="H258" s="8"/>
      <c r="I258" s="8"/>
      <c r="J258" s="8"/>
      <c r="K258" s="8">
        <v>210</v>
      </c>
      <c r="L258" s="18">
        <v>300</v>
      </c>
      <c r="M258" s="7">
        <f t="shared" si="3"/>
        <v>63000</v>
      </c>
      <c r="N258" s="4"/>
      <c r="O258" s="9"/>
    </row>
    <row r="259" spans="1:15" ht="20" x14ac:dyDescent="0.2">
      <c r="A259" s="3">
        <v>255</v>
      </c>
      <c r="B259" s="19" t="s">
        <v>2123</v>
      </c>
      <c r="C259" s="4" t="s">
        <v>2124</v>
      </c>
      <c r="D259" s="4" t="s">
        <v>1616</v>
      </c>
      <c r="E259" s="4"/>
      <c r="F259" s="8"/>
      <c r="G259" s="8"/>
      <c r="H259" s="8"/>
      <c r="I259" s="8"/>
      <c r="J259" s="8"/>
      <c r="K259" s="8">
        <v>10</v>
      </c>
      <c r="L259" s="18">
        <v>6320</v>
      </c>
      <c r="M259" s="7">
        <f t="shared" si="3"/>
        <v>63200</v>
      </c>
      <c r="N259" s="4"/>
      <c r="O259" s="9"/>
    </row>
    <row r="260" spans="1:15" ht="20" x14ac:dyDescent="0.2">
      <c r="A260" s="3">
        <v>256</v>
      </c>
      <c r="B260" s="19" t="s">
        <v>2125</v>
      </c>
      <c r="C260" s="4" t="s">
        <v>2126</v>
      </c>
      <c r="D260" s="4" t="s">
        <v>1616</v>
      </c>
      <c r="E260" s="4"/>
      <c r="F260" s="8"/>
      <c r="G260" s="8"/>
      <c r="H260" s="8"/>
      <c r="I260" s="8"/>
      <c r="J260" s="8"/>
      <c r="K260" s="8">
        <v>80</v>
      </c>
      <c r="L260" s="18">
        <v>800</v>
      </c>
      <c r="M260" s="7">
        <f t="shared" si="3"/>
        <v>64000</v>
      </c>
      <c r="N260" s="4"/>
      <c r="O260" s="9"/>
    </row>
    <row r="261" spans="1:15" ht="20" x14ac:dyDescent="0.2">
      <c r="A261" s="3">
        <v>257</v>
      </c>
      <c r="B261" s="19" t="s">
        <v>2127</v>
      </c>
      <c r="C261" s="4" t="s">
        <v>2128</v>
      </c>
      <c r="D261" s="4" t="s">
        <v>1616</v>
      </c>
      <c r="E261" s="4"/>
      <c r="F261" s="8"/>
      <c r="G261" s="8"/>
      <c r="H261" s="8"/>
      <c r="I261" s="8"/>
      <c r="J261" s="8"/>
      <c r="K261" s="8">
        <v>200</v>
      </c>
      <c r="L261" s="18">
        <v>321</v>
      </c>
      <c r="M261" s="7">
        <f t="shared" ref="M261:M324" si="4">IF(OR(K261="",L261=""),"",K261*L261)</f>
        <v>64200</v>
      </c>
      <c r="N261" s="4"/>
      <c r="O261" s="9"/>
    </row>
    <row r="262" spans="1:15" ht="20" x14ac:dyDescent="0.2">
      <c r="A262" s="3">
        <v>258</v>
      </c>
      <c r="B262" s="19" t="s">
        <v>2129</v>
      </c>
      <c r="C262" s="4" t="s">
        <v>2130</v>
      </c>
      <c r="D262" s="4" t="s">
        <v>1616</v>
      </c>
      <c r="E262" s="4"/>
      <c r="F262" s="8"/>
      <c r="G262" s="8"/>
      <c r="H262" s="8"/>
      <c r="I262" s="8"/>
      <c r="J262" s="8"/>
      <c r="K262" s="8">
        <v>600</v>
      </c>
      <c r="L262" s="18">
        <v>107</v>
      </c>
      <c r="M262" s="7">
        <f t="shared" si="4"/>
        <v>64200</v>
      </c>
      <c r="N262" s="4"/>
      <c r="O262" s="9"/>
    </row>
    <row r="263" spans="1:15" ht="20" x14ac:dyDescent="0.2">
      <c r="A263" s="3">
        <v>259</v>
      </c>
      <c r="B263" s="19" t="s">
        <v>2131</v>
      </c>
      <c r="C263" s="4" t="s">
        <v>2132</v>
      </c>
      <c r="D263" s="4" t="s">
        <v>1616</v>
      </c>
      <c r="E263" s="4"/>
      <c r="F263" s="8"/>
      <c r="G263" s="8"/>
      <c r="H263" s="8"/>
      <c r="I263" s="8"/>
      <c r="J263" s="8"/>
      <c r="K263" s="8">
        <v>360</v>
      </c>
      <c r="L263" s="18">
        <v>180</v>
      </c>
      <c r="M263" s="7">
        <f t="shared" si="4"/>
        <v>64800</v>
      </c>
      <c r="N263" s="4"/>
      <c r="O263" s="9"/>
    </row>
    <row r="264" spans="1:15" ht="20" x14ac:dyDescent="0.2">
      <c r="A264" s="3">
        <v>260</v>
      </c>
      <c r="B264" s="19" t="s">
        <v>2133</v>
      </c>
      <c r="C264" s="4" t="s">
        <v>2134</v>
      </c>
      <c r="D264" s="4" t="s">
        <v>1616</v>
      </c>
      <c r="E264" s="4"/>
      <c r="F264" s="8"/>
      <c r="G264" s="8"/>
      <c r="H264" s="8"/>
      <c r="I264" s="8"/>
      <c r="J264" s="8"/>
      <c r="K264" s="8">
        <v>650</v>
      </c>
      <c r="L264" s="18">
        <v>100</v>
      </c>
      <c r="M264" s="7">
        <f t="shared" si="4"/>
        <v>65000</v>
      </c>
      <c r="N264" s="4"/>
      <c r="O264" s="9"/>
    </row>
    <row r="265" spans="1:15" ht="20" x14ac:dyDescent="0.2">
      <c r="A265" s="3">
        <v>261</v>
      </c>
      <c r="B265" s="19" t="s">
        <v>2135</v>
      </c>
      <c r="C265" s="4" t="s">
        <v>2136</v>
      </c>
      <c r="D265" s="4" t="s">
        <v>1616</v>
      </c>
      <c r="E265" s="4"/>
      <c r="F265" s="8"/>
      <c r="G265" s="8"/>
      <c r="H265" s="8"/>
      <c r="I265" s="8"/>
      <c r="J265" s="8"/>
      <c r="K265" s="8">
        <v>20</v>
      </c>
      <c r="L265" s="18">
        <v>3300</v>
      </c>
      <c r="M265" s="7">
        <f t="shared" si="4"/>
        <v>66000</v>
      </c>
      <c r="N265" s="4"/>
      <c r="O265" s="9"/>
    </row>
    <row r="266" spans="1:15" ht="20" x14ac:dyDescent="0.2">
      <c r="A266" s="3">
        <v>262</v>
      </c>
      <c r="B266" s="19" t="s">
        <v>2137</v>
      </c>
      <c r="C266" s="4" t="s">
        <v>2138</v>
      </c>
      <c r="D266" s="4" t="s">
        <v>1616</v>
      </c>
      <c r="E266" s="4"/>
      <c r="F266" s="8"/>
      <c r="G266" s="8"/>
      <c r="H266" s="8"/>
      <c r="I266" s="8"/>
      <c r="J266" s="8"/>
      <c r="K266" s="8">
        <v>100</v>
      </c>
      <c r="L266" s="18">
        <v>670</v>
      </c>
      <c r="M266" s="7">
        <f t="shared" si="4"/>
        <v>67000</v>
      </c>
      <c r="N266" s="4"/>
      <c r="O266" s="9"/>
    </row>
    <row r="267" spans="1:15" ht="20" x14ac:dyDescent="0.2">
      <c r="A267" s="3">
        <v>263</v>
      </c>
      <c r="B267" s="19" t="s">
        <v>2139</v>
      </c>
      <c r="C267" s="4" t="s">
        <v>2140</v>
      </c>
      <c r="D267" s="4" t="s">
        <v>1616</v>
      </c>
      <c r="E267" s="4"/>
      <c r="F267" s="8"/>
      <c r="G267" s="8"/>
      <c r="H267" s="8"/>
      <c r="I267" s="8"/>
      <c r="J267" s="8"/>
      <c r="K267" s="8">
        <v>750</v>
      </c>
      <c r="L267" s="18">
        <v>90</v>
      </c>
      <c r="M267" s="7">
        <f t="shared" si="4"/>
        <v>67500</v>
      </c>
      <c r="N267" s="4"/>
      <c r="O267" s="9"/>
    </row>
    <row r="268" spans="1:15" ht="20" x14ac:dyDescent="0.2">
      <c r="A268" s="3">
        <v>264</v>
      </c>
      <c r="B268" s="19" t="s">
        <v>2141</v>
      </c>
      <c r="C268" s="4" t="s">
        <v>2142</v>
      </c>
      <c r="D268" s="4" t="s">
        <v>1616</v>
      </c>
      <c r="E268" s="4"/>
      <c r="F268" s="8"/>
      <c r="G268" s="8"/>
      <c r="H268" s="8"/>
      <c r="I268" s="8"/>
      <c r="J268" s="8"/>
      <c r="K268" s="8">
        <v>5000</v>
      </c>
      <c r="L268" s="18">
        <v>13.5</v>
      </c>
      <c r="M268" s="7">
        <f t="shared" si="4"/>
        <v>67500</v>
      </c>
      <c r="N268" s="4"/>
      <c r="O268" s="9"/>
    </row>
    <row r="269" spans="1:15" ht="20" x14ac:dyDescent="0.2">
      <c r="A269" s="3">
        <v>265</v>
      </c>
      <c r="B269" s="19" t="s">
        <v>2143</v>
      </c>
      <c r="C269" s="4" t="s">
        <v>2144</v>
      </c>
      <c r="D269" s="4" t="s">
        <v>1616</v>
      </c>
      <c r="E269" s="4"/>
      <c r="F269" s="8"/>
      <c r="G269" s="8"/>
      <c r="H269" s="8"/>
      <c r="I269" s="8"/>
      <c r="J269" s="8"/>
      <c r="K269" s="8">
        <v>40</v>
      </c>
      <c r="L269" s="18">
        <v>1712</v>
      </c>
      <c r="M269" s="7">
        <f t="shared" si="4"/>
        <v>68480</v>
      </c>
      <c r="N269" s="4"/>
      <c r="O269" s="9"/>
    </row>
    <row r="270" spans="1:15" ht="20" x14ac:dyDescent="0.2">
      <c r="A270" s="3">
        <v>266</v>
      </c>
      <c r="B270" s="19" t="s">
        <v>2145</v>
      </c>
      <c r="C270" s="4" t="s">
        <v>2146</v>
      </c>
      <c r="D270" s="4" t="s">
        <v>1616</v>
      </c>
      <c r="E270" s="4"/>
      <c r="F270" s="8"/>
      <c r="G270" s="8"/>
      <c r="H270" s="8"/>
      <c r="I270" s="8"/>
      <c r="J270" s="8"/>
      <c r="K270" s="8">
        <v>350</v>
      </c>
      <c r="L270" s="18">
        <v>197.95</v>
      </c>
      <c r="M270" s="7">
        <f t="shared" si="4"/>
        <v>69282.5</v>
      </c>
      <c r="N270" s="4"/>
      <c r="O270" s="9"/>
    </row>
    <row r="271" spans="1:15" ht="40" x14ac:dyDescent="0.2">
      <c r="A271" s="3">
        <v>267</v>
      </c>
      <c r="B271" s="19" t="s">
        <v>2147</v>
      </c>
      <c r="C271" s="4" t="s">
        <v>2148</v>
      </c>
      <c r="D271" s="4" t="s">
        <v>1616</v>
      </c>
      <c r="E271" s="4"/>
      <c r="F271" s="8"/>
      <c r="G271" s="8"/>
      <c r="H271" s="8"/>
      <c r="I271" s="8"/>
      <c r="J271" s="8"/>
      <c r="K271" s="8">
        <v>100</v>
      </c>
      <c r="L271" s="18">
        <v>699.99</v>
      </c>
      <c r="M271" s="7">
        <f t="shared" si="4"/>
        <v>69999</v>
      </c>
      <c r="N271" s="4"/>
      <c r="O271" s="9"/>
    </row>
    <row r="272" spans="1:15" ht="20" x14ac:dyDescent="0.2">
      <c r="A272" s="3">
        <v>268</v>
      </c>
      <c r="B272" s="19" t="s">
        <v>2149</v>
      </c>
      <c r="C272" s="4" t="s">
        <v>2150</v>
      </c>
      <c r="D272" s="4" t="s">
        <v>1616</v>
      </c>
      <c r="E272" s="4"/>
      <c r="F272" s="8"/>
      <c r="G272" s="8"/>
      <c r="H272" s="8"/>
      <c r="I272" s="8"/>
      <c r="J272" s="8"/>
      <c r="K272" s="8">
        <v>5000</v>
      </c>
      <c r="L272" s="18">
        <v>14</v>
      </c>
      <c r="M272" s="7">
        <f t="shared" si="4"/>
        <v>70000</v>
      </c>
      <c r="N272" s="4"/>
      <c r="O272" s="9"/>
    </row>
    <row r="273" spans="1:15" ht="20" x14ac:dyDescent="0.2">
      <c r="A273" s="3">
        <v>269</v>
      </c>
      <c r="B273" s="19" t="s">
        <v>2151</v>
      </c>
      <c r="C273" s="4" t="s">
        <v>2152</v>
      </c>
      <c r="D273" s="4" t="s">
        <v>1616</v>
      </c>
      <c r="E273" s="4"/>
      <c r="F273" s="8"/>
      <c r="G273" s="8"/>
      <c r="H273" s="8"/>
      <c r="I273" s="8"/>
      <c r="J273" s="8"/>
      <c r="K273" s="8">
        <v>200</v>
      </c>
      <c r="L273" s="18">
        <v>350</v>
      </c>
      <c r="M273" s="7">
        <f t="shared" si="4"/>
        <v>70000</v>
      </c>
      <c r="N273" s="4"/>
      <c r="O273" s="9"/>
    </row>
    <row r="274" spans="1:15" ht="20" x14ac:dyDescent="0.2">
      <c r="A274" s="3">
        <v>270</v>
      </c>
      <c r="B274" s="19" t="s">
        <v>2153</v>
      </c>
      <c r="C274" s="4" t="s">
        <v>2154</v>
      </c>
      <c r="D274" s="4" t="s">
        <v>1616</v>
      </c>
      <c r="E274" s="4"/>
      <c r="F274" s="8"/>
      <c r="G274" s="8"/>
      <c r="H274" s="8"/>
      <c r="I274" s="8"/>
      <c r="J274" s="8"/>
      <c r="K274" s="8">
        <v>200</v>
      </c>
      <c r="L274" s="18">
        <v>353.1</v>
      </c>
      <c r="M274" s="7">
        <f t="shared" si="4"/>
        <v>70620</v>
      </c>
      <c r="N274" s="4"/>
      <c r="O274" s="9"/>
    </row>
    <row r="275" spans="1:15" ht="20" x14ac:dyDescent="0.2">
      <c r="A275" s="3">
        <v>271</v>
      </c>
      <c r="B275" s="19" t="s">
        <v>2155</v>
      </c>
      <c r="C275" s="4" t="s">
        <v>2156</v>
      </c>
      <c r="D275" s="4" t="s">
        <v>1616</v>
      </c>
      <c r="E275" s="4"/>
      <c r="F275" s="8"/>
      <c r="G275" s="8"/>
      <c r="H275" s="8"/>
      <c r="I275" s="8"/>
      <c r="J275" s="8"/>
      <c r="K275" s="8">
        <v>100</v>
      </c>
      <c r="L275" s="18">
        <v>710</v>
      </c>
      <c r="M275" s="7">
        <f t="shared" si="4"/>
        <v>71000</v>
      </c>
      <c r="N275" s="4"/>
      <c r="O275" s="9"/>
    </row>
    <row r="276" spans="1:15" ht="20" x14ac:dyDescent="0.2">
      <c r="A276" s="3">
        <v>272</v>
      </c>
      <c r="B276" s="19" t="s">
        <v>2157</v>
      </c>
      <c r="C276" s="4" t="s">
        <v>2158</v>
      </c>
      <c r="D276" s="4" t="s">
        <v>1616</v>
      </c>
      <c r="E276" s="4"/>
      <c r="F276" s="8"/>
      <c r="G276" s="8"/>
      <c r="H276" s="8"/>
      <c r="I276" s="8"/>
      <c r="J276" s="8"/>
      <c r="K276" s="8">
        <v>310</v>
      </c>
      <c r="L276" s="18">
        <v>230</v>
      </c>
      <c r="M276" s="7">
        <f t="shared" si="4"/>
        <v>71300</v>
      </c>
      <c r="N276" s="4"/>
      <c r="O276" s="9"/>
    </row>
    <row r="277" spans="1:15" ht="20" x14ac:dyDescent="0.2">
      <c r="A277" s="3">
        <v>273</v>
      </c>
      <c r="B277" s="19" t="s">
        <v>2159</v>
      </c>
      <c r="C277" s="4" t="s">
        <v>2160</v>
      </c>
      <c r="D277" s="4" t="s">
        <v>1616</v>
      </c>
      <c r="E277" s="4"/>
      <c r="F277" s="8"/>
      <c r="G277" s="8"/>
      <c r="H277" s="8"/>
      <c r="I277" s="8"/>
      <c r="J277" s="8"/>
      <c r="K277" s="8">
        <v>120</v>
      </c>
      <c r="L277" s="18">
        <v>595.55999999999995</v>
      </c>
      <c r="M277" s="7">
        <f t="shared" si="4"/>
        <v>71467.199999999997</v>
      </c>
      <c r="N277" s="4"/>
      <c r="O277" s="9"/>
    </row>
    <row r="278" spans="1:15" ht="20" x14ac:dyDescent="0.2">
      <c r="A278" s="3">
        <v>274</v>
      </c>
      <c r="B278" s="19" t="s">
        <v>2161</v>
      </c>
      <c r="C278" s="4" t="s">
        <v>2162</v>
      </c>
      <c r="D278" s="4" t="s">
        <v>1616</v>
      </c>
      <c r="E278" s="4"/>
      <c r="F278" s="8"/>
      <c r="G278" s="8"/>
      <c r="H278" s="8"/>
      <c r="I278" s="8"/>
      <c r="J278" s="8"/>
      <c r="K278" s="8">
        <v>120</v>
      </c>
      <c r="L278" s="18">
        <v>599.20000000000005</v>
      </c>
      <c r="M278" s="7">
        <f t="shared" si="4"/>
        <v>71904</v>
      </c>
      <c r="N278" s="4"/>
      <c r="O278" s="9"/>
    </row>
    <row r="279" spans="1:15" ht="20" x14ac:dyDescent="0.2">
      <c r="A279" s="3">
        <v>275</v>
      </c>
      <c r="B279" s="19" t="s">
        <v>2163</v>
      </c>
      <c r="C279" s="4" t="s">
        <v>2164</v>
      </c>
      <c r="D279" s="4" t="s">
        <v>1616</v>
      </c>
      <c r="E279" s="4"/>
      <c r="F279" s="8"/>
      <c r="G279" s="8"/>
      <c r="H279" s="8"/>
      <c r="I279" s="8"/>
      <c r="J279" s="8"/>
      <c r="K279" s="8">
        <v>60</v>
      </c>
      <c r="L279" s="18">
        <v>1200</v>
      </c>
      <c r="M279" s="7">
        <f t="shared" si="4"/>
        <v>72000</v>
      </c>
      <c r="N279" s="4"/>
      <c r="O279" s="9"/>
    </row>
    <row r="280" spans="1:15" ht="20" x14ac:dyDescent="0.2">
      <c r="A280" s="3">
        <v>276</v>
      </c>
      <c r="B280" s="19" t="s">
        <v>2165</v>
      </c>
      <c r="C280" s="4" t="s">
        <v>2166</v>
      </c>
      <c r="D280" s="4" t="s">
        <v>1616</v>
      </c>
      <c r="E280" s="4"/>
      <c r="F280" s="8"/>
      <c r="G280" s="8"/>
      <c r="H280" s="8"/>
      <c r="I280" s="8"/>
      <c r="J280" s="8"/>
      <c r="K280" s="8">
        <v>200</v>
      </c>
      <c r="L280" s="18">
        <v>360</v>
      </c>
      <c r="M280" s="7">
        <f t="shared" si="4"/>
        <v>72000</v>
      </c>
      <c r="N280" s="4"/>
      <c r="O280" s="9"/>
    </row>
    <row r="281" spans="1:15" ht="20" x14ac:dyDescent="0.2">
      <c r="A281" s="3">
        <v>277</v>
      </c>
      <c r="B281" s="19" t="s">
        <v>2167</v>
      </c>
      <c r="C281" s="4" t="s">
        <v>2168</v>
      </c>
      <c r="D281" s="4" t="s">
        <v>1616</v>
      </c>
      <c r="E281" s="4"/>
      <c r="F281" s="8"/>
      <c r="G281" s="8"/>
      <c r="H281" s="8"/>
      <c r="I281" s="8"/>
      <c r="J281" s="8"/>
      <c r="K281" s="8">
        <v>4000</v>
      </c>
      <c r="L281" s="18">
        <v>18.190000000000001</v>
      </c>
      <c r="M281" s="7">
        <f t="shared" si="4"/>
        <v>72760</v>
      </c>
      <c r="N281" s="4"/>
      <c r="O281" s="9"/>
    </row>
    <row r="282" spans="1:15" ht="40" x14ac:dyDescent="0.2">
      <c r="A282" s="3">
        <v>278</v>
      </c>
      <c r="B282" s="19" t="s">
        <v>2169</v>
      </c>
      <c r="C282" s="4" t="s">
        <v>2170</v>
      </c>
      <c r="D282" s="4" t="s">
        <v>1616</v>
      </c>
      <c r="E282" s="4"/>
      <c r="F282" s="8"/>
      <c r="G282" s="8"/>
      <c r="H282" s="8"/>
      <c r="I282" s="8"/>
      <c r="J282" s="8"/>
      <c r="K282" s="8">
        <v>280</v>
      </c>
      <c r="L282" s="18">
        <v>260.64</v>
      </c>
      <c r="M282" s="7">
        <f t="shared" si="4"/>
        <v>72979.199999999997</v>
      </c>
      <c r="N282" s="4"/>
      <c r="O282" s="9"/>
    </row>
    <row r="283" spans="1:15" ht="40" x14ac:dyDescent="0.2">
      <c r="A283" s="3">
        <v>279</v>
      </c>
      <c r="B283" s="19" t="s">
        <v>2169</v>
      </c>
      <c r="C283" s="4" t="s">
        <v>2171</v>
      </c>
      <c r="D283" s="4" t="s">
        <v>1616</v>
      </c>
      <c r="E283" s="4"/>
      <c r="F283" s="8"/>
      <c r="G283" s="8"/>
      <c r="H283" s="8"/>
      <c r="I283" s="8"/>
      <c r="J283" s="8"/>
      <c r="K283" s="8">
        <v>280</v>
      </c>
      <c r="L283" s="18">
        <v>260.64</v>
      </c>
      <c r="M283" s="7">
        <f t="shared" si="4"/>
        <v>72979.199999999997</v>
      </c>
      <c r="N283" s="4"/>
      <c r="O283" s="9"/>
    </row>
    <row r="284" spans="1:15" ht="20" x14ac:dyDescent="0.2">
      <c r="A284" s="3">
        <v>280</v>
      </c>
      <c r="B284" s="19" t="s">
        <v>2172</v>
      </c>
      <c r="C284" s="4" t="s">
        <v>2173</v>
      </c>
      <c r="D284" s="4" t="s">
        <v>1616</v>
      </c>
      <c r="E284" s="4"/>
      <c r="F284" s="8"/>
      <c r="G284" s="8"/>
      <c r="H284" s="8"/>
      <c r="I284" s="8"/>
      <c r="J284" s="8"/>
      <c r="K284" s="8">
        <v>200</v>
      </c>
      <c r="L284" s="18">
        <v>365.94</v>
      </c>
      <c r="M284" s="7">
        <f t="shared" si="4"/>
        <v>73188</v>
      </c>
      <c r="N284" s="4"/>
      <c r="O284" s="9"/>
    </row>
    <row r="285" spans="1:15" ht="20" x14ac:dyDescent="0.2">
      <c r="A285" s="3">
        <v>281</v>
      </c>
      <c r="B285" s="19" t="s">
        <v>2174</v>
      </c>
      <c r="C285" s="4" t="s">
        <v>2175</v>
      </c>
      <c r="D285" s="4" t="s">
        <v>1616</v>
      </c>
      <c r="E285" s="4"/>
      <c r="F285" s="8"/>
      <c r="G285" s="8"/>
      <c r="H285" s="8"/>
      <c r="I285" s="8"/>
      <c r="J285" s="8"/>
      <c r="K285" s="8">
        <v>700</v>
      </c>
      <c r="L285" s="18">
        <v>105</v>
      </c>
      <c r="M285" s="7">
        <f t="shared" si="4"/>
        <v>73500</v>
      </c>
      <c r="N285" s="4"/>
      <c r="O285" s="9"/>
    </row>
    <row r="286" spans="1:15" ht="20" x14ac:dyDescent="0.2">
      <c r="A286" s="3">
        <v>282</v>
      </c>
      <c r="B286" s="19" t="s">
        <v>2176</v>
      </c>
      <c r="C286" s="4" t="s">
        <v>2177</v>
      </c>
      <c r="D286" s="4" t="s">
        <v>1616</v>
      </c>
      <c r="E286" s="4"/>
      <c r="F286" s="8"/>
      <c r="G286" s="8"/>
      <c r="H286" s="8"/>
      <c r="I286" s="8"/>
      <c r="J286" s="8"/>
      <c r="K286" s="8">
        <v>60</v>
      </c>
      <c r="L286" s="18">
        <v>1240</v>
      </c>
      <c r="M286" s="7">
        <f t="shared" si="4"/>
        <v>74400</v>
      </c>
      <c r="N286" s="4"/>
      <c r="O286" s="9"/>
    </row>
    <row r="287" spans="1:15" ht="20" x14ac:dyDescent="0.2">
      <c r="A287" s="3">
        <v>283</v>
      </c>
      <c r="B287" s="19" t="s">
        <v>2178</v>
      </c>
      <c r="C287" s="4" t="s">
        <v>2179</v>
      </c>
      <c r="D287" s="4" t="s">
        <v>1616</v>
      </c>
      <c r="E287" s="4"/>
      <c r="F287" s="8"/>
      <c r="G287" s="8"/>
      <c r="H287" s="8"/>
      <c r="I287" s="8"/>
      <c r="J287" s="8"/>
      <c r="K287" s="8">
        <v>240</v>
      </c>
      <c r="L287" s="18">
        <v>310.3</v>
      </c>
      <c r="M287" s="7">
        <f t="shared" si="4"/>
        <v>74472</v>
      </c>
      <c r="N287" s="4"/>
      <c r="O287" s="9"/>
    </row>
    <row r="288" spans="1:15" ht="20" x14ac:dyDescent="0.2">
      <c r="A288" s="3">
        <v>284</v>
      </c>
      <c r="B288" s="19" t="s">
        <v>2180</v>
      </c>
      <c r="C288" s="4" t="s">
        <v>2181</v>
      </c>
      <c r="D288" s="4" t="s">
        <v>1616</v>
      </c>
      <c r="E288" s="4"/>
      <c r="F288" s="8"/>
      <c r="G288" s="8"/>
      <c r="H288" s="8"/>
      <c r="I288" s="8"/>
      <c r="J288" s="8"/>
      <c r="K288" s="8">
        <v>280</v>
      </c>
      <c r="L288" s="18">
        <v>267.5</v>
      </c>
      <c r="M288" s="7">
        <f t="shared" si="4"/>
        <v>74900</v>
      </c>
      <c r="N288" s="4"/>
      <c r="O288" s="9"/>
    </row>
    <row r="289" spans="1:15" ht="20" x14ac:dyDescent="0.2">
      <c r="A289" s="3">
        <v>285</v>
      </c>
      <c r="B289" s="19" t="s">
        <v>2182</v>
      </c>
      <c r="C289" s="4" t="s">
        <v>2183</v>
      </c>
      <c r="D289" s="4" t="s">
        <v>1616</v>
      </c>
      <c r="E289" s="4"/>
      <c r="F289" s="8"/>
      <c r="G289" s="8"/>
      <c r="H289" s="8"/>
      <c r="I289" s="8"/>
      <c r="J289" s="8"/>
      <c r="K289" s="8">
        <v>10</v>
      </c>
      <c r="L289" s="18">
        <v>7490</v>
      </c>
      <c r="M289" s="7">
        <f t="shared" si="4"/>
        <v>74900</v>
      </c>
      <c r="N289" s="4"/>
      <c r="O289" s="9"/>
    </row>
    <row r="290" spans="1:15" ht="20" x14ac:dyDescent="0.2">
      <c r="A290" s="3">
        <v>286</v>
      </c>
      <c r="B290" s="19" t="s">
        <v>2184</v>
      </c>
      <c r="C290" s="4" t="s">
        <v>2185</v>
      </c>
      <c r="D290" s="4" t="s">
        <v>1616</v>
      </c>
      <c r="E290" s="4"/>
      <c r="F290" s="8"/>
      <c r="G290" s="8"/>
      <c r="H290" s="8"/>
      <c r="I290" s="8"/>
      <c r="J290" s="8"/>
      <c r="K290" s="8">
        <v>300</v>
      </c>
      <c r="L290" s="18">
        <v>250</v>
      </c>
      <c r="M290" s="7">
        <f t="shared" si="4"/>
        <v>75000</v>
      </c>
      <c r="N290" s="4"/>
      <c r="O290" s="9"/>
    </row>
    <row r="291" spans="1:15" ht="20" x14ac:dyDescent="0.2">
      <c r="A291" s="3">
        <v>287</v>
      </c>
      <c r="B291" s="19" t="s">
        <v>2186</v>
      </c>
      <c r="C291" s="4" t="s">
        <v>2187</v>
      </c>
      <c r="D291" s="4" t="s">
        <v>1616</v>
      </c>
      <c r="E291" s="4"/>
      <c r="F291" s="8"/>
      <c r="G291" s="8"/>
      <c r="H291" s="8"/>
      <c r="I291" s="8"/>
      <c r="J291" s="8"/>
      <c r="K291" s="8">
        <v>450</v>
      </c>
      <c r="L291" s="18">
        <v>166.92</v>
      </c>
      <c r="M291" s="7">
        <f t="shared" si="4"/>
        <v>75114</v>
      </c>
      <c r="N291" s="4"/>
      <c r="O291" s="9"/>
    </row>
    <row r="292" spans="1:15" ht="20" x14ac:dyDescent="0.2">
      <c r="A292" s="3">
        <v>288</v>
      </c>
      <c r="B292" s="19" t="s">
        <v>2188</v>
      </c>
      <c r="C292" s="4" t="s">
        <v>2189</v>
      </c>
      <c r="D292" s="4" t="s">
        <v>1616</v>
      </c>
      <c r="E292" s="4"/>
      <c r="F292" s="8"/>
      <c r="G292" s="8"/>
      <c r="H292" s="8"/>
      <c r="I292" s="8"/>
      <c r="J292" s="8"/>
      <c r="K292" s="8">
        <v>840</v>
      </c>
      <c r="L292" s="18">
        <v>90</v>
      </c>
      <c r="M292" s="7">
        <f t="shared" si="4"/>
        <v>75600</v>
      </c>
      <c r="N292" s="4"/>
      <c r="O292" s="9"/>
    </row>
    <row r="293" spans="1:15" ht="20" x14ac:dyDescent="0.2">
      <c r="A293" s="3">
        <v>289</v>
      </c>
      <c r="B293" s="19" t="s">
        <v>2190</v>
      </c>
      <c r="C293" s="4" t="s">
        <v>2191</v>
      </c>
      <c r="D293" s="4" t="s">
        <v>1616</v>
      </c>
      <c r="E293" s="4"/>
      <c r="F293" s="8"/>
      <c r="G293" s="8"/>
      <c r="H293" s="8"/>
      <c r="I293" s="8"/>
      <c r="J293" s="8"/>
      <c r="K293" s="8">
        <v>500</v>
      </c>
      <c r="L293" s="18">
        <v>153</v>
      </c>
      <c r="M293" s="7">
        <f t="shared" si="4"/>
        <v>76500</v>
      </c>
      <c r="N293" s="4"/>
      <c r="O293" s="9"/>
    </row>
    <row r="294" spans="1:15" ht="20" x14ac:dyDescent="0.2">
      <c r="A294" s="3">
        <v>290</v>
      </c>
      <c r="B294" s="19" t="s">
        <v>2192</v>
      </c>
      <c r="C294" s="4" t="s">
        <v>2193</v>
      </c>
      <c r="D294" s="4" t="s">
        <v>1616</v>
      </c>
      <c r="E294" s="4"/>
      <c r="F294" s="8"/>
      <c r="G294" s="8"/>
      <c r="H294" s="8"/>
      <c r="I294" s="8"/>
      <c r="J294" s="8"/>
      <c r="K294" s="8">
        <v>500</v>
      </c>
      <c r="L294" s="18">
        <v>153.01</v>
      </c>
      <c r="M294" s="7">
        <f t="shared" si="4"/>
        <v>76505</v>
      </c>
      <c r="N294" s="4"/>
      <c r="O294" s="9"/>
    </row>
    <row r="295" spans="1:15" ht="20" x14ac:dyDescent="0.2">
      <c r="A295" s="3">
        <v>291</v>
      </c>
      <c r="B295" s="19" t="s">
        <v>2194</v>
      </c>
      <c r="C295" s="4" t="s">
        <v>2195</v>
      </c>
      <c r="D295" s="4" t="s">
        <v>1616</v>
      </c>
      <c r="E295" s="4"/>
      <c r="F295" s="8"/>
      <c r="G295" s="8"/>
      <c r="H295" s="8"/>
      <c r="I295" s="8"/>
      <c r="J295" s="8"/>
      <c r="K295" s="8">
        <v>450</v>
      </c>
      <c r="L295" s="18">
        <v>171.2</v>
      </c>
      <c r="M295" s="7">
        <f t="shared" si="4"/>
        <v>77040</v>
      </c>
      <c r="N295" s="4"/>
      <c r="O295" s="9"/>
    </row>
    <row r="296" spans="1:15" ht="20" x14ac:dyDescent="0.2">
      <c r="A296" s="3">
        <v>292</v>
      </c>
      <c r="B296" s="19" t="s">
        <v>2196</v>
      </c>
      <c r="C296" s="4" t="s">
        <v>2197</v>
      </c>
      <c r="D296" s="4" t="s">
        <v>1616</v>
      </c>
      <c r="E296" s="4"/>
      <c r="F296" s="8"/>
      <c r="G296" s="8"/>
      <c r="H296" s="8"/>
      <c r="I296" s="8"/>
      <c r="J296" s="8"/>
      <c r="K296" s="8">
        <v>600</v>
      </c>
      <c r="L296" s="18">
        <v>128.4</v>
      </c>
      <c r="M296" s="7">
        <f t="shared" si="4"/>
        <v>77040</v>
      </c>
      <c r="N296" s="4"/>
      <c r="O296" s="9"/>
    </row>
    <row r="297" spans="1:15" ht="20" x14ac:dyDescent="0.2">
      <c r="A297" s="3">
        <v>293</v>
      </c>
      <c r="B297" s="19" t="s">
        <v>2198</v>
      </c>
      <c r="C297" s="4" t="s">
        <v>2199</v>
      </c>
      <c r="D297" s="4" t="s">
        <v>1616</v>
      </c>
      <c r="E297" s="4"/>
      <c r="F297" s="8"/>
      <c r="G297" s="8"/>
      <c r="H297" s="8"/>
      <c r="I297" s="8"/>
      <c r="J297" s="8"/>
      <c r="K297" s="8">
        <v>620</v>
      </c>
      <c r="L297" s="18">
        <v>125</v>
      </c>
      <c r="M297" s="7">
        <f t="shared" si="4"/>
        <v>77500</v>
      </c>
      <c r="N297" s="4"/>
      <c r="O297" s="9"/>
    </row>
    <row r="298" spans="1:15" ht="20" x14ac:dyDescent="0.2">
      <c r="A298" s="3">
        <v>294</v>
      </c>
      <c r="B298" s="19" t="s">
        <v>2200</v>
      </c>
      <c r="C298" s="4" t="s">
        <v>2201</v>
      </c>
      <c r="D298" s="4" t="s">
        <v>1616</v>
      </c>
      <c r="E298" s="4"/>
      <c r="F298" s="8"/>
      <c r="G298" s="8"/>
      <c r="H298" s="8"/>
      <c r="I298" s="8"/>
      <c r="J298" s="8"/>
      <c r="K298" s="8">
        <v>100</v>
      </c>
      <c r="L298" s="18">
        <v>790</v>
      </c>
      <c r="M298" s="7">
        <f t="shared" si="4"/>
        <v>79000</v>
      </c>
      <c r="N298" s="4"/>
      <c r="O298" s="9"/>
    </row>
    <row r="299" spans="1:15" ht="20" x14ac:dyDescent="0.2">
      <c r="A299" s="3">
        <v>295</v>
      </c>
      <c r="B299" s="19" t="s">
        <v>2202</v>
      </c>
      <c r="C299" s="4" t="s">
        <v>2203</v>
      </c>
      <c r="D299" s="4" t="s">
        <v>1616</v>
      </c>
      <c r="E299" s="4"/>
      <c r="F299" s="8"/>
      <c r="G299" s="8"/>
      <c r="H299" s="8"/>
      <c r="I299" s="8"/>
      <c r="J299" s="8"/>
      <c r="K299" s="8">
        <v>400</v>
      </c>
      <c r="L299" s="18">
        <v>200</v>
      </c>
      <c r="M299" s="7">
        <f t="shared" si="4"/>
        <v>80000</v>
      </c>
      <c r="N299" s="4"/>
      <c r="O299" s="9"/>
    </row>
    <row r="300" spans="1:15" ht="20" x14ac:dyDescent="0.2">
      <c r="A300" s="3">
        <v>296</v>
      </c>
      <c r="B300" s="19" t="s">
        <v>2204</v>
      </c>
      <c r="C300" s="4" t="s">
        <v>2205</v>
      </c>
      <c r="D300" s="4" t="s">
        <v>1616</v>
      </c>
      <c r="E300" s="4"/>
      <c r="F300" s="8"/>
      <c r="G300" s="8"/>
      <c r="H300" s="8"/>
      <c r="I300" s="8"/>
      <c r="J300" s="8"/>
      <c r="K300" s="8">
        <v>40</v>
      </c>
      <c r="L300" s="18">
        <v>2006.25</v>
      </c>
      <c r="M300" s="7">
        <f t="shared" si="4"/>
        <v>80250</v>
      </c>
      <c r="N300" s="4"/>
      <c r="O300" s="9"/>
    </row>
    <row r="301" spans="1:15" ht="40" x14ac:dyDescent="0.2">
      <c r="A301" s="3">
        <v>297</v>
      </c>
      <c r="B301" s="19" t="s">
        <v>2206</v>
      </c>
      <c r="C301" s="4" t="s">
        <v>2207</v>
      </c>
      <c r="D301" s="4" t="s">
        <v>1616</v>
      </c>
      <c r="E301" s="4"/>
      <c r="F301" s="8"/>
      <c r="G301" s="8"/>
      <c r="H301" s="8"/>
      <c r="I301" s="8"/>
      <c r="J301" s="8"/>
      <c r="K301" s="8">
        <v>80</v>
      </c>
      <c r="L301" s="18">
        <v>1020</v>
      </c>
      <c r="M301" s="7">
        <f t="shared" si="4"/>
        <v>81600</v>
      </c>
      <c r="N301" s="4"/>
      <c r="O301" s="9"/>
    </row>
    <row r="302" spans="1:15" ht="20" x14ac:dyDescent="0.2">
      <c r="A302" s="3">
        <v>298</v>
      </c>
      <c r="B302" s="19" t="s">
        <v>2208</v>
      </c>
      <c r="C302" s="4" t="s">
        <v>2209</v>
      </c>
      <c r="D302" s="4" t="s">
        <v>1616</v>
      </c>
      <c r="E302" s="4"/>
      <c r="F302" s="8"/>
      <c r="G302" s="8"/>
      <c r="H302" s="8"/>
      <c r="I302" s="8"/>
      <c r="J302" s="8"/>
      <c r="K302" s="8">
        <v>500</v>
      </c>
      <c r="L302" s="18">
        <v>165</v>
      </c>
      <c r="M302" s="7">
        <f t="shared" si="4"/>
        <v>82500</v>
      </c>
      <c r="N302" s="4"/>
      <c r="O302" s="9"/>
    </row>
    <row r="303" spans="1:15" ht="20" x14ac:dyDescent="0.2">
      <c r="A303" s="3">
        <v>299</v>
      </c>
      <c r="B303" s="19" t="s">
        <v>2210</v>
      </c>
      <c r="C303" s="4" t="s">
        <v>2211</v>
      </c>
      <c r="D303" s="4" t="s">
        <v>1616</v>
      </c>
      <c r="E303" s="4"/>
      <c r="F303" s="8"/>
      <c r="G303" s="8"/>
      <c r="H303" s="8"/>
      <c r="I303" s="8"/>
      <c r="J303" s="8"/>
      <c r="K303" s="8">
        <v>120</v>
      </c>
      <c r="L303" s="18">
        <v>700</v>
      </c>
      <c r="M303" s="7">
        <f t="shared" si="4"/>
        <v>84000</v>
      </c>
      <c r="N303" s="4"/>
      <c r="O303" s="9"/>
    </row>
    <row r="304" spans="1:15" ht="20" x14ac:dyDescent="0.2">
      <c r="A304" s="3">
        <v>300</v>
      </c>
      <c r="B304" s="19" t="s">
        <v>2212</v>
      </c>
      <c r="C304" s="4" t="s">
        <v>2213</v>
      </c>
      <c r="D304" s="4" t="s">
        <v>1616</v>
      </c>
      <c r="E304" s="4"/>
      <c r="F304" s="8"/>
      <c r="G304" s="8"/>
      <c r="H304" s="8"/>
      <c r="I304" s="8"/>
      <c r="J304" s="8"/>
      <c r="K304" s="8">
        <v>600</v>
      </c>
      <c r="L304" s="18">
        <v>140</v>
      </c>
      <c r="M304" s="7">
        <f t="shared" si="4"/>
        <v>84000</v>
      </c>
      <c r="N304" s="4"/>
      <c r="O304" s="9"/>
    </row>
    <row r="305" spans="1:15" ht="40" x14ac:dyDescent="0.2">
      <c r="A305" s="3">
        <v>301</v>
      </c>
      <c r="B305" s="19" t="s">
        <v>2214</v>
      </c>
      <c r="C305" s="4" t="s">
        <v>2215</v>
      </c>
      <c r="D305" s="4" t="s">
        <v>1616</v>
      </c>
      <c r="E305" s="4"/>
      <c r="F305" s="8"/>
      <c r="G305" s="8"/>
      <c r="H305" s="8"/>
      <c r="I305" s="8"/>
      <c r="J305" s="8"/>
      <c r="K305" s="8">
        <v>700</v>
      </c>
      <c r="L305" s="18">
        <v>121.98</v>
      </c>
      <c r="M305" s="7">
        <f t="shared" si="4"/>
        <v>85386</v>
      </c>
      <c r="N305" s="4"/>
      <c r="O305" s="9"/>
    </row>
    <row r="306" spans="1:15" ht="20" x14ac:dyDescent="0.2">
      <c r="A306" s="3">
        <v>302</v>
      </c>
      <c r="B306" s="19" t="s">
        <v>2216</v>
      </c>
      <c r="C306" s="4" t="s">
        <v>2217</v>
      </c>
      <c r="D306" s="4" t="s">
        <v>1616</v>
      </c>
      <c r="E306" s="4"/>
      <c r="F306" s="8"/>
      <c r="G306" s="8"/>
      <c r="H306" s="8"/>
      <c r="I306" s="8"/>
      <c r="J306" s="8"/>
      <c r="K306" s="8">
        <v>800</v>
      </c>
      <c r="L306" s="18">
        <v>107</v>
      </c>
      <c r="M306" s="7">
        <f t="shared" si="4"/>
        <v>85600</v>
      </c>
      <c r="N306" s="4"/>
      <c r="O306" s="9"/>
    </row>
    <row r="307" spans="1:15" ht="20" x14ac:dyDescent="0.2">
      <c r="A307" s="3">
        <v>303</v>
      </c>
      <c r="B307" s="19" t="s">
        <v>2218</v>
      </c>
      <c r="C307" s="4" t="s">
        <v>2219</v>
      </c>
      <c r="D307" s="4" t="s">
        <v>1616</v>
      </c>
      <c r="E307" s="4"/>
      <c r="F307" s="8"/>
      <c r="G307" s="8"/>
      <c r="H307" s="8"/>
      <c r="I307" s="8"/>
      <c r="J307" s="8"/>
      <c r="K307" s="8">
        <v>320</v>
      </c>
      <c r="L307" s="18">
        <v>270</v>
      </c>
      <c r="M307" s="7">
        <f t="shared" si="4"/>
        <v>86400</v>
      </c>
      <c r="N307" s="4"/>
      <c r="O307" s="9"/>
    </row>
    <row r="308" spans="1:15" ht="20" x14ac:dyDescent="0.2">
      <c r="A308" s="3">
        <v>304</v>
      </c>
      <c r="B308" s="19" t="s">
        <v>2220</v>
      </c>
      <c r="C308" s="4" t="s">
        <v>2221</v>
      </c>
      <c r="D308" s="4" t="s">
        <v>1616</v>
      </c>
      <c r="E308" s="4"/>
      <c r="F308" s="8"/>
      <c r="G308" s="8"/>
      <c r="H308" s="8"/>
      <c r="I308" s="8"/>
      <c r="J308" s="8"/>
      <c r="K308" s="8">
        <v>180</v>
      </c>
      <c r="L308" s="18">
        <v>481.5</v>
      </c>
      <c r="M308" s="7">
        <f t="shared" si="4"/>
        <v>86670</v>
      </c>
      <c r="N308" s="4"/>
      <c r="O308" s="9"/>
    </row>
    <row r="309" spans="1:15" ht="20" x14ac:dyDescent="0.2">
      <c r="A309" s="3">
        <v>305</v>
      </c>
      <c r="B309" s="19" t="s">
        <v>2222</v>
      </c>
      <c r="C309" s="4" t="s">
        <v>2223</v>
      </c>
      <c r="D309" s="4" t="s">
        <v>1616</v>
      </c>
      <c r="E309" s="4"/>
      <c r="F309" s="8"/>
      <c r="G309" s="8"/>
      <c r="H309" s="8"/>
      <c r="I309" s="8"/>
      <c r="J309" s="8"/>
      <c r="K309" s="8">
        <v>1700</v>
      </c>
      <c r="L309" s="18">
        <v>51.36</v>
      </c>
      <c r="M309" s="7">
        <f t="shared" si="4"/>
        <v>87312</v>
      </c>
      <c r="N309" s="4"/>
      <c r="O309" s="9"/>
    </row>
    <row r="310" spans="1:15" ht="20" x14ac:dyDescent="0.2">
      <c r="A310" s="3">
        <v>306</v>
      </c>
      <c r="B310" s="19" t="s">
        <v>2224</v>
      </c>
      <c r="C310" s="4" t="s">
        <v>2225</v>
      </c>
      <c r="D310" s="4" t="s">
        <v>1616</v>
      </c>
      <c r="E310" s="4"/>
      <c r="F310" s="8"/>
      <c r="G310" s="8"/>
      <c r="H310" s="8"/>
      <c r="I310" s="8"/>
      <c r="J310" s="8"/>
      <c r="K310" s="8">
        <v>120</v>
      </c>
      <c r="L310" s="18">
        <v>740</v>
      </c>
      <c r="M310" s="7">
        <f t="shared" si="4"/>
        <v>88800</v>
      </c>
      <c r="N310" s="4"/>
      <c r="O310" s="9"/>
    </row>
    <row r="311" spans="1:15" ht="20" x14ac:dyDescent="0.2">
      <c r="A311" s="3">
        <v>307</v>
      </c>
      <c r="B311" s="19" t="s">
        <v>2226</v>
      </c>
      <c r="C311" s="4" t="s">
        <v>2227</v>
      </c>
      <c r="D311" s="4" t="s">
        <v>1616</v>
      </c>
      <c r="E311" s="4"/>
      <c r="F311" s="8"/>
      <c r="G311" s="8"/>
      <c r="H311" s="8"/>
      <c r="I311" s="8"/>
      <c r="J311" s="8"/>
      <c r="K311" s="8">
        <v>320</v>
      </c>
      <c r="L311" s="18">
        <v>280</v>
      </c>
      <c r="M311" s="7">
        <f t="shared" si="4"/>
        <v>89600</v>
      </c>
      <c r="N311" s="4"/>
      <c r="O311" s="9"/>
    </row>
    <row r="312" spans="1:15" ht="20" x14ac:dyDescent="0.2">
      <c r="A312" s="3">
        <v>308</v>
      </c>
      <c r="B312" s="19" t="s">
        <v>2228</v>
      </c>
      <c r="C312" s="4" t="s">
        <v>2229</v>
      </c>
      <c r="D312" s="4" t="s">
        <v>1616</v>
      </c>
      <c r="E312" s="4"/>
      <c r="F312" s="8"/>
      <c r="G312" s="8"/>
      <c r="H312" s="8"/>
      <c r="I312" s="8"/>
      <c r="J312" s="8"/>
      <c r="K312" s="8">
        <v>200</v>
      </c>
      <c r="L312" s="18">
        <v>450</v>
      </c>
      <c r="M312" s="7">
        <f t="shared" si="4"/>
        <v>90000</v>
      </c>
      <c r="N312" s="4"/>
      <c r="O312" s="9"/>
    </row>
    <row r="313" spans="1:15" ht="20" x14ac:dyDescent="0.2">
      <c r="A313" s="3">
        <v>309</v>
      </c>
      <c r="B313" s="19" t="s">
        <v>2230</v>
      </c>
      <c r="C313" s="4" t="s">
        <v>2231</v>
      </c>
      <c r="D313" s="4" t="s">
        <v>1616</v>
      </c>
      <c r="E313" s="4"/>
      <c r="F313" s="8"/>
      <c r="G313" s="8"/>
      <c r="H313" s="8"/>
      <c r="I313" s="8"/>
      <c r="J313" s="8"/>
      <c r="K313" s="8">
        <v>120</v>
      </c>
      <c r="L313" s="18">
        <v>760.77</v>
      </c>
      <c r="M313" s="7">
        <f t="shared" si="4"/>
        <v>91292.4</v>
      </c>
      <c r="N313" s="4"/>
      <c r="O313" s="9"/>
    </row>
    <row r="314" spans="1:15" ht="20" x14ac:dyDescent="0.2">
      <c r="A314" s="3">
        <v>310</v>
      </c>
      <c r="B314" s="19" t="s">
        <v>2232</v>
      </c>
      <c r="C314" s="4" t="s">
        <v>2233</v>
      </c>
      <c r="D314" s="4" t="s">
        <v>1616</v>
      </c>
      <c r="E314" s="4"/>
      <c r="F314" s="8"/>
      <c r="G314" s="8"/>
      <c r="H314" s="8"/>
      <c r="I314" s="8"/>
      <c r="J314" s="8"/>
      <c r="K314" s="8">
        <v>300</v>
      </c>
      <c r="L314" s="18">
        <v>304.95</v>
      </c>
      <c r="M314" s="7">
        <f t="shared" si="4"/>
        <v>91485</v>
      </c>
      <c r="N314" s="4"/>
      <c r="O314" s="9"/>
    </row>
    <row r="315" spans="1:15" ht="20" x14ac:dyDescent="0.2">
      <c r="A315" s="3">
        <v>311</v>
      </c>
      <c r="B315" s="19" t="s">
        <v>2234</v>
      </c>
      <c r="C315" s="4" t="s">
        <v>2235</v>
      </c>
      <c r="D315" s="4" t="s">
        <v>1616</v>
      </c>
      <c r="E315" s="4"/>
      <c r="F315" s="8"/>
      <c r="G315" s="8"/>
      <c r="H315" s="8"/>
      <c r="I315" s="8"/>
      <c r="J315" s="8"/>
      <c r="K315" s="8">
        <v>26</v>
      </c>
      <c r="L315" s="18">
        <v>3580</v>
      </c>
      <c r="M315" s="7">
        <f t="shared" si="4"/>
        <v>93080</v>
      </c>
      <c r="N315" s="4"/>
      <c r="O315" s="9"/>
    </row>
    <row r="316" spans="1:15" ht="20" x14ac:dyDescent="0.2">
      <c r="A316" s="3">
        <v>312</v>
      </c>
      <c r="B316" s="19" t="s">
        <v>2236</v>
      </c>
      <c r="C316" s="4" t="s">
        <v>2237</v>
      </c>
      <c r="D316" s="4" t="s">
        <v>1616</v>
      </c>
      <c r="E316" s="4"/>
      <c r="F316" s="8"/>
      <c r="G316" s="8"/>
      <c r="H316" s="8"/>
      <c r="I316" s="8"/>
      <c r="J316" s="8"/>
      <c r="K316" s="8">
        <v>240</v>
      </c>
      <c r="L316" s="18">
        <v>389.09</v>
      </c>
      <c r="M316" s="7">
        <f t="shared" si="4"/>
        <v>93381.599999999991</v>
      </c>
      <c r="N316" s="4"/>
      <c r="O316" s="9"/>
    </row>
    <row r="317" spans="1:15" ht="20" x14ac:dyDescent="0.2">
      <c r="A317" s="3">
        <v>313</v>
      </c>
      <c r="B317" s="19" t="s">
        <v>2238</v>
      </c>
      <c r="C317" s="4" t="s">
        <v>2239</v>
      </c>
      <c r="D317" s="4" t="s">
        <v>1616</v>
      </c>
      <c r="E317" s="4"/>
      <c r="F317" s="8"/>
      <c r="G317" s="8"/>
      <c r="H317" s="8"/>
      <c r="I317" s="8"/>
      <c r="J317" s="8"/>
      <c r="K317" s="8">
        <v>78</v>
      </c>
      <c r="L317" s="18">
        <v>1209.0999999999999</v>
      </c>
      <c r="M317" s="7">
        <f t="shared" si="4"/>
        <v>94309.799999999988</v>
      </c>
      <c r="N317" s="4"/>
      <c r="O317" s="9"/>
    </row>
    <row r="318" spans="1:15" ht="20" x14ac:dyDescent="0.2">
      <c r="A318" s="3">
        <v>314</v>
      </c>
      <c r="B318" s="19" t="s">
        <v>2240</v>
      </c>
      <c r="C318" s="4" t="s">
        <v>2241</v>
      </c>
      <c r="D318" s="4" t="s">
        <v>1616</v>
      </c>
      <c r="E318" s="4"/>
      <c r="F318" s="8"/>
      <c r="G318" s="8"/>
      <c r="H318" s="8"/>
      <c r="I318" s="8"/>
      <c r="J318" s="8"/>
      <c r="K318" s="8">
        <v>680</v>
      </c>
      <c r="L318" s="18">
        <v>140</v>
      </c>
      <c r="M318" s="7">
        <f t="shared" si="4"/>
        <v>95200</v>
      </c>
      <c r="N318" s="4"/>
      <c r="O318" s="9"/>
    </row>
    <row r="319" spans="1:15" ht="20" x14ac:dyDescent="0.2">
      <c r="A319" s="3">
        <v>315</v>
      </c>
      <c r="B319" s="19" t="s">
        <v>2242</v>
      </c>
      <c r="C319" s="4" t="s">
        <v>2243</v>
      </c>
      <c r="D319" s="4" t="s">
        <v>1616</v>
      </c>
      <c r="E319" s="4"/>
      <c r="F319" s="8"/>
      <c r="G319" s="8"/>
      <c r="H319" s="8"/>
      <c r="I319" s="8"/>
      <c r="J319" s="8"/>
      <c r="K319" s="8">
        <v>6000</v>
      </c>
      <c r="L319" s="18">
        <v>16</v>
      </c>
      <c r="M319" s="7">
        <f t="shared" si="4"/>
        <v>96000</v>
      </c>
      <c r="N319" s="4"/>
      <c r="O319" s="9"/>
    </row>
    <row r="320" spans="1:15" ht="40" x14ac:dyDescent="0.2">
      <c r="A320" s="3">
        <v>316</v>
      </c>
      <c r="B320" s="19" t="s">
        <v>2244</v>
      </c>
      <c r="C320" s="4" t="s">
        <v>2245</v>
      </c>
      <c r="D320" s="4" t="s">
        <v>1616</v>
      </c>
      <c r="E320" s="4"/>
      <c r="F320" s="8"/>
      <c r="G320" s="8"/>
      <c r="H320" s="8"/>
      <c r="I320" s="8"/>
      <c r="J320" s="8"/>
      <c r="K320" s="8">
        <v>120</v>
      </c>
      <c r="L320" s="18">
        <v>802.5</v>
      </c>
      <c r="M320" s="7">
        <f t="shared" si="4"/>
        <v>96300</v>
      </c>
      <c r="N320" s="4"/>
      <c r="O320" s="9"/>
    </row>
    <row r="321" spans="1:15" ht="20" x14ac:dyDescent="0.2">
      <c r="A321" s="3">
        <v>317</v>
      </c>
      <c r="B321" s="19" t="s">
        <v>2246</v>
      </c>
      <c r="C321" s="4" t="s">
        <v>2247</v>
      </c>
      <c r="D321" s="4" t="s">
        <v>1616</v>
      </c>
      <c r="E321" s="4"/>
      <c r="F321" s="8"/>
      <c r="G321" s="8"/>
      <c r="H321" s="8"/>
      <c r="I321" s="8"/>
      <c r="J321" s="8"/>
      <c r="K321" s="8">
        <v>20</v>
      </c>
      <c r="L321" s="18">
        <v>4836.3999999999996</v>
      </c>
      <c r="M321" s="7">
        <f t="shared" si="4"/>
        <v>96728</v>
      </c>
      <c r="N321" s="4"/>
      <c r="O321" s="9"/>
    </row>
    <row r="322" spans="1:15" ht="20" x14ac:dyDescent="0.2">
      <c r="A322" s="3">
        <v>318</v>
      </c>
      <c r="B322" s="19" t="s">
        <v>2248</v>
      </c>
      <c r="C322" s="4" t="s">
        <v>2249</v>
      </c>
      <c r="D322" s="4" t="s">
        <v>1616</v>
      </c>
      <c r="E322" s="4"/>
      <c r="F322" s="8"/>
      <c r="G322" s="8"/>
      <c r="H322" s="8"/>
      <c r="I322" s="8"/>
      <c r="J322" s="8"/>
      <c r="K322" s="8">
        <v>180</v>
      </c>
      <c r="L322" s="18">
        <v>553.75</v>
      </c>
      <c r="M322" s="7">
        <f t="shared" si="4"/>
        <v>99675</v>
      </c>
      <c r="N322" s="4"/>
      <c r="O322" s="9"/>
    </row>
    <row r="323" spans="1:15" ht="20" x14ac:dyDescent="0.2">
      <c r="A323" s="3">
        <v>319</v>
      </c>
      <c r="B323" s="19" t="s">
        <v>2250</v>
      </c>
      <c r="C323" s="4" t="s">
        <v>2251</v>
      </c>
      <c r="D323" s="4" t="s">
        <v>1616</v>
      </c>
      <c r="E323" s="4"/>
      <c r="F323" s="8"/>
      <c r="G323" s="8"/>
      <c r="H323" s="8"/>
      <c r="I323" s="8"/>
      <c r="J323" s="8"/>
      <c r="K323" s="8">
        <v>400</v>
      </c>
      <c r="L323" s="18">
        <v>250</v>
      </c>
      <c r="M323" s="7">
        <f t="shared" si="4"/>
        <v>100000</v>
      </c>
      <c r="N323" s="4"/>
      <c r="O323" s="9"/>
    </row>
    <row r="324" spans="1:15" ht="20" x14ac:dyDescent="0.2">
      <c r="A324" s="3">
        <v>320</v>
      </c>
      <c r="B324" s="19" t="s">
        <v>2252</v>
      </c>
      <c r="C324" s="4" t="s">
        <v>2253</v>
      </c>
      <c r="D324" s="4" t="s">
        <v>1616</v>
      </c>
      <c r="E324" s="4"/>
      <c r="F324" s="8"/>
      <c r="G324" s="8"/>
      <c r="H324" s="8"/>
      <c r="I324" s="8"/>
      <c r="J324" s="8"/>
      <c r="K324" s="8">
        <v>500</v>
      </c>
      <c r="L324" s="18">
        <v>200</v>
      </c>
      <c r="M324" s="7">
        <f t="shared" si="4"/>
        <v>100000</v>
      </c>
      <c r="N324" s="4"/>
      <c r="O324" s="9"/>
    </row>
    <row r="325" spans="1:15" ht="20" x14ac:dyDescent="0.2">
      <c r="A325" s="3">
        <v>321</v>
      </c>
      <c r="B325" s="19" t="s">
        <v>2254</v>
      </c>
      <c r="C325" s="4" t="s">
        <v>2255</v>
      </c>
      <c r="D325" s="4" t="s">
        <v>1616</v>
      </c>
      <c r="E325" s="4"/>
      <c r="F325" s="8"/>
      <c r="G325" s="8"/>
      <c r="H325" s="8"/>
      <c r="I325" s="8"/>
      <c r="J325" s="8"/>
      <c r="K325" s="8">
        <v>250</v>
      </c>
      <c r="L325" s="18">
        <v>406.6</v>
      </c>
      <c r="M325" s="7">
        <f t="shared" ref="M325:M388" si="5">IF(OR(K325="",L325=""),"",K325*L325)</f>
        <v>101650</v>
      </c>
      <c r="N325" s="4"/>
      <c r="O325" s="9"/>
    </row>
    <row r="326" spans="1:15" ht="40" x14ac:dyDescent="0.2">
      <c r="A326" s="3">
        <v>322</v>
      </c>
      <c r="B326" s="19" t="s">
        <v>2256</v>
      </c>
      <c r="C326" s="4" t="s">
        <v>2257</v>
      </c>
      <c r="D326" s="4" t="s">
        <v>1616</v>
      </c>
      <c r="E326" s="4"/>
      <c r="F326" s="8"/>
      <c r="G326" s="8"/>
      <c r="H326" s="8"/>
      <c r="I326" s="8"/>
      <c r="J326" s="8"/>
      <c r="K326" s="8">
        <v>160</v>
      </c>
      <c r="L326" s="18">
        <v>642</v>
      </c>
      <c r="M326" s="7">
        <f t="shared" si="5"/>
        <v>102720</v>
      </c>
      <c r="N326" s="4"/>
      <c r="O326" s="9"/>
    </row>
    <row r="327" spans="1:15" ht="20" x14ac:dyDescent="0.2">
      <c r="A327" s="3">
        <v>323</v>
      </c>
      <c r="B327" s="19" t="s">
        <v>2258</v>
      </c>
      <c r="C327" s="4" t="s">
        <v>2259</v>
      </c>
      <c r="D327" s="4" t="s">
        <v>1616</v>
      </c>
      <c r="E327" s="4"/>
      <c r="F327" s="8"/>
      <c r="G327" s="8"/>
      <c r="H327" s="8"/>
      <c r="I327" s="8"/>
      <c r="J327" s="8"/>
      <c r="K327" s="8">
        <v>800</v>
      </c>
      <c r="L327" s="18">
        <v>128.4</v>
      </c>
      <c r="M327" s="7">
        <f t="shared" si="5"/>
        <v>102720</v>
      </c>
      <c r="N327" s="4"/>
      <c r="O327" s="9"/>
    </row>
    <row r="328" spans="1:15" ht="20" x14ac:dyDescent="0.2">
      <c r="A328" s="3">
        <v>324</v>
      </c>
      <c r="B328" s="19" t="s">
        <v>2260</v>
      </c>
      <c r="C328" s="4" t="s">
        <v>2261</v>
      </c>
      <c r="D328" s="4" t="s">
        <v>1616</v>
      </c>
      <c r="E328" s="4"/>
      <c r="F328" s="8"/>
      <c r="G328" s="8"/>
      <c r="H328" s="8"/>
      <c r="I328" s="8"/>
      <c r="J328" s="8"/>
      <c r="K328" s="8">
        <v>800</v>
      </c>
      <c r="L328" s="18">
        <v>129.47</v>
      </c>
      <c r="M328" s="7">
        <f t="shared" si="5"/>
        <v>103576</v>
      </c>
      <c r="N328" s="4"/>
      <c r="O328" s="9"/>
    </row>
    <row r="329" spans="1:15" ht="20" x14ac:dyDescent="0.2">
      <c r="A329" s="3">
        <v>325</v>
      </c>
      <c r="B329" s="19" t="s">
        <v>2262</v>
      </c>
      <c r="C329" s="4" t="s">
        <v>2263</v>
      </c>
      <c r="D329" s="4" t="s">
        <v>1616</v>
      </c>
      <c r="E329" s="4"/>
      <c r="F329" s="8"/>
      <c r="G329" s="8"/>
      <c r="H329" s="8"/>
      <c r="I329" s="8"/>
      <c r="J329" s="8"/>
      <c r="K329" s="8">
        <v>60</v>
      </c>
      <c r="L329" s="18">
        <v>1728.05</v>
      </c>
      <c r="M329" s="7">
        <f t="shared" si="5"/>
        <v>103683</v>
      </c>
      <c r="N329" s="4"/>
      <c r="O329" s="9"/>
    </row>
    <row r="330" spans="1:15" ht="20" x14ac:dyDescent="0.2">
      <c r="A330" s="3">
        <v>326</v>
      </c>
      <c r="B330" s="19" t="s">
        <v>2264</v>
      </c>
      <c r="C330" s="4" t="s">
        <v>2265</v>
      </c>
      <c r="D330" s="4" t="s">
        <v>1616</v>
      </c>
      <c r="E330" s="4"/>
      <c r="F330" s="8"/>
      <c r="G330" s="8"/>
      <c r="H330" s="8"/>
      <c r="I330" s="8"/>
      <c r="J330" s="8"/>
      <c r="K330" s="8">
        <v>60</v>
      </c>
      <c r="L330" s="18">
        <v>1765.5</v>
      </c>
      <c r="M330" s="7">
        <f t="shared" si="5"/>
        <v>105930</v>
      </c>
      <c r="N330" s="4"/>
      <c r="O330" s="9"/>
    </row>
    <row r="331" spans="1:15" ht="20" x14ac:dyDescent="0.2">
      <c r="A331" s="3">
        <v>327</v>
      </c>
      <c r="B331" s="19" t="s">
        <v>2266</v>
      </c>
      <c r="C331" s="4" t="s">
        <v>2267</v>
      </c>
      <c r="D331" s="4" t="s">
        <v>1616</v>
      </c>
      <c r="E331" s="4"/>
      <c r="F331" s="8"/>
      <c r="G331" s="8"/>
      <c r="H331" s="8"/>
      <c r="I331" s="8"/>
      <c r="J331" s="8"/>
      <c r="K331" s="8">
        <v>100</v>
      </c>
      <c r="L331" s="18">
        <v>1070</v>
      </c>
      <c r="M331" s="7">
        <f t="shared" si="5"/>
        <v>107000</v>
      </c>
      <c r="N331" s="4"/>
      <c r="O331" s="9"/>
    </row>
    <row r="332" spans="1:15" ht="20" x14ac:dyDescent="0.2">
      <c r="A332" s="3">
        <v>328</v>
      </c>
      <c r="B332" s="19" t="s">
        <v>2268</v>
      </c>
      <c r="C332" s="4" t="s">
        <v>2269</v>
      </c>
      <c r="D332" s="4" t="s">
        <v>1616</v>
      </c>
      <c r="E332" s="4"/>
      <c r="F332" s="8"/>
      <c r="G332" s="8"/>
      <c r="H332" s="8"/>
      <c r="I332" s="8"/>
      <c r="J332" s="8"/>
      <c r="K332" s="8">
        <v>240</v>
      </c>
      <c r="L332" s="18">
        <v>446.19</v>
      </c>
      <c r="M332" s="7">
        <f t="shared" si="5"/>
        <v>107085.6</v>
      </c>
      <c r="N332" s="4"/>
      <c r="O332" s="9"/>
    </row>
    <row r="333" spans="1:15" ht="20" x14ac:dyDescent="0.2">
      <c r="A333" s="3">
        <v>329</v>
      </c>
      <c r="B333" s="19" t="s">
        <v>2270</v>
      </c>
      <c r="C333" s="4" t="s">
        <v>2271</v>
      </c>
      <c r="D333" s="4" t="s">
        <v>1616</v>
      </c>
      <c r="E333" s="4"/>
      <c r="F333" s="8"/>
      <c r="G333" s="8"/>
      <c r="H333" s="8"/>
      <c r="I333" s="8"/>
      <c r="J333" s="8"/>
      <c r="K333" s="8">
        <v>600</v>
      </c>
      <c r="L333" s="18">
        <v>179.76</v>
      </c>
      <c r="M333" s="7">
        <f t="shared" si="5"/>
        <v>107856</v>
      </c>
      <c r="N333" s="4"/>
      <c r="O333" s="9"/>
    </row>
    <row r="334" spans="1:15" ht="20" x14ac:dyDescent="0.2">
      <c r="A334" s="3">
        <v>330</v>
      </c>
      <c r="B334" s="19" t="s">
        <v>2272</v>
      </c>
      <c r="C334" s="4" t="s">
        <v>2273</v>
      </c>
      <c r="D334" s="4" t="s">
        <v>1616</v>
      </c>
      <c r="E334" s="4"/>
      <c r="F334" s="8"/>
      <c r="G334" s="8"/>
      <c r="H334" s="8"/>
      <c r="I334" s="8"/>
      <c r="J334" s="8"/>
      <c r="K334" s="8">
        <v>120</v>
      </c>
      <c r="L334" s="18">
        <v>900</v>
      </c>
      <c r="M334" s="7">
        <f t="shared" si="5"/>
        <v>108000</v>
      </c>
      <c r="N334" s="4"/>
      <c r="O334" s="9"/>
    </row>
    <row r="335" spans="1:15" ht="20" x14ac:dyDescent="0.2">
      <c r="A335" s="3">
        <v>331</v>
      </c>
      <c r="B335" s="19" t="s">
        <v>2274</v>
      </c>
      <c r="C335" s="4" t="s">
        <v>2275</v>
      </c>
      <c r="D335" s="4" t="s">
        <v>1616</v>
      </c>
      <c r="E335" s="4"/>
      <c r="F335" s="8"/>
      <c r="G335" s="8"/>
      <c r="H335" s="8"/>
      <c r="I335" s="8"/>
      <c r="J335" s="8"/>
      <c r="K335" s="8">
        <v>20</v>
      </c>
      <c r="L335" s="18">
        <v>5400</v>
      </c>
      <c r="M335" s="7">
        <f t="shared" si="5"/>
        <v>108000</v>
      </c>
      <c r="N335" s="4"/>
      <c r="O335" s="9"/>
    </row>
    <row r="336" spans="1:15" ht="20" x14ac:dyDescent="0.2">
      <c r="A336" s="3">
        <v>332</v>
      </c>
      <c r="B336" s="19" t="s">
        <v>2276</v>
      </c>
      <c r="C336" s="4" t="s">
        <v>2277</v>
      </c>
      <c r="D336" s="4" t="s">
        <v>1616</v>
      </c>
      <c r="E336" s="4"/>
      <c r="F336" s="8"/>
      <c r="G336" s="8"/>
      <c r="H336" s="8"/>
      <c r="I336" s="8"/>
      <c r="J336" s="8"/>
      <c r="K336" s="8">
        <v>600</v>
      </c>
      <c r="L336" s="18">
        <v>181.9</v>
      </c>
      <c r="M336" s="7">
        <f t="shared" si="5"/>
        <v>109140</v>
      </c>
      <c r="N336" s="4"/>
      <c r="O336" s="9"/>
    </row>
    <row r="337" spans="1:15" ht="20" x14ac:dyDescent="0.2">
      <c r="A337" s="3">
        <v>333</v>
      </c>
      <c r="B337" s="19" t="s">
        <v>2278</v>
      </c>
      <c r="C337" s="4" t="s">
        <v>2279</v>
      </c>
      <c r="D337" s="4" t="s">
        <v>1616</v>
      </c>
      <c r="E337" s="4"/>
      <c r="F337" s="8"/>
      <c r="G337" s="8"/>
      <c r="H337" s="8"/>
      <c r="I337" s="8"/>
      <c r="J337" s="8"/>
      <c r="K337" s="8">
        <v>200</v>
      </c>
      <c r="L337" s="18">
        <v>550</v>
      </c>
      <c r="M337" s="7">
        <f t="shared" si="5"/>
        <v>110000</v>
      </c>
      <c r="N337" s="4"/>
      <c r="O337" s="9"/>
    </row>
    <row r="338" spans="1:15" ht="20" x14ac:dyDescent="0.2">
      <c r="A338" s="3">
        <v>334</v>
      </c>
      <c r="B338" s="19" t="s">
        <v>2280</v>
      </c>
      <c r="C338" s="4" t="s">
        <v>2281</v>
      </c>
      <c r="D338" s="4" t="s">
        <v>1616</v>
      </c>
      <c r="E338" s="4"/>
      <c r="F338" s="8"/>
      <c r="G338" s="8"/>
      <c r="H338" s="8"/>
      <c r="I338" s="8"/>
      <c r="J338" s="8"/>
      <c r="K338" s="8">
        <v>120</v>
      </c>
      <c r="L338" s="18">
        <v>924.48</v>
      </c>
      <c r="M338" s="7">
        <f t="shared" si="5"/>
        <v>110937.60000000001</v>
      </c>
      <c r="N338" s="4"/>
      <c r="O338" s="9"/>
    </row>
    <row r="339" spans="1:15" ht="20" x14ac:dyDescent="0.2">
      <c r="A339" s="3">
        <v>335</v>
      </c>
      <c r="B339" s="19" t="s">
        <v>2282</v>
      </c>
      <c r="C339" s="4" t="s">
        <v>2283</v>
      </c>
      <c r="D339" s="4" t="s">
        <v>1616</v>
      </c>
      <c r="E339" s="4"/>
      <c r="F339" s="8"/>
      <c r="G339" s="8"/>
      <c r="H339" s="8"/>
      <c r="I339" s="8"/>
      <c r="J339" s="8"/>
      <c r="K339" s="8">
        <v>40</v>
      </c>
      <c r="L339" s="18">
        <v>2782</v>
      </c>
      <c r="M339" s="7">
        <f t="shared" si="5"/>
        <v>111280</v>
      </c>
      <c r="N339" s="4"/>
      <c r="O339" s="9"/>
    </row>
    <row r="340" spans="1:15" ht="20" x14ac:dyDescent="0.2">
      <c r="A340" s="3">
        <v>336</v>
      </c>
      <c r="B340" s="19" t="s">
        <v>2284</v>
      </c>
      <c r="C340" s="4" t="s">
        <v>2285</v>
      </c>
      <c r="D340" s="4" t="s">
        <v>1616</v>
      </c>
      <c r="E340" s="4"/>
      <c r="F340" s="8"/>
      <c r="G340" s="8"/>
      <c r="H340" s="8"/>
      <c r="I340" s="8"/>
      <c r="J340" s="8"/>
      <c r="K340" s="8">
        <v>200</v>
      </c>
      <c r="L340" s="18">
        <v>560</v>
      </c>
      <c r="M340" s="7">
        <f t="shared" si="5"/>
        <v>112000</v>
      </c>
      <c r="N340" s="4"/>
      <c r="O340" s="9"/>
    </row>
    <row r="341" spans="1:15" ht="20" x14ac:dyDescent="0.2">
      <c r="A341" s="3">
        <v>337</v>
      </c>
      <c r="B341" s="19" t="s">
        <v>2286</v>
      </c>
      <c r="C341" s="4" t="s">
        <v>2287</v>
      </c>
      <c r="D341" s="4" t="s">
        <v>1616</v>
      </c>
      <c r="E341" s="4"/>
      <c r="F341" s="8"/>
      <c r="G341" s="8"/>
      <c r="H341" s="8"/>
      <c r="I341" s="8"/>
      <c r="J341" s="8"/>
      <c r="K341" s="8">
        <v>20</v>
      </c>
      <c r="L341" s="18">
        <v>5700</v>
      </c>
      <c r="M341" s="7">
        <f t="shared" si="5"/>
        <v>114000</v>
      </c>
      <c r="N341" s="4"/>
      <c r="O341" s="9"/>
    </row>
    <row r="342" spans="1:15" ht="20" x14ac:dyDescent="0.2">
      <c r="A342" s="3">
        <v>338</v>
      </c>
      <c r="B342" s="19" t="s">
        <v>2288</v>
      </c>
      <c r="C342" s="4" t="s">
        <v>2289</v>
      </c>
      <c r="D342" s="4" t="s">
        <v>1616</v>
      </c>
      <c r="E342" s="4"/>
      <c r="F342" s="8"/>
      <c r="G342" s="8"/>
      <c r="H342" s="8"/>
      <c r="I342" s="8"/>
      <c r="J342" s="8"/>
      <c r="K342" s="8">
        <v>1200</v>
      </c>
      <c r="L342" s="18">
        <v>95</v>
      </c>
      <c r="M342" s="7">
        <f t="shared" si="5"/>
        <v>114000</v>
      </c>
      <c r="N342" s="4"/>
      <c r="O342" s="9"/>
    </row>
    <row r="343" spans="1:15" ht="20" x14ac:dyDescent="0.2">
      <c r="A343" s="3">
        <v>339</v>
      </c>
      <c r="B343" s="19" t="s">
        <v>2290</v>
      </c>
      <c r="C343" s="4" t="s">
        <v>2291</v>
      </c>
      <c r="D343" s="4" t="s">
        <v>1616</v>
      </c>
      <c r="E343" s="4"/>
      <c r="F343" s="8"/>
      <c r="G343" s="8"/>
      <c r="H343" s="8"/>
      <c r="I343" s="8"/>
      <c r="J343" s="8"/>
      <c r="K343" s="8">
        <v>300</v>
      </c>
      <c r="L343" s="18">
        <v>380</v>
      </c>
      <c r="M343" s="7">
        <f t="shared" si="5"/>
        <v>114000</v>
      </c>
      <c r="N343" s="4"/>
      <c r="O343" s="9"/>
    </row>
    <row r="344" spans="1:15" ht="20" x14ac:dyDescent="0.2">
      <c r="A344" s="3">
        <v>340</v>
      </c>
      <c r="B344" s="19" t="s">
        <v>2292</v>
      </c>
      <c r="C344" s="4" t="s">
        <v>2293</v>
      </c>
      <c r="D344" s="4" t="s">
        <v>1616</v>
      </c>
      <c r="E344" s="4"/>
      <c r="F344" s="8"/>
      <c r="G344" s="8"/>
      <c r="H344" s="8"/>
      <c r="I344" s="8"/>
      <c r="J344" s="8"/>
      <c r="K344" s="8">
        <v>360</v>
      </c>
      <c r="L344" s="18">
        <v>320</v>
      </c>
      <c r="M344" s="7">
        <f t="shared" si="5"/>
        <v>115200</v>
      </c>
      <c r="N344" s="4"/>
      <c r="O344" s="9"/>
    </row>
    <row r="345" spans="1:15" ht="20" x14ac:dyDescent="0.2">
      <c r="A345" s="3">
        <v>341</v>
      </c>
      <c r="B345" s="19" t="s">
        <v>2294</v>
      </c>
      <c r="C345" s="4" t="s">
        <v>2295</v>
      </c>
      <c r="D345" s="4" t="s">
        <v>1616</v>
      </c>
      <c r="E345" s="4"/>
      <c r="F345" s="8"/>
      <c r="G345" s="8"/>
      <c r="H345" s="8"/>
      <c r="I345" s="8"/>
      <c r="J345" s="8"/>
      <c r="K345" s="8">
        <v>6</v>
      </c>
      <c r="L345" s="18">
        <v>19260</v>
      </c>
      <c r="M345" s="7">
        <f t="shared" si="5"/>
        <v>115560</v>
      </c>
      <c r="N345" s="4"/>
      <c r="O345" s="9"/>
    </row>
    <row r="346" spans="1:15" ht="20" x14ac:dyDescent="0.2">
      <c r="A346" s="3">
        <v>342</v>
      </c>
      <c r="B346" s="19" t="s">
        <v>2296</v>
      </c>
      <c r="C346" s="4" t="s">
        <v>2297</v>
      </c>
      <c r="D346" s="4" t="s">
        <v>1616</v>
      </c>
      <c r="E346" s="4"/>
      <c r="F346" s="8"/>
      <c r="G346" s="8"/>
      <c r="H346" s="8"/>
      <c r="I346" s="8"/>
      <c r="J346" s="8"/>
      <c r="K346" s="8">
        <v>4000</v>
      </c>
      <c r="L346" s="18">
        <v>29.5</v>
      </c>
      <c r="M346" s="7">
        <f t="shared" si="5"/>
        <v>118000</v>
      </c>
      <c r="N346" s="4"/>
      <c r="O346" s="9"/>
    </row>
    <row r="347" spans="1:15" ht="20" x14ac:dyDescent="0.2">
      <c r="A347" s="3">
        <v>343</v>
      </c>
      <c r="B347" s="19" t="s">
        <v>2298</v>
      </c>
      <c r="C347" s="4" t="s">
        <v>2299</v>
      </c>
      <c r="D347" s="4" t="s">
        <v>1616</v>
      </c>
      <c r="E347" s="4"/>
      <c r="F347" s="8"/>
      <c r="G347" s="8"/>
      <c r="H347" s="8"/>
      <c r="I347" s="8"/>
      <c r="J347" s="8"/>
      <c r="K347" s="8">
        <v>240</v>
      </c>
      <c r="L347" s="18">
        <v>500</v>
      </c>
      <c r="M347" s="7">
        <f t="shared" si="5"/>
        <v>120000</v>
      </c>
      <c r="N347" s="4"/>
      <c r="O347" s="9"/>
    </row>
    <row r="348" spans="1:15" ht="20" x14ac:dyDescent="0.2">
      <c r="A348" s="3">
        <v>344</v>
      </c>
      <c r="B348" s="19" t="s">
        <v>2300</v>
      </c>
      <c r="C348" s="4" t="s">
        <v>2301</v>
      </c>
      <c r="D348" s="4" t="s">
        <v>1616</v>
      </c>
      <c r="E348" s="4"/>
      <c r="F348" s="8"/>
      <c r="G348" s="8"/>
      <c r="H348" s="8"/>
      <c r="I348" s="8"/>
      <c r="J348" s="8"/>
      <c r="K348" s="8">
        <v>300</v>
      </c>
      <c r="L348" s="18">
        <v>400</v>
      </c>
      <c r="M348" s="7">
        <f t="shared" si="5"/>
        <v>120000</v>
      </c>
      <c r="N348" s="4"/>
      <c r="O348" s="9"/>
    </row>
    <row r="349" spans="1:15" ht="20" x14ac:dyDescent="0.2">
      <c r="A349" s="3">
        <v>345</v>
      </c>
      <c r="B349" s="19" t="s">
        <v>2302</v>
      </c>
      <c r="C349" s="4" t="s">
        <v>2303</v>
      </c>
      <c r="D349" s="4" t="s">
        <v>1616</v>
      </c>
      <c r="E349" s="4"/>
      <c r="F349" s="8"/>
      <c r="G349" s="8"/>
      <c r="H349" s="8"/>
      <c r="I349" s="8"/>
      <c r="J349" s="8"/>
      <c r="K349" s="8">
        <v>4000</v>
      </c>
      <c r="L349" s="18">
        <v>30</v>
      </c>
      <c r="M349" s="7">
        <f t="shared" si="5"/>
        <v>120000</v>
      </c>
      <c r="N349" s="4"/>
      <c r="O349" s="9"/>
    </row>
    <row r="350" spans="1:15" ht="20" x14ac:dyDescent="0.2">
      <c r="A350" s="3">
        <v>346</v>
      </c>
      <c r="B350" s="19" t="s">
        <v>2304</v>
      </c>
      <c r="C350" s="4" t="s">
        <v>2305</v>
      </c>
      <c r="D350" s="4" t="s">
        <v>1616</v>
      </c>
      <c r="E350" s="4"/>
      <c r="F350" s="8"/>
      <c r="G350" s="8"/>
      <c r="H350" s="8"/>
      <c r="I350" s="8"/>
      <c r="J350" s="8"/>
      <c r="K350" s="8">
        <v>120</v>
      </c>
      <c r="L350" s="18">
        <v>1000</v>
      </c>
      <c r="M350" s="7">
        <f t="shared" si="5"/>
        <v>120000</v>
      </c>
      <c r="N350" s="4"/>
      <c r="O350" s="9"/>
    </row>
    <row r="351" spans="1:15" ht="20" x14ac:dyDescent="0.2">
      <c r="A351" s="3">
        <v>347</v>
      </c>
      <c r="B351" s="19" t="s">
        <v>2306</v>
      </c>
      <c r="C351" s="4" t="s">
        <v>2307</v>
      </c>
      <c r="D351" s="4" t="s">
        <v>1616</v>
      </c>
      <c r="E351" s="4"/>
      <c r="F351" s="8"/>
      <c r="G351" s="8"/>
      <c r="H351" s="8"/>
      <c r="I351" s="8"/>
      <c r="J351" s="8"/>
      <c r="K351" s="8">
        <v>15</v>
      </c>
      <c r="L351" s="18">
        <v>8025</v>
      </c>
      <c r="M351" s="7">
        <f t="shared" si="5"/>
        <v>120375</v>
      </c>
      <c r="N351" s="4"/>
      <c r="O351" s="9"/>
    </row>
    <row r="352" spans="1:15" ht="20" x14ac:dyDescent="0.2">
      <c r="A352" s="3">
        <v>348</v>
      </c>
      <c r="B352" s="19" t="s">
        <v>2308</v>
      </c>
      <c r="C352" s="4" t="s">
        <v>2309</v>
      </c>
      <c r="D352" s="4" t="s">
        <v>1616</v>
      </c>
      <c r="E352" s="4"/>
      <c r="F352" s="8"/>
      <c r="G352" s="8"/>
      <c r="H352" s="8"/>
      <c r="I352" s="8"/>
      <c r="J352" s="8"/>
      <c r="K352" s="8">
        <v>300</v>
      </c>
      <c r="L352" s="18">
        <v>405</v>
      </c>
      <c r="M352" s="7">
        <f t="shared" si="5"/>
        <v>121500</v>
      </c>
      <c r="N352" s="4"/>
      <c r="O352" s="9"/>
    </row>
    <row r="353" spans="1:15" ht="20" x14ac:dyDescent="0.2">
      <c r="A353" s="3">
        <v>349</v>
      </c>
      <c r="B353" s="19" t="s">
        <v>2310</v>
      </c>
      <c r="C353" s="4" t="s">
        <v>2311</v>
      </c>
      <c r="D353" s="4" t="s">
        <v>1616</v>
      </c>
      <c r="E353" s="4"/>
      <c r="F353" s="8"/>
      <c r="G353" s="8"/>
      <c r="H353" s="8"/>
      <c r="I353" s="8"/>
      <c r="J353" s="8"/>
      <c r="K353" s="8">
        <v>400</v>
      </c>
      <c r="L353" s="18">
        <v>310.3</v>
      </c>
      <c r="M353" s="7">
        <f t="shared" si="5"/>
        <v>124120</v>
      </c>
      <c r="N353" s="4"/>
      <c r="O353" s="9"/>
    </row>
    <row r="354" spans="1:15" ht="20" x14ac:dyDescent="0.2">
      <c r="A354" s="3">
        <v>350</v>
      </c>
      <c r="B354" s="19" t="s">
        <v>2312</v>
      </c>
      <c r="C354" s="4" t="s">
        <v>2313</v>
      </c>
      <c r="D354" s="4" t="s">
        <v>1616</v>
      </c>
      <c r="E354" s="4"/>
      <c r="F354" s="8"/>
      <c r="G354" s="8"/>
      <c r="H354" s="8"/>
      <c r="I354" s="8"/>
      <c r="J354" s="8"/>
      <c r="K354" s="8">
        <v>100</v>
      </c>
      <c r="L354" s="18">
        <v>1244.4100000000001</v>
      </c>
      <c r="M354" s="7">
        <f t="shared" si="5"/>
        <v>124441.00000000001</v>
      </c>
      <c r="N354" s="4"/>
      <c r="O354" s="9"/>
    </row>
    <row r="355" spans="1:15" ht="20" x14ac:dyDescent="0.2">
      <c r="A355" s="3">
        <v>351</v>
      </c>
      <c r="B355" s="19" t="s">
        <v>2314</v>
      </c>
      <c r="C355" s="4" t="s">
        <v>2315</v>
      </c>
      <c r="D355" s="4" t="s">
        <v>1616</v>
      </c>
      <c r="E355" s="4"/>
      <c r="F355" s="8"/>
      <c r="G355" s="8"/>
      <c r="H355" s="8"/>
      <c r="I355" s="8"/>
      <c r="J355" s="8"/>
      <c r="K355" s="8">
        <v>360</v>
      </c>
      <c r="L355" s="18">
        <v>350</v>
      </c>
      <c r="M355" s="7">
        <f t="shared" si="5"/>
        <v>126000</v>
      </c>
      <c r="N355" s="4"/>
      <c r="O355" s="9"/>
    </row>
    <row r="356" spans="1:15" ht="20" x14ac:dyDescent="0.2">
      <c r="A356" s="3">
        <v>352</v>
      </c>
      <c r="B356" s="19" t="s">
        <v>2316</v>
      </c>
      <c r="C356" s="4" t="s">
        <v>2317</v>
      </c>
      <c r="D356" s="4" t="s">
        <v>1616</v>
      </c>
      <c r="E356" s="4"/>
      <c r="F356" s="8"/>
      <c r="G356" s="8"/>
      <c r="H356" s="8"/>
      <c r="I356" s="8"/>
      <c r="J356" s="8"/>
      <c r="K356" s="8">
        <v>320</v>
      </c>
      <c r="L356" s="18">
        <v>398.04</v>
      </c>
      <c r="M356" s="7">
        <f t="shared" si="5"/>
        <v>127372.8</v>
      </c>
      <c r="N356" s="4"/>
      <c r="O356" s="9"/>
    </row>
    <row r="357" spans="1:15" ht="20" x14ac:dyDescent="0.2">
      <c r="A357" s="3">
        <v>353</v>
      </c>
      <c r="B357" s="19" t="s">
        <v>2318</v>
      </c>
      <c r="C357" s="4" t="s">
        <v>2319</v>
      </c>
      <c r="D357" s="4" t="s">
        <v>1616</v>
      </c>
      <c r="E357" s="4"/>
      <c r="F357" s="8"/>
      <c r="G357" s="8"/>
      <c r="H357" s="8"/>
      <c r="I357" s="8"/>
      <c r="J357" s="8"/>
      <c r="K357" s="8">
        <v>800</v>
      </c>
      <c r="L357" s="18">
        <v>160</v>
      </c>
      <c r="M357" s="7">
        <f t="shared" si="5"/>
        <v>128000</v>
      </c>
      <c r="N357" s="4"/>
      <c r="O357" s="9"/>
    </row>
    <row r="358" spans="1:15" ht="40" x14ac:dyDescent="0.2">
      <c r="A358" s="3">
        <v>354</v>
      </c>
      <c r="B358" s="19" t="s">
        <v>2320</v>
      </c>
      <c r="C358" s="4" t="s">
        <v>2321</v>
      </c>
      <c r="D358" s="4" t="s">
        <v>1616</v>
      </c>
      <c r="E358" s="4"/>
      <c r="F358" s="8"/>
      <c r="G358" s="8"/>
      <c r="H358" s="8"/>
      <c r="I358" s="8"/>
      <c r="J358" s="8"/>
      <c r="K358" s="8">
        <v>3000</v>
      </c>
      <c r="L358" s="18">
        <v>42.8</v>
      </c>
      <c r="M358" s="7">
        <f t="shared" si="5"/>
        <v>128399.99999999999</v>
      </c>
      <c r="N358" s="4"/>
      <c r="O358" s="9"/>
    </row>
    <row r="359" spans="1:15" ht="20" x14ac:dyDescent="0.2">
      <c r="A359" s="3">
        <v>355</v>
      </c>
      <c r="B359" s="19" t="s">
        <v>2322</v>
      </c>
      <c r="C359" s="4" t="s">
        <v>2323</v>
      </c>
      <c r="D359" s="4" t="s">
        <v>1616</v>
      </c>
      <c r="E359" s="4"/>
      <c r="F359" s="8"/>
      <c r="G359" s="8"/>
      <c r="H359" s="8"/>
      <c r="I359" s="8"/>
      <c r="J359" s="8"/>
      <c r="K359" s="8">
        <v>1200</v>
      </c>
      <c r="L359" s="18">
        <v>107</v>
      </c>
      <c r="M359" s="7">
        <f t="shared" si="5"/>
        <v>128400</v>
      </c>
      <c r="N359" s="4"/>
      <c r="O359" s="9"/>
    </row>
    <row r="360" spans="1:15" ht="20" x14ac:dyDescent="0.2">
      <c r="A360" s="3">
        <v>356</v>
      </c>
      <c r="B360" s="19" t="s">
        <v>2324</v>
      </c>
      <c r="C360" s="4" t="s">
        <v>2325</v>
      </c>
      <c r="D360" s="4" t="s">
        <v>1616</v>
      </c>
      <c r="E360" s="4"/>
      <c r="F360" s="8"/>
      <c r="G360" s="8"/>
      <c r="H360" s="8"/>
      <c r="I360" s="8"/>
      <c r="J360" s="8"/>
      <c r="K360" s="8">
        <v>120</v>
      </c>
      <c r="L360" s="18">
        <v>1070</v>
      </c>
      <c r="M360" s="7">
        <f t="shared" si="5"/>
        <v>128400</v>
      </c>
      <c r="N360" s="4"/>
      <c r="O360" s="9"/>
    </row>
    <row r="361" spans="1:15" ht="20" x14ac:dyDescent="0.2">
      <c r="A361" s="3">
        <v>357</v>
      </c>
      <c r="B361" s="19" t="s">
        <v>2326</v>
      </c>
      <c r="C361" s="4" t="s">
        <v>2327</v>
      </c>
      <c r="D361" s="4" t="s">
        <v>1616</v>
      </c>
      <c r="E361" s="4"/>
      <c r="F361" s="8"/>
      <c r="G361" s="8"/>
      <c r="H361" s="8"/>
      <c r="I361" s="8"/>
      <c r="J361" s="8"/>
      <c r="K361" s="8">
        <v>360</v>
      </c>
      <c r="L361" s="18">
        <v>358.5</v>
      </c>
      <c r="M361" s="7">
        <f t="shared" si="5"/>
        <v>129060</v>
      </c>
      <c r="N361" s="4"/>
      <c r="O361" s="9"/>
    </row>
    <row r="362" spans="1:15" ht="20" x14ac:dyDescent="0.2">
      <c r="A362" s="3">
        <v>358</v>
      </c>
      <c r="B362" s="19" t="s">
        <v>2328</v>
      </c>
      <c r="C362" s="4" t="s">
        <v>2329</v>
      </c>
      <c r="D362" s="4" t="s">
        <v>1616</v>
      </c>
      <c r="E362" s="4"/>
      <c r="F362" s="8"/>
      <c r="G362" s="8"/>
      <c r="H362" s="8"/>
      <c r="I362" s="8"/>
      <c r="J362" s="8"/>
      <c r="K362" s="8">
        <v>180</v>
      </c>
      <c r="L362" s="18">
        <v>720.1</v>
      </c>
      <c r="M362" s="7">
        <f t="shared" si="5"/>
        <v>129618</v>
      </c>
      <c r="N362" s="4"/>
      <c r="O362" s="9"/>
    </row>
    <row r="363" spans="1:15" ht="20" x14ac:dyDescent="0.2">
      <c r="A363" s="3">
        <v>359</v>
      </c>
      <c r="B363" s="19" t="s">
        <v>2330</v>
      </c>
      <c r="C363" s="4" t="s">
        <v>2331</v>
      </c>
      <c r="D363" s="4" t="s">
        <v>1616</v>
      </c>
      <c r="E363" s="4"/>
      <c r="F363" s="8"/>
      <c r="G363" s="8"/>
      <c r="H363" s="8"/>
      <c r="I363" s="8"/>
      <c r="J363" s="8"/>
      <c r="K363" s="8">
        <v>1300</v>
      </c>
      <c r="L363" s="18">
        <v>100</v>
      </c>
      <c r="M363" s="7">
        <f t="shared" si="5"/>
        <v>130000</v>
      </c>
      <c r="N363" s="4"/>
      <c r="O363" s="9"/>
    </row>
    <row r="364" spans="1:15" ht="20" x14ac:dyDescent="0.2">
      <c r="A364" s="3">
        <v>360</v>
      </c>
      <c r="B364" s="19" t="s">
        <v>2332</v>
      </c>
      <c r="C364" s="4" t="s">
        <v>2333</v>
      </c>
      <c r="D364" s="4" t="s">
        <v>1616</v>
      </c>
      <c r="E364" s="4"/>
      <c r="F364" s="8"/>
      <c r="G364" s="8"/>
      <c r="H364" s="8"/>
      <c r="I364" s="8"/>
      <c r="J364" s="8"/>
      <c r="K364" s="8">
        <v>70</v>
      </c>
      <c r="L364" s="18">
        <v>1872.5</v>
      </c>
      <c r="M364" s="7">
        <f t="shared" si="5"/>
        <v>131075</v>
      </c>
      <c r="N364" s="4"/>
      <c r="O364" s="9"/>
    </row>
    <row r="365" spans="1:15" ht="20" x14ac:dyDescent="0.2">
      <c r="A365" s="3">
        <v>361</v>
      </c>
      <c r="B365" s="19" t="s">
        <v>2334</v>
      </c>
      <c r="C365" s="4" t="s">
        <v>2335</v>
      </c>
      <c r="D365" s="4" t="s">
        <v>1616</v>
      </c>
      <c r="E365" s="4"/>
      <c r="F365" s="8"/>
      <c r="G365" s="8"/>
      <c r="H365" s="8"/>
      <c r="I365" s="8"/>
      <c r="J365" s="8"/>
      <c r="K365" s="8">
        <v>4400</v>
      </c>
      <c r="L365" s="18">
        <v>30</v>
      </c>
      <c r="M365" s="7">
        <f t="shared" si="5"/>
        <v>132000</v>
      </c>
      <c r="N365" s="4"/>
      <c r="O365" s="9"/>
    </row>
    <row r="366" spans="1:15" ht="20" x14ac:dyDescent="0.2">
      <c r="A366" s="3">
        <v>362</v>
      </c>
      <c r="B366" s="19" t="s">
        <v>2336</v>
      </c>
      <c r="C366" s="4" t="s">
        <v>2337</v>
      </c>
      <c r="D366" s="4" t="s">
        <v>1616</v>
      </c>
      <c r="E366" s="4"/>
      <c r="F366" s="8"/>
      <c r="G366" s="8"/>
      <c r="H366" s="8"/>
      <c r="I366" s="8"/>
      <c r="J366" s="8"/>
      <c r="K366" s="8">
        <v>240</v>
      </c>
      <c r="L366" s="18">
        <v>550</v>
      </c>
      <c r="M366" s="7">
        <f t="shared" si="5"/>
        <v>132000</v>
      </c>
      <c r="N366" s="4"/>
      <c r="O366" s="9"/>
    </row>
    <row r="367" spans="1:15" ht="20" x14ac:dyDescent="0.2">
      <c r="A367" s="3">
        <v>363</v>
      </c>
      <c r="B367" s="19" t="s">
        <v>2338</v>
      </c>
      <c r="C367" s="4" t="s">
        <v>2339</v>
      </c>
      <c r="D367" s="4" t="s">
        <v>1616</v>
      </c>
      <c r="E367" s="4"/>
      <c r="F367" s="8"/>
      <c r="G367" s="8"/>
      <c r="H367" s="8"/>
      <c r="I367" s="8"/>
      <c r="J367" s="8"/>
      <c r="K367" s="8">
        <v>90</v>
      </c>
      <c r="L367" s="18">
        <v>1500</v>
      </c>
      <c r="M367" s="7">
        <f t="shared" si="5"/>
        <v>135000</v>
      </c>
      <c r="N367" s="4"/>
      <c r="O367" s="9"/>
    </row>
    <row r="368" spans="1:15" ht="20" x14ac:dyDescent="0.2">
      <c r="A368" s="3">
        <v>364</v>
      </c>
      <c r="B368" s="19" t="s">
        <v>2340</v>
      </c>
      <c r="C368" s="4" t="s">
        <v>2341</v>
      </c>
      <c r="D368" s="4" t="s">
        <v>1616</v>
      </c>
      <c r="E368" s="4"/>
      <c r="F368" s="8"/>
      <c r="G368" s="8"/>
      <c r="H368" s="8"/>
      <c r="I368" s="8"/>
      <c r="J368" s="8"/>
      <c r="K368" s="8">
        <v>8000</v>
      </c>
      <c r="L368" s="18">
        <v>17</v>
      </c>
      <c r="M368" s="7">
        <f t="shared" si="5"/>
        <v>136000</v>
      </c>
      <c r="N368" s="4"/>
      <c r="O368" s="9"/>
    </row>
    <row r="369" spans="1:15" ht="20" x14ac:dyDescent="0.2">
      <c r="A369" s="3">
        <v>365</v>
      </c>
      <c r="B369" s="19" t="s">
        <v>2342</v>
      </c>
      <c r="C369" s="4" t="s">
        <v>2343</v>
      </c>
      <c r="D369" s="4" t="s">
        <v>1616</v>
      </c>
      <c r="E369" s="4"/>
      <c r="F369" s="8"/>
      <c r="G369" s="8"/>
      <c r="H369" s="8"/>
      <c r="I369" s="8"/>
      <c r="J369" s="8"/>
      <c r="K369" s="8">
        <v>160</v>
      </c>
      <c r="L369" s="18">
        <v>856</v>
      </c>
      <c r="M369" s="7">
        <f t="shared" si="5"/>
        <v>136960</v>
      </c>
      <c r="N369" s="4"/>
      <c r="O369" s="9"/>
    </row>
    <row r="370" spans="1:15" ht="20" x14ac:dyDescent="0.2">
      <c r="A370" s="3">
        <v>366</v>
      </c>
      <c r="B370" s="19" t="s">
        <v>2344</v>
      </c>
      <c r="C370" s="4" t="s">
        <v>2345</v>
      </c>
      <c r="D370" s="4" t="s">
        <v>1616</v>
      </c>
      <c r="E370" s="4"/>
      <c r="F370" s="8"/>
      <c r="G370" s="8"/>
      <c r="H370" s="8"/>
      <c r="I370" s="8"/>
      <c r="J370" s="8"/>
      <c r="K370" s="8">
        <v>250</v>
      </c>
      <c r="L370" s="18">
        <v>550</v>
      </c>
      <c r="M370" s="7">
        <f t="shared" si="5"/>
        <v>137500</v>
      </c>
      <c r="N370" s="4"/>
      <c r="O370" s="9"/>
    </row>
    <row r="371" spans="1:15" ht="20" x14ac:dyDescent="0.2">
      <c r="A371" s="3">
        <v>367</v>
      </c>
      <c r="B371" s="19" t="s">
        <v>2346</v>
      </c>
      <c r="C371" s="4" t="s">
        <v>2347</v>
      </c>
      <c r="D371" s="4" t="s">
        <v>1616</v>
      </c>
      <c r="E371" s="4"/>
      <c r="F371" s="8"/>
      <c r="G371" s="8"/>
      <c r="H371" s="8"/>
      <c r="I371" s="8"/>
      <c r="J371" s="8"/>
      <c r="K371" s="8">
        <v>8000</v>
      </c>
      <c r="L371" s="18">
        <v>17.2</v>
      </c>
      <c r="M371" s="7">
        <f t="shared" si="5"/>
        <v>137600</v>
      </c>
      <c r="N371" s="4"/>
      <c r="O371" s="9"/>
    </row>
    <row r="372" spans="1:15" ht="20" x14ac:dyDescent="0.2">
      <c r="A372" s="3">
        <v>368</v>
      </c>
      <c r="B372" s="19" t="s">
        <v>2348</v>
      </c>
      <c r="C372" s="4" t="s">
        <v>2349</v>
      </c>
      <c r="D372" s="4" t="s">
        <v>1616</v>
      </c>
      <c r="E372" s="4"/>
      <c r="F372" s="8"/>
      <c r="G372" s="8"/>
      <c r="H372" s="8"/>
      <c r="I372" s="8"/>
      <c r="J372" s="8"/>
      <c r="K372" s="8">
        <v>7000</v>
      </c>
      <c r="L372" s="18">
        <v>20</v>
      </c>
      <c r="M372" s="7">
        <f t="shared" si="5"/>
        <v>140000</v>
      </c>
      <c r="N372" s="4"/>
      <c r="O372" s="9"/>
    </row>
    <row r="373" spans="1:15" ht="20" x14ac:dyDescent="0.2">
      <c r="A373" s="3">
        <v>369</v>
      </c>
      <c r="B373" s="19" t="s">
        <v>2350</v>
      </c>
      <c r="C373" s="4" t="s">
        <v>2351</v>
      </c>
      <c r="D373" s="4" t="s">
        <v>1616</v>
      </c>
      <c r="E373" s="4"/>
      <c r="F373" s="8"/>
      <c r="G373" s="8"/>
      <c r="H373" s="8"/>
      <c r="I373" s="8"/>
      <c r="J373" s="8"/>
      <c r="K373" s="8">
        <v>2200</v>
      </c>
      <c r="L373" s="18">
        <v>64.2</v>
      </c>
      <c r="M373" s="7">
        <f t="shared" si="5"/>
        <v>141240</v>
      </c>
      <c r="N373" s="4"/>
      <c r="O373" s="9"/>
    </row>
    <row r="374" spans="1:15" ht="20" x14ac:dyDescent="0.2">
      <c r="A374" s="3">
        <v>370</v>
      </c>
      <c r="B374" s="19" t="s">
        <v>2352</v>
      </c>
      <c r="C374" s="4" t="s">
        <v>2353</v>
      </c>
      <c r="D374" s="4" t="s">
        <v>1616</v>
      </c>
      <c r="E374" s="4"/>
      <c r="F374" s="8"/>
      <c r="G374" s="8"/>
      <c r="H374" s="8"/>
      <c r="I374" s="8"/>
      <c r="J374" s="8"/>
      <c r="K374" s="8">
        <v>1600</v>
      </c>
      <c r="L374" s="18">
        <v>88.81</v>
      </c>
      <c r="M374" s="7">
        <f t="shared" si="5"/>
        <v>142096</v>
      </c>
      <c r="N374" s="4"/>
      <c r="O374" s="9"/>
    </row>
    <row r="375" spans="1:15" ht="20" x14ac:dyDescent="0.2">
      <c r="A375" s="3">
        <v>371</v>
      </c>
      <c r="B375" s="19" t="s">
        <v>2354</v>
      </c>
      <c r="C375" s="4" t="s">
        <v>2355</v>
      </c>
      <c r="D375" s="4" t="s">
        <v>1616</v>
      </c>
      <c r="E375" s="4"/>
      <c r="F375" s="8"/>
      <c r="G375" s="8"/>
      <c r="H375" s="8"/>
      <c r="I375" s="8"/>
      <c r="J375" s="8"/>
      <c r="K375" s="8">
        <v>160</v>
      </c>
      <c r="L375" s="18">
        <v>900</v>
      </c>
      <c r="M375" s="7">
        <f t="shared" si="5"/>
        <v>144000</v>
      </c>
      <c r="N375" s="4"/>
      <c r="O375" s="9"/>
    </row>
    <row r="376" spans="1:15" ht="20" x14ac:dyDescent="0.2">
      <c r="A376" s="3">
        <v>372</v>
      </c>
      <c r="B376" s="19" t="s">
        <v>2356</v>
      </c>
      <c r="C376" s="4" t="s">
        <v>2357</v>
      </c>
      <c r="D376" s="4" t="s">
        <v>1616</v>
      </c>
      <c r="E376" s="4"/>
      <c r="F376" s="8"/>
      <c r="G376" s="8"/>
      <c r="H376" s="8"/>
      <c r="I376" s="8"/>
      <c r="J376" s="8"/>
      <c r="K376" s="8">
        <v>360</v>
      </c>
      <c r="L376" s="18">
        <v>400</v>
      </c>
      <c r="M376" s="7">
        <f t="shared" si="5"/>
        <v>144000</v>
      </c>
      <c r="N376" s="4"/>
      <c r="O376" s="9"/>
    </row>
    <row r="377" spans="1:15" ht="20" x14ac:dyDescent="0.2">
      <c r="A377" s="3">
        <v>373</v>
      </c>
      <c r="B377" s="19" t="s">
        <v>2358</v>
      </c>
      <c r="C377" s="4" t="s">
        <v>2359</v>
      </c>
      <c r="D377" s="4" t="s">
        <v>1616</v>
      </c>
      <c r="E377" s="4"/>
      <c r="F377" s="8"/>
      <c r="G377" s="8"/>
      <c r="H377" s="8"/>
      <c r="I377" s="8"/>
      <c r="J377" s="8"/>
      <c r="K377" s="8">
        <v>900</v>
      </c>
      <c r="L377" s="18">
        <v>160.5</v>
      </c>
      <c r="M377" s="7">
        <f t="shared" si="5"/>
        <v>144450</v>
      </c>
      <c r="N377" s="4"/>
      <c r="O377" s="9"/>
    </row>
    <row r="378" spans="1:15" ht="20" x14ac:dyDescent="0.2">
      <c r="A378" s="3">
        <v>374</v>
      </c>
      <c r="B378" s="19" t="s">
        <v>2360</v>
      </c>
      <c r="C378" s="4" t="s">
        <v>2361</v>
      </c>
      <c r="D378" s="4" t="s">
        <v>1616</v>
      </c>
      <c r="E378" s="4"/>
      <c r="F378" s="8"/>
      <c r="G378" s="8"/>
      <c r="H378" s="8"/>
      <c r="I378" s="8"/>
      <c r="J378" s="8"/>
      <c r="K378" s="8">
        <v>40</v>
      </c>
      <c r="L378" s="18">
        <v>3667.96</v>
      </c>
      <c r="M378" s="7">
        <f t="shared" si="5"/>
        <v>146718.39999999999</v>
      </c>
      <c r="N378" s="4"/>
      <c r="O378" s="9"/>
    </row>
    <row r="379" spans="1:15" ht="20" x14ac:dyDescent="0.2">
      <c r="A379" s="3">
        <v>375</v>
      </c>
      <c r="B379" s="19" t="s">
        <v>2362</v>
      </c>
      <c r="C379" s="4" t="s">
        <v>2363</v>
      </c>
      <c r="D379" s="4" t="s">
        <v>1616</v>
      </c>
      <c r="E379" s="4"/>
      <c r="F379" s="8"/>
      <c r="G379" s="8"/>
      <c r="H379" s="8"/>
      <c r="I379" s="8"/>
      <c r="J379" s="8"/>
      <c r="K379" s="8">
        <v>5000</v>
      </c>
      <c r="L379" s="18">
        <v>30</v>
      </c>
      <c r="M379" s="7">
        <f t="shared" si="5"/>
        <v>150000</v>
      </c>
      <c r="N379" s="4"/>
      <c r="O379" s="9"/>
    </row>
    <row r="380" spans="1:15" ht="40" x14ac:dyDescent="0.2">
      <c r="A380" s="3">
        <v>376</v>
      </c>
      <c r="B380" s="19" t="s">
        <v>2364</v>
      </c>
      <c r="C380" s="4" t="s">
        <v>2365</v>
      </c>
      <c r="D380" s="4" t="s">
        <v>1616</v>
      </c>
      <c r="E380" s="4"/>
      <c r="F380" s="8"/>
      <c r="G380" s="8"/>
      <c r="H380" s="8"/>
      <c r="I380" s="8"/>
      <c r="J380" s="8"/>
      <c r="K380" s="8">
        <v>210</v>
      </c>
      <c r="L380" s="18">
        <v>720.11</v>
      </c>
      <c r="M380" s="7">
        <f t="shared" si="5"/>
        <v>151223.1</v>
      </c>
      <c r="N380" s="4"/>
      <c r="O380" s="9"/>
    </row>
    <row r="381" spans="1:15" ht="20" x14ac:dyDescent="0.2">
      <c r="A381" s="3">
        <v>377</v>
      </c>
      <c r="B381" s="19" t="s">
        <v>2366</v>
      </c>
      <c r="C381" s="4" t="s">
        <v>2367</v>
      </c>
      <c r="D381" s="4" t="s">
        <v>1616</v>
      </c>
      <c r="E381" s="4"/>
      <c r="F381" s="8"/>
      <c r="G381" s="8"/>
      <c r="H381" s="8"/>
      <c r="I381" s="8"/>
      <c r="J381" s="8"/>
      <c r="K381" s="8">
        <v>60</v>
      </c>
      <c r="L381" s="18">
        <v>2541.25</v>
      </c>
      <c r="M381" s="7">
        <f t="shared" si="5"/>
        <v>152475</v>
      </c>
      <c r="N381" s="4"/>
      <c r="O381" s="9"/>
    </row>
    <row r="382" spans="1:15" ht="20" x14ac:dyDescent="0.2">
      <c r="A382" s="3">
        <v>378</v>
      </c>
      <c r="B382" s="19" t="s">
        <v>2368</v>
      </c>
      <c r="C382" s="4" t="s">
        <v>2369</v>
      </c>
      <c r="D382" s="4" t="s">
        <v>1616</v>
      </c>
      <c r="E382" s="4"/>
      <c r="F382" s="8"/>
      <c r="G382" s="8"/>
      <c r="H382" s="8"/>
      <c r="I382" s="8"/>
      <c r="J382" s="8"/>
      <c r="K382" s="8">
        <v>4500</v>
      </c>
      <c r="L382" s="18">
        <v>34</v>
      </c>
      <c r="M382" s="7">
        <f t="shared" si="5"/>
        <v>153000</v>
      </c>
      <c r="N382" s="4"/>
      <c r="O382" s="9"/>
    </row>
    <row r="383" spans="1:15" ht="20" x14ac:dyDescent="0.2">
      <c r="A383" s="3">
        <v>379</v>
      </c>
      <c r="B383" s="19" t="s">
        <v>2368</v>
      </c>
      <c r="C383" s="4" t="s">
        <v>2370</v>
      </c>
      <c r="D383" s="4" t="s">
        <v>1616</v>
      </c>
      <c r="E383" s="4"/>
      <c r="F383" s="8"/>
      <c r="G383" s="8"/>
      <c r="H383" s="8"/>
      <c r="I383" s="8"/>
      <c r="J383" s="8"/>
      <c r="K383" s="8">
        <v>4500</v>
      </c>
      <c r="L383" s="18">
        <v>34</v>
      </c>
      <c r="M383" s="7">
        <f t="shared" si="5"/>
        <v>153000</v>
      </c>
      <c r="N383" s="4"/>
      <c r="O383" s="9"/>
    </row>
    <row r="384" spans="1:15" ht="20" x14ac:dyDescent="0.2">
      <c r="A384" s="3">
        <v>380</v>
      </c>
      <c r="B384" s="19" t="s">
        <v>2371</v>
      </c>
      <c r="C384" s="4" t="s">
        <v>2372</v>
      </c>
      <c r="D384" s="4" t="s">
        <v>1616</v>
      </c>
      <c r="E384" s="4"/>
      <c r="F384" s="8"/>
      <c r="G384" s="8"/>
      <c r="H384" s="8"/>
      <c r="I384" s="8"/>
      <c r="J384" s="8"/>
      <c r="K384" s="8">
        <v>300</v>
      </c>
      <c r="L384" s="18">
        <v>511.46</v>
      </c>
      <c r="M384" s="7">
        <f t="shared" si="5"/>
        <v>153438</v>
      </c>
      <c r="N384" s="4"/>
      <c r="O384" s="9"/>
    </row>
    <row r="385" spans="1:15" ht="20" x14ac:dyDescent="0.2">
      <c r="A385" s="3">
        <v>381</v>
      </c>
      <c r="B385" s="19" t="s">
        <v>2373</v>
      </c>
      <c r="C385" s="4" t="s">
        <v>2374</v>
      </c>
      <c r="D385" s="4" t="s">
        <v>1616</v>
      </c>
      <c r="E385" s="4"/>
      <c r="F385" s="8"/>
      <c r="G385" s="8"/>
      <c r="H385" s="8"/>
      <c r="I385" s="8"/>
      <c r="J385" s="8"/>
      <c r="K385" s="8">
        <v>2600</v>
      </c>
      <c r="L385" s="18">
        <v>60</v>
      </c>
      <c r="M385" s="7">
        <f t="shared" si="5"/>
        <v>156000</v>
      </c>
      <c r="N385" s="4"/>
      <c r="O385" s="9"/>
    </row>
    <row r="386" spans="1:15" ht="20" x14ac:dyDescent="0.2">
      <c r="A386" s="3">
        <v>382</v>
      </c>
      <c r="B386" s="19" t="s">
        <v>2375</v>
      </c>
      <c r="C386" s="4" t="s">
        <v>2376</v>
      </c>
      <c r="D386" s="4" t="s">
        <v>1616</v>
      </c>
      <c r="E386" s="4"/>
      <c r="F386" s="8"/>
      <c r="G386" s="8"/>
      <c r="H386" s="8"/>
      <c r="I386" s="8"/>
      <c r="J386" s="8"/>
      <c r="K386" s="8">
        <v>1500</v>
      </c>
      <c r="L386" s="18">
        <v>105</v>
      </c>
      <c r="M386" s="7">
        <f t="shared" si="5"/>
        <v>157500</v>
      </c>
      <c r="N386" s="4"/>
      <c r="O386" s="9"/>
    </row>
    <row r="387" spans="1:15" ht="20" x14ac:dyDescent="0.2">
      <c r="A387" s="3">
        <v>383</v>
      </c>
      <c r="B387" s="19" t="s">
        <v>2377</v>
      </c>
      <c r="C387" s="4" t="s">
        <v>2378</v>
      </c>
      <c r="D387" s="4" t="s">
        <v>1616</v>
      </c>
      <c r="E387" s="4"/>
      <c r="F387" s="8"/>
      <c r="G387" s="8"/>
      <c r="H387" s="8"/>
      <c r="I387" s="8"/>
      <c r="J387" s="8"/>
      <c r="K387" s="8">
        <v>600</v>
      </c>
      <c r="L387" s="18">
        <v>265</v>
      </c>
      <c r="M387" s="7">
        <f t="shared" si="5"/>
        <v>159000</v>
      </c>
      <c r="N387" s="4"/>
      <c r="O387" s="9"/>
    </row>
    <row r="388" spans="1:15" ht="20" x14ac:dyDescent="0.2">
      <c r="A388" s="3">
        <v>384</v>
      </c>
      <c r="B388" s="19" t="s">
        <v>2379</v>
      </c>
      <c r="C388" s="4" t="s">
        <v>2380</v>
      </c>
      <c r="D388" s="4" t="s">
        <v>1616</v>
      </c>
      <c r="E388" s="4"/>
      <c r="F388" s="8"/>
      <c r="G388" s="8"/>
      <c r="H388" s="8"/>
      <c r="I388" s="8"/>
      <c r="J388" s="8"/>
      <c r="K388" s="8">
        <v>2000</v>
      </c>
      <c r="L388" s="18">
        <v>80</v>
      </c>
      <c r="M388" s="7">
        <f t="shared" si="5"/>
        <v>160000</v>
      </c>
      <c r="N388" s="4"/>
      <c r="O388" s="9"/>
    </row>
    <row r="389" spans="1:15" ht="20" x14ac:dyDescent="0.2">
      <c r="A389" s="3">
        <v>385</v>
      </c>
      <c r="B389" s="19" t="s">
        <v>2381</v>
      </c>
      <c r="C389" s="4" t="s">
        <v>2382</v>
      </c>
      <c r="D389" s="4" t="s">
        <v>1616</v>
      </c>
      <c r="E389" s="4"/>
      <c r="F389" s="8"/>
      <c r="G389" s="8"/>
      <c r="H389" s="8"/>
      <c r="I389" s="8"/>
      <c r="J389" s="8"/>
      <c r="K389" s="8">
        <v>5760</v>
      </c>
      <c r="L389" s="18">
        <v>27.82</v>
      </c>
      <c r="M389" s="7">
        <f t="shared" ref="M389:M452" si="6">IF(OR(K389="",L389=""),"",K389*L389)</f>
        <v>160243.20000000001</v>
      </c>
      <c r="N389" s="4"/>
      <c r="O389" s="9"/>
    </row>
    <row r="390" spans="1:15" ht="20" x14ac:dyDescent="0.2">
      <c r="A390" s="3">
        <v>386</v>
      </c>
      <c r="B390" s="19" t="s">
        <v>2383</v>
      </c>
      <c r="C390" s="4" t="s">
        <v>2384</v>
      </c>
      <c r="D390" s="4" t="s">
        <v>1616</v>
      </c>
      <c r="E390" s="4"/>
      <c r="F390" s="8"/>
      <c r="G390" s="8"/>
      <c r="H390" s="8"/>
      <c r="I390" s="8"/>
      <c r="J390" s="8"/>
      <c r="K390" s="8">
        <v>200</v>
      </c>
      <c r="L390" s="18">
        <v>802.5</v>
      </c>
      <c r="M390" s="7">
        <f t="shared" si="6"/>
        <v>160500</v>
      </c>
      <c r="N390" s="4"/>
      <c r="O390" s="9"/>
    </row>
    <row r="391" spans="1:15" ht="20" x14ac:dyDescent="0.2">
      <c r="A391" s="3">
        <v>387</v>
      </c>
      <c r="B391" s="19" t="s">
        <v>2385</v>
      </c>
      <c r="C391" s="4" t="s">
        <v>2386</v>
      </c>
      <c r="D391" s="4" t="s">
        <v>1616</v>
      </c>
      <c r="E391" s="4"/>
      <c r="F391" s="8"/>
      <c r="G391" s="8"/>
      <c r="H391" s="8"/>
      <c r="I391" s="8"/>
      <c r="J391" s="8"/>
      <c r="K391" s="8">
        <v>2600</v>
      </c>
      <c r="L391" s="18">
        <v>62</v>
      </c>
      <c r="M391" s="7">
        <f t="shared" si="6"/>
        <v>161200</v>
      </c>
      <c r="N391" s="4"/>
      <c r="O391" s="9"/>
    </row>
    <row r="392" spans="1:15" ht="20" x14ac:dyDescent="0.2">
      <c r="A392" s="3">
        <v>388</v>
      </c>
      <c r="B392" s="19" t="s">
        <v>2387</v>
      </c>
      <c r="C392" s="4" t="s">
        <v>2388</v>
      </c>
      <c r="D392" s="4" t="s">
        <v>1616</v>
      </c>
      <c r="E392" s="4"/>
      <c r="F392" s="8"/>
      <c r="G392" s="8"/>
      <c r="H392" s="8"/>
      <c r="I392" s="8"/>
      <c r="J392" s="8"/>
      <c r="K392" s="8">
        <v>1162</v>
      </c>
      <c r="L392" s="18">
        <v>139.1</v>
      </c>
      <c r="M392" s="7">
        <f t="shared" si="6"/>
        <v>161634.19999999998</v>
      </c>
      <c r="N392" s="4"/>
      <c r="O392" s="9"/>
    </row>
    <row r="393" spans="1:15" ht="20" x14ac:dyDescent="0.2">
      <c r="A393" s="3">
        <v>389</v>
      </c>
      <c r="B393" s="19" t="s">
        <v>2389</v>
      </c>
      <c r="C393" s="4" t="s">
        <v>2390</v>
      </c>
      <c r="D393" s="4" t="s">
        <v>1616</v>
      </c>
      <c r="E393" s="4"/>
      <c r="F393" s="8"/>
      <c r="G393" s="8"/>
      <c r="H393" s="8"/>
      <c r="I393" s="8"/>
      <c r="J393" s="8"/>
      <c r="K393" s="8">
        <v>220</v>
      </c>
      <c r="L393" s="18">
        <v>736.15</v>
      </c>
      <c r="M393" s="7">
        <f t="shared" si="6"/>
        <v>161953</v>
      </c>
      <c r="N393" s="4"/>
      <c r="O393" s="9"/>
    </row>
    <row r="394" spans="1:15" ht="20" x14ac:dyDescent="0.2">
      <c r="A394" s="3">
        <v>390</v>
      </c>
      <c r="B394" s="19" t="s">
        <v>2391</v>
      </c>
      <c r="C394" s="4" t="s">
        <v>2392</v>
      </c>
      <c r="D394" s="4" t="s">
        <v>1616</v>
      </c>
      <c r="E394" s="4"/>
      <c r="F394" s="8"/>
      <c r="G394" s="8"/>
      <c r="H394" s="8"/>
      <c r="I394" s="8"/>
      <c r="J394" s="8"/>
      <c r="K394" s="8">
        <v>60</v>
      </c>
      <c r="L394" s="18">
        <v>2700</v>
      </c>
      <c r="M394" s="7">
        <f t="shared" si="6"/>
        <v>162000</v>
      </c>
      <c r="N394" s="4"/>
      <c r="O394" s="9"/>
    </row>
    <row r="395" spans="1:15" ht="20" x14ac:dyDescent="0.2">
      <c r="A395" s="3">
        <v>391</v>
      </c>
      <c r="B395" s="19" t="s">
        <v>2393</v>
      </c>
      <c r="C395" s="4" t="s">
        <v>2394</v>
      </c>
      <c r="D395" s="4" t="s">
        <v>1616</v>
      </c>
      <c r="E395" s="4"/>
      <c r="F395" s="8"/>
      <c r="G395" s="8"/>
      <c r="H395" s="8"/>
      <c r="I395" s="8"/>
      <c r="J395" s="8"/>
      <c r="K395" s="8">
        <v>1600</v>
      </c>
      <c r="L395" s="18">
        <v>102.72</v>
      </c>
      <c r="M395" s="7">
        <f t="shared" si="6"/>
        <v>164352</v>
      </c>
      <c r="N395" s="4"/>
      <c r="O395" s="9"/>
    </row>
    <row r="396" spans="1:15" ht="20" x14ac:dyDescent="0.2">
      <c r="A396" s="3">
        <v>392</v>
      </c>
      <c r="B396" s="19" t="s">
        <v>2395</v>
      </c>
      <c r="C396" s="4" t="s">
        <v>2396</v>
      </c>
      <c r="D396" s="4" t="s">
        <v>1616</v>
      </c>
      <c r="E396" s="4"/>
      <c r="F396" s="8"/>
      <c r="G396" s="8"/>
      <c r="H396" s="8"/>
      <c r="I396" s="8"/>
      <c r="J396" s="8"/>
      <c r="K396" s="8">
        <v>1000</v>
      </c>
      <c r="L396" s="18">
        <v>167</v>
      </c>
      <c r="M396" s="7">
        <f t="shared" si="6"/>
        <v>167000</v>
      </c>
      <c r="N396" s="4"/>
      <c r="O396" s="9"/>
    </row>
    <row r="397" spans="1:15" ht="20" x14ac:dyDescent="0.2">
      <c r="A397" s="3">
        <v>393</v>
      </c>
      <c r="B397" s="19" t="s">
        <v>2397</v>
      </c>
      <c r="C397" s="4" t="s">
        <v>2398</v>
      </c>
      <c r="D397" s="4" t="s">
        <v>1616</v>
      </c>
      <c r="E397" s="4"/>
      <c r="F397" s="8"/>
      <c r="G397" s="8"/>
      <c r="H397" s="8"/>
      <c r="I397" s="8"/>
      <c r="J397" s="8"/>
      <c r="K397" s="8">
        <v>220</v>
      </c>
      <c r="L397" s="18">
        <v>760</v>
      </c>
      <c r="M397" s="7">
        <f t="shared" si="6"/>
        <v>167200</v>
      </c>
      <c r="N397" s="4"/>
      <c r="O397" s="9"/>
    </row>
    <row r="398" spans="1:15" ht="20" x14ac:dyDescent="0.2">
      <c r="A398" s="3">
        <v>394</v>
      </c>
      <c r="B398" s="19" t="s">
        <v>2399</v>
      </c>
      <c r="C398" s="4" t="s">
        <v>2400</v>
      </c>
      <c r="D398" s="4" t="s">
        <v>1616</v>
      </c>
      <c r="E398" s="4"/>
      <c r="F398" s="8"/>
      <c r="G398" s="8"/>
      <c r="H398" s="8"/>
      <c r="I398" s="8"/>
      <c r="J398" s="8"/>
      <c r="K398" s="8">
        <v>280</v>
      </c>
      <c r="L398" s="18">
        <v>600</v>
      </c>
      <c r="M398" s="7">
        <f t="shared" si="6"/>
        <v>168000</v>
      </c>
      <c r="N398" s="4"/>
      <c r="O398" s="9"/>
    </row>
    <row r="399" spans="1:15" ht="20" x14ac:dyDescent="0.2">
      <c r="A399" s="3">
        <v>395</v>
      </c>
      <c r="B399" s="19" t="s">
        <v>2401</v>
      </c>
      <c r="C399" s="4" t="s">
        <v>2402</v>
      </c>
      <c r="D399" s="4" t="s">
        <v>1616</v>
      </c>
      <c r="E399" s="4"/>
      <c r="F399" s="8"/>
      <c r="G399" s="8"/>
      <c r="H399" s="8"/>
      <c r="I399" s="8"/>
      <c r="J399" s="8"/>
      <c r="K399" s="8">
        <v>100</v>
      </c>
      <c r="L399" s="18">
        <v>1700</v>
      </c>
      <c r="M399" s="7">
        <f t="shared" si="6"/>
        <v>170000</v>
      </c>
      <c r="N399" s="4"/>
      <c r="O399" s="9"/>
    </row>
    <row r="400" spans="1:15" ht="20" x14ac:dyDescent="0.2">
      <c r="A400" s="3">
        <v>396</v>
      </c>
      <c r="B400" s="19" t="s">
        <v>2403</v>
      </c>
      <c r="C400" s="4" t="s">
        <v>2404</v>
      </c>
      <c r="D400" s="4" t="s">
        <v>1616</v>
      </c>
      <c r="E400" s="4"/>
      <c r="F400" s="8"/>
      <c r="G400" s="8"/>
      <c r="H400" s="8"/>
      <c r="I400" s="8"/>
      <c r="J400" s="8"/>
      <c r="K400" s="8">
        <v>400</v>
      </c>
      <c r="L400" s="18">
        <v>428</v>
      </c>
      <c r="M400" s="7">
        <f t="shared" si="6"/>
        <v>171200</v>
      </c>
      <c r="N400" s="4"/>
      <c r="O400" s="9"/>
    </row>
    <row r="401" spans="1:15" ht="20" x14ac:dyDescent="0.2">
      <c r="A401" s="3">
        <v>397</v>
      </c>
      <c r="B401" s="19" t="s">
        <v>2405</v>
      </c>
      <c r="C401" s="4" t="s">
        <v>2406</v>
      </c>
      <c r="D401" s="4" t="s">
        <v>1616</v>
      </c>
      <c r="E401" s="4"/>
      <c r="F401" s="8"/>
      <c r="G401" s="8"/>
      <c r="H401" s="8"/>
      <c r="I401" s="8"/>
      <c r="J401" s="8"/>
      <c r="K401" s="8">
        <v>90</v>
      </c>
      <c r="L401" s="18">
        <v>1904.6</v>
      </c>
      <c r="M401" s="7">
        <f t="shared" si="6"/>
        <v>171414</v>
      </c>
      <c r="N401" s="4"/>
      <c r="O401" s="9"/>
    </row>
    <row r="402" spans="1:15" ht="20" x14ac:dyDescent="0.2">
      <c r="A402" s="3">
        <v>398</v>
      </c>
      <c r="B402" s="19" t="s">
        <v>2407</v>
      </c>
      <c r="C402" s="4" t="s">
        <v>2408</v>
      </c>
      <c r="D402" s="4" t="s">
        <v>1616</v>
      </c>
      <c r="E402" s="4"/>
      <c r="F402" s="8"/>
      <c r="G402" s="8"/>
      <c r="H402" s="8"/>
      <c r="I402" s="8"/>
      <c r="J402" s="8"/>
      <c r="K402" s="8">
        <v>12000</v>
      </c>
      <c r="L402" s="18">
        <v>14.3</v>
      </c>
      <c r="M402" s="7">
        <f t="shared" si="6"/>
        <v>171600</v>
      </c>
      <c r="N402" s="4"/>
      <c r="O402" s="9"/>
    </row>
    <row r="403" spans="1:15" ht="20" x14ac:dyDescent="0.2">
      <c r="A403" s="3">
        <v>399</v>
      </c>
      <c r="B403" s="19" t="s">
        <v>2409</v>
      </c>
      <c r="C403" s="4" t="s">
        <v>2410</v>
      </c>
      <c r="D403" s="4" t="s">
        <v>1616</v>
      </c>
      <c r="E403" s="4"/>
      <c r="F403" s="8"/>
      <c r="G403" s="8"/>
      <c r="H403" s="8"/>
      <c r="I403" s="8"/>
      <c r="J403" s="8"/>
      <c r="K403" s="8">
        <v>800</v>
      </c>
      <c r="L403" s="18">
        <v>216</v>
      </c>
      <c r="M403" s="7">
        <f t="shared" si="6"/>
        <v>172800</v>
      </c>
      <c r="N403" s="4"/>
      <c r="O403" s="9"/>
    </row>
    <row r="404" spans="1:15" ht="20" x14ac:dyDescent="0.2">
      <c r="A404" s="3">
        <v>400</v>
      </c>
      <c r="B404" s="19" t="s">
        <v>2411</v>
      </c>
      <c r="C404" s="4" t="s">
        <v>2412</v>
      </c>
      <c r="D404" s="4" t="s">
        <v>1616</v>
      </c>
      <c r="E404" s="4"/>
      <c r="F404" s="8"/>
      <c r="G404" s="8"/>
      <c r="H404" s="8"/>
      <c r="I404" s="8"/>
      <c r="J404" s="8"/>
      <c r="K404" s="8">
        <v>120</v>
      </c>
      <c r="L404" s="18">
        <v>1444.5</v>
      </c>
      <c r="M404" s="7">
        <f t="shared" si="6"/>
        <v>173340</v>
      </c>
      <c r="N404" s="4"/>
      <c r="O404" s="9"/>
    </row>
    <row r="405" spans="1:15" ht="20" x14ac:dyDescent="0.2">
      <c r="A405" s="3">
        <v>401</v>
      </c>
      <c r="B405" s="19" t="s">
        <v>2413</v>
      </c>
      <c r="C405" s="4" t="s">
        <v>2414</v>
      </c>
      <c r="D405" s="4" t="s">
        <v>1616</v>
      </c>
      <c r="E405" s="4"/>
      <c r="F405" s="8"/>
      <c r="G405" s="8"/>
      <c r="H405" s="8"/>
      <c r="I405" s="8"/>
      <c r="J405" s="8"/>
      <c r="K405" s="8">
        <v>900</v>
      </c>
      <c r="L405" s="18">
        <v>192.6</v>
      </c>
      <c r="M405" s="7">
        <f t="shared" si="6"/>
        <v>173340</v>
      </c>
      <c r="N405" s="4"/>
      <c r="O405" s="9"/>
    </row>
    <row r="406" spans="1:15" ht="20" x14ac:dyDescent="0.2">
      <c r="A406" s="3">
        <v>402</v>
      </c>
      <c r="B406" s="19" t="s">
        <v>2415</v>
      </c>
      <c r="C406" s="4" t="s">
        <v>2416</v>
      </c>
      <c r="D406" s="4" t="s">
        <v>1616</v>
      </c>
      <c r="E406" s="4"/>
      <c r="F406" s="8"/>
      <c r="G406" s="8"/>
      <c r="H406" s="8"/>
      <c r="I406" s="8"/>
      <c r="J406" s="8"/>
      <c r="K406" s="8">
        <v>280</v>
      </c>
      <c r="L406" s="18">
        <v>620</v>
      </c>
      <c r="M406" s="7">
        <f t="shared" si="6"/>
        <v>173600</v>
      </c>
      <c r="N406" s="4"/>
      <c r="O406" s="9"/>
    </row>
    <row r="407" spans="1:15" ht="20" x14ac:dyDescent="0.2">
      <c r="A407" s="3">
        <v>403</v>
      </c>
      <c r="B407" s="19" t="s">
        <v>2417</v>
      </c>
      <c r="C407" s="4" t="s">
        <v>2418</v>
      </c>
      <c r="D407" s="4" t="s">
        <v>1616</v>
      </c>
      <c r="E407" s="4"/>
      <c r="F407" s="8"/>
      <c r="G407" s="8"/>
      <c r="H407" s="8"/>
      <c r="I407" s="8"/>
      <c r="J407" s="8"/>
      <c r="K407" s="8">
        <v>120</v>
      </c>
      <c r="L407" s="18">
        <v>1448.51</v>
      </c>
      <c r="M407" s="7">
        <f t="shared" si="6"/>
        <v>173821.2</v>
      </c>
      <c r="N407" s="4"/>
      <c r="O407" s="9"/>
    </row>
    <row r="408" spans="1:15" ht="20" x14ac:dyDescent="0.2">
      <c r="A408" s="3">
        <v>404</v>
      </c>
      <c r="B408" s="19" t="s">
        <v>2419</v>
      </c>
      <c r="C408" s="4" t="s">
        <v>2420</v>
      </c>
      <c r="D408" s="4" t="s">
        <v>1616</v>
      </c>
      <c r="E408" s="4"/>
      <c r="F408" s="8"/>
      <c r="G408" s="8"/>
      <c r="H408" s="8"/>
      <c r="I408" s="8"/>
      <c r="J408" s="8"/>
      <c r="K408" s="8">
        <v>600</v>
      </c>
      <c r="L408" s="18">
        <v>290</v>
      </c>
      <c r="M408" s="7">
        <f t="shared" si="6"/>
        <v>174000</v>
      </c>
      <c r="N408" s="4"/>
      <c r="O408" s="9"/>
    </row>
    <row r="409" spans="1:15" ht="20" x14ac:dyDescent="0.2">
      <c r="A409" s="3">
        <v>405</v>
      </c>
      <c r="B409" s="19" t="s">
        <v>2421</v>
      </c>
      <c r="C409" s="4" t="s">
        <v>2422</v>
      </c>
      <c r="D409" s="4" t="s">
        <v>1616</v>
      </c>
      <c r="E409" s="4"/>
      <c r="F409" s="8"/>
      <c r="G409" s="8"/>
      <c r="H409" s="8"/>
      <c r="I409" s="8"/>
      <c r="J409" s="8"/>
      <c r="K409" s="8">
        <v>100</v>
      </c>
      <c r="L409" s="18">
        <v>1745</v>
      </c>
      <c r="M409" s="7">
        <f t="shared" si="6"/>
        <v>174500</v>
      </c>
      <c r="N409" s="4"/>
      <c r="O409" s="9"/>
    </row>
    <row r="410" spans="1:15" ht="20" x14ac:dyDescent="0.2">
      <c r="A410" s="3">
        <v>406</v>
      </c>
      <c r="B410" s="19" t="s">
        <v>2423</v>
      </c>
      <c r="C410" s="4" t="s">
        <v>2424</v>
      </c>
      <c r="D410" s="4" t="s">
        <v>1616</v>
      </c>
      <c r="E410" s="4"/>
      <c r="F410" s="8"/>
      <c r="G410" s="8"/>
      <c r="H410" s="8"/>
      <c r="I410" s="8"/>
      <c r="J410" s="8"/>
      <c r="K410" s="8">
        <v>700</v>
      </c>
      <c r="L410" s="18">
        <v>250</v>
      </c>
      <c r="M410" s="7">
        <f t="shared" si="6"/>
        <v>175000</v>
      </c>
      <c r="N410" s="4"/>
      <c r="O410" s="9"/>
    </row>
    <row r="411" spans="1:15" ht="20" x14ac:dyDescent="0.2">
      <c r="A411" s="3">
        <v>407</v>
      </c>
      <c r="B411" s="19" t="s">
        <v>2425</v>
      </c>
      <c r="C411" s="4" t="s">
        <v>2426</v>
      </c>
      <c r="D411" s="4" t="s">
        <v>1616</v>
      </c>
      <c r="E411" s="4"/>
      <c r="F411" s="8"/>
      <c r="G411" s="8"/>
      <c r="H411" s="8"/>
      <c r="I411" s="8"/>
      <c r="J411" s="8"/>
      <c r="K411" s="8">
        <v>1000</v>
      </c>
      <c r="L411" s="18">
        <v>175</v>
      </c>
      <c r="M411" s="7">
        <f t="shared" si="6"/>
        <v>175000</v>
      </c>
      <c r="N411" s="4"/>
      <c r="O411" s="9"/>
    </row>
    <row r="412" spans="1:15" ht="20" x14ac:dyDescent="0.2">
      <c r="A412" s="3">
        <v>408</v>
      </c>
      <c r="B412" s="19" t="s">
        <v>2427</v>
      </c>
      <c r="C412" s="4" t="s">
        <v>2428</v>
      </c>
      <c r="D412" s="4" t="s">
        <v>1616</v>
      </c>
      <c r="E412" s="4"/>
      <c r="F412" s="8"/>
      <c r="G412" s="8"/>
      <c r="H412" s="8"/>
      <c r="I412" s="8"/>
      <c r="J412" s="8"/>
      <c r="K412" s="8">
        <v>1600</v>
      </c>
      <c r="L412" s="18">
        <v>110</v>
      </c>
      <c r="M412" s="7">
        <f t="shared" si="6"/>
        <v>176000</v>
      </c>
      <c r="N412" s="4"/>
      <c r="O412" s="9"/>
    </row>
    <row r="413" spans="1:15" ht="20" x14ac:dyDescent="0.2">
      <c r="A413" s="3">
        <v>409</v>
      </c>
      <c r="B413" s="19" t="s">
        <v>2429</v>
      </c>
      <c r="C413" s="4" t="s">
        <v>2430</v>
      </c>
      <c r="D413" s="4" t="s">
        <v>1616</v>
      </c>
      <c r="E413" s="4"/>
      <c r="F413" s="8"/>
      <c r="G413" s="8"/>
      <c r="H413" s="8"/>
      <c r="I413" s="8"/>
      <c r="J413" s="8"/>
      <c r="K413" s="8">
        <v>400</v>
      </c>
      <c r="L413" s="18">
        <v>450</v>
      </c>
      <c r="M413" s="7">
        <f t="shared" si="6"/>
        <v>180000</v>
      </c>
      <c r="N413" s="4"/>
      <c r="O413" s="9"/>
    </row>
    <row r="414" spans="1:15" ht="20" x14ac:dyDescent="0.2">
      <c r="A414" s="3">
        <v>410</v>
      </c>
      <c r="B414" s="19" t="s">
        <v>2431</v>
      </c>
      <c r="C414" s="4" t="s">
        <v>2432</v>
      </c>
      <c r="D414" s="4" t="s">
        <v>1616</v>
      </c>
      <c r="E414" s="4"/>
      <c r="F414" s="8"/>
      <c r="G414" s="8"/>
      <c r="H414" s="8"/>
      <c r="I414" s="8"/>
      <c r="J414" s="8"/>
      <c r="K414" s="8">
        <v>80</v>
      </c>
      <c r="L414" s="18">
        <v>2300</v>
      </c>
      <c r="M414" s="7">
        <f t="shared" si="6"/>
        <v>184000</v>
      </c>
      <c r="N414" s="4"/>
      <c r="O414" s="9"/>
    </row>
    <row r="415" spans="1:15" ht="20" x14ac:dyDescent="0.2">
      <c r="A415" s="3">
        <v>411</v>
      </c>
      <c r="B415" s="19" t="s">
        <v>2433</v>
      </c>
      <c r="C415" s="4" t="s">
        <v>2434</v>
      </c>
      <c r="D415" s="4" t="s">
        <v>1616</v>
      </c>
      <c r="E415" s="4"/>
      <c r="F415" s="8"/>
      <c r="G415" s="8"/>
      <c r="H415" s="8"/>
      <c r="I415" s="8"/>
      <c r="J415" s="8"/>
      <c r="K415" s="8">
        <v>1100</v>
      </c>
      <c r="L415" s="18">
        <v>169.06</v>
      </c>
      <c r="M415" s="7">
        <f t="shared" si="6"/>
        <v>185966</v>
      </c>
      <c r="N415" s="4"/>
      <c r="O415" s="9"/>
    </row>
    <row r="416" spans="1:15" ht="20" x14ac:dyDescent="0.2">
      <c r="A416" s="3">
        <v>412</v>
      </c>
      <c r="B416" s="19" t="s">
        <v>2435</v>
      </c>
      <c r="C416" s="4" t="s">
        <v>2436</v>
      </c>
      <c r="D416" s="4" t="s">
        <v>1616</v>
      </c>
      <c r="E416" s="4"/>
      <c r="F416" s="8"/>
      <c r="G416" s="8"/>
      <c r="H416" s="8"/>
      <c r="I416" s="8"/>
      <c r="J416" s="8"/>
      <c r="K416" s="8">
        <v>40</v>
      </c>
      <c r="L416" s="18">
        <v>4708</v>
      </c>
      <c r="M416" s="7">
        <f t="shared" si="6"/>
        <v>188320</v>
      </c>
      <c r="N416" s="4"/>
      <c r="O416" s="9"/>
    </row>
    <row r="417" spans="1:15" ht="20" x14ac:dyDescent="0.2">
      <c r="A417" s="3">
        <v>413</v>
      </c>
      <c r="B417" s="19" t="s">
        <v>2437</v>
      </c>
      <c r="C417" s="4" t="s">
        <v>2438</v>
      </c>
      <c r="D417" s="4" t="s">
        <v>1616</v>
      </c>
      <c r="E417" s="4"/>
      <c r="F417" s="8"/>
      <c r="G417" s="8"/>
      <c r="H417" s="8"/>
      <c r="I417" s="8"/>
      <c r="J417" s="8"/>
      <c r="K417" s="8">
        <v>200</v>
      </c>
      <c r="L417" s="18">
        <v>950</v>
      </c>
      <c r="M417" s="7">
        <f t="shared" si="6"/>
        <v>190000</v>
      </c>
      <c r="N417" s="4"/>
      <c r="O417" s="9"/>
    </row>
    <row r="418" spans="1:15" ht="20" x14ac:dyDescent="0.2">
      <c r="A418" s="3">
        <v>414</v>
      </c>
      <c r="B418" s="19" t="s">
        <v>2439</v>
      </c>
      <c r="C418" s="4" t="s">
        <v>2440</v>
      </c>
      <c r="D418" s="4" t="s">
        <v>1616</v>
      </c>
      <c r="E418" s="4"/>
      <c r="F418" s="8"/>
      <c r="G418" s="8"/>
      <c r="H418" s="8"/>
      <c r="I418" s="8"/>
      <c r="J418" s="8"/>
      <c r="K418" s="8">
        <v>30</v>
      </c>
      <c r="L418" s="18">
        <v>6364.36</v>
      </c>
      <c r="M418" s="7">
        <f t="shared" si="6"/>
        <v>190930.8</v>
      </c>
      <c r="N418" s="4"/>
      <c r="O418" s="9"/>
    </row>
    <row r="419" spans="1:15" ht="20" x14ac:dyDescent="0.2">
      <c r="A419" s="3">
        <v>415</v>
      </c>
      <c r="B419" s="19" t="s">
        <v>2441</v>
      </c>
      <c r="C419" s="4" t="s">
        <v>2442</v>
      </c>
      <c r="D419" s="4" t="s">
        <v>1616</v>
      </c>
      <c r="E419" s="4"/>
      <c r="F419" s="8"/>
      <c r="G419" s="8"/>
      <c r="H419" s="8"/>
      <c r="I419" s="8"/>
      <c r="J419" s="8"/>
      <c r="K419" s="8">
        <v>760</v>
      </c>
      <c r="L419" s="18">
        <v>251.45</v>
      </c>
      <c r="M419" s="7">
        <f t="shared" si="6"/>
        <v>191102</v>
      </c>
      <c r="N419" s="4"/>
      <c r="O419" s="9"/>
    </row>
    <row r="420" spans="1:15" ht="20" x14ac:dyDescent="0.2">
      <c r="A420" s="3">
        <v>416</v>
      </c>
      <c r="B420" s="19" t="s">
        <v>2443</v>
      </c>
      <c r="C420" s="4" t="s">
        <v>2444</v>
      </c>
      <c r="D420" s="4" t="s">
        <v>1616</v>
      </c>
      <c r="E420" s="4"/>
      <c r="F420" s="8"/>
      <c r="G420" s="8"/>
      <c r="H420" s="8"/>
      <c r="I420" s="8"/>
      <c r="J420" s="8"/>
      <c r="K420" s="8">
        <v>240</v>
      </c>
      <c r="L420" s="18">
        <v>802.5</v>
      </c>
      <c r="M420" s="7">
        <f t="shared" si="6"/>
        <v>192600</v>
      </c>
      <c r="N420" s="4"/>
      <c r="O420" s="9"/>
    </row>
    <row r="421" spans="1:15" ht="20" x14ac:dyDescent="0.2">
      <c r="A421" s="3">
        <v>417</v>
      </c>
      <c r="B421" s="19" t="s">
        <v>2445</v>
      </c>
      <c r="C421" s="4" t="s">
        <v>2446</v>
      </c>
      <c r="D421" s="4" t="s">
        <v>1616</v>
      </c>
      <c r="E421" s="4"/>
      <c r="F421" s="8"/>
      <c r="G421" s="8"/>
      <c r="H421" s="8"/>
      <c r="I421" s="8"/>
      <c r="J421" s="8"/>
      <c r="K421" s="8">
        <v>1200</v>
      </c>
      <c r="L421" s="18">
        <v>160.5</v>
      </c>
      <c r="M421" s="7">
        <f t="shared" si="6"/>
        <v>192600</v>
      </c>
      <c r="N421" s="4"/>
      <c r="O421" s="9"/>
    </row>
    <row r="422" spans="1:15" ht="20" x14ac:dyDescent="0.2">
      <c r="A422" s="3">
        <v>418</v>
      </c>
      <c r="B422" s="19" t="s">
        <v>2447</v>
      </c>
      <c r="C422" s="4" t="s">
        <v>2448</v>
      </c>
      <c r="D422" s="4" t="s">
        <v>1616</v>
      </c>
      <c r="E422" s="4"/>
      <c r="F422" s="8"/>
      <c r="G422" s="8"/>
      <c r="H422" s="8"/>
      <c r="I422" s="8"/>
      <c r="J422" s="8"/>
      <c r="K422" s="8">
        <v>7500</v>
      </c>
      <c r="L422" s="18">
        <v>26</v>
      </c>
      <c r="M422" s="7">
        <f t="shared" si="6"/>
        <v>195000</v>
      </c>
      <c r="N422" s="4"/>
      <c r="O422" s="9"/>
    </row>
    <row r="423" spans="1:15" ht="20" x14ac:dyDescent="0.2">
      <c r="A423" s="3">
        <v>419</v>
      </c>
      <c r="B423" s="19" t="s">
        <v>2449</v>
      </c>
      <c r="C423" s="4" t="s">
        <v>2450</v>
      </c>
      <c r="D423" s="4" t="s">
        <v>1616</v>
      </c>
      <c r="E423" s="4"/>
      <c r="F423" s="8"/>
      <c r="G423" s="8"/>
      <c r="H423" s="8"/>
      <c r="I423" s="8"/>
      <c r="J423" s="8"/>
      <c r="K423" s="8">
        <v>760</v>
      </c>
      <c r="L423" s="18">
        <v>260</v>
      </c>
      <c r="M423" s="7">
        <f t="shared" si="6"/>
        <v>197600</v>
      </c>
      <c r="N423" s="4"/>
      <c r="O423" s="9"/>
    </row>
    <row r="424" spans="1:15" ht="20" x14ac:dyDescent="0.2">
      <c r="A424" s="3">
        <v>420</v>
      </c>
      <c r="B424" s="19" t="s">
        <v>2451</v>
      </c>
      <c r="C424" s="4" t="s">
        <v>2452</v>
      </c>
      <c r="D424" s="4" t="s">
        <v>1616</v>
      </c>
      <c r="E424" s="4"/>
      <c r="F424" s="8"/>
      <c r="G424" s="8"/>
      <c r="H424" s="8"/>
      <c r="I424" s="8"/>
      <c r="J424" s="8"/>
      <c r="K424" s="8">
        <v>1800</v>
      </c>
      <c r="L424" s="18">
        <v>110</v>
      </c>
      <c r="M424" s="7">
        <f t="shared" si="6"/>
        <v>198000</v>
      </c>
      <c r="N424" s="4"/>
      <c r="O424" s="9"/>
    </row>
    <row r="425" spans="1:15" ht="20" x14ac:dyDescent="0.2">
      <c r="A425" s="3">
        <v>421</v>
      </c>
      <c r="B425" s="19" t="s">
        <v>2453</v>
      </c>
      <c r="C425" s="4" t="s">
        <v>2454</v>
      </c>
      <c r="D425" s="4" t="s">
        <v>1616</v>
      </c>
      <c r="E425" s="4"/>
      <c r="F425" s="8"/>
      <c r="G425" s="8"/>
      <c r="H425" s="8"/>
      <c r="I425" s="8"/>
      <c r="J425" s="8"/>
      <c r="K425" s="8">
        <v>2200</v>
      </c>
      <c r="L425" s="18">
        <v>90</v>
      </c>
      <c r="M425" s="7">
        <f t="shared" si="6"/>
        <v>198000</v>
      </c>
      <c r="N425" s="4"/>
      <c r="O425" s="9"/>
    </row>
    <row r="426" spans="1:15" ht="20" x14ac:dyDescent="0.2">
      <c r="A426" s="3">
        <v>422</v>
      </c>
      <c r="B426" s="19" t="s">
        <v>2455</v>
      </c>
      <c r="C426" s="4" t="s">
        <v>2456</v>
      </c>
      <c r="D426" s="4" t="s">
        <v>1616</v>
      </c>
      <c r="E426" s="4"/>
      <c r="F426" s="8"/>
      <c r="G426" s="8"/>
      <c r="H426" s="8"/>
      <c r="I426" s="8"/>
      <c r="J426" s="8"/>
      <c r="K426" s="8">
        <v>800</v>
      </c>
      <c r="L426" s="18">
        <v>250</v>
      </c>
      <c r="M426" s="7">
        <f t="shared" si="6"/>
        <v>200000</v>
      </c>
      <c r="N426" s="4"/>
      <c r="O426" s="9"/>
    </row>
    <row r="427" spans="1:15" ht="20" x14ac:dyDescent="0.2">
      <c r="A427" s="3">
        <v>423</v>
      </c>
      <c r="B427" s="19" t="s">
        <v>2457</v>
      </c>
      <c r="C427" s="4" t="s">
        <v>2458</v>
      </c>
      <c r="D427" s="4" t="s">
        <v>1616</v>
      </c>
      <c r="E427" s="4"/>
      <c r="F427" s="8"/>
      <c r="G427" s="8"/>
      <c r="H427" s="8"/>
      <c r="I427" s="8"/>
      <c r="J427" s="8"/>
      <c r="K427" s="8">
        <v>240</v>
      </c>
      <c r="L427" s="18">
        <v>850</v>
      </c>
      <c r="M427" s="7">
        <f t="shared" si="6"/>
        <v>204000</v>
      </c>
      <c r="N427" s="4"/>
      <c r="O427" s="9"/>
    </row>
    <row r="428" spans="1:15" ht="20" x14ac:dyDescent="0.2">
      <c r="A428" s="3">
        <v>424</v>
      </c>
      <c r="B428" s="19" t="s">
        <v>2459</v>
      </c>
      <c r="C428" s="4" t="s">
        <v>2460</v>
      </c>
      <c r="D428" s="4" t="s">
        <v>1616</v>
      </c>
      <c r="E428" s="4"/>
      <c r="F428" s="8"/>
      <c r="G428" s="8"/>
      <c r="H428" s="8"/>
      <c r="I428" s="8"/>
      <c r="J428" s="8"/>
      <c r="K428" s="8">
        <v>800</v>
      </c>
      <c r="L428" s="18">
        <v>256.8</v>
      </c>
      <c r="M428" s="7">
        <f t="shared" si="6"/>
        <v>205440</v>
      </c>
      <c r="N428" s="4"/>
      <c r="O428" s="9"/>
    </row>
    <row r="429" spans="1:15" ht="20" x14ac:dyDescent="0.2">
      <c r="A429" s="3">
        <v>425</v>
      </c>
      <c r="B429" s="19" t="s">
        <v>2461</v>
      </c>
      <c r="C429" s="4" t="s">
        <v>2462</v>
      </c>
      <c r="D429" s="4" t="s">
        <v>1616</v>
      </c>
      <c r="E429" s="4"/>
      <c r="F429" s="8"/>
      <c r="G429" s="8"/>
      <c r="H429" s="8"/>
      <c r="I429" s="8"/>
      <c r="J429" s="8"/>
      <c r="K429" s="8">
        <v>3200</v>
      </c>
      <c r="L429" s="18">
        <v>64.2</v>
      </c>
      <c r="M429" s="7">
        <f t="shared" si="6"/>
        <v>205440</v>
      </c>
      <c r="N429" s="4"/>
      <c r="O429" s="9"/>
    </row>
    <row r="430" spans="1:15" ht="20" x14ac:dyDescent="0.2">
      <c r="A430" s="3">
        <v>426</v>
      </c>
      <c r="B430" s="19" t="s">
        <v>2463</v>
      </c>
      <c r="C430" s="4" t="s">
        <v>2464</v>
      </c>
      <c r="D430" s="4" t="s">
        <v>1616</v>
      </c>
      <c r="E430" s="4"/>
      <c r="F430" s="8"/>
      <c r="G430" s="8"/>
      <c r="H430" s="8"/>
      <c r="I430" s="8"/>
      <c r="J430" s="8"/>
      <c r="K430" s="8">
        <v>8000</v>
      </c>
      <c r="L430" s="18">
        <v>26</v>
      </c>
      <c r="M430" s="7">
        <f t="shared" si="6"/>
        <v>208000</v>
      </c>
      <c r="N430" s="4"/>
      <c r="O430" s="9"/>
    </row>
    <row r="431" spans="1:15" ht="40" x14ac:dyDescent="0.2">
      <c r="A431" s="3">
        <v>427</v>
      </c>
      <c r="B431" s="19" t="s">
        <v>2465</v>
      </c>
      <c r="C431" s="4" t="s">
        <v>2466</v>
      </c>
      <c r="D431" s="4" t="s">
        <v>1616</v>
      </c>
      <c r="E431" s="4"/>
      <c r="F431" s="8"/>
      <c r="G431" s="8"/>
      <c r="H431" s="8"/>
      <c r="I431" s="8"/>
      <c r="J431" s="8"/>
      <c r="K431" s="8">
        <v>2800</v>
      </c>
      <c r="L431" s="18">
        <v>74.900000000000006</v>
      </c>
      <c r="M431" s="7">
        <f t="shared" si="6"/>
        <v>209720.00000000003</v>
      </c>
      <c r="N431" s="4"/>
      <c r="O431" s="9"/>
    </row>
    <row r="432" spans="1:15" ht="20" x14ac:dyDescent="0.2">
      <c r="A432" s="3">
        <v>428</v>
      </c>
      <c r="B432" s="19" t="s">
        <v>2467</v>
      </c>
      <c r="C432" s="4" t="s">
        <v>2468</v>
      </c>
      <c r="D432" s="4" t="s">
        <v>1616</v>
      </c>
      <c r="E432" s="4"/>
      <c r="F432" s="8"/>
      <c r="G432" s="8"/>
      <c r="H432" s="8"/>
      <c r="I432" s="8"/>
      <c r="J432" s="8"/>
      <c r="K432" s="8">
        <v>600</v>
      </c>
      <c r="L432" s="18">
        <v>350</v>
      </c>
      <c r="M432" s="7">
        <f t="shared" si="6"/>
        <v>210000</v>
      </c>
      <c r="N432" s="4"/>
      <c r="O432" s="9"/>
    </row>
    <row r="433" spans="1:15" ht="20" x14ac:dyDescent="0.2">
      <c r="A433" s="3">
        <v>429</v>
      </c>
      <c r="B433" s="19" t="s">
        <v>2469</v>
      </c>
      <c r="C433" s="4" t="s">
        <v>2470</v>
      </c>
      <c r="D433" s="4" t="s">
        <v>1616</v>
      </c>
      <c r="E433" s="4"/>
      <c r="F433" s="8"/>
      <c r="G433" s="8"/>
      <c r="H433" s="8"/>
      <c r="I433" s="8"/>
      <c r="J433" s="8"/>
      <c r="K433" s="8">
        <v>80</v>
      </c>
      <c r="L433" s="18">
        <v>2666.66</v>
      </c>
      <c r="M433" s="7">
        <f t="shared" si="6"/>
        <v>213332.8</v>
      </c>
      <c r="N433" s="4"/>
      <c r="O433" s="9"/>
    </row>
    <row r="434" spans="1:15" ht="20" x14ac:dyDescent="0.2">
      <c r="A434" s="3">
        <v>430</v>
      </c>
      <c r="B434" s="19" t="s">
        <v>2471</v>
      </c>
      <c r="C434" s="4" t="s">
        <v>2472</v>
      </c>
      <c r="D434" s="4" t="s">
        <v>1616</v>
      </c>
      <c r="E434" s="4"/>
      <c r="F434" s="8"/>
      <c r="G434" s="8"/>
      <c r="H434" s="8"/>
      <c r="I434" s="8"/>
      <c r="J434" s="8"/>
      <c r="K434" s="8">
        <v>400</v>
      </c>
      <c r="L434" s="18">
        <v>535</v>
      </c>
      <c r="M434" s="7">
        <f t="shared" si="6"/>
        <v>214000</v>
      </c>
      <c r="N434" s="4"/>
      <c r="O434" s="9"/>
    </row>
    <row r="435" spans="1:15" ht="20" x14ac:dyDescent="0.2">
      <c r="A435" s="3">
        <v>431</v>
      </c>
      <c r="B435" s="19" t="s">
        <v>2473</v>
      </c>
      <c r="C435" s="4" t="s">
        <v>2474</v>
      </c>
      <c r="D435" s="4" t="s">
        <v>1616</v>
      </c>
      <c r="E435" s="4"/>
      <c r="F435" s="8"/>
      <c r="G435" s="8"/>
      <c r="H435" s="8"/>
      <c r="I435" s="8"/>
      <c r="J435" s="8"/>
      <c r="K435" s="8">
        <v>2400</v>
      </c>
      <c r="L435" s="18">
        <v>90</v>
      </c>
      <c r="M435" s="7">
        <f t="shared" si="6"/>
        <v>216000</v>
      </c>
      <c r="N435" s="4"/>
      <c r="O435" s="9"/>
    </row>
    <row r="436" spans="1:15" ht="20" x14ac:dyDescent="0.2">
      <c r="A436" s="3">
        <v>432</v>
      </c>
      <c r="B436" s="19" t="s">
        <v>2475</v>
      </c>
      <c r="C436" s="4" t="s">
        <v>2476</v>
      </c>
      <c r="D436" s="4" t="s">
        <v>1616</v>
      </c>
      <c r="E436" s="4"/>
      <c r="F436" s="8"/>
      <c r="G436" s="8"/>
      <c r="H436" s="8"/>
      <c r="I436" s="8"/>
      <c r="J436" s="8"/>
      <c r="K436" s="8">
        <v>20000</v>
      </c>
      <c r="L436" s="18">
        <v>11</v>
      </c>
      <c r="M436" s="7">
        <f t="shared" si="6"/>
        <v>220000</v>
      </c>
      <c r="N436" s="4"/>
      <c r="O436" s="9"/>
    </row>
    <row r="437" spans="1:15" ht="20" x14ac:dyDescent="0.2">
      <c r="A437" s="3">
        <v>433</v>
      </c>
      <c r="B437" s="19" t="s">
        <v>2477</v>
      </c>
      <c r="C437" s="4" t="s">
        <v>2478</v>
      </c>
      <c r="D437" s="4" t="s">
        <v>1616</v>
      </c>
      <c r="E437" s="4"/>
      <c r="F437" s="8"/>
      <c r="G437" s="8"/>
      <c r="H437" s="8"/>
      <c r="I437" s="8"/>
      <c r="J437" s="8"/>
      <c r="K437" s="8">
        <v>3000</v>
      </c>
      <c r="L437" s="18">
        <v>73.83</v>
      </c>
      <c r="M437" s="7">
        <f t="shared" si="6"/>
        <v>221490</v>
      </c>
      <c r="N437" s="4"/>
      <c r="O437" s="9"/>
    </row>
    <row r="438" spans="1:15" ht="20" x14ac:dyDescent="0.2">
      <c r="A438" s="3">
        <v>434</v>
      </c>
      <c r="B438" s="19" t="s">
        <v>2479</v>
      </c>
      <c r="C438" s="4" t="s">
        <v>2480</v>
      </c>
      <c r="D438" s="4" t="s">
        <v>1616</v>
      </c>
      <c r="E438" s="4"/>
      <c r="F438" s="8"/>
      <c r="G438" s="8"/>
      <c r="H438" s="8"/>
      <c r="I438" s="8"/>
      <c r="J438" s="8"/>
      <c r="K438" s="8">
        <v>90</v>
      </c>
      <c r="L438" s="18">
        <v>2461</v>
      </c>
      <c r="M438" s="7">
        <f t="shared" si="6"/>
        <v>221490</v>
      </c>
      <c r="N438" s="4"/>
      <c r="O438" s="9"/>
    </row>
    <row r="439" spans="1:15" ht="20" x14ac:dyDescent="0.2">
      <c r="A439" s="3">
        <v>435</v>
      </c>
      <c r="B439" s="19" t="s">
        <v>2481</v>
      </c>
      <c r="C439" s="4" t="s">
        <v>2482</v>
      </c>
      <c r="D439" s="4" t="s">
        <v>1616</v>
      </c>
      <c r="E439" s="4"/>
      <c r="F439" s="8"/>
      <c r="G439" s="8"/>
      <c r="H439" s="8"/>
      <c r="I439" s="8"/>
      <c r="J439" s="8"/>
      <c r="K439" s="8">
        <v>140</v>
      </c>
      <c r="L439" s="18">
        <v>1582.53</v>
      </c>
      <c r="M439" s="7">
        <f t="shared" si="6"/>
        <v>221554.19999999998</v>
      </c>
      <c r="N439" s="4"/>
      <c r="O439" s="9"/>
    </row>
    <row r="440" spans="1:15" ht="20" x14ac:dyDescent="0.2">
      <c r="A440" s="3">
        <v>436</v>
      </c>
      <c r="B440" s="19" t="s">
        <v>2483</v>
      </c>
      <c r="C440" s="4" t="s">
        <v>2484</v>
      </c>
      <c r="D440" s="4" t="s">
        <v>1616</v>
      </c>
      <c r="E440" s="4"/>
      <c r="F440" s="8"/>
      <c r="G440" s="8"/>
      <c r="H440" s="8"/>
      <c r="I440" s="8"/>
      <c r="J440" s="8"/>
      <c r="K440" s="8">
        <v>36000</v>
      </c>
      <c r="L440" s="18">
        <v>6.2</v>
      </c>
      <c r="M440" s="7">
        <f t="shared" si="6"/>
        <v>223200</v>
      </c>
      <c r="N440" s="4"/>
      <c r="O440" s="9"/>
    </row>
    <row r="441" spans="1:15" ht="20" x14ac:dyDescent="0.2">
      <c r="A441" s="3">
        <v>437</v>
      </c>
      <c r="B441" s="19" t="s">
        <v>2485</v>
      </c>
      <c r="C441" s="4" t="s">
        <v>2486</v>
      </c>
      <c r="D441" s="4" t="s">
        <v>1616</v>
      </c>
      <c r="E441" s="4"/>
      <c r="F441" s="8"/>
      <c r="G441" s="8"/>
      <c r="H441" s="8"/>
      <c r="I441" s="8"/>
      <c r="J441" s="8"/>
      <c r="K441" s="8">
        <v>300</v>
      </c>
      <c r="L441" s="18">
        <v>749</v>
      </c>
      <c r="M441" s="7">
        <f t="shared" si="6"/>
        <v>224700</v>
      </c>
      <c r="N441" s="4"/>
      <c r="O441" s="9"/>
    </row>
    <row r="442" spans="1:15" ht="20" x14ac:dyDescent="0.2">
      <c r="A442" s="3">
        <v>438</v>
      </c>
      <c r="B442" s="19" t="s">
        <v>2487</v>
      </c>
      <c r="C442" s="4" t="s">
        <v>2488</v>
      </c>
      <c r="D442" s="4" t="s">
        <v>1616</v>
      </c>
      <c r="E442" s="4"/>
      <c r="F442" s="8"/>
      <c r="G442" s="8"/>
      <c r="H442" s="8"/>
      <c r="I442" s="8"/>
      <c r="J442" s="8"/>
      <c r="K442" s="8">
        <v>6000</v>
      </c>
      <c r="L442" s="18">
        <v>38</v>
      </c>
      <c r="M442" s="7">
        <f t="shared" si="6"/>
        <v>228000</v>
      </c>
      <c r="N442" s="4"/>
      <c r="O442" s="9"/>
    </row>
    <row r="443" spans="1:15" ht="20" x14ac:dyDescent="0.2">
      <c r="A443" s="3">
        <v>439</v>
      </c>
      <c r="B443" s="19" t="s">
        <v>2489</v>
      </c>
      <c r="C443" s="4" t="s">
        <v>2490</v>
      </c>
      <c r="D443" s="4" t="s">
        <v>1616</v>
      </c>
      <c r="E443" s="4"/>
      <c r="F443" s="8"/>
      <c r="G443" s="8"/>
      <c r="H443" s="8"/>
      <c r="I443" s="8"/>
      <c r="J443" s="8"/>
      <c r="K443" s="8">
        <v>1240</v>
      </c>
      <c r="L443" s="18">
        <v>186.8</v>
      </c>
      <c r="M443" s="7">
        <f t="shared" si="6"/>
        <v>231632</v>
      </c>
      <c r="N443" s="4"/>
      <c r="O443" s="9"/>
    </row>
    <row r="444" spans="1:15" ht="20" x14ac:dyDescent="0.2">
      <c r="A444" s="3">
        <v>440</v>
      </c>
      <c r="B444" s="19" t="s">
        <v>2491</v>
      </c>
      <c r="C444" s="4" t="s">
        <v>2492</v>
      </c>
      <c r="D444" s="4" t="s">
        <v>1616</v>
      </c>
      <c r="E444" s="4"/>
      <c r="F444" s="8"/>
      <c r="G444" s="8"/>
      <c r="H444" s="8"/>
      <c r="I444" s="8"/>
      <c r="J444" s="8"/>
      <c r="K444" s="8">
        <v>4200</v>
      </c>
      <c r="L444" s="18">
        <v>55.64</v>
      </c>
      <c r="M444" s="7">
        <f t="shared" si="6"/>
        <v>233688</v>
      </c>
      <c r="N444" s="4"/>
      <c r="O444" s="9"/>
    </row>
    <row r="445" spans="1:15" ht="20" x14ac:dyDescent="0.2">
      <c r="A445" s="3">
        <v>441</v>
      </c>
      <c r="B445" s="19" t="s">
        <v>2493</v>
      </c>
      <c r="C445" s="4" t="s">
        <v>2494</v>
      </c>
      <c r="D445" s="4" t="s">
        <v>1616</v>
      </c>
      <c r="E445" s="4"/>
      <c r="F445" s="8"/>
      <c r="G445" s="8"/>
      <c r="H445" s="8"/>
      <c r="I445" s="8"/>
      <c r="J445" s="8"/>
      <c r="K445" s="8">
        <v>520</v>
      </c>
      <c r="L445" s="18">
        <v>450</v>
      </c>
      <c r="M445" s="7">
        <f t="shared" si="6"/>
        <v>234000</v>
      </c>
      <c r="N445" s="4"/>
      <c r="O445" s="9"/>
    </row>
    <row r="446" spans="1:15" ht="20" x14ac:dyDescent="0.2">
      <c r="A446" s="3">
        <v>442</v>
      </c>
      <c r="B446" s="19" t="s">
        <v>2495</v>
      </c>
      <c r="C446" s="4" t="s">
        <v>2496</v>
      </c>
      <c r="D446" s="4" t="s">
        <v>1616</v>
      </c>
      <c r="E446" s="4"/>
      <c r="F446" s="8"/>
      <c r="G446" s="8"/>
      <c r="H446" s="8"/>
      <c r="I446" s="8"/>
      <c r="J446" s="8"/>
      <c r="K446" s="8">
        <v>1000</v>
      </c>
      <c r="L446" s="18">
        <v>235.4</v>
      </c>
      <c r="M446" s="7">
        <f t="shared" si="6"/>
        <v>235400</v>
      </c>
      <c r="N446" s="4"/>
      <c r="O446" s="9"/>
    </row>
    <row r="447" spans="1:15" ht="20" x14ac:dyDescent="0.2">
      <c r="A447" s="3">
        <v>443</v>
      </c>
      <c r="B447" s="19" t="s">
        <v>2497</v>
      </c>
      <c r="C447" s="4" t="s">
        <v>2498</v>
      </c>
      <c r="D447" s="4" t="s">
        <v>1616</v>
      </c>
      <c r="E447" s="4"/>
      <c r="F447" s="8"/>
      <c r="G447" s="8"/>
      <c r="H447" s="8"/>
      <c r="I447" s="8"/>
      <c r="J447" s="8"/>
      <c r="K447" s="8">
        <v>200</v>
      </c>
      <c r="L447" s="18">
        <v>1177</v>
      </c>
      <c r="M447" s="7">
        <f t="shared" si="6"/>
        <v>235400</v>
      </c>
      <c r="N447" s="4"/>
      <c r="O447" s="9"/>
    </row>
    <row r="448" spans="1:15" ht="20" x14ac:dyDescent="0.2">
      <c r="A448" s="3">
        <v>444</v>
      </c>
      <c r="B448" s="19" t="s">
        <v>2499</v>
      </c>
      <c r="C448" s="4" t="s">
        <v>2500</v>
      </c>
      <c r="D448" s="4" t="s">
        <v>1616</v>
      </c>
      <c r="E448" s="4"/>
      <c r="F448" s="8"/>
      <c r="G448" s="8"/>
      <c r="H448" s="8"/>
      <c r="I448" s="8"/>
      <c r="J448" s="8"/>
      <c r="K448" s="8">
        <v>400</v>
      </c>
      <c r="L448" s="18">
        <v>588.5</v>
      </c>
      <c r="M448" s="7">
        <f t="shared" si="6"/>
        <v>235400</v>
      </c>
      <c r="N448" s="4"/>
      <c r="O448" s="9"/>
    </row>
    <row r="449" spans="1:15" ht="20" x14ac:dyDescent="0.2">
      <c r="A449" s="3">
        <v>445</v>
      </c>
      <c r="B449" s="19" t="s">
        <v>2501</v>
      </c>
      <c r="C449" s="4" t="s">
        <v>2502</v>
      </c>
      <c r="D449" s="4" t="s">
        <v>1616</v>
      </c>
      <c r="E449" s="4"/>
      <c r="F449" s="8"/>
      <c r="G449" s="8"/>
      <c r="H449" s="8"/>
      <c r="I449" s="8"/>
      <c r="J449" s="8"/>
      <c r="K449" s="8">
        <v>800</v>
      </c>
      <c r="L449" s="18">
        <v>298.52999999999997</v>
      </c>
      <c r="M449" s="7">
        <f t="shared" si="6"/>
        <v>238823.99999999997</v>
      </c>
      <c r="N449" s="4"/>
      <c r="O449" s="9"/>
    </row>
    <row r="450" spans="1:15" ht="20" x14ac:dyDescent="0.2">
      <c r="A450" s="3">
        <v>446</v>
      </c>
      <c r="B450" s="19" t="s">
        <v>2503</v>
      </c>
      <c r="C450" s="4" t="s">
        <v>2504</v>
      </c>
      <c r="D450" s="4" t="s">
        <v>1616</v>
      </c>
      <c r="E450" s="4"/>
      <c r="F450" s="8"/>
      <c r="G450" s="8"/>
      <c r="H450" s="8"/>
      <c r="I450" s="8"/>
      <c r="J450" s="8"/>
      <c r="K450" s="8">
        <v>18000</v>
      </c>
      <c r="L450" s="18">
        <v>13.3</v>
      </c>
      <c r="M450" s="7">
        <f t="shared" si="6"/>
        <v>239400</v>
      </c>
      <c r="N450" s="4"/>
      <c r="O450" s="9"/>
    </row>
    <row r="451" spans="1:15" ht="40" x14ac:dyDescent="0.2">
      <c r="A451" s="3">
        <v>447</v>
      </c>
      <c r="B451" s="19" t="s">
        <v>2505</v>
      </c>
      <c r="C451" s="4" t="s">
        <v>2506</v>
      </c>
      <c r="D451" s="4" t="s">
        <v>1616</v>
      </c>
      <c r="E451" s="4"/>
      <c r="F451" s="8"/>
      <c r="G451" s="8"/>
      <c r="H451" s="8"/>
      <c r="I451" s="8"/>
      <c r="J451" s="8"/>
      <c r="K451" s="8">
        <v>15000</v>
      </c>
      <c r="L451" s="18">
        <v>16</v>
      </c>
      <c r="M451" s="7">
        <f t="shared" si="6"/>
        <v>240000</v>
      </c>
      <c r="N451" s="4"/>
      <c r="O451" s="9"/>
    </row>
    <row r="452" spans="1:15" ht="20" x14ac:dyDescent="0.2">
      <c r="A452" s="3">
        <v>448</v>
      </c>
      <c r="B452" s="19" t="s">
        <v>2507</v>
      </c>
      <c r="C452" s="4" t="s">
        <v>2508</v>
      </c>
      <c r="D452" s="4" t="s">
        <v>1616</v>
      </c>
      <c r="E452" s="4"/>
      <c r="F452" s="8"/>
      <c r="G452" s="8"/>
      <c r="H452" s="8"/>
      <c r="I452" s="8"/>
      <c r="J452" s="8"/>
      <c r="K452" s="8">
        <v>32000</v>
      </c>
      <c r="L452" s="18">
        <v>7.5</v>
      </c>
      <c r="M452" s="7">
        <f t="shared" si="6"/>
        <v>240000</v>
      </c>
      <c r="N452" s="4"/>
      <c r="O452" s="9"/>
    </row>
    <row r="453" spans="1:15" ht="40" x14ac:dyDescent="0.2">
      <c r="A453" s="3">
        <v>449</v>
      </c>
      <c r="B453" s="19" t="s">
        <v>2509</v>
      </c>
      <c r="C453" s="4" t="s">
        <v>2510</v>
      </c>
      <c r="D453" s="4" t="s">
        <v>1616</v>
      </c>
      <c r="E453" s="4"/>
      <c r="F453" s="8"/>
      <c r="G453" s="8"/>
      <c r="H453" s="8"/>
      <c r="I453" s="8"/>
      <c r="J453" s="8"/>
      <c r="K453" s="8">
        <v>15</v>
      </c>
      <c r="L453" s="18">
        <v>16020</v>
      </c>
      <c r="M453" s="7">
        <f t="shared" ref="M453:M516" si="7">IF(OR(K453="",L453=""),"",K453*L453)</f>
        <v>240300</v>
      </c>
      <c r="N453" s="4"/>
      <c r="O453" s="9"/>
    </row>
    <row r="454" spans="1:15" ht="20" x14ac:dyDescent="0.2">
      <c r="A454" s="3">
        <v>450</v>
      </c>
      <c r="B454" s="19" t="s">
        <v>2511</v>
      </c>
      <c r="C454" s="4" t="s">
        <v>2512</v>
      </c>
      <c r="D454" s="4" t="s">
        <v>1616</v>
      </c>
      <c r="E454" s="4"/>
      <c r="F454" s="8"/>
      <c r="G454" s="8"/>
      <c r="H454" s="8"/>
      <c r="I454" s="8"/>
      <c r="J454" s="8"/>
      <c r="K454" s="8">
        <v>440</v>
      </c>
      <c r="L454" s="18">
        <v>550</v>
      </c>
      <c r="M454" s="7">
        <f t="shared" si="7"/>
        <v>242000</v>
      </c>
      <c r="N454" s="4"/>
      <c r="O454" s="9"/>
    </row>
    <row r="455" spans="1:15" ht="20" x14ac:dyDescent="0.2">
      <c r="A455" s="3">
        <v>451</v>
      </c>
      <c r="B455" s="19" t="s">
        <v>2513</v>
      </c>
      <c r="C455" s="4" t="s">
        <v>2514</v>
      </c>
      <c r="D455" s="4" t="s">
        <v>1616</v>
      </c>
      <c r="E455" s="4"/>
      <c r="F455" s="8"/>
      <c r="G455" s="8"/>
      <c r="H455" s="8"/>
      <c r="I455" s="8"/>
      <c r="J455" s="8"/>
      <c r="K455" s="8">
        <v>1600</v>
      </c>
      <c r="L455" s="18">
        <v>151.94</v>
      </c>
      <c r="M455" s="7">
        <f t="shared" si="7"/>
        <v>243104</v>
      </c>
      <c r="N455" s="4"/>
      <c r="O455" s="9"/>
    </row>
    <row r="456" spans="1:15" ht="20" x14ac:dyDescent="0.2">
      <c r="A456" s="3">
        <v>452</v>
      </c>
      <c r="B456" s="19" t="s">
        <v>2515</v>
      </c>
      <c r="C456" s="4" t="s">
        <v>2516</v>
      </c>
      <c r="D456" s="4" t="s">
        <v>1616</v>
      </c>
      <c r="E456" s="4"/>
      <c r="F456" s="8"/>
      <c r="G456" s="8"/>
      <c r="H456" s="8"/>
      <c r="I456" s="8"/>
      <c r="J456" s="8"/>
      <c r="K456" s="8">
        <v>600</v>
      </c>
      <c r="L456" s="18">
        <v>406.6</v>
      </c>
      <c r="M456" s="7">
        <f t="shared" si="7"/>
        <v>243960</v>
      </c>
      <c r="N456" s="4"/>
      <c r="O456" s="9"/>
    </row>
    <row r="457" spans="1:15" ht="20" x14ac:dyDescent="0.2">
      <c r="A457" s="3">
        <v>453</v>
      </c>
      <c r="B457" s="19" t="s">
        <v>2517</v>
      </c>
      <c r="C457" s="4" t="s">
        <v>2518</v>
      </c>
      <c r="D457" s="4" t="s">
        <v>1616</v>
      </c>
      <c r="E457" s="4"/>
      <c r="F457" s="8"/>
      <c r="G457" s="8"/>
      <c r="H457" s="8"/>
      <c r="I457" s="8"/>
      <c r="J457" s="8"/>
      <c r="K457" s="8">
        <v>1000</v>
      </c>
      <c r="L457" s="18">
        <v>245</v>
      </c>
      <c r="M457" s="7">
        <f t="shared" si="7"/>
        <v>245000</v>
      </c>
      <c r="N457" s="4"/>
      <c r="O457" s="9"/>
    </row>
    <row r="458" spans="1:15" ht="20" x14ac:dyDescent="0.2">
      <c r="A458" s="3">
        <v>454</v>
      </c>
      <c r="B458" s="19" t="s">
        <v>2519</v>
      </c>
      <c r="C458" s="4" t="s">
        <v>2520</v>
      </c>
      <c r="D458" s="4" t="s">
        <v>1616</v>
      </c>
      <c r="E458" s="4"/>
      <c r="F458" s="8"/>
      <c r="G458" s="8"/>
      <c r="H458" s="8"/>
      <c r="I458" s="8"/>
      <c r="J458" s="8"/>
      <c r="K458" s="8">
        <v>600</v>
      </c>
      <c r="L458" s="18">
        <v>410</v>
      </c>
      <c r="M458" s="7">
        <f t="shared" si="7"/>
        <v>246000</v>
      </c>
      <c r="N458" s="4"/>
      <c r="O458" s="9"/>
    </row>
    <row r="459" spans="1:15" ht="40" x14ac:dyDescent="0.2">
      <c r="A459" s="3">
        <v>455</v>
      </c>
      <c r="B459" s="19" t="s">
        <v>2521</v>
      </c>
      <c r="C459" s="4" t="s">
        <v>2522</v>
      </c>
      <c r="D459" s="4" t="s">
        <v>1616</v>
      </c>
      <c r="E459" s="4"/>
      <c r="F459" s="8"/>
      <c r="G459" s="8"/>
      <c r="H459" s="8"/>
      <c r="I459" s="8"/>
      <c r="J459" s="8"/>
      <c r="K459" s="8">
        <v>600</v>
      </c>
      <c r="L459" s="18">
        <v>417.3</v>
      </c>
      <c r="M459" s="7">
        <f t="shared" si="7"/>
        <v>250380</v>
      </c>
      <c r="N459" s="4"/>
      <c r="O459" s="9"/>
    </row>
    <row r="460" spans="1:15" ht="20" x14ac:dyDescent="0.2">
      <c r="A460" s="3">
        <v>456</v>
      </c>
      <c r="B460" s="19" t="s">
        <v>2523</v>
      </c>
      <c r="C460" s="4" t="s">
        <v>2524</v>
      </c>
      <c r="D460" s="4" t="s">
        <v>1616</v>
      </c>
      <c r="E460" s="4"/>
      <c r="F460" s="8"/>
      <c r="G460" s="8"/>
      <c r="H460" s="8"/>
      <c r="I460" s="8"/>
      <c r="J460" s="8"/>
      <c r="K460" s="8">
        <v>360</v>
      </c>
      <c r="L460" s="18">
        <v>695.5</v>
      </c>
      <c r="M460" s="7">
        <f t="shared" si="7"/>
        <v>250380</v>
      </c>
      <c r="N460" s="4"/>
      <c r="O460" s="9"/>
    </row>
    <row r="461" spans="1:15" ht="20" x14ac:dyDescent="0.2">
      <c r="A461" s="3">
        <v>457</v>
      </c>
      <c r="B461" s="19" t="s">
        <v>2525</v>
      </c>
      <c r="C461" s="4" t="s">
        <v>2526</v>
      </c>
      <c r="D461" s="4" t="s">
        <v>1616</v>
      </c>
      <c r="E461" s="4"/>
      <c r="F461" s="8"/>
      <c r="G461" s="8"/>
      <c r="H461" s="8"/>
      <c r="I461" s="8"/>
      <c r="J461" s="8"/>
      <c r="K461" s="8">
        <v>900</v>
      </c>
      <c r="L461" s="18">
        <v>284.62</v>
      </c>
      <c r="M461" s="7">
        <f t="shared" si="7"/>
        <v>256158</v>
      </c>
      <c r="N461" s="4"/>
      <c r="O461" s="9"/>
    </row>
    <row r="462" spans="1:15" ht="20" x14ac:dyDescent="0.2">
      <c r="A462" s="3">
        <v>458</v>
      </c>
      <c r="B462" s="19" t="s">
        <v>2527</v>
      </c>
      <c r="C462" s="4" t="s">
        <v>2528</v>
      </c>
      <c r="D462" s="4" t="s">
        <v>1616</v>
      </c>
      <c r="E462" s="4"/>
      <c r="F462" s="8"/>
      <c r="G462" s="8"/>
      <c r="H462" s="8"/>
      <c r="I462" s="8"/>
      <c r="J462" s="8"/>
      <c r="K462" s="8">
        <v>16</v>
      </c>
      <c r="L462" s="18">
        <v>16020</v>
      </c>
      <c r="M462" s="7">
        <f t="shared" si="7"/>
        <v>256320</v>
      </c>
      <c r="N462" s="4"/>
      <c r="O462" s="9"/>
    </row>
    <row r="463" spans="1:15" ht="20" x14ac:dyDescent="0.2">
      <c r="A463" s="3">
        <v>459</v>
      </c>
      <c r="B463" s="19" t="s">
        <v>2529</v>
      </c>
      <c r="C463" s="4" t="s">
        <v>2530</v>
      </c>
      <c r="D463" s="4" t="s">
        <v>1616</v>
      </c>
      <c r="E463" s="4"/>
      <c r="F463" s="8"/>
      <c r="G463" s="8"/>
      <c r="H463" s="8"/>
      <c r="I463" s="8"/>
      <c r="J463" s="8"/>
      <c r="K463" s="8">
        <v>800</v>
      </c>
      <c r="L463" s="18">
        <v>321</v>
      </c>
      <c r="M463" s="7">
        <f t="shared" si="7"/>
        <v>256800</v>
      </c>
      <c r="N463" s="4"/>
      <c r="O463" s="9"/>
    </row>
    <row r="464" spans="1:15" ht="20" x14ac:dyDescent="0.2">
      <c r="A464" s="3">
        <v>460</v>
      </c>
      <c r="B464" s="19" t="s">
        <v>2531</v>
      </c>
      <c r="C464" s="4" t="s">
        <v>2532</v>
      </c>
      <c r="D464" s="4" t="s">
        <v>1616</v>
      </c>
      <c r="E464" s="4"/>
      <c r="F464" s="8"/>
      <c r="G464" s="8"/>
      <c r="H464" s="8"/>
      <c r="I464" s="8"/>
      <c r="J464" s="8"/>
      <c r="K464" s="8">
        <v>800</v>
      </c>
      <c r="L464" s="18">
        <v>321</v>
      </c>
      <c r="M464" s="7">
        <f t="shared" si="7"/>
        <v>256800</v>
      </c>
      <c r="N464" s="4"/>
      <c r="O464" s="9"/>
    </row>
    <row r="465" spans="1:15" ht="20" x14ac:dyDescent="0.2">
      <c r="A465" s="3">
        <v>461</v>
      </c>
      <c r="B465" s="19" t="s">
        <v>2533</v>
      </c>
      <c r="C465" s="4" t="s">
        <v>2534</v>
      </c>
      <c r="D465" s="4" t="s">
        <v>1616</v>
      </c>
      <c r="E465" s="4"/>
      <c r="F465" s="8"/>
      <c r="G465" s="8"/>
      <c r="H465" s="8"/>
      <c r="I465" s="8"/>
      <c r="J465" s="8"/>
      <c r="K465" s="8">
        <v>400</v>
      </c>
      <c r="L465" s="18">
        <v>647.35</v>
      </c>
      <c r="M465" s="7">
        <f t="shared" si="7"/>
        <v>258940</v>
      </c>
      <c r="N465" s="4"/>
      <c r="O465" s="9"/>
    </row>
    <row r="466" spans="1:15" ht="20" x14ac:dyDescent="0.2">
      <c r="A466" s="3">
        <v>462</v>
      </c>
      <c r="B466" s="19" t="s">
        <v>2535</v>
      </c>
      <c r="C466" s="4" t="s">
        <v>2536</v>
      </c>
      <c r="D466" s="4" t="s">
        <v>1616</v>
      </c>
      <c r="E466" s="4"/>
      <c r="F466" s="8"/>
      <c r="G466" s="8"/>
      <c r="H466" s="8"/>
      <c r="I466" s="8"/>
      <c r="J466" s="8"/>
      <c r="K466" s="8">
        <v>400</v>
      </c>
      <c r="L466" s="18">
        <v>650</v>
      </c>
      <c r="M466" s="7">
        <f t="shared" si="7"/>
        <v>260000</v>
      </c>
      <c r="N466" s="4"/>
      <c r="O466" s="9"/>
    </row>
    <row r="467" spans="1:15" ht="20" x14ac:dyDescent="0.2">
      <c r="A467" s="3">
        <v>463</v>
      </c>
      <c r="B467" s="19" t="s">
        <v>2537</v>
      </c>
      <c r="C467" s="4" t="s">
        <v>2538</v>
      </c>
      <c r="D467" s="4" t="s">
        <v>1616</v>
      </c>
      <c r="E467" s="4"/>
      <c r="F467" s="8"/>
      <c r="G467" s="8"/>
      <c r="H467" s="8"/>
      <c r="I467" s="8"/>
      <c r="J467" s="8"/>
      <c r="K467" s="8">
        <v>13000</v>
      </c>
      <c r="L467" s="18">
        <v>20</v>
      </c>
      <c r="M467" s="7">
        <f t="shared" si="7"/>
        <v>260000</v>
      </c>
      <c r="N467" s="4"/>
      <c r="O467" s="9"/>
    </row>
    <row r="468" spans="1:15" ht="20" x14ac:dyDescent="0.2">
      <c r="A468" s="3">
        <v>464</v>
      </c>
      <c r="B468" s="19" t="s">
        <v>2539</v>
      </c>
      <c r="C468" s="4" t="s">
        <v>2540</v>
      </c>
      <c r="D468" s="4" t="s">
        <v>1616</v>
      </c>
      <c r="E468" s="4"/>
      <c r="F468" s="8"/>
      <c r="G468" s="8"/>
      <c r="H468" s="8"/>
      <c r="I468" s="8"/>
      <c r="J468" s="8"/>
      <c r="K468" s="8">
        <v>16000</v>
      </c>
      <c r="L468" s="18">
        <v>16.5</v>
      </c>
      <c r="M468" s="7">
        <f t="shared" si="7"/>
        <v>264000</v>
      </c>
      <c r="N468" s="4"/>
      <c r="O468" s="9"/>
    </row>
    <row r="469" spans="1:15" ht="40" x14ac:dyDescent="0.2">
      <c r="A469" s="3">
        <v>465</v>
      </c>
      <c r="B469" s="19" t="s">
        <v>2541</v>
      </c>
      <c r="C469" s="4" t="s">
        <v>2542</v>
      </c>
      <c r="D469" s="4" t="s">
        <v>1616</v>
      </c>
      <c r="E469" s="4"/>
      <c r="F469" s="8"/>
      <c r="G469" s="8"/>
      <c r="H469" s="8"/>
      <c r="I469" s="8"/>
      <c r="J469" s="8"/>
      <c r="K469" s="8">
        <v>500</v>
      </c>
      <c r="L469" s="18">
        <v>535</v>
      </c>
      <c r="M469" s="7">
        <f t="shared" si="7"/>
        <v>267500</v>
      </c>
      <c r="N469" s="4"/>
      <c r="O469" s="9"/>
    </row>
    <row r="470" spans="1:15" ht="20" x14ac:dyDescent="0.2">
      <c r="A470" s="3">
        <v>466</v>
      </c>
      <c r="B470" s="19" t="s">
        <v>2543</v>
      </c>
      <c r="C470" s="4" t="s">
        <v>2544</v>
      </c>
      <c r="D470" s="4" t="s">
        <v>1616</v>
      </c>
      <c r="E470" s="4"/>
      <c r="F470" s="8"/>
      <c r="G470" s="8"/>
      <c r="H470" s="8"/>
      <c r="I470" s="8"/>
      <c r="J470" s="8"/>
      <c r="K470" s="8">
        <v>7200</v>
      </c>
      <c r="L470" s="18">
        <v>37.450000000000003</v>
      </c>
      <c r="M470" s="7">
        <f t="shared" si="7"/>
        <v>269640</v>
      </c>
      <c r="N470" s="4"/>
      <c r="O470" s="9"/>
    </row>
    <row r="471" spans="1:15" ht="40" x14ac:dyDescent="0.2">
      <c r="A471" s="3">
        <v>467</v>
      </c>
      <c r="B471" s="19" t="s">
        <v>2545</v>
      </c>
      <c r="C471" s="4" t="s">
        <v>2546</v>
      </c>
      <c r="D471" s="4" t="s">
        <v>1616</v>
      </c>
      <c r="E471" s="4"/>
      <c r="F471" s="8"/>
      <c r="G471" s="8"/>
      <c r="H471" s="8"/>
      <c r="I471" s="8"/>
      <c r="J471" s="8"/>
      <c r="K471" s="8">
        <v>2000</v>
      </c>
      <c r="L471" s="18">
        <v>134.82</v>
      </c>
      <c r="M471" s="7">
        <f t="shared" si="7"/>
        <v>269640</v>
      </c>
      <c r="N471" s="4"/>
      <c r="O471" s="9"/>
    </row>
    <row r="472" spans="1:15" ht="20" x14ac:dyDescent="0.2">
      <c r="A472" s="3">
        <v>468</v>
      </c>
      <c r="B472" s="19" t="s">
        <v>2547</v>
      </c>
      <c r="C472" s="4" t="s">
        <v>2548</v>
      </c>
      <c r="D472" s="4" t="s">
        <v>1616</v>
      </c>
      <c r="E472" s="4"/>
      <c r="F472" s="8"/>
      <c r="G472" s="8"/>
      <c r="H472" s="8"/>
      <c r="I472" s="8"/>
      <c r="J472" s="8"/>
      <c r="K472" s="8">
        <v>18000</v>
      </c>
      <c r="L472" s="18">
        <v>15</v>
      </c>
      <c r="M472" s="7">
        <f t="shared" si="7"/>
        <v>270000</v>
      </c>
      <c r="N472" s="4"/>
      <c r="O472" s="9"/>
    </row>
    <row r="473" spans="1:15" ht="20" x14ac:dyDescent="0.2">
      <c r="A473" s="3">
        <v>469</v>
      </c>
      <c r="B473" s="19" t="s">
        <v>2549</v>
      </c>
      <c r="C473" s="4" t="s">
        <v>2550</v>
      </c>
      <c r="D473" s="4" t="s">
        <v>1616</v>
      </c>
      <c r="E473" s="4"/>
      <c r="F473" s="8"/>
      <c r="G473" s="8"/>
      <c r="H473" s="8"/>
      <c r="I473" s="8"/>
      <c r="J473" s="8"/>
      <c r="K473" s="8">
        <v>480</v>
      </c>
      <c r="L473" s="18">
        <v>567.1</v>
      </c>
      <c r="M473" s="7">
        <f t="shared" si="7"/>
        <v>272208</v>
      </c>
      <c r="N473" s="4"/>
      <c r="O473" s="9"/>
    </row>
    <row r="474" spans="1:15" ht="20" x14ac:dyDescent="0.2">
      <c r="A474" s="3">
        <v>470</v>
      </c>
      <c r="B474" s="19" t="s">
        <v>2551</v>
      </c>
      <c r="C474" s="4" t="s">
        <v>2552</v>
      </c>
      <c r="D474" s="4" t="s">
        <v>1616</v>
      </c>
      <c r="E474" s="4"/>
      <c r="F474" s="8"/>
      <c r="G474" s="8"/>
      <c r="H474" s="8"/>
      <c r="I474" s="8"/>
      <c r="J474" s="8"/>
      <c r="K474" s="8">
        <v>420</v>
      </c>
      <c r="L474" s="18">
        <v>650</v>
      </c>
      <c r="M474" s="7">
        <f t="shared" si="7"/>
        <v>273000</v>
      </c>
      <c r="N474" s="4"/>
      <c r="O474" s="9"/>
    </row>
    <row r="475" spans="1:15" ht="20" x14ac:dyDescent="0.2">
      <c r="A475" s="3">
        <v>471</v>
      </c>
      <c r="B475" s="19" t="s">
        <v>2553</v>
      </c>
      <c r="C475" s="4" t="s">
        <v>2554</v>
      </c>
      <c r="D475" s="4" t="s">
        <v>1616</v>
      </c>
      <c r="E475" s="4"/>
      <c r="F475" s="8"/>
      <c r="G475" s="8"/>
      <c r="H475" s="8"/>
      <c r="I475" s="8"/>
      <c r="J475" s="8"/>
      <c r="K475" s="8">
        <v>320</v>
      </c>
      <c r="L475" s="18">
        <v>856</v>
      </c>
      <c r="M475" s="7">
        <f t="shared" si="7"/>
        <v>273920</v>
      </c>
      <c r="N475" s="4"/>
      <c r="O475" s="9"/>
    </row>
    <row r="476" spans="1:15" ht="20" x14ac:dyDescent="0.2">
      <c r="A476" s="3">
        <v>472</v>
      </c>
      <c r="B476" s="19" t="s">
        <v>2555</v>
      </c>
      <c r="C476" s="4" t="s">
        <v>2556</v>
      </c>
      <c r="D476" s="4" t="s">
        <v>1616</v>
      </c>
      <c r="E476" s="4"/>
      <c r="F476" s="8"/>
      <c r="G476" s="8"/>
      <c r="H476" s="8"/>
      <c r="I476" s="8"/>
      <c r="J476" s="8"/>
      <c r="K476" s="8">
        <v>1000</v>
      </c>
      <c r="L476" s="18">
        <v>275.14</v>
      </c>
      <c r="M476" s="7">
        <f t="shared" si="7"/>
        <v>275140</v>
      </c>
      <c r="N476" s="4"/>
      <c r="O476" s="9"/>
    </row>
    <row r="477" spans="1:15" ht="20" x14ac:dyDescent="0.2">
      <c r="A477" s="3">
        <v>473</v>
      </c>
      <c r="B477" s="19" t="s">
        <v>2557</v>
      </c>
      <c r="C477" s="4" t="s">
        <v>2558</v>
      </c>
      <c r="D477" s="4" t="s">
        <v>1616</v>
      </c>
      <c r="E477" s="4"/>
      <c r="F477" s="8"/>
      <c r="G477" s="8"/>
      <c r="H477" s="8"/>
      <c r="I477" s="8"/>
      <c r="J477" s="8"/>
      <c r="K477" s="8">
        <v>240</v>
      </c>
      <c r="L477" s="18">
        <v>1150</v>
      </c>
      <c r="M477" s="7">
        <f t="shared" si="7"/>
        <v>276000</v>
      </c>
      <c r="N477" s="4"/>
      <c r="O477" s="9"/>
    </row>
    <row r="478" spans="1:15" ht="20" x14ac:dyDescent="0.2">
      <c r="A478" s="3">
        <v>474</v>
      </c>
      <c r="B478" s="19" t="s">
        <v>2559</v>
      </c>
      <c r="C478" s="4" t="s">
        <v>2560</v>
      </c>
      <c r="D478" s="4" t="s">
        <v>1616</v>
      </c>
      <c r="E478" s="4"/>
      <c r="F478" s="8"/>
      <c r="G478" s="8"/>
      <c r="H478" s="8"/>
      <c r="I478" s="8"/>
      <c r="J478" s="8"/>
      <c r="K478" s="8">
        <v>40</v>
      </c>
      <c r="L478" s="18">
        <v>6999.94</v>
      </c>
      <c r="M478" s="7">
        <f t="shared" si="7"/>
        <v>279997.59999999998</v>
      </c>
      <c r="N478" s="4"/>
      <c r="O478" s="9"/>
    </row>
    <row r="479" spans="1:15" ht="20" x14ac:dyDescent="0.2">
      <c r="A479" s="3">
        <v>475</v>
      </c>
      <c r="B479" s="19" t="s">
        <v>2561</v>
      </c>
      <c r="C479" s="4" t="s">
        <v>2562</v>
      </c>
      <c r="D479" s="4" t="s">
        <v>1616</v>
      </c>
      <c r="E479" s="4"/>
      <c r="F479" s="8"/>
      <c r="G479" s="8"/>
      <c r="H479" s="8"/>
      <c r="I479" s="8"/>
      <c r="J479" s="8"/>
      <c r="K479" s="8">
        <v>1100</v>
      </c>
      <c r="L479" s="18">
        <v>255</v>
      </c>
      <c r="M479" s="7">
        <f t="shared" si="7"/>
        <v>280500</v>
      </c>
      <c r="N479" s="4"/>
      <c r="O479" s="9"/>
    </row>
    <row r="480" spans="1:15" ht="20" x14ac:dyDescent="0.2">
      <c r="A480" s="3">
        <v>476</v>
      </c>
      <c r="B480" s="19" t="s">
        <v>2563</v>
      </c>
      <c r="C480" s="4" t="s">
        <v>2564</v>
      </c>
      <c r="D480" s="4" t="s">
        <v>1616</v>
      </c>
      <c r="E480" s="4"/>
      <c r="F480" s="8"/>
      <c r="G480" s="8"/>
      <c r="H480" s="8"/>
      <c r="I480" s="8"/>
      <c r="J480" s="8"/>
      <c r="K480" s="8">
        <v>7000</v>
      </c>
      <c r="L480" s="18">
        <v>41</v>
      </c>
      <c r="M480" s="7">
        <f t="shared" si="7"/>
        <v>287000</v>
      </c>
      <c r="N480" s="4"/>
      <c r="O480" s="9"/>
    </row>
    <row r="481" spans="1:15" ht="20" x14ac:dyDescent="0.2">
      <c r="A481" s="3">
        <v>477</v>
      </c>
      <c r="B481" s="19" t="s">
        <v>2565</v>
      </c>
      <c r="C481" s="4" t="s">
        <v>2566</v>
      </c>
      <c r="D481" s="4" t="s">
        <v>1616</v>
      </c>
      <c r="E481" s="4"/>
      <c r="F481" s="8"/>
      <c r="G481" s="8"/>
      <c r="H481" s="8"/>
      <c r="I481" s="8"/>
      <c r="J481" s="8"/>
      <c r="K481" s="8">
        <v>300</v>
      </c>
      <c r="L481" s="18">
        <v>963</v>
      </c>
      <c r="M481" s="7">
        <f t="shared" si="7"/>
        <v>288900</v>
      </c>
      <c r="N481" s="4"/>
      <c r="O481" s="9"/>
    </row>
    <row r="482" spans="1:15" ht="40" x14ac:dyDescent="0.2">
      <c r="A482" s="3">
        <v>478</v>
      </c>
      <c r="B482" s="19" t="s">
        <v>2567</v>
      </c>
      <c r="C482" s="4" t="s">
        <v>2568</v>
      </c>
      <c r="D482" s="4" t="s">
        <v>1616</v>
      </c>
      <c r="E482" s="4"/>
      <c r="F482" s="8"/>
      <c r="G482" s="8"/>
      <c r="H482" s="8"/>
      <c r="I482" s="8"/>
      <c r="J482" s="8"/>
      <c r="K482" s="8">
        <v>750</v>
      </c>
      <c r="L482" s="18">
        <v>385.2</v>
      </c>
      <c r="M482" s="7">
        <f t="shared" si="7"/>
        <v>288900</v>
      </c>
      <c r="N482" s="4"/>
      <c r="O482" s="9"/>
    </row>
    <row r="483" spans="1:15" ht="20" x14ac:dyDescent="0.2">
      <c r="A483" s="3">
        <v>479</v>
      </c>
      <c r="B483" s="19" t="s">
        <v>2569</v>
      </c>
      <c r="C483" s="4" t="s">
        <v>2570</v>
      </c>
      <c r="D483" s="4" t="s">
        <v>1616</v>
      </c>
      <c r="E483" s="4"/>
      <c r="F483" s="8"/>
      <c r="G483" s="8"/>
      <c r="H483" s="8"/>
      <c r="I483" s="8"/>
      <c r="J483" s="8"/>
      <c r="K483" s="8">
        <v>800</v>
      </c>
      <c r="L483" s="18">
        <v>362.73</v>
      </c>
      <c r="M483" s="7">
        <f t="shared" si="7"/>
        <v>290184</v>
      </c>
      <c r="N483" s="4"/>
      <c r="O483" s="9"/>
    </row>
    <row r="484" spans="1:15" ht="20" x14ac:dyDescent="0.2">
      <c r="A484" s="3">
        <v>480</v>
      </c>
      <c r="B484" s="19" t="s">
        <v>2571</v>
      </c>
      <c r="C484" s="4" t="s">
        <v>2572</v>
      </c>
      <c r="D484" s="4" t="s">
        <v>1616</v>
      </c>
      <c r="E484" s="4"/>
      <c r="F484" s="8"/>
      <c r="G484" s="8"/>
      <c r="H484" s="8"/>
      <c r="I484" s="8"/>
      <c r="J484" s="8"/>
      <c r="K484" s="8">
        <v>60</v>
      </c>
      <c r="L484" s="18">
        <v>4884.55</v>
      </c>
      <c r="M484" s="7">
        <f t="shared" si="7"/>
        <v>293073</v>
      </c>
      <c r="N484" s="4"/>
      <c r="O484" s="9"/>
    </row>
    <row r="485" spans="1:15" ht="20" x14ac:dyDescent="0.2">
      <c r="A485" s="3">
        <v>481</v>
      </c>
      <c r="B485" s="19" t="s">
        <v>2573</v>
      </c>
      <c r="C485" s="4" t="s">
        <v>2574</v>
      </c>
      <c r="D485" s="4" t="s">
        <v>1616</v>
      </c>
      <c r="E485" s="4"/>
      <c r="F485" s="8"/>
      <c r="G485" s="8"/>
      <c r="H485" s="8"/>
      <c r="I485" s="8"/>
      <c r="J485" s="8"/>
      <c r="K485" s="8">
        <v>5200</v>
      </c>
      <c r="L485" s="18">
        <v>56.4</v>
      </c>
      <c r="M485" s="7">
        <f t="shared" si="7"/>
        <v>293280</v>
      </c>
      <c r="N485" s="4"/>
      <c r="O485" s="9"/>
    </row>
    <row r="486" spans="1:15" ht="20" x14ac:dyDescent="0.2">
      <c r="A486" s="3">
        <v>482</v>
      </c>
      <c r="B486" s="19" t="s">
        <v>2575</v>
      </c>
      <c r="C486" s="4" t="s">
        <v>2576</v>
      </c>
      <c r="D486" s="4" t="s">
        <v>1616</v>
      </c>
      <c r="E486" s="4"/>
      <c r="F486" s="8"/>
      <c r="G486" s="8"/>
      <c r="H486" s="8"/>
      <c r="I486" s="8"/>
      <c r="J486" s="8"/>
      <c r="K486" s="8">
        <v>250</v>
      </c>
      <c r="L486" s="18">
        <v>1177</v>
      </c>
      <c r="M486" s="7">
        <f t="shared" si="7"/>
        <v>294250</v>
      </c>
      <c r="N486" s="4"/>
      <c r="O486" s="9"/>
    </row>
    <row r="487" spans="1:15" ht="20" x14ac:dyDescent="0.2">
      <c r="A487" s="3">
        <v>483</v>
      </c>
      <c r="B487" s="19" t="s">
        <v>2577</v>
      </c>
      <c r="C487" s="4" t="s">
        <v>2578</v>
      </c>
      <c r="D487" s="4" t="s">
        <v>1616</v>
      </c>
      <c r="E487" s="4"/>
      <c r="F487" s="8"/>
      <c r="G487" s="8"/>
      <c r="H487" s="8"/>
      <c r="I487" s="8"/>
      <c r="J487" s="8"/>
      <c r="K487" s="8">
        <v>18000</v>
      </c>
      <c r="L487" s="18">
        <v>16.5</v>
      </c>
      <c r="M487" s="7">
        <f t="shared" si="7"/>
        <v>297000</v>
      </c>
      <c r="N487" s="4"/>
      <c r="O487" s="9"/>
    </row>
    <row r="488" spans="1:15" ht="20" x14ac:dyDescent="0.2">
      <c r="A488" s="3">
        <v>484</v>
      </c>
      <c r="B488" s="19" t="s">
        <v>2579</v>
      </c>
      <c r="C488" s="4" t="s">
        <v>2580</v>
      </c>
      <c r="D488" s="4" t="s">
        <v>1616</v>
      </c>
      <c r="E488" s="4"/>
      <c r="F488" s="8"/>
      <c r="G488" s="8"/>
      <c r="H488" s="8"/>
      <c r="I488" s="8"/>
      <c r="J488" s="8"/>
      <c r="K488" s="8">
        <v>10000</v>
      </c>
      <c r="L488" s="18">
        <v>29.96</v>
      </c>
      <c r="M488" s="7">
        <f t="shared" si="7"/>
        <v>299600</v>
      </c>
      <c r="N488" s="4"/>
      <c r="O488" s="9"/>
    </row>
    <row r="489" spans="1:15" ht="20" x14ac:dyDescent="0.2">
      <c r="A489" s="3">
        <v>485</v>
      </c>
      <c r="B489" s="19" t="s">
        <v>2581</v>
      </c>
      <c r="C489" s="4" t="s">
        <v>2582</v>
      </c>
      <c r="D489" s="4" t="s">
        <v>1616</v>
      </c>
      <c r="E489" s="4"/>
      <c r="F489" s="8"/>
      <c r="G489" s="8"/>
      <c r="H489" s="8"/>
      <c r="I489" s="8"/>
      <c r="J489" s="8"/>
      <c r="K489" s="8">
        <v>2000</v>
      </c>
      <c r="L489" s="18">
        <v>150</v>
      </c>
      <c r="M489" s="7">
        <f t="shared" si="7"/>
        <v>300000</v>
      </c>
      <c r="N489" s="4"/>
      <c r="O489" s="9"/>
    </row>
    <row r="490" spans="1:15" ht="20" x14ac:dyDescent="0.2">
      <c r="A490" s="3">
        <v>486</v>
      </c>
      <c r="B490" s="19" t="s">
        <v>2583</v>
      </c>
      <c r="C490" s="4" t="s">
        <v>2584</v>
      </c>
      <c r="D490" s="4" t="s">
        <v>1616</v>
      </c>
      <c r="E490" s="4"/>
      <c r="F490" s="8"/>
      <c r="G490" s="8"/>
      <c r="H490" s="8"/>
      <c r="I490" s="8"/>
      <c r="J490" s="8"/>
      <c r="K490" s="8">
        <v>1600</v>
      </c>
      <c r="L490" s="18">
        <v>190.46</v>
      </c>
      <c r="M490" s="7">
        <f t="shared" si="7"/>
        <v>304736</v>
      </c>
      <c r="N490" s="4"/>
      <c r="O490" s="9"/>
    </row>
    <row r="491" spans="1:15" ht="20" x14ac:dyDescent="0.2">
      <c r="A491" s="3">
        <v>487</v>
      </c>
      <c r="B491" s="19" t="s">
        <v>2585</v>
      </c>
      <c r="C491" s="4" t="s">
        <v>2586</v>
      </c>
      <c r="D491" s="4" t="s">
        <v>1616</v>
      </c>
      <c r="E491" s="4"/>
      <c r="F491" s="8"/>
      <c r="G491" s="8"/>
      <c r="H491" s="8"/>
      <c r="I491" s="8"/>
      <c r="J491" s="8"/>
      <c r="K491" s="8">
        <v>1000</v>
      </c>
      <c r="L491" s="18">
        <v>304.95</v>
      </c>
      <c r="M491" s="7">
        <f t="shared" si="7"/>
        <v>304950</v>
      </c>
      <c r="N491" s="4"/>
      <c r="O491" s="9"/>
    </row>
    <row r="492" spans="1:15" ht="20" x14ac:dyDescent="0.2">
      <c r="A492" s="3">
        <v>488</v>
      </c>
      <c r="B492" s="19" t="s">
        <v>2587</v>
      </c>
      <c r="C492" s="4" t="s">
        <v>2588</v>
      </c>
      <c r="D492" s="4" t="s">
        <v>1616</v>
      </c>
      <c r="E492" s="4"/>
      <c r="F492" s="8"/>
      <c r="G492" s="8"/>
      <c r="H492" s="8"/>
      <c r="I492" s="8"/>
      <c r="J492" s="8"/>
      <c r="K492" s="8">
        <v>320</v>
      </c>
      <c r="L492" s="18">
        <v>956.58</v>
      </c>
      <c r="M492" s="7">
        <f t="shared" si="7"/>
        <v>306105.60000000003</v>
      </c>
      <c r="N492" s="4"/>
      <c r="O492" s="9"/>
    </row>
    <row r="493" spans="1:15" ht="20" x14ac:dyDescent="0.2">
      <c r="A493" s="3">
        <v>489</v>
      </c>
      <c r="B493" s="19" t="s">
        <v>2589</v>
      </c>
      <c r="C493" s="4" t="s">
        <v>2590</v>
      </c>
      <c r="D493" s="4" t="s">
        <v>1616</v>
      </c>
      <c r="E493" s="4"/>
      <c r="F493" s="8"/>
      <c r="G493" s="8"/>
      <c r="H493" s="8"/>
      <c r="I493" s="8"/>
      <c r="J493" s="8"/>
      <c r="K493" s="8">
        <v>360</v>
      </c>
      <c r="L493" s="18">
        <v>855</v>
      </c>
      <c r="M493" s="7">
        <f t="shared" si="7"/>
        <v>307800</v>
      </c>
      <c r="N493" s="4"/>
      <c r="O493" s="9"/>
    </row>
    <row r="494" spans="1:15" ht="20" x14ac:dyDescent="0.2">
      <c r="A494" s="3">
        <v>490</v>
      </c>
      <c r="B494" s="19" t="s">
        <v>2591</v>
      </c>
      <c r="C494" s="4" t="s">
        <v>2592</v>
      </c>
      <c r="D494" s="4" t="s">
        <v>1616</v>
      </c>
      <c r="E494" s="4"/>
      <c r="F494" s="8"/>
      <c r="G494" s="8"/>
      <c r="H494" s="8"/>
      <c r="I494" s="8"/>
      <c r="J494" s="8"/>
      <c r="K494" s="8">
        <v>300</v>
      </c>
      <c r="L494" s="18">
        <v>1040</v>
      </c>
      <c r="M494" s="7">
        <f t="shared" si="7"/>
        <v>312000</v>
      </c>
      <c r="N494" s="4"/>
      <c r="O494" s="9"/>
    </row>
    <row r="495" spans="1:15" ht="40" x14ac:dyDescent="0.2">
      <c r="A495" s="3">
        <v>491</v>
      </c>
      <c r="B495" s="19" t="s">
        <v>2593</v>
      </c>
      <c r="C495" s="4" t="s">
        <v>2594</v>
      </c>
      <c r="D495" s="4" t="s">
        <v>1616</v>
      </c>
      <c r="E495" s="4"/>
      <c r="F495" s="8"/>
      <c r="G495" s="8"/>
      <c r="H495" s="8"/>
      <c r="I495" s="8"/>
      <c r="J495" s="8"/>
      <c r="K495" s="8">
        <v>340</v>
      </c>
      <c r="L495" s="18">
        <v>924.48</v>
      </c>
      <c r="M495" s="7">
        <f t="shared" si="7"/>
        <v>314323.20000000001</v>
      </c>
      <c r="N495" s="4"/>
      <c r="O495" s="9"/>
    </row>
    <row r="496" spans="1:15" ht="20" x14ac:dyDescent="0.2">
      <c r="A496" s="3">
        <v>492</v>
      </c>
      <c r="B496" s="19" t="s">
        <v>2595</v>
      </c>
      <c r="C496" s="4" t="s">
        <v>2596</v>
      </c>
      <c r="D496" s="4" t="s">
        <v>1616</v>
      </c>
      <c r="E496" s="4"/>
      <c r="F496" s="8"/>
      <c r="G496" s="8"/>
      <c r="H496" s="8"/>
      <c r="I496" s="8"/>
      <c r="J496" s="8"/>
      <c r="K496" s="8">
        <v>900</v>
      </c>
      <c r="L496" s="18">
        <v>350</v>
      </c>
      <c r="M496" s="7">
        <f t="shared" si="7"/>
        <v>315000</v>
      </c>
      <c r="N496" s="4"/>
      <c r="O496" s="9"/>
    </row>
    <row r="497" spans="1:15" ht="20" x14ac:dyDescent="0.2">
      <c r="A497" s="3">
        <v>493</v>
      </c>
      <c r="B497" s="19" t="s">
        <v>2597</v>
      </c>
      <c r="C497" s="4" t="s">
        <v>2598</v>
      </c>
      <c r="D497" s="4" t="s">
        <v>1616</v>
      </c>
      <c r="E497" s="4"/>
      <c r="F497" s="8"/>
      <c r="G497" s="8"/>
      <c r="H497" s="8"/>
      <c r="I497" s="8"/>
      <c r="J497" s="8"/>
      <c r="K497" s="8">
        <v>1600</v>
      </c>
      <c r="L497" s="18">
        <v>199</v>
      </c>
      <c r="M497" s="7">
        <f t="shared" si="7"/>
        <v>318400</v>
      </c>
      <c r="N497" s="4"/>
      <c r="O497" s="9"/>
    </row>
    <row r="498" spans="1:15" ht="20" x14ac:dyDescent="0.2">
      <c r="A498" s="3">
        <v>494</v>
      </c>
      <c r="B498" s="19" t="s">
        <v>2599</v>
      </c>
      <c r="C498" s="4" t="s">
        <v>2600</v>
      </c>
      <c r="D498" s="4" t="s">
        <v>1616</v>
      </c>
      <c r="E498" s="4"/>
      <c r="F498" s="8"/>
      <c r="G498" s="8"/>
      <c r="H498" s="8"/>
      <c r="I498" s="8"/>
      <c r="J498" s="8"/>
      <c r="K498" s="8">
        <v>940</v>
      </c>
      <c r="L498" s="18">
        <v>340</v>
      </c>
      <c r="M498" s="7">
        <f t="shared" si="7"/>
        <v>319600</v>
      </c>
      <c r="N498" s="4"/>
      <c r="O498" s="9"/>
    </row>
    <row r="499" spans="1:15" ht="20" x14ac:dyDescent="0.2">
      <c r="A499" s="3">
        <v>495</v>
      </c>
      <c r="B499" s="19" t="s">
        <v>2601</v>
      </c>
      <c r="C499" s="4" t="s">
        <v>2602</v>
      </c>
      <c r="D499" s="4" t="s">
        <v>1616</v>
      </c>
      <c r="E499" s="4"/>
      <c r="F499" s="8"/>
      <c r="G499" s="8"/>
      <c r="H499" s="8"/>
      <c r="I499" s="8"/>
      <c r="J499" s="8"/>
      <c r="K499" s="8">
        <v>1600</v>
      </c>
      <c r="L499" s="18">
        <v>200</v>
      </c>
      <c r="M499" s="7">
        <f t="shared" si="7"/>
        <v>320000</v>
      </c>
      <c r="N499" s="4"/>
      <c r="O499" s="9"/>
    </row>
    <row r="500" spans="1:15" ht="40" x14ac:dyDescent="0.2">
      <c r="A500" s="3">
        <v>496</v>
      </c>
      <c r="B500" s="19" t="s">
        <v>2603</v>
      </c>
      <c r="C500" s="4" t="s">
        <v>2604</v>
      </c>
      <c r="D500" s="4" t="s">
        <v>1616</v>
      </c>
      <c r="E500" s="4"/>
      <c r="F500" s="8"/>
      <c r="G500" s="8"/>
      <c r="H500" s="8"/>
      <c r="I500" s="8"/>
      <c r="J500" s="8"/>
      <c r="K500" s="8">
        <v>600</v>
      </c>
      <c r="L500" s="18">
        <v>539.28</v>
      </c>
      <c r="M500" s="7">
        <f t="shared" si="7"/>
        <v>323568</v>
      </c>
      <c r="N500" s="4"/>
      <c r="O500" s="9"/>
    </row>
    <row r="501" spans="1:15" ht="20" x14ac:dyDescent="0.2">
      <c r="A501" s="3">
        <v>497</v>
      </c>
      <c r="B501" s="19" t="s">
        <v>2605</v>
      </c>
      <c r="C501" s="4" t="s">
        <v>2606</v>
      </c>
      <c r="D501" s="4" t="s">
        <v>1616</v>
      </c>
      <c r="E501" s="4"/>
      <c r="F501" s="8"/>
      <c r="G501" s="8"/>
      <c r="H501" s="8"/>
      <c r="I501" s="8"/>
      <c r="J501" s="8"/>
      <c r="K501" s="8">
        <v>900</v>
      </c>
      <c r="L501" s="18">
        <v>362</v>
      </c>
      <c r="M501" s="7">
        <f t="shared" si="7"/>
        <v>325800</v>
      </c>
      <c r="N501" s="4"/>
      <c r="O501" s="9"/>
    </row>
    <row r="502" spans="1:15" ht="20" x14ac:dyDescent="0.2">
      <c r="A502" s="3">
        <v>498</v>
      </c>
      <c r="B502" s="19" t="s">
        <v>2607</v>
      </c>
      <c r="C502" s="4" t="s">
        <v>2608</v>
      </c>
      <c r="D502" s="4" t="s">
        <v>1616</v>
      </c>
      <c r="E502" s="4"/>
      <c r="F502" s="8"/>
      <c r="G502" s="8"/>
      <c r="H502" s="8"/>
      <c r="I502" s="8"/>
      <c r="J502" s="8"/>
      <c r="K502" s="8">
        <v>1000</v>
      </c>
      <c r="L502" s="18">
        <v>330</v>
      </c>
      <c r="M502" s="7">
        <f t="shared" si="7"/>
        <v>330000</v>
      </c>
      <c r="N502" s="4"/>
      <c r="O502" s="9"/>
    </row>
    <row r="503" spans="1:15" ht="20" x14ac:dyDescent="0.2">
      <c r="A503" s="3">
        <v>499</v>
      </c>
      <c r="B503" s="19" t="s">
        <v>2609</v>
      </c>
      <c r="C503" s="4" t="s">
        <v>2610</v>
      </c>
      <c r="D503" s="4" t="s">
        <v>1616</v>
      </c>
      <c r="E503" s="4"/>
      <c r="F503" s="8"/>
      <c r="G503" s="8"/>
      <c r="H503" s="8"/>
      <c r="I503" s="8"/>
      <c r="J503" s="8"/>
      <c r="K503" s="8">
        <v>5300</v>
      </c>
      <c r="L503" s="18">
        <v>62.5</v>
      </c>
      <c r="M503" s="7">
        <f t="shared" si="7"/>
        <v>331250</v>
      </c>
      <c r="N503" s="4"/>
      <c r="O503" s="9"/>
    </row>
    <row r="504" spans="1:15" ht="20" x14ac:dyDescent="0.2">
      <c r="A504" s="3">
        <v>500</v>
      </c>
      <c r="B504" s="19" t="s">
        <v>2611</v>
      </c>
      <c r="C504" s="4" t="s">
        <v>2612</v>
      </c>
      <c r="D504" s="4" t="s">
        <v>1616</v>
      </c>
      <c r="E504" s="4"/>
      <c r="F504" s="8"/>
      <c r="G504" s="8"/>
      <c r="H504" s="8"/>
      <c r="I504" s="8"/>
      <c r="J504" s="8"/>
      <c r="K504" s="8">
        <v>600</v>
      </c>
      <c r="L504" s="18">
        <v>555</v>
      </c>
      <c r="M504" s="7">
        <f t="shared" si="7"/>
        <v>333000</v>
      </c>
      <c r="N504" s="4"/>
      <c r="O504" s="9"/>
    </row>
    <row r="505" spans="1:15" ht="20" x14ac:dyDescent="0.2">
      <c r="A505" s="3">
        <v>501</v>
      </c>
      <c r="B505" s="19" t="s">
        <v>2613</v>
      </c>
      <c r="C505" s="4" t="s">
        <v>2614</v>
      </c>
      <c r="D505" s="4" t="s">
        <v>1616</v>
      </c>
      <c r="E505" s="4"/>
      <c r="F505" s="8"/>
      <c r="G505" s="8"/>
      <c r="H505" s="8"/>
      <c r="I505" s="8"/>
      <c r="J505" s="8"/>
      <c r="K505" s="8">
        <v>400</v>
      </c>
      <c r="L505" s="18">
        <v>834.6</v>
      </c>
      <c r="M505" s="7">
        <f t="shared" si="7"/>
        <v>333840</v>
      </c>
      <c r="N505" s="4"/>
      <c r="O505" s="9"/>
    </row>
    <row r="506" spans="1:15" ht="20" x14ac:dyDescent="0.2">
      <c r="A506" s="3">
        <v>502</v>
      </c>
      <c r="B506" s="19" t="s">
        <v>2615</v>
      </c>
      <c r="C506" s="4" t="s">
        <v>2616</v>
      </c>
      <c r="D506" s="4" t="s">
        <v>1616</v>
      </c>
      <c r="E506" s="4"/>
      <c r="F506" s="8"/>
      <c r="G506" s="8"/>
      <c r="H506" s="8"/>
      <c r="I506" s="8"/>
      <c r="J506" s="8"/>
      <c r="K506" s="8">
        <v>2400</v>
      </c>
      <c r="L506" s="18">
        <v>140</v>
      </c>
      <c r="M506" s="7">
        <f t="shared" si="7"/>
        <v>336000</v>
      </c>
      <c r="N506" s="4"/>
      <c r="O506" s="9"/>
    </row>
    <row r="507" spans="1:15" ht="20" x14ac:dyDescent="0.2">
      <c r="A507" s="3">
        <v>503</v>
      </c>
      <c r="B507" s="19" t="s">
        <v>2617</v>
      </c>
      <c r="C507" s="4" t="s">
        <v>2618</v>
      </c>
      <c r="D507" s="4" t="s">
        <v>1616</v>
      </c>
      <c r="E507" s="4"/>
      <c r="F507" s="8"/>
      <c r="G507" s="8"/>
      <c r="H507" s="8"/>
      <c r="I507" s="8"/>
      <c r="J507" s="8"/>
      <c r="K507" s="8">
        <v>2400</v>
      </c>
      <c r="L507" s="18">
        <v>140</v>
      </c>
      <c r="M507" s="7">
        <f t="shared" si="7"/>
        <v>336000</v>
      </c>
      <c r="N507" s="4"/>
      <c r="O507" s="9"/>
    </row>
    <row r="508" spans="1:15" ht="20" x14ac:dyDescent="0.2">
      <c r="A508" s="3">
        <v>504</v>
      </c>
      <c r="B508" s="19" t="s">
        <v>2619</v>
      </c>
      <c r="C508" s="4" t="s">
        <v>2620</v>
      </c>
      <c r="D508" s="4" t="s">
        <v>1616</v>
      </c>
      <c r="E508" s="4"/>
      <c r="F508" s="8"/>
      <c r="G508" s="8"/>
      <c r="H508" s="8"/>
      <c r="I508" s="8"/>
      <c r="J508" s="8"/>
      <c r="K508" s="8">
        <v>21000</v>
      </c>
      <c r="L508" s="18">
        <v>16</v>
      </c>
      <c r="M508" s="7">
        <f t="shared" si="7"/>
        <v>336000</v>
      </c>
      <c r="N508" s="4"/>
      <c r="O508" s="9"/>
    </row>
    <row r="509" spans="1:15" ht="20" x14ac:dyDescent="0.2">
      <c r="A509" s="3">
        <v>505</v>
      </c>
      <c r="B509" s="19" t="s">
        <v>2621</v>
      </c>
      <c r="C509" s="4" t="s">
        <v>2622</v>
      </c>
      <c r="D509" s="4" t="s">
        <v>1616</v>
      </c>
      <c r="E509" s="4"/>
      <c r="F509" s="8"/>
      <c r="G509" s="8"/>
      <c r="H509" s="8"/>
      <c r="I509" s="8"/>
      <c r="J509" s="8"/>
      <c r="K509" s="8">
        <v>1533</v>
      </c>
      <c r="L509" s="18">
        <v>220</v>
      </c>
      <c r="M509" s="7">
        <f t="shared" si="7"/>
        <v>337260</v>
      </c>
      <c r="N509" s="4"/>
      <c r="O509" s="9"/>
    </row>
    <row r="510" spans="1:15" ht="20" x14ac:dyDescent="0.2">
      <c r="A510" s="3">
        <v>506</v>
      </c>
      <c r="B510" s="19" t="s">
        <v>2623</v>
      </c>
      <c r="C510" s="4" t="s">
        <v>2624</v>
      </c>
      <c r="D510" s="4" t="s">
        <v>1616</v>
      </c>
      <c r="E510" s="4"/>
      <c r="F510" s="8"/>
      <c r="G510" s="8"/>
      <c r="H510" s="8"/>
      <c r="I510" s="8"/>
      <c r="J510" s="8"/>
      <c r="K510" s="8">
        <v>800</v>
      </c>
      <c r="L510" s="18">
        <v>422.65</v>
      </c>
      <c r="M510" s="7">
        <f t="shared" si="7"/>
        <v>338120</v>
      </c>
      <c r="N510" s="4"/>
      <c r="O510" s="9"/>
    </row>
    <row r="511" spans="1:15" ht="20" x14ac:dyDescent="0.2">
      <c r="A511" s="3">
        <v>507</v>
      </c>
      <c r="B511" s="19" t="s">
        <v>2625</v>
      </c>
      <c r="C511" s="4" t="s">
        <v>2626</v>
      </c>
      <c r="D511" s="4" t="s">
        <v>1616</v>
      </c>
      <c r="E511" s="4"/>
      <c r="F511" s="8"/>
      <c r="G511" s="8"/>
      <c r="H511" s="8"/>
      <c r="I511" s="8"/>
      <c r="J511" s="8"/>
      <c r="K511" s="8">
        <v>744</v>
      </c>
      <c r="L511" s="18">
        <v>459.03</v>
      </c>
      <c r="M511" s="7">
        <f t="shared" si="7"/>
        <v>341518.32</v>
      </c>
      <c r="N511" s="4"/>
      <c r="O511" s="9"/>
    </row>
    <row r="512" spans="1:15" ht="20" x14ac:dyDescent="0.2">
      <c r="A512" s="3">
        <v>508</v>
      </c>
      <c r="B512" s="19" t="s">
        <v>2627</v>
      </c>
      <c r="C512" s="4" t="s">
        <v>2628</v>
      </c>
      <c r="D512" s="4" t="s">
        <v>1616</v>
      </c>
      <c r="E512" s="4"/>
      <c r="F512" s="8"/>
      <c r="G512" s="8"/>
      <c r="H512" s="8"/>
      <c r="I512" s="8"/>
      <c r="J512" s="8"/>
      <c r="K512" s="8">
        <v>2000</v>
      </c>
      <c r="L512" s="18">
        <v>171.2</v>
      </c>
      <c r="M512" s="7">
        <f t="shared" si="7"/>
        <v>342400</v>
      </c>
      <c r="N512" s="4"/>
      <c r="O512" s="9"/>
    </row>
    <row r="513" spans="1:15" ht="20" x14ac:dyDescent="0.2">
      <c r="A513" s="3">
        <v>509</v>
      </c>
      <c r="B513" s="19" t="s">
        <v>2629</v>
      </c>
      <c r="C513" s="4" t="s">
        <v>2630</v>
      </c>
      <c r="D513" s="4" t="s">
        <v>1616</v>
      </c>
      <c r="E513" s="4"/>
      <c r="F513" s="8"/>
      <c r="G513" s="8"/>
      <c r="H513" s="8"/>
      <c r="I513" s="8"/>
      <c r="J513" s="8"/>
      <c r="K513" s="8">
        <v>120</v>
      </c>
      <c r="L513" s="18">
        <v>2899.7</v>
      </c>
      <c r="M513" s="7">
        <f t="shared" si="7"/>
        <v>347964</v>
      </c>
      <c r="N513" s="4"/>
      <c r="O513" s="9"/>
    </row>
    <row r="514" spans="1:15" ht="20" x14ac:dyDescent="0.2">
      <c r="A514" s="3">
        <v>510</v>
      </c>
      <c r="B514" s="19" t="s">
        <v>2631</v>
      </c>
      <c r="C514" s="4" t="s">
        <v>2632</v>
      </c>
      <c r="D514" s="4" t="s">
        <v>1616</v>
      </c>
      <c r="E514" s="4"/>
      <c r="F514" s="8"/>
      <c r="G514" s="8"/>
      <c r="H514" s="8"/>
      <c r="I514" s="8"/>
      <c r="J514" s="8"/>
      <c r="K514" s="8">
        <v>600</v>
      </c>
      <c r="L514" s="18">
        <v>583.15</v>
      </c>
      <c r="M514" s="7">
        <f t="shared" si="7"/>
        <v>349890</v>
      </c>
      <c r="N514" s="4"/>
      <c r="O514" s="9"/>
    </row>
    <row r="515" spans="1:15" ht="20" x14ac:dyDescent="0.2">
      <c r="A515" s="3">
        <v>511</v>
      </c>
      <c r="B515" s="19" t="s">
        <v>2633</v>
      </c>
      <c r="C515" s="4" t="s">
        <v>2634</v>
      </c>
      <c r="D515" s="4" t="s">
        <v>1616</v>
      </c>
      <c r="E515" s="4"/>
      <c r="F515" s="8"/>
      <c r="G515" s="8"/>
      <c r="H515" s="8"/>
      <c r="I515" s="8"/>
      <c r="J515" s="8"/>
      <c r="K515" s="8">
        <v>1000</v>
      </c>
      <c r="L515" s="18">
        <v>349.89</v>
      </c>
      <c r="M515" s="7">
        <f t="shared" si="7"/>
        <v>349890</v>
      </c>
      <c r="N515" s="4"/>
      <c r="O515" s="9"/>
    </row>
    <row r="516" spans="1:15" ht="20" x14ac:dyDescent="0.2">
      <c r="A516" s="3">
        <v>512</v>
      </c>
      <c r="B516" s="19" t="s">
        <v>2635</v>
      </c>
      <c r="C516" s="4" t="s">
        <v>2636</v>
      </c>
      <c r="D516" s="4" t="s">
        <v>1616</v>
      </c>
      <c r="E516" s="4"/>
      <c r="F516" s="8"/>
      <c r="G516" s="8"/>
      <c r="H516" s="8"/>
      <c r="I516" s="8"/>
      <c r="J516" s="8"/>
      <c r="K516" s="8">
        <v>22000</v>
      </c>
      <c r="L516" s="18">
        <v>16</v>
      </c>
      <c r="M516" s="7">
        <f t="shared" si="7"/>
        <v>352000</v>
      </c>
      <c r="N516" s="4"/>
      <c r="O516" s="9"/>
    </row>
    <row r="517" spans="1:15" ht="40" x14ac:dyDescent="0.2">
      <c r="A517" s="3">
        <v>513</v>
      </c>
      <c r="B517" s="19" t="s">
        <v>2637</v>
      </c>
      <c r="C517" s="4" t="s">
        <v>2638</v>
      </c>
      <c r="D517" s="4" t="s">
        <v>1616</v>
      </c>
      <c r="E517" s="4"/>
      <c r="F517" s="8"/>
      <c r="G517" s="8"/>
      <c r="H517" s="8"/>
      <c r="I517" s="8"/>
      <c r="J517" s="8"/>
      <c r="K517" s="8">
        <v>900</v>
      </c>
      <c r="L517" s="18">
        <v>393</v>
      </c>
      <c r="M517" s="7">
        <f t="shared" ref="M517:M580" si="8">IF(OR(K517="",L517=""),"",K517*L517)</f>
        <v>353700</v>
      </c>
      <c r="N517" s="4"/>
      <c r="O517" s="9"/>
    </row>
    <row r="518" spans="1:15" ht="20" x14ac:dyDescent="0.2">
      <c r="A518" s="3">
        <v>514</v>
      </c>
      <c r="B518" s="19" t="s">
        <v>2639</v>
      </c>
      <c r="C518" s="4" t="s">
        <v>2640</v>
      </c>
      <c r="D518" s="4" t="s">
        <v>1616</v>
      </c>
      <c r="E518" s="4"/>
      <c r="F518" s="8"/>
      <c r="G518" s="8"/>
      <c r="H518" s="8"/>
      <c r="I518" s="8"/>
      <c r="J518" s="8"/>
      <c r="K518" s="8">
        <v>2200</v>
      </c>
      <c r="L518" s="18">
        <v>162</v>
      </c>
      <c r="M518" s="7">
        <f t="shared" si="8"/>
        <v>356400</v>
      </c>
      <c r="N518" s="4"/>
      <c r="O518" s="9"/>
    </row>
    <row r="519" spans="1:15" ht="20" x14ac:dyDescent="0.2">
      <c r="A519" s="3">
        <v>515</v>
      </c>
      <c r="B519" s="19" t="s">
        <v>2641</v>
      </c>
      <c r="C519" s="4" t="s">
        <v>2642</v>
      </c>
      <c r="D519" s="4" t="s">
        <v>1616</v>
      </c>
      <c r="E519" s="4"/>
      <c r="F519" s="8"/>
      <c r="G519" s="8"/>
      <c r="H519" s="8"/>
      <c r="I519" s="8"/>
      <c r="J519" s="8"/>
      <c r="K519" s="8">
        <v>4200</v>
      </c>
      <c r="L519" s="18">
        <v>85.6</v>
      </c>
      <c r="M519" s="7">
        <f t="shared" si="8"/>
        <v>359520</v>
      </c>
      <c r="N519" s="4"/>
      <c r="O519" s="9"/>
    </row>
    <row r="520" spans="1:15" ht="20" x14ac:dyDescent="0.2">
      <c r="A520" s="3">
        <v>516</v>
      </c>
      <c r="B520" s="19" t="s">
        <v>2643</v>
      </c>
      <c r="C520" s="4" t="s">
        <v>2644</v>
      </c>
      <c r="D520" s="4" t="s">
        <v>1616</v>
      </c>
      <c r="E520" s="4"/>
      <c r="F520" s="8"/>
      <c r="G520" s="8"/>
      <c r="H520" s="8"/>
      <c r="I520" s="8"/>
      <c r="J520" s="8"/>
      <c r="K520" s="8">
        <v>30000</v>
      </c>
      <c r="L520" s="18">
        <v>12</v>
      </c>
      <c r="M520" s="7">
        <f t="shared" si="8"/>
        <v>360000</v>
      </c>
      <c r="N520" s="4"/>
      <c r="O520" s="9"/>
    </row>
    <row r="521" spans="1:15" ht="20" x14ac:dyDescent="0.2">
      <c r="A521" s="3">
        <v>517</v>
      </c>
      <c r="B521" s="19" t="s">
        <v>2645</v>
      </c>
      <c r="C521" s="4" t="s">
        <v>2646</v>
      </c>
      <c r="D521" s="4" t="s">
        <v>1616</v>
      </c>
      <c r="E521" s="4"/>
      <c r="F521" s="8"/>
      <c r="G521" s="8"/>
      <c r="H521" s="8"/>
      <c r="I521" s="8"/>
      <c r="J521" s="8"/>
      <c r="K521" s="8">
        <v>7000</v>
      </c>
      <c r="L521" s="18">
        <v>52</v>
      </c>
      <c r="M521" s="7">
        <f t="shared" si="8"/>
        <v>364000</v>
      </c>
      <c r="N521" s="4"/>
      <c r="O521" s="9"/>
    </row>
    <row r="522" spans="1:15" ht="20" x14ac:dyDescent="0.2">
      <c r="A522" s="3">
        <v>518</v>
      </c>
      <c r="B522" s="19" t="s">
        <v>2647</v>
      </c>
      <c r="C522" s="4" t="s">
        <v>2648</v>
      </c>
      <c r="D522" s="4" t="s">
        <v>1616</v>
      </c>
      <c r="E522" s="4"/>
      <c r="F522" s="8"/>
      <c r="G522" s="8"/>
      <c r="H522" s="8"/>
      <c r="I522" s="8"/>
      <c r="J522" s="8"/>
      <c r="K522" s="8">
        <v>800</v>
      </c>
      <c r="L522" s="18">
        <v>460</v>
      </c>
      <c r="M522" s="7">
        <f t="shared" si="8"/>
        <v>368000</v>
      </c>
      <c r="N522" s="4"/>
      <c r="O522" s="9"/>
    </row>
    <row r="523" spans="1:15" ht="20" x14ac:dyDescent="0.2">
      <c r="A523" s="3">
        <v>519</v>
      </c>
      <c r="B523" s="19" t="s">
        <v>2649</v>
      </c>
      <c r="C523" s="4" t="s">
        <v>2650</v>
      </c>
      <c r="D523" s="4" t="s">
        <v>1616</v>
      </c>
      <c r="E523" s="4"/>
      <c r="F523" s="8"/>
      <c r="G523" s="8"/>
      <c r="H523" s="8"/>
      <c r="I523" s="8"/>
      <c r="J523" s="8"/>
      <c r="K523" s="8">
        <v>400</v>
      </c>
      <c r="L523" s="18">
        <v>924.48</v>
      </c>
      <c r="M523" s="7">
        <f t="shared" si="8"/>
        <v>369792</v>
      </c>
      <c r="N523" s="4"/>
      <c r="O523" s="9"/>
    </row>
    <row r="524" spans="1:15" ht="20" x14ac:dyDescent="0.2">
      <c r="A524" s="3">
        <v>520</v>
      </c>
      <c r="B524" s="19" t="s">
        <v>2651</v>
      </c>
      <c r="C524" s="4" t="s">
        <v>2652</v>
      </c>
      <c r="D524" s="4" t="s">
        <v>1616</v>
      </c>
      <c r="E524" s="4"/>
      <c r="F524" s="8"/>
      <c r="G524" s="8"/>
      <c r="H524" s="8"/>
      <c r="I524" s="8"/>
      <c r="J524" s="8"/>
      <c r="K524" s="8">
        <v>12000</v>
      </c>
      <c r="L524" s="18">
        <v>30.9</v>
      </c>
      <c r="M524" s="7">
        <f t="shared" si="8"/>
        <v>370800</v>
      </c>
      <c r="N524" s="4"/>
      <c r="O524" s="9"/>
    </row>
    <row r="525" spans="1:15" ht="20" x14ac:dyDescent="0.2">
      <c r="A525" s="3">
        <v>521</v>
      </c>
      <c r="B525" s="19" t="s">
        <v>2653</v>
      </c>
      <c r="C525" s="4" t="s">
        <v>2654</v>
      </c>
      <c r="D525" s="4" t="s">
        <v>1616</v>
      </c>
      <c r="E525" s="4"/>
      <c r="F525" s="8"/>
      <c r="G525" s="8"/>
      <c r="H525" s="8"/>
      <c r="I525" s="8"/>
      <c r="J525" s="8"/>
      <c r="K525" s="8">
        <v>20000</v>
      </c>
      <c r="L525" s="18">
        <v>18.690000000000001</v>
      </c>
      <c r="M525" s="7">
        <f t="shared" si="8"/>
        <v>373800</v>
      </c>
      <c r="N525" s="4"/>
      <c r="O525" s="9"/>
    </row>
    <row r="526" spans="1:15" ht="20" x14ac:dyDescent="0.2">
      <c r="A526" s="3">
        <v>522</v>
      </c>
      <c r="B526" s="19" t="s">
        <v>2655</v>
      </c>
      <c r="C526" s="4" t="s">
        <v>2656</v>
      </c>
      <c r="D526" s="4" t="s">
        <v>1616</v>
      </c>
      <c r="E526" s="4"/>
      <c r="F526" s="8"/>
      <c r="G526" s="8"/>
      <c r="H526" s="8"/>
      <c r="I526" s="8"/>
      <c r="J526" s="8"/>
      <c r="K526" s="8">
        <v>520</v>
      </c>
      <c r="L526" s="18">
        <v>720.1</v>
      </c>
      <c r="M526" s="7">
        <f t="shared" si="8"/>
        <v>374452</v>
      </c>
      <c r="N526" s="4"/>
      <c r="O526" s="9"/>
    </row>
    <row r="527" spans="1:15" ht="20" x14ac:dyDescent="0.2">
      <c r="A527" s="3">
        <v>523</v>
      </c>
      <c r="B527" s="19" t="s">
        <v>2657</v>
      </c>
      <c r="C527" s="4" t="s">
        <v>2658</v>
      </c>
      <c r="D527" s="4" t="s">
        <v>1616</v>
      </c>
      <c r="E527" s="4"/>
      <c r="F527" s="8"/>
      <c r="G527" s="8"/>
      <c r="H527" s="8"/>
      <c r="I527" s="8"/>
      <c r="J527" s="8"/>
      <c r="K527" s="8">
        <v>2800</v>
      </c>
      <c r="L527" s="18">
        <v>133.75</v>
      </c>
      <c r="M527" s="7">
        <f t="shared" si="8"/>
        <v>374500</v>
      </c>
      <c r="N527" s="4"/>
      <c r="O527" s="9"/>
    </row>
    <row r="528" spans="1:15" ht="20" x14ac:dyDescent="0.2">
      <c r="A528" s="3">
        <v>524</v>
      </c>
      <c r="B528" s="19" t="s">
        <v>2659</v>
      </c>
      <c r="C528" s="4" t="s">
        <v>2660</v>
      </c>
      <c r="D528" s="4" t="s">
        <v>1616</v>
      </c>
      <c r="E528" s="4"/>
      <c r="F528" s="8"/>
      <c r="G528" s="8"/>
      <c r="H528" s="8"/>
      <c r="I528" s="8"/>
      <c r="J528" s="8"/>
      <c r="K528" s="8">
        <v>200</v>
      </c>
      <c r="L528" s="18">
        <v>1880</v>
      </c>
      <c r="M528" s="7">
        <f t="shared" si="8"/>
        <v>376000</v>
      </c>
      <c r="N528" s="4"/>
      <c r="O528" s="9"/>
    </row>
    <row r="529" spans="1:15" ht="20" x14ac:dyDescent="0.2">
      <c r="A529" s="3">
        <v>525</v>
      </c>
      <c r="B529" s="19" t="s">
        <v>2661</v>
      </c>
      <c r="C529" s="4" t="s">
        <v>2662</v>
      </c>
      <c r="D529" s="4" t="s">
        <v>1616</v>
      </c>
      <c r="E529" s="4"/>
      <c r="F529" s="8"/>
      <c r="G529" s="8"/>
      <c r="H529" s="8"/>
      <c r="I529" s="8"/>
      <c r="J529" s="8"/>
      <c r="K529" s="8">
        <v>400</v>
      </c>
      <c r="L529" s="18">
        <v>946.95</v>
      </c>
      <c r="M529" s="7">
        <f t="shared" si="8"/>
        <v>378780</v>
      </c>
      <c r="N529" s="4"/>
      <c r="O529" s="9"/>
    </row>
    <row r="530" spans="1:15" ht="20" x14ac:dyDescent="0.2">
      <c r="A530" s="3">
        <v>526</v>
      </c>
      <c r="B530" s="19" t="s">
        <v>2663</v>
      </c>
      <c r="C530" s="4" t="s">
        <v>2664</v>
      </c>
      <c r="D530" s="4" t="s">
        <v>1616</v>
      </c>
      <c r="E530" s="4"/>
      <c r="F530" s="8"/>
      <c r="G530" s="8"/>
      <c r="H530" s="8"/>
      <c r="I530" s="8"/>
      <c r="J530" s="8"/>
      <c r="K530" s="8">
        <v>2000</v>
      </c>
      <c r="L530" s="18">
        <v>190.46</v>
      </c>
      <c r="M530" s="7">
        <f t="shared" si="8"/>
        <v>380920</v>
      </c>
      <c r="N530" s="4"/>
      <c r="O530" s="9"/>
    </row>
    <row r="531" spans="1:15" ht="20" x14ac:dyDescent="0.2">
      <c r="A531" s="3">
        <v>527</v>
      </c>
      <c r="B531" s="19" t="s">
        <v>2665</v>
      </c>
      <c r="C531" s="4" t="s">
        <v>2666</v>
      </c>
      <c r="D531" s="4" t="s">
        <v>1616</v>
      </c>
      <c r="E531" s="4"/>
      <c r="F531" s="8"/>
      <c r="G531" s="8"/>
      <c r="H531" s="8"/>
      <c r="I531" s="8"/>
      <c r="J531" s="8"/>
      <c r="K531" s="8">
        <v>480</v>
      </c>
      <c r="L531" s="18">
        <v>800</v>
      </c>
      <c r="M531" s="7">
        <f t="shared" si="8"/>
        <v>384000</v>
      </c>
      <c r="N531" s="4"/>
      <c r="O531" s="9"/>
    </row>
    <row r="532" spans="1:15" ht="20" x14ac:dyDescent="0.2">
      <c r="A532" s="3">
        <v>528</v>
      </c>
      <c r="B532" s="19" t="s">
        <v>2667</v>
      </c>
      <c r="C532" s="4" t="s">
        <v>2668</v>
      </c>
      <c r="D532" s="4" t="s">
        <v>1616</v>
      </c>
      <c r="E532" s="4"/>
      <c r="F532" s="8"/>
      <c r="G532" s="8"/>
      <c r="H532" s="8"/>
      <c r="I532" s="8"/>
      <c r="J532" s="8"/>
      <c r="K532" s="8">
        <v>32000</v>
      </c>
      <c r="L532" s="18">
        <v>12</v>
      </c>
      <c r="M532" s="7">
        <f t="shared" si="8"/>
        <v>384000</v>
      </c>
      <c r="N532" s="4"/>
      <c r="O532" s="9"/>
    </row>
    <row r="533" spans="1:15" ht="20" x14ac:dyDescent="0.2">
      <c r="A533" s="3">
        <v>529</v>
      </c>
      <c r="B533" s="19" t="s">
        <v>2669</v>
      </c>
      <c r="C533" s="4" t="s">
        <v>2670</v>
      </c>
      <c r="D533" s="4" t="s">
        <v>1616</v>
      </c>
      <c r="E533" s="4"/>
      <c r="F533" s="8"/>
      <c r="G533" s="8"/>
      <c r="H533" s="8"/>
      <c r="I533" s="8"/>
      <c r="J533" s="8"/>
      <c r="K533" s="8">
        <v>1100</v>
      </c>
      <c r="L533" s="18">
        <v>350</v>
      </c>
      <c r="M533" s="7">
        <f t="shared" si="8"/>
        <v>385000</v>
      </c>
      <c r="N533" s="4"/>
      <c r="O533" s="9"/>
    </row>
    <row r="534" spans="1:15" ht="20" x14ac:dyDescent="0.2">
      <c r="A534" s="3">
        <v>530</v>
      </c>
      <c r="B534" s="19" t="s">
        <v>2671</v>
      </c>
      <c r="C534" s="4" t="s">
        <v>2672</v>
      </c>
      <c r="D534" s="4" t="s">
        <v>1616</v>
      </c>
      <c r="E534" s="4"/>
      <c r="F534" s="8"/>
      <c r="G534" s="8"/>
      <c r="H534" s="8"/>
      <c r="I534" s="8"/>
      <c r="J534" s="8"/>
      <c r="K534" s="8">
        <v>9000</v>
      </c>
      <c r="L534" s="18">
        <v>42.8</v>
      </c>
      <c r="M534" s="7">
        <f t="shared" si="8"/>
        <v>385200</v>
      </c>
      <c r="N534" s="4"/>
      <c r="O534" s="9"/>
    </row>
    <row r="535" spans="1:15" ht="20" x14ac:dyDescent="0.2">
      <c r="A535" s="3">
        <v>531</v>
      </c>
      <c r="B535" s="19" t="s">
        <v>2673</v>
      </c>
      <c r="C535" s="4" t="s">
        <v>2674</v>
      </c>
      <c r="D535" s="4" t="s">
        <v>1616</v>
      </c>
      <c r="E535" s="4"/>
      <c r="F535" s="8"/>
      <c r="G535" s="8"/>
      <c r="H535" s="8"/>
      <c r="I535" s="8"/>
      <c r="J535" s="8"/>
      <c r="K535" s="8">
        <v>100</v>
      </c>
      <c r="L535" s="18">
        <v>3852</v>
      </c>
      <c r="M535" s="7">
        <f t="shared" si="8"/>
        <v>385200</v>
      </c>
      <c r="N535" s="4"/>
      <c r="O535" s="9"/>
    </row>
    <row r="536" spans="1:15" ht="20" x14ac:dyDescent="0.2">
      <c r="A536" s="3">
        <v>532</v>
      </c>
      <c r="B536" s="19" t="s">
        <v>2675</v>
      </c>
      <c r="C536" s="4" t="s">
        <v>2676</v>
      </c>
      <c r="D536" s="4" t="s">
        <v>1616</v>
      </c>
      <c r="E536" s="4"/>
      <c r="F536" s="8"/>
      <c r="G536" s="8"/>
      <c r="H536" s="8"/>
      <c r="I536" s="8"/>
      <c r="J536" s="8"/>
      <c r="K536" s="8">
        <v>1000</v>
      </c>
      <c r="L536" s="18">
        <v>388</v>
      </c>
      <c r="M536" s="7">
        <f t="shared" si="8"/>
        <v>388000</v>
      </c>
      <c r="N536" s="4"/>
      <c r="O536" s="9"/>
    </row>
    <row r="537" spans="1:15" ht="20" x14ac:dyDescent="0.2">
      <c r="A537" s="3">
        <v>533</v>
      </c>
      <c r="B537" s="19" t="s">
        <v>2677</v>
      </c>
      <c r="C537" s="4" t="s">
        <v>2678</v>
      </c>
      <c r="D537" s="4" t="s">
        <v>1616</v>
      </c>
      <c r="E537" s="4"/>
      <c r="F537" s="8"/>
      <c r="G537" s="8"/>
      <c r="H537" s="8"/>
      <c r="I537" s="8"/>
      <c r="J537" s="8"/>
      <c r="K537" s="8">
        <v>3000</v>
      </c>
      <c r="L537" s="18">
        <v>130</v>
      </c>
      <c r="M537" s="7">
        <f t="shared" si="8"/>
        <v>390000</v>
      </c>
      <c r="N537" s="4"/>
      <c r="O537" s="9"/>
    </row>
    <row r="538" spans="1:15" ht="20" x14ac:dyDescent="0.2">
      <c r="A538" s="3">
        <v>534</v>
      </c>
      <c r="B538" s="19" t="s">
        <v>2679</v>
      </c>
      <c r="C538" s="4" t="s">
        <v>2680</v>
      </c>
      <c r="D538" s="4" t="s">
        <v>1616</v>
      </c>
      <c r="E538" s="4"/>
      <c r="F538" s="8"/>
      <c r="G538" s="8"/>
      <c r="H538" s="8"/>
      <c r="I538" s="8"/>
      <c r="J538" s="8"/>
      <c r="K538" s="8">
        <v>400</v>
      </c>
      <c r="L538" s="18">
        <v>980</v>
      </c>
      <c r="M538" s="7">
        <f t="shared" si="8"/>
        <v>392000</v>
      </c>
      <c r="N538" s="4"/>
      <c r="O538" s="9"/>
    </row>
    <row r="539" spans="1:15" ht="20" x14ac:dyDescent="0.2">
      <c r="A539" s="3">
        <v>535</v>
      </c>
      <c r="B539" s="19" t="s">
        <v>2681</v>
      </c>
      <c r="C539" s="4" t="s">
        <v>2682</v>
      </c>
      <c r="D539" s="4" t="s">
        <v>1616</v>
      </c>
      <c r="E539" s="4"/>
      <c r="F539" s="8"/>
      <c r="G539" s="8"/>
      <c r="H539" s="8"/>
      <c r="I539" s="8"/>
      <c r="J539" s="8"/>
      <c r="K539" s="8">
        <v>1200</v>
      </c>
      <c r="L539" s="18">
        <v>328.49</v>
      </c>
      <c r="M539" s="7">
        <f t="shared" si="8"/>
        <v>394188</v>
      </c>
      <c r="N539" s="4"/>
      <c r="O539" s="9"/>
    </row>
    <row r="540" spans="1:15" ht="20" x14ac:dyDescent="0.2">
      <c r="A540" s="3">
        <v>536</v>
      </c>
      <c r="B540" s="19" t="s">
        <v>2683</v>
      </c>
      <c r="C540" s="4" t="s">
        <v>2684</v>
      </c>
      <c r="D540" s="4" t="s">
        <v>1616</v>
      </c>
      <c r="E540" s="4"/>
      <c r="F540" s="8"/>
      <c r="G540" s="8"/>
      <c r="H540" s="8"/>
      <c r="I540" s="8"/>
      <c r="J540" s="8"/>
      <c r="K540" s="8">
        <v>13200</v>
      </c>
      <c r="L540" s="18">
        <v>30</v>
      </c>
      <c r="M540" s="7">
        <f t="shared" si="8"/>
        <v>396000</v>
      </c>
      <c r="N540" s="4"/>
      <c r="O540" s="9"/>
    </row>
    <row r="541" spans="1:15" ht="20" x14ac:dyDescent="0.2">
      <c r="A541" s="3">
        <v>537</v>
      </c>
      <c r="B541" s="19" t="s">
        <v>2683</v>
      </c>
      <c r="C541" s="4" t="s">
        <v>2685</v>
      </c>
      <c r="D541" s="4" t="s">
        <v>1616</v>
      </c>
      <c r="E541" s="4"/>
      <c r="F541" s="8"/>
      <c r="G541" s="8"/>
      <c r="H541" s="8"/>
      <c r="I541" s="8"/>
      <c r="J541" s="8"/>
      <c r="K541" s="8">
        <v>13200</v>
      </c>
      <c r="L541" s="18">
        <v>30</v>
      </c>
      <c r="M541" s="7">
        <f t="shared" si="8"/>
        <v>396000</v>
      </c>
      <c r="N541" s="4"/>
      <c r="O541" s="9"/>
    </row>
    <row r="542" spans="1:15" ht="20" x14ac:dyDescent="0.2">
      <c r="A542" s="3">
        <v>538</v>
      </c>
      <c r="B542" s="19" t="s">
        <v>2686</v>
      </c>
      <c r="C542" s="4" t="s">
        <v>2687</v>
      </c>
      <c r="D542" s="4" t="s">
        <v>1616</v>
      </c>
      <c r="E542" s="4"/>
      <c r="F542" s="8"/>
      <c r="G542" s="8"/>
      <c r="H542" s="8"/>
      <c r="I542" s="8"/>
      <c r="J542" s="8"/>
      <c r="K542" s="8">
        <v>1600</v>
      </c>
      <c r="L542" s="18">
        <v>250</v>
      </c>
      <c r="M542" s="7">
        <f t="shared" si="8"/>
        <v>400000</v>
      </c>
      <c r="N542" s="4"/>
      <c r="O542" s="9"/>
    </row>
    <row r="543" spans="1:15" ht="20" x14ac:dyDescent="0.2">
      <c r="A543" s="3">
        <v>539</v>
      </c>
      <c r="B543" s="19" t="s">
        <v>2688</v>
      </c>
      <c r="C543" s="4" t="s">
        <v>2689</v>
      </c>
      <c r="D543" s="4" t="s">
        <v>1616</v>
      </c>
      <c r="E543" s="4"/>
      <c r="F543" s="8"/>
      <c r="G543" s="8"/>
      <c r="H543" s="8"/>
      <c r="I543" s="8"/>
      <c r="J543" s="8"/>
      <c r="K543" s="8">
        <v>2500</v>
      </c>
      <c r="L543" s="18">
        <v>160</v>
      </c>
      <c r="M543" s="7">
        <f t="shared" si="8"/>
        <v>400000</v>
      </c>
      <c r="N543" s="4"/>
      <c r="O543" s="9"/>
    </row>
    <row r="544" spans="1:15" ht="20" x14ac:dyDescent="0.2">
      <c r="A544" s="3">
        <v>540</v>
      </c>
      <c r="B544" s="19" t="s">
        <v>2690</v>
      </c>
      <c r="C544" s="4" t="s">
        <v>2691</v>
      </c>
      <c r="D544" s="4" t="s">
        <v>1616</v>
      </c>
      <c r="E544" s="4"/>
      <c r="F544" s="8"/>
      <c r="G544" s="8"/>
      <c r="H544" s="8"/>
      <c r="I544" s="8"/>
      <c r="J544" s="8"/>
      <c r="K544" s="8">
        <v>32000</v>
      </c>
      <c r="L544" s="18">
        <v>12.84</v>
      </c>
      <c r="M544" s="7">
        <f t="shared" si="8"/>
        <v>410880</v>
      </c>
      <c r="N544" s="4"/>
      <c r="O544" s="9"/>
    </row>
    <row r="545" spans="1:15" ht="20" x14ac:dyDescent="0.2">
      <c r="A545" s="3">
        <v>541</v>
      </c>
      <c r="B545" s="19" t="s">
        <v>2692</v>
      </c>
      <c r="C545" s="4" t="s">
        <v>2693</v>
      </c>
      <c r="D545" s="4" t="s">
        <v>1616</v>
      </c>
      <c r="E545" s="4"/>
      <c r="F545" s="8"/>
      <c r="G545" s="8"/>
      <c r="H545" s="8"/>
      <c r="I545" s="8"/>
      <c r="J545" s="8"/>
      <c r="K545" s="8">
        <v>250</v>
      </c>
      <c r="L545" s="18">
        <v>1650</v>
      </c>
      <c r="M545" s="7">
        <f t="shared" si="8"/>
        <v>412500</v>
      </c>
      <c r="N545" s="4"/>
      <c r="O545" s="9"/>
    </row>
    <row r="546" spans="1:15" ht="20" x14ac:dyDescent="0.2">
      <c r="A546" s="3">
        <v>542</v>
      </c>
      <c r="B546" s="19" t="s">
        <v>2694</v>
      </c>
      <c r="C546" s="4" t="s">
        <v>2695</v>
      </c>
      <c r="D546" s="4" t="s">
        <v>1616</v>
      </c>
      <c r="E546" s="4"/>
      <c r="F546" s="8"/>
      <c r="G546" s="8"/>
      <c r="H546" s="8"/>
      <c r="I546" s="8"/>
      <c r="J546" s="8"/>
      <c r="K546" s="8">
        <v>4200</v>
      </c>
      <c r="L546" s="18">
        <v>98.75</v>
      </c>
      <c r="M546" s="7">
        <f t="shared" si="8"/>
        <v>414750</v>
      </c>
      <c r="N546" s="4"/>
      <c r="O546" s="9"/>
    </row>
    <row r="547" spans="1:15" ht="20" x14ac:dyDescent="0.2">
      <c r="A547" s="3">
        <v>543</v>
      </c>
      <c r="B547" s="19" t="s">
        <v>2696</v>
      </c>
      <c r="C547" s="4" t="s">
        <v>2697</v>
      </c>
      <c r="D547" s="4" t="s">
        <v>1616</v>
      </c>
      <c r="E547" s="4"/>
      <c r="F547" s="8"/>
      <c r="G547" s="8"/>
      <c r="H547" s="8"/>
      <c r="I547" s="8"/>
      <c r="J547" s="8"/>
      <c r="K547" s="8">
        <v>10000</v>
      </c>
      <c r="L547" s="18">
        <v>42</v>
      </c>
      <c r="M547" s="7">
        <f t="shared" si="8"/>
        <v>420000</v>
      </c>
      <c r="N547" s="4"/>
      <c r="O547" s="9"/>
    </row>
    <row r="548" spans="1:15" ht="20" x14ac:dyDescent="0.2">
      <c r="A548" s="3">
        <v>544</v>
      </c>
      <c r="B548" s="19" t="s">
        <v>2698</v>
      </c>
      <c r="C548" s="4" t="s">
        <v>2699</v>
      </c>
      <c r="D548" s="4" t="s">
        <v>1616</v>
      </c>
      <c r="E548" s="4"/>
      <c r="F548" s="8"/>
      <c r="G548" s="8"/>
      <c r="H548" s="8"/>
      <c r="I548" s="8"/>
      <c r="J548" s="8"/>
      <c r="K548" s="8">
        <v>1200</v>
      </c>
      <c r="L548" s="18">
        <v>350</v>
      </c>
      <c r="M548" s="7">
        <f t="shared" si="8"/>
        <v>420000</v>
      </c>
      <c r="N548" s="4"/>
      <c r="O548" s="9"/>
    </row>
    <row r="549" spans="1:15" ht="20" x14ac:dyDescent="0.2">
      <c r="A549" s="3">
        <v>545</v>
      </c>
      <c r="B549" s="19" t="s">
        <v>2700</v>
      </c>
      <c r="C549" s="4" t="s">
        <v>2701</v>
      </c>
      <c r="D549" s="4" t="s">
        <v>1616</v>
      </c>
      <c r="E549" s="4"/>
      <c r="F549" s="8"/>
      <c r="G549" s="8"/>
      <c r="H549" s="8"/>
      <c r="I549" s="8"/>
      <c r="J549" s="8"/>
      <c r="K549" s="8">
        <v>240</v>
      </c>
      <c r="L549" s="18">
        <v>1750</v>
      </c>
      <c r="M549" s="7">
        <f t="shared" si="8"/>
        <v>420000</v>
      </c>
      <c r="N549" s="4"/>
      <c r="O549" s="9"/>
    </row>
    <row r="550" spans="1:15" ht="20" x14ac:dyDescent="0.2">
      <c r="A550" s="3">
        <v>546</v>
      </c>
      <c r="B550" s="19" t="s">
        <v>2702</v>
      </c>
      <c r="C550" s="4" t="s">
        <v>2703</v>
      </c>
      <c r="D550" s="4" t="s">
        <v>1616</v>
      </c>
      <c r="E550" s="4"/>
      <c r="F550" s="8"/>
      <c r="G550" s="8"/>
      <c r="H550" s="8"/>
      <c r="I550" s="8"/>
      <c r="J550" s="8"/>
      <c r="K550" s="8">
        <v>2000</v>
      </c>
      <c r="L550" s="18">
        <v>214</v>
      </c>
      <c r="M550" s="7">
        <f t="shared" si="8"/>
        <v>428000</v>
      </c>
      <c r="N550" s="4"/>
      <c r="O550" s="9"/>
    </row>
    <row r="551" spans="1:15" ht="20" x14ac:dyDescent="0.2">
      <c r="A551" s="3">
        <v>547</v>
      </c>
      <c r="B551" s="19" t="s">
        <v>2704</v>
      </c>
      <c r="C551" s="4" t="s">
        <v>2705</v>
      </c>
      <c r="D551" s="4" t="s">
        <v>1616</v>
      </c>
      <c r="E551" s="4"/>
      <c r="F551" s="8"/>
      <c r="G551" s="8"/>
      <c r="H551" s="8"/>
      <c r="I551" s="8"/>
      <c r="J551" s="8"/>
      <c r="K551" s="8">
        <v>2200</v>
      </c>
      <c r="L551" s="18">
        <v>195</v>
      </c>
      <c r="M551" s="7">
        <f t="shared" si="8"/>
        <v>429000</v>
      </c>
      <c r="N551" s="4"/>
      <c r="O551" s="9"/>
    </row>
    <row r="552" spans="1:15" ht="20" x14ac:dyDescent="0.2">
      <c r="A552" s="3">
        <v>548</v>
      </c>
      <c r="B552" s="19" t="s">
        <v>2706</v>
      </c>
      <c r="C552" s="4" t="s">
        <v>2707</v>
      </c>
      <c r="D552" s="4" t="s">
        <v>1616</v>
      </c>
      <c r="E552" s="4"/>
      <c r="F552" s="8"/>
      <c r="G552" s="8"/>
      <c r="H552" s="8"/>
      <c r="I552" s="8"/>
      <c r="J552" s="8"/>
      <c r="K552" s="8">
        <v>3600</v>
      </c>
      <c r="L552" s="18">
        <v>120</v>
      </c>
      <c r="M552" s="7">
        <f t="shared" si="8"/>
        <v>432000</v>
      </c>
      <c r="N552" s="4"/>
      <c r="O552" s="9"/>
    </row>
    <row r="553" spans="1:15" ht="20" x14ac:dyDescent="0.2">
      <c r="A553" s="3">
        <v>549</v>
      </c>
      <c r="B553" s="19" t="s">
        <v>2708</v>
      </c>
      <c r="C553" s="4" t="s">
        <v>2709</v>
      </c>
      <c r="D553" s="4" t="s">
        <v>1616</v>
      </c>
      <c r="E553" s="4"/>
      <c r="F553" s="8"/>
      <c r="G553" s="8"/>
      <c r="H553" s="8"/>
      <c r="I553" s="8"/>
      <c r="J553" s="8"/>
      <c r="K553" s="8">
        <v>650</v>
      </c>
      <c r="L553" s="18">
        <v>670</v>
      </c>
      <c r="M553" s="7">
        <f t="shared" si="8"/>
        <v>435500</v>
      </c>
      <c r="N553" s="4"/>
      <c r="O553" s="9"/>
    </row>
    <row r="554" spans="1:15" ht="20" x14ac:dyDescent="0.2">
      <c r="A554" s="3">
        <v>550</v>
      </c>
      <c r="B554" s="19" t="s">
        <v>2710</v>
      </c>
      <c r="C554" s="4" t="s">
        <v>2711</v>
      </c>
      <c r="D554" s="4" t="s">
        <v>1616</v>
      </c>
      <c r="E554" s="4"/>
      <c r="F554" s="8"/>
      <c r="G554" s="8"/>
      <c r="H554" s="8"/>
      <c r="I554" s="8"/>
      <c r="J554" s="8"/>
      <c r="K554" s="8">
        <v>16000</v>
      </c>
      <c r="L554" s="18">
        <v>27.5</v>
      </c>
      <c r="M554" s="7">
        <f t="shared" si="8"/>
        <v>440000</v>
      </c>
      <c r="N554" s="4"/>
      <c r="O554" s="9"/>
    </row>
    <row r="555" spans="1:15" ht="20" x14ac:dyDescent="0.2">
      <c r="A555" s="3">
        <v>551</v>
      </c>
      <c r="B555" s="19" t="s">
        <v>2712</v>
      </c>
      <c r="C555" s="4" t="s">
        <v>2713</v>
      </c>
      <c r="D555" s="4" t="s">
        <v>1616</v>
      </c>
      <c r="E555" s="4"/>
      <c r="F555" s="8"/>
      <c r="G555" s="8"/>
      <c r="H555" s="8"/>
      <c r="I555" s="8"/>
      <c r="J555" s="8"/>
      <c r="K555" s="8">
        <v>5200</v>
      </c>
      <c r="L555" s="18">
        <v>85</v>
      </c>
      <c r="M555" s="7">
        <f t="shared" si="8"/>
        <v>442000</v>
      </c>
      <c r="N555" s="4"/>
      <c r="O555" s="9"/>
    </row>
    <row r="556" spans="1:15" ht="20" x14ac:dyDescent="0.2">
      <c r="A556" s="3">
        <v>552</v>
      </c>
      <c r="B556" s="19" t="s">
        <v>2714</v>
      </c>
      <c r="C556" s="4" t="s">
        <v>2715</v>
      </c>
      <c r="D556" s="4" t="s">
        <v>1616</v>
      </c>
      <c r="E556" s="4"/>
      <c r="F556" s="8"/>
      <c r="G556" s="8"/>
      <c r="H556" s="8"/>
      <c r="I556" s="8"/>
      <c r="J556" s="8"/>
      <c r="K556" s="8">
        <v>560</v>
      </c>
      <c r="L556" s="18">
        <v>792.87</v>
      </c>
      <c r="M556" s="7">
        <f t="shared" si="8"/>
        <v>444007.2</v>
      </c>
      <c r="N556" s="4"/>
      <c r="O556" s="9"/>
    </row>
    <row r="557" spans="1:15" ht="20" x14ac:dyDescent="0.2">
      <c r="A557" s="3">
        <v>553</v>
      </c>
      <c r="B557" s="19" t="s">
        <v>2716</v>
      </c>
      <c r="C557" s="4" t="s">
        <v>2717</v>
      </c>
      <c r="D557" s="4" t="s">
        <v>1616</v>
      </c>
      <c r="E557" s="4"/>
      <c r="F557" s="8"/>
      <c r="G557" s="8"/>
      <c r="H557" s="8"/>
      <c r="I557" s="8"/>
      <c r="J557" s="8"/>
      <c r="K557" s="8">
        <v>8000</v>
      </c>
      <c r="L557" s="18">
        <v>55.64</v>
      </c>
      <c r="M557" s="7">
        <f t="shared" si="8"/>
        <v>445120</v>
      </c>
      <c r="N557" s="4"/>
      <c r="O557" s="9"/>
    </row>
    <row r="558" spans="1:15" ht="20" x14ac:dyDescent="0.2">
      <c r="A558" s="3">
        <v>554</v>
      </c>
      <c r="B558" s="19" t="s">
        <v>2718</v>
      </c>
      <c r="C558" s="4" t="s">
        <v>2719</v>
      </c>
      <c r="D558" s="4" t="s">
        <v>1616</v>
      </c>
      <c r="E558" s="4"/>
      <c r="F558" s="8"/>
      <c r="G558" s="8"/>
      <c r="H558" s="8"/>
      <c r="I558" s="8"/>
      <c r="J558" s="8"/>
      <c r="K558" s="8">
        <v>6000</v>
      </c>
      <c r="L558" s="18">
        <v>75</v>
      </c>
      <c r="M558" s="7">
        <f t="shared" si="8"/>
        <v>450000</v>
      </c>
      <c r="N558" s="4"/>
      <c r="O558" s="9"/>
    </row>
    <row r="559" spans="1:15" ht="20" x14ac:dyDescent="0.2">
      <c r="A559" s="3">
        <v>555</v>
      </c>
      <c r="B559" s="19" t="s">
        <v>2720</v>
      </c>
      <c r="C559" s="4" t="s">
        <v>2721</v>
      </c>
      <c r="D559" s="4" t="s">
        <v>1616</v>
      </c>
      <c r="E559" s="4"/>
      <c r="F559" s="8"/>
      <c r="G559" s="8"/>
      <c r="H559" s="8"/>
      <c r="I559" s="8"/>
      <c r="J559" s="8"/>
      <c r="K559" s="8">
        <v>1160</v>
      </c>
      <c r="L559" s="18">
        <v>395</v>
      </c>
      <c r="M559" s="7">
        <f t="shared" si="8"/>
        <v>458200</v>
      </c>
      <c r="N559" s="4"/>
      <c r="O559" s="9"/>
    </row>
    <row r="560" spans="1:15" ht="20" x14ac:dyDescent="0.2">
      <c r="A560" s="3">
        <v>556</v>
      </c>
      <c r="B560" s="19" t="s">
        <v>2722</v>
      </c>
      <c r="C560" s="4" t="s">
        <v>2723</v>
      </c>
      <c r="D560" s="4" t="s">
        <v>1616</v>
      </c>
      <c r="E560" s="4"/>
      <c r="F560" s="8"/>
      <c r="G560" s="8"/>
      <c r="H560" s="8"/>
      <c r="I560" s="8"/>
      <c r="J560" s="8"/>
      <c r="K560" s="8">
        <v>6600</v>
      </c>
      <c r="L560" s="18">
        <v>69.55</v>
      </c>
      <c r="M560" s="7">
        <f t="shared" si="8"/>
        <v>459030</v>
      </c>
      <c r="N560" s="4"/>
      <c r="O560" s="9"/>
    </row>
    <row r="561" spans="1:15" ht="20" x14ac:dyDescent="0.2">
      <c r="A561" s="3">
        <v>557</v>
      </c>
      <c r="B561" s="19" t="s">
        <v>2724</v>
      </c>
      <c r="C561" s="4" t="s">
        <v>2725</v>
      </c>
      <c r="D561" s="4" t="s">
        <v>1616</v>
      </c>
      <c r="E561" s="4"/>
      <c r="F561" s="8"/>
      <c r="G561" s="8"/>
      <c r="H561" s="8"/>
      <c r="I561" s="8"/>
      <c r="J561" s="8"/>
      <c r="K561" s="8">
        <v>24000</v>
      </c>
      <c r="L561" s="18">
        <v>19.260000000000002</v>
      </c>
      <c r="M561" s="7">
        <f t="shared" si="8"/>
        <v>462240.00000000006</v>
      </c>
      <c r="N561" s="4"/>
      <c r="O561" s="9"/>
    </row>
    <row r="562" spans="1:15" ht="40" x14ac:dyDescent="0.2">
      <c r="A562" s="3">
        <v>558</v>
      </c>
      <c r="B562" s="19" t="s">
        <v>2726</v>
      </c>
      <c r="C562" s="4" t="s">
        <v>2727</v>
      </c>
      <c r="D562" s="4" t="s">
        <v>1616</v>
      </c>
      <c r="E562" s="4"/>
      <c r="F562" s="8"/>
      <c r="G562" s="8"/>
      <c r="H562" s="8"/>
      <c r="I562" s="8"/>
      <c r="J562" s="8"/>
      <c r="K562" s="8">
        <v>12000</v>
      </c>
      <c r="L562" s="18">
        <v>38.520000000000003</v>
      </c>
      <c r="M562" s="7">
        <f t="shared" si="8"/>
        <v>462240.00000000006</v>
      </c>
      <c r="N562" s="4"/>
      <c r="O562" s="9"/>
    </row>
    <row r="563" spans="1:15" ht="20" x14ac:dyDescent="0.2">
      <c r="A563" s="3">
        <v>559</v>
      </c>
      <c r="B563" s="19" t="s">
        <v>2728</v>
      </c>
      <c r="C563" s="4" t="s">
        <v>2729</v>
      </c>
      <c r="D563" s="4" t="s">
        <v>1616</v>
      </c>
      <c r="E563" s="4"/>
      <c r="F563" s="8"/>
      <c r="G563" s="8"/>
      <c r="H563" s="8"/>
      <c r="I563" s="8"/>
      <c r="J563" s="8"/>
      <c r="K563" s="8">
        <v>3000</v>
      </c>
      <c r="L563" s="18">
        <v>155</v>
      </c>
      <c r="M563" s="7">
        <f t="shared" si="8"/>
        <v>465000</v>
      </c>
      <c r="N563" s="4"/>
      <c r="O563" s="9"/>
    </row>
    <row r="564" spans="1:15" ht="20" x14ac:dyDescent="0.2">
      <c r="A564" s="3">
        <v>560</v>
      </c>
      <c r="B564" s="19" t="s">
        <v>2730</v>
      </c>
      <c r="C564" s="4" t="s">
        <v>2731</v>
      </c>
      <c r="D564" s="4" t="s">
        <v>1616</v>
      </c>
      <c r="E564" s="4"/>
      <c r="F564" s="8"/>
      <c r="G564" s="8"/>
      <c r="H564" s="8"/>
      <c r="I564" s="8"/>
      <c r="J564" s="8"/>
      <c r="K564" s="8">
        <v>40</v>
      </c>
      <c r="L564" s="18">
        <v>11652.3</v>
      </c>
      <c r="M564" s="7">
        <f t="shared" si="8"/>
        <v>466092</v>
      </c>
      <c r="N564" s="4"/>
      <c r="O564" s="9"/>
    </row>
    <row r="565" spans="1:15" ht="20" x14ac:dyDescent="0.2">
      <c r="A565" s="3">
        <v>561</v>
      </c>
      <c r="B565" s="19" t="s">
        <v>2732</v>
      </c>
      <c r="C565" s="4" t="s">
        <v>2733</v>
      </c>
      <c r="D565" s="4" t="s">
        <v>1616</v>
      </c>
      <c r="E565" s="4"/>
      <c r="F565" s="8"/>
      <c r="G565" s="8"/>
      <c r="H565" s="8"/>
      <c r="I565" s="8"/>
      <c r="J565" s="8"/>
      <c r="K565" s="8">
        <v>1400</v>
      </c>
      <c r="L565" s="18">
        <v>335.98</v>
      </c>
      <c r="M565" s="7">
        <f t="shared" si="8"/>
        <v>470372</v>
      </c>
      <c r="N565" s="4"/>
      <c r="O565" s="9"/>
    </row>
    <row r="566" spans="1:15" ht="20" x14ac:dyDescent="0.2">
      <c r="A566" s="3">
        <v>562</v>
      </c>
      <c r="B566" s="19" t="s">
        <v>2734</v>
      </c>
      <c r="C566" s="4" t="s">
        <v>2735</v>
      </c>
      <c r="D566" s="4" t="s">
        <v>1616</v>
      </c>
      <c r="E566" s="4"/>
      <c r="F566" s="8"/>
      <c r="G566" s="8"/>
      <c r="H566" s="8"/>
      <c r="I566" s="8"/>
      <c r="J566" s="8"/>
      <c r="K566" s="8">
        <v>2200</v>
      </c>
      <c r="L566" s="18">
        <v>214</v>
      </c>
      <c r="M566" s="7">
        <f t="shared" si="8"/>
        <v>470800</v>
      </c>
      <c r="N566" s="4"/>
      <c r="O566" s="9"/>
    </row>
    <row r="567" spans="1:15" ht="20" x14ac:dyDescent="0.2">
      <c r="A567" s="3">
        <v>563</v>
      </c>
      <c r="B567" s="19" t="s">
        <v>2736</v>
      </c>
      <c r="C567" s="4" t="s">
        <v>2737</v>
      </c>
      <c r="D567" s="4" t="s">
        <v>1616</v>
      </c>
      <c r="E567" s="4"/>
      <c r="F567" s="8"/>
      <c r="G567" s="8"/>
      <c r="H567" s="8"/>
      <c r="I567" s="8"/>
      <c r="J567" s="8"/>
      <c r="K567" s="8">
        <v>80</v>
      </c>
      <c r="L567" s="18">
        <v>5885</v>
      </c>
      <c r="M567" s="7">
        <f t="shared" si="8"/>
        <v>470800</v>
      </c>
      <c r="N567" s="4"/>
      <c r="O567" s="9"/>
    </row>
    <row r="568" spans="1:15" ht="20" x14ac:dyDescent="0.2">
      <c r="A568" s="3">
        <v>564</v>
      </c>
      <c r="B568" s="19" t="s">
        <v>2738</v>
      </c>
      <c r="C568" s="4" t="s">
        <v>2739</v>
      </c>
      <c r="D568" s="4" t="s">
        <v>1616</v>
      </c>
      <c r="E568" s="4"/>
      <c r="F568" s="8"/>
      <c r="G568" s="8"/>
      <c r="H568" s="8"/>
      <c r="I568" s="8"/>
      <c r="J568" s="8"/>
      <c r="K568" s="8">
        <v>2400</v>
      </c>
      <c r="L568" s="18">
        <v>196.6</v>
      </c>
      <c r="M568" s="7">
        <f t="shared" si="8"/>
        <v>471840</v>
      </c>
      <c r="N568" s="4"/>
      <c r="O568" s="9"/>
    </row>
    <row r="569" spans="1:15" ht="40" x14ac:dyDescent="0.2">
      <c r="A569" s="3">
        <v>565</v>
      </c>
      <c r="B569" s="19" t="s">
        <v>2740</v>
      </c>
      <c r="C569" s="4" t="s">
        <v>2741</v>
      </c>
      <c r="D569" s="4" t="s">
        <v>1616</v>
      </c>
      <c r="E569" s="4"/>
      <c r="F569" s="8"/>
      <c r="G569" s="8"/>
      <c r="H569" s="8"/>
      <c r="I569" s="8"/>
      <c r="J569" s="8"/>
      <c r="K569" s="8">
        <v>300</v>
      </c>
      <c r="L569" s="18">
        <v>1582.53</v>
      </c>
      <c r="M569" s="7">
        <f t="shared" si="8"/>
        <v>474759</v>
      </c>
      <c r="N569" s="4"/>
      <c r="O569" s="9"/>
    </row>
    <row r="570" spans="1:15" ht="40" x14ac:dyDescent="0.2">
      <c r="A570" s="3">
        <v>566</v>
      </c>
      <c r="B570" s="19" t="s">
        <v>2742</v>
      </c>
      <c r="C570" s="4" t="s">
        <v>2743</v>
      </c>
      <c r="D570" s="4" t="s">
        <v>1616</v>
      </c>
      <c r="E570" s="4"/>
      <c r="F570" s="8"/>
      <c r="G570" s="8"/>
      <c r="H570" s="8"/>
      <c r="I570" s="8"/>
      <c r="J570" s="8"/>
      <c r="K570" s="8">
        <v>800</v>
      </c>
      <c r="L570" s="18">
        <v>595</v>
      </c>
      <c r="M570" s="7">
        <f t="shared" si="8"/>
        <v>476000</v>
      </c>
      <c r="N570" s="4"/>
      <c r="O570" s="9"/>
    </row>
    <row r="571" spans="1:15" ht="20" x14ac:dyDescent="0.2">
      <c r="A571" s="3">
        <v>567</v>
      </c>
      <c r="B571" s="19" t="s">
        <v>2744</v>
      </c>
      <c r="C571" s="4" t="s">
        <v>2745</v>
      </c>
      <c r="D571" s="4" t="s">
        <v>1616</v>
      </c>
      <c r="E571" s="4"/>
      <c r="F571" s="8"/>
      <c r="G571" s="8"/>
      <c r="H571" s="8"/>
      <c r="I571" s="8"/>
      <c r="J571" s="8"/>
      <c r="K571" s="8">
        <v>1500</v>
      </c>
      <c r="L571" s="18">
        <v>317.79000000000002</v>
      </c>
      <c r="M571" s="7">
        <f t="shared" si="8"/>
        <v>476685.00000000006</v>
      </c>
      <c r="N571" s="4"/>
      <c r="O571" s="9"/>
    </row>
    <row r="572" spans="1:15" ht="20" x14ac:dyDescent="0.2">
      <c r="A572" s="3">
        <v>568</v>
      </c>
      <c r="B572" s="19" t="s">
        <v>2746</v>
      </c>
      <c r="C572" s="4" t="s">
        <v>2747</v>
      </c>
      <c r="D572" s="4" t="s">
        <v>1616</v>
      </c>
      <c r="E572" s="4"/>
      <c r="F572" s="8"/>
      <c r="G572" s="8"/>
      <c r="H572" s="8"/>
      <c r="I572" s="8"/>
      <c r="J572" s="8"/>
      <c r="K572" s="8">
        <v>28000</v>
      </c>
      <c r="L572" s="18">
        <v>17.12</v>
      </c>
      <c r="M572" s="7">
        <f t="shared" si="8"/>
        <v>479360</v>
      </c>
      <c r="N572" s="4"/>
      <c r="O572" s="9"/>
    </row>
    <row r="573" spans="1:15" ht="20" x14ac:dyDescent="0.2">
      <c r="A573" s="3">
        <v>569</v>
      </c>
      <c r="B573" s="19" t="s">
        <v>2748</v>
      </c>
      <c r="C573" s="4" t="s">
        <v>2749</v>
      </c>
      <c r="D573" s="4" t="s">
        <v>1616</v>
      </c>
      <c r="E573" s="4"/>
      <c r="F573" s="8"/>
      <c r="G573" s="8"/>
      <c r="H573" s="8"/>
      <c r="I573" s="8"/>
      <c r="J573" s="8"/>
      <c r="K573" s="8">
        <v>1500</v>
      </c>
      <c r="L573" s="18">
        <v>320</v>
      </c>
      <c r="M573" s="7">
        <f t="shared" si="8"/>
        <v>480000</v>
      </c>
      <c r="N573" s="4"/>
      <c r="O573" s="9"/>
    </row>
    <row r="574" spans="1:15" ht="20" x14ac:dyDescent="0.2">
      <c r="A574" s="3">
        <v>570</v>
      </c>
      <c r="B574" s="19" t="s">
        <v>2750</v>
      </c>
      <c r="C574" s="4" t="s">
        <v>2751</v>
      </c>
      <c r="D574" s="4" t="s">
        <v>1616</v>
      </c>
      <c r="E574" s="4"/>
      <c r="F574" s="8"/>
      <c r="G574" s="8"/>
      <c r="H574" s="8"/>
      <c r="I574" s="8"/>
      <c r="J574" s="8"/>
      <c r="K574" s="8">
        <v>1600</v>
      </c>
      <c r="L574" s="18">
        <v>300</v>
      </c>
      <c r="M574" s="7">
        <f t="shared" si="8"/>
        <v>480000</v>
      </c>
      <c r="N574" s="4"/>
      <c r="O574" s="9"/>
    </row>
    <row r="575" spans="1:15" ht="20" x14ac:dyDescent="0.2">
      <c r="A575" s="3">
        <v>571</v>
      </c>
      <c r="B575" s="19" t="s">
        <v>2752</v>
      </c>
      <c r="C575" s="4" t="s">
        <v>2753</v>
      </c>
      <c r="D575" s="4" t="s">
        <v>1616</v>
      </c>
      <c r="E575" s="4"/>
      <c r="F575" s="8"/>
      <c r="G575" s="8"/>
      <c r="H575" s="8"/>
      <c r="I575" s="8"/>
      <c r="J575" s="8"/>
      <c r="K575" s="8">
        <v>4000</v>
      </c>
      <c r="L575" s="18">
        <v>120</v>
      </c>
      <c r="M575" s="7">
        <f t="shared" si="8"/>
        <v>480000</v>
      </c>
      <c r="N575" s="4"/>
      <c r="O575" s="9"/>
    </row>
    <row r="576" spans="1:15" ht="40" x14ac:dyDescent="0.2">
      <c r="A576" s="3">
        <v>572</v>
      </c>
      <c r="B576" s="19" t="s">
        <v>2754</v>
      </c>
      <c r="C576" s="4" t="s">
        <v>2755</v>
      </c>
      <c r="D576" s="4" t="s">
        <v>1616</v>
      </c>
      <c r="E576" s="4"/>
      <c r="F576" s="8"/>
      <c r="G576" s="8"/>
      <c r="H576" s="8"/>
      <c r="I576" s="8"/>
      <c r="J576" s="8"/>
      <c r="K576" s="8">
        <v>4800</v>
      </c>
      <c r="L576" s="18">
        <v>100.04</v>
      </c>
      <c r="M576" s="7">
        <f t="shared" si="8"/>
        <v>480192.00000000006</v>
      </c>
      <c r="N576" s="4"/>
      <c r="O576" s="9"/>
    </row>
    <row r="577" spans="1:15" ht="20" x14ac:dyDescent="0.2">
      <c r="A577" s="3">
        <v>573</v>
      </c>
      <c r="B577" s="19" t="s">
        <v>2756</v>
      </c>
      <c r="C577" s="4" t="s">
        <v>2757</v>
      </c>
      <c r="D577" s="4" t="s">
        <v>1616</v>
      </c>
      <c r="E577" s="4"/>
      <c r="F577" s="8"/>
      <c r="G577" s="8"/>
      <c r="H577" s="8"/>
      <c r="I577" s="8"/>
      <c r="J577" s="8"/>
      <c r="K577" s="8">
        <v>400</v>
      </c>
      <c r="L577" s="18">
        <v>1200.54</v>
      </c>
      <c r="M577" s="7">
        <f t="shared" si="8"/>
        <v>480216</v>
      </c>
      <c r="N577" s="4"/>
      <c r="O577" s="9"/>
    </row>
    <row r="578" spans="1:15" ht="20" x14ac:dyDescent="0.2">
      <c r="A578" s="3">
        <v>574</v>
      </c>
      <c r="B578" s="19" t="s">
        <v>2758</v>
      </c>
      <c r="C578" s="4" t="s">
        <v>2759</v>
      </c>
      <c r="D578" s="4" t="s">
        <v>1616</v>
      </c>
      <c r="E578" s="4"/>
      <c r="F578" s="8"/>
      <c r="G578" s="8"/>
      <c r="H578" s="8"/>
      <c r="I578" s="8"/>
      <c r="J578" s="8"/>
      <c r="K578" s="8">
        <v>3000</v>
      </c>
      <c r="L578" s="18">
        <v>160.5</v>
      </c>
      <c r="M578" s="7">
        <f t="shared" si="8"/>
        <v>481500</v>
      </c>
      <c r="N578" s="4"/>
      <c r="O578" s="9"/>
    </row>
    <row r="579" spans="1:15" ht="20" x14ac:dyDescent="0.2">
      <c r="A579" s="3">
        <v>575</v>
      </c>
      <c r="B579" s="19" t="s">
        <v>2760</v>
      </c>
      <c r="C579" s="4" t="s">
        <v>2761</v>
      </c>
      <c r="D579" s="4" t="s">
        <v>1616</v>
      </c>
      <c r="E579" s="4"/>
      <c r="F579" s="8"/>
      <c r="G579" s="8"/>
      <c r="H579" s="8"/>
      <c r="I579" s="8"/>
      <c r="J579" s="8"/>
      <c r="K579" s="8">
        <v>750</v>
      </c>
      <c r="L579" s="18">
        <v>650</v>
      </c>
      <c r="M579" s="7">
        <f t="shared" si="8"/>
        <v>487500</v>
      </c>
      <c r="N579" s="4"/>
      <c r="O579" s="9"/>
    </row>
    <row r="580" spans="1:15" ht="20" x14ac:dyDescent="0.2">
      <c r="A580" s="3">
        <v>576</v>
      </c>
      <c r="B580" s="19" t="s">
        <v>2762</v>
      </c>
      <c r="C580" s="4" t="s">
        <v>2763</v>
      </c>
      <c r="D580" s="4" t="s">
        <v>1616</v>
      </c>
      <c r="E580" s="4"/>
      <c r="F580" s="8"/>
      <c r="G580" s="8"/>
      <c r="H580" s="8"/>
      <c r="I580" s="8"/>
      <c r="J580" s="8"/>
      <c r="K580" s="8">
        <v>1400</v>
      </c>
      <c r="L580" s="18">
        <v>350</v>
      </c>
      <c r="M580" s="7">
        <f t="shared" si="8"/>
        <v>490000</v>
      </c>
      <c r="N580" s="4"/>
      <c r="O580" s="9"/>
    </row>
    <row r="581" spans="1:15" ht="20" x14ac:dyDescent="0.2">
      <c r="A581" s="3">
        <v>577</v>
      </c>
      <c r="B581" s="19" t="s">
        <v>2764</v>
      </c>
      <c r="C581" s="4" t="s">
        <v>2765</v>
      </c>
      <c r="D581" s="4" t="s">
        <v>1616</v>
      </c>
      <c r="E581" s="4"/>
      <c r="F581" s="8"/>
      <c r="G581" s="8"/>
      <c r="H581" s="8"/>
      <c r="I581" s="8"/>
      <c r="J581" s="8"/>
      <c r="K581" s="8">
        <v>2600</v>
      </c>
      <c r="L581" s="18">
        <v>189</v>
      </c>
      <c r="M581" s="7">
        <f t="shared" ref="M581:M644" si="9">IF(OR(K581="",L581=""),"",K581*L581)</f>
        <v>491400</v>
      </c>
      <c r="N581" s="4"/>
      <c r="O581" s="9"/>
    </row>
    <row r="582" spans="1:15" ht="20" x14ac:dyDescent="0.2">
      <c r="A582" s="3">
        <v>578</v>
      </c>
      <c r="B582" s="19" t="s">
        <v>2766</v>
      </c>
      <c r="C582" s="4" t="s">
        <v>2767</v>
      </c>
      <c r="D582" s="4" t="s">
        <v>1616</v>
      </c>
      <c r="E582" s="4"/>
      <c r="F582" s="8"/>
      <c r="G582" s="8"/>
      <c r="H582" s="8"/>
      <c r="I582" s="8"/>
      <c r="J582" s="8"/>
      <c r="K582" s="8">
        <v>12000</v>
      </c>
      <c r="L582" s="18">
        <v>41</v>
      </c>
      <c r="M582" s="7">
        <f t="shared" si="9"/>
        <v>492000</v>
      </c>
      <c r="N582" s="4"/>
      <c r="O582" s="9"/>
    </row>
    <row r="583" spans="1:15" ht="20" x14ac:dyDescent="0.2">
      <c r="A583" s="3">
        <v>579</v>
      </c>
      <c r="B583" s="19" t="s">
        <v>2768</v>
      </c>
      <c r="C583" s="4" t="s">
        <v>2769</v>
      </c>
      <c r="D583" s="4" t="s">
        <v>1616</v>
      </c>
      <c r="E583" s="4"/>
      <c r="F583" s="8"/>
      <c r="G583" s="8"/>
      <c r="H583" s="8"/>
      <c r="I583" s="8"/>
      <c r="J583" s="8"/>
      <c r="K583" s="8">
        <v>3000</v>
      </c>
      <c r="L583" s="18">
        <v>165.85</v>
      </c>
      <c r="M583" s="7">
        <f t="shared" si="9"/>
        <v>497550</v>
      </c>
      <c r="N583" s="4"/>
      <c r="O583" s="9"/>
    </row>
    <row r="584" spans="1:15" ht="20" x14ac:dyDescent="0.2">
      <c r="A584" s="3">
        <v>580</v>
      </c>
      <c r="B584" s="19" t="s">
        <v>2770</v>
      </c>
      <c r="C584" s="4" t="s">
        <v>2771</v>
      </c>
      <c r="D584" s="4" t="s">
        <v>1616</v>
      </c>
      <c r="E584" s="4"/>
      <c r="F584" s="8"/>
      <c r="G584" s="8"/>
      <c r="H584" s="8"/>
      <c r="I584" s="8"/>
      <c r="J584" s="8"/>
      <c r="K584" s="8">
        <v>20000</v>
      </c>
      <c r="L584" s="18">
        <v>25</v>
      </c>
      <c r="M584" s="7">
        <f t="shared" si="9"/>
        <v>500000</v>
      </c>
      <c r="N584" s="4"/>
      <c r="O584" s="9"/>
    </row>
    <row r="585" spans="1:15" ht="20" x14ac:dyDescent="0.2">
      <c r="A585" s="3">
        <v>581</v>
      </c>
      <c r="B585" s="19" t="s">
        <v>2772</v>
      </c>
      <c r="C585" s="4" t="s">
        <v>2773</v>
      </c>
      <c r="D585" s="4" t="s">
        <v>1616</v>
      </c>
      <c r="E585" s="4"/>
      <c r="F585" s="8"/>
      <c r="G585" s="8"/>
      <c r="H585" s="8"/>
      <c r="I585" s="8"/>
      <c r="J585" s="8"/>
      <c r="K585" s="8">
        <v>100</v>
      </c>
      <c r="L585" s="18">
        <v>5082.5</v>
      </c>
      <c r="M585" s="7">
        <f t="shared" si="9"/>
        <v>508250</v>
      </c>
      <c r="N585" s="4"/>
      <c r="O585" s="9"/>
    </row>
    <row r="586" spans="1:15" ht="20" x14ac:dyDescent="0.2">
      <c r="A586" s="3">
        <v>582</v>
      </c>
      <c r="B586" s="19" t="s">
        <v>2774</v>
      </c>
      <c r="C586" s="4" t="s">
        <v>2775</v>
      </c>
      <c r="D586" s="4" t="s">
        <v>1616</v>
      </c>
      <c r="E586" s="4"/>
      <c r="F586" s="8"/>
      <c r="G586" s="8"/>
      <c r="H586" s="8"/>
      <c r="I586" s="8"/>
      <c r="J586" s="8"/>
      <c r="K586" s="8">
        <v>300</v>
      </c>
      <c r="L586" s="18">
        <v>1700</v>
      </c>
      <c r="M586" s="7">
        <f t="shared" si="9"/>
        <v>510000</v>
      </c>
      <c r="N586" s="4"/>
      <c r="O586" s="9"/>
    </row>
    <row r="587" spans="1:15" ht="20" x14ac:dyDescent="0.2">
      <c r="A587" s="3">
        <v>583</v>
      </c>
      <c r="B587" s="19" t="s">
        <v>2776</v>
      </c>
      <c r="C587" s="4" t="s">
        <v>2777</v>
      </c>
      <c r="D587" s="4" t="s">
        <v>1616</v>
      </c>
      <c r="E587" s="4"/>
      <c r="F587" s="8"/>
      <c r="G587" s="8"/>
      <c r="H587" s="8"/>
      <c r="I587" s="8"/>
      <c r="J587" s="8"/>
      <c r="K587" s="8">
        <v>28000</v>
      </c>
      <c r="L587" s="18">
        <v>19</v>
      </c>
      <c r="M587" s="7">
        <f t="shared" si="9"/>
        <v>532000</v>
      </c>
      <c r="N587" s="4"/>
      <c r="O587" s="9"/>
    </row>
    <row r="588" spans="1:15" ht="40" x14ac:dyDescent="0.2">
      <c r="A588" s="3">
        <v>584</v>
      </c>
      <c r="B588" s="19" t="s">
        <v>2778</v>
      </c>
      <c r="C588" s="4" t="s">
        <v>2779</v>
      </c>
      <c r="D588" s="4" t="s">
        <v>1616</v>
      </c>
      <c r="E588" s="4"/>
      <c r="F588" s="8"/>
      <c r="G588" s="8"/>
      <c r="H588" s="8"/>
      <c r="I588" s="8"/>
      <c r="J588" s="8"/>
      <c r="K588" s="8">
        <v>3600</v>
      </c>
      <c r="L588" s="18">
        <v>149.80000000000001</v>
      </c>
      <c r="M588" s="7">
        <f t="shared" si="9"/>
        <v>539280</v>
      </c>
      <c r="N588" s="4"/>
      <c r="O588" s="9"/>
    </row>
    <row r="589" spans="1:15" ht="20" x14ac:dyDescent="0.2">
      <c r="A589" s="3">
        <v>585</v>
      </c>
      <c r="B589" s="19" t="s">
        <v>2780</v>
      </c>
      <c r="C589" s="4" t="s">
        <v>2781</v>
      </c>
      <c r="D589" s="4" t="s">
        <v>1616</v>
      </c>
      <c r="E589" s="4"/>
      <c r="F589" s="8"/>
      <c r="G589" s="8"/>
      <c r="H589" s="8"/>
      <c r="I589" s="8"/>
      <c r="J589" s="8"/>
      <c r="K589" s="8">
        <v>8400</v>
      </c>
      <c r="L589" s="18">
        <v>64.2</v>
      </c>
      <c r="M589" s="7">
        <f t="shared" si="9"/>
        <v>539280</v>
      </c>
      <c r="N589" s="4"/>
      <c r="O589" s="9"/>
    </row>
    <row r="590" spans="1:15" ht="20" x14ac:dyDescent="0.2">
      <c r="A590" s="3">
        <v>586</v>
      </c>
      <c r="B590" s="19" t="s">
        <v>2782</v>
      </c>
      <c r="C590" s="4" t="s">
        <v>2783</v>
      </c>
      <c r="D590" s="4" t="s">
        <v>1616</v>
      </c>
      <c r="E590" s="4"/>
      <c r="F590" s="8"/>
      <c r="G590" s="8"/>
      <c r="H590" s="8"/>
      <c r="I590" s="8"/>
      <c r="J590" s="8"/>
      <c r="K590" s="8">
        <v>3000</v>
      </c>
      <c r="L590" s="18">
        <v>180</v>
      </c>
      <c r="M590" s="7">
        <f t="shared" si="9"/>
        <v>540000</v>
      </c>
      <c r="N590" s="4"/>
      <c r="O590" s="9"/>
    </row>
    <row r="591" spans="1:15" ht="20" x14ac:dyDescent="0.2">
      <c r="A591" s="3">
        <v>587</v>
      </c>
      <c r="B591" s="19" t="s">
        <v>2784</v>
      </c>
      <c r="C591" s="4" t="s">
        <v>2785</v>
      </c>
      <c r="D591" s="4" t="s">
        <v>1616</v>
      </c>
      <c r="E591" s="4"/>
      <c r="F591" s="8"/>
      <c r="G591" s="8"/>
      <c r="H591" s="8"/>
      <c r="I591" s="8"/>
      <c r="J591" s="8"/>
      <c r="K591" s="8">
        <v>190</v>
      </c>
      <c r="L591" s="18">
        <v>2854.76</v>
      </c>
      <c r="M591" s="7">
        <f t="shared" si="9"/>
        <v>542404.4</v>
      </c>
      <c r="N591" s="4"/>
      <c r="O591" s="9"/>
    </row>
    <row r="592" spans="1:15" ht="20" x14ac:dyDescent="0.2">
      <c r="A592" s="3">
        <v>588</v>
      </c>
      <c r="B592" s="19" t="s">
        <v>2786</v>
      </c>
      <c r="C592" s="4" t="s">
        <v>2787</v>
      </c>
      <c r="D592" s="4" t="s">
        <v>1616</v>
      </c>
      <c r="E592" s="4"/>
      <c r="F592" s="8"/>
      <c r="G592" s="8"/>
      <c r="H592" s="8"/>
      <c r="I592" s="8"/>
      <c r="J592" s="8"/>
      <c r="K592" s="8">
        <v>2600</v>
      </c>
      <c r="L592" s="18">
        <v>210</v>
      </c>
      <c r="M592" s="7">
        <f t="shared" si="9"/>
        <v>546000</v>
      </c>
      <c r="N592" s="4"/>
      <c r="O592" s="9"/>
    </row>
    <row r="593" spans="1:15" ht="20" x14ac:dyDescent="0.2">
      <c r="A593" s="3">
        <v>589</v>
      </c>
      <c r="B593" s="19" t="s">
        <v>2788</v>
      </c>
      <c r="C593" s="4" t="s">
        <v>2789</v>
      </c>
      <c r="D593" s="4" t="s">
        <v>1616</v>
      </c>
      <c r="E593" s="4"/>
      <c r="F593" s="8"/>
      <c r="G593" s="8"/>
      <c r="H593" s="8"/>
      <c r="I593" s="8"/>
      <c r="J593" s="8"/>
      <c r="K593" s="8">
        <v>500</v>
      </c>
      <c r="L593" s="18">
        <v>1100</v>
      </c>
      <c r="M593" s="7">
        <f t="shared" si="9"/>
        <v>550000</v>
      </c>
      <c r="N593" s="4"/>
      <c r="O593" s="9"/>
    </row>
    <row r="594" spans="1:15" ht="20" x14ac:dyDescent="0.2">
      <c r="A594" s="3">
        <v>590</v>
      </c>
      <c r="B594" s="19" t="s">
        <v>2790</v>
      </c>
      <c r="C594" s="4" t="s">
        <v>2791</v>
      </c>
      <c r="D594" s="4" t="s">
        <v>1616</v>
      </c>
      <c r="E594" s="4"/>
      <c r="F594" s="8"/>
      <c r="G594" s="8"/>
      <c r="H594" s="8"/>
      <c r="I594" s="8"/>
      <c r="J594" s="8"/>
      <c r="K594" s="8">
        <v>90</v>
      </c>
      <c r="L594" s="18">
        <v>6225.26</v>
      </c>
      <c r="M594" s="7">
        <f t="shared" si="9"/>
        <v>560273.4</v>
      </c>
      <c r="N594" s="4"/>
      <c r="O594" s="9"/>
    </row>
    <row r="595" spans="1:15" ht="20" x14ac:dyDescent="0.2">
      <c r="A595" s="3">
        <v>591</v>
      </c>
      <c r="B595" s="19" t="s">
        <v>2792</v>
      </c>
      <c r="C595" s="4" t="s">
        <v>2793</v>
      </c>
      <c r="D595" s="4" t="s">
        <v>1616</v>
      </c>
      <c r="E595" s="4"/>
      <c r="F595" s="8"/>
      <c r="G595" s="8"/>
      <c r="H595" s="8"/>
      <c r="I595" s="8"/>
      <c r="J595" s="8"/>
      <c r="K595" s="8">
        <v>700</v>
      </c>
      <c r="L595" s="18">
        <v>802.5</v>
      </c>
      <c r="M595" s="7">
        <f t="shared" si="9"/>
        <v>561750</v>
      </c>
      <c r="N595" s="4"/>
      <c r="O595" s="9"/>
    </row>
    <row r="596" spans="1:15" ht="20" x14ac:dyDescent="0.2">
      <c r="A596" s="3">
        <v>592</v>
      </c>
      <c r="B596" s="19" t="s">
        <v>2794</v>
      </c>
      <c r="C596" s="4" t="s">
        <v>2795</v>
      </c>
      <c r="D596" s="4" t="s">
        <v>1616</v>
      </c>
      <c r="E596" s="4"/>
      <c r="F596" s="8"/>
      <c r="G596" s="8"/>
      <c r="H596" s="8"/>
      <c r="I596" s="8"/>
      <c r="J596" s="8"/>
      <c r="K596" s="8">
        <v>600</v>
      </c>
      <c r="L596" s="18">
        <v>950</v>
      </c>
      <c r="M596" s="7">
        <f t="shared" si="9"/>
        <v>570000</v>
      </c>
      <c r="N596" s="4"/>
      <c r="O596" s="9"/>
    </row>
    <row r="597" spans="1:15" ht="40" x14ac:dyDescent="0.2">
      <c r="A597" s="3">
        <v>593</v>
      </c>
      <c r="B597" s="19" t="s">
        <v>2796</v>
      </c>
      <c r="C597" s="4" t="s">
        <v>2797</v>
      </c>
      <c r="D597" s="4" t="s">
        <v>1616</v>
      </c>
      <c r="E597" s="4"/>
      <c r="F597" s="8"/>
      <c r="G597" s="8"/>
      <c r="H597" s="8"/>
      <c r="I597" s="8"/>
      <c r="J597" s="8"/>
      <c r="K597" s="8">
        <v>2560</v>
      </c>
      <c r="L597" s="18">
        <v>223.63</v>
      </c>
      <c r="M597" s="7">
        <f t="shared" si="9"/>
        <v>572492.80000000005</v>
      </c>
      <c r="N597" s="4"/>
      <c r="O597" s="9"/>
    </row>
    <row r="598" spans="1:15" ht="20" x14ac:dyDescent="0.2">
      <c r="A598" s="3">
        <v>594</v>
      </c>
      <c r="B598" s="19" t="s">
        <v>2798</v>
      </c>
      <c r="C598" s="4" t="s">
        <v>2799</v>
      </c>
      <c r="D598" s="4" t="s">
        <v>1616</v>
      </c>
      <c r="E598" s="4"/>
      <c r="F598" s="8"/>
      <c r="G598" s="8"/>
      <c r="H598" s="8"/>
      <c r="I598" s="8"/>
      <c r="J598" s="8"/>
      <c r="K598" s="8">
        <v>3200</v>
      </c>
      <c r="L598" s="18">
        <v>180</v>
      </c>
      <c r="M598" s="7">
        <f t="shared" si="9"/>
        <v>576000</v>
      </c>
      <c r="N598" s="4"/>
      <c r="O598" s="9"/>
    </row>
    <row r="599" spans="1:15" ht="20" x14ac:dyDescent="0.2">
      <c r="A599" s="3">
        <v>595</v>
      </c>
      <c r="B599" s="19" t="s">
        <v>2800</v>
      </c>
      <c r="C599" s="4" t="s">
        <v>2801</v>
      </c>
      <c r="D599" s="4" t="s">
        <v>1616</v>
      </c>
      <c r="E599" s="4"/>
      <c r="F599" s="8"/>
      <c r="G599" s="8"/>
      <c r="H599" s="8"/>
      <c r="I599" s="8"/>
      <c r="J599" s="8"/>
      <c r="K599" s="8">
        <v>4500</v>
      </c>
      <c r="L599" s="18">
        <v>128.4</v>
      </c>
      <c r="M599" s="7">
        <f t="shared" si="9"/>
        <v>577800</v>
      </c>
      <c r="N599" s="4"/>
      <c r="O599" s="9"/>
    </row>
    <row r="600" spans="1:15" ht="40" x14ac:dyDescent="0.2">
      <c r="A600" s="3">
        <v>596</v>
      </c>
      <c r="B600" s="19" t="s">
        <v>2802</v>
      </c>
      <c r="C600" s="4" t="s">
        <v>2803</v>
      </c>
      <c r="D600" s="4" t="s">
        <v>1616</v>
      </c>
      <c r="E600" s="4"/>
      <c r="F600" s="8"/>
      <c r="G600" s="8"/>
      <c r="H600" s="8"/>
      <c r="I600" s="8"/>
      <c r="J600" s="8"/>
      <c r="K600" s="8">
        <v>4800</v>
      </c>
      <c r="L600" s="18">
        <v>120.91</v>
      </c>
      <c r="M600" s="7">
        <f t="shared" si="9"/>
        <v>580368</v>
      </c>
      <c r="N600" s="4"/>
      <c r="O600" s="9"/>
    </row>
    <row r="601" spans="1:15" ht="20" x14ac:dyDescent="0.2">
      <c r="A601" s="3">
        <v>597</v>
      </c>
      <c r="B601" s="19" t="s">
        <v>2804</v>
      </c>
      <c r="C601" s="4" t="s">
        <v>2805</v>
      </c>
      <c r="D601" s="4" t="s">
        <v>1616</v>
      </c>
      <c r="E601" s="4"/>
      <c r="F601" s="8"/>
      <c r="G601" s="8"/>
      <c r="H601" s="8"/>
      <c r="I601" s="8"/>
      <c r="J601" s="8"/>
      <c r="K601" s="8">
        <v>420</v>
      </c>
      <c r="L601" s="18">
        <v>1391</v>
      </c>
      <c r="M601" s="7">
        <f t="shared" si="9"/>
        <v>584220</v>
      </c>
      <c r="N601" s="4"/>
      <c r="O601" s="9"/>
    </row>
    <row r="602" spans="1:15" ht="20" x14ac:dyDescent="0.2">
      <c r="A602" s="3">
        <v>598</v>
      </c>
      <c r="B602" s="19" t="s">
        <v>2806</v>
      </c>
      <c r="C602" s="4" t="s">
        <v>2807</v>
      </c>
      <c r="D602" s="4" t="s">
        <v>1616</v>
      </c>
      <c r="E602" s="4"/>
      <c r="F602" s="8"/>
      <c r="G602" s="8"/>
      <c r="H602" s="8"/>
      <c r="I602" s="8"/>
      <c r="J602" s="8"/>
      <c r="K602" s="8">
        <v>2000</v>
      </c>
      <c r="L602" s="18">
        <v>294.25</v>
      </c>
      <c r="M602" s="7">
        <f t="shared" si="9"/>
        <v>588500</v>
      </c>
      <c r="N602" s="4"/>
      <c r="O602" s="9"/>
    </row>
    <row r="603" spans="1:15" ht="20" x14ac:dyDescent="0.2">
      <c r="A603" s="3">
        <v>599</v>
      </c>
      <c r="B603" s="19" t="s">
        <v>2808</v>
      </c>
      <c r="C603" s="4" t="s">
        <v>2809</v>
      </c>
      <c r="D603" s="4" t="s">
        <v>1616</v>
      </c>
      <c r="E603" s="4"/>
      <c r="F603" s="8"/>
      <c r="G603" s="8"/>
      <c r="H603" s="8"/>
      <c r="I603" s="8"/>
      <c r="J603" s="8"/>
      <c r="K603" s="8">
        <v>3500</v>
      </c>
      <c r="L603" s="18">
        <v>170</v>
      </c>
      <c r="M603" s="7">
        <f t="shared" si="9"/>
        <v>595000</v>
      </c>
      <c r="N603" s="4"/>
      <c r="O603" s="9"/>
    </row>
    <row r="604" spans="1:15" ht="20" x14ac:dyDescent="0.2">
      <c r="A604" s="3">
        <v>600</v>
      </c>
      <c r="B604" s="19" t="s">
        <v>2810</v>
      </c>
      <c r="C604" s="4" t="s">
        <v>2811</v>
      </c>
      <c r="D604" s="4" t="s">
        <v>1616</v>
      </c>
      <c r="E604" s="4"/>
      <c r="F604" s="8"/>
      <c r="G604" s="8"/>
      <c r="H604" s="8"/>
      <c r="I604" s="8"/>
      <c r="J604" s="8"/>
      <c r="K604" s="8">
        <v>1000</v>
      </c>
      <c r="L604" s="18">
        <v>598.13</v>
      </c>
      <c r="M604" s="7">
        <f t="shared" si="9"/>
        <v>598130</v>
      </c>
      <c r="N604" s="4"/>
      <c r="O604" s="9"/>
    </row>
    <row r="605" spans="1:15" ht="20" x14ac:dyDescent="0.2">
      <c r="A605" s="3">
        <v>601</v>
      </c>
      <c r="B605" s="19" t="s">
        <v>2812</v>
      </c>
      <c r="C605" s="4" t="s">
        <v>2813</v>
      </c>
      <c r="D605" s="4" t="s">
        <v>1616</v>
      </c>
      <c r="E605" s="4"/>
      <c r="F605" s="8"/>
      <c r="G605" s="8"/>
      <c r="H605" s="8"/>
      <c r="I605" s="8"/>
      <c r="J605" s="8"/>
      <c r="K605" s="8">
        <v>700</v>
      </c>
      <c r="L605" s="18">
        <v>854.93</v>
      </c>
      <c r="M605" s="7">
        <f t="shared" si="9"/>
        <v>598451</v>
      </c>
      <c r="N605" s="4"/>
      <c r="O605" s="9"/>
    </row>
    <row r="606" spans="1:15" ht="20" x14ac:dyDescent="0.2">
      <c r="A606" s="3">
        <v>602</v>
      </c>
      <c r="B606" s="19" t="s">
        <v>2814</v>
      </c>
      <c r="C606" s="4" t="s">
        <v>2815</v>
      </c>
      <c r="D606" s="4" t="s">
        <v>1616</v>
      </c>
      <c r="E606" s="4"/>
      <c r="F606" s="8"/>
      <c r="G606" s="8"/>
      <c r="H606" s="8"/>
      <c r="I606" s="8"/>
      <c r="J606" s="8"/>
      <c r="K606" s="8">
        <v>15000</v>
      </c>
      <c r="L606" s="18">
        <v>40</v>
      </c>
      <c r="M606" s="7">
        <f t="shared" si="9"/>
        <v>600000</v>
      </c>
      <c r="N606" s="4"/>
      <c r="O606" s="9"/>
    </row>
    <row r="607" spans="1:15" ht="20" x14ac:dyDescent="0.2">
      <c r="A607" s="3">
        <v>603</v>
      </c>
      <c r="B607" s="19" t="s">
        <v>2816</v>
      </c>
      <c r="C607" s="4" t="s">
        <v>2817</v>
      </c>
      <c r="D607" s="4" t="s">
        <v>1616</v>
      </c>
      <c r="E607" s="4"/>
      <c r="F607" s="8"/>
      <c r="G607" s="8"/>
      <c r="H607" s="8"/>
      <c r="I607" s="8"/>
      <c r="J607" s="8"/>
      <c r="K607" s="8">
        <v>2000</v>
      </c>
      <c r="L607" s="18">
        <v>310</v>
      </c>
      <c r="M607" s="7">
        <f t="shared" si="9"/>
        <v>620000</v>
      </c>
      <c r="N607" s="4"/>
      <c r="O607" s="9"/>
    </row>
    <row r="608" spans="1:15" ht="20" x14ac:dyDescent="0.2">
      <c r="A608" s="3">
        <v>604</v>
      </c>
      <c r="B608" s="19" t="s">
        <v>2818</v>
      </c>
      <c r="C608" s="4" t="s">
        <v>2819</v>
      </c>
      <c r="D608" s="4" t="s">
        <v>1616</v>
      </c>
      <c r="E608" s="4"/>
      <c r="F608" s="8"/>
      <c r="G608" s="8"/>
      <c r="H608" s="8"/>
      <c r="I608" s="8"/>
      <c r="J608" s="8"/>
      <c r="K608" s="8">
        <v>2000</v>
      </c>
      <c r="L608" s="18">
        <v>310</v>
      </c>
      <c r="M608" s="7">
        <f t="shared" si="9"/>
        <v>620000</v>
      </c>
      <c r="N608" s="4"/>
      <c r="O608" s="9"/>
    </row>
    <row r="609" spans="1:15" ht="20" x14ac:dyDescent="0.2">
      <c r="A609" s="3">
        <v>605</v>
      </c>
      <c r="B609" s="19" t="s">
        <v>2820</v>
      </c>
      <c r="C609" s="4" t="s">
        <v>2821</v>
      </c>
      <c r="D609" s="4" t="s">
        <v>1616</v>
      </c>
      <c r="E609" s="4"/>
      <c r="F609" s="8"/>
      <c r="G609" s="8"/>
      <c r="H609" s="8"/>
      <c r="I609" s="8"/>
      <c r="J609" s="8"/>
      <c r="K609" s="8">
        <v>1800</v>
      </c>
      <c r="L609" s="18">
        <v>345</v>
      </c>
      <c r="M609" s="7">
        <f t="shared" si="9"/>
        <v>621000</v>
      </c>
      <c r="N609" s="4"/>
      <c r="O609" s="9"/>
    </row>
    <row r="610" spans="1:15" ht="40" x14ac:dyDescent="0.2">
      <c r="A610" s="3">
        <v>606</v>
      </c>
      <c r="B610" s="19" t="s">
        <v>2822</v>
      </c>
      <c r="C610" s="4" t="s">
        <v>2823</v>
      </c>
      <c r="D610" s="4" t="s">
        <v>1616</v>
      </c>
      <c r="E610" s="4"/>
      <c r="F610" s="8"/>
      <c r="G610" s="8"/>
      <c r="H610" s="8"/>
      <c r="I610" s="8"/>
      <c r="J610" s="8"/>
      <c r="K610" s="8">
        <v>620</v>
      </c>
      <c r="L610" s="18">
        <v>1005.8</v>
      </c>
      <c r="M610" s="7">
        <f t="shared" si="9"/>
        <v>623596</v>
      </c>
      <c r="N610" s="4"/>
      <c r="O610" s="9"/>
    </row>
    <row r="611" spans="1:15" ht="20" x14ac:dyDescent="0.2">
      <c r="A611" s="3">
        <v>607</v>
      </c>
      <c r="B611" s="19" t="s">
        <v>2824</v>
      </c>
      <c r="C611" s="4" t="s">
        <v>2825</v>
      </c>
      <c r="D611" s="4" t="s">
        <v>1616</v>
      </c>
      <c r="E611" s="4"/>
      <c r="F611" s="8"/>
      <c r="G611" s="8"/>
      <c r="H611" s="8"/>
      <c r="I611" s="8"/>
      <c r="J611" s="8"/>
      <c r="K611" s="8">
        <v>200</v>
      </c>
      <c r="L611" s="18">
        <v>3141.52</v>
      </c>
      <c r="M611" s="7">
        <f t="shared" si="9"/>
        <v>628304</v>
      </c>
      <c r="N611" s="4"/>
      <c r="O611" s="9"/>
    </row>
    <row r="612" spans="1:15" ht="20" x14ac:dyDescent="0.2">
      <c r="A612" s="3">
        <v>608</v>
      </c>
      <c r="B612" s="19" t="s">
        <v>2826</v>
      </c>
      <c r="C612" s="4" t="s">
        <v>2827</v>
      </c>
      <c r="D612" s="4" t="s">
        <v>1616</v>
      </c>
      <c r="E612" s="4"/>
      <c r="F612" s="8"/>
      <c r="G612" s="8"/>
      <c r="H612" s="8"/>
      <c r="I612" s="8"/>
      <c r="J612" s="8"/>
      <c r="K612" s="8">
        <v>1680</v>
      </c>
      <c r="L612" s="18">
        <v>375</v>
      </c>
      <c r="M612" s="7">
        <f t="shared" si="9"/>
        <v>630000</v>
      </c>
      <c r="N612" s="4"/>
      <c r="O612" s="9"/>
    </row>
    <row r="613" spans="1:15" ht="20" x14ac:dyDescent="0.2">
      <c r="A613" s="3">
        <v>609</v>
      </c>
      <c r="B613" s="19" t="s">
        <v>2828</v>
      </c>
      <c r="C613" s="4" t="s">
        <v>2829</v>
      </c>
      <c r="D613" s="4" t="s">
        <v>1616</v>
      </c>
      <c r="E613" s="4"/>
      <c r="F613" s="8"/>
      <c r="G613" s="8"/>
      <c r="H613" s="8"/>
      <c r="I613" s="8"/>
      <c r="J613" s="8"/>
      <c r="K613" s="8">
        <v>1800</v>
      </c>
      <c r="L613" s="18">
        <v>350</v>
      </c>
      <c r="M613" s="7">
        <f t="shared" si="9"/>
        <v>630000</v>
      </c>
      <c r="N613" s="4"/>
      <c r="O613" s="9"/>
    </row>
    <row r="614" spans="1:15" ht="20" x14ac:dyDescent="0.2">
      <c r="A614" s="3">
        <v>610</v>
      </c>
      <c r="B614" s="19" t="s">
        <v>2830</v>
      </c>
      <c r="C614" s="4" t="s">
        <v>2831</v>
      </c>
      <c r="D614" s="4" t="s">
        <v>1616</v>
      </c>
      <c r="E614" s="4"/>
      <c r="F614" s="8"/>
      <c r="G614" s="8"/>
      <c r="H614" s="8"/>
      <c r="I614" s="8"/>
      <c r="J614" s="8"/>
      <c r="K614" s="8">
        <v>2100</v>
      </c>
      <c r="L614" s="18">
        <v>300</v>
      </c>
      <c r="M614" s="7">
        <f t="shared" si="9"/>
        <v>630000</v>
      </c>
      <c r="N614" s="4"/>
      <c r="O614" s="9"/>
    </row>
    <row r="615" spans="1:15" ht="20" x14ac:dyDescent="0.2">
      <c r="A615" s="3">
        <v>611</v>
      </c>
      <c r="B615" s="19" t="s">
        <v>2832</v>
      </c>
      <c r="C615" s="4" t="s">
        <v>2833</v>
      </c>
      <c r="D615" s="4" t="s">
        <v>1616</v>
      </c>
      <c r="E615" s="4"/>
      <c r="F615" s="8"/>
      <c r="G615" s="8"/>
      <c r="H615" s="8"/>
      <c r="I615" s="8"/>
      <c r="J615" s="8"/>
      <c r="K615" s="8">
        <v>2000</v>
      </c>
      <c r="L615" s="18">
        <v>315</v>
      </c>
      <c r="M615" s="7">
        <f t="shared" si="9"/>
        <v>630000</v>
      </c>
      <c r="N615" s="4"/>
      <c r="O615" s="9"/>
    </row>
    <row r="616" spans="1:15" ht="20" x14ac:dyDescent="0.2">
      <c r="A616" s="3">
        <v>612</v>
      </c>
      <c r="B616" s="19" t="s">
        <v>2834</v>
      </c>
      <c r="C616" s="4" t="s">
        <v>2835</v>
      </c>
      <c r="D616" s="4" t="s">
        <v>1616</v>
      </c>
      <c r="E616" s="4"/>
      <c r="F616" s="8"/>
      <c r="G616" s="8"/>
      <c r="H616" s="8"/>
      <c r="I616" s="8"/>
      <c r="J616" s="8"/>
      <c r="K616" s="8">
        <v>400</v>
      </c>
      <c r="L616" s="18">
        <v>1582.53</v>
      </c>
      <c r="M616" s="7">
        <f t="shared" si="9"/>
        <v>633012</v>
      </c>
      <c r="N616" s="4"/>
      <c r="O616" s="9"/>
    </row>
    <row r="617" spans="1:15" ht="20" x14ac:dyDescent="0.2">
      <c r="A617" s="3">
        <v>613</v>
      </c>
      <c r="B617" s="19" t="s">
        <v>2836</v>
      </c>
      <c r="C617" s="4" t="s">
        <v>2837</v>
      </c>
      <c r="D617" s="4" t="s">
        <v>1616</v>
      </c>
      <c r="E617" s="4"/>
      <c r="F617" s="8"/>
      <c r="G617" s="8"/>
      <c r="H617" s="8"/>
      <c r="I617" s="8"/>
      <c r="J617" s="8"/>
      <c r="K617" s="8">
        <v>400</v>
      </c>
      <c r="L617" s="18">
        <v>1582.53</v>
      </c>
      <c r="M617" s="7">
        <f t="shared" si="9"/>
        <v>633012</v>
      </c>
      <c r="N617" s="4"/>
      <c r="O617" s="9"/>
    </row>
    <row r="618" spans="1:15" ht="20" x14ac:dyDescent="0.2">
      <c r="A618" s="3">
        <v>614</v>
      </c>
      <c r="B618" s="19" t="s">
        <v>2838</v>
      </c>
      <c r="C618" s="4" t="s">
        <v>2839</v>
      </c>
      <c r="D618" s="4" t="s">
        <v>1616</v>
      </c>
      <c r="E618" s="4"/>
      <c r="F618" s="8"/>
      <c r="G618" s="8"/>
      <c r="H618" s="8"/>
      <c r="I618" s="8"/>
      <c r="J618" s="8"/>
      <c r="K618" s="8">
        <v>3600</v>
      </c>
      <c r="L618" s="18">
        <v>179.76</v>
      </c>
      <c r="M618" s="7">
        <f t="shared" si="9"/>
        <v>647136</v>
      </c>
      <c r="N618" s="4"/>
      <c r="O618" s="9"/>
    </row>
    <row r="619" spans="1:15" ht="20" x14ac:dyDescent="0.2">
      <c r="A619" s="3">
        <v>615</v>
      </c>
      <c r="B619" s="19" t="s">
        <v>2840</v>
      </c>
      <c r="C619" s="4" t="s">
        <v>2841</v>
      </c>
      <c r="D619" s="4" t="s">
        <v>1616</v>
      </c>
      <c r="E619" s="4"/>
      <c r="F619" s="8"/>
      <c r="G619" s="8"/>
      <c r="H619" s="8"/>
      <c r="I619" s="8"/>
      <c r="J619" s="8"/>
      <c r="K619" s="8">
        <v>2200</v>
      </c>
      <c r="L619" s="18">
        <v>299.60000000000002</v>
      </c>
      <c r="M619" s="7">
        <f t="shared" si="9"/>
        <v>659120</v>
      </c>
      <c r="N619" s="4"/>
      <c r="O619" s="9"/>
    </row>
    <row r="620" spans="1:15" ht="20" x14ac:dyDescent="0.2">
      <c r="A620" s="3">
        <v>616</v>
      </c>
      <c r="B620" s="19" t="s">
        <v>2842</v>
      </c>
      <c r="C620" s="4" t="s">
        <v>2843</v>
      </c>
      <c r="D620" s="4" t="s">
        <v>1616</v>
      </c>
      <c r="E620" s="4"/>
      <c r="F620" s="8"/>
      <c r="G620" s="8"/>
      <c r="H620" s="8"/>
      <c r="I620" s="8"/>
      <c r="J620" s="8"/>
      <c r="K620" s="8">
        <v>1500</v>
      </c>
      <c r="L620" s="18">
        <v>440</v>
      </c>
      <c r="M620" s="7">
        <f t="shared" si="9"/>
        <v>660000</v>
      </c>
      <c r="N620" s="4"/>
      <c r="O620" s="9"/>
    </row>
    <row r="621" spans="1:15" ht="20" x14ac:dyDescent="0.2">
      <c r="A621" s="3">
        <v>617</v>
      </c>
      <c r="B621" s="19" t="s">
        <v>2844</v>
      </c>
      <c r="C621" s="4" t="s">
        <v>2845</v>
      </c>
      <c r="D621" s="4" t="s">
        <v>1616</v>
      </c>
      <c r="E621" s="4"/>
      <c r="F621" s="8"/>
      <c r="G621" s="8"/>
      <c r="H621" s="8"/>
      <c r="I621" s="8"/>
      <c r="J621" s="8"/>
      <c r="K621" s="8">
        <v>2300</v>
      </c>
      <c r="L621" s="18">
        <v>287.83</v>
      </c>
      <c r="M621" s="7">
        <f t="shared" si="9"/>
        <v>662009</v>
      </c>
      <c r="N621" s="4"/>
      <c r="O621" s="9"/>
    </row>
    <row r="622" spans="1:15" ht="40" x14ac:dyDescent="0.2">
      <c r="A622" s="3">
        <v>618</v>
      </c>
      <c r="B622" s="19" t="s">
        <v>2846</v>
      </c>
      <c r="C622" s="4" t="s">
        <v>2847</v>
      </c>
      <c r="D622" s="4" t="s">
        <v>1616</v>
      </c>
      <c r="E622" s="4"/>
      <c r="F622" s="8"/>
      <c r="G622" s="8"/>
      <c r="H622" s="8"/>
      <c r="I622" s="8"/>
      <c r="J622" s="8"/>
      <c r="K622" s="8">
        <v>1000</v>
      </c>
      <c r="L622" s="18">
        <v>682.66</v>
      </c>
      <c r="M622" s="7">
        <f t="shared" si="9"/>
        <v>682660</v>
      </c>
      <c r="N622" s="4"/>
      <c r="O622" s="9"/>
    </row>
    <row r="623" spans="1:15" ht="20" x14ac:dyDescent="0.2">
      <c r="A623" s="3">
        <v>619</v>
      </c>
      <c r="B623" s="19" t="s">
        <v>2848</v>
      </c>
      <c r="C623" s="4" t="s">
        <v>2849</v>
      </c>
      <c r="D623" s="4" t="s">
        <v>1616</v>
      </c>
      <c r="E623" s="4"/>
      <c r="F623" s="8"/>
      <c r="G623" s="8"/>
      <c r="H623" s="8"/>
      <c r="I623" s="8"/>
      <c r="J623" s="8"/>
      <c r="K623" s="8">
        <v>800</v>
      </c>
      <c r="L623" s="18">
        <v>854.93</v>
      </c>
      <c r="M623" s="7">
        <f t="shared" si="9"/>
        <v>683944</v>
      </c>
      <c r="N623" s="4"/>
      <c r="O623" s="9"/>
    </row>
    <row r="624" spans="1:15" ht="20" x14ac:dyDescent="0.2">
      <c r="A624" s="3">
        <v>620</v>
      </c>
      <c r="B624" s="19" t="s">
        <v>2850</v>
      </c>
      <c r="C624" s="4" t="s">
        <v>2851</v>
      </c>
      <c r="D624" s="4" t="s">
        <v>1616</v>
      </c>
      <c r="E624" s="4"/>
      <c r="F624" s="8"/>
      <c r="G624" s="8"/>
      <c r="H624" s="8"/>
      <c r="I624" s="8"/>
      <c r="J624" s="8"/>
      <c r="K624" s="8">
        <v>2800</v>
      </c>
      <c r="L624" s="18">
        <v>246.1</v>
      </c>
      <c r="M624" s="7">
        <f t="shared" si="9"/>
        <v>689080</v>
      </c>
      <c r="N624" s="4"/>
      <c r="O624" s="9"/>
    </row>
    <row r="625" spans="1:15" ht="40" x14ac:dyDescent="0.2">
      <c r="A625" s="3">
        <v>621</v>
      </c>
      <c r="B625" s="19" t="s">
        <v>2852</v>
      </c>
      <c r="C625" s="4" t="s">
        <v>2853</v>
      </c>
      <c r="D625" s="4" t="s">
        <v>1616</v>
      </c>
      <c r="E625" s="4"/>
      <c r="F625" s="8"/>
      <c r="G625" s="8"/>
      <c r="H625" s="8"/>
      <c r="I625" s="8"/>
      <c r="J625" s="8"/>
      <c r="K625" s="8">
        <v>600</v>
      </c>
      <c r="L625" s="18">
        <v>1177</v>
      </c>
      <c r="M625" s="7">
        <f t="shared" si="9"/>
        <v>706200</v>
      </c>
      <c r="N625" s="4"/>
      <c r="O625" s="9"/>
    </row>
    <row r="626" spans="1:15" ht="20" x14ac:dyDescent="0.2">
      <c r="A626" s="3">
        <v>622</v>
      </c>
      <c r="B626" s="19" t="s">
        <v>2854</v>
      </c>
      <c r="C626" s="4" t="s">
        <v>2855</v>
      </c>
      <c r="D626" s="4" t="s">
        <v>1616</v>
      </c>
      <c r="E626" s="4"/>
      <c r="F626" s="8"/>
      <c r="G626" s="8"/>
      <c r="H626" s="8"/>
      <c r="I626" s="8"/>
      <c r="J626" s="8"/>
      <c r="K626" s="8">
        <v>1200</v>
      </c>
      <c r="L626" s="18">
        <v>599.20000000000005</v>
      </c>
      <c r="M626" s="7">
        <f t="shared" si="9"/>
        <v>719040</v>
      </c>
      <c r="N626" s="4"/>
      <c r="O626" s="9"/>
    </row>
    <row r="627" spans="1:15" ht="20" x14ac:dyDescent="0.2">
      <c r="A627" s="3">
        <v>623</v>
      </c>
      <c r="B627" s="19" t="s">
        <v>2856</v>
      </c>
      <c r="C627" s="4" t="s">
        <v>2857</v>
      </c>
      <c r="D627" s="4" t="s">
        <v>1616</v>
      </c>
      <c r="E627" s="4"/>
      <c r="F627" s="8"/>
      <c r="G627" s="8"/>
      <c r="H627" s="8"/>
      <c r="I627" s="8"/>
      <c r="J627" s="8"/>
      <c r="K627" s="8">
        <v>1600</v>
      </c>
      <c r="L627" s="18">
        <v>450</v>
      </c>
      <c r="M627" s="7">
        <f t="shared" si="9"/>
        <v>720000</v>
      </c>
      <c r="N627" s="4"/>
      <c r="O627" s="9"/>
    </row>
    <row r="628" spans="1:15" ht="20" x14ac:dyDescent="0.2">
      <c r="A628" s="3">
        <v>624</v>
      </c>
      <c r="B628" s="19" t="s">
        <v>2858</v>
      </c>
      <c r="C628" s="4" t="s">
        <v>2859</v>
      </c>
      <c r="D628" s="4" t="s">
        <v>1616</v>
      </c>
      <c r="E628" s="4"/>
      <c r="F628" s="8"/>
      <c r="G628" s="8"/>
      <c r="H628" s="8"/>
      <c r="I628" s="8"/>
      <c r="J628" s="8"/>
      <c r="K628" s="8">
        <v>136</v>
      </c>
      <c r="L628" s="18">
        <v>5312.55</v>
      </c>
      <c r="M628" s="7">
        <f t="shared" si="9"/>
        <v>722506.8</v>
      </c>
      <c r="N628" s="4"/>
      <c r="O628" s="9"/>
    </row>
    <row r="629" spans="1:15" ht="20" x14ac:dyDescent="0.2">
      <c r="A629" s="3">
        <v>625</v>
      </c>
      <c r="B629" s="19" t="s">
        <v>2860</v>
      </c>
      <c r="C629" s="4" t="s">
        <v>2861</v>
      </c>
      <c r="D629" s="4" t="s">
        <v>1616</v>
      </c>
      <c r="E629" s="4"/>
      <c r="F629" s="8"/>
      <c r="G629" s="8"/>
      <c r="H629" s="8"/>
      <c r="I629" s="8"/>
      <c r="J629" s="8"/>
      <c r="K629" s="8">
        <v>32000</v>
      </c>
      <c r="L629" s="18">
        <v>22.9</v>
      </c>
      <c r="M629" s="7">
        <f t="shared" si="9"/>
        <v>732800</v>
      </c>
      <c r="N629" s="4"/>
      <c r="O629" s="9"/>
    </row>
    <row r="630" spans="1:15" ht="20" x14ac:dyDescent="0.2">
      <c r="A630" s="3">
        <v>626</v>
      </c>
      <c r="B630" s="19" t="s">
        <v>2862</v>
      </c>
      <c r="C630" s="4" t="s">
        <v>2863</v>
      </c>
      <c r="D630" s="4" t="s">
        <v>1616</v>
      </c>
      <c r="E630" s="4"/>
      <c r="F630" s="8"/>
      <c r="G630" s="8"/>
      <c r="H630" s="8"/>
      <c r="I630" s="8"/>
      <c r="J630" s="8"/>
      <c r="K630" s="8">
        <v>3200</v>
      </c>
      <c r="L630" s="18">
        <v>230</v>
      </c>
      <c r="M630" s="7">
        <f t="shared" si="9"/>
        <v>736000</v>
      </c>
      <c r="N630" s="4"/>
      <c r="O630" s="9"/>
    </row>
    <row r="631" spans="1:15" ht="20" x14ac:dyDescent="0.2">
      <c r="A631" s="3">
        <v>627</v>
      </c>
      <c r="B631" s="19" t="s">
        <v>2864</v>
      </c>
      <c r="C631" s="4" t="s">
        <v>2865</v>
      </c>
      <c r="D631" s="4" t="s">
        <v>1616</v>
      </c>
      <c r="E631" s="4"/>
      <c r="F631" s="8"/>
      <c r="G631" s="8"/>
      <c r="H631" s="8"/>
      <c r="I631" s="8"/>
      <c r="J631" s="8"/>
      <c r="K631" s="8">
        <v>6400</v>
      </c>
      <c r="L631" s="18">
        <v>115.56</v>
      </c>
      <c r="M631" s="7">
        <f t="shared" si="9"/>
        <v>739584</v>
      </c>
      <c r="N631" s="4"/>
      <c r="O631" s="9"/>
    </row>
    <row r="632" spans="1:15" ht="20" x14ac:dyDescent="0.2">
      <c r="A632" s="3">
        <v>628</v>
      </c>
      <c r="B632" s="19" t="s">
        <v>2866</v>
      </c>
      <c r="C632" s="4" t="s">
        <v>2867</v>
      </c>
      <c r="D632" s="4" t="s">
        <v>1616</v>
      </c>
      <c r="E632" s="4"/>
      <c r="F632" s="8"/>
      <c r="G632" s="8"/>
      <c r="H632" s="8"/>
      <c r="I632" s="8"/>
      <c r="J632" s="8"/>
      <c r="K632" s="8">
        <v>1600</v>
      </c>
      <c r="L632" s="18">
        <v>464.38</v>
      </c>
      <c r="M632" s="7">
        <f t="shared" si="9"/>
        <v>743008</v>
      </c>
      <c r="N632" s="4"/>
      <c r="O632" s="9"/>
    </row>
    <row r="633" spans="1:15" ht="20" x14ac:dyDescent="0.2">
      <c r="A633" s="3">
        <v>629</v>
      </c>
      <c r="B633" s="19" t="s">
        <v>2868</v>
      </c>
      <c r="C633" s="4" t="s">
        <v>2869</v>
      </c>
      <c r="D633" s="4" t="s">
        <v>1616</v>
      </c>
      <c r="E633" s="4"/>
      <c r="F633" s="8"/>
      <c r="G633" s="8"/>
      <c r="H633" s="8"/>
      <c r="I633" s="8"/>
      <c r="J633" s="8"/>
      <c r="K633" s="8">
        <v>3000</v>
      </c>
      <c r="L633" s="18">
        <v>250</v>
      </c>
      <c r="M633" s="7">
        <f t="shared" si="9"/>
        <v>750000</v>
      </c>
      <c r="N633" s="4"/>
      <c r="O633" s="9"/>
    </row>
    <row r="634" spans="1:15" ht="20" x14ac:dyDescent="0.2">
      <c r="A634" s="3">
        <v>630</v>
      </c>
      <c r="B634" s="19" t="s">
        <v>2870</v>
      </c>
      <c r="C634" s="4" t="s">
        <v>2871</v>
      </c>
      <c r="D634" s="4" t="s">
        <v>1616</v>
      </c>
      <c r="E634" s="4"/>
      <c r="F634" s="8"/>
      <c r="G634" s="8"/>
      <c r="H634" s="8"/>
      <c r="I634" s="8"/>
      <c r="J634" s="8"/>
      <c r="K634" s="8">
        <v>540</v>
      </c>
      <c r="L634" s="18">
        <v>1391</v>
      </c>
      <c r="M634" s="7">
        <f t="shared" si="9"/>
        <v>751140</v>
      </c>
      <c r="N634" s="4"/>
      <c r="O634" s="9"/>
    </row>
    <row r="635" spans="1:15" ht="20" x14ac:dyDescent="0.2">
      <c r="A635" s="3">
        <v>631</v>
      </c>
      <c r="B635" s="19" t="s">
        <v>2872</v>
      </c>
      <c r="C635" s="4" t="s">
        <v>2873</v>
      </c>
      <c r="D635" s="4" t="s">
        <v>1616</v>
      </c>
      <c r="E635" s="4"/>
      <c r="F635" s="8"/>
      <c r="G635" s="8"/>
      <c r="H635" s="8"/>
      <c r="I635" s="8"/>
      <c r="J635" s="8"/>
      <c r="K635" s="8">
        <v>2800</v>
      </c>
      <c r="L635" s="18">
        <v>270</v>
      </c>
      <c r="M635" s="7">
        <f t="shared" si="9"/>
        <v>756000</v>
      </c>
      <c r="N635" s="4"/>
      <c r="O635" s="9"/>
    </row>
    <row r="636" spans="1:15" ht="20" x14ac:dyDescent="0.2">
      <c r="A636" s="3">
        <v>632</v>
      </c>
      <c r="B636" s="19" t="s">
        <v>2874</v>
      </c>
      <c r="C636" s="4" t="s">
        <v>2875</v>
      </c>
      <c r="D636" s="4" t="s">
        <v>1616</v>
      </c>
      <c r="E636" s="4"/>
      <c r="F636" s="8"/>
      <c r="G636" s="8"/>
      <c r="H636" s="8"/>
      <c r="I636" s="8"/>
      <c r="J636" s="8"/>
      <c r="K636" s="8">
        <v>7400</v>
      </c>
      <c r="L636" s="18">
        <v>103</v>
      </c>
      <c r="M636" s="7">
        <f t="shared" si="9"/>
        <v>762200</v>
      </c>
      <c r="N636" s="4"/>
      <c r="O636" s="9"/>
    </row>
    <row r="637" spans="1:15" ht="20" x14ac:dyDescent="0.2">
      <c r="A637" s="3">
        <v>633</v>
      </c>
      <c r="B637" s="19" t="s">
        <v>2876</v>
      </c>
      <c r="C637" s="4" t="s">
        <v>2877</v>
      </c>
      <c r="D637" s="4" t="s">
        <v>1616</v>
      </c>
      <c r="E637" s="4"/>
      <c r="F637" s="8"/>
      <c r="G637" s="8"/>
      <c r="H637" s="8"/>
      <c r="I637" s="8"/>
      <c r="J637" s="8"/>
      <c r="K637" s="8">
        <v>64000</v>
      </c>
      <c r="L637" s="18">
        <v>12</v>
      </c>
      <c r="M637" s="7">
        <f t="shared" si="9"/>
        <v>768000</v>
      </c>
      <c r="N637" s="4"/>
      <c r="O637" s="9"/>
    </row>
    <row r="638" spans="1:15" ht="20" x14ac:dyDescent="0.2">
      <c r="A638" s="3">
        <v>634</v>
      </c>
      <c r="B638" s="19" t="s">
        <v>2878</v>
      </c>
      <c r="C638" s="4" t="s">
        <v>2879</v>
      </c>
      <c r="D638" s="4" t="s">
        <v>1616</v>
      </c>
      <c r="E638" s="4"/>
      <c r="F638" s="8"/>
      <c r="G638" s="8"/>
      <c r="H638" s="8"/>
      <c r="I638" s="8"/>
      <c r="J638" s="8"/>
      <c r="K638" s="8">
        <v>80</v>
      </c>
      <c r="L638" s="18">
        <v>9800</v>
      </c>
      <c r="M638" s="7">
        <f t="shared" si="9"/>
        <v>784000</v>
      </c>
      <c r="N638" s="4"/>
      <c r="O638" s="9"/>
    </row>
    <row r="639" spans="1:15" ht="20" x14ac:dyDescent="0.2">
      <c r="A639" s="3">
        <v>635</v>
      </c>
      <c r="B639" s="19" t="s">
        <v>2880</v>
      </c>
      <c r="C639" s="4" t="s">
        <v>2881</v>
      </c>
      <c r="D639" s="4" t="s">
        <v>1616</v>
      </c>
      <c r="E639" s="4"/>
      <c r="F639" s="8"/>
      <c r="G639" s="8"/>
      <c r="H639" s="8"/>
      <c r="I639" s="8"/>
      <c r="J639" s="8"/>
      <c r="K639" s="8">
        <v>4400</v>
      </c>
      <c r="L639" s="18">
        <v>180</v>
      </c>
      <c r="M639" s="7">
        <f t="shared" si="9"/>
        <v>792000</v>
      </c>
      <c r="N639" s="4"/>
      <c r="O639" s="9"/>
    </row>
    <row r="640" spans="1:15" ht="20" x14ac:dyDescent="0.2">
      <c r="A640" s="3">
        <v>636</v>
      </c>
      <c r="B640" s="19" t="s">
        <v>2882</v>
      </c>
      <c r="C640" s="4" t="s">
        <v>2883</v>
      </c>
      <c r="D640" s="4" t="s">
        <v>1616</v>
      </c>
      <c r="E640" s="4"/>
      <c r="F640" s="8"/>
      <c r="G640" s="8"/>
      <c r="H640" s="8"/>
      <c r="I640" s="8"/>
      <c r="J640" s="8"/>
      <c r="K640" s="8">
        <v>2200</v>
      </c>
      <c r="L640" s="18">
        <v>369.15</v>
      </c>
      <c r="M640" s="7">
        <f t="shared" si="9"/>
        <v>812130</v>
      </c>
      <c r="N640" s="4"/>
      <c r="O640" s="9"/>
    </row>
    <row r="641" spans="1:15" ht="20" x14ac:dyDescent="0.2">
      <c r="A641" s="3">
        <v>637</v>
      </c>
      <c r="B641" s="19" t="s">
        <v>2884</v>
      </c>
      <c r="C641" s="4" t="s">
        <v>2885</v>
      </c>
      <c r="D641" s="4" t="s">
        <v>1616</v>
      </c>
      <c r="E641" s="4"/>
      <c r="F641" s="8"/>
      <c r="G641" s="8"/>
      <c r="H641" s="8"/>
      <c r="I641" s="8"/>
      <c r="J641" s="8"/>
      <c r="K641" s="8">
        <v>182</v>
      </c>
      <c r="L641" s="18">
        <v>4494</v>
      </c>
      <c r="M641" s="7">
        <f t="shared" si="9"/>
        <v>817908</v>
      </c>
      <c r="N641" s="4"/>
      <c r="O641" s="9"/>
    </row>
    <row r="642" spans="1:15" ht="20" x14ac:dyDescent="0.2">
      <c r="A642" s="3">
        <v>638</v>
      </c>
      <c r="B642" s="19" t="s">
        <v>2886</v>
      </c>
      <c r="C642" s="4" t="s">
        <v>2887</v>
      </c>
      <c r="D642" s="4" t="s">
        <v>1616</v>
      </c>
      <c r="E642" s="4"/>
      <c r="F642" s="8"/>
      <c r="G642" s="8"/>
      <c r="H642" s="8"/>
      <c r="I642" s="8"/>
      <c r="J642" s="8"/>
      <c r="K642" s="8">
        <v>1800</v>
      </c>
      <c r="L642" s="18">
        <v>459.03</v>
      </c>
      <c r="M642" s="7">
        <f t="shared" si="9"/>
        <v>826254</v>
      </c>
      <c r="N642" s="4"/>
      <c r="O642" s="9"/>
    </row>
    <row r="643" spans="1:15" ht="20" x14ac:dyDescent="0.2">
      <c r="A643" s="3">
        <v>639</v>
      </c>
      <c r="B643" s="19" t="s">
        <v>2888</v>
      </c>
      <c r="C643" s="4" t="s">
        <v>2889</v>
      </c>
      <c r="D643" s="4" t="s">
        <v>1616</v>
      </c>
      <c r="E643" s="4"/>
      <c r="F643" s="8"/>
      <c r="G643" s="8"/>
      <c r="H643" s="8"/>
      <c r="I643" s="8"/>
      <c r="J643" s="8"/>
      <c r="K643" s="8">
        <v>160</v>
      </c>
      <c r="L643" s="18">
        <v>5224.8</v>
      </c>
      <c r="M643" s="7">
        <f t="shared" si="9"/>
        <v>835968</v>
      </c>
      <c r="N643" s="4"/>
      <c r="O643" s="9"/>
    </row>
    <row r="644" spans="1:15" ht="20" x14ac:dyDescent="0.2">
      <c r="A644" s="3">
        <v>640</v>
      </c>
      <c r="B644" s="19" t="s">
        <v>2890</v>
      </c>
      <c r="C644" s="4" t="s">
        <v>2891</v>
      </c>
      <c r="D644" s="4" t="s">
        <v>1616</v>
      </c>
      <c r="E644" s="4"/>
      <c r="F644" s="8"/>
      <c r="G644" s="8"/>
      <c r="H644" s="8"/>
      <c r="I644" s="8"/>
      <c r="J644" s="8"/>
      <c r="K644" s="8">
        <v>14000</v>
      </c>
      <c r="L644" s="18">
        <v>60</v>
      </c>
      <c r="M644" s="7">
        <f t="shared" si="9"/>
        <v>840000</v>
      </c>
      <c r="N644" s="4"/>
      <c r="O644" s="9"/>
    </row>
    <row r="645" spans="1:15" ht="20" x14ac:dyDescent="0.2">
      <c r="A645" s="3">
        <v>641</v>
      </c>
      <c r="B645" s="19" t="s">
        <v>2892</v>
      </c>
      <c r="C645" s="4" t="s">
        <v>2893</v>
      </c>
      <c r="D645" s="4" t="s">
        <v>1616</v>
      </c>
      <c r="E645" s="4"/>
      <c r="F645" s="8"/>
      <c r="G645" s="8"/>
      <c r="H645" s="8"/>
      <c r="I645" s="8"/>
      <c r="J645" s="8"/>
      <c r="K645" s="8">
        <v>3000</v>
      </c>
      <c r="L645" s="18">
        <v>283</v>
      </c>
      <c r="M645" s="7">
        <f t="shared" ref="M645:M708" si="10">IF(OR(K645="",L645=""),"",K645*L645)</f>
        <v>849000</v>
      </c>
      <c r="N645" s="4"/>
      <c r="O645" s="9"/>
    </row>
    <row r="646" spans="1:15" ht="20" x14ac:dyDescent="0.2">
      <c r="A646" s="3">
        <v>642</v>
      </c>
      <c r="B646" s="19" t="s">
        <v>2894</v>
      </c>
      <c r="C646" s="4" t="s">
        <v>2895</v>
      </c>
      <c r="D646" s="4" t="s">
        <v>1616</v>
      </c>
      <c r="E646" s="4"/>
      <c r="F646" s="8"/>
      <c r="G646" s="8"/>
      <c r="H646" s="8"/>
      <c r="I646" s="8"/>
      <c r="J646" s="8"/>
      <c r="K646" s="8">
        <v>2800</v>
      </c>
      <c r="L646" s="18">
        <v>304</v>
      </c>
      <c r="M646" s="7">
        <f t="shared" si="10"/>
        <v>851200</v>
      </c>
      <c r="N646" s="4"/>
      <c r="O646" s="9"/>
    </row>
    <row r="647" spans="1:15" ht="20" x14ac:dyDescent="0.2">
      <c r="A647" s="3">
        <v>643</v>
      </c>
      <c r="B647" s="19" t="s">
        <v>2896</v>
      </c>
      <c r="C647" s="4" t="s">
        <v>2897</v>
      </c>
      <c r="D647" s="4" t="s">
        <v>1616</v>
      </c>
      <c r="E647" s="4"/>
      <c r="F647" s="8"/>
      <c r="G647" s="8"/>
      <c r="H647" s="8"/>
      <c r="I647" s="8"/>
      <c r="J647" s="8"/>
      <c r="K647" s="8">
        <v>1000</v>
      </c>
      <c r="L647" s="18">
        <v>854.93</v>
      </c>
      <c r="M647" s="7">
        <f t="shared" si="10"/>
        <v>854930</v>
      </c>
      <c r="N647" s="4"/>
      <c r="O647" s="9"/>
    </row>
    <row r="648" spans="1:15" ht="40" x14ac:dyDescent="0.2">
      <c r="A648" s="3">
        <v>644</v>
      </c>
      <c r="B648" s="19" t="s">
        <v>2898</v>
      </c>
      <c r="C648" s="4" t="s">
        <v>2899</v>
      </c>
      <c r="D648" s="4" t="s">
        <v>1616</v>
      </c>
      <c r="E648" s="4"/>
      <c r="F648" s="8"/>
      <c r="G648" s="8"/>
      <c r="H648" s="8"/>
      <c r="I648" s="8"/>
      <c r="J648" s="8"/>
      <c r="K648" s="8">
        <v>65</v>
      </c>
      <c r="L648" s="18">
        <v>13214.5</v>
      </c>
      <c r="M648" s="7">
        <f t="shared" si="10"/>
        <v>858942.5</v>
      </c>
      <c r="N648" s="4"/>
      <c r="O648" s="9"/>
    </row>
    <row r="649" spans="1:15" ht="20" x14ac:dyDescent="0.2">
      <c r="A649" s="3">
        <v>645</v>
      </c>
      <c r="B649" s="19" t="s">
        <v>2900</v>
      </c>
      <c r="C649" s="4" t="s">
        <v>2901</v>
      </c>
      <c r="D649" s="4" t="s">
        <v>1616</v>
      </c>
      <c r="E649" s="4"/>
      <c r="F649" s="8"/>
      <c r="G649" s="8"/>
      <c r="H649" s="8"/>
      <c r="I649" s="8"/>
      <c r="J649" s="8"/>
      <c r="K649" s="8">
        <v>24000</v>
      </c>
      <c r="L649" s="18">
        <v>36</v>
      </c>
      <c r="M649" s="7">
        <f t="shared" si="10"/>
        <v>864000</v>
      </c>
      <c r="N649" s="4"/>
      <c r="O649" s="9"/>
    </row>
    <row r="650" spans="1:15" ht="20" x14ac:dyDescent="0.2">
      <c r="A650" s="3">
        <v>646</v>
      </c>
      <c r="B650" s="19" t="s">
        <v>2902</v>
      </c>
      <c r="C650" s="4" t="s">
        <v>2903</v>
      </c>
      <c r="D650" s="4" t="s">
        <v>1616</v>
      </c>
      <c r="E650" s="4"/>
      <c r="F650" s="8"/>
      <c r="G650" s="8"/>
      <c r="H650" s="8"/>
      <c r="I650" s="8"/>
      <c r="J650" s="8"/>
      <c r="K650" s="8">
        <v>600</v>
      </c>
      <c r="L650" s="18">
        <v>1498</v>
      </c>
      <c r="M650" s="7">
        <f t="shared" si="10"/>
        <v>898800</v>
      </c>
      <c r="N650" s="4"/>
      <c r="O650" s="9"/>
    </row>
    <row r="651" spans="1:15" ht="20" x14ac:dyDescent="0.2">
      <c r="A651" s="3">
        <v>647</v>
      </c>
      <c r="B651" s="19" t="s">
        <v>2904</v>
      </c>
      <c r="C651" s="4" t="s">
        <v>2905</v>
      </c>
      <c r="D651" s="4" t="s">
        <v>1616</v>
      </c>
      <c r="E651" s="4"/>
      <c r="F651" s="8"/>
      <c r="G651" s="8"/>
      <c r="H651" s="8"/>
      <c r="I651" s="8"/>
      <c r="J651" s="8"/>
      <c r="K651" s="8">
        <v>1800</v>
      </c>
      <c r="L651" s="18">
        <v>500</v>
      </c>
      <c r="M651" s="7">
        <f t="shared" si="10"/>
        <v>900000</v>
      </c>
      <c r="N651" s="4"/>
      <c r="O651" s="9"/>
    </row>
    <row r="652" spans="1:15" ht="20" x14ac:dyDescent="0.2">
      <c r="A652" s="3">
        <v>648</v>
      </c>
      <c r="B652" s="19" t="s">
        <v>2906</v>
      </c>
      <c r="C652" s="4" t="s">
        <v>2907</v>
      </c>
      <c r="D652" s="4" t="s">
        <v>1616</v>
      </c>
      <c r="E652" s="4"/>
      <c r="F652" s="8"/>
      <c r="G652" s="8"/>
      <c r="H652" s="8"/>
      <c r="I652" s="8"/>
      <c r="J652" s="8"/>
      <c r="K652" s="8">
        <v>3000</v>
      </c>
      <c r="L652" s="18">
        <v>304.95</v>
      </c>
      <c r="M652" s="7">
        <f t="shared" si="10"/>
        <v>914850</v>
      </c>
      <c r="N652" s="4"/>
      <c r="O652" s="9"/>
    </row>
    <row r="653" spans="1:15" ht="20" x14ac:dyDescent="0.2">
      <c r="A653" s="3">
        <v>649</v>
      </c>
      <c r="B653" s="19" t="s">
        <v>2908</v>
      </c>
      <c r="C653" s="4" t="s">
        <v>2909</v>
      </c>
      <c r="D653" s="4" t="s">
        <v>1616</v>
      </c>
      <c r="E653" s="4"/>
      <c r="F653" s="8"/>
      <c r="G653" s="8"/>
      <c r="H653" s="8"/>
      <c r="I653" s="8"/>
      <c r="J653" s="8"/>
      <c r="K653" s="8">
        <v>1200</v>
      </c>
      <c r="L653" s="18">
        <v>770.4</v>
      </c>
      <c r="M653" s="7">
        <f t="shared" si="10"/>
        <v>924480</v>
      </c>
      <c r="N653" s="4"/>
      <c r="O653" s="9"/>
    </row>
    <row r="654" spans="1:15" ht="20" x14ac:dyDescent="0.2">
      <c r="A654" s="3">
        <v>650</v>
      </c>
      <c r="B654" s="19" t="s">
        <v>2910</v>
      </c>
      <c r="C654" s="4" t="s">
        <v>2911</v>
      </c>
      <c r="D654" s="4" t="s">
        <v>1616</v>
      </c>
      <c r="E654" s="4"/>
      <c r="F654" s="8"/>
      <c r="G654" s="8"/>
      <c r="H654" s="8"/>
      <c r="I654" s="8"/>
      <c r="J654" s="8"/>
      <c r="K654" s="8">
        <v>760</v>
      </c>
      <c r="L654" s="18">
        <v>1230.5</v>
      </c>
      <c r="M654" s="7">
        <f t="shared" si="10"/>
        <v>935180</v>
      </c>
      <c r="N654" s="4"/>
      <c r="O654" s="9"/>
    </row>
    <row r="655" spans="1:15" ht="20" x14ac:dyDescent="0.2">
      <c r="A655" s="3">
        <v>651</v>
      </c>
      <c r="B655" s="19" t="s">
        <v>2912</v>
      </c>
      <c r="C655" s="4" t="s">
        <v>2913</v>
      </c>
      <c r="D655" s="4" t="s">
        <v>1616</v>
      </c>
      <c r="E655" s="4"/>
      <c r="F655" s="8"/>
      <c r="G655" s="8"/>
      <c r="H655" s="8"/>
      <c r="I655" s="8"/>
      <c r="J655" s="8"/>
      <c r="K655" s="8">
        <v>150</v>
      </c>
      <c r="L655" s="18">
        <v>6250</v>
      </c>
      <c r="M655" s="7">
        <f t="shared" si="10"/>
        <v>937500</v>
      </c>
      <c r="N655" s="4"/>
      <c r="O655" s="9"/>
    </row>
    <row r="656" spans="1:15" ht="20" x14ac:dyDescent="0.2">
      <c r="A656" s="3">
        <v>652</v>
      </c>
      <c r="B656" s="19" t="s">
        <v>2914</v>
      </c>
      <c r="C656" s="4" t="s">
        <v>2915</v>
      </c>
      <c r="D656" s="4" t="s">
        <v>1616</v>
      </c>
      <c r="E656" s="4"/>
      <c r="F656" s="8"/>
      <c r="G656" s="8"/>
      <c r="H656" s="8"/>
      <c r="I656" s="8"/>
      <c r="J656" s="8"/>
      <c r="K656" s="8">
        <v>300</v>
      </c>
      <c r="L656" s="18">
        <v>3210</v>
      </c>
      <c r="M656" s="7">
        <f t="shared" si="10"/>
        <v>963000</v>
      </c>
      <c r="N656" s="4"/>
      <c r="O656" s="9"/>
    </row>
    <row r="657" spans="1:15" ht="40" x14ac:dyDescent="0.2">
      <c r="A657" s="3">
        <v>653</v>
      </c>
      <c r="B657" s="19" t="s">
        <v>2916</v>
      </c>
      <c r="C657" s="4" t="s">
        <v>2917</v>
      </c>
      <c r="D657" s="4" t="s">
        <v>1616</v>
      </c>
      <c r="E657" s="4"/>
      <c r="F657" s="8"/>
      <c r="G657" s="8"/>
      <c r="H657" s="8"/>
      <c r="I657" s="8"/>
      <c r="J657" s="8"/>
      <c r="K657" s="8">
        <v>260</v>
      </c>
      <c r="L657" s="18">
        <v>3745</v>
      </c>
      <c r="M657" s="7">
        <f t="shared" si="10"/>
        <v>973700</v>
      </c>
      <c r="N657" s="4"/>
      <c r="O657" s="9"/>
    </row>
    <row r="658" spans="1:15" ht="20" x14ac:dyDescent="0.2">
      <c r="A658" s="3">
        <v>654</v>
      </c>
      <c r="B658" s="19" t="s">
        <v>2918</v>
      </c>
      <c r="C658" s="4" t="s">
        <v>2919</v>
      </c>
      <c r="D658" s="4" t="s">
        <v>1616</v>
      </c>
      <c r="E658" s="4"/>
      <c r="F658" s="8"/>
      <c r="G658" s="8"/>
      <c r="H658" s="8"/>
      <c r="I658" s="8"/>
      <c r="J658" s="8"/>
      <c r="K658" s="8">
        <v>2100</v>
      </c>
      <c r="L658" s="18">
        <v>469.73</v>
      </c>
      <c r="M658" s="7">
        <f t="shared" si="10"/>
        <v>986433</v>
      </c>
      <c r="N658" s="4"/>
      <c r="O658" s="9"/>
    </row>
    <row r="659" spans="1:15" ht="20" x14ac:dyDescent="0.2">
      <c r="A659" s="3">
        <v>655</v>
      </c>
      <c r="B659" s="19" t="s">
        <v>2920</v>
      </c>
      <c r="C659" s="4" t="s">
        <v>2921</v>
      </c>
      <c r="D659" s="4" t="s">
        <v>1616</v>
      </c>
      <c r="E659" s="4"/>
      <c r="F659" s="8"/>
      <c r="G659" s="8"/>
      <c r="H659" s="8"/>
      <c r="I659" s="8"/>
      <c r="J659" s="8"/>
      <c r="K659" s="8">
        <v>72000</v>
      </c>
      <c r="L659" s="18">
        <v>14</v>
      </c>
      <c r="M659" s="7">
        <f t="shared" si="10"/>
        <v>1008000</v>
      </c>
      <c r="N659" s="4"/>
      <c r="O659" s="9"/>
    </row>
    <row r="660" spans="1:15" ht="20" x14ac:dyDescent="0.2">
      <c r="A660" s="3">
        <v>656</v>
      </c>
      <c r="B660" s="19" t="s">
        <v>2922</v>
      </c>
      <c r="C660" s="4" t="s">
        <v>2923</v>
      </c>
      <c r="D660" s="4" t="s">
        <v>1616</v>
      </c>
      <c r="E660" s="4"/>
      <c r="F660" s="8"/>
      <c r="G660" s="8"/>
      <c r="H660" s="8"/>
      <c r="I660" s="8"/>
      <c r="J660" s="8"/>
      <c r="K660" s="8">
        <v>5600</v>
      </c>
      <c r="L660" s="18">
        <v>181.5</v>
      </c>
      <c r="M660" s="7">
        <f t="shared" si="10"/>
        <v>1016400</v>
      </c>
      <c r="N660" s="4"/>
      <c r="O660" s="9"/>
    </row>
    <row r="661" spans="1:15" ht="20" x14ac:dyDescent="0.2">
      <c r="A661" s="3">
        <v>657</v>
      </c>
      <c r="B661" s="19" t="s">
        <v>2924</v>
      </c>
      <c r="C661" s="4" t="s">
        <v>2925</v>
      </c>
      <c r="D661" s="4" t="s">
        <v>1616</v>
      </c>
      <c r="E661" s="4"/>
      <c r="F661" s="8"/>
      <c r="G661" s="8"/>
      <c r="H661" s="8"/>
      <c r="I661" s="8"/>
      <c r="J661" s="8"/>
      <c r="K661" s="8">
        <v>300</v>
      </c>
      <c r="L661" s="18">
        <v>3391.9</v>
      </c>
      <c r="M661" s="7">
        <f t="shared" si="10"/>
        <v>1017570</v>
      </c>
      <c r="N661" s="4"/>
      <c r="O661" s="9"/>
    </row>
    <row r="662" spans="1:15" ht="20" x14ac:dyDescent="0.2">
      <c r="A662" s="3">
        <v>658</v>
      </c>
      <c r="B662" s="19" t="s">
        <v>2926</v>
      </c>
      <c r="C662" s="4" t="s">
        <v>2927</v>
      </c>
      <c r="D662" s="4" t="s">
        <v>1616</v>
      </c>
      <c r="E662" s="4"/>
      <c r="F662" s="8"/>
      <c r="G662" s="8"/>
      <c r="H662" s="8"/>
      <c r="I662" s="8"/>
      <c r="J662" s="8"/>
      <c r="K662" s="8">
        <v>1200</v>
      </c>
      <c r="L662" s="18">
        <v>854.93</v>
      </c>
      <c r="M662" s="7">
        <f t="shared" si="10"/>
        <v>1025915.9999999999</v>
      </c>
      <c r="N662" s="4"/>
      <c r="O662" s="9"/>
    </row>
    <row r="663" spans="1:15" ht="20" x14ac:dyDescent="0.2">
      <c r="A663" s="3">
        <v>659</v>
      </c>
      <c r="B663" s="19" t="s">
        <v>2928</v>
      </c>
      <c r="C663" s="4" t="s">
        <v>2929</v>
      </c>
      <c r="D663" s="4" t="s">
        <v>1616</v>
      </c>
      <c r="E663" s="4"/>
      <c r="F663" s="8"/>
      <c r="G663" s="8"/>
      <c r="H663" s="8"/>
      <c r="I663" s="8"/>
      <c r="J663" s="8"/>
      <c r="K663" s="8">
        <v>5200</v>
      </c>
      <c r="L663" s="18">
        <v>200</v>
      </c>
      <c r="M663" s="7">
        <f t="shared" si="10"/>
        <v>1040000</v>
      </c>
      <c r="N663" s="4"/>
      <c r="O663" s="9"/>
    </row>
    <row r="664" spans="1:15" ht="20" x14ac:dyDescent="0.2">
      <c r="A664" s="3">
        <v>660</v>
      </c>
      <c r="B664" s="19" t="s">
        <v>2930</v>
      </c>
      <c r="C664" s="4" t="s">
        <v>2931</v>
      </c>
      <c r="D664" s="4" t="s">
        <v>1616</v>
      </c>
      <c r="E664" s="4"/>
      <c r="F664" s="8"/>
      <c r="G664" s="8"/>
      <c r="H664" s="8"/>
      <c r="I664" s="8"/>
      <c r="J664" s="8"/>
      <c r="K664" s="8">
        <v>200</v>
      </c>
      <c r="L664" s="18">
        <v>5542.6</v>
      </c>
      <c r="M664" s="7">
        <f t="shared" si="10"/>
        <v>1108520</v>
      </c>
      <c r="N664" s="4"/>
      <c r="O664" s="9"/>
    </row>
    <row r="665" spans="1:15" ht="20" x14ac:dyDescent="0.2">
      <c r="A665" s="3">
        <v>661</v>
      </c>
      <c r="B665" s="19" t="s">
        <v>2932</v>
      </c>
      <c r="C665" s="4" t="s">
        <v>2933</v>
      </c>
      <c r="D665" s="4" t="s">
        <v>1616</v>
      </c>
      <c r="E665" s="4"/>
      <c r="F665" s="8"/>
      <c r="G665" s="8"/>
      <c r="H665" s="8"/>
      <c r="I665" s="8"/>
      <c r="J665" s="8"/>
      <c r="K665" s="8">
        <v>1200</v>
      </c>
      <c r="L665" s="18">
        <v>925.55</v>
      </c>
      <c r="M665" s="7">
        <f t="shared" si="10"/>
        <v>1110660</v>
      </c>
      <c r="N665" s="4"/>
      <c r="O665" s="9"/>
    </row>
    <row r="666" spans="1:15" ht="20" x14ac:dyDescent="0.2">
      <c r="A666" s="3">
        <v>662</v>
      </c>
      <c r="B666" s="19" t="s">
        <v>2934</v>
      </c>
      <c r="C666" s="4" t="s">
        <v>2935</v>
      </c>
      <c r="D666" s="4" t="s">
        <v>1616</v>
      </c>
      <c r="E666" s="4"/>
      <c r="F666" s="8"/>
      <c r="G666" s="8"/>
      <c r="H666" s="8"/>
      <c r="I666" s="8"/>
      <c r="J666" s="8"/>
      <c r="K666" s="8">
        <v>9000</v>
      </c>
      <c r="L666" s="18">
        <v>124.12</v>
      </c>
      <c r="M666" s="7">
        <f t="shared" si="10"/>
        <v>1117080</v>
      </c>
      <c r="N666" s="4"/>
      <c r="O666" s="9"/>
    </row>
    <row r="667" spans="1:15" ht="20" x14ac:dyDescent="0.2">
      <c r="A667" s="3">
        <v>663</v>
      </c>
      <c r="B667" s="19" t="s">
        <v>2936</v>
      </c>
      <c r="C667" s="4" t="s">
        <v>2937</v>
      </c>
      <c r="D667" s="4" t="s">
        <v>1616</v>
      </c>
      <c r="E667" s="4"/>
      <c r="F667" s="8"/>
      <c r="G667" s="8"/>
      <c r="H667" s="8"/>
      <c r="I667" s="8"/>
      <c r="J667" s="8"/>
      <c r="K667" s="8">
        <v>8800</v>
      </c>
      <c r="L667" s="18">
        <v>130</v>
      </c>
      <c r="M667" s="7">
        <f t="shared" si="10"/>
        <v>1144000</v>
      </c>
      <c r="N667" s="4"/>
      <c r="O667" s="9"/>
    </row>
    <row r="668" spans="1:15" ht="20" x14ac:dyDescent="0.2">
      <c r="A668" s="3">
        <v>664</v>
      </c>
      <c r="B668" s="19" t="s">
        <v>2938</v>
      </c>
      <c r="C668" s="4" t="s">
        <v>2939</v>
      </c>
      <c r="D668" s="4" t="s">
        <v>1616</v>
      </c>
      <c r="E668" s="4"/>
      <c r="F668" s="8"/>
      <c r="G668" s="8"/>
      <c r="H668" s="8"/>
      <c r="I668" s="8"/>
      <c r="J668" s="8"/>
      <c r="K668" s="8">
        <v>1500</v>
      </c>
      <c r="L668" s="18">
        <v>770</v>
      </c>
      <c r="M668" s="7">
        <f t="shared" si="10"/>
        <v>1155000</v>
      </c>
      <c r="N668" s="4"/>
      <c r="O668" s="9"/>
    </row>
    <row r="669" spans="1:15" ht="20" x14ac:dyDescent="0.2">
      <c r="A669" s="3">
        <v>665</v>
      </c>
      <c r="B669" s="19" t="s">
        <v>2940</v>
      </c>
      <c r="C669" s="4" t="s">
        <v>2941</v>
      </c>
      <c r="D669" s="4" t="s">
        <v>1616</v>
      </c>
      <c r="E669" s="4"/>
      <c r="F669" s="8"/>
      <c r="G669" s="8"/>
      <c r="H669" s="8"/>
      <c r="I669" s="8"/>
      <c r="J669" s="8"/>
      <c r="K669" s="8">
        <v>72000</v>
      </c>
      <c r="L669" s="18">
        <v>16.05</v>
      </c>
      <c r="M669" s="7">
        <f t="shared" si="10"/>
        <v>1155600</v>
      </c>
      <c r="N669" s="4"/>
      <c r="O669" s="9"/>
    </row>
    <row r="670" spans="1:15" ht="20" x14ac:dyDescent="0.2">
      <c r="A670" s="3">
        <v>666</v>
      </c>
      <c r="B670" s="19" t="s">
        <v>2942</v>
      </c>
      <c r="C670" s="4" t="s">
        <v>2943</v>
      </c>
      <c r="D670" s="4" t="s">
        <v>1616</v>
      </c>
      <c r="E670" s="4"/>
      <c r="F670" s="8"/>
      <c r="G670" s="8"/>
      <c r="H670" s="8"/>
      <c r="I670" s="8"/>
      <c r="J670" s="8"/>
      <c r="K670" s="8">
        <v>5200</v>
      </c>
      <c r="L670" s="18">
        <v>224</v>
      </c>
      <c r="M670" s="7">
        <f t="shared" si="10"/>
        <v>1164800</v>
      </c>
      <c r="N670" s="4"/>
      <c r="O670" s="9"/>
    </row>
    <row r="671" spans="1:15" ht="20" x14ac:dyDescent="0.2">
      <c r="A671" s="3">
        <v>667</v>
      </c>
      <c r="B671" s="19" t="s">
        <v>2944</v>
      </c>
      <c r="C671" s="4" t="s">
        <v>2945</v>
      </c>
      <c r="D671" s="4" t="s">
        <v>1616</v>
      </c>
      <c r="E671" s="4"/>
      <c r="F671" s="8"/>
      <c r="G671" s="8"/>
      <c r="H671" s="8"/>
      <c r="I671" s="8"/>
      <c r="J671" s="8"/>
      <c r="K671" s="8">
        <v>1000</v>
      </c>
      <c r="L671" s="18">
        <v>1177</v>
      </c>
      <c r="M671" s="7">
        <f t="shared" si="10"/>
        <v>1177000</v>
      </c>
      <c r="N671" s="4"/>
      <c r="O671" s="9"/>
    </row>
    <row r="672" spans="1:15" ht="20" x14ac:dyDescent="0.2">
      <c r="A672" s="3">
        <v>668</v>
      </c>
      <c r="B672" s="19" t="s">
        <v>2946</v>
      </c>
      <c r="C672" s="4" t="s">
        <v>2947</v>
      </c>
      <c r="D672" s="4" t="s">
        <v>1616</v>
      </c>
      <c r="E672" s="4"/>
      <c r="F672" s="8"/>
      <c r="G672" s="8"/>
      <c r="H672" s="8"/>
      <c r="I672" s="8"/>
      <c r="J672" s="8"/>
      <c r="K672" s="8">
        <v>3600</v>
      </c>
      <c r="L672" s="18">
        <v>329.56</v>
      </c>
      <c r="M672" s="7">
        <f t="shared" si="10"/>
        <v>1186416</v>
      </c>
      <c r="N672" s="4"/>
      <c r="O672" s="9"/>
    </row>
    <row r="673" spans="1:15" ht="20" x14ac:dyDescent="0.2">
      <c r="A673" s="3">
        <v>669</v>
      </c>
      <c r="B673" s="19" t="s">
        <v>2948</v>
      </c>
      <c r="C673" s="4" t="s">
        <v>2949</v>
      </c>
      <c r="D673" s="4" t="s">
        <v>1616</v>
      </c>
      <c r="E673" s="4"/>
      <c r="F673" s="8"/>
      <c r="G673" s="8"/>
      <c r="H673" s="8"/>
      <c r="I673" s="8"/>
      <c r="J673" s="8"/>
      <c r="K673" s="8">
        <v>2800</v>
      </c>
      <c r="L673" s="18">
        <v>428</v>
      </c>
      <c r="M673" s="7">
        <f t="shared" si="10"/>
        <v>1198400</v>
      </c>
      <c r="N673" s="4"/>
      <c r="O673" s="9"/>
    </row>
    <row r="674" spans="1:15" ht="20" x14ac:dyDescent="0.2">
      <c r="A674" s="3">
        <v>670</v>
      </c>
      <c r="B674" s="19" t="s">
        <v>2950</v>
      </c>
      <c r="C674" s="4" t="s">
        <v>2951</v>
      </c>
      <c r="D674" s="4" t="s">
        <v>1616</v>
      </c>
      <c r="E674" s="4"/>
      <c r="F674" s="8"/>
      <c r="G674" s="8"/>
      <c r="H674" s="8"/>
      <c r="I674" s="8"/>
      <c r="J674" s="8"/>
      <c r="K674" s="8">
        <v>1600</v>
      </c>
      <c r="L674" s="18">
        <v>749</v>
      </c>
      <c r="M674" s="7">
        <f t="shared" si="10"/>
        <v>1198400</v>
      </c>
      <c r="N674" s="4"/>
      <c r="O674" s="9"/>
    </row>
    <row r="675" spans="1:15" ht="20" x14ac:dyDescent="0.2">
      <c r="A675" s="3">
        <v>671</v>
      </c>
      <c r="B675" s="19" t="s">
        <v>2952</v>
      </c>
      <c r="C675" s="4" t="s">
        <v>2953</v>
      </c>
      <c r="D675" s="4" t="s">
        <v>1616</v>
      </c>
      <c r="E675" s="4"/>
      <c r="F675" s="8"/>
      <c r="G675" s="8"/>
      <c r="H675" s="8"/>
      <c r="I675" s="8"/>
      <c r="J675" s="8"/>
      <c r="K675" s="8">
        <v>1000</v>
      </c>
      <c r="L675" s="18">
        <v>1230.5</v>
      </c>
      <c r="M675" s="7">
        <f t="shared" si="10"/>
        <v>1230500</v>
      </c>
      <c r="N675" s="4"/>
      <c r="O675" s="9"/>
    </row>
    <row r="676" spans="1:15" ht="20" x14ac:dyDescent="0.2">
      <c r="A676" s="3">
        <v>672</v>
      </c>
      <c r="B676" s="19" t="s">
        <v>2954</v>
      </c>
      <c r="C676" s="4" t="s">
        <v>2955</v>
      </c>
      <c r="D676" s="4" t="s">
        <v>1616</v>
      </c>
      <c r="E676" s="4"/>
      <c r="F676" s="8"/>
      <c r="G676" s="8"/>
      <c r="H676" s="8"/>
      <c r="I676" s="8"/>
      <c r="J676" s="8"/>
      <c r="K676" s="8">
        <v>7700</v>
      </c>
      <c r="L676" s="18">
        <v>160.5</v>
      </c>
      <c r="M676" s="7">
        <f t="shared" si="10"/>
        <v>1235850</v>
      </c>
      <c r="N676" s="4"/>
      <c r="O676" s="9"/>
    </row>
    <row r="677" spans="1:15" ht="20" x14ac:dyDescent="0.2">
      <c r="A677" s="3">
        <v>673</v>
      </c>
      <c r="B677" s="19" t="s">
        <v>2956</v>
      </c>
      <c r="C677" s="4" t="s">
        <v>2957</v>
      </c>
      <c r="D677" s="4" t="s">
        <v>1616</v>
      </c>
      <c r="E677" s="4"/>
      <c r="F677" s="8"/>
      <c r="G677" s="8"/>
      <c r="H677" s="8"/>
      <c r="I677" s="8"/>
      <c r="J677" s="8"/>
      <c r="K677" s="8">
        <v>6200</v>
      </c>
      <c r="L677" s="18">
        <v>200</v>
      </c>
      <c r="M677" s="7">
        <f t="shared" si="10"/>
        <v>1240000</v>
      </c>
      <c r="N677" s="4"/>
      <c r="O677" s="9"/>
    </row>
    <row r="678" spans="1:15" ht="20" x14ac:dyDescent="0.2">
      <c r="A678" s="3">
        <v>674</v>
      </c>
      <c r="B678" s="19" t="s">
        <v>2958</v>
      </c>
      <c r="C678" s="4" t="s">
        <v>2959</v>
      </c>
      <c r="D678" s="4" t="s">
        <v>1616</v>
      </c>
      <c r="E678" s="4"/>
      <c r="F678" s="8"/>
      <c r="G678" s="8"/>
      <c r="H678" s="8"/>
      <c r="I678" s="8"/>
      <c r="J678" s="8"/>
      <c r="K678" s="8">
        <v>51000</v>
      </c>
      <c r="L678" s="18">
        <v>25</v>
      </c>
      <c r="M678" s="7">
        <f t="shared" si="10"/>
        <v>1275000</v>
      </c>
      <c r="N678" s="4"/>
      <c r="O678" s="9"/>
    </row>
    <row r="679" spans="1:15" ht="20" x14ac:dyDescent="0.2">
      <c r="A679" s="3">
        <v>675</v>
      </c>
      <c r="B679" s="19" t="s">
        <v>2960</v>
      </c>
      <c r="C679" s="4" t="s">
        <v>2961</v>
      </c>
      <c r="D679" s="4" t="s">
        <v>1616</v>
      </c>
      <c r="E679" s="4"/>
      <c r="F679" s="8"/>
      <c r="G679" s="8"/>
      <c r="H679" s="8"/>
      <c r="I679" s="8"/>
      <c r="J679" s="8"/>
      <c r="K679" s="8">
        <v>2400</v>
      </c>
      <c r="L679" s="18">
        <v>535</v>
      </c>
      <c r="M679" s="7">
        <f t="shared" si="10"/>
        <v>1284000</v>
      </c>
      <c r="N679" s="4"/>
      <c r="O679" s="9"/>
    </row>
    <row r="680" spans="1:15" ht="20" x14ac:dyDescent="0.2">
      <c r="A680" s="3">
        <v>676</v>
      </c>
      <c r="B680" s="19" t="s">
        <v>2962</v>
      </c>
      <c r="C680" s="4" t="s">
        <v>2963</v>
      </c>
      <c r="D680" s="4" t="s">
        <v>1616</v>
      </c>
      <c r="E680" s="4"/>
      <c r="F680" s="8"/>
      <c r="G680" s="8"/>
      <c r="H680" s="8"/>
      <c r="I680" s="8"/>
      <c r="J680" s="8"/>
      <c r="K680" s="8">
        <v>720</v>
      </c>
      <c r="L680" s="18">
        <v>1829.7</v>
      </c>
      <c r="M680" s="7">
        <f t="shared" si="10"/>
        <v>1317384</v>
      </c>
      <c r="N680" s="4"/>
      <c r="O680" s="9"/>
    </row>
    <row r="681" spans="1:15" ht="20" x14ac:dyDescent="0.2">
      <c r="A681" s="3">
        <v>677</v>
      </c>
      <c r="B681" s="19" t="s">
        <v>2964</v>
      </c>
      <c r="C681" s="4" t="s">
        <v>2965</v>
      </c>
      <c r="D681" s="4" t="s">
        <v>1616</v>
      </c>
      <c r="E681" s="4"/>
      <c r="F681" s="8"/>
      <c r="G681" s="8"/>
      <c r="H681" s="8"/>
      <c r="I681" s="8"/>
      <c r="J681" s="8"/>
      <c r="K681" s="8">
        <v>4400</v>
      </c>
      <c r="L681" s="18">
        <v>300</v>
      </c>
      <c r="M681" s="7">
        <f t="shared" si="10"/>
        <v>1320000</v>
      </c>
      <c r="N681" s="4"/>
      <c r="O681" s="9"/>
    </row>
    <row r="682" spans="1:15" ht="20" x14ac:dyDescent="0.2">
      <c r="A682" s="3">
        <v>678</v>
      </c>
      <c r="B682" s="19" t="s">
        <v>2966</v>
      </c>
      <c r="C682" s="4" t="s">
        <v>2967</v>
      </c>
      <c r="D682" s="4" t="s">
        <v>1616</v>
      </c>
      <c r="E682" s="4"/>
      <c r="F682" s="8"/>
      <c r="G682" s="8"/>
      <c r="H682" s="8"/>
      <c r="I682" s="8"/>
      <c r="J682" s="8"/>
      <c r="K682" s="8">
        <v>1000</v>
      </c>
      <c r="L682" s="18">
        <v>1337.5</v>
      </c>
      <c r="M682" s="7">
        <f t="shared" si="10"/>
        <v>1337500</v>
      </c>
      <c r="N682" s="4"/>
      <c r="O682" s="9"/>
    </row>
    <row r="683" spans="1:15" ht="20" x14ac:dyDescent="0.2">
      <c r="A683" s="3">
        <v>679</v>
      </c>
      <c r="B683" s="19" t="s">
        <v>2968</v>
      </c>
      <c r="C683" s="4" t="s">
        <v>2969</v>
      </c>
      <c r="D683" s="4" t="s">
        <v>1616</v>
      </c>
      <c r="E683" s="4"/>
      <c r="F683" s="8"/>
      <c r="G683" s="8"/>
      <c r="H683" s="8"/>
      <c r="I683" s="8"/>
      <c r="J683" s="8"/>
      <c r="K683" s="8">
        <v>6000</v>
      </c>
      <c r="L683" s="18">
        <v>226.84</v>
      </c>
      <c r="M683" s="7">
        <f t="shared" si="10"/>
        <v>1361040</v>
      </c>
      <c r="N683" s="4"/>
      <c r="O683" s="9"/>
    </row>
    <row r="684" spans="1:15" ht="20" x14ac:dyDescent="0.2">
      <c r="A684" s="3">
        <v>680</v>
      </c>
      <c r="B684" s="19" t="s">
        <v>2970</v>
      </c>
      <c r="C684" s="4" t="s">
        <v>2971</v>
      </c>
      <c r="D684" s="4" t="s">
        <v>1616</v>
      </c>
      <c r="E684" s="4"/>
      <c r="F684" s="8"/>
      <c r="G684" s="8"/>
      <c r="H684" s="8"/>
      <c r="I684" s="8"/>
      <c r="J684" s="8"/>
      <c r="K684" s="8">
        <v>1550</v>
      </c>
      <c r="L684" s="18">
        <v>882.75</v>
      </c>
      <c r="M684" s="7">
        <f t="shared" si="10"/>
        <v>1368262.5</v>
      </c>
      <c r="N684" s="4"/>
      <c r="O684" s="9"/>
    </row>
    <row r="685" spans="1:15" ht="20" x14ac:dyDescent="0.2">
      <c r="A685" s="3">
        <v>681</v>
      </c>
      <c r="B685" s="19" t="s">
        <v>2972</v>
      </c>
      <c r="C685" s="4" t="s">
        <v>2973</v>
      </c>
      <c r="D685" s="4" t="s">
        <v>1616</v>
      </c>
      <c r="E685" s="4"/>
      <c r="F685" s="8"/>
      <c r="G685" s="8"/>
      <c r="H685" s="8"/>
      <c r="I685" s="8"/>
      <c r="J685" s="8"/>
      <c r="K685" s="8">
        <v>55000</v>
      </c>
      <c r="L685" s="18">
        <v>25</v>
      </c>
      <c r="M685" s="7">
        <f t="shared" si="10"/>
        <v>1375000</v>
      </c>
      <c r="N685" s="4"/>
      <c r="O685" s="9"/>
    </row>
    <row r="686" spans="1:15" ht="20" x14ac:dyDescent="0.2">
      <c r="A686" s="3">
        <v>682</v>
      </c>
      <c r="B686" s="19" t="s">
        <v>2974</v>
      </c>
      <c r="C686" s="4" t="s">
        <v>2975</v>
      </c>
      <c r="D686" s="4" t="s">
        <v>1616</v>
      </c>
      <c r="E686" s="4"/>
      <c r="F686" s="8"/>
      <c r="G686" s="8"/>
      <c r="H686" s="8"/>
      <c r="I686" s="8"/>
      <c r="J686" s="8"/>
      <c r="K686" s="8">
        <v>13000</v>
      </c>
      <c r="L686" s="18">
        <v>105.93</v>
      </c>
      <c r="M686" s="7">
        <f t="shared" si="10"/>
        <v>1377090</v>
      </c>
      <c r="N686" s="4"/>
      <c r="O686" s="9"/>
    </row>
    <row r="687" spans="1:15" ht="20" x14ac:dyDescent="0.2">
      <c r="A687" s="3">
        <v>683</v>
      </c>
      <c r="B687" s="19" t="s">
        <v>2976</v>
      </c>
      <c r="C687" s="4" t="s">
        <v>2977</v>
      </c>
      <c r="D687" s="4" t="s">
        <v>1616</v>
      </c>
      <c r="E687" s="4"/>
      <c r="F687" s="8"/>
      <c r="G687" s="8"/>
      <c r="H687" s="8"/>
      <c r="I687" s="8"/>
      <c r="J687" s="8"/>
      <c r="K687" s="8">
        <v>10000</v>
      </c>
      <c r="L687" s="18">
        <v>138</v>
      </c>
      <c r="M687" s="7">
        <f t="shared" si="10"/>
        <v>1380000</v>
      </c>
      <c r="N687" s="4"/>
      <c r="O687" s="9"/>
    </row>
    <row r="688" spans="1:15" ht="20" x14ac:dyDescent="0.2">
      <c r="A688" s="3">
        <v>684</v>
      </c>
      <c r="B688" s="19" t="s">
        <v>2978</v>
      </c>
      <c r="C688" s="4" t="s">
        <v>2979</v>
      </c>
      <c r="D688" s="4" t="s">
        <v>1616</v>
      </c>
      <c r="E688" s="4"/>
      <c r="F688" s="8"/>
      <c r="G688" s="8"/>
      <c r="H688" s="8"/>
      <c r="I688" s="8"/>
      <c r="J688" s="8"/>
      <c r="K688" s="8">
        <v>5000</v>
      </c>
      <c r="L688" s="18">
        <v>277.13</v>
      </c>
      <c r="M688" s="7">
        <f t="shared" si="10"/>
        <v>1385650</v>
      </c>
      <c r="N688" s="4"/>
      <c r="O688" s="9"/>
    </row>
    <row r="689" spans="1:15" ht="20" x14ac:dyDescent="0.2">
      <c r="A689" s="3">
        <v>685</v>
      </c>
      <c r="B689" s="19" t="s">
        <v>2980</v>
      </c>
      <c r="C689" s="4" t="s">
        <v>2981</v>
      </c>
      <c r="D689" s="4" t="s">
        <v>1616</v>
      </c>
      <c r="E689" s="4"/>
      <c r="F689" s="8"/>
      <c r="G689" s="8"/>
      <c r="H689" s="8"/>
      <c r="I689" s="8"/>
      <c r="J689" s="8"/>
      <c r="K689" s="8">
        <v>36000</v>
      </c>
      <c r="L689" s="18">
        <v>38.520000000000003</v>
      </c>
      <c r="M689" s="7">
        <f t="shared" si="10"/>
        <v>1386720</v>
      </c>
      <c r="N689" s="4"/>
      <c r="O689" s="9"/>
    </row>
    <row r="690" spans="1:15" ht="40" x14ac:dyDescent="0.2">
      <c r="A690" s="3">
        <v>686</v>
      </c>
      <c r="B690" s="19" t="s">
        <v>2982</v>
      </c>
      <c r="C690" s="4" t="s">
        <v>2983</v>
      </c>
      <c r="D690" s="4" t="s">
        <v>1616</v>
      </c>
      <c r="E690" s="4"/>
      <c r="F690" s="8"/>
      <c r="G690" s="8"/>
      <c r="H690" s="8"/>
      <c r="I690" s="8"/>
      <c r="J690" s="8"/>
      <c r="K690" s="8">
        <v>2500</v>
      </c>
      <c r="L690" s="18">
        <v>597.05999999999995</v>
      </c>
      <c r="M690" s="7">
        <f t="shared" si="10"/>
        <v>1492649.9999999998</v>
      </c>
      <c r="N690" s="4"/>
      <c r="O690" s="9"/>
    </row>
    <row r="691" spans="1:15" ht="20" x14ac:dyDescent="0.2">
      <c r="A691" s="3">
        <v>687</v>
      </c>
      <c r="B691" s="19" t="s">
        <v>2984</v>
      </c>
      <c r="C691" s="4" t="s">
        <v>2985</v>
      </c>
      <c r="D691" s="4" t="s">
        <v>1616</v>
      </c>
      <c r="E691" s="4"/>
      <c r="F691" s="8"/>
      <c r="G691" s="8"/>
      <c r="H691" s="8"/>
      <c r="I691" s="8"/>
      <c r="J691" s="8"/>
      <c r="K691" s="8">
        <v>5200</v>
      </c>
      <c r="L691" s="18">
        <v>288.89999999999998</v>
      </c>
      <c r="M691" s="7">
        <f t="shared" si="10"/>
        <v>1502279.9999999998</v>
      </c>
      <c r="N691" s="4"/>
      <c r="O691" s="9"/>
    </row>
    <row r="692" spans="1:15" ht="20" x14ac:dyDescent="0.2">
      <c r="A692" s="3">
        <v>688</v>
      </c>
      <c r="B692" s="19" t="s">
        <v>2986</v>
      </c>
      <c r="C692" s="4" t="s">
        <v>2987</v>
      </c>
      <c r="D692" s="4" t="s">
        <v>1616</v>
      </c>
      <c r="E692" s="4"/>
      <c r="F692" s="8"/>
      <c r="G692" s="8"/>
      <c r="H692" s="8"/>
      <c r="I692" s="8"/>
      <c r="J692" s="8"/>
      <c r="K692" s="8">
        <v>32000</v>
      </c>
      <c r="L692" s="18">
        <v>48.15</v>
      </c>
      <c r="M692" s="7">
        <f t="shared" si="10"/>
        <v>1540800</v>
      </c>
      <c r="N692" s="4"/>
      <c r="O692" s="9"/>
    </row>
    <row r="693" spans="1:15" ht="20" x14ac:dyDescent="0.2">
      <c r="A693" s="3">
        <v>689</v>
      </c>
      <c r="B693" s="19"/>
      <c r="C693" s="4" t="s">
        <v>2988</v>
      </c>
      <c r="D693" s="4" t="s">
        <v>1616</v>
      </c>
      <c r="E693" s="4"/>
      <c r="F693" s="8"/>
      <c r="G693" s="8"/>
      <c r="H693" s="8"/>
      <c r="I693" s="8"/>
      <c r="J693" s="8"/>
      <c r="K693" s="8">
        <v>22000</v>
      </c>
      <c r="L693" s="18">
        <v>72</v>
      </c>
      <c r="M693" s="7">
        <f t="shared" si="10"/>
        <v>1584000</v>
      </c>
      <c r="N693" s="4"/>
      <c r="O693" s="9"/>
    </row>
    <row r="694" spans="1:15" ht="20" x14ac:dyDescent="0.2">
      <c r="A694" s="3">
        <v>690</v>
      </c>
      <c r="B694" s="19" t="s">
        <v>2989</v>
      </c>
      <c r="C694" s="4" t="s">
        <v>2990</v>
      </c>
      <c r="D694" s="4" t="s">
        <v>1616</v>
      </c>
      <c r="E694" s="4"/>
      <c r="F694" s="8"/>
      <c r="G694" s="8"/>
      <c r="H694" s="8"/>
      <c r="I694" s="8"/>
      <c r="J694" s="8"/>
      <c r="K694" s="8">
        <v>30000</v>
      </c>
      <c r="L694" s="18">
        <v>53.5</v>
      </c>
      <c r="M694" s="7">
        <f t="shared" si="10"/>
        <v>1605000</v>
      </c>
      <c r="N694" s="4"/>
      <c r="O694" s="9"/>
    </row>
    <row r="695" spans="1:15" ht="20" x14ac:dyDescent="0.2">
      <c r="A695" s="3">
        <v>691</v>
      </c>
      <c r="B695" s="19" t="s">
        <v>2991</v>
      </c>
      <c r="C695" s="4" t="s">
        <v>2992</v>
      </c>
      <c r="D695" s="4" t="s">
        <v>1616</v>
      </c>
      <c r="E695" s="4"/>
      <c r="F695" s="8"/>
      <c r="G695" s="8"/>
      <c r="H695" s="8"/>
      <c r="I695" s="8"/>
      <c r="J695" s="8"/>
      <c r="K695" s="8">
        <v>3000</v>
      </c>
      <c r="L695" s="18">
        <v>535</v>
      </c>
      <c r="M695" s="7">
        <f t="shared" si="10"/>
        <v>1605000</v>
      </c>
      <c r="N695" s="4"/>
      <c r="O695" s="9"/>
    </row>
    <row r="696" spans="1:15" ht="20" x14ac:dyDescent="0.2">
      <c r="A696" s="3">
        <v>692</v>
      </c>
      <c r="B696" s="19" t="s">
        <v>2993</v>
      </c>
      <c r="C696" s="4" t="s">
        <v>2994</v>
      </c>
      <c r="D696" s="4" t="s">
        <v>1616</v>
      </c>
      <c r="E696" s="4"/>
      <c r="F696" s="8"/>
      <c r="G696" s="8"/>
      <c r="H696" s="8"/>
      <c r="I696" s="8"/>
      <c r="J696" s="8"/>
      <c r="K696" s="8">
        <v>10000</v>
      </c>
      <c r="L696" s="18">
        <v>160.5</v>
      </c>
      <c r="M696" s="7">
        <f t="shared" si="10"/>
        <v>1605000</v>
      </c>
      <c r="N696" s="4"/>
      <c r="O696" s="9"/>
    </row>
    <row r="697" spans="1:15" ht="20" x14ac:dyDescent="0.2">
      <c r="A697" s="3">
        <v>693</v>
      </c>
      <c r="B697" s="19" t="s">
        <v>2995</v>
      </c>
      <c r="C697" s="4" t="s">
        <v>2996</v>
      </c>
      <c r="D697" s="4" t="s">
        <v>1616</v>
      </c>
      <c r="E697" s="4"/>
      <c r="F697" s="8"/>
      <c r="G697" s="8"/>
      <c r="H697" s="8"/>
      <c r="I697" s="8"/>
      <c r="J697" s="8"/>
      <c r="K697" s="8">
        <v>460</v>
      </c>
      <c r="L697" s="18">
        <v>3560</v>
      </c>
      <c r="M697" s="7">
        <f t="shared" si="10"/>
        <v>1637600</v>
      </c>
      <c r="N697" s="4"/>
      <c r="O697" s="9"/>
    </row>
    <row r="698" spans="1:15" ht="20" x14ac:dyDescent="0.2">
      <c r="A698" s="3">
        <v>694</v>
      </c>
      <c r="B698" s="19" t="s">
        <v>2997</v>
      </c>
      <c r="C698" s="4" t="s">
        <v>2998</v>
      </c>
      <c r="D698" s="4" t="s">
        <v>1616</v>
      </c>
      <c r="E698" s="4"/>
      <c r="F698" s="8"/>
      <c r="G698" s="8"/>
      <c r="H698" s="8"/>
      <c r="I698" s="8"/>
      <c r="J698" s="8"/>
      <c r="K698" s="8">
        <v>40</v>
      </c>
      <c r="L698" s="18">
        <v>41623</v>
      </c>
      <c r="M698" s="7">
        <f t="shared" si="10"/>
        <v>1664920</v>
      </c>
      <c r="N698" s="4"/>
      <c r="O698" s="9"/>
    </row>
    <row r="699" spans="1:15" ht="20" x14ac:dyDescent="0.2">
      <c r="A699" s="3">
        <v>695</v>
      </c>
      <c r="B699" s="19" t="s">
        <v>2999</v>
      </c>
      <c r="C699" s="4" t="s">
        <v>3000</v>
      </c>
      <c r="D699" s="4" t="s">
        <v>1616</v>
      </c>
      <c r="E699" s="4"/>
      <c r="F699" s="8"/>
      <c r="G699" s="8"/>
      <c r="H699" s="8"/>
      <c r="I699" s="8"/>
      <c r="J699" s="8"/>
      <c r="K699" s="8">
        <v>2000</v>
      </c>
      <c r="L699" s="18">
        <v>854.93</v>
      </c>
      <c r="M699" s="7">
        <f t="shared" si="10"/>
        <v>1709860</v>
      </c>
      <c r="N699" s="4"/>
      <c r="O699" s="9"/>
    </row>
    <row r="700" spans="1:15" ht="20" x14ac:dyDescent="0.2">
      <c r="A700" s="3">
        <v>696</v>
      </c>
      <c r="B700" s="19" t="s">
        <v>3001</v>
      </c>
      <c r="C700" s="4" t="s">
        <v>3002</v>
      </c>
      <c r="D700" s="4" t="s">
        <v>1616</v>
      </c>
      <c r="E700" s="4"/>
      <c r="F700" s="8"/>
      <c r="G700" s="8"/>
      <c r="H700" s="8"/>
      <c r="I700" s="8"/>
      <c r="J700" s="8"/>
      <c r="K700" s="8">
        <v>9000</v>
      </c>
      <c r="L700" s="18">
        <v>192.6</v>
      </c>
      <c r="M700" s="7">
        <f t="shared" si="10"/>
        <v>1733400</v>
      </c>
      <c r="N700" s="4"/>
      <c r="O700" s="9"/>
    </row>
    <row r="701" spans="1:15" ht="20" x14ac:dyDescent="0.2">
      <c r="A701" s="3">
        <v>697</v>
      </c>
      <c r="B701" s="19" t="s">
        <v>3003</v>
      </c>
      <c r="C701" s="4" t="s">
        <v>3004</v>
      </c>
      <c r="D701" s="4" t="s">
        <v>1616</v>
      </c>
      <c r="E701" s="4"/>
      <c r="F701" s="8"/>
      <c r="G701" s="8"/>
      <c r="H701" s="8"/>
      <c r="I701" s="8"/>
      <c r="J701" s="8"/>
      <c r="K701" s="8">
        <v>9000</v>
      </c>
      <c r="L701" s="18">
        <v>195</v>
      </c>
      <c r="M701" s="7">
        <f t="shared" si="10"/>
        <v>1755000</v>
      </c>
      <c r="N701" s="4"/>
      <c r="O701" s="9"/>
    </row>
    <row r="702" spans="1:15" ht="20" x14ac:dyDescent="0.2">
      <c r="A702" s="3">
        <v>698</v>
      </c>
      <c r="B702" s="19" t="s">
        <v>3005</v>
      </c>
      <c r="C702" s="4" t="s">
        <v>3006</v>
      </c>
      <c r="D702" s="4" t="s">
        <v>1616</v>
      </c>
      <c r="E702" s="4"/>
      <c r="F702" s="8"/>
      <c r="G702" s="8"/>
      <c r="H702" s="8"/>
      <c r="I702" s="8"/>
      <c r="J702" s="8"/>
      <c r="K702" s="8">
        <v>33000</v>
      </c>
      <c r="L702" s="18">
        <v>55</v>
      </c>
      <c r="M702" s="7">
        <f t="shared" si="10"/>
        <v>1815000</v>
      </c>
      <c r="N702" s="4"/>
      <c r="O702" s="9"/>
    </row>
    <row r="703" spans="1:15" ht="20" x14ac:dyDescent="0.2">
      <c r="A703" s="3">
        <v>699</v>
      </c>
      <c r="B703" s="19" t="s">
        <v>3007</v>
      </c>
      <c r="C703" s="4" t="s">
        <v>3008</v>
      </c>
      <c r="D703" s="4" t="s">
        <v>1616</v>
      </c>
      <c r="E703" s="4"/>
      <c r="F703" s="8"/>
      <c r="G703" s="8"/>
      <c r="H703" s="8"/>
      <c r="I703" s="8"/>
      <c r="J703" s="8"/>
      <c r="K703" s="8">
        <v>2000</v>
      </c>
      <c r="L703" s="18">
        <v>935.18</v>
      </c>
      <c r="M703" s="7">
        <f t="shared" si="10"/>
        <v>1870360</v>
      </c>
      <c r="N703" s="4"/>
      <c r="O703" s="9"/>
    </row>
    <row r="704" spans="1:15" ht="20" x14ac:dyDescent="0.2">
      <c r="A704" s="3">
        <v>700</v>
      </c>
      <c r="B704" s="19" t="s">
        <v>3009</v>
      </c>
      <c r="C704" s="4" t="s">
        <v>3010</v>
      </c>
      <c r="D704" s="4" t="s">
        <v>1616</v>
      </c>
      <c r="E704" s="4"/>
      <c r="F704" s="8"/>
      <c r="G704" s="8"/>
      <c r="H704" s="8"/>
      <c r="I704" s="8"/>
      <c r="J704" s="8"/>
      <c r="K704" s="8">
        <v>1000</v>
      </c>
      <c r="L704" s="18">
        <v>1887.48</v>
      </c>
      <c r="M704" s="7">
        <f t="shared" si="10"/>
        <v>1887480</v>
      </c>
      <c r="N704" s="4"/>
      <c r="O704" s="9"/>
    </row>
    <row r="705" spans="1:15" ht="20" x14ac:dyDescent="0.2">
      <c r="A705" s="3">
        <v>701</v>
      </c>
      <c r="B705" s="19" t="s">
        <v>3011</v>
      </c>
      <c r="C705" s="4" t="s">
        <v>3012</v>
      </c>
      <c r="D705" s="4" t="s">
        <v>1616</v>
      </c>
      <c r="E705" s="4"/>
      <c r="F705" s="8"/>
      <c r="G705" s="8"/>
      <c r="H705" s="8"/>
      <c r="I705" s="8"/>
      <c r="J705" s="8"/>
      <c r="K705" s="8">
        <v>21000</v>
      </c>
      <c r="L705" s="18">
        <v>90</v>
      </c>
      <c r="M705" s="7">
        <f t="shared" si="10"/>
        <v>1890000</v>
      </c>
      <c r="N705" s="4"/>
      <c r="O705" s="9"/>
    </row>
    <row r="706" spans="1:15" ht="20" x14ac:dyDescent="0.2">
      <c r="A706" s="3">
        <v>702</v>
      </c>
      <c r="B706" s="19" t="s">
        <v>3013</v>
      </c>
      <c r="C706" s="4" t="s">
        <v>3014</v>
      </c>
      <c r="D706" s="4" t="s">
        <v>1616</v>
      </c>
      <c r="E706" s="4"/>
      <c r="F706" s="8"/>
      <c r="G706" s="8"/>
      <c r="H706" s="8"/>
      <c r="I706" s="8"/>
      <c r="J706" s="8"/>
      <c r="K706" s="8">
        <v>2100</v>
      </c>
      <c r="L706" s="18">
        <v>900</v>
      </c>
      <c r="M706" s="7">
        <f t="shared" si="10"/>
        <v>1890000</v>
      </c>
      <c r="N706" s="4"/>
      <c r="O706" s="9"/>
    </row>
    <row r="707" spans="1:15" ht="20" x14ac:dyDescent="0.2">
      <c r="A707" s="3">
        <v>703</v>
      </c>
      <c r="B707" s="19" t="s">
        <v>3015</v>
      </c>
      <c r="C707" s="4" t="s">
        <v>3016</v>
      </c>
      <c r="D707" s="4" t="s">
        <v>1616</v>
      </c>
      <c r="E707" s="4"/>
      <c r="F707" s="8"/>
      <c r="G707" s="8"/>
      <c r="H707" s="8"/>
      <c r="I707" s="8"/>
      <c r="J707" s="8"/>
      <c r="K707" s="8">
        <v>1400</v>
      </c>
      <c r="L707" s="18">
        <v>1372.26</v>
      </c>
      <c r="M707" s="7">
        <f t="shared" si="10"/>
        <v>1921164</v>
      </c>
      <c r="N707" s="4"/>
      <c r="O707" s="9"/>
    </row>
    <row r="708" spans="1:15" ht="20" x14ac:dyDescent="0.2">
      <c r="A708" s="3">
        <v>704</v>
      </c>
      <c r="B708" s="19" t="s">
        <v>3017</v>
      </c>
      <c r="C708" s="4" t="s">
        <v>3018</v>
      </c>
      <c r="D708" s="4" t="s">
        <v>1616</v>
      </c>
      <c r="E708" s="4"/>
      <c r="F708" s="8"/>
      <c r="G708" s="8"/>
      <c r="H708" s="8"/>
      <c r="I708" s="8"/>
      <c r="J708" s="8"/>
      <c r="K708" s="8">
        <v>10000</v>
      </c>
      <c r="L708" s="18">
        <v>197.95</v>
      </c>
      <c r="M708" s="7">
        <f t="shared" si="10"/>
        <v>1979500</v>
      </c>
      <c r="N708" s="4"/>
      <c r="O708" s="9"/>
    </row>
    <row r="709" spans="1:15" ht="20" x14ac:dyDescent="0.2">
      <c r="A709" s="3">
        <v>705</v>
      </c>
      <c r="B709" s="19" t="s">
        <v>3019</v>
      </c>
      <c r="C709" s="4" t="s">
        <v>3020</v>
      </c>
      <c r="D709" s="4" t="s">
        <v>1616</v>
      </c>
      <c r="E709" s="4"/>
      <c r="F709" s="8"/>
      <c r="G709" s="8"/>
      <c r="H709" s="8"/>
      <c r="I709" s="8"/>
      <c r="J709" s="8"/>
      <c r="K709" s="8">
        <v>240000</v>
      </c>
      <c r="L709" s="18">
        <v>8.5</v>
      </c>
      <c r="M709" s="7">
        <f t="shared" ref="M709:M772" si="11">IF(OR(K709="",L709=""),"",K709*L709)</f>
        <v>2040000</v>
      </c>
      <c r="N709" s="4"/>
      <c r="O709" s="9"/>
    </row>
    <row r="710" spans="1:15" ht="20" x14ac:dyDescent="0.2">
      <c r="A710" s="3">
        <v>706</v>
      </c>
      <c r="B710" s="19" t="s">
        <v>3021</v>
      </c>
      <c r="C710" s="4" t="s">
        <v>3022</v>
      </c>
      <c r="D710" s="4" t="s">
        <v>1616</v>
      </c>
      <c r="E710" s="4"/>
      <c r="F710" s="8"/>
      <c r="G710" s="8"/>
      <c r="H710" s="8"/>
      <c r="I710" s="8"/>
      <c r="J710" s="8"/>
      <c r="K710" s="8">
        <v>16000</v>
      </c>
      <c r="L710" s="18">
        <v>130</v>
      </c>
      <c r="M710" s="7">
        <f t="shared" si="11"/>
        <v>2080000</v>
      </c>
      <c r="N710" s="4"/>
      <c r="O710" s="9"/>
    </row>
    <row r="711" spans="1:15" ht="20" x14ac:dyDescent="0.2">
      <c r="A711" s="3">
        <v>707</v>
      </c>
      <c r="B711" s="19" t="s">
        <v>3023</v>
      </c>
      <c r="C711" s="4" t="s">
        <v>3024</v>
      </c>
      <c r="D711" s="4" t="s">
        <v>1616</v>
      </c>
      <c r="E711" s="4"/>
      <c r="F711" s="8"/>
      <c r="G711" s="8"/>
      <c r="H711" s="8"/>
      <c r="I711" s="8"/>
      <c r="J711" s="8"/>
      <c r="K711" s="8">
        <v>6500</v>
      </c>
      <c r="L711" s="18">
        <v>321</v>
      </c>
      <c r="M711" s="7">
        <f t="shared" si="11"/>
        <v>2086500</v>
      </c>
      <c r="N711" s="4"/>
      <c r="O711" s="9"/>
    </row>
    <row r="712" spans="1:15" ht="40" x14ac:dyDescent="0.2">
      <c r="A712" s="3">
        <v>708</v>
      </c>
      <c r="B712" s="19" t="s">
        <v>3025</v>
      </c>
      <c r="C712" s="4" t="s">
        <v>3026</v>
      </c>
      <c r="D712" s="4" t="s">
        <v>1616</v>
      </c>
      <c r="E712" s="4"/>
      <c r="F712" s="8"/>
      <c r="G712" s="8"/>
      <c r="H712" s="8"/>
      <c r="I712" s="8"/>
      <c r="J712" s="8"/>
      <c r="K712" s="8">
        <v>2400</v>
      </c>
      <c r="L712" s="18">
        <v>882.75</v>
      </c>
      <c r="M712" s="7">
        <f t="shared" si="11"/>
        <v>2118600</v>
      </c>
      <c r="N712" s="4"/>
      <c r="O712" s="9"/>
    </row>
    <row r="713" spans="1:15" ht="40" x14ac:dyDescent="0.2">
      <c r="A713" s="3">
        <v>709</v>
      </c>
      <c r="B713" s="19" t="s">
        <v>3027</v>
      </c>
      <c r="C713" s="4" t="s">
        <v>3028</v>
      </c>
      <c r="D713" s="4" t="s">
        <v>1616</v>
      </c>
      <c r="E713" s="4"/>
      <c r="F713" s="8"/>
      <c r="G713" s="8"/>
      <c r="H713" s="8"/>
      <c r="I713" s="8"/>
      <c r="J713" s="8"/>
      <c r="K713" s="8">
        <v>260</v>
      </c>
      <c r="L713" s="18">
        <v>8200</v>
      </c>
      <c r="M713" s="7">
        <f t="shared" si="11"/>
        <v>2132000</v>
      </c>
      <c r="N713" s="4"/>
      <c r="O713" s="9"/>
    </row>
    <row r="714" spans="1:15" ht="20" x14ac:dyDescent="0.2">
      <c r="A714" s="3">
        <v>710</v>
      </c>
      <c r="B714" s="19" t="s">
        <v>3029</v>
      </c>
      <c r="C714" s="4" t="s">
        <v>3030</v>
      </c>
      <c r="D714" s="4" t="s">
        <v>1616</v>
      </c>
      <c r="E714" s="4"/>
      <c r="F714" s="8"/>
      <c r="G714" s="8"/>
      <c r="H714" s="8"/>
      <c r="I714" s="8"/>
      <c r="J714" s="8"/>
      <c r="K714" s="8">
        <v>1600</v>
      </c>
      <c r="L714" s="18">
        <v>1391</v>
      </c>
      <c r="M714" s="7">
        <f t="shared" si="11"/>
        <v>2225600</v>
      </c>
      <c r="N714" s="4"/>
      <c r="O714" s="9"/>
    </row>
    <row r="715" spans="1:15" ht="20" x14ac:dyDescent="0.2">
      <c r="A715" s="3">
        <v>711</v>
      </c>
      <c r="B715" s="19" t="s">
        <v>3031</v>
      </c>
      <c r="C715" s="4" t="s">
        <v>3032</v>
      </c>
      <c r="D715" s="4" t="s">
        <v>1616</v>
      </c>
      <c r="E715" s="4"/>
      <c r="F715" s="8"/>
      <c r="G715" s="8"/>
      <c r="H715" s="8"/>
      <c r="I715" s="8"/>
      <c r="J715" s="8"/>
      <c r="K715" s="8">
        <v>4200</v>
      </c>
      <c r="L715" s="18">
        <v>565</v>
      </c>
      <c r="M715" s="7">
        <f t="shared" si="11"/>
        <v>2373000</v>
      </c>
      <c r="N715" s="4"/>
      <c r="O715" s="9"/>
    </row>
    <row r="716" spans="1:15" ht="20" x14ac:dyDescent="0.2">
      <c r="A716" s="3">
        <v>712</v>
      </c>
      <c r="B716" s="19" t="s">
        <v>3033</v>
      </c>
      <c r="C716" s="4" t="s">
        <v>3034</v>
      </c>
      <c r="D716" s="4" t="s">
        <v>1616</v>
      </c>
      <c r="E716" s="4"/>
      <c r="F716" s="8"/>
      <c r="G716" s="8"/>
      <c r="H716" s="8"/>
      <c r="I716" s="8"/>
      <c r="J716" s="8"/>
      <c r="K716" s="8">
        <v>100000</v>
      </c>
      <c r="L716" s="18">
        <v>26</v>
      </c>
      <c r="M716" s="7">
        <f t="shared" si="11"/>
        <v>2600000</v>
      </c>
      <c r="N716" s="4"/>
      <c r="O716" s="9"/>
    </row>
    <row r="717" spans="1:15" ht="20" x14ac:dyDescent="0.2">
      <c r="A717" s="3">
        <v>713</v>
      </c>
      <c r="B717" s="19" t="s">
        <v>3035</v>
      </c>
      <c r="C717" s="4" t="s">
        <v>3036</v>
      </c>
      <c r="D717" s="4" t="s">
        <v>1616</v>
      </c>
      <c r="E717" s="4"/>
      <c r="F717" s="8"/>
      <c r="G717" s="8"/>
      <c r="H717" s="8"/>
      <c r="I717" s="8"/>
      <c r="J717" s="8"/>
      <c r="K717" s="8">
        <v>4600</v>
      </c>
      <c r="L717" s="18">
        <v>575</v>
      </c>
      <c r="M717" s="7">
        <f t="shared" si="11"/>
        <v>2645000</v>
      </c>
      <c r="N717" s="4"/>
      <c r="O717" s="9"/>
    </row>
    <row r="718" spans="1:15" ht="20" x14ac:dyDescent="0.2">
      <c r="A718" s="3">
        <v>714</v>
      </c>
      <c r="B718" s="19" t="s">
        <v>3037</v>
      </c>
      <c r="C718" s="4" t="s">
        <v>3038</v>
      </c>
      <c r="D718" s="4" t="s">
        <v>1616</v>
      </c>
      <c r="E718" s="4"/>
      <c r="F718" s="8"/>
      <c r="G718" s="8"/>
      <c r="H718" s="8"/>
      <c r="I718" s="8"/>
      <c r="J718" s="8"/>
      <c r="K718" s="8">
        <v>3000</v>
      </c>
      <c r="L718" s="18">
        <v>909.5</v>
      </c>
      <c r="M718" s="7">
        <f t="shared" si="11"/>
        <v>2728500</v>
      </c>
      <c r="N718" s="4"/>
      <c r="O718" s="9"/>
    </row>
    <row r="719" spans="1:15" ht="40" x14ac:dyDescent="0.2">
      <c r="A719" s="3">
        <v>715</v>
      </c>
      <c r="B719" s="19" t="s">
        <v>3039</v>
      </c>
      <c r="C719" s="4" t="s">
        <v>3040</v>
      </c>
      <c r="D719" s="4" t="s">
        <v>1616</v>
      </c>
      <c r="E719" s="4"/>
      <c r="F719" s="8"/>
      <c r="G719" s="8"/>
      <c r="H719" s="8"/>
      <c r="I719" s="8"/>
      <c r="J719" s="8"/>
      <c r="K719" s="8">
        <v>12000</v>
      </c>
      <c r="L719" s="18">
        <v>228.98</v>
      </c>
      <c r="M719" s="7">
        <f t="shared" si="11"/>
        <v>2747760</v>
      </c>
      <c r="N719" s="4"/>
      <c r="O719" s="9"/>
    </row>
    <row r="720" spans="1:15" ht="20" x14ac:dyDescent="0.2">
      <c r="A720" s="3">
        <v>716</v>
      </c>
      <c r="B720" s="19" t="s">
        <v>3041</v>
      </c>
      <c r="C720" s="4" t="s">
        <v>3042</v>
      </c>
      <c r="D720" s="4" t="s">
        <v>1616</v>
      </c>
      <c r="E720" s="4"/>
      <c r="F720" s="8"/>
      <c r="G720" s="8"/>
      <c r="H720" s="8"/>
      <c r="I720" s="8"/>
      <c r="J720" s="8"/>
      <c r="K720" s="8">
        <v>800</v>
      </c>
      <c r="L720" s="18">
        <v>3533</v>
      </c>
      <c r="M720" s="7">
        <f t="shared" si="11"/>
        <v>2826400</v>
      </c>
      <c r="N720" s="4"/>
      <c r="O720" s="9"/>
    </row>
    <row r="721" spans="1:15" ht="20" x14ac:dyDescent="0.2">
      <c r="A721" s="3">
        <v>717</v>
      </c>
      <c r="B721" s="19" t="s">
        <v>3043</v>
      </c>
      <c r="C721" s="4" t="s">
        <v>3044</v>
      </c>
      <c r="D721" s="4" t="s">
        <v>1616</v>
      </c>
      <c r="E721" s="4"/>
      <c r="F721" s="8"/>
      <c r="G721" s="8"/>
      <c r="H721" s="8"/>
      <c r="I721" s="8"/>
      <c r="J721" s="8"/>
      <c r="K721" s="8">
        <v>3840</v>
      </c>
      <c r="L721" s="18">
        <v>738.3</v>
      </c>
      <c r="M721" s="7">
        <f t="shared" si="11"/>
        <v>2835072</v>
      </c>
      <c r="N721" s="4"/>
      <c r="O721" s="9"/>
    </row>
    <row r="722" spans="1:15" ht="20" x14ac:dyDescent="0.2">
      <c r="A722" s="3">
        <v>718</v>
      </c>
      <c r="B722" s="19" t="s">
        <v>3045</v>
      </c>
      <c r="C722" s="4" t="s">
        <v>3046</v>
      </c>
      <c r="D722" s="4" t="s">
        <v>1616</v>
      </c>
      <c r="E722" s="4"/>
      <c r="F722" s="8"/>
      <c r="G722" s="8"/>
      <c r="H722" s="8"/>
      <c r="I722" s="8"/>
      <c r="J722" s="8"/>
      <c r="K722" s="8">
        <v>420</v>
      </c>
      <c r="L722" s="18">
        <v>6999.94</v>
      </c>
      <c r="M722" s="7">
        <f t="shared" si="11"/>
        <v>2939974.8</v>
      </c>
      <c r="N722" s="4"/>
      <c r="O722" s="9"/>
    </row>
    <row r="723" spans="1:15" ht="40" x14ac:dyDescent="0.2">
      <c r="A723" s="3">
        <v>719</v>
      </c>
      <c r="B723" s="19" t="s">
        <v>3047</v>
      </c>
      <c r="C723" s="4" t="s">
        <v>3048</v>
      </c>
      <c r="D723" s="4" t="s">
        <v>1616</v>
      </c>
      <c r="E723" s="4"/>
      <c r="F723" s="8"/>
      <c r="G723" s="8"/>
      <c r="H723" s="8"/>
      <c r="I723" s="8"/>
      <c r="J723" s="8"/>
      <c r="K723" s="8">
        <v>7200</v>
      </c>
      <c r="L723" s="18">
        <v>409.81</v>
      </c>
      <c r="M723" s="7">
        <f t="shared" si="11"/>
        <v>2950632</v>
      </c>
      <c r="N723" s="4"/>
      <c r="O723" s="9"/>
    </row>
    <row r="724" spans="1:15" ht="20" x14ac:dyDescent="0.2">
      <c r="A724" s="3">
        <v>720</v>
      </c>
      <c r="B724" s="19" t="s">
        <v>3049</v>
      </c>
      <c r="C724" s="4" t="s">
        <v>3050</v>
      </c>
      <c r="D724" s="4" t="s">
        <v>1616</v>
      </c>
      <c r="E724" s="4"/>
      <c r="F724" s="8"/>
      <c r="G724" s="8"/>
      <c r="H724" s="8"/>
      <c r="I724" s="8"/>
      <c r="J724" s="8"/>
      <c r="K724" s="8">
        <v>14000</v>
      </c>
      <c r="L724" s="18">
        <v>214</v>
      </c>
      <c r="M724" s="7">
        <f t="shared" si="11"/>
        <v>2996000</v>
      </c>
      <c r="N724" s="4"/>
      <c r="O724" s="9"/>
    </row>
    <row r="725" spans="1:15" ht="20" x14ac:dyDescent="0.2">
      <c r="A725" s="3">
        <v>721</v>
      </c>
      <c r="B725" s="19" t="s">
        <v>3051</v>
      </c>
      <c r="C725" s="4" t="s">
        <v>3052</v>
      </c>
      <c r="D725" s="4" t="s">
        <v>1616</v>
      </c>
      <c r="E725" s="4"/>
      <c r="F725" s="8"/>
      <c r="G725" s="8"/>
      <c r="H725" s="8"/>
      <c r="I725" s="8"/>
      <c r="J725" s="8"/>
      <c r="K725" s="8">
        <v>40000</v>
      </c>
      <c r="L725" s="18">
        <v>74.900000000000006</v>
      </c>
      <c r="M725" s="7">
        <f t="shared" si="11"/>
        <v>2996000</v>
      </c>
      <c r="N725" s="4"/>
      <c r="O725" s="9"/>
    </row>
    <row r="726" spans="1:15" ht="20" x14ac:dyDescent="0.2">
      <c r="A726" s="3">
        <v>722</v>
      </c>
      <c r="B726" s="19" t="s">
        <v>3053</v>
      </c>
      <c r="C726" s="4" t="s">
        <v>3054</v>
      </c>
      <c r="D726" s="4" t="s">
        <v>1616</v>
      </c>
      <c r="E726" s="4"/>
      <c r="F726" s="8"/>
      <c r="G726" s="8"/>
      <c r="H726" s="8"/>
      <c r="I726" s="8"/>
      <c r="J726" s="8"/>
      <c r="K726" s="8">
        <v>19200</v>
      </c>
      <c r="L726" s="18">
        <v>157.29</v>
      </c>
      <c r="M726" s="7">
        <f t="shared" si="11"/>
        <v>3019968</v>
      </c>
      <c r="N726" s="4"/>
      <c r="O726" s="9"/>
    </row>
    <row r="727" spans="1:15" ht="20" x14ac:dyDescent="0.2">
      <c r="A727" s="3">
        <v>723</v>
      </c>
      <c r="B727" s="19" t="s">
        <v>3055</v>
      </c>
      <c r="C727" s="4" t="s">
        <v>3056</v>
      </c>
      <c r="D727" s="4" t="s">
        <v>1616</v>
      </c>
      <c r="E727" s="4"/>
      <c r="F727" s="8"/>
      <c r="G727" s="8"/>
      <c r="H727" s="8"/>
      <c r="I727" s="8"/>
      <c r="J727" s="8"/>
      <c r="K727" s="8">
        <v>720</v>
      </c>
      <c r="L727" s="18">
        <v>4221.1499999999996</v>
      </c>
      <c r="M727" s="7">
        <f t="shared" si="11"/>
        <v>3039227.9999999995</v>
      </c>
      <c r="N727" s="4"/>
      <c r="O727" s="9"/>
    </row>
    <row r="728" spans="1:15" ht="40" x14ac:dyDescent="0.2">
      <c r="A728" s="3">
        <v>724</v>
      </c>
      <c r="B728" s="19" t="s">
        <v>3057</v>
      </c>
      <c r="C728" s="4" t="s">
        <v>3058</v>
      </c>
      <c r="D728" s="4" t="s">
        <v>1616</v>
      </c>
      <c r="E728" s="4"/>
      <c r="F728" s="8"/>
      <c r="G728" s="8"/>
      <c r="H728" s="8"/>
      <c r="I728" s="8"/>
      <c r="J728" s="8"/>
      <c r="K728" s="8">
        <v>7000</v>
      </c>
      <c r="L728" s="18">
        <v>462.24</v>
      </c>
      <c r="M728" s="7">
        <f t="shared" si="11"/>
        <v>3235680</v>
      </c>
      <c r="N728" s="4"/>
      <c r="O728" s="9"/>
    </row>
    <row r="729" spans="1:15" ht="20" x14ac:dyDescent="0.2">
      <c r="A729" s="3">
        <v>725</v>
      </c>
      <c r="B729" s="19" t="s">
        <v>3059</v>
      </c>
      <c r="C729" s="4" t="s">
        <v>3060</v>
      </c>
      <c r="D729" s="4" t="s">
        <v>1616</v>
      </c>
      <c r="E729" s="4"/>
      <c r="F729" s="8"/>
      <c r="G729" s="8"/>
      <c r="H729" s="8"/>
      <c r="I729" s="8"/>
      <c r="J729" s="8"/>
      <c r="K729" s="8">
        <v>1440</v>
      </c>
      <c r="L729" s="18">
        <v>2300.5</v>
      </c>
      <c r="M729" s="7">
        <f t="shared" si="11"/>
        <v>3312720</v>
      </c>
      <c r="N729" s="4"/>
      <c r="O729" s="9"/>
    </row>
    <row r="730" spans="1:15" ht="20" x14ac:dyDescent="0.2">
      <c r="A730" s="3">
        <v>726</v>
      </c>
      <c r="B730" s="19" t="s">
        <v>3061</v>
      </c>
      <c r="C730" s="4" t="s">
        <v>3062</v>
      </c>
      <c r="D730" s="4" t="s">
        <v>1616</v>
      </c>
      <c r="E730" s="4"/>
      <c r="F730" s="8"/>
      <c r="G730" s="8"/>
      <c r="H730" s="8"/>
      <c r="I730" s="8"/>
      <c r="J730" s="8"/>
      <c r="K730" s="8">
        <v>160</v>
      </c>
      <c r="L730" s="18">
        <v>20865</v>
      </c>
      <c r="M730" s="7">
        <f t="shared" si="11"/>
        <v>3338400</v>
      </c>
      <c r="N730" s="4"/>
      <c r="O730" s="9"/>
    </row>
    <row r="731" spans="1:15" ht="20" x14ac:dyDescent="0.2">
      <c r="A731" s="3">
        <v>727</v>
      </c>
      <c r="B731" s="19" t="s">
        <v>3063</v>
      </c>
      <c r="C731" s="4" t="s">
        <v>3064</v>
      </c>
      <c r="D731" s="4" t="s">
        <v>1616</v>
      </c>
      <c r="E731" s="4"/>
      <c r="F731" s="8"/>
      <c r="G731" s="8"/>
      <c r="H731" s="8"/>
      <c r="I731" s="8"/>
      <c r="J731" s="8"/>
      <c r="K731" s="8">
        <v>6800</v>
      </c>
      <c r="L731" s="18">
        <v>499.69</v>
      </c>
      <c r="M731" s="7">
        <f t="shared" si="11"/>
        <v>3397892</v>
      </c>
      <c r="N731" s="4"/>
      <c r="O731" s="9"/>
    </row>
    <row r="732" spans="1:15" ht="20" x14ac:dyDescent="0.2">
      <c r="A732" s="3">
        <v>728</v>
      </c>
      <c r="B732" s="19" t="s">
        <v>3065</v>
      </c>
      <c r="C732" s="4" t="s">
        <v>3066</v>
      </c>
      <c r="D732" s="4" t="s">
        <v>1616</v>
      </c>
      <c r="E732" s="4"/>
      <c r="F732" s="8"/>
      <c r="G732" s="8"/>
      <c r="H732" s="8"/>
      <c r="I732" s="8"/>
      <c r="J732" s="8"/>
      <c r="K732" s="8">
        <v>1020</v>
      </c>
      <c r="L732" s="18">
        <v>3498.9</v>
      </c>
      <c r="M732" s="7">
        <f t="shared" si="11"/>
        <v>3568878</v>
      </c>
      <c r="N732" s="4"/>
      <c r="O732" s="9"/>
    </row>
    <row r="733" spans="1:15" ht="20" x14ac:dyDescent="0.2">
      <c r="A733" s="3">
        <v>729</v>
      </c>
      <c r="B733" s="19" t="s">
        <v>3067</v>
      </c>
      <c r="C733" s="4" t="s">
        <v>3068</v>
      </c>
      <c r="D733" s="4" t="s">
        <v>1616</v>
      </c>
      <c r="E733" s="4"/>
      <c r="F733" s="8"/>
      <c r="G733" s="8"/>
      <c r="H733" s="8"/>
      <c r="I733" s="8"/>
      <c r="J733" s="8"/>
      <c r="K733" s="8">
        <v>5200</v>
      </c>
      <c r="L733" s="18">
        <v>730</v>
      </c>
      <c r="M733" s="7">
        <f t="shared" si="11"/>
        <v>3796000</v>
      </c>
      <c r="N733" s="4"/>
      <c r="O733" s="9"/>
    </row>
    <row r="734" spans="1:15" ht="20" x14ac:dyDescent="0.2">
      <c r="A734" s="3">
        <v>730</v>
      </c>
      <c r="B734" s="19" t="s">
        <v>3069</v>
      </c>
      <c r="C734" s="4" t="s">
        <v>3070</v>
      </c>
      <c r="D734" s="4" t="s">
        <v>1616</v>
      </c>
      <c r="E734" s="4"/>
      <c r="F734" s="8"/>
      <c r="G734" s="8"/>
      <c r="H734" s="8"/>
      <c r="I734" s="8"/>
      <c r="J734" s="8"/>
      <c r="K734" s="8">
        <v>13000</v>
      </c>
      <c r="L734" s="18">
        <v>301.74</v>
      </c>
      <c r="M734" s="7">
        <f t="shared" si="11"/>
        <v>3922620</v>
      </c>
      <c r="N734" s="4"/>
      <c r="O734" s="9"/>
    </row>
    <row r="735" spans="1:15" ht="20" x14ac:dyDescent="0.2">
      <c r="A735" s="3">
        <v>731</v>
      </c>
      <c r="B735" s="19" t="s">
        <v>3071</v>
      </c>
      <c r="C735" s="4" t="s">
        <v>3072</v>
      </c>
      <c r="D735" s="4" t="s">
        <v>1616</v>
      </c>
      <c r="E735" s="4"/>
      <c r="F735" s="8"/>
      <c r="G735" s="8"/>
      <c r="H735" s="8"/>
      <c r="I735" s="8"/>
      <c r="J735" s="8"/>
      <c r="K735" s="8">
        <v>6000</v>
      </c>
      <c r="L735" s="18">
        <v>850</v>
      </c>
      <c r="M735" s="7">
        <f t="shared" si="11"/>
        <v>5100000</v>
      </c>
      <c r="N735" s="4"/>
      <c r="O735" s="9"/>
    </row>
    <row r="736" spans="1:15" ht="20" x14ac:dyDescent="0.2">
      <c r="A736" s="3">
        <v>732</v>
      </c>
      <c r="B736" s="19" t="s">
        <v>3073</v>
      </c>
      <c r="C736" s="4" t="s">
        <v>3074</v>
      </c>
      <c r="D736" s="4" t="s">
        <v>1616</v>
      </c>
      <c r="E736" s="4"/>
      <c r="F736" s="8"/>
      <c r="G736" s="8"/>
      <c r="H736" s="8"/>
      <c r="I736" s="8"/>
      <c r="J736" s="8"/>
      <c r="K736" s="8">
        <v>16018</v>
      </c>
      <c r="L736" s="18">
        <v>375</v>
      </c>
      <c r="M736" s="7">
        <f t="shared" si="11"/>
        <v>6006750</v>
      </c>
      <c r="N736" s="4"/>
      <c r="O736" s="9"/>
    </row>
    <row r="737" spans="1:15" ht="20" x14ac:dyDescent="0.2">
      <c r="A737" s="3">
        <v>733</v>
      </c>
      <c r="B737" s="19" t="s">
        <v>3075</v>
      </c>
      <c r="C737" s="4" t="s">
        <v>3076</v>
      </c>
      <c r="D737" s="4" t="s">
        <v>1616</v>
      </c>
      <c r="E737" s="4"/>
      <c r="F737" s="8"/>
      <c r="G737" s="8"/>
      <c r="H737" s="8"/>
      <c r="I737" s="8"/>
      <c r="J737" s="8"/>
      <c r="K737" s="8">
        <v>1800</v>
      </c>
      <c r="L737" s="18">
        <v>3350</v>
      </c>
      <c r="M737" s="7">
        <f t="shared" si="11"/>
        <v>6030000</v>
      </c>
      <c r="N737" s="4"/>
      <c r="O737" s="9"/>
    </row>
    <row r="738" spans="1:15" ht="20" x14ac:dyDescent="0.2">
      <c r="A738" s="3">
        <v>734</v>
      </c>
      <c r="B738" s="19" t="s">
        <v>3077</v>
      </c>
      <c r="C738" s="4" t="s">
        <v>3078</v>
      </c>
      <c r="D738" s="4" t="s">
        <v>1616</v>
      </c>
      <c r="E738" s="4"/>
      <c r="F738" s="8"/>
      <c r="G738" s="8"/>
      <c r="H738" s="8"/>
      <c r="I738" s="8"/>
      <c r="J738" s="8"/>
      <c r="K738" s="8">
        <v>10000</v>
      </c>
      <c r="L738" s="18">
        <v>640</v>
      </c>
      <c r="M738" s="7">
        <f t="shared" si="11"/>
        <v>6400000</v>
      </c>
      <c r="N738" s="4"/>
      <c r="O738" s="9"/>
    </row>
    <row r="739" spans="1:15" ht="20" x14ac:dyDescent="0.2">
      <c r="A739" s="3">
        <v>735</v>
      </c>
      <c r="B739" s="19" t="s">
        <v>3079</v>
      </c>
      <c r="C739" s="4" t="s">
        <v>3080</v>
      </c>
      <c r="D739" s="4" t="s">
        <v>1616</v>
      </c>
      <c r="E739" s="4"/>
      <c r="F739" s="8"/>
      <c r="G739" s="8"/>
      <c r="H739" s="8"/>
      <c r="I739" s="8"/>
      <c r="J739" s="8"/>
      <c r="K739" s="8">
        <v>16000</v>
      </c>
      <c r="L739" s="18">
        <v>406.6</v>
      </c>
      <c r="M739" s="7">
        <f t="shared" si="11"/>
        <v>6505600</v>
      </c>
      <c r="N739" s="4"/>
      <c r="O739" s="9"/>
    </row>
    <row r="740" spans="1:15" ht="20" x14ac:dyDescent="0.2">
      <c r="A740" s="3">
        <v>736</v>
      </c>
      <c r="B740" s="19" t="s">
        <v>3081</v>
      </c>
      <c r="C740" s="4" t="s">
        <v>3082</v>
      </c>
      <c r="D740" s="4" t="s">
        <v>1616</v>
      </c>
      <c r="E740" s="4"/>
      <c r="F740" s="8"/>
      <c r="G740" s="8"/>
      <c r="H740" s="8"/>
      <c r="I740" s="8"/>
      <c r="J740" s="8"/>
      <c r="K740" s="8">
        <v>54000</v>
      </c>
      <c r="L740" s="18">
        <v>142.31</v>
      </c>
      <c r="M740" s="7">
        <f t="shared" si="11"/>
        <v>7684740</v>
      </c>
      <c r="N740" s="4"/>
      <c r="O740" s="9"/>
    </row>
    <row r="741" spans="1:15" ht="20" x14ac:dyDescent="0.2">
      <c r="A741" s="3">
        <v>737</v>
      </c>
      <c r="B741" s="19" t="s">
        <v>3083</v>
      </c>
      <c r="C741" s="4" t="s">
        <v>3084</v>
      </c>
      <c r="D741" s="4" t="s">
        <v>1616</v>
      </c>
      <c r="E741" s="4"/>
      <c r="F741" s="8"/>
      <c r="G741" s="8"/>
      <c r="H741" s="8"/>
      <c r="I741" s="8"/>
      <c r="J741" s="8"/>
      <c r="K741" s="8">
        <v>0</v>
      </c>
      <c r="L741" s="18">
        <v>13241.25</v>
      </c>
      <c r="M741" s="7">
        <f t="shared" si="11"/>
        <v>0</v>
      </c>
      <c r="N741" s="4"/>
      <c r="O741" s="9"/>
    </row>
    <row r="742" spans="1:15" ht="40" x14ac:dyDescent="0.2">
      <c r="A742" s="3">
        <v>738</v>
      </c>
      <c r="B742" s="19" t="s">
        <v>3085</v>
      </c>
      <c r="C742" s="4" t="s">
        <v>3086</v>
      </c>
      <c r="D742" s="4" t="s">
        <v>1616</v>
      </c>
      <c r="E742" s="4"/>
      <c r="F742" s="8"/>
      <c r="G742" s="8"/>
      <c r="H742" s="8"/>
      <c r="I742" s="8"/>
      <c r="J742" s="8"/>
      <c r="K742" s="8">
        <v>0</v>
      </c>
      <c r="L742" s="18">
        <v>13375</v>
      </c>
      <c r="M742" s="7">
        <f t="shared" si="11"/>
        <v>0</v>
      </c>
      <c r="N742" s="4"/>
      <c r="O742" s="9"/>
    </row>
    <row r="743" spans="1:15" ht="40" x14ac:dyDescent="0.2">
      <c r="A743" s="3">
        <v>739</v>
      </c>
      <c r="B743" s="19" t="s">
        <v>3087</v>
      </c>
      <c r="C743" s="4" t="s">
        <v>3088</v>
      </c>
      <c r="D743" s="4" t="s">
        <v>1616</v>
      </c>
      <c r="E743" s="4"/>
      <c r="F743" s="8"/>
      <c r="G743" s="8"/>
      <c r="H743" s="8"/>
      <c r="I743" s="8"/>
      <c r="J743" s="8"/>
      <c r="K743" s="8">
        <v>15</v>
      </c>
      <c r="L743" s="18">
        <v>0</v>
      </c>
      <c r="M743" s="7">
        <f t="shared" si="11"/>
        <v>0</v>
      </c>
      <c r="N743" s="4"/>
      <c r="O743" s="9"/>
    </row>
    <row r="744" spans="1:15" ht="20" x14ac:dyDescent="0.2">
      <c r="A744" s="3">
        <v>740</v>
      </c>
      <c r="B744" s="19" t="s">
        <v>3089</v>
      </c>
      <c r="C744" s="4" t="s">
        <v>3090</v>
      </c>
      <c r="D744" s="4" t="s">
        <v>1616</v>
      </c>
      <c r="E744" s="4"/>
      <c r="F744" s="8"/>
      <c r="G744" s="8"/>
      <c r="H744" s="8"/>
      <c r="I744" s="8"/>
      <c r="J744" s="8"/>
      <c r="K744" s="8">
        <v>0</v>
      </c>
      <c r="L744" s="18">
        <v>0</v>
      </c>
      <c r="M744" s="7">
        <f t="shared" si="11"/>
        <v>0</v>
      </c>
      <c r="N744" s="4"/>
      <c r="O744" s="9"/>
    </row>
    <row r="745" spans="1:15" ht="20" x14ac:dyDescent="0.2">
      <c r="A745" s="3">
        <v>741</v>
      </c>
      <c r="B745" s="19" t="s">
        <v>3091</v>
      </c>
      <c r="C745" s="4" t="s">
        <v>3092</v>
      </c>
      <c r="D745" s="4" t="s">
        <v>1616</v>
      </c>
      <c r="E745" s="4"/>
      <c r="F745" s="8"/>
      <c r="G745" s="8"/>
      <c r="H745" s="8"/>
      <c r="I745" s="8"/>
      <c r="J745" s="8"/>
      <c r="K745" s="8">
        <v>0</v>
      </c>
      <c r="L745" s="18">
        <v>6420</v>
      </c>
      <c r="M745" s="7">
        <f t="shared" si="11"/>
        <v>0</v>
      </c>
      <c r="N745" s="4"/>
      <c r="O745" s="9"/>
    </row>
    <row r="746" spans="1:15" ht="20" x14ac:dyDescent="0.2">
      <c r="A746" s="3">
        <v>742</v>
      </c>
      <c r="B746" s="19" t="s">
        <v>3093</v>
      </c>
      <c r="C746" s="4" t="s">
        <v>3094</v>
      </c>
      <c r="D746" s="4" t="s">
        <v>1616</v>
      </c>
      <c r="E746" s="4"/>
      <c r="F746" s="8"/>
      <c r="G746" s="8"/>
      <c r="H746" s="8"/>
      <c r="I746" s="8"/>
      <c r="J746" s="8"/>
      <c r="K746" s="8">
        <v>0</v>
      </c>
      <c r="L746" s="18">
        <v>6241.31</v>
      </c>
      <c r="M746" s="7">
        <f t="shared" si="11"/>
        <v>0</v>
      </c>
      <c r="N746" s="4"/>
      <c r="O746" s="9"/>
    </row>
    <row r="747" spans="1:15" ht="20" x14ac:dyDescent="0.2">
      <c r="A747" s="3">
        <v>743</v>
      </c>
      <c r="B747" s="19" t="s">
        <v>3095</v>
      </c>
      <c r="C747" s="4" t="s">
        <v>3096</v>
      </c>
      <c r="D747" s="4" t="s">
        <v>1616</v>
      </c>
      <c r="E747" s="4"/>
      <c r="F747" s="8"/>
      <c r="G747" s="8"/>
      <c r="H747" s="8"/>
      <c r="I747" s="8"/>
      <c r="J747" s="8"/>
      <c r="K747" s="8">
        <v>0</v>
      </c>
      <c r="L747" s="18">
        <v>0</v>
      </c>
      <c r="M747" s="7">
        <f t="shared" si="11"/>
        <v>0</v>
      </c>
      <c r="N747" s="4"/>
      <c r="O747" s="9"/>
    </row>
    <row r="748" spans="1:15" ht="20" x14ac:dyDescent="0.2">
      <c r="A748" s="3">
        <v>744</v>
      </c>
      <c r="B748" s="19" t="s">
        <v>3097</v>
      </c>
      <c r="C748" s="4" t="s">
        <v>3098</v>
      </c>
      <c r="D748" s="4" t="s">
        <v>1616</v>
      </c>
      <c r="E748" s="4"/>
      <c r="F748" s="8"/>
      <c r="G748" s="8"/>
      <c r="H748" s="8"/>
      <c r="I748" s="8"/>
      <c r="J748" s="8"/>
      <c r="K748" s="8">
        <v>0</v>
      </c>
      <c r="L748" s="18">
        <v>1320.38</v>
      </c>
      <c r="M748" s="7">
        <f t="shared" si="11"/>
        <v>0</v>
      </c>
      <c r="N748" s="4"/>
      <c r="O748" s="9"/>
    </row>
    <row r="749" spans="1:15" ht="20" x14ac:dyDescent="0.2">
      <c r="A749" s="3">
        <v>745</v>
      </c>
      <c r="B749" s="19" t="s">
        <v>3099</v>
      </c>
      <c r="C749" s="4" t="s">
        <v>3100</v>
      </c>
      <c r="D749" s="4" t="s">
        <v>1616</v>
      </c>
      <c r="E749" s="4"/>
      <c r="F749" s="8"/>
      <c r="G749" s="8"/>
      <c r="H749" s="8"/>
      <c r="I749" s="8"/>
      <c r="J749" s="8"/>
      <c r="K749" s="8">
        <v>20</v>
      </c>
      <c r="L749" s="18">
        <v>130</v>
      </c>
      <c r="M749" s="7">
        <f t="shared" si="11"/>
        <v>2600</v>
      </c>
      <c r="N749" s="4"/>
      <c r="O749" s="9"/>
    </row>
    <row r="750" spans="1:15" ht="20" x14ac:dyDescent="0.2">
      <c r="A750" s="3">
        <v>746</v>
      </c>
      <c r="B750" s="19" t="s">
        <v>3101</v>
      </c>
      <c r="C750" s="4" t="s">
        <v>3102</v>
      </c>
      <c r="D750" s="4" t="s">
        <v>1616</v>
      </c>
      <c r="E750" s="4"/>
      <c r="F750" s="8"/>
      <c r="G750" s="8"/>
      <c r="H750" s="8"/>
      <c r="I750" s="8"/>
      <c r="J750" s="8"/>
      <c r="K750" s="8">
        <v>40</v>
      </c>
      <c r="L750" s="18">
        <v>95</v>
      </c>
      <c r="M750" s="7">
        <f t="shared" si="11"/>
        <v>3800</v>
      </c>
      <c r="N750" s="4"/>
      <c r="O750" s="9"/>
    </row>
    <row r="751" spans="1:15" ht="20" x14ac:dyDescent="0.2">
      <c r="A751" s="3">
        <v>747</v>
      </c>
      <c r="B751" s="19" t="s">
        <v>3103</v>
      </c>
      <c r="C751" s="4" t="s">
        <v>3104</v>
      </c>
      <c r="D751" s="4" t="s">
        <v>1616</v>
      </c>
      <c r="E751" s="4"/>
      <c r="F751" s="8"/>
      <c r="G751" s="8"/>
      <c r="H751" s="8"/>
      <c r="I751" s="8"/>
      <c r="J751" s="8"/>
      <c r="K751" s="8">
        <v>25</v>
      </c>
      <c r="L751" s="18">
        <v>220</v>
      </c>
      <c r="M751" s="7">
        <f t="shared" si="11"/>
        <v>5500</v>
      </c>
      <c r="N751" s="4"/>
      <c r="O751" s="9"/>
    </row>
    <row r="752" spans="1:15" ht="20" x14ac:dyDescent="0.2">
      <c r="A752" s="3">
        <v>748</v>
      </c>
      <c r="B752" s="19" t="s">
        <v>3105</v>
      </c>
      <c r="C752" s="4" t="s">
        <v>3106</v>
      </c>
      <c r="D752" s="4" t="s">
        <v>1616</v>
      </c>
      <c r="E752" s="4"/>
      <c r="F752" s="8"/>
      <c r="G752" s="8"/>
      <c r="H752" s="8"/>
      <c r="I752" s="8"/>
      <c r="J752" s="8"/>
      <c r="K752" s="8">
        <v>1</v>
      </c>
      <c r="L752" s="18">
        <v>5599.31</v>
      </c>
      <c r="M752" s="7">
        <f t="shared" si="11"/>
        <v>5599.31</v>
      </c>
      <c r="N752" s="4"/>
      <c r="O752" s="9"/>
    </row>
    <row r="753" spans="1:15" ht="20" x14ac:dyDescent="0.2">
      <c r="A753" s="3">
        <v>749</v>
      </c>
      <c r="B753" s="19" t="s">
        <v>3107</v>
      </c>
      <c r="C753" s="4" t="s">
        <v>3108</v>
      </c>
      <c r="D753" s="4" t="s">
        <v>1616</v>
      </c>
      <c r="E753" s="4"/>
      <c r="F753" s="8"/>
      <c r="G753" s="8"/>
      <c r="H753" s="8"/>
      <c r="I753" s="8"/>
      <c r="J753" s="8"/>
      <c r="K753" s="8">
        <v>6</v>
      </c>
      <c r="L753" s="18">
        <v>1075</v>
      </c>
      <c r="M753" s="7">
        <f t="shared" si="11"/>
        <v>6450</v>
      </c>
      <c r="N753" s="4"/>
      <c r="O753" s="9"/>
    </row>
    <row r="754" spans="1:15" ht="20" x14ac:dyDescent="0.2">
      <c r="A754" s="3">
        <v>750</v>
      </c>
      <c r="B754" s="19" t="s">
        <v>3109</v>
      </c>
      <c r="C754" s="4" t="s">
        <v>3110</v>
      </c>
      <c r="D754" s="4" t="s">
        <v>1616</v>
      </c>
      <c r="E754" s="4"/>
      <c r="F754" s="8"/>
      <c r="G754" s="8"/>
      <c r="H754" s="8"/>
      <c r="I754" s="8"/>
      <c r="J754" s="8"/>
      <c r="K754" s="8">
        <v>100</v>
      </c>
      <c r="L754" s="18">
        <v>80</v>
      </c>
      <c r="M754" s="7">
        <f t="shared" si="11"/>
        <v>8000</v>
      </c>
      <c r="N754" s="4"/>
      <c r="O754" s="9"/>
    </row>
    <row r="755" spans="1:15" ht="20" x14ac:dyDescent="0.2">
      <c r="A755" s="3">
        <v>751</v>
      </c>
      <c r="B755" s="19" t="s">
        <v>3111</v>
      </c>
      <c r="C755" s="4" t="s">
        <v>3112</v>
      </c>
      <c r="D755" s="4" t="s">
        <v>1616</v>
      </c>
      <c r="E755" s="4"/>
      <c r="F755" s="8"/>
      <c r="G755" s="8"/>
      <c r="H755" s="8"/>
      <c r="I755" s="8"/>
      <c r="J755" s="8"/>
      <c r="K755" s="8">
        <v>10</v>
      </c>
      <c r="L755" s="18">
        <v>830</v>
      </c>
      <c r="M755" s="7">
        <f t="shared" si="11"/>
        <v>8300</v>
      </c>
      <c r="N755" s="4"/>
      <c r="O755" s="9"/>
    </row>
    <row r="756" spans="1:15" ht="40" x14ac:dyDescent="0.2">
      <c r="A756" s="3">
        <v>752</v>
      </c>
      <c r="B756" s="19" t="s">
        <v>3113</v>
      </c>
      <c r="C756" s="4" t="s">
        <v>3114</v>
      </c>
      <c r="D756" s="4" t="s">
        <v>1616</v>
      </c>
      <c r="E756" s="4"/>
      <c r="F756" s="8"/>
      <c r="G756" s="8"/>
      <c r="H756" s="8"/>
      <c r="I756" s="8"/>
      <c r="J756" s="8"/>
      <c r="K756" s="8">
        <v>10</v>
      </c>
      <c r="L756" s="18">
        <v>845.3</v>
      </c>
      <c r="M756" s="7">
        <f t="shared" si="11"/>
        <v>8453</v>
      </c>
      <c r="N756" s="4"/>
      <c r="O756" s="9"/>
    </row>
    <row r="757" spans="1:15" ht="40" x14ac:dyDescent="0.2">
      <c r="A757" s="3">
        <v>753</v>
      </c>
      <c r="B757" s="19" t="s">
        <v>3115</v>
      </c>
      <c r="C757" s="4" t="s">
        <v>3116</v>
      </c>
      <c r="D757" s="4" t="s">
        <v>1616</v>
      </c>
      <c r="E757" s="4"/>
      <c r="F757" s="8"/>
      <c r="G757" s="8"/>
      <c r="H757" s="8"/>
      <c r="I757" s="8"/>
      <c r="J757" s="8"/>
      <c r="K757" s="8">
        <v>3</v>
      </c>
      <c r="L757" s="18">
        <v>3033.45</v>
      </c>
      <c r="M757" s="7">
        <f t="shared" si="11"/>
        <v>9100.3499999999985</v>
      </c>
      <c r="N757" s="4"/>
      <c r="O757" s="9"/>
    </row>
    <row r="758" spans="1:15" ht="20" x14ac:dyDescent="0.2">
      <c r="A758" s="3">
        <v>754</v>
      </c>
      <c r="B758" s="19" t="s">
        <v>3117</v>
      </c>
      <c r="C758" s="4" t="s">
        <v>3118</v>
      </c>
      <c r="D758" s="4" t="s">
        <v>1616</v>
      </c>
      <c r="E758" s="4"/>
      <c r="F758" s="8"/>
      <c r="G758" s="8"/>
      <c r="H758" s="8"/>
      <c r="I758" s="8"/>
      <c r="J758" s="8"/>
      <c r="K758" s="8">
        <v>800</v>
      </c>
      <c r="L758" s="18">
        <v>14</v>
      </c>
      <c r="M758" s="7">
        <f t="shared" si="11"/>
        <v>11200</v>
      </c>
      <c r="N758" s="4"/>
      <c r="O758" s="9"/>
    </row>
    <row r="759" spans="1:15" ht="20" x14ac:dyDescent="0.2">
      <c r="A759" s="3">
        <v>755</v>
      </c>
      <c r="B759" s="19" t="s">
        <v>3119</v>
      </c>
      <c r="C759" s="4" t="s">
        <v>3120</v>
      </c>
      <c r="D759" s="4" t="s">
        <v>1616</v>
      </c>
      <c r="E759" s="4"/>
      <c r="F759" s="8"/>
      <c r="G759" s="8"/>
      <c r="H759" s="8"/>
      <c r="I759" s="8"/>
      <c r="J759" s="8"/>
      <c r="K759" s="8">
        <v>160</v>
      </c>
      <c r="L759" s="18">
        <v>89.88</v>
      </c>
      <c r="M759" s="7">
        <f t="shared" si="11"/>
        <v>14380.8</v>
      </c>
      <c r="N759" s="4"/>
      <c r="O759" s="9"/>
    </row>
    <row r="760" spans="1:15" ht="20" x14ac:dyDescent="0.2">
      <c r="A760" s="3">
        <v>756</v>
      </c>
      <c r="B760" s="19" t="s">
        <v>3121</v>
      </c>
      <c r="C760" s="4" t="s">
        <v>3122</v>
      </c>
      <c r="D760" s="4" t="s">
        <v>1616</v>
      </c>
      <c r="E760" s="4"/>
      <c r="F760" s="8"/>
      <c r="G760" s="8"/>
      <c r="H760" s="8"/>
      <c r="I760" s="8"/>
      <c r="J760" s="8"/>
      <c r="K760" s="8">
        <v>1000</v>
      </c>
      <c r="L760" s="18">
        <v>15</v>
      </c>
      <c r="M760" s="7">
        <f t="shared" si="11"/>
        <v>15000</v>
      </c>
      <c r="N760" s="4"/>
      <c r="O760" s="9"/>
    </row>
    <row r="761" spans="1:15" ht="20" x14ac:dyDescent="0.2">
      <c r="A761" s="3">
        <v>757</v>
      </c>
      <c r="B761" s="19" t="s">
        <v>3123</v>
      </c>
      <c r="C761" s="4" t="s">
        <v>3124</v>
      </c>
      <c r="D761" s="4" t="s">
        <v>1616</v>
      </c>
      <c r="E761" s="4"/>
      <c r="F761" s="8"/>
      <c r="G761" s="8"/>
      <c r="H761" s="8"/>
      <c r="I761" s="8"/>
      <c r="J761" s="8"/>
      <c r="K761" s="8">
        <v>40</v>
      </c>
      <c r="L761" s="18">
        <v>400</v>
      </c>
      <c r="M761" s="7">
        <f t="shared" si="11"/>
        <v>16000</v>
      </c>
      <c r="N761" s="4"/>
      <c r="O761" s="9"/>
    </row>
    <row r="762" spans="1:15" ht="20" x14ac:dyDescent="0.2">
      <c r="A762" s="3">
        <v>758</v>
      </c>
      <c r="B762" s="19" t="s">
        <v>3125</v>
      </c>
      <c r="C762" s="4" t="s">
        <v>3126</v>
      </c>
      <c r="D762" s="4" t="s">
        <v>1616</v>
      </c>
      <c r="E762" s="4"/>
      <c r="F762" s="8"/>
      <c r="G762" s="8"/>
      <c r="H762" s="8"/>
      <c r="I762" s="8"/>
      <c r="J762" s="8"/>
      <c r="K762" s="8">
        <v>60</v>
      </c>
      <c r="L762" s="18">
        <v>300</v>
      </c>
      <c r="M762" s="7">
        <f t="shared" si="11"/>
        <v>18000</v>
      </c>
      <c r="N762" s="4"/>
      <c r="O762" s="9"/>
    </row>
    <row r="763" spans="1:15" ht="40" x14ac:dyDescent="0.2">
      <c r="A763" s="3">
        <v>759</v>
      </c>
      <c r="B763" s="19" t="s">
        <v>3127</v>
      </c>
      <c r="C763" s="4" t="s">
        <v>3128</v>
      </c>
      <c r="D763" s="4" t="s">
        <v>1616</v>
      </c>
      <c r="E763" s="4"/>
      <c r="F763" s="8"/>
      <c r="G763" s="8"/>
      <c r="H763" s="8"/>
      <c r="I763" s="8"/>
      <c r="J763" s="8"/>
      <c r="K763" s="8">
        <v>15</v>
      </c>
      <c r="L763" s="18">
        <v>1229.43</v>
      </c>
      <c r="M763" s="7">
        <f t="shared" si="11"/>
        <v>18441.45</v>
      </c>
      <c r="N763" s="4"/>
      <c r="O763" s="9"/>
    </row>
    <row r="764" spans="1:15" ht="40" x14ac:dyDescent="0.2">
      <c r="A764" s="3">
        <v>760</v>
      </c>
      <c r="B764" s="19" t="s">
        <v>3129</v>
      </c>
      <c r="C764" s="4" t="s">
        <v>3130</v>
      </c>
      <c r="D764" s="4" t="s">
        <v>1616</v>
      </c>
      <c r="E764" s="4"/>
      <c r="F764" s="8"/>
      <c r="G764" s="8"/>
      <c r="H764" s="8"/>
      <c r="I764" s="8"/>
      <c r="J764" s="8"/>
      <c r="K764" s="8">
        <v>1200</v>
      </c>
      <c r="L764" s="18">
        <v>16</v>
      </c>
      <c r="M764" s="7">
        <f t="shared" si="11"/>
        <v>19200</v>
      </c>
      <c r="N764" s="4"/>
      <c r="O764" s="9"/>
    </row>
    <row r="765" spans="1:15" ht="20" x14ac:dyDescent="0.2">
      <c r="A765" s="3">
        <v>761</v>
      </c>
      <c r="B765" s="19" t="s">
        <v>3131</v>
      </c>
      <c r="C765" s="4" t="s">
        <v>3132</v>
      </c>
      <c r="D765" s="4" t="s">
        <v>1616</v>
      </c>
      <c r="E765" s="4"/>
      <c r="F765" s="8"/>
      <c r="G765" s="8"/>
      <c r="H765" s="8"/>
      <c r="I765" s="8"/>
      <c r="J765" s="8"/>
      <c r="K765" s="8">
        <v>300</v>
      </c>
      <c r="L765" s="18">
        <v>64.2</v>
      </c>
      <c r="M765" s="7">
        <f t="shared" si="11"/>
        <v>19260</v>
      </c>
      <c r="N765" s="4"/>
      <c r="O765" s="9"/>
    </row>
    <row r="766" spans="1:15" ht="20" x14ac:dyDescent="0.2">
      <c r="A766" s="3">
        <v>762</v>
      </c>
      <c r="B766" s="19" t="s">
        <v>3133</v>
      </c>
      <c r="C766" s="4" t="s">
        <v>3134</v>
      </c>
      <c r="D766" s="4" t="s">
        <v>1616</v>
      </c>
      <c r="E766" s="4"/>
      <c r="F766" s="8"/>
      <c r="G766" s="8"/>
      <c r="H766" s="8"/>
      <c r="I766" s="8"/>
      <c r="J766" s="8"/>
      <c r="K766" s="8">
        <v>300</v>
      </c>
      <c r="L766" s="18">
        <v>65</v>
      </c>
      <c r="M766" s="7">
        <f t="shared" si="11"/>
        <v>19500</v>
      </c>
      <c r="N766" s="4"/>
      <c r="O766" s="9"/>
    </row>
    <row r="767" spans="1:15" ht="20" x14ac:dyDescent="0.2">
      <c r="A767" s="3">
        <v>763</v>
      </c>
      <c r="B767" s="19" t="s">
        <v>3135</v>
      </c>
      <c r="C767" s="4" t="s">
        <v>3136</v>
      </c>
      <c r="D767" s="4" t="s">
        <v>1616</v>
      </c>
      <c r="E767" s="4"/>
      <c r="F767" s="8"/>
      <c r="G767" s="8"/>
      <c r="H767" s="8"/>
      <c r="I767" s="8"/>
      <c r="J767" s="8"/>
      <c r="K767" s="8">
        <v>400</v>
      </c>
      <c r="L767" s="18">
        <v>49</v>
      </c>
      <c r="M767" s="7">
        <f t="shared" si="11"/>
        <v>19600</v>
      </c>
      <c r="N767" s="4"/>
      <c r="O767" s="9"/>
    </row>
    <row r="768" spans="1:15" ht="20" x14ac:dyDescent="0.2">
      <c r="A768" s="3">
        <v>764</v>
      </c>
      <c r="B768" s="19" t="s">
        <v>3137</v>
      </c>
      <c r="C768" s="4" t="s">
        <v>3138</v>
      </c>
      <c r="D768" s="4" t="s">
        <v>1616</v>
      </c>
      <c r="E768" s="4"/>
      <c r="F768" s="8"/>
      <c r="G768" s="8"/>
      <c r="H768" s="8"/>
      <c r="I768" s="8"/>
      <c r="J768" s="8"/>
      <c r="K768" s="8">
        <v>100</v>
      </c>
      <c r="L768" s="18">
        <v>197.95</v>
      </c>
      <c r="M768" s="7">
        <f t="shared" si="11"/>
        <v>19795</v>
      </c>
      <c r="N768" s="4"/>
      <c r="O768" s="9"/>
    </row>
    <row r="769" spans="1:15" ht="20" x14ac:dyDescent="0.2">
      <c r="A769" s="3">
        <v>765</v>
      </c>
      <c r="B769" s="19" t="s">
        <v>3139</v>
      </c>
      <c r="C769" s="4" t="s">
        <v>3140</v>
      </c>
      <c r="D769" s="4" t="s">
        <v>1616</v>
      </c>
      <c r="E769" s="4"/>
      <c r="F769" s="8"/>
      <c r="G769" s="8"/>
      <c r="H769" s="8"/>
      <c r="I769" s="8"/>
      <c r="J769" s="8"/>
      <c r="K769" s="8">
        <v>160</v>
      </c>
      <c r="L769" s="18">
        <v>139.1</v>
      </c>
      <c r="M769" s="7">
        <f t="shared" si="11"/>
        <v>22256</v>
      </c>
      <c r="N769" s="4"/>
      <c r="O769" s="9"/>
    </row>
    <row r="770" spans="1:15" ht="20" x14ac:dyDescent="0.2">
      <c r="A770" s="3">
        <v>766</v>
      </c>
      <c r="B770" s="19" t="s">
        <v>3141</v>
      </c>
      <c r="C770" s="4" t="s">
        <v>3142</v>
      </c>
      <c r="D770" s="4" t="s">
        <v>1616</v>
      </c>
      <c r="E770" s="4"/>
      <c r="F770" s="8"/>
      <c r="G770" s="8"/>
      <c r="H770" s="8"/>
      <c r="I770" s="8"/>
      <c r="J770" s="8"/>
      <c r="K770" s="8">
        <v>5</v>
      </c>
      <c r="L770" s="18">
        <v>4708</v>
      </c>
      <c r="M770" s="7">
        <f t="shared" si="11"/>
        <v>23540</v>
      </c>
      <c r="N770" s="4"/>
      <c r="O770" s="9"/>
    </row>
    <row r="771" spans="1:15" ht="20" x14ac:dyDescent="0.2">
      <c r="A771" s="3">
        <v>767</v>
      </c>
      <c r="B771" s="19" t="s">
        <v>3143</v>
      </c>
      <c r="C771" s="4" t="s">
        <v>3144</v>
      </c>
      <c r="D771" s="4" t="s">
        <v>1616</v>
      </c>
      <c r="E771" s="4"/>
      <c r="F771" s="8"/>
      <c r="G771" s="8"/>
      <c r="H771" s="8"/>
      <c r="I771" s="8"/>
      <c r="J771" s="8"/>
      <c r="K771" s="8">
        <v>400</v>
      </c>
      <c r="L771" s="18">
        <v>60</v>
      </c>
      <c r="M771" s="7">
        <f t="shared" si="11"/>
        <v>24000</v>
      </c>
      <c r="N771" s="4"/>
      <c r="O771" s="9"/>
    </row>
    <row r="772" spans="1:15" ht="20" x14ac:dyDescent="0.2">
      <c r="A772" s="3">
        <v>768</v>
      </c>
      <c r="B772" s="19" t="s">
        <v>3145</v>
      </c>
      <c r="C772" s="4" t="s">
        <v>3146</v>
      </c>
      <c r="D772" s="4" t="s">
        <v>1616</v>
      </c>
      <c r="E772" s="4"/>
      <c r="F772" s="8"/>
      <c r="G772" s="8"/>
      <c r="H772" s="8"/>
      <c r="I772" s="8"/>
      <c r="J772" s="8"/>
      <c r="K772" s="8">
        <v>60</v>
      </c>
      <c r="L772" s="18">
        <v>425</v>
      </c>
      <c r="M772" s="7">
        <f t="shared" si="11"/>
        <v>25500</v>
      </c>
      <c r="N772" s="4"/>
      <c r="O772" s="9"/>
    </row>
    <row r="773" spans="1:15" ht="20" x14ac:dyDescent="0.2">
      <c r="A773" s="3">
        <v>769</v>
      </c>
      <c r="B773" s="19" t="s">
        <v>3147</v>
      </c>
      <c r="C773" s="4" t="s">
        <v>3148</v>
      </c>
      <c r="D773" s="4" t="s">
        <v>1616</v>
      </c>
      <c r="E773" s="4"/>
      <c r="F773" s="8"/>
      <c r="G773" s="8"/>
      <c r="H773" s="8"/>
      <c r="I773" s="8"/>
      <c r="J773" s="8"/>
      <c r="K773" s="8">
        <v>5</v>
      </c>
      <c r="L773" s="18">
        <v>5383.17</v>
      </c>
      <c r="M773" s="7">
        <f t="shared" ref="M773:M836" si="12">IF(OR(K773="",L773=""),"",K773*L773)</f>
        <v>26915.85</v>
      </c>
      <c r="N773" s="4"/>
      <c r="O773" s="9"/>
    </row>
    <row r="774" spans="1:15" ht="20" x14ac:dyDescent="0.2">
      <c r="A774" s="3">
        <v>770</v>
      </c>
      <c r="B774" s="19" t="s">
        <v>3149</v>
      </c>
      <c r="C774" s="4" t="s">
        <v>3150</v>
      </c>
      <c r="D774" s="4" t="s">
        <v>1616</v>
      </c>
      <c r="E774" s="4"/>
      <c r="F774" s="8"/>
      <c r="G774" s="8"/>
      <c r="H774" s="8"/>
      <c r="I774" s="8"/>
      <c r="J774" s="8"/>
      <c r="K774" s="8">
        <v>300</v>
      </c>
      <c r="L774" s="18">
        <v>93.09</v>
      </c>
      <c r="M774" s="7">
        <f t="shared" si="12"/>
        <v>27927</v>
      </c>
      <c r="N774" s="4"/>
      <c r="O774" s="9"/>
    </row>
    <row r="775" spans="1:15" ht="20" x14ac:dyDescent="0.2">
      <c r="A775" s="3">
        <v>771</v>
      </c>
      <c r="B775" s="19" t="s">
        <v>3151</v>
      </c>
      <c r="C775" s="4" t="s">
        <v>3152</v>
      </c>
      <c r="D775" s="4" t="s">
        <v>1616</v>
      </c>
      <c r="E775" s="4"/>
      <c r="F775" s="8"/>
      <c r="G775" s="8"/>
      <c r="H775" s="8"/>
      <c r="I775" s="8"/>
      <c r="J775" s="8"/>
      <c r="K775" s="8">
        <v>120</v>
      </c>
      <c r="L775" s="18">
        <v>235.4</v>
      </c>
      <c r="M775" s="7">
        <f t="shared" si="12"/>
        <v>28248</v>
      </c>
      <c r="N775" s="4"/>
      <c r="O775" s="9"/>
    </row>
    <row r="776" spans="1:15" ht="20" x14ac:dyDescent="0.2">
      <c r="A776" s="3">
        <v>772</v>
      </c>
      <c r="B776" s="19" t="s">
        <v>3153</v>
      </c>
      <c r="C776" s="4" t="s">
        <v>3154</v>
      </c>
      <c r="D776" s="4" t="s">
        <v>1616</v>
      </c>
      <c r="E776" s="4"/>
      <c r="F776" s="8"/>
      <c r="G776" s="8"/>
      <c r="H776" s="8"/>
      <c r="I776" s="8"/>
      <c r="J776" s="8"/>
      <c r="K776" s="8">
        <v>2</v>
      </c>
      <c r="L776" s="18">
        <v>14445</v>
      </c>
      <c r="M776" s="7">
        <f t="shared" si="12"/>
        <v>28890</v>
      </c>
      <c r="N776" s="4"/>
      <c r="O776" s="9"/>
    </row>
    <row r="777" spans="1:15" ht="20" x14ac:dyDescent="0.2">
      <c r="A777" s="3">
        <v>773</v>
      </c>
      <c r="B777" s="19" t="s">
        <v>3155</v>
      </c>
      <c r="C777" s="4" t="s">
        <v>3156</v>
      </c>
      <c r="D777" s="4" t="s">
        <v>1616</v>
      </c>
      <c r="E777" s="4"/>
      <c r="F777" s="8"/>
      <c r="G777" s="8"/>
      <c r="H777" s="8"/>
      <c r="I777" s="8"/>
      <c r="J777" s="8"/>
      <c r="K777" s="8">
        <v>200</v>
      </c>
      <c r="L777" s="18">
        <v>150</v>
      </c>
      <c r="M777" s="7">
        <f t="shared" si="12"/>
        <v>30000</v>
      </c>
      <c r="N777" s="4"/>
      <c r="O777" s="9"/>
    </row>
    <row r="778" spans="1:15" ht="20" x14ac:dyDescent="0.2">
      <c r="A778" s="3">
        <v>774</v>
      </c>
      <c r="B778" s="19" t="s">
        <v>3157</v>
      </c>
      <c r="C778" s="4" t="s">
        <v>3158</v>
      </c>
      <c r="D778" s="4" t="s">
        <v>1616</v>
      </c>
      <c r="E778" s="4"/>
      <c r="F778" s="8"/>
      <c r="G778" s="8"/>
      <c r="H778" s="8"/>
      <c r="I778" s="8"/>
      <c r="J778" s="8"/>
      <c r="K778" s="8">
        <v>50</v>
      </c>
      <c r="L778" s="18">
        <v>642</v>
      </c>
      <c r="M778" s="7">
        <f t="shared" si="12"/>
        <v>32100</v>
      </c>
      <c r="N778" s="4"/>
      <c r="O778" s="9"/>
    </row>
    <row r="779" spans="1:15" ht="20" x14ac:dyDescent="0.2">
      <c r="A779" s="3">
        <v>775</v>
      </c>
      <c r="B779" s="19" t="s">
        <v>3159</v>
      </c>
      <c r="C779" s="4" t="s">
        <v>3160</v>
      </c>
      <c r="D779" s="4" t="s">
        <v>1616</v>
      </c>
      <c r="E779" s="4"/>
      <c r="F779" s="8"/>
      <c r="G779" s="8"/>
      <c r="H779" s="8"/>
      <c r="I779" s="8"/>
      <c r="J779" s="8"/>
      <c r="K779" s="8">
        <v>600</v>
      </c>
      <c r="L779" s="18">
        <v>55</v>
      </c>
      <c r="M779" s="7">
        <f t="shared" si="12"/>
        <v>33000</v>
      </c>
      <c r="N779" s="4"/>
      <c r="O779" s="9"/>
    </row>
    <row r="780" spans="1:15" ht="40" x14ac:dyDescent="0.2">
      <c r="A780" s="3">
        <v>776</v>
      </c>
      <c r="B780" s="19" t="s">
        <v>3161</v>
      </c>
      <c r="C780" s="4" t="s">
        <v>3162</v>
      </c>
      <c r="D780" s="4" t="s">
        <v>1616</v>
      </c>
      <c r="E780" s="4"/>
      <c r="F780" s="8"/>
      <c r="G780" s="8"/>
      <c r="H780" s="8"/>
      <c r="I780" s="8"/>
      <c r="J780" s="8"/>
      <c r="K780" s="8">
        <v>2000</v>
      </c>
      <c r="L780" s="18">
        <v>18</v>
      </c>
      <c r="M780" s="7">
        <f t="shared" si="12"/>
        <v>36000</v>
      </c>
      <c r="N780" s="4"/>
      <c r="O780" s="9"/>
    </row>
    <row r="781" spans="1:15" ht="20" x14ac:dyDescent="0.2">
      <c r="A781" s="3">
        <v>777</v>
      </c>
      <c r="B781" s="19" t="s">
        <v>3163</v>
      </c>
      <c r="C781" s="4" t="s">
        <v>3164</v>
      </c>
      <c r="D781" s="4" t="s">
        <v>1616</v>
      </c>
      <c r="E781" s="4"/>
      <c r="F781" s="8"/>
      <c r="G781" s="8"/>
      <c r="H781" s="8"/>
      <c r="I781" s="8"/>
      <c r="J781" s="8"/>
      <c r="K781" s="8">
        <v>280</v>
      </c>
      <c r="L781" s="18">
        <v>132.68</v>
      </c>
      <c r="M781" s="7">
        <f t="shared" si="12"/>
        <v>37150.400000000001</v>
      </c>
      <c r="N781" s="4"/>
      <c r="O781" s="9"/>
    </row>
    <row r="782" spans="1:15" ht="40" x14ac:dyDescent="0.2">
      <c r="A782" s="3">
        <v>778</v>
      </c>
      <c r="B782" s="19" t="s">
        <v>3165</v>
      </c>
      <c r="C782" s="4" t="s">
        <v>3166</v>
      </c>
      <c r="D782" s="4" t="s">
        <v>1616</v>
      </c>
      <c r="E782" s="4"/>
      <c r="F782" s="8"/>
      <c r="G782" s="8"/>
      <c r="H782" s="8"/>
      <c r="I782" s="8"/>
      <c r="J782" s="8"/>
      <c r="K782" s="8">
        <v>100</v>
      </c>
      <c r="L782" s="18">
        <v>385.2</v>
      </c>
      <c r="M782" s="7">
        <f t="shared" si="12"/>
        <v>38520</v>
      </c>
      <c r="N782" s="4"/>
      <c r="O782" s="9"/>
    </row>
    <row r="783" spans="1:15" ht="20" x14ac:dyDescent="0.2">
      <c r="A783" s="3">
        <v>779</v>
      </c>
      <c r="B783" s="19" t="s">
        <v>3167</v>
      </c>
      <c r="C783" s="4" t="s">
        <v>3168</v>
      </c>
      <c r="D783" s="4" t="s">
        <v>1616</v>
      </c>
      <c r="E783" s="4"/>
      <c r="F783" s="8"/>
      <c r="G783" s="8"/>
      <c r="H783" s="8"/>
      <c r="I783" s="8"/>
      <c r="J783" s="8"/>
      <c r="K783" s="8">
        <v>6</v>
      </c>
      <c r="L783" s="18">
        <v>6500.25</v>
      </c>
      <c r="M783" s="7">
        <f t="shared" si="12"/>
        <v>39001.5</v>
      </c>
      <c r="N783" s="4"/>
      <c r="O783" s="9"/>
    </row>
    <row r="784" spans="1:15" ht="20" x14ac:dyDescent="0.2">
      <c r="A784" s="3">
        <v>780</v>
      </c>
      <c r="B784" s="19" t="s">
        <v>3169</v>
      </c>
      <c r="C784" s="4" t="s">
        <v>3170</v>
      </c>
      <c r="D784" s="4" t="s">
        <v>1616</v>
      </c>
      <c r="E784" s="4"/>
      <c r="F784" s="8"/>
      <c r="G784" s="8"/>
      <c r="H784" s="8"/>
      <c r="I784" s="8"/>
      <c r="J784" s="8"/>
      <c r="K784" s="8">
        <v>240</v>
      </c>
      <c r="L784" s="18">
        <v>166.92</v>
      </c>
      <c r="M784" s="7">
        <f t="shared" si="12"/>
        <v>40060.799999999996</v>
      </c>
      <c r="N784" s="4"/>
      <c r="O784" s="9"/>
    </row>
    <row r="785" spans="1:15" ht="20" x14ac:dyDescent="0.2">
      <c r="A785" s="3">
        <v>781</v>
      </c>
      <c r="B785" s="19" t="s">
        <v>3171</v>
      </c>
      <c r="C785" s="4" t="s">
        <v>3172</v>
      </c>
      <c r="D785" s="4" t="s">
        <v>1616</v>
      </c>
      <c r="E785" s="4"/>
      <c r="F785" s="8"/>
      <c r="G785" s="8"/>
      <c r="H785" s="8"/>
      <c r="I785" s="8"/>
      <c r="J785" s="8"/>
      <c r="K785" s="8">
        <v>20</v>
      </c>
      <c r="L785" s="18">
        <v>2041.56</v>
      </c>
      <c r="M785" s="7">
        <f t="shared" si="12"/>
        <v>40831.199999999997</v>
      </c>
      <c r="N785" s="4"/>
      <c r="O785" s="9"/>
    </row>
    <row r="786" spans="1:15" ht="20" x14ac:dyDescent="0.2">
      <c r="A786" s="3">
        <v>782</v>
      </c>
      <c r="B786" s="19" t="s">
        <v>3173</v>
      </c>
      <c r="C786" s="4" t="s">
        <v>3174</v>
      </c>
      <c r="D786" s="4" t="s">
        <v>1616</v>
      </c>
      <c r="E786" s="4"/>
      <c r="F786" s="8"/>
      <c r="G786" s="8"/>
      <c r="H786" s="8"/>
      <c r="I786" s="8"/>
      <c r="J786" s="8"/>
      <c r="K786" s="8">
        <v>12</v>
      </c>
      <c r="L786" s="18">
        <v>3456.1</v>
      </c>
      <c r="M786" s="7">
        <f t="shared" si="12"/>
        <v>41473.199999999997</v>
      </c>
      <c r="N786" s="4"/>
      <c r="O786" s="9"/>
    </row>
    <row r="787" spans="1:15" ht="20" x14ac:dyDescent="0.2">
      <c r="A787" s="3">
        <v>783</v>
      </c>
      <c r="B787" s="19" t="s">
        <v>3175</v>
      </c>
      <c r="C787" s="4" t="s">
        <v>3176</v>
      </c>
      <c r="D787" s="4" t="s">
        <v>1616</v>
      </c>
      <c r="E787" s="4"/>
      <c r="F787" s="8"/>
      <c r="G787" s="8"/>
      <c r="H787" s="8"/>
      <c r="I787" s="8"/>
      <c r="J787" s="8"/>
      <c r="K787" s="8">
        <v>20</v>
      </c>
      <c r="L787" s="18">
        <v>2140</v>
      </c>
      <c r="M787" s="7">
        <f t="shared" si="12"/>
        <v>42800</v>
      </c>
      <c r="N787" s="4"/>
      <c r="O787" s="9"/>
    </row>
    <row r="788" spans="1:15" ht="20" x14ac:dyDescent="0.2">
      <c r="A788" s="3">
        <v>784</v>
      </c>
      <c r="B788" s="19" t="s">
        <v>3177</v>
      </c>
      <c r="C788" s="4" t="s">
        <v>3178</v>
      </c>
      <c r="D788" s="4" t="s">
        <v>1616</v>
      </c>
      <c r="E788" s="4"/>
      <c r="F788" s="8"/>
      <c r="G788" s="8"/>
      <c r="H788" s="8"/>
      <c r="I788" s="8"/>
      <c r="J788" s="8"/>
      <c r="K788" s="8">
        <v>200</v>
      </c>
      <c r="L788" s="18">
        <v>220</v>
      </c>
      <c r="M788" s="7">
        <f t="shared" si="12"/>
        <v>44000</v>
      </c>
      <c r="N788" s="4"/>
      <c r="O788" s="9"/>
    </row>
    <row r="789" spans="1:15" ht="20" x14ac:dyDescent="0.2">
      <c r="A789" s="3">
        <v>785</v>
      </c>
      <c r="B789" s="19" t="s">
        <v>3179</v>
      </c>
      <c r="C789" s="4" t="s">
        <v>3180</v>
      </c>
      <c r="D789" s="4" t="s">
        <v>1616</v>
      </c>
      <c r="E789" s="4"/>
      <c r="F789" s="8"/>
      <c r="G789" s="8"/>
      <c r="H789" s="8"/>
      <c r="I789" s="8"/>
      <c r="J789" s="8"/>
      <c r="K789" s="8">
        <v>160</v>
      </c>
      <c r="L789" s="18">
        <v>288.89999999999998</v>
      </c>
      <c r="M789" s="7">
        <f t="shared" si="12"/>
        <v>46224</v>
      </c>
      <c r="N789" s="4"/>
      <c r="O789" s="9"/>
    </row>
    <row r="790" spans="1:15" ht="20" x14ac:dyDescent="0.2">
      <c r="A790" s="3">
        <v>786</v>
      </c>
      <c r="B790" s="19" t="s">
        <v>3181</v>
      </c>
      <c r="C790" s="4" t="s">
        <v>3182</v>
      </c>
      <c r="D790" s="4" t="s">
        <v>1616</v>
      </c>
      <c r="E790" s="4"/>
      <c r="F790" s="8"/>
      <c r="G790" s="8"/>
      <c r="H790" s="8"/>
      <c r="I790" s="8"/>
      <c r="J790" s="8"/>
      <c r="K790" s="8">
        <v>800</v>
      </c>
      <c r="L790" s="18">
        <v>58.85</v>
      </c>
      <c r="M790" s="7">
        <f t="shared" si="12"/>
        <v>47080</v>
      </c>
      <c r="N790" s="4"/>
      <c r="O790" s="9"/>
    </row>
    <row r="791" spans="1:15" ht="20" x14ac:dyDescent="0.2">
      <c r="A791" s="3">
        <v>787</v>
      </c>
      <c r="B791" s="19" t="s">
        <v>3183</v>
      </c>
      <c r="C791" s="4" t="s">
        <v>3184</v>
      </c>
      <c r="D791" s="4" t="s">
        <v>1616</v>
      </c>
      <c r="E791" s="4"/>
      <c r="F791" s="8"/>
      <c r="G791" s="8"/>
      <c r="H791" s="8"/>
      <c r="I791" s="8"/>
      <c r="J791" s="8"/>
      <c r="K791" s="8">
        <v>2</v>
      </c>
      <c r="L791" s="18">
        <v>24396</v>
      </c>
      <c r="M791" s="7">
        <f t="shared" si="12"/>
        <v>48792</v>
      </c>
      <c r="N791" s="4"/>
      <c r="O791" s="9"/>
    </row>
    <row r="792" spans="1:15" ht="20" x14ac:dyDescent="0.2">
      <c r="A792" s="3">
        <v>788</v>
      </c>
      <c r="B792" s="19" t="s">
        <v>3185</v>
      </c>
      <c r="C792" s="4" t="s">
        <v>3186</v>
      </c>
      <c r="D792" s="4" t="s">
        <v>1616</v>
      </c>
      <c r="E792" s="4"/>
      <c r="F792" s="8"/>
      <c r="G792" s="8"/>
      <c r="H792" s="8"/>
      <c r="I792" s="8"/>
      <c r="J792" s="8"/>
      <c r="K792" s="8">
        <v>40</v>
      </c>
      <c r="L792" s="18">
        <v>1231.57</v>
      </c>
      <c r="M792" s="7">
        <f t="shared" si="12"/>
        <v>49262.799999999996</v>
      </c>
      <c r="N792" s="4"/>
      <c r="O792" s="9"/>
    </row>
    <row r="793" spans="1:15" ht="20" x14ac:dyDescent="0.2">
      <c r="A793" s="3">
        <v>789</v>
      </c>
      <c r="B793" s="19" t="s">
        <v>3187</v>
      </c>
      <c r="C793" s="4" t="s">
        <v>3188</v>
      </c>
      <c r="D793" s="4" t="s">
        <v>1616</v>
      </c>
      <c r="E793" s="4"/>
      <c r="F793" s="8"/>
      <c r="G793" s="8"/>
      <c r="H793" s="8"/>
      <c r="I793" s="8"/>
      <c r="J793" s="8"/>
      <c r="K793" s="8">
        <v>2</v>
      </c>
      <c r="L793" s="18">
        <v>25200</v>
      </c>
      <c r="M793" s="7">
        <f t="shared" si="12"/>
        <v>50400</v>
      </c>
      <c r="N793" s="4"/>
      <c r="O793" s="9"/>
    </row>
    <row r="794" spans="1:15" ht="20" x14ac:dyDescent="0.2">
      <c r="A794" s="3">
        <v>790</v>
      </c>
      <c r="B794" s="19" t="s">
        <v>3189</v>
      </c>
      <c r="C794" s="4" t="s">
        <v>3190</v>
      </c>
      <c r="D794" s="4" t="s">
        <v>1616</v>
      </c>
      <c r="E794" s="4"/>
      <c r="F794" s="8"/>
      <c r="G794" s="8"/>
      <c r="H794" s="8"/>
      <c r="I794" s="8"/>
      <c r="J794" s="8"/>
      <c r="K794" s="8">
        <v>1680</v>
      </c>
      <c r="L794" s="18">
        <v>32.1</v>
      </c>
      <c r="M794" s="7">
        <f t="shared" si="12"/>
        <v>53928</v>
      </c>
      <c r="N794" s="4"/>
      <c r="O794" s="9"/>
    </row>
    <row r="795" spans="1:15" ht="20" x14ac:dyDescent="0.2">
      <c r="A795" s="3">
        <v>791</v>
      </c>
      <c r="B795" s="19" t="s">
        <v>3191</v>
      </c>
      <c r="C795" s="4" t="s">
        <v>3192</v>
      </c>
      <c r="D795" s="4" t="s">
        <v>1616</v>
      </c>
      <c r="E795" s="4"/>
      <c r="F795" s="8"/>
      <c r="G795" s="8"/>
      <c r="H795" s="8"/>
      <c r="I795" s="8"/>
      <c r="J795" s="8"/>
      <c r="K795" s="8">
        <v>60</v>
      </c>
      <c r="L795" s="18">
        <v>904.15</v>
      </c>
      <c r="M795" s="7">
        <f t="shared" si="12"/>
        <v>54249</v>
      </c>
      <c r="N795" s="4"/>
      <c r="O795" s="9"/>
    </row>
    <row r="796" spans="1:15" ht="40" x14ac:dyDescent="0.2">
      <c r="A796" s="3">
        <v>792</v>
      </c>
      <c r="B796" s="19" t="s">
        <v>3193</v>
      </c>
      <c r="C796" s="4" t="s">
        <v>3194</v>
      </c>
      <c r="D796" s="4" t="s">
        <v>1616</v>
      </c>
      <c r="E796" s="4"/>
      <c r="F796" s="8"/>
      <c r="G796" s="8"/>
      <c r="H796" s="8"/>
      <c r="I796" s="8"/>
      <c r="J796" s="8"/>
      <c r="K796" s="8">
        <v>120</v>
      </c>
      <c r="L796" s="18">
        <v>460.1</v>
      </c>
      <c r="M796" s="7">
        <f t="shared" si="12"/>
        <v>55212</v>
      </c>
      <c r="N796" s="4"/>
      <c r="O796" s="9"/>
    </row>
    <row r="797" spans="1:15" ht="20" x14ac:dyDescent="0.2">
      <c r="A797" s="3">
        <v>793</v>
      </c>
      <c r="B797" s="19" t="s">
        <v>3195</v>
      </c>
      <c r="C797" s="4" t="s">
        <v>3196</v>
      </c>
      <c r="D797" s="4" t="s">
        <v>1616</v>
      </c>
      <c r="E797" s="4"/>
      <c r="F797" s="8"/>
      <c r="G797" s="8"/>
      <c r="H797" s="8"/>
      <c r="I797" s="8"/>
      <c r="J797" s="8"/>
      <c r="K797" s="8">
        <v>390</v>
      </c>
      <c r="L797" s="18">
        <v>144</v>
      </c>
      <c r="M797" s="7">
        <f t="shared" si="12"/>
        <v>56160</v>
      </c>
      <c r="N797" s="4"/>
      <c r="O797" s="9"/>
    </row>
    <row r="798" spans="1:15" ht="20" x14ac:dyDescent="0.2">
      <c r="A798" s="3">
        <v>794</v>
      </c>
      <c r="B798" s="19" t="s">
        <v>3197</v>
      </c>
      <c r="C798" s="4" t="s">
        <v>3198</v>
      </c>
      <c r="D798" s="4" t="s">
        <v>1616</v>
      </c>
      <c r="E798" s="4"/>
      <c r="F798" s="8"/>
      <c r="G798" s="8"/>
      <c r="H798" s="8"/>
      <c r="I798" s="8"/>
      <c r="J798" s="8"/>
      <c r="K798" s="8">
        <v>5000</v>
      </c>
      <c r="L798" s="18">
        <v>12</v>
      </c>
      <c r="M798" s="7">
        <f t="shared" si="12"/>
        <v>60000</v>
      </c>
      <c r="N798" s="4"/>
      <c r="O798" s="9"/>
    </row>
    <row r="799" spans="1:15" ht="20" x14ac:dyDescent="0.2">
      <c r="A799" s="3">
        <v>795</v>
      </c>
      <c r="B799" s="19" t="s">
        <v>3199</v>
      </c>
      <c r="C799" s="4" t="s">
        <v>3200</v>
      </c>
      <c r="D799" s="4" t="s">
        <v>1616</v>
      </c>
      <c r="E799" s="4"/>
      <c r="F799" s="8"/>
      <c r="G799" s="8"/>
      <c r="H799" s="8"/>
      <c r="I799" s="8"/>
      <c r="J799" s="8"/>
      <c r="K799" s="8">
        <v>1200</v>
      </c>
      <c r="L799" s="18">
        <v>50.29</v>
      </c>
      <c r="M799" s="7">
        <f t="shared" si="12"/>
        <v>60348</v>
      </c>
      <c r="N799" s="4"/>
      <c r="O799" s="9"/>
    </row>
    <row r="800" spans="1:15" ht="20" x14ac:dyDescent="0.2">
      <c r="A800" s="3">
        <v>796</v>
      </c>
      <c r="B800" s="19" t="s">
        <v>3201</v>
      </c>
      <c r="C800" s="4" t="s">
        <v>3202</v>
      </c>
      <c r="D800" s="4" t="s">
        <v>1616</v>
      </c>
      <c r="E800" s="4"/>
      <c r="F800" s="8"/>
      <c r="G800" s="8"/>
      <c r="H800" s="8"/>
      <c r="I800" s="8"/>
      <c r="J800" s="8"/>
      <c r="K800" s="8">
        <v>48</v>
      </c>
      <c r="L800" s="18">
        <v>1284</v>
      </c>
      <c r="M800" s="7">
        <f t="shared" si="12"/>
        <v>61632</v>
      </c>
      <c r="N800" s="4"/>
      <c r="O800" s="9"/>
    </row>
    <row r="801" spans="1:15" ht="20" x14ac:dyDescent="0.2">
      <c r="A801" s="3">
        <v>797</v>
      </c>
      <c r="B801" s="19" t="s">
        <v>3203</v>
      </c>
      <c r="C801" s="4" t="s">
        <v>3204</v>
      </c>
      <c r="D801" s="4" t="s">
        <v>1616</v>
      </c>
      <c r="E801" s="4"/>
      <c r="F801" s="8"/>
      <c r="G801" s="8"/>
      <c r="H801" s="8"/>
      <c r="I801" s="8"/>
      <c r="J801" s="8"/>
      <c r="K801" s="8">
        <v>1</v>
      </c>
      <c r="L801" s="18">
        <v>63558</v>
      </c>
      <c r="M801" s="7">
        <f t="shared" si="12"/>
        <v>63558</v>
      </c>
      <c r="N801" s="4"/>
      <c r="O801" s="9"/>
    </row>
    <row r="802" spans="1:15" ht="20" x14ac:dyDescent="0.2">
      <c r="A802" s="3">
        <v>798</v>
      </c>
      <c r="B802" s="19" t="s">
        <v>3205</v>
      </c>
      <c r="C802" s="4" t="s">
        <v>3206</v>
      </c>
      <c r="D802" s="4" t="s">
        <v>1616</v>
      </c>
      <c r="E802" s="4"/>
      <c r="F802" s="8"/>
      <c r="G802" s="8"/>
      <c r="H802" s="8"/>
      <c r="I802" s="8"/>
      <c r="J802" s="8"/>
      <c r="K802" s="8">
        <v>240</v>
      </c>
      <c r="L802" s="18">
        <v>267.5</v>
      </c>
      <c r="M802" s="7">
        <f t="shared" si="12"/>
        <v>64200</v>
      </c>
      <c r="N802" s="4"/>
      <c r="O802" s="9"/>
    </row>
    <row r="803" spans="1:15" ht="20" x14ac:dyDescent="0.2">
      <c r="A803" s="3">
        <v>799</v>
      </c>
      <c r="B803" s="19" t="s">
        <v>3207</v>
      </c>
      <c r="C803" s="4" t="s">
        <v>3208</v>
      </c>
      <c r="D803" s="4" t="s">
        <v>1616</v>
      </c>
      <c r="E803" s="4"/>
      <c r="F803" s="8"/>
      <c r="G803" s="8"/>
      <c r="H803" s="8"/>
      <c r="I803" s="8"/>
      <c r="J803" s="8"/>
      <c r="K803" s="8">
        <v>120</v>
      </c>
      <c r="L803" s="18">
        <v>550</v>
      </c>
      <c r="M803" s="7">
        <f t="shared" si="12"/>
        <v>66000</v>
      </c>
      <c r="N803" s="4"/>
      <c r="O803" s="9"/>
    </row>
    <row r="804" spans="1:15" ht="20" x14ac:dyDescent="0.2">
      <c r="A804" s="3">
        <v>800</v>
      </c>
      <c r="B804" s="19" t="s">
        <v>3209</v>
      </c>
      <c r="C804" s="4" t="s">
        <v>3210</v>
      </c>
      <c r="D804" s="4" t="s">
        <v>1616</v>
      </c>
      <c r="E804" s="4"/>
      <c r="F804" s="8"/>
      <c r="G804" s="8"/>
      <c r="H804" s="8"/>
      <c r="I804" s="8"/>
      <c r="J804" s="8"/>
      <c r="K804" s="8">
        <v>6000</v>
      </c>
      <c r="L804" s="18">
        <v>11.5</v>
      </c>
      <c r="M804" s="7">
        <f t="shared" si="12"/>
        <v>69000</v>
      </c>
      <c r="N804" s="4"/>
      <c r="O804" s="9"/>
    </row>
    <row r="805" spans="1:15" ht="20" x14ac:dyDescent="0.2">
      <c r="A805" s="3">
        <v>801</v>
      </c>
      <c r="B805" s="19" t="s">
        <v>3211</v>
      </c>
      <c r="C805" s="4" t="s">
        <v>3212</v>
      </c>
      <c r="D805" s="4" t="s">
        <v>1616</v>
      </c>
      <c r="E805" s="4"/>
      <c r="F805" s="8"/>
      <c r="G805" s="8"/>
      <c r="H805" s="8"/>
      <c r="I805" s="8"/>
      <c r="J805" s="8"/>
      <c r="K805" s="8">
        <v>70</v>
      </c>
      <c r="L805" s="18">
        <v>995.1</v>
      </c>
      <c r="M805" s="7">
        <f t="shared" si="12"/>
        <v>69657</v>
      </c>
      <c r="N805" s="4"/>
      <c r="O805" s="9"/>
    </row>
    <row r="806" spans="1:15" ht="20" x14ac:dyDescent="0.2">
      <c r="A806" s="3">
        <v>802</v>
      </c>
      <c r="B806" s="19" t="s">
        <v>3213</v>
      </c>
      <c r="C806" s="4" t="s">
        <v>3214</v>
      </c>
      <c r="D806" s="4" t="s">
        <v>1616</v>
      </c>
      <c r="E806" s="4"/>
      <c r="F806" s="8"/>
      <c r="G806" s="8"/>
      <c r="H806" s="8"/>
      <c r="I806" s="8"/>
      <c r="J806" s="8"/>
      <c r="K806" s="8">
        <v>40</v>
      </c>
      <c r="L806" s="18">
        <v>1744.1</v>
      </c>
      <c r="M806" s="7">
        <f t="shared" si="12"/>
        <v>69764</v>
      </c>
      <c r="N806" s="4"/>
      <c r="O806" s="9"/>
    </row>
    <row r="807" spans="1:15" ht="20" x14ac:dyDescent="0.2">
      <c r="A807" s="3">
        <v>803</v>
      </c>
      <c r="B807" s="19" t="s">
        <v>3215</v>
      </c>
      <c r="C807" s="4" t="s">
        <v>3216</v>
      </c>
      <c r="D807" s="4" t="s">
        <v>1616</v>
      </c>
      <c r="E807" s="4"/>
      <c r="F807" s="8"/>
      <c r="G807" s="8"/>
      <c r="H807" s="8"/>
      <c r="I807" s="8"/>
      <c r="J807" s="8"/>
      <c r="K807" s="8">
        <v>4</v>
      </c>
      <c r="L807" s="18">
        <v>17976</v>
      </c>
      <c r="M807" s="7">
        <f t="shared" si="12"/>
        <v>71904</v>
      </c>
      <c r="N807" s="4"/>
      <c r="O807" s="9"/>
    </row>
    <row r="808" spans="1:15" ht="20" x14ac:dyDescent="0.2">
      <c r="A808" s="3">
        <v>804</v>
      </c>
      <c r="B808" s="19" t="s">
        <v>3217</v>
      </c>
      <c r="C808" s="4" t="s">
        <v>3218</v>
      </c>
      <c r="D808" s="4" t="s">
        <v>1616</v>
      </c>
      <c r="E808" s="4"/>
      <c r="F808" s="8"/>
      <c r="G808" s="8"/>
      <c r="H808" s="8"/>
      <c r="I808" s="8"/>
      <c r="J808" s="8"/>
      <c r="K808" s="8">
        <v>1000</v>
      </c>
      <c r="L808" s="18">
        <v>74.900000000000006</v>
      </c>
      <c r="M808" s="7">
        <f t="shared" si="12"/>
        <v>74900</v>
      </c>
      <c r="N808" s="4"/>
      <c r="O808" s="9"/>
    </row>
    <row r="809" spans="1:15" ht="20" x14ac:dyDescent="0.2">
      <c r="A809" s="3">
        <v>805</v>
      </c>
      <c r="B809" s="19" t="s">
        <v>3219</v>
      </c>
      <c r="C809" s="4" t="s">
        <v>3220</v>
      </c>
      <c r="D809" s="4" t="s">
        <v>1616</v>
      </c>
      <c r="E809" s="4"/>
      <c r="F809" s="8"/>
      <c r="G809" s="8"/>
      <c r="H809" s="8"/>
      <c r="I809" s="8"/>
      <c r="J809" s="8"/>
      <c r="K809" s="8">
        <v>6</v>
      </c>
      <c r="L809" s="18">
        <v>12840</v>
      </c>
      <c r="M809" s="7">
        <f t="shared" si="12"/>
        <v>77040</v>
      </c>
      <c r="N809" s="4"/>
      <c r="O809" s="9"/>
    </row>
    <row r="810" spans="1:15" ht="20" x14ac:dyDescent="0.2">
      <c r="A810" s="3">
        <v>806</v>
      </c>
      <c r="B810" s="19" t="s">
        <v>3221</v>
      </c>
      <c r="C810" s="4" t="s">
        <v>3222</v>
      </c>
      <c r="D810" s="4" t="s">
        <v>1616</v>
      </c>
      <c r="E810" s="4"/>
      <c r="F810" s="8"/>
      <c r="G810" s="8"/>
      <c r="H810" s="8"/>
      <c r="I810" s="8"/>
      <c r="J810" s="8"/>
      <c r="K810" s="8">
        <v>120</v>
      </c>
      <c r="L810" s="18">
        <v>642</v>
      </c>
      <c r="M810" s="7">
        <f t="shared" si="12"/>
        <v>77040</v>
      </c>
      <c r="N810" s="4"/>
      <c r="O810" s="9"/>
    </row>
    <row r="811" spans="1:15" ht="20" x14ac:dyDescent="0.2">
      <c r="A811" s="3">
        <v>807</v>
      </c>
      <c r="B811" s="19" t="s">
        <v>3223</v>
      </c>
      <c r="C811" s="4" t="s">
        <v>3224</v>
      </c>
      <c r="D811" s="4" t="s">
        <v>1616</v>
      </c>
      <c r="E811" s="4"/>
      <c r="F811" s="8"/>
      <c r="G811" s="8"/>
      <c r="H811" s="8"/>
      <c r="I811" s="8"/>
      <c r="J811" s="8"/>
      <c r="K811" s="8">
        <v>120</v>
      </c>
      <c r="L811" s="18">
        <v>644.67999999999995</v>
      </c>
      <c r="M811" s="7">
        <f t="shared" si="12"/>
        <v>77361.599999999991</v>
      </c>
      <c r="N811" s="4"/>
      <c r="O811" s="9"/>
    </row>
    <row r="812" spans="1:15" ht="40" x14ac:dyDescent="0.2">
      <c r="A812" s="3">
        <v>808</v>
      </c>
      <c r="B812" s="19" t="s">
        <v>3225</v>
      </c>
      <c r="C812" s="4" t="s">
        <v>3226</v>
      </c>
      <c r="D812" s="4" t="s">
        <v>1616</v>
      </c>
      <c r="E812" s="4"/>
      <c r="F812" s="8"/>
      <c r="G812" s="8"/>
      <c r="H812" s="8"/>
      <c r="I812" s="8"/>
      <c r="J812" s="8"/>
      <c r="K812" s="8">
        <v>20</v>
      </c>
      <c r="L812" s="18">
        <v>4066</v>
      </c>
      <c r="M812" s="7">
        <f t="shared" si="12"/>
        <v>81320</v>
      </c>
      <c r="N812" s="4"/>
      <c r="O812" s="9"/>
    </row>
    <row r="813" spans="1:15" ht="20" x14ac:dyDescent="0.2">
      <c r="A813" s="3">
        <v>809</v>
      </c>
      <c r="B813" s="19" t="s">
        <v>3227</v>
      </c>
      <c r="C813" s="4" t="s">
        <v>3228</v>
      </c>
      <c r="D813" s="4" t="s">
        <v>1616</v>
      </c>
      <c r="E813" s="4"/>
      <c r="F813" s="8"/>
      <c r="G813" s="8"/>
      <c r="H813" s="8"/>
      <c r="I813" s="8"/>
      <c r="J813" s="8"/>
      <c r="K813" s="8">
        <v>300</v>
      </c>
      <c r="L813" s="18">
        <v>283.55</v>
      </c>
      <c r="M813" s="7">
        <f t="shared" si="12"/>
        <v>85065</v>
      </c>
      <c r="N813" s="4"/>
      <c r="O813" s="9"/>
    </row>
    <row r="814" spans="1:15" ht="20" x14ac:dyDescent="0.2">
      <c r="A814" s="3">
        <v>810</v>
      </c>
      <c r="B814" s="19" t="s">
        <v>3229</v>
      </c>
      <c r="C814" s="4" t="s">
        <v>3230</v>
      </c>
      <c r="D814" s="4" t="s">
        <v>1616</v>
      </c>
      <c r="E814" s="4"/>
      <c r="F814" s="8"/>
      <c r="G814" s="8"/>
      <c r="H814" s="8"/>
      <c r="I814" s="8"/>
      <c r="J814" s="8"/>
      <c r="K814" s="8">
        <v>320</v>
      </c>
      <c r="L814" s="18">
        <v>270</v>
      </c>
      <c r="M814" s="7">
        <f t="shared" si="12"/>
        <v>86400</v>
      </c>
      <c r="N814" s="4"/>
      <c r="O814" s="9"/>
    </row>
    <row r="815" spans="1:15" ht="40" x14ac:dyDescent="0.2">
      <c r="A815" s="3">
        <v>811</v>
      </c>
      <c r="B815" s="19" t="s">
        <v>3231</v>
      </c>
      <c r="C815" s="4" t="s">
        <v>3232</v>
      </c>
      <c r="D815" s="4" t="s">
        <v>1616</v>
      </c>
      <c r="E815" s="4"/>
      <c r="F815" s="8"/>
      <c r="G815" s="8"/>
      <c r="H815" s="8"/>
      <c r="I815" s="8"/>
      <c r="J815" s="8"/>
      <c r="K815" s="8">
        <v>40</v>
      </c>
      <c r="L815" s="18">
        <v>2182.8000000000002</v>
      </c>
      <c r="M815" s="7">
        <f t="shared" si="12"/>
        <v>87312</v>
      </c>
      <c r="N815" s="4"/>
      <c r="O815" s="9"/>
    </row>
    <row r="816" spans="1:15" ht="20" x14ac:dyDescent="0.2">
      <c r="A816" s="3">
        <v>812</v>
      </c>
      <c r="B816" s="19" t="s">
        <v>3233</v>
      </c>
      <c r="C816" s="4" t="s">
        <v>3234</v>
      </c>
      <c r="D816" s="4" t="s">
        <v>1616</v>
      </c>
      <c r="E816" s="4"/>
      <c r="F816" s="8"/>
      <c r="G816" s="8"/>
      <c r="H816" s="8"/>
      <c r="I816" s="8"/>
      <c r="J816" s="8"/>
      <c r="K816" s="8">
        <v>8</v>
      </c>
      <c r="L816" s="18">
        <v>11737.9</v>
      </c>
      <c r="M816" s="7">
        <f t="shared" si="12"/>
        <v>93903.2</v>
      </c>
      <c r="N816" s="4"/>
      <c r="O816" s="9"/>
    </row>
    <row r="817" spans="1:15" ht="40" x14ac:dyDescent="0.2">
      <c r="A817" s="3">
        <v>813</v>
      </c>
      <c r="B817" s="19" t="s">
        <v>3235</v>
      </c>
      <c r="C817" s="4" t="s">
        <v>3236</v>
      </c>
      <c r="D817" s="4" t="s">
        <v>1616</v>
      </c>
      <c r="E817" s="4"/>
      <c r="F817" s="8"/>
      <c r="G817" s="8"/>
      <c r="H817" s="8"/>
      <c r="I817" s="8"/>
      <c r="J817" s="8"/>
      <c r="K817" s="8">
        <v>200</v>
      </c>
      <c r="L817" s="18">
        <v>479.36</v>
      </c>
      <c r="M817" s="7">
        <f t="shared" si="12"/>
        <v>95872</v>
      </c>
      <c r="N817" s="4"/>
      <c r="O817" s="9"/>
    </row>
    <row r="818" spans="1:15" ht="20" x14ac:dyDescent="0.2">
      <c r="A818" s="3">
        <v>814</v>
      </c>
      <c r="B818" s="19" t="s">
        <v>3237</v>
      </c>
      <c r="C818" s="4" t="s">
        <v>3238</v>
      </c>
      <c r="D818" s="4" t="s">
        <v>1616</v>
      </c>
      <c r="E818" s="4"/>
      <c r="F818" s="8"/>
      <c r="G818" s="8"/>
      <c r="H818" s="8"/>
      <c r="I818" s="8"/>
      <c r="J818" s="8"/>
      <c r="K818" s="8">
        <v>300</v>
      </c>
      <c r="L818" s="18">
        <v>320</v>
      </c>
      <c r="M818" s="7">
        <f t="shared" si="12"/>
        <v>96000</v>
      </c>
      <c r="N818" s="4"/>
      <c r="O818" s="9"/>
    </row>
    <row r="819" spans="1:15" ht="20" x14ac:dyDescent="0.2">
      <c r="A819" s="3">
        <v>815</v>
      </c>
      <c r="B819" s="19" t="s">
        <v>3239</v>
      </c>
      <c r="C819" s="4" t="s">
        <v>3240</v>
      </c>
      <c r="D819" s="4" t="s">
        <v>1616</v>
      </c>
      <c r="E819" s="4"/>
      <c r="F819" s="8"/>
      <c r="G819" s="8"/>
      <c r="H819" s="8"/>
      <c r="I819" s="8"/>
      <c r="J819" s="8"/>
      <c r="K819" s="8">
        <v>50</v>
      </c>
      <c r="L819" s="18">
        <v>1944.19</v>
      </c>
      <c r="M819" s="7">
        <f t="shared" si="12"/>
        <v>97209.5</v>
      </c>
      <c r="N819" s="4"/>
      <c r="O819" s="9"/>
    </row>
    <row r="820" spans="1:15" ht="20" x14ac:dyDescent="0.2">
      <c r="A820" s="3">
        <v>816</v>
      </c>
      <c r="B820" s="19" t="s">
        <v>3241</v>
      </c>
      <c r="C820" s="4" t="s">
        <v>3242</v>
      </c>
      <c r="D820" s="4" t="s">
        <v>1616</v>
      </c>
      <c r="E820" s="4"/>
      <c r="F820" s="8"/>
      <c r="G820" s="8"/>
      <c r="H820" s="8"/>
      <c r="I820" s="8"/>
      <c r="J820" s="8"/>
      <c r="K820" s="8">
        <v>12</v>
      </c>
      <c r="L820" s="18">
        <v>8196.2000000000007</v>
      </c>
      <c r="M820" s="7">
        <f t="shared" si="12"/>
        <v>98354.400000000009</v>
      </c>
      <c r="N820" s="4"/>
      <c r="O820" s="9"/>
    </row>
    <row r="821" spans="1:15" ht="20" x14ac:dyDescent="0.2">
      <c r="A821" s="3">
        <v>817</v>
      </c>
      <c r="B821" s="19" t="s">
        <v>3243</v>
      </c>
      <c r="C821" s="4" t="s">
        <v>3244</v>
      </c>
      <c r="D821" s="4" t="s">
        <v>1616</v>
      </c>
      <c r="E821" s="4"/>
      <c r="F821" s="8"/>
      <c r="G821" s="8"/>
      <c r="H821" s="8"/>
      <c r="I821" s="8"/>
      <c r="J821" s="8"/>
      <c r="K821" s="8">
        <v>1200</v>
      </c>
      <c r="L821" s="18">
        <v>82</v>
      </c>
      <c r="M821" s="7">
        <f t="shared" si="12"/>
        <v>98400</v>
      </c>
      <c r="N821" s="4"/>
      <c r="O821" s="9"/>
    </row>
    <row r="822" spans="1:15" ht="20" x14ac:dyDescent="0.2">
      <c r="A822" s="3">
        <v>818</v>
      </c>
      <c r="B822" s="19" t="s">
        <v>3245</v>
      </c>
      <c r="C822" s="4" t="s">
        <v>3246</v>
      </c>
      <c r="D822" s="4" t="s">
        <v>1616</v>
      </c>
      <c r="E822" s="4"/>
      <c r="F822" s="8"/>
      <c r="G822" s="8"/>
      <c r="H822" s="8"/>
      <c r="I822" s="8"/>
      <c r="J822" s="8"/>
      <c r="K822" s="8">
        <v>6</v>
      </c>
      <c r="L822" s="18">
        <v>17184.2</v>
      </c>
      <c r="M822" s="7">
        <f t="shared" si="12"/>
        <v>103105.20000000001</v>
      </c>
      <c r="N822" s="4"/>
      <c r="O822" s="9"/>
    </row>
    <row r="823" spans="1:15" ht="20" x14ac:dyDescent="0.2">
      <c r="A823" s="3">
        <v>819</v>
      </c>
      <c r="B823" s="19" t="s">
        <v>3247</v>
      </c>
      <c r="C823" s="4" t="s">
        <v>3248</v>
      </c>
      <c r="D823" s="4" t="s">
        <v>1616</v>
      </c>
      <c r="E823" s="4"/>
      <c r="F823" s="8"/>
      <c r="G823" s="8"/>
      <c r="H823" s="8"/>
      <c r="I823" s="8"/>
      <c r="J823" s="8"/>
      <c r="K823" s="8">
        <v>360</v>
      </c>
      <c r="L823" s="18">
        <v>300</v>
      </c>
      <c r="M823" s="7">
        <f t="shared" si="12"/>
        <v>108000</v>
      </c>
      <c r="N823" s="4"/>
      <c r="O823" s="9"/>
    </row>
    <row r="824" spans="1:15" ht="20" x14ac:dyDescent="0.2">
      <c r="A824" s="3">
        <v>820</v>
      </c>
      <c r="B824" s="19" t="s">
        <v>3249</v>
      </c>
      <c r="C824" s="4" t="s">
        <v>3250</v>
      </c>
      <c r="D824" s="4" t="s">
        <v>1616</v>
      </c>
      <c r="E824" s="4"/>
      <c r="F824" s="8"/>
      <c r="G824" s="8"/>
      <c r="H824" s="8"/>
      <c r="I824" s="8"/>
      <c r="J824" s="8"/>
      <c r="K824" s="8">
        <v>50</v>
      </c>
      <c r="L824" s="18">
        <v>2276.96</v>
      </c>
      <c r="M824" s="7">
        <f t="shared" si="12"/>
        <v>113848</v>
      </c>
      <c r="N824" s="4"/>
      <c r="O824" s="9"/>
    </row>
    <row r="825" spans="1:15" ht="40" x14ac:dyDescent="0.2">
      <c r="A825" s="3">
        <v>821</v>
      </c>
      <c r="B825" s="19" t="s">
        <v>3251</v>
      </c>
      <c r="C825" s="4" t="s">
        <v>3252</v>
      </c>
      <c r="D825" s="4" t="s">
        <v>1616</v>
      </c>
      <c r="E825" s="4"/>
      <c r="F825" s="8"/>
      <c r="G825" s="8"/>
      <c r="H825" s="8"/>
      <c r="I825" s="8"/>
      <c r="J825" s="8"/>
      <c r="K825" s="8">
        <v>6</v>
      </c>
      <c r="L825" s="18">
        <v>19260</v>
      </c>
      <c r="M825" s="7">
        <f t="shared" si="12"/>
        <v>115560</v>
      </c>
      <c r="N825" s="4"/>
      <c r="O825" s="9"/>
    </row>
    <row r="826" spans="1:15" ht="20" x14ac:dyDescent="0.2">
      <c r="A826" s="3">
        <v>822</v>
      </c>
      <c r="B826" s="19" t="s">
        <v>3253</v>
      </c>
      <c r="C826" s="4" t="s">
        <v>3254</v>
      </c>
      <c r="D826" s="4" t="s">
        <v>1616</v>
      </c>
      <c r="E826" s="4"/>
      <c r="F826" s="8"/>
      <c r="G826" s="8"/>
      <c r="H826" s="8"/>
      <c r="I826" s="8"/>
      <c r="J826" s="8"/>
      <c r="K826" s="8">
        <v>400</v>
      </c>
      <c r="L826" s="18">
        <v>290</v>
      </c>
      <c r="M826" s="7">
        <f t="shared" si="12"/>
        <v>116000</v>
      </c>
      <c r="N826" s="4"/>
      <c r="O826" s="9"/>
    </row>
    <row r="827" spans="1:15" ht="20" x14ac:dyDescent="0.2">
      <c r="A827" s="3">
        <v>823</v>
      </c>
      <c r="B827" s="19" t="s">
        <v>3255</v>
      </c>
      <c r="C827" s="4" t="s">
        <v>3256</v>
      </c>
      <c r="D827" s="4" t="s">
        <v>1616</v>
      </c>
      <c r="E827" s="4"/>
      <c r="F827" s="8"/>
      <c r="G827" s="8"/>
      <c r="H827" s="8"/>
      <c r="I827" s="8"/>
      <c r="J827" s="8"/>
      <c r="K827" s="8">
        <v>400</v>
      </c>
      <c r="L827" s="18">
        <v>292.11</v>
      </c>
      <c r="M827" s="7">
        <f t="shared" si="12"/>
        <v>116844</v>
      </c>
      <c r="N827" s="4"/>
      <c r="O827" s="9"/>
    </row>
    <row r="828" spans="1:15" ht="20" x14ac:dyDescent="0.2">
      <c r="A828" s="3">
        <v>824</v>
      </c>
      <c r="B828" s="19" t="s">
        <v>3257</v>
      </c>
      <c r="C828" s="4" t="s">
        <v>3258</v>
      </c>
      <c r="D828" s="4" t="s">
        <v>1616</v>
      </c>
      <c r="E828" s="4"/>
      <c r="F828" s="8"/>
      <c r="G828" s="8"/>
      <c r="H828" s="8"/>
      <c r="I828" s="8"/>
      <c r="J828" s="8"/>
      <c r="K828" s="8">
        <v>40</v>
      </c>
      <c r="L828" s="18">
        <v>2996</v>
      </c>
      <c r="M828" s="7">
        <f t="shared" si="12"/>
        <v>119840</v>
      </c>
      <c r="N828" s="4"/>
      <c r="O828" s="9"/>
    </row>
    <row r="829" spans="1:15" ht="20" x14ac:dyDescent="0.2">
      <c r="A829" s="3">
        <v>825</v>
      </c>
      <c r="B829" s="19" t="s">
        <v>3259</v>
      </c>
      <c r="C829" s="4" t="s">
        <v>3260</v>
      </c>
      <c r="D829" s="4" t="s">
        <v>1616</v>
      </c>
      <c r="E829" s="4"/>
      <c r="F829" s="8"/>
      <c r="G829" s="8"/>
      <c r="H829" s="8"/>
      <c r="I829" s="8"/>
      <c r="J829" s="8"/>
      <c r="K829" s="8">
        <v>80</v>
      </c>
      <c r="L829" s="18">
        <v>1500</v>
      </c>
      <c r="M829" s="7">
        <f t="shared" si="12"/>
        <v>120000</v>
      </c>
      <c r="N829" s="4"/>
      <c r="O829" s="9"/>
    </row>
    <row r="830" spans="1:15" ht="20" x14ac:dyDescent="0.2">
      <c r="A830" s="3">
        <v>826</v>
      </c>
      <c r="B830" s="19" t="s">
        <v>3261</v>
      </c>
      <c r="C830" s="4" t="s">
        <v>3262</v>
      </c>
      <c r="D830" s="4" t="s">
        <v>1616</v>
      </c>
      <c r="E830" s="4"/>
      <c r="F830" s="8"/>
      <c r="G830" s="8"/>
      <c r="H830" s="8"/>
      <c r="I830" s="8"/>
      <c r="J830" s="8"/>
      <c r="K830" s="8">
        <v>60</v>
      </c>
      <c r="L830" s="18">
        <v>2037.28</v>
      </c>
      <c r="M830" s="7">
        <f t="shared" si="12"/>
        <v>122236.8</v>
      </c>
      <c r="N830" s="4"/>
      <c r="O830" s="9"/>
    </row>
    <row r="831" spans="1:15" ht="20" x14ac:dyDescent="0.2">
      <c r="A831" s="3">
        <v>827</v>
      </c>
      <c r="B831" s="19" t="s">
        <v>3263</v>
      </c>
      <c r="C831" s="4" t="s">
        <v>3264</v>
      </c>
      <c r="D831" s="4" t="s">
        <v>1616</v>
      </c>
      <c r="E831" s="4"/>
      <c r="F831" s="8"/>
      <c r="G831" s="8"/>
      <c r="H831" s="8"/>
      <c r="I831" s="8"/>
      <c r="J831" s="8"/>
      <c r="K831" s="8">
        <v>10</v>
      </c>
      <c r="L831" s="18">
        <v>12432.33</v>
      </c>
      <c r="M831" s="7">
        <f t="shared" si="12"/>
        <v>124323.3</v>
      </c>
      <c r="N831" s="4"/>
      <c r="O831" s="9"/>
    </row>
    <row r="832" spans="1:15" ht="20" x14ac:dyDescent="0.2">
      <c r="A832" s="3">
        <v>828</v>
      </c>
      <c r="B832" s="19" t="s">
        <v>3265</v>
      </c>
      <c r="C832" s="4" t="s">
        <v>3266</v>
      </c>
      <c r="D832" s="4" t="s">
        <v>1616</v>
      </c>
      <c r="E832" s="4"/>
      <c r="F832" s="8"/>
      <c r="G832" s="8"/>
      <c r="H832" s="8"/>
      <c r="I832" s="8"/>
      <c r="J832" s="8"/>
      <c r="K832" s="8">
        <v>12</v>
      </c>
      <c r="L832" s="18">
        <v>10646.5</v>
      </c>
      <c r="M832" s="7">
        <f t="shared" si="12"/>
        <v>127758</v>
      </c>
      <c r="N832" s="4"/>
      <c r="O832" s="9"/>
    </row>
    <row r="833" spans="1:15" ht="20" x14ac:dyDescent="0.2">
      <c r="A833" s="3">
        <v>829</v>
      </c>
      <c r="B833" s="19" t="s">
        <v>3267</v>
      </c>
      <c r="C833" s="4" t="s">
        <v>3268</v>
      </c>
      <c r="D833" s="4" t="s">
        <v>1616</v>
      </c>
      <c r="E833" s="4"/>
      <c r="F833" s="8"/>
      <c r="G833" s="8"/>
      <c r="H833" s="8"/>
      <c r="I833" s="8"/>
      <c r="J833" s="8"/>
      <c r="K833" s="8">
        <v>80</v>
      </c>
      <c r="L833" s="18">
        <v>1600</v>
      </c>
      <c r="M833" s="7">
        <f t="shared" si="12"/>
        <v>128000</v>
      </c>
      <c r="N833" s="4"/>
      <c r="O833" s="9"/>
    </row>
    <row r="834" spans="1:15" ht="20" x14ac:dyDescent="0.2">
      <c r="A834" s="3">
        <v>830</v>
      </c>
      <c r="B834" s="19" t="s">
        <v>3269</v>
      </c>
      <c r="C834" s="4" t="s">
        <v>3270</v>
      </c>
      <c r="D834" s="4" t="s">
        <v>1616</v>
      </c>
      <c r="E834" s="4"/>
      <c r="F834" s="8"/>
      <c r="G834" s="8"/>
      <c r="H834" s="8"/>
      <c r="I834" s="8"/>
      <c r="J834" s="8"/>
      <c r="K834" s="8">
        <v>2400</v>
      </c>
      <c r="L834" s="18">
        <v>54</v>
      </c>
      <c r="M834" s="7">
        <f t="shared" si="12"/>
        <v>129600</v>
      </c>
      <c r="N834" s="4"/>
      <c r="O834" s="9"/>
    </row>
    <row r="835" spans="1:15" ht="20" x14ac:dyDescent="0.2">
      <c r="A835" s="3">
        <v>831</v>
      </c>
      <c r="B835" s="19" t="s">
        <v>3271</v>
      </c>
      <c r="C835" s="4" t="s">
        <v>3272</v>
      </c>
      <c r="D835" s="4" t="s">
        <v>1616</v>
      </c>
      <c r="E835" s="4"/>
      <c r="F835" s="8"/>
      <c r="G835" s="8"/>
      <c r="H835" s="8"/>
      <c r="I835" s="8"/>
      <c r="J835" s="8"/>
      <c r="K835" s="8">
        <v>2</v>
      </c>
      <c r="L835" s="18">
        <v>65270</v>
      </c>
      <c r="M835" s="7">
        <f t="shared" si="12"/>
        <v>130540</v>
      </c>
      <c r="N835" s="4"/>
      <c r="O835" s="9"/>
    </row>
    <row r="836" spans="1:15" ht="20" x14ac:dyDescent="0.2">
      <c r="A836" s="3">
        <v>832</v>
      </c>
      <c r="B836" s="19" t="s">
        <v>3273</v>
      </c>
      <c r="C836" s="4" t="s">
        <v>3274</v>
      </c>
      <c r="D836" s="4" t="s">
        <v>1616</v>
      </c>
      <c r="E836" s="4"/>
      <c r="F836" s="8"/>
      <c r="G836" s="8"/>
      <c r="H836" s="8"/>
      <c r="I836" s="8"/>
      <c r="J836" s="8"/>
      <c r="K836" s="8">
        <v>50</v>
      </c>
      <c r="L836" s="18">
        <v>2675</v>
      </c>
      <c r="M836" s="7">
        <f t="shared" si="12"/>
        <v>133750</v>
      </c>
      <c r="N836" s="4"/>
      <c r="O836" s="9"/>
    </row>
    <row r="837" spans="1:15" ht="20" x14ac:dyDescent="0.2">
      <c r="A837" s="3">
        <v>833</v>
      </c>
      <c r="B837" s="19" t="s">
        <v>3275</v>
      </c>
      <c r="C837" s="4" t="s">
        <v>3276</v>
      </c>
      <c r="D837" s="4" t="s">
        <v>1616</v>
      </c>
      <c r="E837" s="4"/>
      <c r="F837" s="8"/>
      <c r="G837" s="8"/>
      <c r="H837" s="8"/>
      <c r="I837" s="8"/>
      <c r="J837" s="8"/>
      <c r="K837" s="8">
        <v>6</v>
      </c>
      <c r="L837" s="18">
        <v>22470</v>
      </c>
      <c r="M837" s="7">
        <f t="shared" ref="M837:M900" si="13">IF(OR(K837="",L837=""),"",K837*L837)</f>
        <v>134820</v>
      </c>
      <c r="N837" s="4"/>
      <c r="O837" s="9"/>
    </row>
    <row r="838" spans="1:15" ht="20" x14ac:dyDescent="0.2">
      <c r="A838" s="3">
        <v>834</v>
      </c>
      <c r="B838" s="19" t="s">
        <v>3277</v>
      </c>
      <c r="C838" s="4" t="s">
        <v>3278</v>
      </c>
      <c r="D838" s="4" t="s">
        <v>1616</v>
      </c>
      <c r="E838" s="4"/>
      <c r="F838" s="8"/>
      <c r="G838" s="8"/>
      <c r="H838" s="8"/>
      <c r="I838" s="8"/>
      <c r="J838" s="8"/>
      <c r="K838" s="8">
        <v>15</v>
      </c>
      <c r="L838" s="18">
        <v>9000</v>
      </c>
      <c r="M838" s="7">
        <f t="shared" si="13"/>
        <v>135000</v>
      </c>
      <c r="N838" s="4"/>
      <c r="O838" s="9"/>
    </row>
    <row r="839" spans="1:15" ht="20" x14ac:dyDescent="0.2">
      <c r="A839" s="3">
        <v>835</v>
      </c>
      <c r="B839" s="19" t="s">
        <v>3279</v>
      </c>
      <c r="C839" s="4" t="s">
        <v>3280</v>
      </c>
      <c r="D839" s="4" t="s">
        <v>1616</v>
      </c>
      <c r="E839" s="4"/>
      <c r="F839" s="8"/>
      <c r="G839" s="8"/>
      <c r="H839" s="8"/>
      <c r="I839" s="8"/>
      <c r="J839" s="8"/>
      <c r="K839" s="8">
        <v>8</v>
      </c>
      <c r="L839" s="18">
        <v>17334</v>
      </c>
      <c r="M839" s="7">
        <f t="shared" si="13"/>
        <v>138672</v>
      </c>
      <c r="N839" s="4"/>
      <c r="O839" s="9"/>
    </row>
    <row r="840" spans="1:15" ht="20" x14ac:dyDescent="0.2">
      <c r="A840" s="3">
        <v>836</v>
      </c>
      <c r="B840" s="19" t="s">
        <v>3281</v>
      </c>
      <c r="C840" s="4" t="s">
        <v>3282</v>
      </c>
      <c r="D840" s="4" t="s">
        <v>1616</v>
      </c>
      <c r="E840" s="4"/>
      <c r="F840" s="8"/>
      <c r="G840" s="8"/>
      <c r="H840" s="8"/>
      <c r="I840" s="8"/>
      <c r="J840" s="8"/>
      <c r="K840" s="8">
        <v>200</v>
      </c>
      <c r="L840" s="18">
        <v>699.78</v>
      </c>
      <c r="M840" s="7">
        <f t="shared" si="13"/>
        <v>139956</v>
      </c>
      <c r="N840" s="4"/>
      <c r="O840" s="9"/>
    </row>
    <row r="841" spans="1:15" ht="40" x14ac:dyDescent="0.2">
      <c r="A841" s="3">
        <v>837</v>
      </c>
      <c r="B841" s="19" t="s">
        <v>3283</v>
      </c>
      <c r="C841" s="4" t="s">
        <v>3284</v>
      </c>
      <c r="D841" s="4" t="s">
        <v>1616</v>
      </c>
      <c r="E841" s="4"/>
      <c r="F841" s="8"/>
      <c r="G841" s="8"/>
      <c r="H841" s="8"/>
      <c r="I841" s="8"/>
      <c r="J841" s="8"/>
      <c r="K841" s="8">
        <v>200</v>
      </c>
      <c r="L841" s="18">
        <v>720</v>
      </c>
      <c r="M841" s="7">
        <f t="shared" si="13"/>
        <v>144000</v>
      </c>
      <c r="N841" s="4"/>
      <c r="O841" s="9"/>
    </row>
    <row r="842" spans="1:15" ht="20" x14ac:dyDescent="0.2">
      <c r="A842" s="3">
        <v>838</v>
      </c>
      <c r="B842" s="19" t="s">
        <v>3285</v>
      </c>
      <c r="C842" s="4" t="s">
        <v>3286</v>
      </c>
      <c r="D842" s="4" t="s">
        <v>1616</v>
      </c>
      <c r="E842" s="4"/>
      <c r="F842" s="8"/>
      <c r="G842" s="8"/>
      <c r="H842" s="8"/>
      <c r="I842" s="8"/>
      <c r="J842" s="8"/>
      <c r="K842" s="8">
        <v>100</v>
      </c>
      <c r="L842" s="18">
        <v>1473.39</v>
      </c>
      <c r="M842" s="7">
        <f t="shared" si="13"/>
        <v>147339</v>
      </c>
      <c r="N842" s="4"/>
      <c r="O842" s="9"/>
    </row>
    <row r="843" spans="1:15" ht="40" x14ac:dyDescent="0.2">
      <c r="A843" s="3">
        <v>839</v>
      </c>
      <c r="B843" s="19" t="s">
        <v>3287</v>
      </c>
      <c r="C843" s="4" t="s">
        <v>3288</v>
      </c>
      <c r="D843" s="4" t="s">
        <v>1616</v>
      </c>
      <c r="E843" s="4"/>
      <c r="F843" s="8"/>
      <c r="G843" s="8"/>
      <c r="H843" s="8"/>
      <c r="I843" s="8"/>
      <c r="J843" s="8"/>
      <c r="K843" s="8">
        <v>200</v>
      </c>
      <c r="L843" s="18">
        <v>750</v>
      </c>
      <c r="M843" s="7">
        <f t="shared" si="13"/>
        <v>150000</v>
      </c>
      <c r="N843" s="4"/>
      <c r="O843" s="9"/>
    </row>
    <row r="844" spans="1:15" ht="20" x14ac:dyDescent="0.2">
      <c r="A844" s="3">
        <v>840</v>
      </c>
      <c r="B844" s="19" t="s">
        <v>3289</v>
      </c>
      <c r="C844" s="4" t="s">
        <v>3290</v>
      </c>
      <c r="D844" s="4" t="s">
        <v>1616</v>
      </c>
      <c r="E844" s="4"/>
      <c r="F844" s="8"/>
      <c r="G844" s="8"/>
      <c r="H844" s="8"/>
      <c r="I844" s="8"/>
      <c r="J844" s="8"/>
      <c r="K844" s="8">
        <v>4</v>
      </c>
      <c r="L844" s="18">
        <v>38446.17</v>
      </c>
      <c r="M844" s="7">
        <f t="shared" si="13"/>
        <v>153784.68</v>
      </c>
      <c r="N844" s="4"/>
      <c r="O844" s="9"/>
    </row>
    <row r="845" spans="1:15" ht="20" x14ac:dyDescent="0.2">
      <c r="A845" s="3">
        <v>841</v>
      </c>
      <c r="B845" s="19" t="s">
        <v>3291</v>
      </c>
      <c r="C845" s="4" t="s">
        <v>3292</v>
      </c>
      <c r="D845" s="4" t="s">
        <v>1616</v>
      </c>
      <c r="E845" s="4"/>
      <c r="F845" s="8"/>
      <c r="G845" s="8"/>
      <c r="H845" s="8"/>
      <c r="I845" s="8"/>
      <c r="J845" s="8"/>
      <c r="K845" s="8">
        <v>60</v>
      </c>
      <c r="L845" s="18">
        <v>2675</v>
      </c>
      <c r="M845" s="7">
        <f t="shared" si="13"/>
        <v>160500</v>
      </c>
      <c r="N845" s="4"/>
      <c r="O845" s="9"/>
    </row>
    <row r="846" spans="1:15" ht="20" x14ac:dyDescent="0.2">
      <c r="A846" s="3">
        <v>842</v>
      </c>
      <c r="B846" s="19" t="s">
        <v>3293</v>
      </c>
      <c r="C846" s="4" t="s">
        <v>3294</v>
      </c>
      <c r="D846" s="4" t="s">
        <v>1616</v>
      </c>
      <c r="E846" s="4"/>
      <c r="F846" s="8"/>
      <c r="G846" s="8"/>
      <c r="H846" s="8"/>
      <c r="I846" s="8"/>
      <c r="J846" s="8"/>
      <c r="K846" s="8">
        <v>60</v>
      </c>
      <c r="L846" s="18">
        <v>2729.57</v>
      </c>
      <c r="M846" s="7">
        <f t="shared" si="13"/>
        <v>163774.20000000001</v>
      </c>
      <c r="N846" s="4"/>
      <c r="O846" s="9"/>
    </row>
    <row r="847" spans="1:15" ht="20" x14ac:dyDescent="0.2">
      <c r="A847" s="3">
        <v>843</v>
      </c>
      <c r="B847" s="19" t="s">
        <v>3295</v>
      </c>
      <c r="C847" s="4" t="s">
        <v>3296</v>
      </c>
      <c r="D847" s="4" t="s">
        <v>1616</v>
      </c>
      <c r="E847" s="4"/>
      <c r="F847" s="8"/>
      <c r="G847" s="8"/>
      <c r="H847" s="8"/>
      <c r="I847" s="8"/>
      <c r="J847" s="8"/>
      <c r="K847" s="8">
        <v>700</v>
      </c>
      <c r="L847" s="18">
        <v>240</v>
      </c>
      <c r="M847" s="7">
        <f t="shared" si="13"/>
        <v>168000</v>
      </c>
      <c r="N847" s="4"/>
      <c r="O847" s="9"/>
    </row>
    <row r="848" spans="1:15" ht="20" x14ac:dyDescent="0.2">
      <c r="A848" s="3">
        <v>844</v>
      </c>
      <c r="B848" s="19" t="s">
        <v>3297</v>
      </c>
      <c r="C848" s="4" t="s">
        <v>3298</v>
      </c>
      <c r="D848" s="4" t="s">
        <v>1616</v>
      </c>
      <c r="E848" s="4"/>
      <c r="F848" s="8"/>
      <c r="G848" s="8"/>
      <c r="H848" s="8"/>
      <c r="I848" s="8"/>
      <c r="J848" s="8"/>
      <c r="K848" s="8">
        <v>40</v>
      </c>
      <c r="L848" s="18">
        <v>4280</v>
      </c>
      <c r="M848" s="7">
        <f t="shared" si="13"/>
        <v>171200</v>
      </c>
      <c r="N848" s="4"/>
      <c r="O848" s="9"/>
    </row>
    <row r="849" spans="1:15" ht="20" x14ac:dyDescent="0.2">
      <c r="A849" s="3">
        <v>845</v>
      </c>
      <c r="B849" s="19" t="s">
        <v>3299</v>
      </c>
      <c r="C849" s="4" t="s">
        <v>3300</v>
      </c>
      <c r="D849" s="4" t="s">
        <v>1616</v>
      </c>
      <c r="E849" s="4"/>
      <c r="F849" s="8"/>
      <c r="G849" s="8"/>
      <c r="H849" s="8"/>
      <c r="I849" s="8"/>
      <c r="J849" s="8"/>
      <c r="K849" s="8">
        <v>40</v>
      </c>
      <c r="L849" s="18">
        <v>4291.7700000000004</v>
      </c>
      <c r="M849" s="7">
        <f t="shared" si="13"/>
        <v>171670.80000000002</v>
      </c>
      <c r="N849" s="4"/>
      <c r="O849" s="9"/>
    </row>
    <row r="850" spans="1:15" ht="20" x14ac:dyDescent="0.2">
      <c r="A850" s="3">
        <v>846</v>
      </c>
      <c r="B850" s="19" t="s">
        <v>3301</v>
      </c>
      <c r="C850" s="4" t="s">
        <v>3302</v>
      </c>
      <c r="D850" s="4" t="s">
        <v>1616</v>
      </c>
      <c r="E850" s="4"/>
      <c r="F850" s="8"/>
      <c r="G850" s="8"/>
      <c r="H850" s="8"/>
      <c r="I850" s="8"/>
      <c r="J850" s="8"/>
      <c r="K850" s="8">
        <v>12</v>
      </c>
      <c r="L850" s="18">
        <v>14500</v>
      </c>
      <c r="M850" s="7">
        <f t="shared" si="13"/>
        <v>174000</v>
      </c>
      <c r="N850" s="4"/>
      <c r="O850" s="9"/>
    </row>
    <row r="851" spans="1:15" ht="20" x14ac:dyDescent="0.2">
      <c r="A851" s="3">
        <v>847</v>
      </c>
      <c r="B851" s="19" t="s">
        <v>3303</v>
      </c>
      <c r="C851" s="4" t="s">
        <v>3304</v>
      </c>
      <c r="D851" s="4" t="s">
        <v>1616</v>
      </c>
      <c r="E851" s="4"/>
      <c r="F851" s="8"/>
      <c r="G851" s="8"/>
      <c r="H851" s="8"/>
      <c r="I851" s="8"/>
      <c r="J851" s="8"/>
      <c r="K851" s="8">
        <v>220</v>
      </c>
      <c r="L851" s="18">
        <v>800</v>
      </c>
      <c r="M851" s="7">
        <f t="shared" si="13"/>
        <v>176000</v>
      </c>
      <c r="N851" s="4"/>
      <c r="O851" s="9"/>
    </row>
    <row r="852" spans="1:15" ht="20" x14ac:dyDescent="0.2">
      <c r="A852" s="3">
        <v>848</v>
      </c>
      <c r="B852" s="19" t="s">
        <v>3305</v>
      </c>
      <c r="C852" s="4" t="s">
        <v>3306</v>
      </c>
      <c r="D852" s="4" t="s">
        <v>1616</v>
      </c>
      <c r="E852" s="4"/>
      <c r="F852" s="8"/>
      <c r="G852" s="8"/>
      <c r="H852" s="8"/>
      <c r="I852" s="8"/>
      <c r="J852" s="8"/>
      <c r="K852" s="8">
        <v>400</v>
      </c>
      <c r="L852" s="18">
        <v>450</v>
      </c>
      <c r="M852" s="7">
        <f t="shared" si="13"/>
        <v>180000</v>
      </c>
      <c r="N852" s="4"/>
      <c r="O852" s="9"/>
    </row>
    <row r="853" spans="1:15" ht="20" x14ac:dyDescent="0.2">
      <c r="A853" s="3">
        <v>849</v>
      </c>
      <c r="B853" s="19" t="s">
        <v>3307</v>
      </c>
      <c r="C853" s="4" t="s">
        <v>3308</v>
      </c>
      <c r="D853" s="4" t="s">
        <v>1616</v>
      </c>
      <c r="E853" s="4"/>
      <c r="F853" s="8"/>
      <c r="G853" s="8"/>
      <c r="H853" s="8"/>
      <c r="I853" s="8"/>
      <c r="J853" s="8"/>
      <c r="K853" s="8">
        <v>1400</v>
      </c>
      <c r="L853" s="18">
        <v>132.01</v>
      </c>
      <c r="M853" s="7">
        <f t="shared" si="13"/>
        <v>184814</v>
      </c>
      <c r="N853" s="4"/>
      <c r="O853" s="9"/>
    </row>
    <row r="854" spans="1:15" ht="20" x14ac:dyDescent="0.2">
      <c r="A854" s="3">
        <v>850</v>
      </c>
      <c r="B854" s="19" t="s">
        <v>3309</v>
      </c>
      <c r="C854" s="4" t="s">
        <v>3310</v>
      </c>
      <c r="D854" s="4" t="s">
        <v>1616</v>
      </c>
      <c r="E854" s="4"/>
      <c r="F854" s="8"/>
      <c r="G854" s="8"/>
      <c r="H854" s="8"/>
      <c r="I854" s="8"/>
      <c r="J854" s="8"/>
      <c r="K854" s="8">
        <v>200</v>
      </c>
      <c r="L854" s="18">
        <v>933.04</v>
      </c>
      <c r="M854" s="7">
        <f t="shared" si="13"/>
        <v>186608</v>
      </c>
      <c r="N854" s="4"/>
      <c r="O854" s="9"/>
    </row>
    <row r="855" spans="1:15" ht="20" x14ac:dyDescent="0.2">
      <c r="A855" s="3">
        <v>851</v>
      </c>
      <c r="B855" s="19" t="s">
        <v>3311</v>
      </c>
      <c r="C855" s="4" t="s">
        <v>3312</v>
      </c>
      <c r="D855" s="4" t="s">
        <v>1616</v>
      </c>
      <c r="E855" s="4"/>
      <c r="F855" s="8"/>
      <c r="G855" s="8"/>
      <c r="H855" s="8"/>
      <c r="I855" s="8"/>
      <c r="J855" s="8"/>
      <c r="K855" s="8">
        <v>400</v>
      </c>
      <c r="L855" s="18">
        <v>477.22</v>
      </c>
      <c r="M855" s="7">
        <f t="shared" si="13"/>
        <v>190888</v>
      </c>
      <c r="N855" s="4"/>
      <c r="O855" s="9"/>
    </row>
    <row r="856" spans="1:15" ht="20" x14ac:dyDescent="0.2">
      <c r="A856" s="3">
        <v>852</v>
      </c>
      <c r="B856" s="19" t="s">
        <v>3313</v>
      </c>
      <c r="C856" s="4" t="s">
        <v>3314</v>
      </c>
      <c r="D856" s="4" t="s">
        <v>1616</v>
      </c>
      <c r="E856" s="4"/>
      <c r="F856" s="8"/>
      <c r="G856" s="8"/>
      <c r="H856" s="8"/>
      <c r="I856" s="8"/>
      <c r="J856" s="8"/>
      <c r="K856" s="8">
        <v>2400</v>
      </c>
      <c r="L856" s="18">
        <v>80.25</v>
      </c>
      <c r="M856" s="7">
        <f t="shared" si="13"/>
        <v>192600</v>
      </c>
      <c r="N856" s="4"/>
      <c r="O856" s="9"/>
    </row>
    <row r="857" spans="1:15" ht="40" x14ac:dyDescent="0.2">
      <c r="A857" s="3">
        <v>853</v>
      </c>
      <c r="B857" s="19" t="s">
        <v>3315</v>
      </c>
      <c r="C857" s="4" t="s">
        <v>3316</v>
      </c>
      <c r="D857" s="4" t="s">
        <v>1616</v>
      </c>
      <c r="E857" s="4"/>
      <c r="F857" s="8"/>
      <c r="G857" s="8"/>
      <c r="H857" s="8"/>
      <c r="I857" s="8"/>
      <c r="J857" s="8"/>
      <c r="K857" s="8">
        <v>600</v>
      </c>
      <c r="L857" s="18">
        <v>330</v>
      </c>
      <c r="M857" s="7">
        <f t="shared" si="13"/>
        <v>198000</v>
      </c>
      <c r="N857" s="4"/>
      <c r="O857" s="9"/>
    </row>
    <row r="858" spans="1:15" ht="20" x14ac:dyDescent="0.2">
      <c r="A858" s="3">
        <v>854</v>
      </c>
      <c r="B858" s="19" t="s">
        <v>3317</v>
      </c>
      <c r="C858" s="4" t="s">
        <v>3318</v>
      </c>
      <c r="D858" s="4" t="s">
        <v>1616</v>
      </c>
      <c r="E858" s="4"/>
      <c r="F858" s="8"/>
      <c r="G858" s="8"/>
      <c r="H858" s="8"/>
      <c r="I858" s="8"/>
      <c r="J858" s="8"/>
      <c r="K858" s="8">
        <v>80</v>
      </c>
      <c r="L858" s="18">
        <v>2488.8200000000002</v>
      </c>
      <c r="M858" s="7">
        <f t="shared" si="13"/>
        <v>199105.6</v>
      </c>
      <c r="N858" s="4"/>
      <c r="O858" s="9"/>
    </row>
    <row r="859" spans="1:15" ht="20" x14ac:dyDescent="0.2">
      <c r="A859" s="3">
        <v>855</v>
      </c>
      <c r="B859" s="19" t="s">
        <v>3319</v>
      </c>
      <c r="C859" s="4" t="s">
        <v>3320</v>
      </c>
      <c r="D859" s="4" t="s">
        <v>1616</v>
      </c>
      <c r="E859" s="4"/>
      <c r="F859" s="8"/>
      <c r="G859" s="8"/>
      <c r="H859" s="8"/>
      <c r="I859" s="8"/>
      <c r="J859" s="8"/>
      <c r="K859" s="8">
        <v>30</v>
      </c>
      <c r="L859" s="18">
        <v>6741</v>
      </c>
      <c r="M859" s="7">
        <f t="shared" si="13"/>
        <v>202230</v>
      </c>
      <c r="N859" s="4"/>
      <c r="O859" s="9"/>
    </row>
    <row r="860" spans="1:15" ht="40" x14ac:dyDescent="0.2">
      <c r="A860" s="3">
        <v>856</v>
      </c>
      <c r="B860" s="19" t="s">
        <v>3321</v>
      </c>
      <c r="C860" s="4" t="s">
        <v>3322</v>
      </c>
      <c r="D860" s="4" t="s">
        <v>1616</v>
      </c>
      <c r="E860" s="4"/>
      <c r="F860" s="8"/>
      <c r="G860" s="8"/>
      <c r="H860" s="8"/>
      <c r="I860" s="8"/>
      <c r="J860" s="8"/>
      <c r="K860" s="8">
        <v>20</v>
      </c>
      <c r="L860" s="18">
        <v>10165</v>
      </c>
      <c r="M860" s="7">
        <f t="shared" si="13"/>
        <v>203300</v>
      </c>
      <c r="N860" s="4"/>
      <c r="O860" s="9"/>
    </row>
    <row r="861" spans="1:15" ht="20" x14ac:dyDescent="0.2">
      <c r="A861" s="3">
        <v>857</v>
      </c>
      <c r="B861" s="19" t="s">
        <v>3323</v>
      </c>
      <c r="C861" s="4" t="s">
        <v>3324</v>
      </c>
      <c r="D861" s="4" t="s">
        <v>1616</v>
      </c>
      <c r="E861" s="4"/>
      <c r="F861" s="8"/>
      <c r="G861" s="8"/>
      <c r="H861" s="8"/>
      <c r="I861" s="8"/>
      <c r="J861" s="8"/>
      <c r="K861" s="8">
        <v>70</v>
      </c>
      <c r="L861" s="18">
        <v>2950</v>
      </c>
      <c r="M861" s="7">
        <f t="shared" si="13"/>
        <v>206500</v>
      </c>
      <c r="N861" s="4"/>
      <c r="O861" s="9"/>
    </row>
    <row r="862" spans="1:15" ht="20" x14ac:dyDescent="0.2">
      <c r="A862" s="3">
        <v>858</v>
      </c>
      <c r="B862" s="19" t="s">
        <v>3325</v>
      </c>
      <c r="C862" s="4" t="s">
        <v>3326</v>
      </c>
      <c r="D862" s="4" t="s">
        <v>1616</v>
      </c>
      <c r="E862" s="4"/>
      <c r="F862" s="8"/>
      <c r="G862" s="8"/>
      <c r="H862" s="8"/>
      <c r="I862" s="8"/>
      <c r="J862" s="8"/>
      <c r="K862" s="8">
        <v>500</v>
      </c>
      <c r="L862" s="18">
        <v>422.65</v>
      </c>
      <c r="M862" s="7">
        <f t="shared" si="13"/>
        <v>211325</v>
      </c>
      <c r="N862" s="4"/>
      <c r="O862" s="9"/>
    </row>
    <row r="863" spans="1:15" ht="20" x14ac:dyDescent="0.2">
      <c r="A863" s="3">
        <v>859</v>
      </c>
      <c r="B863" s="19" t="s">
        <v>3327</v>
      </c>
      <c r="C863" s="4" t="s">
        <v>3328</v>
      </c>
      <c r="D863" s="4" t="s">
        <v>1616</v>
      </c>
      <c r="E863" s="4"/>
      <c r="F863" s="8"/>
      <c r="G863" s="8"/>
      <c r="H863" s="8"/>
      <c r="I863" s="8"/>
      <c r="J863" s="8"/>
      <c r="K863" s="8">
        <v>900</v>
      </c>
      <c r="L863" s="18">
        <v>235.4</v>
      </c>
      <c r="M863" s="7">
        <f t="shared" si="13"/>
        <v>211860</v>
      </c>
      <c r="N863" s="4"/>
      <c r="O863" s="9"/>
    </row>
    <row r="864" spans="1:15" ht="20" x14ac:dyDescent="0.2">
      <c r="A864" s="3">
        <v>860</v>
      </c>
      <c r="B864" s="19" t="s">
        <v>3329</v>
      </c>
      <c r="C864" s="4" t="s">
        <v>3330</v>
      </c>
      <c r="D864" s="4" t="s">
        <v>1616</v>
      </c>
      <c r="E864" s="4"/>
      <c r="F864" s="8"/>
      <c r="G864" s="8"/>
      <c r="H864" s="8"/>
      <c r="I864" s="8"/>
      <c r="J864" s="8"/>
      <c r="K864" s="8">
        <v>180</v>
      </c>
      <c r="L864" s="18">
        <v>1183.5</v>
      </c>
      <c r="M864" s="7">
        <f t="shared" si="13"/>
        <v>213030</v>
      </c>
      <c r="N864" s="4"/>
      <c r="O864" s="9"/>
    </row>
    <row r="865" spans="1:15" ht="20" x14ac:dyDescent="0.2">
      <c r="A865" s="3">
        <v>861</v>
      </c>
      <c r="B865" s="19" t="s">
        <v>3331</v>
      </c>
      <c r="C865" s="4" t="s">
        <v>3332</v>
      </c>
      <c r="D865" s="4" t="s">
        <v>1616</v>
      </c>
      <c r="E865" s="4"/>
      <c r="F865" s="8"/>
      <c r="G865" s="8"/>
      <c r="H865" s="8"/>
      <c r="I865" s="8"/>
      <c r="J865" s="8"/>
      <c r="K865" s="8">
        <v>20</v>
      </c>
      <c r="L865" s="18">
        <v>10694.65</v>
      </c>
      <c r="M865" s="7">
        <f t="shared" si="13"/>
        <v>213893</v>
      </c>
      <c r="N865" s="4"/>
      <c r="O865" s="9"/>
    </row>
    <row r="866" spans="1:15" ht="20" x14ac:dyDescent="0.2">
      <c r="A866" s="3">
        <v>862</v>
      </c>
      <c r="B866" s="19" t="s">
        <v>3333</v>
      </c>
      <c r="C866" s="4" t="s">
        <v>3334</v>
      </c>
      <c r="D866" s="4" t="s">
        <v>1616</v>
      </c>
      <c r="E866" s="4"/>
      <c r="F866" s="8"/>
      <c r="G866" s="8"/>
      <c r="H866" s="8"/>
      <c r="I866" s="8"/>
      <c r="J866" s="8"/>
      <c r="K866" s="8">
        <v>1000</v>
      </c>
      <c r="L866" s="18">
        <v>214</v>
      </c>
      <c r="M866" s="7">
        <f t="shared" si="13"/>
        <v>214000</v>
      </c>
      <c r="N866" s="4"/>
      <c r="O866" s="9"/>
    </row>
    <row r="867" spans="1:15" ht="20" x14ac:dyDescent="0.2">
      <c r="A867" s="3">
        <v>863</v>
      </c>
      <c r="B867" s="19" t="s">
        <v>3335</v>
      </c>
      <c r="C867" s="4" t="s">
        <v>3336</v>
      </c>
      <c r="D867" s="4" t="s">
        <v>1616</v>
      </c>
      <c r="E867" s="4"/>
      <c r="F867" s="8"/>
      <c r="G867" s="8"/>
      <c r="H867" s="8"/>
      <c r="I867" s="8"/>
      <c r="J867" s="8"/>
      <c r="K867" s="8">
        <v>750</v>
      </c>
      <c r="L867" s="18">
        <v>288.89999999999998</v>
      </c>
      <c r="M867" s="7">
        <f t="shared" si="13"/>
        <v>216674.99999999997</v>
      </c>
      <c r="N867" s="4"/>
      <c r="O867" s="9"/>
    </row>
    <row r="868" spans="1:15" ht="40" x14ac:dyDescent="0.2">
      <c r="A868" s="3">
        <v>864</v>
      </c>
      <c r="B868" s="19" t="s">
        <v>3337</v>
      </c>
      <c r="C868" s="4" t="s">
        <v>3338</v>
      </c>
      <c r="D868" s="4" t="s">
        <v>1616</v>
      </c>
      <c r="E868" s="4"/>
      <c r="F868" s="8"/>
      <c r="G868" s="8"/>
      <c r="H868" s="8"/>
      <c r="I868" s="8"/>
      <c r="J868" s="8"/>
      <c r="K868" s="8">
        <v>1800</v>
      </c>
      <c r="L868" s="18">
        <v>125.19</v>
      </c>
      <c r="M868" s="7">
        <f t="shared" si="13"/>
        <v>225342</v>
      </c>
      <c r="N868" s="4"/>
      <c r="O868" s="9"/>
    </row>
    <row r="869" spans="1:15" ht="20" x14ac:dyDescent="0.2">
      <c r="A869" s="3">
        <v>865</v>
      </c>
      <c r="B869" s="19" t="s">
        <v>3339</v>
      </c>
      <c r="C869" s="4" t="s">
        <v>3340</v>
      </c>
      <c r="D869" s="4" t="s">
        <v>1616</v>
      </c>
      <c r="E869" s="4"/>
      <c r="F869" s="8"/>
      <c r="G869" s="8"/>
      <c r="H869" s="8"/>
      <c r="I869" s="8"/>
      <c r="J869" s="8"/>
      <c r="K869" s="8">
        <v>160</v>
      </c>
      <c r="L869" s="18">
        <v>1434.87</v>
      </c>
      <c r="M869" s="7">
        <f t="shared" si="13"/>
        <v>229579.19999999998</v>
      </c>
      <c r="N869" s="4"/>
      <c r="O869" s="9"/>
    </row>
    <row r="870" spans="1:15" ht="20" x14ac:dyDescent="0.2">
      <c r="A870" s="3">
        <v>866</v>
      </c>
      <c r="B870" s="19" t="s">
        <v>3341</v>
      </c>
      <c r="C870" s="4" t="s">
        <v>3342</v>
      </c>
      <c r="D870" s="4" t="s">
        <v>1616</v>
      </c>
      <c r="E870" s="4"/>
      <c r="F870" s="8"/>
      <c r="G870" s="8"/>
      <c r="H870" s="8"/>
      <c r="I870" s="8"/>
      <c r="J870" s="8"/>
      <c r="K870" s="8">
        <v>1800</v>
      </c>
      <c r="L870" s="18">
        <v>133.75</v>
      </c>
      <c r="M870" s="7">
        <f t="shared" si="13"/>
        <v>240750</v>
      </c>
      <c r="N870" s="4"/>
      <c r="O870" s="9"/>
    </row>
    <row r="871" spans="1:15" ht="20" x14ac:dyDescent="0.2">
      <c r="A871" s="3">
        <v>867</v>
      </c>
      <c r="B871" s="19" t="s">
        <v>3343</v>
      </c>
      <c r="C871" s="4" t="s">
        <v>3344</v>
      </c>
      <c r="D871" s="4" t="s">
        <v>1616</v>
      </c>
      <c r="E871" s="4"/>
      <c r="F871" s="8"/>
      <c r="G871" s="8"/>
      <c r="H871" s="8"/>
      <c r="I871" s="8"/>
      <c r="J871" s="8"/>
      <c r="K871" s="8">
        <v>300</v>
      </c>
      <c r="L871" s="18">
        <v>808.92</v>
      </c>
      <c r="M871" s="7">
        <f t="shared" si="13"/>
        <v>242676</v>
      </c>
      <c r="N871" s="4"/>
      <c r="O871" s="9"/>
    </row>
    <row r="872" spans="1:15" ht="20" x14ac:dyDescent="0.2">
      <c r="A872" s="3">
        <v>868</v>
      </c>
      <c r="B872" s="19" t="s">
        <v>3345</v>
      </c>
      <c r="C872" s="4" t="s">
        <v>3346</v>
      </c>
      <c r="D872" s="4" t="s">
        <v>1616</v>
      </c>
      <c r="E872" s="4"/>
      <c r="F872" s="8"/>
      <c r="G872" s="8"/>
      <c r="H872" s="8"/>
      <c r="I872" s="8"/>
      <c r="J872" s="8"/>
      <c r="K872" s="8">
        <v>900</v>
      </c>
      <c r="L872" s="18">
        <v>269.64</v>
      </c>
      <c r="M872" s="7">
        <f t="shared" si="13"/>
        <v>242676</v>
      </c>
      <c r="N872" s="4"/>
      <c r="O872" s="9"/>
    </row>
    <row r="873" spans="1:15" ht="20" x14ac:dyDescent="0.2">
      <c r="A873" s="3">
        <v>869</v>
      </c>
      <c r="B873" s="19" t="s">
        <v>3347</v>
      </c>
      <c r="C873" s="4" t="s">
        <v>3348</v>
      </c>
      <c r="D873" s="4" t="s">
        <v>1616</v>
      </c>
      <c r="E873" s="4"/>
      <c r="F873" s="8"/>
      <c r="G873" s="8"/>
      <c r="H873" s="8"/>
      <c r="I873" s="8"/>
      <c r="J873" s="8"/>
      <c r="K873" s="8">
        <v>4</v>
      </c>
      <c r="L873" s="18">
        <v>62060</v>
      </c>
      <c r="M873" s="7">
        <f t="shared" si="13"/>
        <v>248240</v>
      </c>
      <c r="N873" s="4"/>
      <c r="O873" s="9"/>
    </row>
    <row r="874" spans="1:15" ht="20" x14ac:dyDescent="0.2">
      <c r="A874" s="3">
        <v>870</v>
      </c>
      <c r="B874" s="19" t="s">
        <v>3349</v>
      </c>
      <c r="C874" s="4" t="s">
        <v>3350</v>
      </c>
      <c r="D874" s="4" t="s">
        <v>1616</v>
      </c>
      <c r="E874" s="4"/>
      <c r="F874" s="8"/>
      <c r="G874" s="8"/>
      <c r="H874" s="8"/>
      <c r="I874" s="8"/>
      <c r="J874" s="8"/>
      <c r="K874" s="8">
        <v>6</v>
      </c>
      <c r="L874" s="18">
        <v>41751.4</v>
      </c>
      <c r="M874" s="7">
        <f t="shared" si="13"/>
        <v>250508.40000000002</v>
      </c>
      <c r="N874" s="4"/>
      <c r="O874" s="9"/>
    </row>
    <row r="875" spans="1:15" ht="20" x14ac:dyDescent="0.2">
      <c r="A875" s="3">
        <v>871</v>
      </c>
      <c r="B875" s="19" t="s">
        <v>3351</v>
      </c>
      <c r="C875" s="4" t="s">
        <v>3352</v>
      </c>
      <c r="D875" s="4" t="s">
        <v>1616</v>
      </c>
      <c r="E875" s="4"/>
      <c r="F875" s="8"/>
      <c r="G875" s="8"/>
      <c r="H875" s="8"/>
      <c r="I875" s="8"/>
      <c r="J875" s="8"/>
      <c r="K875" s="8">
        <v>280</v>
      </c>
      <c r="L875" s="18">
        <v>898.8</v>
      </c>
      <c r="M875" s="7">
        <f t="shared" si="13"/>
        <v>251664</v>
      </c>
      <c r="N875" s="4"/>
      <c r="O875" s="9"/>
    </row>
    <row r="876" spans="1:15" ht="40" x14ac:dyDescent="0.2">
      <c r="A876" s="3">
        <v>872</v>
      </c>
      <c r="B876" s="19" t="s">
        <v>3353</v>
      </c>
      <c r="C876" s="4" t="s">
        <v>3354</v>
      </c>
      <c r="D876" s="4" t="s">
        <v>1616</v>
      </c>
      <c r="E876" s="4"/>
      <c r="F876" s="8"/>
      <c r="G876" s="8"/>
      <c r="H876" s="8"/>
      <c r="I876" s="8"/>
      <c r="J876" s="8"/>
      <c r="K876" s="8">
        <v>440</v>
      </c>
      <c r="L876" s="18">
        <v>603</v>
      </c>
      <c r="M876" s="7">
        <f t="shared" si="13"/>
        <v>265320</v>
      </c>
      <c r="N876" s="4"/>
      <c r="O876" s="9"/>
    </row>
    <row r="877" spans="1:15" ht="20" x14ac:dyDescent="0.2">
      <c r="A877" s="3">
        <v>873</v>
      </c>
      <c r="B877" s="19" t="s">
        <v>3355</v>
      </c>
      <c r="C877" s="4" t="s">
        <v>3356</v>
      </c>
      <c r="D877" s="4" t="s">
        <v>1616</v>
      </c>
      <c r="E877" s="4"/>
      <c r="F877" s="8"/>
      <c r="G877" s="8"/>
      <c r="H877" s="8"/>
      <c r="I877" s="8"/>
      <c r="J877" s="8"/>
      <c r="K877" s="8">
        <v>8</v>
      </c>
      <c r="L877" s="18">
        <v>34240</v>
      </c>
      <c r="M877" s="7">
        <f t="shared" si="13"/>
        <v>273920</v>
      </c>
      <c r="N877" s="4"/>
      <c r="O877" s="9"/>
    </row>
    <row r="878" spans="1:15" ht="20" x14ac:dyDescent="0.2">
      <c r="A878" s="3">
        <v>874</v>
      </c>
      <c r="B878" s="19" t="s">
        <v>3357</v>
      </c>
      <c r="C878" s="4" t="s">
        <v>3358</v>
      </c>
      <c r="D878" s="4" t="s">
        <v>1616</v>
      </c>
      <c r="E878" s="4"/>
      <c r="F878" s="8"/>
      <c r="G878" s="8"/>
      <c r="H878" s="8"/>
      <c r="I878" s="8"/>
      <c r="J878" s="8"/>
      <c r="K878" s="8">
        <v>4</v>
      </c>
      <c r="L878" s="18">
        <v>69507.199999999997</v>
      </c>
      <c r="M878" s="7">
        <f t="shared" si="13"/>
        <v>278028.79999999999</v>
      </c>
      <c r="N878" s="4"/>
      <c r="O878" s="9"/>
    </row>
    <row r="879" spans="1:15" ht="20" x14ac:dyDescent="0.2">
      <c r="A879" s="3">
        <v>875</v>
      </c>
      <c r="B879" s="19" t="s">
        <v>3359</v>
      </c>
      <c r="C879" s="4" t="s">
        <v>3360</v>
      </c>
      <c r="D879" s="4" t="s">
        <v>1616</v>
      </c>
      <c r="E879" s="4"/>
      <c r="F879" s="8"/>
      <c r="G879" s="8"/>
      <c r="H879" s="8"/>
      <c r="I879" s="8"/>
      <c r="J879" s="8"/>
      <c r="K879" s="8">
        <v>20</v>
      </c>
      <c r="L879" s="18">
        <v>13920</v>
      </c>
      <c r="M879" s="7">
        <f t="shared" si="13"/>
        <v>278400</v>
      </c>
      <c r="N879" s="4"/>
      <c r="O879" s="9"/>
    </row>
    <row r="880" spans="1:15" ht="40" x14ac:dyDescent="0.2">
      <c r="A880" s="3">
        <v>876</v>
      </c>
      <c r="B880" s="19" t="s">
        <v>3361</v>
      </c>
      <c r="C880" s="4" t="s">
        <v>3362</v>
      </c>
      <c r="D880" s="4" t="s">
        <v>1616</v>
      </c>
      <c r="E880" s="4"/>
      <c r="F880" s="8"/>
      <c r="G880" s="8"/>
      <c r="H880" s="8"/>
      <c r="I880" s="8"/>
      <c r="J880" s="8"/>
      <c r="K880" s="8">
        <v>220</v>
      </c>
      <c r="L880" s="18">
        <v>1284</v>
      </c>
      <c r="M880" s="7">
        <f t="shared" si="13"/>
        <v>282480</v>
      </c>
      <c r="N880" s="4"/>
      <c r="O880" s="9"/>
    </row>
    <row r="881" spans="1:15" ht="20" x14ac:dyDescent="0.2">
      <c r="A881" s="3">
        <v>877</v>
      </c>
      <c r="B881" s="19" t="s">
        <v>3363</v>
      </c>
      <c r="C881" s="4" t="s">
        <v>3364</v>
      </c>
      <c r="D881" s="4" t="s">
        <v>1616</v>
      </c>
      <c r="E881" s="4"/>
      <c r="F881" s="8"/>
      <c r="G881" s="8"/>
      <c r="H881" s="8"/>
      <c r="I881" s="8"/>
      <c r="J881" s="8"/>
      <c r="K881" s="8">
        <v>340</v>
      </c>
      <c r="L881" s="18">
        <v>856</v>
      </c>
      <c r="M881" s="7">
        <f t="shared" si="13"/>
        <v>291040</v>
      </c>
      <c r="N881" s="4"/>
      <c r="O881" s="9"/>
    </row>
    <row r="882" spans="1:15" ht="20" x14ac:dyDescent="0.2">
      <c r="A882" s="3">
        <v>878</v>
      </c>
      <c r="B882" s="19" t="s">
        <v>3365</v>
      </c>
      <c r="C882" s="4" t="s">
        <v>3366</v>
      </c>
      <c r="D882" s="4" t="s">
        <v>1616</v>
      </c>
      <c r="E882" s="4"/>
      <c r="F882" s="8"/>
      <c r="G882" s="8"/>
      <c r="H882" s="8"/>
      <c r="I882" s="8"/>
      <c r="J882" s="8"/>
      <c r="K882" s="8">
        <v>11</v>
      </c>
      <c r="L882" s="18">
        <v>27477.599999999999</v>
      </c>
      <c r="M882" s="7">
        <f t="shared" si="13"/>
        <v>302253.59999999998</v>
      </c>
      <c r="N882" s="4"/>
      <c r="O882" s="9"/>
    </row>
    <row r="883" spans="1:15" ht="40" x14ac:dyDescent="0.2">
      <c r="A883" s="3">
        <v>879</v>
      </c>
      <c r="B883" s="19" t="s">
        <v>3367</v>
      </c>
      <c r="C883" s="4" t="s">
        <v>3368</v>
      </c>
      <c r="D883" s="4" t="s">
        <v>1616</v>
      </c>
      <c r="E883" s="4"/>
      <c r="F883" s="8"/>
      <c r="G883" s="8"/>
      <c r="H883" s="8"/>
      <c r="I883" s="8"/>
      <c r="J883" s="8"/>
      <c r="K883" s="8">
        <v>10</v>
      </c>
      <c r="L883" s="18">
        <v>30814.93</v>
      </c>
      <c r="M883" s="7">
        <f t="shared" si="13"/>
        <v>308149.3</v>
      </c>
      <c r="N883" s="4"/>
      <c r="O883" s="9"/>
    </row>
    <row r="884" spans="1:15" ht="20" x14ac:dyDescent="0.2">
      <c r="A884" s="3">
        <v>880</v>
      </c>
      <c r="B884" s="19" t="s">
        <v>3369</v>
      </c>
      <c r="C884" s="4" t="s">
        <v>3370</v>
      </c>
      <c r="D884" s="4" t="s">
        <v>1616</v>
      </c>
      <c r="E884" s="4"/>
      <c r="F884" s="8"/>
      <c r="G884" s="8"/>
      <c r="H884" s="8"/>
      <c r="I884" s="8"/>
      <c r="J884" s="8"/>
      <c r="K884" s="8">
        <v>600</v>
      </c>
      <c r="L884" s="18">
        <v>530</v>
      </c>
      <c r="M884" s="7">
        <f t="shared" si="13"/>
        <v>318000</v>
      </c>
      <c r="N884" s="4"/>
      <c r="O884" s="9"/>
    </row>
    <row r="885" spans="1:15" ht="20" x14ac:dyDescent="0.2">
      <c r="A885" s="3">
        <v>881</v>
      </c>
      <c r="B885" s="19" t="s">
        <v>3371</v>
      </c>
      <c r="C885" s="4" t="s">
        <v>3372</v>
      </c>
      <c r="D885" s="4" t="s">
        <v>1616</v>
      </c>
      <c r="E885" s="4"/>
      <c r="F885" s="8"/>
      <c r="G885" s="8"/>
      <c r="H885" s="8"/>
      <c r="I885" s="8"/>
      <c r="J885" s="8"/>
      <c r="K885" s="8">
        <v>2</v>
      </c>
      <c r="L885" s="18">
        <v>160500</v>
      </c>
      <c r="M885" s="7">
        <f t="shared" si="13"/>
        <v>321000</v>
      </c>
      <c r="N885" s="4"/>
      <c r="O885" s="9"/>
    </row>
    <row r="886" spans="1:15" ht="20" x14ac:dyDescent="0.2">
      <c r="A886" s="3">
        <v>882</v>
      </c>
      <c r="B886" s="19" t="s">
        <v>3373</v>
      </c>
      <c r="C886" s="4" t="s">
        <v>3374</v>
      </c>
      <c r="D886" s="4" t="s">
        <v>1616</v>
      </c>
      <c r="E886" s="4"/>
      <c r="F886" s="8"/>
      <c r="G886" s="8"/>
      <c r="H886" s="8"/>
      <c r="I886" s="8"/>
      <c r="J886" s="8"/>
      <c r="K886" s="8">
        <v>1000</v>
      </c>
      <c r="L886" s="18">
        <v>325.27999999999997</v>
      </c>
      <c r="M886" s="7">
        <f t="shared" si="13"/>
        <v>325280</v>
      </c>
      <c r="N886" s="4"/>
      <c r="O886" s="9"/>
    </row>
    <row r="887" spans="1:15" ht="20" x14ac:dyDescent="0.2">
      <c r="A887" s="3">
        <v>883</v>
      </c>
      <c r="B887" s="19" t="s">
        <v>3375</v>
      </c>
      <c r="C887" s="4" t="s">
        <v>3376</v>
      </c>
      <c r="D887" s="4" t="s">
        <v>1616</v>
      </c>
      <c r="E887" s="4"/>
      <c r="F887" s="8"/>
      <c r="G887" s="8"/>
      <c r="H887" s="8"/>
      <c r="I887" s="8"/>
      <c r="J887" s="8"/>
      <c r="K887" s="8">
        <v>600</v>
      </c>
      <c r="L887" s="18">
        <v>550</v>
      </c>
      <c r="M887" s="7">
        <f t="shared" si="13"/>
        <v>330000</v>
      </c>
      <c r="N887" s="4"/>
      <c r="O887" s="9"/>
    </row>
    <row r="888" spans="1:15" ht="40" x14ac:dyDescent="0.2">
      <c r="A888" s="3">
        <v>884</v>
      </c>
      <c r="B888" s="19" t="s">
        <v>3377</v>
      </c>
      <c r="C888" s="4" t="s">
        <v>3378</v>
      </c>
      <c r="D888" s="4" t="s">
        <v>1616</v>
      </c>
      <c r="E888" s="4"/>
      <c r="F888" s="8"/>
      <c r="G888" s="8"/>
      <c r="H888" s="8"/>
      <c r="I888" s="8"/>
      <c r="J888" s="8"/>
      <c r="K888" s="8">
        <v>200</v>
      </c>
      <c r="L888" s="18">
        <v>1667.06</v>
      </c>
      <c r="M888" s="7">
        <f t="shared" si="13"/>
        <v>333412</v>
      </c>
      <c r="N888" s="4"/>
      <c r="O888" s="9"/>
    </row>
    <row r="889" spans="1:15" ht="20" x14ac:dyDescent="0.2">
      <c r="A889" s="3">
        <v>885</v>
      </c>
      <c r="B889" s="19" t="s">
        <v>3379</v>
      </c>
      <c r="C889" s="4" t="s">
        <v>3380</v>
      </c>
      <c r="D889" s="4" t="s">
        <v>1616</v>
      </c>
      <c r="E889" s="4"/>
      <c r="F889" s="8"/>
      <c r="G889" s="8"/>
      <c r="H889" s="8"/>
      <c r="I889" s="8"/>
      <c r="J889" s="8"/>
      <c r="K889" s="8">
        <v>80</v>
      </c>
      <c r="L889" s="18">
        <v>4170</v>
      </c>
      <c r="M889" s="7">
        <f t="shared" si="13"/>
        <v>333600</v>
      </c>
      <c r="N889" s="4"/>
      <c r="O889" s="9"/>
    </row>
    <row r="890" spans="1:15" ht="40" x14ac:dyDescent="0.2">
      <c r="A890" s="3">
        <v>886</v>
      </c>
      <c r="B890" s="19" t="s">
        <v>3381</v>
      </c>
      <c r="C890" s="4" t="s">
        <v>3382</v>
      </c>
      <c r="D890" s="4" t="s">
        <v>1616</v>
      </c>
      <c r="E890" s="4"/>
      <c r="F890" s="8"/>
      <c r="G890" s="8"/>
      <c r="H890" s="8"/>
      <c r="I890" s="8"/>
      <c r="J890" s="8"/>
      <c r="K890" s="8">
        <v>26</v>
      </c>
      <c r="L890" s="18">
        <v>12840</v>
      </c>
      <c r="M890" s="7">
        <f t="shared" si="13"/>
        <v>333840</v>
      </c>
      <c r="N890" s="4"/>
      <c r="O890" s="9"/>
    </row>
    <row r="891" spans="1:15" ht="20" x14ac:dyDescent="0.2">
      <c r="A891" s="3">
        <v>887</v>
      </c>
      <c r="B891" s="19" t="s">
        <v>3383</v>
      </c>
      <c r="C891" s="4" t="s">
        <v>3384</v>
      </c>
      <c r="D891" s="4" t="s">
        <v>1616</v>
      </c>
      <c r="E891" s="4"/>
      <c r="F891" s="8"/>
      <c r="G891" s="8"/>
      <c r="H891" s="8"/>
      <c r="I891" s="8"/>
      <c r="J891" s="8"/>
      <c r="K891" s="8">
        <v>140</v>
      </c>
      <c r="L891" s="18">
        <v>2427.83</v>
      </c>
      <c r="M891" s="7">
        <f t="shared" si="13"/>
        <v>339896.2</v>
      </c>
      <c r="N891" s="4"/>
      <c r="O891" s="9"/>
    </row>
    <row r="892" spans="1:15" ht="20" x14ac:dyDescent="0.2">
      <c r="A892" s="3">
        <v>888</v>
      </c>
      <c r="B892" s="19" t="s">
        <v>3385</v>
      </c>
      <c r="C892" s="4" t="s">
        <v>3386</v>
      </c>
      <c r="D892" s="4" t="s">
        <v>1616</v>
      </c>
      <c r="E892" s="4"/>
      <c r="F892" s="8"/>
      <c r="G892" s="8"/>
      <c r="H892" s="8"/>
      <c r="I892" s="8"/>
      <c r="J892" s="8"/>
      <c r="K892" s="8">
        <v>16000</v>
      </c>
      <c r="L892" s="18">
        <v>21.4</v>
      </c>
      <c r="M892" s="7">
        <f t="shared" si="13"/>
        <v>342400</v>
      </c>
      <c r="N892" s="4"/>
      <c r="O892" s="9"/>
    </row>
    <row r="893" spans="1:15" ht="20" x14ac:dyDescent="0.2">
      <c r="A893" s="3">
        <v>889</v>
      </c>
      <c r="B893" s="19" t="s">
        <v>3387</v>
      </c>
      <c r="C893" s="4" t="s">
        <v>3388</v>
      </c>
      <c r="D893" s="4" t="s">
        <v>1616</v>
      </c>
      <c r="E893" s="4"/>
      <c r="F893" s="8"/>
      <c r="G893" s="8"/>
      <c r="H893" s="8"/>
      <c r="I893" s="8"/>
      <c r="J893" s="8"/>
      <c r="K893" s="8">
        <v>220</v>
      </c>
      <c r="L893" s="18">
        <v>1558.99</v>
      </c>
      <c r="M893" s="7">
        <f t="shared" si="13"/>
        <v>342977.8</v>
      </c>
      <c r="N893" s="4"/>
      <c r="O893" s="9"/>
    </row>
    <row r="894" spans="1:15" ht="20" x14ac:dyDescent="0.2">
      <c r="A894" s="3">
        <v>890</v>
      </c>
      <c r="B894" s="19" t="s">
        <v>3389</v>
      </c>
      <c r="C894" s="4" t="s">
        <v>3390</v>
      </c>
      <c r="D894" s="4" t="s">
        <v>1616</v>
      </c>
      <c r="E894" s="4"/>
      <c r="F894" s="8"/>
      <c r="G894" s="8"/>
      <c r="H894" s="8"/>
      <c r="I894" s="8"/>
      <c r="J894" s="8"/>
      <c r="K894" s="8">
        <v>491</v>
      </c>
      <c r="L894" s="18">
        <v>749</v>
      </c>
      <c r="M894" s="7">
        <f t="shared" si="13"/>
        <v>367759</v>
      </c>
      <c r="N894" s="4"/>
      <c r="O894" s="9"/>
    </row>
    <row r="895" spans="1:15" ht="20" x14ac:dyDescent="0.2">
      <c r="A895" s="3">
        <v>891</v>
      </c>
      <c r="B895" s="19" t="s">
        <v>3391</v>
      </c>
      <c r="C895" s="4" t="s">
        <v>3392</v>
      </c>
      <c r="D895" s="4" t="s">
        <v>1616</v>
      </c>
      <c r="E895" s="4"/>
      <c r="F895" s="8"/>
      <c r="G895" s="8"/>
      <c r="H895" s="8"/>
      <c r="I895" s="8"/>
      <c r="J895" s="8"/>
      <c r="K895" s="8">
        <v>6</v>
      </c>
      <c r="L895" s="18">
        <v>61368.7</v>
      </c>
      <c r="M895" s="7">
        <f t="shared" si="13"/>
        <v>368212.19999999995</v>
      </c>
      <c r="N895" s="4"/>
      <c r="O895" s="9"/>
    </row>
    <row r="896" spans="1:15" ht="20" x14ac:dyDescent="0.2">
      <c r="A896" s="3">
        <v>892</v>
      </c>
      <c r="B896" s="19" t="s">
        <v>3393</v>
      </c>
      <c r="C896" s="4" t="s">
        <v>3394</v>
      </c>
      <c r="D896" s="4" t="s">
        <v>1616</v>
      </c>
      <c r="E896" s="4"/>
      <c r="F896" s="8"/>
      <c r="G896" s="8"/>
      <c r="H896" s="8"/>
      <c r="I896" s="8"/>
      <c r="J896" s="8"/>
      <c r="K896" s="8">
        <v>40</v>
      </c>
      <c r="L896" s="18">
        <v>9229.82</v>
      </c>
      <c r="M896" s="7">
        <f t="shared" si="13"/>
        <v>369192.8</v>
      </c>
      <c r="N896" s="4"/>
      <c r="O896" s="9"/>
    </row>
    <row r="897" spans="1:15" ht="20" x14ac:dyDescent="0.2">
      <c r="A897" s="3">
        <v>893</v>
      </c>
      <c r="B897" s="19" t="s">
        <v>3395</v>
      </c>
      <c r="C897" s="4" t="s">
        <v>3396</v>
      </c>
      <c r="D897" s="4" t="s">
        <v>1616</v>
      </c>
      <c r="E897" s="4"/>
      <c r="F897" s="8"/>
      <c r="G897" s="8"/>
      <c r="H897" s="8"/>
      <c r="I897" s="8"/>
      <c r="J897" s="8"/>
      <c r="K897" s="8">
        <v>540</v>
      </c>
      <c r="L897" s="18">
        <v>690</v>
      </c>
      <c r="M897" s="7">
        <f t="shared" si="13"/>
        <v>372600</v>
      </c>
      <c r="N897" s="4"/>
      <c r="O897" s="9"/>
    </row>
    <row r="898" spans="1:15" ht="20" x14ac:dyDescent="0.2">
      <c r="A898" s="3">
        <v>894</v>
      </c>
      <c r="B898" s="19" t="s">
        <v>3397</v>
      </c>
      <c r="C898" s="4" t="s">
        <v>3398</v>
      </c>
      <c r="D898" s="4" t="s">
        <v>1616</v>
      </c>
      <c r="E898" s="4"/>
      <c r="F898" s="8"/>
      <c r="G898" s="8"/>
      <c r="H898" s="8"/>
      <c r="I898" s="8"/>
      <c r="J898" s="8"/>
      <c r="K898" s="8">
        <v>6</v>
      </c>
      <c r="L898" s="18">
        <v>62595</v>
      </c>
      <c r="M898" s="7">
        <f t="shared" si="13"/>
        <v>375570</v>
      </c>
      <c r="N898" s="4"/>
      <c r="O898" s="9"/>
    </row>
    <row r="899" spans="1:15" ht="20" x14ac:dyDescent="0.2">
      <c r="A899" s="3">
        <v>895</v>
      </c>
      <c r="B899" s="19" t="s">
        <v>3399</v>
      </c>
      <c r="C899" s="4" t="s">
        <v>3400</v>
      </c>
      <c r="D899" s="4" t="s">
        <v>1616</v>
      </c>
      <c r="E899" s="4"/>
      <c r="F899" s="8"/>
      <c r="G899" s="8"/>
      <c r="H899" s="8"/>
      <c r="I899" s="8"/>
      <c r="J899" s="8"/>
      <c r="K899" s="8">
        <v>40</v>
      </c>
      <c r="L899" s="18">
        <v>9458.7999999999993</v>
      </c>
      <c r="M899" s="7">
        <f t="shared" si="13"/>
        <v>378352</v>
      </c>
      <c r="N899" s="4"/>
      <c r="O899" s="9"/>
    </row>
    <row r="900" spans="1:15" ht="20" x14ac:dyDescent="0.2">
      <c r="A900" s="3">
        <v>896</v>
      </c>
      <c r="B900" s="19" t="s">
        <v>3401</v>
      </c>
      <c r="C900" s="4" t="s">
        <v>3402</v>
      </c>
      <c r="D900" s="4" t="s">
        <v>1616</v>
      </c>
      <c r="E900" s="4"/>
      <c r="F900" s="8"/>
      <c r="G900" s="8"/>
      <c r="H900" s="8"/>
      <c r="I900" s="8"/>
      <c r="J900" s="8"/>
      <c r="K900" s="8">
        <v>1500</v>
      </c>
      <c r="L900" s="18">
        <v>252.52</v>
      </c>
      <c r="M900" s="7">
        <f t="shared" si="13"/>
        <v>378780</v>
      </c>
      <c r="N900" s="4"/>
      <c r="O900" s="9"/>
    </row>
    <row r="901" spans="1:15" ht="20" x14ac:dyDescent="0.2">
      <c r="A901" s="3">
        <v>897</v>
      </c>
      <c r="B901" s="19" t="s">
        <v>3403</v>
      </c>
      <c r="C901" s="4" t="s">
        <v>3404</v>
      </c>
      <c r="D901" s="4" t="s">
        <v>1616</v>
      </c>
      <c r="E901" s="4"/>
      <c r="F901" s="8"/>
      <c r="G901" s="8"/>
      <c r="H901" s="8"/>
      <c r="I901" s="8"/>
      <c r="J901" s="8"/>
      <c r="K901" s="8">
        <v>400</v>
      </c>
      <c r="L901" s="18">
        <v>957.65</v>
      </c>
      <c r="M901" s="7">
        <f t="shared" ref="M901:M964" si="14">IF(OR(K901="",L901=""),"",K901*L901)</f>
        <v>383060</v>
      </c>
      <c r="N901" s="4"/>
      <c r="O901" s="9"/>
    </row>
    <row r="902" spans="1:15" ht="20" x14ac:dyDescent="0.2">
      <c r="A902" s="3">
        <v>898</v>
      </c>
      <c r="B902" s="19" t="s">
        <v>3405</v>
      </c>
      <c r="C902" s="4" t="s">
        <v>3406</v>
      </c>
      <c r="D902" s="4" t="s">
        <v>1616</v>
      </c>
      <c r="E902" s="4"/>
      <c r="F902" s="8"/>
      <c r="G902" s="8"/>
      <c r="H902" s="8"/>
      <c r="I902" s="8"/>
      <c r="J902" s="8"/>
      <c r="K902" s="8">
        <v>1700</v>
      </c>
      <c r="L902" s="18">
        <v>230.05</v>
      </c>
      <c r="M902" s="7">
        <f t="shared" si="14"/>
        <v>391085</v>
      </c>
      <c r="N902" s="4"/>
      <c r="O902" s="9"/>
    </row>
    <row r="903" spans="1:15" ht="20" x14ac:dyDescent="0.2">
      <c r="A903" s="3">
        <v>899</v>
      </c>
      <c r="B903" s="19" t="s">
        <v>3407</v>
      </c>
      <c r="C903" s="4" t="s">
        <v>3408</v>
      </c>
      <c r="D903" s="4" t="s">
        <v>1616</v>
      </c>
      <c r="E903" s="4"/>
      <c r="F903" s="8"/>
      <c r="G903" s="8"/>
      <c r="H903" s="8"/>
      <c r="I903" s="8"/>
      <c r="J903" s="8"/>
      <c r="K903" s="8">
        <v>1220</v>
      </c>
      <c r="L903" s="18">
        <v>321</v>
      </c>
      <c r="M903" s="7">
        <f t="shared" si="14"/>
        <v>391620</v>
      </c>
      <c r="N903" s="4"/>
      <c r="O903" s="9"/>
    </row>
    <row r="904" spans="1:15" ht="20" x14ac:dyDescent="0.2">
      <c r="A904" s="3">
        <v>900</v>
      </c>
      <c r="B904" s="19" t="s">
        <v>3409</v>
      </c>
      <c r="C904" s="4" t="s">
        <v>3410</v>
      </c>
      <c r="D904" s="4" t="s">
        <v>1616</v>
      </c>
      <c r="E904" s="4"/>
      <c r="F904" s="8"/>
      <c r="G904" s="8"/>
      <c r="H904" s="8"/>
      <c r="I904" s="8"/>
      <c r="J904" s="8"/>
      <c r="K904" s="8">
        <v>360</v>
      </c>
      <c r="L904" s="18">
        <v>1097.82</v>
      </c>
      <c r="M904" s="7">
        <f t="shared" si="14"/>
        <v>395215.19999999995</v>
      </c>
      <c r="N904" s="4"/>
      <c r="O904" s="9"/>
    </row>
    <row r="905" spans="1:15" ht="20" x14ac:dyDescent="0.2">
      <c r="A905" s="3">
        <v>901</v>
      </c>
      <c r="B905" s="19" t="s">
        <v>3411</v>
      </c>
      <c r="C905" s="4" t="s">
        <v>3412</v>
      </c>
      <c r="D905" s="4" t="s">
        <v>1616</v>
      </c>
      <c r="E905" s="4"/>
      <c r="F905" s="8"/>
      <c r="G905" s="8"/>
      <c r="H905" s="8"/>
      <c r="I905" s="8"/>
      <c r="J905" s="8"/>
      <c r="K905" s="8">
        <v>3200</v>
      </c>
      <c r="L905" s="18">
        <v>140</v>
      </c>
      <c r="M905" s="7">
        <f t="shared" si="14"/>
        <v>448000</v>
      </c>
      <c r="N905" s="4"/>
      <c r="O905" s="9"/>
    </row>
    <row r="906" spans="1:15" ht="20" x14ac:dyDescent="0.2">
      <c r="A906" s="3">
        <v>902</v>
      </c>
      <c r="B906" s="19" t="s">
        <v>3413</v>
      </c>
      <c r="C906" s="4" t="s">
        <v>3414</v>
      </c>
      <c r="D906" s="4" t="s">
        <v>1616</v>
      </c>
      <c r="E906" s="4"/>
      <c r="F906" s="8"/>
      <c r="G906" s="8"/>
      <c r="H906" s="8"/>
      <c r="I906" s="8"/>
      <c r="J906" s="8"/>
      <c r="K906" s="8">
        <v>2800</v>
      </c>
      <c r="L906" s="18">
        <v>160</v>
      </c>
      <c r="M906" s="7">
        <f t="shared" si="14"/>
        <v>448000</v>
      </c>
      <c r="N906" s="4"/>
      <c r="O906" s="9"/>
    </row>
    <row r="907" spans="1:15" ht="20" x14ac:dyDescent="0.2">
      <c r="A907" s="3">
        <v>903</v>
      </c>
      <c r="B907" s="19" t="s">
        <v>3415</v>
      </c>
      <c r="C907" s="4" t="s">
        <v>3416</v>
      </c>
      <c r="D907" s="4" t="s">
        <v>1616</v>
      </c>
      <c r="E907" s="4"/>
      <c r="F907" s="8"/>
      <c r="G907" s="8"/>
      <c r="H907" s="8"/>
      <c r="I907" s="8"/>
      <c r="J907" s="8"/>
      <c r="K907" s="8">
        <v>40</v>
      </c>
      <c r="L907" s="18">
        <v>11235</v>
      </c>
      <c r="M907" s="7">
        <f t="shared" si="14"/>
        <v>449400</v>
      </c>
      <c r="N907" s="4"/>
      <c r="O907" s="9"/>
    </row>
    <row r="908" spans="1:15" ht="40" x14ac:dyDescent="0.2">
      <c r="A908" s="3">
        <v>904</v>
      </c>
      <c r="B908" s="19" t="s">
        <v>3417</v>
      </c>
      <c r="C908" s="4" t="s">
        <v>3418</v>
      </c>
      <c r="D908" s="4" t="s">
        <v>1616</v>
      </c>
      <c r="E908" s="4"/>
      <c r="F908" s="8"/>
      <c r="G908" s="8"/>
      <c r="H908" s="8"/>
      <c r="I908" s="8"/>
      <c r="J908" s="8"/>
      <c r="K908" s="8">
        <v>820</v>
      </c>
      <c r="L908" s="18">
        <v>554.26</v>
      </c>
      <c r="M908" s="7">
        <f t="shared" si="14"/>
        <v>454493.2</v>
      </c>
      <c r="N908" s="4"/>
      <c r="O908" s="9"/>
    </row>
    <row r="909" spans="1:15" ht="20" x14ac:dyDescent="0.2">
      <c r="A909" s="3">
        <v>905</v>
      </c>
      <c r="B909" s="19" t="s">
        <v>3419</v>
      </c>
      <c r="C909" s="4" t="s">
        <v>3420</v>
      </c>
      <c r="D909" s="4" t="s">
        <v>1616</v>
      </c>
      <c r="E909" s="4"/>
      <c r="F909" s="8"/>
      <c r="G909" s="8"/>
      <c r="H909" s="8"/>
      <c r="I909" s="8"/>
      <c r="J909" s="8"/>
      <c r="K909" s="8">
        <v>600</v>
      </c>
      <c r="L909" s="18">
        <v>758</v>
      </c>
      <c r="M909" s="7">
        <f t="shared" si="14"/>
        <v>454800</v>
      </c>
      <c r="N909" s="4"/>
      <c r="O909" s="9"/>
    </row>
    <row r="910" spans="1:15" ht="20" x14ac:dyDescent="0.2">
      <c r="A910" s="3">
        <v>906</v>
      </c>
      <c r="B910" s="19" t="s">
        <v>3421</v>
      </c>
      <c r="C910" s="4" t="s">
        <v>3422</v>
      </c>
      <c r="D910" s="4" t="s">
        <v>1616</v>
      </c>
      <c r="E910" s="4"/>
      <c r="F910" s="8"/>
      <c r="G910" s="8"/>
      <c r="H910" s="8"/>
      <c r="I910" s="8"/>
      <c r="J910" s="8"/>
      <c r="K910" s="8">
        <v>120</v>
      </c>
      <c r="L910" s="18">
        <v>3798.5</v>
      </c>
      <c r="M910" s="7">
        <f t="shared" si="14"/>
        <v>455820</v>
      </c>
      <c r="N910" s="4"/>
      <c r="O910" s="9"/>
    </row>
    <row r="911" spans="1:15" ht="20" x14ac:dyDescent="0.2">
      <c r="A911" s="3">
        <v>907</v>
      </c>
      <c r="B911" s="19" t="s">
        <v>3423</v>
      </c>
      <c r="C911" s="4" t="s">
        <v>3424</v>
      </c>
      <c r="D911" s="4" t="s">
        <v>1616</v>
      </c>
      <c r="E911" s="4"/>
      <c r="F911" s="8"/>
      <c r="G911" s="8"/>
      <c r="H911" s="8"/>
      <c r="I911" s="8"/>
      <c r="J911" s="8"/>
      <c r="K911" s="8">
        <v>360</v>
      </c>
      <c r="L911" s="18">
        <v>1284</v>
      </c>
      <c r="M911" s="7">
        <f t="shared" si="14"/>
        <v>462240</v>
      </c>
      <c r="N911" s="4"/>
      <c r="O911" s="9"/>
    </row>
    <row r="912" spans="1:15" ht="20" x14ac:dyDescent="0.2">
      <c r="A912" s="3">
        <v>908</v>
      </c>
      <c r="B912" s="19" t="s">
        <v>3425</v>
      </c>
      <c r="C912" s="4" t="s">
        <v>3426</v>
      </c>
      <c r="D912" s="4" t="s">
        <v>1616</v>
      </c>
      <c r="E912" s="4"/>
      <c r="F912" s="8"/>
      <c r="G912" s="8"/>
      <c r="H912" s="8"/>
      <c r="I912" s="8"/>
      <c r="J912" s="8"/>
      <c r="K912" s="8">
        <v>4800</v>
      </c>
      <c r="L912" s="18">
        <v>96.3</v>
      </c>
      <c r="M912" s="7">
        <f t="shared" si="14"/>
        <v>462240</v>
      </c>
      <c r="N912" s="4"/>
      <c r="O912" s="9"/>
    </row>
    <row r="913" spans="1:15" ht="20" x14ac:dyDescent="0.2">
      <c r="A913" s="3">
        <v>909</v>
      </c>
      <c r="B913" s="19" t="s">
        <v>3427</v>
      </c>
      <c r="C913" s="4" t="s">
        <v>3428</v>
      </c>
      <c r="D913" s="4" t="s">
        <v>1616</v>
      </c>
      <c r="E913" s="4"/>
      <c r="F913" s="8"/>
      <c r="G913" s="8"/>
      <c r="H913" s="8"/>
      <c r="I913" s="8"/>
      <c r="J913" s="8"/>
      <c r="K913" s="8">
        <v>1800</v>
      </c>
      <c r="L913" s="18">
        <v>261</v>
      </c>
      <c r="M913" s="7">
        <f t="shared" si="14"/>
        <v>469800</v>
      </c>
      <c r="N913" s="4"/>
      <c r="O913" s="9"/>
    </row>
    <row r="914" spans="1:15" ht="40" x14ac:dyDescent="0.2">
      <c r="A914" s="3">
        <v>910</v>
      </c>
      <c r="B914" s="19" t="s">
        <v>3429</v>
      </c>
      <c r="C914" s="4" t="s">
        <v>3430</v>
      </c>
      <c r="D914" s="4" t="s">
        <v>1616</v>
      </c>
      <c r="E914" s="4"/>
      <c r="F914" s="8"/>
      <c r="G914" s="8"/>
      <c r="H914" s="8"/>
      <c r="I914" s="8"/>
      <c r="J914" s="8"/>
      <c r="K914" s="8">
        <v>300</v>
      </c>
      <c r="L914" s="18">
        <v>1594.3</v>
      </c>
      <c r="M914" s="7">
        <f t="shared" si="14"/>
        <v>478290</v>
      </c>
      <c r="N914" s="4"/>
      <c r="O914" s="9"/>
    </row>
    <row r="915" spans="1:15" ht="20" x14ac:dyDescent="0.2">
      <c r="A915" s="3">
        <v>911</v>
      </c>
      <c r="B915" s="19" t="s">
        <v>3431</v>
      </c>
      <c r="C915" s="4" t="s">
        <v>3432</v>
      </c>
      <c r="D915" s="4" t="s">
        <v>1616</v>
      </c>
      <c r="E915" s="4"/>
      <c r="F915" s="8"/>
      <c r="G915" s="8"/>
      <c r="H915" s="8"/>
      <c r="I915" s="8"/>
      <c r="J915" s="8"/>
      <c r="K915" s="8">
        <v>90</v>
      </c>
      <c r="L915" s="18">
        <v>5400</v>
      </c>
      <c r="M915" s="7">
        <f t="shared" si="14"/>
        <v>486000</v>
      </c>
      <c r="N915" s="4"/>
      <c r="O915" s="9"/>
    </row>
    <row r="916" spans="1:15" ht="20" x14ac:dyDescent="0.2">
      <c r="A916" s="3">
        <v>912</v>
      </c>
      <c r="B916" s="19" t="s">
        <v>3433</v>
      </c>
      <c r="C916" s="4" t="s">
        <v>3434</v>
      </c>
      <c r="D916" s="4" t="s">
        <v>1616</v>
      </c>
      <c r="E916" s="4"/>
      <c r="F916" s="8"/>
      <c r="G916" s="8"/>
      <c r="H916" s="8"/>
      <c r="I916" s="8"/>
      <c r="J916" s="8"/>
      <c r="K916" s="8">
        <v>8</v>
      </c>
      <c r="L916" s="18">
        <v>60818.8</v>
      </c>
      <c r="M916" s="7">
        <f t="shared" si="14"/>
        <v>486550.4</v>
      </c>
      <c r="N916" s="4"/>
      <c r="O916" s="9"/>
    </row>
    <row r="917" spans="1:15" ht="20" x14ac:dyDescent="0.2">
      <c r="A917" s="3">
        <v>913</v>
      </c>
      <c r="B917" s="19" t="s">
        <v>3435</v>
      </c>
      <c r="C917" s="4" t="s">
        <v>3436</v>
      </c>
      <c r="D917" s="4" t="s">
        <v>1616</v>
      </c>
      <c r="E917" s="4"/>
      <c r="F917" s="8"/>
      <c r="G917" s="8"/>
      <c r="H917" s="8"/>
      <c r="I917" s="8"/>
      <c r="J917" s="8"/>
      <c r="K917" s="8">
        <v>600</v>
      </c>
      <c r="L917" s="18">
        <v>813.2</v>
      </c>
      <c r="M917" s="7">
        <f t="shared" si="14"/>
        <v>487920</v>
      </c>
      <c r="N917" s="4"/>
      <c r="O917" s="9"/>
    </row>
    <row r="918" spans="1:15" ht="20" x14ac:dyDescent="0.2">
      <c r="A918" s="3">
        <v>914</v>
      </c>
      <c r="B918" s="19" t="s">
        <v>3437</v>
      </c>
      <c r="C918" s="4" t="s">
        <v>3438</v>
      </c>
      <c r="D918" s="4" t="s">
        <v>1616</v>
      </c>
      <c r="E918" s="4"/>
      <c r="F918" s="8"/>
      <c r="G918" s="8"/>
      <c r="H918" s="8"/>
      <c r="I918" s="8"/>
      <c r="J918" s="8"/>
      <c r="K918" s="8">
        <v>90</v>
      </c>
      <c r="L918" s="18">
        <v>5606.8</v>
      </c>
      <c r="M918" s="7">
        <f t="shared" si="14"/>
        <v>504612</v>
      </c>
      <c r="N918" s="4"/>
      <c r="O918" s="9"/>
    </row>
    <row r="919" spans="1:15" ht="20" x14ac:dyDescent="0.2">
      <c r="A919" s="3">
        <v>915</v>
      </c>
      <c r="B919" s="19" t="s">
        <v>3439</v>
      </c>
      <c r="C919" s="4" t="s">
        <v>3440</v>
      </c>
      <c r="D919" s="4" t="s">
        <v>1616</v>
      </c>
      <c r="E919" s="4"/>
      <c r="F919" s="8"/>
      <c r="G919" s="8"/>
      <c r="H919" s="8"/>
      <c r="I919" s="8"/>
      <c r="J919" s="8"/>
      <c r="K919" s="8">
        <v>30</v>
      </c>
      <c r="L919" s="18">
        <v>16948.8</v>
      </c>
      <c r="M919" s="7">
        <f t="shared" si="14"/>
        <v>508464</v>
      </c>
      <c r="N919" s="4"/>
      <c r="O919" s="9"/>
    </row>
    <row r="920" spans="1:15" ht="20" x14ac:dyDescent="0.2">
      <c r="A920" s="3">
        <v>916</v>
      </c>
      <c r="B920" s="19" t="s">
        <v>3441</v>
      </c>
      <c r="C920" s="4" t="s">
        <v>3442</v>
      </c>
      <c r="D920" s="4" t="s">
        <v>1616</v>
      </c>
      <c r="E920" s="4"/>
      <c r="F920" s="8"/>
      <c r="G920" s="8"/>
      <c r="H920" s="8"/>
      <c r="I920" s="8"/>
      <c r="J920" s="8"/>
      <c r="K920" s="8">
        <v>10</v>
      </c>
      <c r="L920" s="18">
        <v>51081.8</v>
      </c>
      <c r="M920" s="7">
        <f t="shared" si="14"/>
        <v>510818</v>
      </c>
      <c r="N920" s="4"/>
      <c r="O920" s="9"/>
    </row>
    <row r="921" spans="1:15" ht="20" x14ac:dyDescent="0.2">
      <c r="A921" s="3">
        <v>917</v>
      </c>
      <c r="B921" s="19" t="s">
        <v>3443</v>
      </c>
      <c r="C921" s="4" t="s">
        <v>3444</v>
      </c>
      <c r="D921" s="4" t="s">
        <v>1616</v>
      </c>
      <c r="E921" s="4"/>
      <c r="F921" s="8"/>
      <c r="G921" s="8"/>
      <c r="H921" s="8"/>
      <c r="I921" s="8"/>
      <c r="J921" s="8"/>
      <c r="K921" s="8">
        <v>60</v>
      </c>
      <c r="L921" s="18">
        <v>8560</v>
      </c>
      <c r="M921" s="7">
        <f t="shared" si="14"/>
        <v>513600</v>
      </c>
      <c r="N921" s="4"/>
      <c r="O921" s="9"/>
    </row>
    <row r="922" spans="1:15" ht="20" x14ac:dyDescent="0.2">
      <c r="A922" s="3">
        <v>918</v>
      </c>
      <c r="B922" s="19" t="s">
        <v>3445</v>
      </c>
      <c r="C922" s="4" t="s">
        <v>3446</v>
      </c>
      <c r="D922" s="4" t="s">
        <v>1616</v>
      </c>
      <c r="E922" s="4"/>
      <c r="F922" s="8"/>
      <c r="G922" s="8"/>
      <c r="H922" s="8"/>
      <c r="I922" s="8"/>
      <c r="J922" s="8"/>
      <c r="K922" s="8">
        <v>600</v>
      </c>
      <c r="L922" s="18">
        <v>856</v>
      </c>
      <c r="M922" s="7">
        <f t="shared" si="14"/>
        <v>513600</v>
      </c>
      <c r="N922" s="4"/>
      <c r="O922" s="9"/>
    </row>
    <row r="923" spans="1:15" ht="20" x14ac:dyDescent="0.2">
      <c r="A923" s="3">
        <v>919</v>
      </c>
      <c r="B923" s="19" t="s">
        <v>3447</v>
      </c>
      <c r="C923" s="4" t="s">
        <v>3448</v>
      </c>
      <c r="D923" s="4" t="s">
        <v>1616</v>
      </c>
      <c r="E923" s="4"/>
      <c r="F923" s="8"/>
      <c r="G923" s="8"/>
      <c r="H923" s="8"/>
      <c r="I923" s="8"/>
      <c r="J923" s="8"/>
      <c r="K923" s="8">
        <v>280</v>
      </c>
      <c r="L923" s="18">
        <v>1844.68</v>
      </c>
      <c r="M923" s="7">
        <f t="shared" si="14"/>
        <v>516510.4</v>
      </c>
      <c r="N923" s="4"/>
      <c r="O923" s="9"/>
    </row>
    <row r="924" spans="1:15" ht="20" x14ac:dyDescent="0.2">
      <c r="A924" s="3">
        <v>920</v>
      </c>
      <c r="B924" s="19" t="s">
        <v>3449</v>
      </c>
      <c r="C924" s="4" t="s">
        <v>3450</v>
      </c>
      <c r="D924" s="4" t="s">
        <v>1616</v>
      </c>
      <c r="E924" s="4"/>
      <c r="F924" s="8"/>
      <c r="G924" s="8"/>
      <c r="H924" s="8"/>
      <c r="I924" s="8"/>
      <c r="J924" s="8"/>
      <c r="K924" s="8">
        <v>250</v>
      </c>
      <c r="L924" s="18">
        <v>2133.58</v>
      </c>
      <c r="M924" s="7">
        <f t="shared" si="14"/>
        <v>533395</v>
      </c>
      <c r="N924" s="4"/>
      <c r="O924" s="9"/>
    </row>
    <row r="925" spans="1:15" ht="20" x14ac:dyDescent="0.2">
      <c r="A925" s="3">
        <v>921</v>
      </c>
      <c r="B925" s="19" t="s">
        <v>3451</v>
      </c>
      <c r="C925" s="4" t="s">
        <v>3452</v>
      </c>
      <c r="D925" s="4" t="s">
        <v>1616</v>
      </c>
      <c r="E925" s="4"/>
      <c r="F925" s="8"/>
      <c r="G925" s="8"/>
      <c r="H925" s="8"/>
      <c r="I925" s="8"/>
      <c r="J925" s="8"/>
      <c r="K925" s="8">
        <v>2000</v>
      </c>
      <c r="L925" s="18">
        <v>267.5</v>
      </c>
      <c r="M925" s="7">
        <f t="shared" si="14"/>
        <v>535000</v>
      </c>
      <c r="N925" s="4"/>
      <c r="O925" s="9"/>
    </row>
    <row r="926" spans="1:15" ht="20" x14ac:dyDescent="0.2">
      <c r="A926" s="3">
        <v>922</v>
      </c>
      <c r="B926" s="19" t="s">
        <v>3453</v>
      </c>
      <c r="C926" s="4" t="s">
        <v>3454</v>
      </c>
      <c r="D926" s="4" t="s">
        <v>1616</v>
      </c>
      <c r="E926" s="4"/>
      <c r="F926" s="8"/>
      <c r="G926" s="8"/>
      <c r="H926" s="8"/>
      <c r="I926" s="8"/>
      <c r="J926" s="8"/>
      <c r="K926" s="8">
        <v>80</v>
      </c>
      <c r="L926" s="18">
        <v>6741</v>
      </c>
      <c r="M926" s="7">
        <f t="shared" si="14"/>
        <v>539280</v>
      </c>
      <c r="N926" s="4"/>
      <c r="O926" s="9"/>
    </row>
    <row r="927" spans="1:15" ht="20" x14ac:dyDescent="0.2">
      <c r="A927" s="3">
        <v>923</v>
      </c>
      <c r="B927" s="19" t="s">
        <v>3455</v>
      </c>
      <c r="C927" s="4" t="s">
        <v>3456</v>
      </c>
      <c r="D927" s="4" t="s">
        <v>1616</v>
      </c>
      <c r="E927" s="4"/>
      <c r="F927" s="8"/>
      <c r="G927" s="8"/>
      <c r="H927" s="8"/>
      <c r="I927" s="8"/>
      <c r="J927" s="8"/>
      <c r="K927" s="8">
        <v>1800</v>
      </c>
      <c r="L927" s="18">
        <v>299.60000000000002</v>
      </c>
      <c r="M927" s="7">
        <f t="shared" si="14"/>
        <v>539280</v>
      </c>
      <c r="N927" s="4"/>
      <c r="O927" s="9"/>
    </row>
    <row r="928" spans="1:15" ht="20" x14ac:dyDescent="0.2">
      <c r="A928" s="3">
        <v>924</v>
      </c>
      <c r="B928" s="19" t="s">
        <v>3457</v>
      </c>
      <c r="C928" s="4" t="s">
        <v>3458</v>
      </c>
      <c r="D928" s="4" t="s">
        <v>1616</v>
      </c>
      <c r="E928" s="4"/>
      <c r="F928" s="8"/>
      <c r="G928" s="8"/>
      <c r="H928" s="8"/>
      <c r="I928" s="8"/>
      <c r="J928" s="8"/>
      <c r="K928" s="8">
        <v>240</v>
      </c>
      <c r="L928" s="18">
        <v>2300</v>
      </c>
      <c r="M928" s="7">
        <f t="shared" si="14"/>
        <v>552000</v>
      </c>
      <c r="N928" s="4"/>
      <c r="O928" s="9"/>
    </row>
    <row r="929" spans="1:15" ht="20" x14ac:dyDescent="0.2">
      <c r="A929" s="3">
        <v>925</v>
      </c>
      <c r="B929" s="19" t="s">
        <v>3459</v>
      </c>
      <c r="C929" s="4" t="s">
        <v>3460</v>
      </c>
      <c r="D929" s="4" t="s">
        <v>1616</v>
      </c>
      <c r="E929" s="4"/>
      <c r="F929" s="8"/>
      <c r="G929" s="8"/>
      <c r="H929" s="8"/>
      <c r="I929" s="8"/>
      <c r="J929" s="8"/>
      <c r="K929" s="8">
        <v>2800</v>
      </c>
      <c r="L929" s="18">
        <v>197.95</v>
      </c>
      <c r="M929" s="7">
        <f t="shared" si="14"/>
        <v>554260</v>
      </c>
      <c r="N929" s="4"/>
      <c r="O929" s="9"/>
    </row>
    <row r="930" spans="1:15" ht="40" x14ac:dyDescent="0.2">
      <c r="A930" s="3">
        <v>926</v>
      </c>
      <c r="B930" s="19" t="s">
        <v>3461</v>
      </c>
      <c r="C930" s="4" t="s">
        <v>3462</v>
      </c>
      <c r="D930" s="4" t="s">
        <v>1616</v>
      </c>
      <c r="E930" s="4"/>
      <c r="F930" s="8"/>
      <c r="G930" s="8"/>
      <c r="H930" s="8"/>
      <c r="I930" s="8"/>
      <c r="J930" s="8"/>
      <c r="K930" s="8">
        <v>40</v>
      </c>
      <c r="L930" s="18">
        <v>13934.61</v>
      </c>
      <c r="M930" s="7">
        <f t="shared" si="14"/>
        <v>557384.4</v>
      </c>
      <c r="N930" s="4"/>
      <c r="O930" s="9"/>
    </row>
    <row r="931" spans="1:15" ht="20" x14ac:dyDescent="0.2">
      <c r="A931" s="3">
        <v>927</v>
      </c>
      <c r="B931" s="19" t="s">
        <v>3463</v>
      </c>
      <c r="C931" s="4" t="s">
        <v>3464</v>
      </c>
      <c r="D931" s="4" t="s">
        <v>1616</v>
      </c>
      <c r="E931" s="4"/>
      <c r="F931" s="8"/>
      <c r="G931" s="8"/>
      <c r="H931" s="8"/>
      <c r="I931" s="8"/>
      <c r="J931" s="8"/>
      <c r="K931" s="8">
        <v>24</v>
      </c>
      <c r="L931" s="18">
        <v>23540</v>
      </c>
      <c r="M931" s="7">
        <f t="shared" si="14"/>
        <v>564960</v>
      </c>
      <c r="N931" s="4"/>
      <c r="O931" s="9"/>
    </row>
    <row r="932" spans="1:15" ht="20" x14ac:dyDescent="0.2">
      <c r="A932" s="3">
        <v>928</v>
      </c>
      <c r="B932" s="19" t="s">
        <v>3465</v>
      </c>
      <c r="C932" s="4" t="s">
        <v>3466</v>
      </c>
      <c r="D932" s="4" t="s">
        <v>1616</v>
      </c>
      <c r="E932" s="4"/>
      <c r="F932" s="8"/>
      <c r="G932" s="8"/>
      <c r="H932" s="8"/>
      <c r="I932" s="8"/>
      <c r="J932" s="8"/>
      <c r="K932" s="8">
        <v>200</v>
      </c>
      <c r="L932" s="18">
        <v>2900</v>
      </c>
      <c r="M932" s="7">
        <f t="shared" si="14"/>
        <v>580000</v>
      </c>
      <c r="N932" s="4"/>
      <c r="O932" s="9"/>
    </row>
    <row r="933" spans="1:15" ht="20" x14ac:dyDescent="0.2">
      <c r="A933" s="3">
        <v>929</v>
      </c>
      <c r="B933" s="19" t="s">
        <v>3467</v>
      </c>
      <c r="C933" s="4" t="s">
        <v>3468</v>
      </c>
      <c r="D933" s="4" t="s">
        <v>1616</v>
      </c>
      <c r="E933" s="4"/>
      <c r="F933" s="8"/>
      <c r="G933" s="8"/>
      <c r="H933" s="8"/>
      <c r="I933" s="8"/>
      <c r="J933" s="8"/>
      <c r="K933" s="8">
        <v>10</v>
      </c>
      <c r="L933" s="18">
        <v>58850</v>
      </c>
      <c r="M933" s="7">
        <f t="shared" si="14"/>
        <v>588500</v>
      </c>
      <c r="N933" s="4"/>
      <c r="O933" s="9"/>
    </row>
    <row r="934" spans="1:15" ht="20" x14ac:dyDescent="0.2">
      <c r="A934" s="3">
        <v>930</v>
      </c>
      <c r="B934" s="19" t="s">
        <v>3469</v>
      </c>
      <c r="C934" s="4" t="s">
        <v>3470</v>
      </c>
      <c r="D934" s="4" t="s">
        <v>1616</v>
      </c>
      <c r="E934" s="4"/>
      <c r="F934" s="8"/>
      <c r="G934" s="8"/>
      <c r="H934" s="8"/>
      <c r="I934" s="8"/>
      <c r="J934" s="8"/>
      <c r="K934" s="8">
        <v>600</v>
      </c>
      <c r="L934" s="18">
        <v>1021.85</v>
      </c>
      <c r="M934" s="7">
        <f t="shared" si="14"/>
        <v>613110</v>
      </c>
      <c r="N934" s="4"/>
      <c r="O934" s="9"/>
    </row>
    <row r="935" spans="1:15" ht="20" x14ac:dyDescent="0.2">
      <c r="A935" s="3">
        <v>931</v>
      </c>
      <c r="B935" s="19" t="s">
        <v>3471</v>
      </c>
      <c r="C935" s="4" t="s">
        <v>3472</v>
      </c>
      <c r="D935" s="4" t="s">
        <v>1616</v>
      </c>
      <c r="E935" s="4"/>
      <c r="F935" s="8"/>
      <c r="G935" s="8"/>
      <c r="H935" s="8"/>
      <c r="I935" s="8"/>
      <c r="J935" s="8"/>
      <c r="K935" s="8">
        <v>103</v>
      </c>
      <c r="L935" s="18">
        <v>6049.78</v>
      </c>
      <c r="M935" s="7">
        <f t="shared" si="14"/>
        <v>623127.34</v>
      </c>
      <c r="N935" s="4"/>
      <c r="O935" s="9"/>
    </row>
    <row r="936" spans="1:15" ht="20" x14ac:dyDescent="0.2">
      <c r="A936" s="3">
        <v>932</v>
      </c>
      <c r="B936" s="19" t="s">
        <v>3473</v>
      </c>
      <c r="C936" s="4" t="s">
        <v>3474</v>
      </c>
      <c r="D936" s="4" t="s">
        <v>1616</v>
      </c>
      <c r="E936" s="4"/>
      <c r="F936" s="8"/>
      <c r="G936" s="8"/>
      <c r="H936" s="8"/>
      <c r="I936" s="8"/>
      <c r="J936" s="8"/>
      <c r="K936" s="8">
        <v>240</v>
      </c>
      <c r="L936" s="18">
        <v>2622.57</v>
      </c>
      <c r="M936" s="7">
        <f t="shared" si="14"/>
        <v>629416.80000000005</v>
      </c>
      <c r="N936" s="4"/>
      <c r="O936" s="9"/>
    </row>
    <row r="937" spans="1:15" ht="20" x14ac:dyDescent="0.2">
      <c r="A937" s="3">
        <v>933</v>
      </c>
      <c r="B937" s="19" t="s">
        <v>3475</v>
      </c>
      <c r="C937" s="4" t="s">
        <v>3476</v>
      </c>
      <c r="D937" s="4" t="s">
        <v>1616</v>
      </c>
      <c r="E937" s="4"/>
      <c r="F937" s="8"/>
      <c r="G937" s="8"/>
      <c r="H937" s="8"/>
      <c r="I937" s="8"/>
      <c r="J937" s="8"/>
      <c r="K937" s="8">
        <v>600</v>
      </c>
      <c r="L937" s="18">
        <v>1070</v>
      </c>
      <c r="M937" s="7">
        <f t="shared" si="14"/>
        <v>642000</v>
      </c>
      <c r="N937" s="4"/>
      <c r="O937" s="9"/>
    </row>
    <row r="938" spans="1:15" ht="20" x14ac:dyDescent="0.2">
      <c r="A938" s="3">
        <v>934</v>
      </c>
      <c r="B938" s="19" t="s">
        <v>3477</v>
      </c>
      <c r="C938" s="4" t="s">
        <v>3478</v>
      </c>
      <c r="D938" s="4" t="s">
        <v>1616</v>
      </c>
      <c r="E938" s="4"/>
      <c r="F938" s="8"/>
      <c r="G938" s="8"/>
      <c r="H938" s="8"/>
      <c r="I938" s="8"/>
      <c r="J938" s="8"/>
      <c r="K938" s="8">
        <v>95</v>
      </c>
      <c r="L938" s="18">
        <v>6848</v>
      </c>
      <c r="M938" s="7">
        <f t="shared" si="14"/>
        <v>650560</v>
      </c>
      <c r="N938" s="4"/>
      <c r="O938" s="9"/>
    </row>
    <row r="939" spans="1:15" ht="20" x14ac:dyDescent="0.2">
      <c r="A939" s="3">
        <v>935</v>
      </c>
      <c r="B939" s="19" t="s">
        <v>3479</v>
      </c>
      <c r="C939" s="4" t="s">
        <v>3480</v>
      </c>
      <c r="D939" s="4" t="s">
        <v>1616</v>
      </c>
      <c r="E939" s="4"/>
      <c r="F939" s="8"/>
      <c r="G939" s="8"/>
      <c r="H939" s="8"/>
      <c r="I939" s="8"/>
      <c r="J939" s="8"/>
      <c r="K939" s="8">
        <v>20</v>
      </c>
      <c r="L939" s="18">
        <v>32900.36</v>
      </c>
      <c r="M939" s="7">
        <f t="shared" si="14"/>
        <v>658007.19999999995</v>
      </c>
      <c r="N939" s="4"/>
      <c r="O939" s="9"/>
    </row>
    <row r="940" spans="1:15" ht="20" x14ac:dyDescent="0.2">
      <c r="A940" s="3">
        <v>936</v>
      </c>
      <c r="B940" s="19" t="s">
        <v>3481</v>
      </c>
      <c r="C940" s="4" t="s">
        <v>3482</v>
      </c>
      <c r="D940" s="4" t="s">
        <v>1616</v>
      </c>
      <c r="E940" s="4"/>
      <c r="F940" s="8"/>
      <c r="G940" s="8"/>
      <c r="H940" s="8"/>
      <c r="I940" s="8"/>
      <c r="J940" s="8"/>
      <c r="K940" s="8">
        <v>2800</v>
      </c>
      <c r="L940" s="18">
        <v>240.75</v>
      </c>
      <c r="M940" s="7">
        <f t="shared" si="14"/>
        <v>674100</v>
      </c>
      <c r="N940" s="4"/>
      <c r="O940" s="9"/>
    </row>
    <row r="941" spans="1:15" ht="20" x14ac:dyDescent="0.2">
      <c r="A941" s="3">
        <v>937</v>
      </c>
      <c r="B941" s="19" t="s">
        <v>3483</v>
      </c>
      <c r="C941" s="4" t="s">
        <v>3484</v>
      </c>
      <c r="D941" s="4" t="s">
        <v>1616</v>
      </c>
      <c r="E941" s="4"/>
      <c r="F941" s="8"/>
      <c r="G941" s="8"/>
      <c r="H941" s="8"/>
      <c r="I941" s="8"/>
      <c r="J941" s="8"/>
      <c r="K941" s="8">
        <v>80</v>
      </c>
      <c r="L941" s="18">
        <v>8493.66</v>
      </c>
      <c r="M941" s="7">
        <f t="shared" si="14"/>
        <v>679492.8</v>
      </c>
      <c r="N941" s="4"/>
      <c r="O941" s="9"/>
    </row>
    <row r="942" spans="1:15" ht="20" x14ac:dyDescent="0.2">
      <c r="A942" s="3">
        <v>938</v>
      </c>
      <c r="B942" s="19" t="s">
        <v>3485</v>
      </c>
      <c r="C942" s="4" t="s">
        <v>3486</v>
      </c>
      <c r="D942" s="4" t="s">
        <v>1616</v>
      </c>
      <c r="E942" s="4"/>
      <c r="F942" s="8"/>
      <c r="G942" s="8"/>
      <c r="H942" s="8"/>
      <c r="I942" s="8"/>
      <c r="J942" s="8"/>
      <c r="K942" s="8">
        <v>300</v>
      </c>
      <c r="L942" s="18">
        <v>2270</v>
      </c>
      <c r="M942" s="7">
        <f t="shared" si="14"/>
        <v>681000</v>
      </c>
      <c r="N942" s="4"/>
      <c r="O942" s="9"/>
    </row>
    <row r="943" spans="1:15" ht="20" x14ac:dyDescent="0.2">
      <c r="A943" s="3">
        <v>939</v>
      </c>
      <c r="B943" s="19" t="s">
        <v>3487</v>
      </c>
      <c r="C943" s="4" t="s">
        <v>3488</v>
      </c>
      <c r="D943" s="4" t="s">
        <v>1616</v>
      </c>
      <c r="E943" s="4"/>
      <c r="F943" s="8"/>
      <c r="G943" s="8"/>
      <c r="H943" s="8"/>
      <c r="I943" s="8"/>
      <c r="J943" s="8"/>
      <c r="K943" s="8">
        <v>1400</v>
      </c>
      <c r="L943" s="18">
        <v>488.99</v>
      </c>
      <c r="M943" s="7">
        <f t="shared" si="14"/>
        <v>684586</v>
      </c>
      <c r="N943" s="4"/>
      <c r="O943" s="9"/>
    </row>
    <row r="944" spans="1:15" ht="20" x14ac:dyDescent="0.2">
      <c r="A944" s="3">
        <v>940</v>
      </c>
      <c r="B944" s="19" t="s">
        <v>3489</v>
      </c>
      <c r="C944" s="4" t="s">
        <v>3490</v>
      </c>
      <c r="D944" s="4" t="s">
        <v>1616</v>
      </c>
      <c r="E944" s="4"/>
      <c r="F944" s="8"/>
      <c r="G944" s="8"/>
      <c r="H944" s="8"/>
      <c r="I944" s="8"/>
      <c r="J944" s="8"/>
      <c r="K944" s="8">
        <v>8000</v>
      </c>
      <c r="L944" s="18">
        <v>89.88</v>
      </c>
      <c r="M944" s="7">
        <f t="shared" si="14"/>
        <v>719040</v>
      </c>
      <c r="N944" s="4"/>
      <c r="O944" s="9"/>
    </row>
    <row r="945" spans="1:15" ht="20" x14ac:dyDescent="0.2">
      <c r="A945" s="3">
        <v>941</v>
      </c>
      <c r="B945" s="19" t="s">
        <v>3491</v>
      </c>
      <c r="C945" s="4" t="s">
        <v>3492</v>
      </c>
      <c r="D945" s="4" t="s">
        <v>1616</v>
      </c>
      <c r="E945" s="4"/>
      <c r="F945" s="8"/>
      <c r="G945" s="8"/>
      <c r="H945" s="8"/>
      <c r="I945" s="8"/>
      <c r="J945" s="8"/>
      <c r="K945" s="8">
        <v>1000</v>
      </c>
      <c r="L945" s="18">
        <v>755.42</v>
      </c>
      <c r="M945" s="7">
        <f t="shared" si="14"/>
        <v>755420</v>
      </c>
      <c r="N945" s="4"/>
      <c r="O945" s="9"/>
    </row>
    <row r="946" spans="1:15" ht="20" x14ac:dyDescent="0.2">
      <c r="A946" s="3">
        <v>942</v>
      </c>
      <c r="B946" s="19" t="s">
        <v>3493</v>
      </c>
      <c r="C946" s="4" t="s">
        <v>3494</v>
      </c>
      <c r="D946" s="4" t="s">
        <v>1616</v>
      </c>
      <c r="E946" s="4"/>
      <c r="F946" s="8"/>
      <c r="G946" s="8"/>
      <c r="H946" s="8"/>
      <c r="I946" s="8"/>
      <c r="J946" s="8"/>
      <c r="K946" s="8">
        <v>4400</v>
      </c>
      <c r="L946" s="18">
        <v>174.41</v>
      </c>
      <c r="M946" s="7">
        <f t="shared" si="14"/>
        <v>767404</v>
      </c>
      <c r="N946" s="4"/>
      <c r="O946" s="9"/>
    </row>
    <row r="947" spans="1:15" ht="20" x14ac:dyDescent="0.2">
      <c r="A947" s="3">
        <v>943</v>
      </c>
      <c r="B947" s="19" t="s">
        <v>3495</v>
      </c>
      <c r="C947" s="4" t="s">
        <v>3496</v>
      </c>
      <c r="D947" s="4" t="s">
        <v>1616</v>
      </c>
      <c r="E947" s="4"/>
      <c r="F947" s="8"/>
      <c r="G947" s="8"/>
      <c r="H947" s="8"/>
      <c r="I947" s="8"/>
      <c r="J947" s="8"/>
      <c r="K947" s="8">
        <v>1600</v>
      </c>
      <c r="L947" s="18">
        <v>498.62</v>
      </c>
      <c r="M947" s="7">
        <f t="shared" si="14"/>
        <v>797792</v>
      </c>
      <c r="N947" s="4"/>
      <c r="O947" s="9"/>
    </row>
    <row r="948" spans="1:15" ht="20" x14ac:dyDescent="0.2">
      <c r="A948" s="3">
        <v>944</v>
      </c>
      <c r="B948" s="19" t="s">
        <v>3497</v>
      </c>
      <c r="C948" s="4" t="s">
        <v>3498</v>
      </c>
      <c r="D948" s="4" t="s">
        <v>1616</v>
      </c>
      <c r="E948" s="4"/>
      <c r="F948" s="8"/>
      <c r="G948" s="8"/>
      <c r="H948" s="8"/>
      <c r="I948" s="8"/>
      <c r="J948" s="8"/>
      <c r="K948" s="8">
        <v>3020</v>
      </c>
      <c r="L948" s="18">
        <v>268.57</v>
      </c>
      <c r="M948" s="7">
        <f t="shared" si="14"/>
        <v>811081.4</v>
      </c>
      <c r="N948" s="4"/>
      <c r="O948" s="9"/>
    </row>
    <row r="949" spans="1:15" ht="20" x14ac:dyDescent="0.2">
      <c r="A949" s="3">
        <v>945</v>
      </c>
      <c r="B949" s="19" t="s">
        <v>3499</v>
      </c>
      <c r="C949" s="4" t="s">
        <v>3500</v>
      </c>
      <c r="D949" s="4" t="s">
        <v>1616</v>
      </c>
      <c r="E949" s="4"/>
      <c r="F949" s="8"/>
      <c r="G949" s="8"/>
      <c r="H949" s="8"/>
      <c r="I949" s="8"/>
      <c r="J949" s="8"/>
      <c r="K949" s="8">
        <v>54</v>
      </c>
      <c r="L949" s="18">
        <v>15035</v>
      </c>
      <c r="M949" s="7">
        <f t="shared" si="14"/>
        <v>811890</v>
      </c>
      <c r="N949" s="4"/>
      <c r="O949" s="9"/>
    </row>
    <row r="950" spans="1:15" ht="20" x14ac:dyDescent="0.2">
      <c r="A950" s="3">
        <v>946</v>
      </c>
      <c r="B950" s="19" t="s">
        <v>3501</v>
      </c>
      <c r="C950" s="4" t="s">
        <v>3502</v>
      </c>
      <c r="D950" s="4" t="s">
        <v>1616</v>
      </c>
      <c r="E950" s="4"/>
      <c r="F950" s="8"/>
      <c r="G950" s="8"/>
      <c r="H950" s="8"/>
      <c r="I950" s="8"/>
      <c r="J950" s="8"/>
      <c r="K950" s="8">
        <v>20</v>
      </c>
      <c r="L950" s="18">
        <v>40907.17</v>
      </c>
      <c r="M950" s="7">
        <f t="shared" si="14"/>
        <v>818143.39999999991</v>
      </c>
      <c r="N950" s="4"/>
      <c r="O950" s="9"/>
    </row>
    <row r="951" spans="1:15" ht="20" x14ac:dyDescent="0.2">
      <c r="A951" s="3">
        <v>947</v>
      </c>
      <c r="B951" s="19" t="s">
        <v>3503</v>
      </c>
      <c r="C951" s="4" t="s">
        <v>3504</v>
      </c>
      <c r="D951" s="4" t="s">
        <v>1616</v>
      </c>
      <c r="E951" s="4"/>
      <c r="F951" s="8"/>
      <c r="G951" s="8"/>
      <c r="H951" s="8"/>
      <c r="I951" s="8"/>
      <c r="J951" s="8"/>
      <c r="K951" s="8">
        <v>300</v>
      </c>
      <c r="L951" s="18">
        <v>2744.55</v>
      </c>
      <c r="M951" s="7">
        <f t="shared" si="14"/>
        <v>823365</v>
      </c>
      <c r="N951" s="4"/>
      <c r="O951" s="9"/>
    </row>
    <row r="952" spans="1:15" ht="20" x14ac:dyDescent="0.2">
      <c r="A952" s="3">
        <v>948</v>
      </c>
      <c r="B952" s="19" t="s">
        <v>3505</v>
      </c>
      <c r="C952" s="4" t="s">
        <v>3506</v>
      </c>
      <c r="D952" s="4" t="s">
        <v>1616</v>
      </c>
      <c r="E952" s="4"/>
      <c r="F952" s="8"/>
      <c r="G952" s="8"/>
      <c r="H952" s="8"/>
      <c r="I952" s="8"/>
      <c r="J952" s="8"/>
      <c r="K952" s="8">
        <v>17</v>
      </c>
      <c r="L952" s="18">
        <v>48655.040000000001</v>
      </c>
      <c r="M952" s="7">
        <f t="shared" si="14"/>
        <v>827135.68</v>
      </c>
      <c r="N952" s="4"/>
      <c r="O952" s="9"/>
    </row>
    <row r="953" spans="1:15" ht="20" x14ac:dyDescent="0.2">
      <c r="A953" s="3">
        <v>949</v>
      </c>
      <c r="B953" s="19" t="s">
        <v>3507</v>
      </c>
      <c r="C953" s="4" t="s">
        <v>3508</v>
      </c>
      <c r="D953" s="4" t="s">
        <v>1616</v>
      </c>
      <c r="E953" s="4"/>
      <c r="F953" s="8"/>
      <c r="G953" s="8"/>
      <c r="H953" s="8"/>
      <c r="I953" s="8"/>
      <c r="J953" s="8"/>
      <c r="K953" s="8">
        <v>600</v>
      </c>
      <c r="L953" s="18">
        <v>1402.77</v>
      </c>
      <c r="M953" s="7">
        <f t="shared" si="14"/>
        <v>841662</v>
      </c>
      <c r="N953" s="4"/>
      <c r="O953" s="9"/>
    </row>
    <row r="954" spans="1:15" ht="20" x14ac:dyDescent="0.2">
      <c r="A954" s="3">
        <v>950</v>
      </c>
      <c r="B954" s="19" t="s">
        <v>3509</v>
      </c>
      <c r="C954" s="4" t="s">
        <v>3510</v>
      </c>
      <c r="D954" s="4" t="s">
        <v>1616</v>
      </c>
      <c r="E954" s="4"/>
      <c r="F954" s="8"/>
      <c r="G954" s="8"/>
      <c r="H954" s="8"/>
      <c r="I954" s="8"/>
      <c r="J954" s="8"/>
      <c r="K954" s="8">
        <v>2000</v>
      </c>
      <c r="L954" s="18">
        <v>426.93</v>
      </c>
      <c r="M954" s="7">
        <f t="shared" si="14"/>
        <v>853860</v>
      </c>
      <c r="N954" s="4"/>
      <c r="O954" s="9"/>
    </row>
    <row r="955" spans="1:15" ht="20" x14ac:dyDescent="0.2">
      <c r="A955" s="3">
        <v>951</v>
      </c>
      <c r="B955" s="19" t="s">
        <v>3511</v>
      </c>
      <c r="C955" s="4" t="s">
        <v>3512</v>
      </c>
      <c r="D955" s="4" t="s">
        <v>1616</v>
      </c>
      <c r="E955" s="4"/>
      <c r="F955" s="8"/>
      <c r="G955" s="8"/>
      <c r="H955" s="8"/>
      <c r="I955" s="8"/>
      <c r="J955" s="8"/>
      <c r="K955" s="8">
        <v>11400</v>
      </c>
      <c r="L955" s="18">
        <v>74.900000000000006</v>
      </c>
      <c r="M955" s="7">
        <f t="shared" si="14"/>
        <v>853860.00000000012</v>
      </c>
      <c r="N955" s="4"/>
      <c r="O955" s="9"/>
    </row>
    <row r="956" spans="1:15" ht="20" x14ac:dyDescent="0.2">
      <c r="A956" s="3">
        <v>952</v>
      </c>
      <c r="B956" s="19" t="s">
        <v>3513</v>
      </c>
      <c r="C956" s="4" t="s">
        <v>3514</v>
      </c>
      <c r="D956" s="4" t="s">
        <v>1616</v>
      </c>
      <c r="E956" s="4"/>
      <c r="F956" s="8"/>
      <c r="G956" s="8"/>
      <c r="H956" s="8"/>
      <c r="I956" s="8"/>
      <c r="J956" s="8"/>
      <c r="K956" s="8">
        <v>2850</v>
      </c>
      <c r="L956" s="18">
        <v>300</v>
      </c>
      <c r="M956" s="7">
        <f t="shared" si="14"/>
        <v>855000</v>
      </c>
      <c r="N956" s="4"/>
      <c r="O956" s="9"/>
    </row>
    <row r="957" spans="1:15" ht="20" x14ac:dyDescent="0.2">
      <c r="A957" s="3">
        <v>953</v>
      </c>
      <c r="B957" s="19" t="s">
        <v>3515</v>
      </c>
      <c r="C957" s="4" t="s">
        <v>3516</v>
      </c>
      <c r="D957" s="4" t="s">
        <v>1616</v>
      </c>
      <c r="E957" s="4"/>
      <c r="F957" s="8"/>
      <c r="G957" s="8"/>
      <c r="H957" s="8"/>
      <c r="I957" s="8"/>
      <c r="J957" s="8"/>
      <c r="K957" s="8">
        <v>70</v>
      </c>
      <c r="L957" s="18">
        <v>12591.76</v>
      </c>
      <c r="M957" s="7">
        <f t="shared" si="14"/>
        <v>881423.20000000007</v>
      </c>
      <c r="N957" s="4"/>
      <c r="O957" s="9"/>
    </row>
    <row r="958" spans="1:15" ht="40" x14ac:dyDescent="0.2">
      <c r="A958" s="3">
        <v>954</v>
      </c>
      <c r="B958" s="19" t="s">
        <v>3517</v>
      </c>
      <c r="C958" s="4" t="s">
        <v>3518</v>
      </c>
      <c r="D958" s="4" t="s">
        <v>1616</v>
      </c>
      <c r="E958" s="4"/>
      <c r="F958" s="8"/>
      <c r="G958" s="8"/>
      <c r="H958" s="8"/>
      <c r="I958" s="8"/>
      <c r="J958" s="8"/>
      <c r="K958" s="8">
        <v>2000</v>
      </c>
      <c r="L958" s="18">
        <v>442.98</v>
      </c>
      <c r="M958" s="7">
        <f t="shared" si="14"/>
        <v>885960</v>
      </c>
      <c r="N958" s="4"/>
      <c r="O958" s="9"/>
    </row>
    <row r="959" spans="1:15" ht="20" x14ac:dyDescent="0.2">
      <c r="A959" s="3">
        <v>955</v>
      </c>
      <c r="B959" s="19" t="s">
        <v>3519</v>
      </c>
      <c r="C959" s="4" t="s">
        <v>3520</v>
      </c>
      <c r="D959" s="4" t="s">
        <v>1616</v>
      </c>
      <c r="E959" s="4"/>
      <c r="F959" s="8"/>
      <c r="G959" s="8"/>
      <c r="H959" s="8"/>
      <c r="I959" s="8"/>
      <c r="J959" s="8"/>
      <c r="K959" s="8">
        <v>800</v>
      </c>
      <c r="L959" s="18">
        <v>1119.22</v>
      </c>
      <c r="M959" s="7">
        <f t="shared" si="14"/>
        <v>895376</v>
      </c>
      <c r="N959" s="4"/>
      <c r="O959" s="9"/>
    </row>
    <row r="960" spans="1:15" ht="20" x14ac:dyDescent="0.2">
      <c r="A960" s="3">
        <v>956</v>
      </c>
      <c r="B960" s="19" t="s">
        <v>3521</v>
      </c>
      <c r="C960" s="4" t="s">
        <v>3522</v>
      </c>
      <c r="D960" s="4" t="s">
        <v>1616</v>
      </c>
      <c r="E960" s="4"/>
      <c r="F960" s="8"/>
      <c r="G960" s="8"/>
      <c r="H960" s="8"/>
      <c r="I960" s="8"/>
      <c r="J960" s="8"/>
      <c r="K960" s="8">
        <v>200</v>
      </c>
      <c r="L960" s="18">
        <v>4494</v>
      </c>
      <c r="M960" s="7">
        <f t="shared" si="14"/>
        <v>898800</v>
      </c>
      <c r="N960" s="4"/>
      <c r="O960" s="9"/>
    </row>
    <row r="961" spans="1:15" ht="20" x14ac:dyDescent="0.2">
      <c r="A961" s="3">
        <v>957</v>
      </c>
      <c r="B961" s="19" t="s">
        <v>3523</v>
      </c>
      <c r="C961" s="4" t="s">
        <v>3524</v>
      </c>
      <c r="D961" s="4" t="s">
        <v>1616</v>
      </c>
      <c r="E961" s="4"/>
      <c r="F961" s="8"/>
      <c r="G961" s="8"/>
      <c r="H961" s="8"/>
      <c r="I961" s="8"/>
      <c r="J961" s="8"/>
      <c r="K961" s="8">
        <v>250</v>
      </c>
      <c r="L961" s="18">
        <v>3638</v>
      </c>
      <c r="M961" s="7">
        <f t="shared" si="14"/>
        <v>909500</v>
      </c>
      <c r="N961" s="4"/>
      <c r="O961" s="9"/>
    </row>
    <row r="962" spans="1:15" ht="20" x14ac:dyDescent="0.2">
      <c r="A962" s="3">
        <v>958</v>
      </c>
      <c r="B962" s="19" t="s">
        <v>3525</v>
      </c>
      <c r="C962" s="4" t="s">
        <v>3526</v>
      </c>
      <c r="D962" s="4" t="s">
        <v>1616</v>
      </c>
      <c r="E962" s="4"/>
      <c r="F962" s="8"/>
      <c r="G962" s="8"/>
      <c r="H962" s="8"/>
      <c r="I962" s="8"/>
      <c r="J962" s="8"/>
      <c r="K962" s="8">
        <v>11000</v>
      </c>
      <c r="L962" s="18">
        <v>84</v>
      </c>
      <c r="M962" s="7">
        <f t="shared" si="14"/>
        <v>924000</v>
      </c>
      <c r="N962" s="4"/>
      <c r="O962" s="9"/>
    </row>
    <row r="963" spans="1:15" ht="20" x14ac:dyDescent="0.2">
      <c r="A963" s="3">
        <v>959</v>
      </c>
      <c r="B963" s="19" t="s">
        <v>3527</v>
      </c>
      <c r="C963" s="4" t="s">
        <v>3528</v>
      </c>
      <c r="D963" s="4" t="s">
        <v>1616</v>
      </c>
      <c r="E963" s="4"/>
      <c r="F963" s="8"/>
      <c r="G963" s="8"/>
      <c r="H963" s="8"/>
      <c r="I963" s="8"/>
      <c r="J963" s="8"/>
      <c r="K963" s="8">
        <v>60</v>
      </c>
      <c r="L963" s="18">
        <v>15515</v>
      </c>
      <c r="M963" s="7">
        <f t="shared" si="14"/>
        <v>930900</v>
      </c>
      <c r="N963" s="4"/>
      <c r="O963" s="9"/>
    </row>
    <row r="964" spans="1:15" ht="20" x14ac:dyDescent="0.2">
      <c r="A964" s="3">
        <v>960</v>
      </c>
      <c r="B964" s="19" t="s">
        <v>3529</v>
      </c>
      <c r="C964" s="4" t="s">
        <v>3530</v>
      </c>
      <c r="D964" s="4" t="s">
        <v>1616</v>
      </c>
      <c r="E964" s="4"/>
      <c r="F964" s="8"/>
      <c r="G964" s="8"/>
      <c r="H964" s="8"/>
      <c r="I964" s="8"/>
      <c r="J964" s="8"/>
      <c r="K964" s="8">
        <v>150</v>
      </c>
      <c r="L964" s="18">
        <v>6241.31</v>
      </c>
      <c r="M964" s="7">
        <f t="shared" si="14"/>
        <v>936196.50000000012</v>
      </c>
      <c r="N964" s="4"/>
      <c r="O964" s="9"/>
    </row>
    <row r="965" spans="1:15" ht="20" x14ac:dyDescent="0.2">
      <c r="A965" s="3">
        <v>961</v>
      </c>
      <c r="B965" s="19" t="s">
        <v>3531</v>
      </c>
      <c r="C965" s="4" t="s">
        <v>3532</v>
      </c>
      <c r="D965" s="4" t="s">
        <v>1616</v>
      </c>
      <c r="E965" s="4"/>
      <c r="F965" s="8"/>
      <c r="G965" s="8"/>
      <c r="H965" s="8"/>
      <c r="I965" s="8"/>
      <c r="J965" s="8"/>
      <c r="K965" s="8">
        <v>24</v>
      </c>
      <c r="L965" s="18">
        <v>39590</v>
      </c>
      <c r="M965" s="7">
        <f t="shared" ref="M965:M1028" si="15">IF(OR(K965="",L965=""),"",K965*L965)</f>
        <v>950160</v>
      </c>
      <c r="N965" s="4"/>
      <c r="O965" s="9"/>
    </row>
    <row r="966" spans="1:15" ht="20" x14ac:dyDescent="0.2">
      <c r="A966" s="3">
        <v>962</v>
      </c>
      <c r="B966" s="19" t="s">
        <v>3533</v>
      </c>
      <c r="C966" s="4" t="s">
        <v>3534</v>
      </c>
      <c r="D966" s="4" t="s">
        <v>1616</v>
      </c>
      <c r="E966" s="4"/>
      <c r="F966" s="8"/>
      <c r="G966" s="8"/>
      <c r="H966" s="8"/>
      <c r="I966" s="8"/>
      <c r="J966" s="8"/>
      <c r="K966" s="8">
        <v>100</v>
      </c>
      <c r="L966" s="18">
        <v>9630</v>
      </c>
      <c r="M966" s="7">
        <f t="shared" si="15"/>
        <v>963000</v>
      </c>
      <c r="N966" s="4"/>
      <c r="O966" s="9"/>
    </row>
    <row r="967" spans="1:15" ht="40" x14ac:dyDescent="0.2">
      <c r="A967" s="3">
        <v>963</v>
      </c>
      <c r="B967" s="19" t="s">
        <v>3535</v>
      </c>
      <c r="C967" s="4" t="s">
        <v>3536</v>
      </c>
      <c r="D967" s="4" t="s">
        <v>1616</v>
      </c>
      <c r="E967" s="4"/>
      <c r="F967" s="8"/>
      <c r="G967" s="8"/>
      <c r="H967" s="8"/>
      <c r="I967" s="8"/>
      <c r="J967" s="8"/>
      <c r="K967" s="8">
        <v>3900</v>
      </c>
      <c r="L967" s="18">
        <v>250.38</v>
      </c>
      <c r="M967" s="7">
        <f t="shared" si="15"/>
        <v>976482</v>
      </c>
      <c r="N967" s="4"/>
      <c r="O967" s="9"/>
    </row>
    <row r="968" spans="1:15" ht="40" x14ac:dyDescent="0.2">
      <c r="A968" s="3">
        <v>964</v>
      </c>
      <c r="B968" s="19" t="s">
        <v>3537</v>
      </c>
      <c r="C968" s="4" t="s">
        <v>3538</v>
      </c>
      <c r="D968" s="4" t="s">
        <v>1616</v>
      </c>
      <c r="E968" s="4"/>
      <c r="F968" s="8"/>
      <c r="G968" s="8"/>
      <c r="H968" s="8"/>
      <c r="I968" s="8"/>
      <c r="J968" s="8"/>
      <c r="K968" s="8">
        <v>300</v>
      </c>
      <c r="L968" s="18">
        <v>3284.9</v>
      </c>
      <c r="M968" s="7">
        <f t="shared" si="15"/>
        <v>985470</v>
      </c>
      <c r="N968" s="4"/>
      <c r="O968" s="9"/>
    </row>
    <row r="969" spans="1:15" ht="20" x14ac:dyDescent="0.2">
      <c r="A969" s="3">
        <v>965</v>
      </c>
      <c r="B969" s="19" t="s">
        <v>3539</v>
      </c>
      <c r="C969" s="4" t="s">
        <v>3540</v>
      </c>
      <c r="D969" s="4" t="s">
        <v>1616</v>
      </c>
      <c r="E969" s="4"/>
      <c r="F969" s="8"/>
      <c r="G969" s="8"/>
      <c r="H969" s="8"/>
      <c r="I969" s="8"/>
      <c r="J969" s="8"/>
      <c r="K969" s="8">
        <v>102</v>
      </c>
      <c r="L969" s="18">
        <v>9699.5499999999993</v>
      </c>
      <c r="M969" s="7">
        <f t="shared" si="15"/>
        <v>989354.1</v>
      </c>
      <c r="N969" s="4"/>
      <c r="O969" s="9"/>
    </row>
    <row r="970" spans="1:15" ht="20" x14ac:dyDescent="0.2">
      <c r="A970" s="3">
        <v>966</v>
      </c>
      <c r="B970" s="19" t="s">
        <v>3541</v>
      </c>
      <c r="C970" s="4" t="s">
        <v>3542</v>
      </c>
      <c r="D970" s="4" t="s">
        <v>1616</v>
      </c>
      <c r="E970" s="4"/>
      <c r="F970" s="8"/>
      <c r="G970" s="8"/>
      <c r="H970" s="8"/>
      <c r="I970" s="8"/>
      <c r="J970" s="8"/>
      <c r="K970" s="8">
        <v>3400</v>
      </c>
      <c r="L970" s="18">
        <v>291.04000000000002</v>
      </c>
      <c r="M970" s="7">
        <f t="shared" si="15"/>
        <v>989536.00000000012</v>
      </c>
      <c r="N970" s="4"/>
      <c r="O970" s="9"/>
    </row>
    <row r="971" spans="1:15" ht="20" x14ac:dyDescent="0.2">
      <c r="A971" s="3">
        <v>967</v>
      </c>
      <c r="B971" s="19" t="s">
        <v>3543</v>
      </c>
      <c r="C971" s="4" t="s">
        <v>3544</v>
      </c>
      <c r="D971" s="4" t="s">
        <v>1616</v>
      </c>
      <c r="E971" s="4"/>
      <c r="F971" s="8"/>
      <c r="G971" s="8"/>
      <c r="H971" s="8"/>
      <c r="I971" s="8"/>
      <c r="J971" s="8"/>
      <c r="K971" s="8">
        <v>2000</v>
      </c>
      <c r="L971" s="18">
        <v>502.9</v>
      </c>
      <c r="M971" s="7">
        <f t="shared" si="15"/>
        <v>1005800</v>
      </c>
      <c r="N971" s="4"/>
      <c r="O971" s="9"/>
    </row>
    <row r="972" spans="1:15" ht="20" x14ac:dyDescent="0.2">
      <c r="A972" s="3">
        <v>968</v>
      </c>
      <c r="B972" s="19" t="s">
        <v>3545</v>
      </c>
      <c r="C972" s="4" t="s">
        <v>3546</v>
      </c>
      <c r="D972" s="4" t="s">
        <v>1616</v>
      </c>
      <c r="E972" s="4"/>
      <c r="F972" s="8"/>
      <c r="G972" s="8"/>
      <c r="H972" s="8"/>
      <c r="I972" s="8"/>
      <c r="J972" s="8"/>
      <c r="K972" s="8">
        <v>460</v>
      </c>
      <c r="L972" s="18">
        <v>2247</v>
      </c>
      <c r="M972" s="7">
        <f t="shared" si="15"/>
        <v>1033620</v>
      </c>
      <c r="N972" s="4"/>
      <c r="O972" s="9"/>
    </row>
    <row r="973" spans="1:15" ht="20" x14ac:dyDescent="0.2">
      <c r="A973" s="3">
        <v>969</v>
      </c>
      <c r="B973" s="19" t="s">
        <v>3547</v>
      </c>
      <c r="C973" s="4" t="s">
        <v>3548</v>
      </c>
      <c r="D973" s="4" t="s">
        <v>1616</v>
      </c>
      <c r="E973" s="4"/>
      <c r="F973" s="8"/>
      <c r="G973" s="8"/>
      <c r="H973" s="8"/>
      <c r="I973" s="8"/>
      <c r="J973" s="8"/>
      <c r="K973" s="8">
        <v>200</v>
      </c>
      <c r="L973" s="18">
        <v>5243</v>
      </c>
      <c r="M973" s="7">
        <f t="shared" si="15"/>
        <v>1048600</v>
      </c>
      <c r="N973" s="4"/>
      <c r="O973" s="9"/>
    </row>
    <row r="974" spans="1:15" ht="20" x14ac:dyDescent="0.2">
      <c r="A974" s="3">
        <v>970</v>
      </c>
      <c r="B974" s="19" t="s">
        <v>3549</v>
      </c>
      <c r="C974" s="4" t="s">
        <v>3550</v>
      </c>
      <c r="D974" s="4" t="s">
        <v>1616</v>
      </c>
      <c r="E974" s="4"/>
      <c r="F974" s="8"/>
      <c r="G974" s="8"/>
      <c r="H974" s="8"/>
      <c r="I974" s="8"/>
      <c r="J974" s="8"/>
      <c r="K974" s="8">
        <v>70</v>
      </c>
      <c r="L974" s="18">
        <v>15000</v>
      </c>
      <c r="M974" s="7">
        <f t="shared" si="15"/>
        <v>1050000</v>
      </c>
      <c r="N974" s="4"/>
      <c r="O974" s="9"/>
    </row>
    <row r="975" spans="1:15" ht="20" x14ac:dyDescent="0.2">
      <c r="A975" s="3">
        <v>971</v>
      </c>
      <c r="B975" s="19" t="s">
        <v>3551</v>
      </c>
      <c r="C975" s="4" t="s">
        <v>3552</v>
      </c>
      <c r="D975" s="4" t="s">
        <v>1616</v>
      </c>
      <c r="E975" s="4"/>
      <c r="F975" s="8"/>
      <c r="G975" s="8"/>
      <c r="H975" s="8"/>
      <c r="I975" s="8"/>
      <c r="J975" s="8"/>
      <c r="K975" s="8">
        <v>3300</v>
      </c>
      <c r="L975" s="18">
        <v>321</v>
      </c>
      <c r="M975" s="7">
        <f t="shared" si="15"/>
        <v>1059300</v>
      </c>
      <c r="N975" s="4"/>
      <c r="O975" s="9"/>
    </row>
    <row r="976" spans="1:15" ht="20" x14ac:dyDescent="0.2">
      <c r="A976" s="3">
        <v>972</v>
      </c>
      <c r="B976" s="19" t="s">
        <v>3553</v>
      </c>
      <c r="C976" s="4" t="s">
        <v>3554</v>
      </c>
      <c r="D976" s="4" t="s">
        <v>1616</v>
      </c>
      <c r="E976" s="4"/>
      <c r="F976" s="8"/>
      <c r="G976" s="8"/>
      <c r="H976" s="8"/>
      <c r="I976" s="8"/>
      <c r="J976" s="8"/>
      <c r="K976" s="8">
        <v>400</v>
      </c>
      <c r="L976" s="18">
        <v>2666.44</v>
      </c>
      <c r="M976" s="7">
        <f t="shared" si="15"/>
        <v>1066576</v>
      </c>
      <c r="N976" s="4"/>
      <c r="O976" s="9"/>
    </row>
    <row r="977" spans="1:15" ht="20" x14ac:dyDescent="0.2">
      <c r="A977" s="3">
        <v>973</v>
      </c>
      <c r="B977" s="19" t="s">
        <v>3555</v>
      </c>
      <c r="C977" s="4" t="s">
        <v>3556</v>
      </c>
      <c r="D977" s="4" t="s">
        <v>1616</v>
      </c>
      <c r="E977" s="4"/>
      <c r="F977" s="8"/>
      <c r="G977" s="8"/>
      <c r="H977" s="8"/>
      <c r="I977" s="8"/>
      <c r="J977" s="8"/>
      <c r="K977" s="8">
        <v>2000</v>
      </c>
      <c r="L977" s="18">
        <v>535</v>
      </c>
      <c r="M977" s="7">
        <f t="shared" si="15"/>
        <v>1070000</v>
      </c>
      <c r="N977" s="4"/>
      <c r="O977" s="9"/>
    </row>
    <row r="978" spans="1:15" ht="20" x14ac:dyDescent="0.2">
      <c r="A978" s="3">
        <v>974</v>
      </c>
      <c r="B978" s="19" t="s">
        <v>3557</v>
      </c>
      <c r="C978" s="4" t="s">
        <v>3558</v>
      </c>
      <c r="D978" s="4" t="s">
        <v>1616</v>
      </c>
      <c r="E978" s="4"/>
      <c r="F978" s="8"/>
      <c r="G978" s="8"/>
      <c r="H978" s="8"/>
      <c r="I978" s="8"/>
      <c r="J978" s="8"/>
      <c r="K978" s="8">
        <v>35</v>
      </c>
      <c r="L978" s="18">
        <v>30814.93</v>
      </c>
      <c r="M978" s="7">
        <f t="shared" si="15"/>
        <v>1078522.55</v>
      </c>
      <c r="N978" s="4"/>
      <c r="O978" s="9"/>
    </row>
    <row r="979" spans="1:15" ht="20" x14ac:dyDescent="0.2">
      <c r="A979" s="3">
        <v>975</v>
      </c>
      <c r="B979" s="19" t="s">
        <v>3559</v>
      </c>
      <c r="C979" s="4" t="s">
        <v>3560</v>
      </c>
      <c r="D979" s="4" t="s">
        <v>1616</v>
      </c>
      <c r="E979" s="4"/>
      <c r="F979" s="8"/>
      <c r="G979" s="8"/>
      <c r="H979" s="8"/>
      <c r="I979" s="8"/>
      <c r="J979" s="8"/>
      <c r="K979" s="8">
        <v>20</v>
      </c>
      <c r="L979" s="18">
        <v>54024.3</v>
      </c>
      <c r="M979" s="7">
        <f t="shared" si="15"/>
        <v>1080486</v>
      </c>
      <c r="N979" s="4"/>
      <c r="O979" s="9"/>
    </row>
    <row r="980" spans="1:15" ht="20" x14ac:dyDescent="0.2">
      <c r="A980" s="3">
        <v>976</v>
      </c>
      <c r="B980" s="19" t="s">
        <v>3561</v>
      </c>
      <c r="C980" s="4" t="s">
        <v>3562</v>
      </c>
      <c r="D980" s="4" t="s">
        <v>1616</v>
      </c>
      <c r="E980" s="4"/>
      <c r="F980" s="8"/>
      <c r="G980" s="8"/>
      <c r="H980" s="8"/>
      <c r="I980" s="8"/>
      <c r="J980" s="8"/>
      <c r="K980" s="8">
        <v>40</v>
      </c>
      <c r="L980" s="18">
        <v>27106.67</v>
      </c>
      <c r="M980" s="7">
        <f t="shared" si="15"/>
        <v>1084266.7999999998</v>
      </c>
      <c r="N980" s="4"/>
      <c r="O980" s="9"/>
    </row>
    <row r="981" spans="1:15" ht="20" x14ac:dyDescent="0.2">
      <c r="A981" s="3">
        <v>977</v>
      </c>
      <c r="B981" s="19" t="s">
        <v>3563</v>
      </c>
      <c r="C981" s="4" t="s">
        <v>3564</v>
      </c>
      <c r="D981" s="4" t="s">
        <v>1616</v>
      </c>
      <c r="E981" s="4"/>
      <c r="F981" s="8"/>
      <c r="G981" s="8"/>
      <c r="H981" s="8"/>
      <c r="I981" s="8"/>
      <c r="J981" s="8"/>
      <c r="K981" s="8">
        <v>1100</v>
      </c>
      <c r="L981" s="18">
        <v>989.75</v>
      </c>
      <c r="M981" s="7">
        <f t="shared" si="15"/>
        <v>1088725</v>
      </c>
      <c r="N981" s="4"/>
      <c r="O981" s="9"/>
    </row>
    <row r="982" spans="1:15" ht="40" x14ac:dyDescent="0.2">
      <c r="A982" s="3">
        <v>978</v>
      </c>
      <c r="B982" s="19" t="s">
        <v>3565</v>
      </c>
      <c r="C982" s="4" t="s">
        <v>3566</v>
      </c>
      <c r="D982" s="4" t="s">
        <v>1616</v>
      </c>
      <c r="E982" s="4"/>
      <c r="F982" s="8"/>
      <c r="G982" s="8"/>
      <c r="H982" s="8"/>
      <c r="I982" s="8"/>
      <c r="J982" s="8"/>
      <c r="K982" s="8">
        <v>170</v>
      </c>
      <c r="L982" s="18">
        <v>6420</v>
      </c>
      <c r="M982" s="7">
        <f t="shared" si="15"/>
        <v>1091400</v>
      </c>
      <c r="N982" s="4"/>
      <c r="O982" s="9"/>
    </row>
    <row r="983" spans="1:15" ht="20" x14ac:dyDescent="0.2">
      <c r="A983" s="3">
        <v>979</v>
      </c>
      <c r="B983" s="19" t="s">
        <v>3567</v>
      </c>
      <c r="C983" s="4" t="s">
        <v>3568</v>
      </c>
      <c r="D983" s="4" t="s">
        <v>1616</v>
      </c>
      <c r="E983" s="4"/>
      <c r="F983" s="8"/>
      <c r="G983" s="8"/>
      <c r="H983" s="8"/>
      <c r="I983" s="8"/>
      <c r="J983" s="8"/>
      <c r="K983" s="8">
        <v>1280</v>
      </c>
      <c r="L983" s="18">
        <v>862.42</v>
      </c>
      <c r="M983" s="7">
        <f t="shared" si="15"/>
        <v>1103897.5999999999</v>
      </c>
      <c r="N983" s="4"/>
      <c r="O983" s="9"/>
    </row>
    <row r="984" spans="1:15" ht="20" x14ac:dyDescent="0.2">
      <c r="A984" s="3">
        <v>980</v>
      </c>
      <c r="B984" s="19" t="s">
        <v>3569</v>
      </c>
      <c r="C984" s="4" t="s">
        <v>3570</v>
      </c>
      <c r="D984" s="4" t="s">
        <v>1616</v>
      </c>
      <c r="E984" s="4"/>
      <c r="F984" s="8"/>
      <c r="G984" s="8"/>
      <c r="H984" s="8"/>
      <c r="I984" s="8"/>
      <c r="J984" s="8"/>
      <c r="K984" s="8">
        <v>30</v>
      </c>
      <c r="L984" s="18">
        <v>36843.31</v>
      </c>
      <c r="M984" s="7">
        <f t="shared" si="15"/>
        <v>1105299.2999999998</v>
      </c>
      <c r="N984" s="4"/>
      <c r="O984" s="9"/>
    </row>
    <row r="985" spans="1:15" ht="20" x14ac:dyDescent="0.2">
      <c r="A985" s="3">
        <v>981</v>
      </c>
      <c r="B985" s="19" t="s">
        <v>3571</v>
      </c>
      <c r="C985" s="4" t="s">
        <v>3572</v>
      </c>
      <c r="D985" s="4" t="s">
        <v>1616</v>
      </c>
      <c r="E985" s="4"/>
      <c r="F985" s="8"/>
      <c r="G985" s="8"/>
      <c r="H985" s="8"/>
      <c r="I985" s="8"/>
      <c r="J985" s="8"/>
      <c r="K985" s="8">
        <v>2000</v>
      </c>
      <c r="L985" s="18">
        <v>557.47</v>
      </c>
      <c r="M985" s="7">
        <f t="shared" si="15"/>
        <v>1114940</v>
      </c>
      <c r="N985" s="4"/>
      <c r="O985" s="9"/>
    </row>
    <row r="986" spans="1:15" ht="20" x14ac:dyDescent="0.2">
      <c r="A986" s="3">
        <v>982</v>
      </c>
      <c r="B986" s="19" t="s">
        <v>3573</v>
      </c>
      <c r="C986" s="4" t="s">
        <v>3574</v>
      </c>
      <c r="D986" s="4" t="s">
        <v>1616</v>
      </c>
      <c r="E986" s="4"/>
      <c r="F986" s="8"/>
      <c r="G986" s="8"/>
      <c r="H986" s="8"/>
      <c r="I986" s="8"/>
      <c r="J986" s="8"/>
      <c r="K986" s="8">
        <v>400</v>
      </c>
      <c r="L986" s="18">
        <v>2889</v>
      </c>
      <c r="M986" s="7">
        <f t="shared" si="15"/>
        <v>1155600</v>
      </c>
      <c r="N986" s="4"/>
      <c r="O986" s="9"/>
    </row>
    <row r="987" spans="1:15" ht="20" x14ac:dyDescent="0.2">
      <c r="A987" s="3">
        <v>983</v>
      </c>
      <c r="B987" s="19" t="s">
        <v>3575</v>
      </c>
      <c r="C987" s="4" t="s">
        <v>3576</v>
      </c>
      <c r="D987" s="4" t="s">
        <v>1616</v>
      </c>
      <c r="E987" s="4"/>
      <c r="F987" s="8"/>
      <c r="G987" s="8"/>
      <c r="H987" s="8"/>
      <c r="I987" s="8"/>
      <c r="J987" s="8"/>
      <c r="K987" s="8">
        <v>40</v>
      </c>
      <c r="L987" s="18">
        <v>28890</v>
      </c>
      <c r="M987" s="7">
        <f t="shared" si="15"/>
        <v>1155600</v>
      </c>
      <c r="N987" s="4"/>
      <c r="O987" s="9"/>
    </row>
    <row r="988" spans="1:15" ht="20" x14ac:dyDescent="0.2">
      <c r="A988" s="3">
        <v>984</v>
      </c>
      <c r="B988" s="19" t="s">
        <v>3577</v>
      </c>
      <c r="C988" s="4" t="s">
        <v>3578</v>
      </c>
      <c r="D988" s="4" t="s">
        <v>1616</v>
      </c>
      <c r="E988" s="4"/>
      <c r="F988" s="8"/>
      <c r="G988" s="8"/>
      <c r="H988" s="8"/>
      <c r="I988" s="8"/>
      <c r="J988" s="8"/>
      <c r="K988" s="8">
        <v>18</v>
      </c>
      <c r="L988" s="18">
        <v>64200</v>
      </c>
      <c r="M988" s="7">
        <f t="shared" si="15"/>
        <v>1155600</v>
      </c>
      <c r="N988" s="4"/>
      <c r="O988" s="9"/>
    </row>
    <row r="989" spans="1:15" ht="20" x14ac:dyDescent="0.2">
      <c r="A989" s="3">
        <v>985</v>
      </c>
      <c r="B989" s="19" t="s">
        <v>3579</v>
      </c>
      <c r="C989" s="4" t="s">
        <v>3580</v>
      </c>
      <c r="D989" s="4" t="s">
        <v>1616</v>
      </c>
      <c r="E989" s="4"/>
      <c r="F989" s="8"/>
      <c r="G989" s="8"/>
      <c r="H989" s="8"/>
      <c r="I989" s="8"/>
      <c r="J989" s="8"/>
      <c r="K989" s="8">
        <v>1200</v>
      </c>
      <c r="L989" s="18">
        <v>969.42</v>
      </c>
      <c r="M989" s="7">
        <f t="shared" si="15"/>
        <v>1163304</v>
      </c>
      <c r="N989" s="4"/>
      <c r="O989" s="9"/>
    </row>
    <row r="990" spans="1:15" ht="20" x14ac:dyDescent="0.2">
      <c r="A990" s="3">
        <v>986</v>
      </c>
      <c r="B990" s="19" t="s">
        <v>3581</v>
      </c>
      <c r="C990" s="4" t="s">
        <v>3582</v>
      </c>
      <c r="D990" s="4" t="s">
        <v>1616</v>
      </c>
      <c r="E990" s="4"/>
      <c r="F990" s="8"/>
      <c r="G990" s="8"/>
      <c r="H990" s="8"/>
      <c r="I990" s="8"/>
      <c r="J990" s="8"/>
      <c r="K990" s="8">
        <v>280</v>
      </c>
      <c r="L990" s="18">
        <v>4194.3999999999996</v>
      </c>
      <c r="M990" s="7">
        <f t="shared" si="15"/>
        <v>1174432</v>
      </c>
      <c r="N990" s="4"/>
      <c r="O990" s="9"/>
    </row>
    <row r="991" spans="1:15" ht="20" x14ac:dyDescent="0.2">
      <c r="A991" s="3">
        <v>987</v>
      </c>
      <c r="B991" s="19" t="s">
        <v>3583</v>
      </c>
      <c r="C991" s="4" t="s">
        <v>3584</v>
      </c>
      <c r="D991" s="4" t="s">
        <v>1616</v>
      </c>
      <c r="E991" s="4"/>
      <c r="F991" s="8"/>
      <c r="G991" s="8"/>
      <c r="H991" s="8"/>
      <c r="I991" s="8"/>
      <c r="J991" s="8"/>
      <c r="K991" s="8">
        <v>820</v>
      </c>
      <c r="L991" s="18">
        <v>1444.5</v>
      </c>
      <c r="M991" s="7">
        <f t="shared" si="15"/>
        <v>1184490</v>
      </c>
      <c r="N991" s="4"/>
      <c r="O991" s="9"/>
    </row>
    <row r="992" spans="1:15" ht="20" x14ac:dyDescent="0.2">
      <c r="A992" s="3">
        <v>988</v>
      </c>
      <c r="B992" s="19" t="s">
        <v>3585</v>
      </c>
      <c r="C992" s="4" t="s">
        <v>3586</v>
      </c>
      <c r="D992" s="4" t="s">
        <v>1616</v>
      </c>
      <c r="E992" s="4"/>
      <c r="F992" s="8"/>
      <c r="G992" s="8"/>
      <c r="H992" s="8"/>
      <c r="I992" s="8"/>
      <c r="J992" s="8"/>
      <c r="K992" s="8">
        <v>80</v>
      </c>
      <c r="L992" s="18">
        <v>14875</v>
      </c>
      <c r="M992" s="7">
        <f t="shared" si="15"/>
        <v>1190000</v>
      </c>
      <c r="N992" s="4"/>
      <c r="O992" s="9"/>
    </row>
    <row r="993" spans="1:15" ht="40" x14ac:dyDescent="0.2">
      <c r="A993" s="3">
        <v>989</v>
      </c>
      <c r="B993" s="19" t="s">
        <v>3587</v>
      </c>
      <c r="C993" s="4" t="s">
        <v>3588</v>
      </c>
      <c r="D993" s="4" t="s">
        <v>1616</v>
      </c>
      <c r="E993" s="4"/>
      <c r="F993" s="8"/>
      <c r="G993" s="8"/>
      <c r="H993" s="8"/>
      <c r="I993" s="8"/>
      <c r="J993" s="8"/>
      <c r="K993" s="8">
        <v>800</v>
      </c>
      <c r="L993" s="18">
        <v>1605</v>
      </c>
      <c r="M993" s="7">
        <f t="shared" si="15"/>
        <v>1284000</v>
      </c>
      <c r="N993" s="4"/>
      <c r="O993" s="9"/>
    </row>
    <row r="994" spans="1:15" ht="20" x14ac:dyDescent="0.2">
      <c r="A994" s="3">
        <v>990</v>
      </c>
      <c r="B994" s="19" t="s">
        <v>3589</v>
      </c>
      <c r="C994" s="4" t="s">
        <v>3590</v>
      </c>
      <c r="D994" s="4" t="s">
        <v>1616</v>
      </c>
      <c r="E994" s="4"/>
      <c r="F994" s="8"/>
      <c r="G994" s="8"/>
      <c r="H994" s="8"/>
      <c r="I994" s="8"/>
      <c r="J994" s="8"/>
      <c r="K994" s="8">
        <v>1050</v>
      </c>
      <c r="L994" s="18">
        <v>1270.0899999999999</v>
      </c>
      <c r="M994" s="7">
        <f t="shared" si="15"/>
        <v>1333594.5</v>
      </c>
      <c r="N994" s="4"/>
      <c r="O994" s="9"/>
    </row>
    <row r="995" spans="1:15" ht="20" x14ac:dyDescent="0.2">
      <c r="A995" s="3">
        <v>991</v>
      </c>
      <c r="B995" s="19" t="s">
        <v>3591</v>
      </c>
      <c r="C995" s="4" t="s">
        <v>3592</v>
      </c>
      <c r="D995" s="4" t="s">
        <v>1616</v>
      </c>
      <c r="E995" s="4"/>
      <c r="F995" s="8"/>
      <c r="G995" s="8"/>
      <c r="H995" s="8"/>
      <c r="I995" s="8"/>
      <c r="J995" s="8"/>
      <c r="K995" s="8">
        <v>70</v>
      </c>
      <c r="L995" s="18">
        <v>19105.919999999998</v>
      </c>
      <c r="M995" s="7">
        <f t="shared" si="15"/>
        <v>1337414.3999999999</v>
      </c>
      <c r="N995" s="4"/>
      <c r="O995" s="9"/>
    </row>
    <row r="996" spans="1:15" ht="20" x14ac:dyDescent="0.2">
      <c r="A996" s="3">
        <v>992</v>
      </c>
      <c r="B996" s="19" t="s">
        <v>3593</v>
      </c>
      <c r="C996" s="4" t="s">
        <v>3594</v>
      </c>
      <c r="D996" s="4" t="s">
        <v>1616</v>
      </c>
      <c r="E996" s="4"/>
      <c r="F996" s="8"/>
      <c r="G996" s="8"/>
      <c r="H996" s="8"/>
      <c r="I996" s="8"/>
      <c r="J996" s="8"/>
      <c r="K996" s="8">
        <v>280</v>
      </c>
      <c r="L996" s="18">
        <v>4777.55</v>
      </c>
      <c r="M996" s="7">
        <f t="shared" si="15"/>
        <v>1337714</v>
      </c>
      <c r="N996" s="4"/>
      <c r="O996" s="9"/>
    </row>
    <row r="997" spans="1:15" ht="20" x14ac:dyDescent="0.2">
      <c r="A997" s="3">
        <v>993</v>
      </c>
      <c r="B997" s="19" t="s">
        <v>3595</v>
      </c>
      <c r="C997" s="4" t="s">
        <v>3596</v>
      </c>
      <c r="D997" s="4" t="s">
        <v>1616</v>
      </c>
      <c r="E997" s="4"/>
      <c r="F997" s="8"/>
      <c r="G997" s="8"/>
      <c r="H997" s="8"/>
      <c r="I997" s="8"/>
      <c r="J997" s="8"/>
      <c r="K997" s="8">
        <v>1400</v>
      </c>
      <c r="L997" s="18">
        <v>963</v>
      </c>
      <c r="M997" s="7">
        <f t="shared" si="15"/>
        <v>1348200</v>
      </c>
      <c r="N997" s="4"/>
      <c r="O997" s="9"/>
    </row>
    <row r="998" spans="1:15" ht="20" x14ac:dyDescent="0.2">
      <c r="A998" s="3">
        <v>994</v>
      </c>
      <c r="B998" s="19" t="s">
        <v>3597</v>
      </c>
      <c r="C998" s="4" t="s">
        <v>3598</v>
      </c>
      <c r="D998" s="4" t="s">
        <v>1616</v>
      </c>
      <c r="E998" s="4"/>
      <c r="F998" s="8"/>
      <c r="G998" s="8"/>
      <c r="H998" s="8"/>
      <c r="I998" s="8"/>
      <c r="J998" s="8"/>
      <c r="K998" s="8">
        <v>900</v>
      </c>
      <c r="L998" s="18">
        <v>1498</v>
      </c>
      <c r="M998" s="7">
        <f t="shared" si="15"/>
        <v>1348200</v>
      </c>
      <c r="N998" s="4"/>
      <c r="O998" s="9"/>
    </row>
    <row r="999" spans="1:15" ht="20" x14ac:dyDescent="0.2">
      <c r="A999" s="3">
        <v>995</v>
      </c>
      <c r="B999" s="19" t="s">
        <v>3599</v>
      </c>
      <c r="C999" s="4" t="s">
        <v>3600</v>
      </c>
      <c r="D999" s="4" t="s">
        <v>1616</v>
      </c>
      <c r="E999" s="4"/>
      <c r="F999" s="8"/>
      <c r="G999" s="8"/>
      <c r="H999" s="8"/>
      <c r="I999" s="8"/>
      <c r="J999" s="8"/>
      <c r="K999" s="8">
        <v>100</v>
      </c>
      <c r="L999" s="18">
        <v>13492.7</v>
      </c>
      <c r="M999" s="7">
        <f t="shared" si="15"/>
        <v>1349270</v>
      </c>
      <c r="N999" s="4"/>
      <c r="O999" s="9"/>
    </row>
    <row r="1000" spans="1:15" ht="40" x14ac:dyDescent="0.2">
      <c r="A1000" s="3">
        <v>996</v>
      </c>
      <c r="B1000" s="19" t="s">
        <v>3601</v>
      </c>
      <c r="C1000" s="4" t="s">
        <v>3602</v>
      </c>
      <c r="D1000" s="4" t="s">
        <v>1616</v>
      </c>
      <c r="E1000" s="4"/>
      <c r="F1000" s="8"/>
      <c r="G1000" s="8"/>
      <c r="H1000" s="8"/>
      <c r="I1000" s="8"/>
      <c r="J1000" s="8"/>
      <c r="K1000" s="8">
        <v>170</v>
      </c>
      <c r="L1000" s="18">
        <v>8025</v>
      </c>
      <c r="M1000" s="7">
        <f t="shared" si="15"/>
        <v>1364250</v>
      </c>
      <c r="N1000" s="4"/>
      <c r="O1000" s="9"/>
    </row>
    <row r="1001" spans="1:15" ht="40" x14ac:dyDescent="0.2">
      <c r="A1001" s="3">
        <v>997</v>
      </c>
      <c r="B1001" s="19" t="s">
        <v>3603</v>
      </c>
      <c r="C1001" s="4" t="s">
        <v>3604</v>
      </c>
      <c r="D1001" s="4" t="s">
        <v>1616</v>
      </c>
      <c r="E1001" s="4"/>
      <c r="F1001" s="8"/>
      <c r="G1001" s="8"/>
      <c r="H1001" s="8"/>
      <c r="I1001" s="8"/>
      <c r="J1001" s="8"/>
      <c r="K1001" s="8">
        <v>10</v>
      </c>
      <c r="L1001" s="18">
        <v>139100</v>
      </c>
      <c r="M1001" s="7">
        <f t="shared" si="15"/>
        <v>1391000</v>
      </c>
      <c r="N1001" s="4"/>
      <c r="O1001" s="9"/>
    </row>
    <row r="1002" spans="1:15" ht="20" x14ac:dyDescent="0.2">
      <c r="A1002" s="3">
        <v>998</v>
      </c>
      <c r="B1002" s="19" t="s">
        <v>3605</v>
      </c>
      <c r="C1002" s="4" t="s">
        <v>3606</v>
      </c>
      <c r="D1002" s="4" t="s">
        <v>1616</v>
      </c>
      <c r="E1002" s="4"/>
      <c r="F1002" s="8"/>
      <c r="G1002" s="8"/>
      <c r="H1002" s="8"/>
      <c r="I1002" s="8"/>
      <c r="J1002" s="8"/>
      <c r="K1002" s="8">
        <v>320</v>
      </c>
      <c r="L1002" s="18">
        <v>4387</v>
      </c>
      <c r="M1002" s="7">
        <f t="shared" si="15"/>
        <v>1403840</v>
      </c>
      <c r="N1002" s="4"/>
      <c r="O1002" s="9"/>
    </row>
    <row r="1003" spans="1:15" ht="20" x14ac:dyDescent="0.2">
      <c r="A1003" s="3">
        <v>999</v>
      </c>
      <c r="B1003" s="19" t="s">
        <v>3607</v>
      </c>
      <c r="C1003" s="4" t="s">
        <v>3608</v>
      </c>
      <c r="D1003" s="4" t="s">
        <v>1616</v>
      </c>
      <c r="E1003" s="4"/>
      <c r="F1003" s="8"/>
      <c r="G1003" s="8"/>
      <c r="H1003" s="8"/>
      <c r="I1003" s="8"/>
      <c r="J1003" s="8"/>
      <c r="K1003" s="8">
        <v>2500</v>
      </c>
      <c r="L1003" s="18">
        <v>561.75</v>
      </c>
      <c r="M1003" s="7">
        <f t="shared" si="15"/>
        <v>1404375</v>
      </c>
      <c r="N1003" s="4"/>
      <c r="O1003" s="9"/>
    </row>
    <row r="1004" spans="1:15" ht="20" x14ac:dyDescent="0.2">
      <c r="A1004" s="3">
        <v>1000</v>
      </c>
      <c r="B1004" s="19" t="s">
        <v>3609</v>
      </c>
      <c r="C1004" s="4" t="s">
        <v>3610</v>
      </c>
      <c r="D1004" s="4" t="s">
        <v>1616</v>
      </c>
      <c r="E1004" s="4"/>
      <c r="F1004" s="8"/>
      <c r="G1004" s="8"/>
      <c r="H1004" s="8"/>
      <c r="I1004" s="8"/>
      <c r="J1004" s="8"/>
      <c r="K1004" s="8">
        <v>24</v>
      </c>
      <c r="L1004" s="18">
        <v>58850</v>
      </c>
      <c r="M1004" s="7">
        <f t="shared" si="15"/>
        <v>1412400</v>
      </c>
      <c r="N1004" s="4"/>
      <c r="O1004" s="9"/>
    </row>
    <row r="1005" spans="1:15" ht="40" x14ac:dyDescent="0.2">
      <c r="A1005" s="3">
        <v>1001</v>
      </c>
      <c r="B1005" s="19" t="s">
        <v>3611</v>
      </c>
      <c r="C1005" s="4" t="s">
        <v>3612</v>
      </c>
      <c r="D1005" s="4" t="s">
        <v>1616</v>
      </c>
      <c r="E1005" s="4"/>
      <c r="F1005" s="8"/>
      <c r="G1005" s="8"/>
      <c r="H1005" s="8"/>
      <c r="I1005" s="8"/>
      <c r="J1005" s="8"/>
      <c r="K1005" s="8">
        <v>120</v>
      </c>
      <c r="L1005" s="18">
        <v>12176.6</v>
      </c>
      <c r="M1005" s="7">
        <f t="shared" si="15"/>
        <v>1461192</v>
      </c>
      <c r="N1005" s="4"/>
      <c r="O1005" s="9"/>
    </row>
    <row r="1006" spans="1:15" ht="20" x14ac:dyDescent="0.2">
      <c r="A1006" s="3">
        <v>1002</v>
      </c>
      <c r="B1006" s="19" t="s">
        <v>3613</v>
      </c>
      <c r="C1006" s="4" t="s">
        <v>3614</v>
      </c>
      <c r="D1006" s="4" t="s">
        <v>1616</v>
      </c>
      <c r="E1006" s="4"/>
      <c r="F1006" s="8"/>
      <c r="G1006" s="8"/>
      <c r="H1006" s="8"/>
      <c r="I1006" s="8"/>
      <c r="J1006" s="8"/>
      <c r="K1006" s="8">
        <v>120</v>
      </c>
      <c r="L1006" s="18">
        <v>12412</v>
      </c>
      <c r="M1006" s="7">
        <f t="shared" si="15"/>
        <v>1489440</v>
      </c>
      <c r="N1006" s="4"/>
      <c r="O1006" s="9"/>
    </row>
    <row r="1007" spans="1:15" ht="20" x14ac:dyDescent="0.2">
      <c r="A1007" s="3">
        <v>1003</v>
      </c>
      <c r="B1007" s="19" t="s">
        <v>3615</v>
      </c>
      <c r="C1007" s="4" t="s">
        <v>3616</v>
      </c>
      <c r="D1007" s="4" t="s">
        <v>1616</v>
      </c>
      <c r="E1007" s="4"/>
      <c r="F1007" s="8"/>
      <c r="G1007" s="8"/>
      <c r="H1007" s="8"/>
      <c r="I1007" s="8"/>
      <c r="J1007" s="8"/>
      <c r="K1007" s="8">
        <v>1300</v>
      </c>
      <c r="L1007" s="18">
        <v>1177</v>
      </c>
      <c r="M1007" s="7">
        <f t="shared" si="15"/>
        <v>1530100</v>
      </c>
      <c r="N1007" s="4"/>
      <c r="O1007" s="9"/>
    </row>
    <row r="1008" spans="1:15" ht="20" x14ac:dyDescent="0.2">
      <c r="A1008" s="3">
        <v>1004</v>
      </c>
      <c r="B1008" s="19" t="s">
        <v>3617</v>
      </c>
      <c r="C1008" s="4" t="s">
        <v>3618</v>
      </c>
      <c r="D1008" s="4" t="s">
        <v>1616</v>
      </c>
      <c r="E1008" s="4"/>
      <c r="F1008" s="8"/>
      <c r="G1008" s="8"/>
      <c r="H1008" s="8"/>
      <c r="I1008" s="8"/>
      <c r="J1008" s="8"/>
      <c r="K1008" s="8">
        <v>1300</v>
      </c>
      <c r="L1008" s="18">
        <v>1177</v>
      </c>
      <c r="M1008" s="7">
        <f t="shared" si="15"/>
        <v>1530100</v>
      </c>
      <c r="N1008" s="4"/>
      <c r="O1008" s="9"/>
    </row>
    <row r="1009" spans="1:15" ht="40" x14ac:dyDescent="0.2">
      <c r="A1009" s="3">
        <v>1005</v>
      </c>
      <c r="B1009" s="19" t="s">
        <v>3619</v>
      </c>
      <c r="C1009" s="4" t="s">
        <v>3620</v>
      </c>
      <c r="D1009" s="4" t="s">
        <v>1616</v>
      </c>
      <c r="E1009" s="4"/>
      <c r="F1009" s="8"/>
      <c r="G1009" s="8"/>
      <c r="H1009" s="8"/>
      <c r="I1009" s="8"/>
      <c r="J1009" s="8"/>
      <c r="K1009" s="8">
        <v>180</v>
      </c>
      <c r="L1009" s="18">
        <v>8560</v>
      </c>
      <c r="M1009" s="7">
        <f t="shared" si="15"/>
        <v>1540800</v>
      </c>
      <c r="N1009" s="4"/>
      <c r="O1009" s="9"/>
    </row>
    <row r="1010" spans="1:15" ht="20" x14ac:dyDescent="0.2">
      <c r="A1010" s="3">
        <v>1006</v>
      </c>
      <c r="B1010" s="19" t="s">
        <v>3479</v>
      </c>
      <c r="C1010" s="4" t="s">
        <v>3621</v>
      </c>
      <c r="D1010" s="4" t="s">
        <v>1616</v>
      </c>
      <c r="E1010" s="4"/>
      <c r="F1010" s="8"/>
      <c r="G1010" s="8"/>
      <c r="H1010" s="8"/>
      <c r="I1010" s="8"/>
      <c r="J1010" s="8"/>
      <c r="K1010" s="8">
        <v>160</v>
      </c>
      <c r="L1010" s="18">
        <v>9961.7000000000007</v>
      </c>
      <c r="M1010" s="7">
        <f t="shared" si="15"/>
        <v>1593872</v>
      </c>
      <c r="N1010" s="4"/>
      <c r="O1010" s="9"/>
    </row>
    <row r="1011" spans="1:15" ht="20" x14ac:dyDescent="0.2">
      <c r="A1011" s="3">
        <v>1007</v>
      </c>
      <c r="B1011" s="19" t="s">
        <v>3622</v>
      </c>
      <c r="C1011" s="4" t="s">
        <v>3623</v>
      </c>
      <c r="D1011" s="4" t="s">
        <v>1616</v>
      </c>
      <c r="E1011" s="4"/>
      <c r="F1011" s="8"/>
      <c r="G1011" s="8"/>
      <c r="H1011" s="8"/>
      <c r="I1011" s="8"/>
      <c r="J1011" s="8"/>
      <c r="K1011" s="8">
        <v>300</v>
      </c>
      <c r="L1011" s="18">
        <v>5765.16</v>
      </c>
      <c r="M1011" s="7">
        <f t="shared" si="15"/>
        <v>1729548</v>
      </c>
      <c r="N1011" s="4"/>
      <c r="O1011" s="9"/>
    </row>
    <row r="1012" spans="1:15" ht="20" x14ac:dyDescent="0.2">
      <c r="A1012" s="3">
        <v>1008</v>
      </c>
      <c r="B1012" s="19" t="s">
        <v>3624</v>
      </c>
      <c r="C1012" s="4" t="s">
        <v>3625</v>
      </c>
      <c r="D1012" s="4" t="s">
        <v>1616</v>
      </c>
      <c r="E1012" s="4"/>
      <c r="F1012" s="8"/>
      <c r="G1012" s="8"/>
      <c r="H1012" s="8"/>
      <c r="I1012" s="8"/>
      <c r="J1012" s="8"/>
      <c r="K1012" s="8">
        <v>500</v>
      </c>
      <c r="L1012" s="18">
        <v>3523.51</v>
      </c>
      <c r="M1012" s="7">
        <f t="shared" si="15"/>
        <v>1761755</v>
      </c>
      <c r="N1012" s="4"/>
      <c r="O1012" s="9"/>
    </row>
    <row r="1013" spans="1:15" ht="20" x14ac:dyDescent="0.2">
      <c r="A1013" s="3">
        <v>1009</v>
      </c>
      <c r="B1013" s="19" t="s">
        <v>3626</v>
      </c>
      <c r="C1013" s="4" t="s">
        <v>3627</v>
      </c>
      <c r="D1013" s="4" t="s">
        <v>1616</v>
      </c>
      <c r="E1013" s="4"/>
      <c r="F1013" s="8"/>
      <c r="G1013" s="8"/>
      <c r="H1013" s="8"/>
      <c r="I1013" s="8"/>
      <c r="J1013" s="8"/>
      <c r="K1013" s="8">
        <v>400</v>
      </c>
      <c r="L1013" s="18">
        <v>4488.6499999999996</v>
      </c>
      <c r="M1013" s="7">
        <f t="shared" si="15"/>
        <v>1795459.9999999998</v>
      </c>
      <c r="N1013" s="4"/>
      <c r="O1013" s="9"/>
    </row>
    <row r="1014" spans="1:15" ht="20" x14ac:dyDescent="0.2">
      <c r="A1014" s="3">
        <v>1010</v>
      </c>
      <c r="B1014" s="19" t="s">
        <v>3628</v>
      </c>
      <c r="C1014" s="4" t="s">
        <v>3629</v>
      </c>
      <c r="D1014" s="4" t="s">
        <v>1616</v>
      </c>
      <c r="E1014" s="4"/>
      <c r="F1014" s="8"/>
      <c r="G1014" s="8"/>
      <c r="H1014" s="8"/>
      <c r="I1014" s="8"/>
      <c r="J1014" s="8"/>
      <c r="K1014" s="8">
        <v>900</v>
      </c>
      <c r="L1014" s="18">
        <v>2012.67</v>
      </c>
      <c r="M1014" s="7">
        <f t="shared" si="15"/>
        <v>1811403</v>
      </c>
      <c r="N1014" s="4"/>
      <c r="O1014" s="9"/>
    </row>
    <row r="1015" spans="1:15" ht="20" x14ac:dyDescent="0.2">
      <c r="A1015" s="3">
        <v>1011</v>
      </c>
      <c r="B1015" s="19" t="s">
        <v>3630</v>
      </c>
      <c r="C1015" s="4" t="s">
        <v>3631</v>
      </c>
      <c r="D1015" s="4" t="s">
        <v>1616</v>
      </c>
      <c r="E1015" s="4"/>
      <c r="F1015" s="8"/>
      <c r="G1015" s="8"/>
      <c r="H1015" s="8"/>
      <c r="I1015" s="8"/>
      <c r="J1015" s="8"/>
      <c r="K1015" s="8">
        <v>160</v>
      </c>
      <c r="L1015" s="18">
        <v>11812.8</v>
      </c>
      <c r="M1015" s="7">
        <f t="shared" si="15"/>
        <v>1890048</v>
      </c>
      <c r="N1015" s="4"/>
      <c r="O1015" s="9"/>
    </row>
    <row r="1016" spans="1:15" ht="20" x14ac:dyDescent="0.2">
      <c r="A1016" s="3">
        <v>1012</v>
      </c>
      <c r="B1016" s="19" t="s">
        <v>3632</v>
      </c>
      <c r="C1016" s="4" t="s">
        <v>3633</v>
      </c>
      <c r="D1016" s="4" t="s">
        <v>1616</v>
      </c>
      <c r="E1016" s="4"/>
      <c r="F1016" s="8"/>
      <c r="G1016" s="8"/>
      <c r="H1016" s="8"/>
      <c r="I1016" s="8"/>
      <c r="J1016" s="8"/>
      <c r="K1016" s="8">
        <v>1400</v>
      </c>
      <c r="L1016" s="18">
        <v>1364.25</v>
      </c>
      <c r="M1016" s="7">
        <f t="shared" si="15"/>
        <v>1909950</v>
      </c>
      <c r="N1016" s="4"/>
      <c r="O1016" s="9"/>
    </row>
    <row r="1017" spans="1:15" ht="20" x14ac:dyDescent="0.2">
      <c r="A1017" s="3">
        <v>1013</v>
      </c>
      <c r="B1017" s="19" t="s">
        <v>3634</v>
      </c>
      <c r="C1017" s="4" t="s">
        <v>3635</v>
      </c>
      <c r="D1017" s="4" t="s">
        <v>1616</v>
      </c>
      <c r="E1017" s="4"/>
      <c r="F1017" s="8"/>
      <c r="G1017" s="8"/>
      <c r="H1017" s="8"/>
      <c r="I1017" s="8"/>
      <c r="J1017" s="8"/>
      <c r="K1017" s="8">
        <v>200</v>
      </c>
      <c r="L1017" s="18">
        <v>9961.7000000000007</v>
      </c>
      <c r="M1017" s="7">
        <f t="shared" si="15"/>
        <v>1992340.0000000002</v>
      </c>
      <c r="N1017" s="4"/>
      <c r="O1017" s="9"/>
    </row>
    <row r="1018" spans="1:15" ht="20" x14ac:dyDescent="0.2">
      <c r="A1018" s="3">
        <v>1014</v>
      </c>
      <c r="B1018" s="19" t="s">
        <v>3636</v>
      </c>
      <c r="C1018" s="4" t="s">
        <v>3637</v>
      </c>
      <c r="D1018" s="4" t="s">
        <v>1616</v>
      </c>
      <c r="E1018" s="4"/>
      <c r="F1018" s="8"/>
      <c r="G1018" s="8"/>
      <c r="H1018" s="8"/>
      <c r="I1018" s="8"/>
      <c r="J1018" s="8"/>
      <c r="K1018" s="8">
        <v>430</v>
      </c>
      <c r="L1018" s="18">
        <v>4670.55</v>
      </c>
      <c r="M1018" s="7">
        <f t="shared" si="15"/>
        <v>2008336.5</v>
      </c>
      <c r="N1018" s="4"/>
      <c r="O1018" s="9"/>
    </row>
    <row r="1019" spans="1:15" ht="20" x14ac:dyDescent="0.2">
      <c r="A1019" s="3">
        <v>1015</v>
      </c>
      <c r="B1019" s="19" t="s">
        <v>3638</v>
      </c>
      <c r="C1019" s="4" t="s">
        <v>3639</v>
      </c>
      <c r="D1019" s="4" t="s">
        <v>1616</v>
      </c>
      <c r="E1019" s="4"/>
      <c r="F1019" s="8"/>
      <c r="G1019" s="8"/>
      <c r="H1019" s="8"/>
      <c r="I1019" s="8"/>
      <c r="J1019" s="8"/>
      <c r="K1019" s="8">
        <v>1200</v>
      </c>
      <c r="L1019" s="18">
        <v>1715.21</v>
      </c>
      <c r="M1019" s="7">
        <f t="shared" si="15"/>
        <v>2058252</v>
      </c>
      <c r="N1019" s="4"/>
      <c r="O1019" s="9"/>
    </row>
    <row r="1020" spans="1:15" ht="20" x14ac:dyDescent="0.2">
      <c r="A1020" s="3">
        <v>1016</v>
      </c>
      <c r="B1020" s="19" t="s">
        <v>3640</v>
      </c>
      <c r="C1020" s="4" t="s">
        <v>3641</v>
      </c>
      <c r="D1020" s="4" t="s">
        <v>1616</v>
      </c>
      <c r="E1020" s="4"/>
      <c r="F1020" s="8"/>
      <c r="G1020" s="8"/>
      <c r="H1020" s="8"/>
      <c r="I1020" s="8"/>
      <c r="J1020" s="8"/>
      <c r="K1020" s="8">
        <v>940</v>
      </c>
      <c r="L1020" s="18">
        <v>2285.52</v>
      </c>
      <c r="M1020" s="7">
        <f t="shared" si="15"/>
        <v>2148388.7999999998</v>
      </c>
      <c r="N1020" s="4"/>
      <c r="O1020" s="9"/>
    </row>
    <row r="1021" spans="1:15" ht="20" x14ac:dyDescent="0.2">
      <c r="A1021" s="3">
        <v>1017</v>
      </c>
      <c r="B1021" s="19" t="s">
        <v>3642</v>
      </c>
      <c r="C1021" s="4" t="s">
        <v>3643</v>
      </c>
      <c r="D1021" s="4" t="s">
        <v>1616</v>
      </c>
      <c r="E1021" s="4"/>
      <c r="F1021" s="8"/>
      <c r="G1021" s="8"/>
      <c r="H1021" s="8"/>
      <c r="I1021" s="8"/>
      <c r="J1021" s="8"/>
      <c r="K1021" s="8">
        <v>120</v>
      </c>
      <c r="L1021" s="18">
        <v>18287.37</v>
      </c>
      <c r="M1021" s="7">
        <f t="shared" si="15"/>
        <v>2194484.4</v>
      </c>
      <c r="N1021" s="4"/>
      <c r="O1021" s="9"/>
    </row>
    <row r="1022" spans="1:15" ht="20" x14ac:dyDescent="0.2">
      <c r="A1022" s="3">
        <v>1018</v>
      </c>
      <c r="B1022" s="19" t="s">
        <v>3644</v>
      </c>
      <c r="C1022" s="4" t="s">
        <v>3645</v>
      </c>
      <c r="D1022" s="4" t="s">
        <v>1616</v>
      </c>
      <c r="E1022" s="4"/>
      <c r="F1022" s="8"/>
      <c r="G1022" s="8"/>
      <c r="H1022" s="8"/>
      <c r="I1022" s="8"/>
      <c r="J1022" s="8"/>
      <c r="K1022" s="8">
        <v>5400</v>
      </c>
      <c r="L1022" s="18">
        <v>406.6</v>
      </c>
      <c r="M1022" s="7">
        <f t="shared" si="15"/>
        <v>2195640</v>
      </c>
      <c r="N1022" s="4"/>
      <c r="O1022" s="9"/>
    </row>
    <row r="1023" spans="1:15" ht="40" x14ac:dyDescent="0.2">
      <c r="A1023" s="3">
        <v>1019</v>
      </c>
      <c r="B1023" s="19" t="s">
        <v>3646</v>
      </c>
      <c r="C1023" s="4" t="s">
        <v>3647</v>
      </c>
      <c r="D1023" s="4" t="s">
        <v>1616</v>
      </c>
      <c r="E1023" s="4"/>
      <c r="F1023" s="8"/>
      <c r="G1023" s="8"/>
      <c r="H1023" s="8"/>
      <c r="I1023" s="8"/>
      <c r="J1023" s="8"/>
      <c r="K1023" s="8">
        <v>250</v>
      </c>
      <c r="L1023" s="18">
        <v>9630</v>
      </c>
      <c r="M1023" s="7">
        <f t="shared" si="15"/>
        <v>2407500</v>
      </c>
      <c r="N1023" s="4"/>
      <c r="O1023" s="9"/>
    </row>
    <row r="1024" spans="1:15" ht="20" x14ac:dyDescent="0.2">
      <c r="A1024" s="3">
        <v>1020</v>
      </c>
      <c r="B1024" s="19" t="s">
        <v>3648</v>
      </c>
      <c r="C1024" s="4" t="s">
        <v>3649</v>
      </c>
      <c r="D1024" s="4" t="s">
        <v>1616</v>
      </c>
      <c r="E1024" s="4"/>
      <c r="F1024" s="8"/>
      <c r="G1024" s="8"/>
      <c r="H1024" s="8"/>
      <c r="I1024" s="8"/>
      <c r="J1024" s="8"/>
      <c r="K1024" s="8">
        <v>320</v>
      </c>
      <c r="L1024" s="18">
        <v>7772.48</v>
      </c>
      <c r="M1024" s="7">
        <f t="shared" si="15"/>
        <v>2487193.5999999996</v>
      </c>
      <c r="N1024" s="4"/>
      <c r="O1024" s="9"/>
    </row>
    <row r="1025" spans="1:15" ht="20" x14ac:dyDescent="0.2">
      <c r="A1025" s="3">
        <v>1021</v>
      </c>
      <c r="B1025" s="19" t="s">
        <v>3650</v>
      </c>
      <c r="C1025" s="4" t="s">
        <v>3651</v>
      </c>
      <c r="D1025" s="4" t="s">
        <v>1616</v>
      </c>
      <c r="E1025" s="4"/>
      <c r="F1025" s="8"/>
      <c r="G1025" s="8"/>
      <c r="H1025" s="8"/>
      <c r="I1025" s="8"/>
      <c r="J1025" s="8"/>
      <c r="K1025" s="8">
        <v>500</v>
      </c>
      <c r="L1025" s="18">
        <v>5029</v>
      </c>
      <c r="M1025" s="7">
        <f t="shared" si="15"/>
        <v>2514500</v>
      </c>
      <c r="N1025" s="4"/>
      <c r="O1025" s="9"/>
    </row>
    <row r="1026" spans="1:15" ht="40" x14ac:dyDescent="0.2">
      <c r="A1026" s="3">
        <v>1022</v>
      </c>
      <c r="B1026" s="19" t="s">
        <v>3652</v>
      </c>
      <c r="C1026" s="4" t="s">
        <v>3653</v>
      </c>
      <c r="D1026" s="4" t="s">
        <v>1616</v>
      </c>
      <c r="E1026" s="4"/>
      <c r="F1026" s="8"/>
      <c r="G1026" s="8"/>
      <c r="H1026" s="8"/>
      <c r="I1026" s="8"/>
      <c r="J1026" s="8"/>
      <c r="K1026" s="8">
        <v>1800</v>
      </c>
      <c r="L1026" s="18">
        <v>1433.8</v>
      </c>
      <c r="M1026" s="7">
        <f t="shared" si="15"/>
        <v>2580840</v>
      </c>
      <c r="N1026" s="4"/>
      <c r="O1026" s="9"/>
    </row>
    <row r="1027" spans="1:15" ht="40" x14ac:dyDescent="0.2">
      <c r="A1027" s="3">
        <v>1023</v>
      </c>
      <c r="B1027" s="19" t="s">
        <v>3654</v>
      </c>
      <c r="C1027" s="4" t="s">
        <v>3655</v>
      </c>
      <c r="D1027" s="4" t="s">
        <v>1616</v>
      </c>
      <c r="E1027" s="4"/>
      <c r="F1027" s="8"/>
      <c r="G1027" s="8"/>
      <c r="H1027" s="8"/>
      <c r="I1027" s="8"/>
      <c r="J1027" s="8"/>
      <c r="K1027" s="8">
        <v>205</v>
      </c>
      <c r="L1027" s="18">
        <v>12840</v>
      </c>
      <c r="M1027" s="7">
        <f t="shared" si="15"/>
        <v>2632200</v>
      </c>
      <c r="N1027" s="4"/>
      <c r="O1027" s="9"/>
    </row>
    <row r="1028" spans="1:15" ht="20" x14ac:dyDescent="0.2">
      <c r="A1028" s="3">
        <v>1024</v>
      </c>
      <c r="B1028" s="19" t="s">
        <v>3656</v>
      </c>
      <c r="C1028" s="4" t="s">
        <v>3657</v>
      </c>
      <c r="D1028" s="4" t="s">
        <v>1616</v>
      </c>
      <c r="E1028" s="4"/>
      <c r="F1028" s="8"/>
      <c r="G1028" s="8"/>
      <c r="H1028" s="8"/>
      <c r="I1028" s="8"/>
      <c r="J1028" s="8"/>
      <c r="K1028" s="8">
        <v>40</v>
      </c>
      <c r="L1028" s="18">
        <v>71099.360000000001</v>
      </c>
      <c r="M1028" s="7">
        <f t="shared" si="15"/>
        <v>2843974.4</v>
      </c>
      <c r="N1028" s="4"/>
      <c r="O1028" s="9"/>
    </row>
    <row r="1029" spans="1:15" ht="40" x14ac:dyDescent="0.2">
      <c r="A1029" s="3">
        <v>1025</v>
      </c>
      <c r="B1029" s="19" t="s">
        <v>3658</v>
      </c>
      <c r="C1029" s="4" t="s">
        <v>3659</v>
      </c>
      <c r="D1029" s="4" t="s">
        <v>1616</v>
      </c>
      <c r="E1029" s="4"/>
      <c r="F1029" s="8"/>
      <c r="G1029" s="8"/>
      <c r="H1029" s="8"/>
      <c r="I1029" s="8"/>
      <c r="J1029" s="8"/>
      <c r="K1029" s="8">
        <v>5000</v>
      </c>
      <c r="L1029" s="18">
        <v>569.24</v>
      </c>
      <c r="M1029" s="7">
        <f t="shared" ref="M1029:M1092" si="16">IF(OR(K1029="",L1029=""),"",K1029*L1029)</f>
        <v>2846200</v>
      </c>
      <c r="N1029" s="4"/>
      <c r="O1029" s="9"/>
    </row>
    <row r="1030" spans="1:15" ht="20" x14ac:dyDescent="0.2">
      <c r="A1030" s="3">
        <v>1026</v>
      </c>
      <c r="B1030" s="19" t="s">
        <v>3660</v>
      </c>
      <c r="C1030" s="4" t="s">
        <v>3661</v>
      </c>
      <c r="D1030" s="4" t="s">
        <v>1616</v>
      </c>
      <c r="E1030" s="4"/>
      <c r="F1030" s="8"/>
      <c r="G1030" s="8"/>
      <c r="H1030" s="8"/>
      <c r="I1030" s="8"/>
      <c r="J1030" s="8"/>
      <c r="K1030" s="8">
        <v>3000</v>
      </c>
      <c r="L1030" s="18">
        <v>984.4</v>
      </c>
      <c r="M1030" s="7">
        <f t="shared" si="16"/>
        <v>2953200</v>
      </c>
      <c r="N1030" s="4"/>
      <c r="O1030" s="9"/>
    </row>
    <row r="1031" spans="1:15" ht="20" x14ac:dyDescent="0.2">
      <c r="A1031" s="3">
        <v>1027</v>
      </c>
      <c r="B1031" s="19" t="s">
        <v>3662</v>
      </c>
      <c r="C1031" s="4" t="s">
        <v>3663</v>
      </c>
      <c r="D1031" s="4" t="s">
        <v>1616</v>
      </c>
      <c r="E1031" s="4"/>
      <c r="F1031" s="8"/>
      <c r="G1031" s="8"/>
      <c r="H1031" s="8"/>
      <c r="I1031" s="8"/>
      <c r="J1031" s="8"/>
      <c r="K1031" s="8">
        <v>10000</v>
      </c>
      <c r="L1031" s="18">
        <v>321</v>
      </c>
      <c r="M1031" s="7">
        <f t="shared" si="16"/>
        <v>3210000</v>
      </c>
      <c r="N1031" s="4"/>
      <c r="O1031" s="9"/>
    </row>
    <row r="1032" spans="1:15" ht="20" x14ac:dyDescent="0.2">
      <c r="A1032" s="3">
        <v>1028</v>
      </c>
      <c r="B1032" s="19" t="s">
        <v>3664</v>
      </c>
      <c r="C1032" s="4" t="s">
        <v>3665</v>
      </c>
      <c r="D1032" s="4" t="s">
        <v>1616</v>
      </c>
      <c r="E1032" s="4"/>
      <c r="F1032" s="8"/>
      <c r="G1032" s="8"/>
      <c r="H1032" s="8"/>
      <c r="I1032" s="8"/>
      <c r="J1032" s="8"/>
      <c r="K1032" s="8">
        <v>640</v>
      </c>
      <c r="L1032" s="18">
        <v>5029</v>
      </c>
      <c r="M1032" s="7">
        <f t="shared" si="16"/>
        <v>3218560</v>
      </c>
      <c r="N1032" s="4"/>
      <c r="O1032" s="9"/>
    </row>
    <row r="1033" spans="1:15" ht="20" x14ac:dyDescent="0.2">
      <c r="A1033" s="3">
        <v>1029</v>
      </c>
      <c r="B1033" s="19" t="s">
        <v>3666</v>
      </c>
      <c r="C1033" s="4" t="s">
        <v>3667</v>
      </c>
      <c r="D1033" s="4" t="s">
        <v>1616</v>
      </c>
      <c r="E1033" s="4"/>
      <c r="F1033" s="8"/>
      <c r="G1033" s="8"/>
      <c r="H1033" s="8"/>
      <c r="I1033" s="8"/>
      <c r="J1033" s="8"/>
      <c r="K1033" s="8">
        <v>660</v>
      </c>
      <c r="L1033" s="18">
        <v>5106.04</v>
      </c>
      <c r="M1033" s="7">
        <f t="shared" si="16"/>
        <v>3369986.4</v>
      </c>
      <c r="N1033" s="4"/>
      <c r="O1033" s="9"/>
    </row>
    <row r="1034" spans="1:15" ht="40" x14ac:dyDescent="0.2">
      <c r="A1034" s="3">
        <v>1030</v>
      </c>
      <c r="B1034" s="19" t="s">
        <v>3668</v>
      </c>
      <c r="C1034" s="4" t="s">
        <v>3669</v>
      </c>
      <c r="D1034" s="4" t="s">
        <v>1616</v>
      </c>
      <c r="E1034" s="4"/>
      <c r="F1034" s="8"/>
      <c r="G1034" s="8"/>
      <c r="H1034" s="8"/>
      <c r="I1034" s="8"/>
      <c r="J1034" s="8"/>
      <c r="K1034" s="8">
        <v>230</v>
      </c>
      <c r="L1034" s="18">
        <v>14712.5</v>
      </c>
      <c r="M1034" s="7">
        <f t="shared" si="16"/>
        <v>3383875</v>
      </c>
      <c r="N1034" s="4"/>
      <c r="O1034" s="9"/>
    </row>
    <row r="1035" spans="1:15" ht="20" x14ac:dyDescent="0.2">
      <c r="A1035" s="3">
        <v>1031</v>
      </c>
      <c r="B1035" s="19" t="s">
        <v>3670</v>
      </c>
      <c r="C1035" s="4" t="s">
        <v>3671</v>
      </c>
      <c r="D1035" s="4" t="s">
        <v>1616</v>
      </c>
      <c r="E1035" s="4"/>
      <c r="F1035" s="8"/>
      <c r="G1035" s="8"/>
      <c r="H1035" s="8"/>
      <c r="I1035" s="8"/>
      <c r="J1035" s="8"/>
      <c r="K1035" s="8">
        <v>1260</v>
      </c>
      <c r="L1035" s="18">
        <v>2744.55</v>
      </c>
      <c r="M1035" s="7">
        <f t="shared" si="16"/>
        <v>3458133</v>
      </c>
      <c r="N1035" s="4"/>
      <c r="O1035" s="9"/>
    </row>
    <row r="1036" spans="1:15" ht="20" x14ac:dyDescent="0.2">
      <c r="A1036" s="3">
        <v>1032</v>
      </c>
      <c r="B1036" s="19" t="s">
        <v>3672</v>
      </c>
      <c r="C1036" s="4" t="s">
        <v>3673</v>
      </c>
      <c r="D1036" s="4" t="s">
        <v>1616</v>
      </c>
      <c r="E1036" s="4"/>
      <c r="F1036" s="8"/>
      <c r="G1036" s="8"/>
      <c r="H1036" s="8"/>
      <c r="I1036" s="8"/>
      <c r="J1036" s="8"/>
      <c r="K1036" s="8">
        <v>4800</v>
      </c>
      <c r="L1036" s="18">
        <v>749</v>
      </c>
      <c r="M1036" s="7">
        <f t="shared" si="16"/>
        <v>3595200</v>
      </c>
      <c r="N1036" s="4"/>
      <c r="O1036" s="9"/>
    </row>
    <row r="1037" spans="1:15" ht="20" x14ac:dyDescent="0.2">
      <c r="A1037" s="3">
        <v>1033</v>
      </c>
      <c r="B1037" s="19" t="s">
        <v>3674</v>
      </c>
      <c r="C1037" s="4" t="s">
        <v>3675</v>
      </c>
      <c r="D1037" s="4" t="s">
        <v>1616</v>
      </c>
      <c r="E1037" s="4"/>
      <c r="F1037" s="8"/>
      <c r="G1037" s="8"/>
      <c r="H1037" s="8"/>
      <c r="I1037" s="8"/>
      <c r="J1037" s="8"/>
      <c r="K1037" s="8">
        <v>7800</v>
      </c>
      <c r="L1037" s="18">
        <v>505.04</v>
      </c>
      <c r="M1037" s="7">
        <f t="shared" si="16"/>
        <v>3939312</v>
      </c>
      <c r="N1037" s="4"/>
      <c r="O1037" s="9"/>
    </row>
    <row r="1038" spans="1:15" ht="40" x14ac:dyDescent="0.2">
      <c r="A1038" s="3">
        <v>1034</v>
      </c>
      <c r="B1038" s="19" t="s">
        <v>3676</v>
      </c>
      <c r="C1038" s="4" t="s">
        <v>3677</v>
      </c>
      <c r="D1038" s="4" t="s">
        <v>1616</v>
      </c>
      <c r="E1038" s="4"/>
      <c r="F1038" s="8"/>
      <c r="G1038" s="8"/>
      <c r="H1038" s="8"/>
      <c r="I1038" s="8"/>
      <c r="J1038" s="8"/>
      <c r="K1038" s="8">
        <v>59</v>
      </c>
      <c r="L1038" s="18">
        <v>69550</v>
      </c>
      <c r="M1038" s="7">
        <f t="shared" si="16"/>
        <v>4103450</v>
      </c>
      <c r="N1038" s="4"/>
      <c r="O1038" s="9"/>
    </row>
    <row r="1039" spans="1:15" ht="20" x14ac:dyDescent="0.2">
      <c r="A1039" s="3">
        <v>1035</v>
      </c>
      <c r="B1039" s="19" t="s">
        <v>3678</v>
      </c>
      <c r="C1039" s="4" t="s">
        <v>3679</v>
      </c>
      <c r="D1039" s="4" t="s">
        <v>1616</v>
      </c>
      <c r="E1039" s="4"/>
      <c r="F1039" s="8"/>
      <c r="G1039" s="8"/>
      <c r="H1039" s="8"/>
      <c r="I1039" s="8"/>
      <c r="J1039" s="8"/>
      <c r="K1039" s="8">
        <v>14000</v>
      </c>
      <c r="L1039" s="18">
        <v>321</v>
      </c>
      <c r="M1039" s="7">
        <f t="shared" si="16"/>
        <v>4494000</v>
      </c>
      <c r="N1039" s="4"/>
      <c r="O1039" s="9"/>
    </row>
    <row r="1040" spans="1:15" ht="20" x14ac:dyDescent="0.2">
      <c r="A1040" s="3">
        <v>1036</v>
      </c>
      <c r="B1040" s="19" t="s">
        <v>3680</v>
      </c>
      <c r="C1040" s="4" t="s">
        <v>3681</v>
      </c>
      <c r="D1040" s="4" t="s">
        <v>1616</v>
      </c>
      <c r="E1040" s="4"/>
      <c r="F1040" s="8"/>
      <c r="G1040" s="8"/>
      <c r="H1040" s="8"/>
      <c r="I1040" s="8"/>
      <c r="J1040" s="8"/>
      <c r="K1040" s="8">
        <v>2200</v>
      </c>
      <c r="L1040" s="18">
        <v>2058.6799999999998</v>
      </c>
      <c r="M1040" s="7">
        <f t="shared" si="16"/>
        <v>4529096</v>
      </c>
      <c r="N1040" s="4"/>
      <c r="O1040" s="9"/>
    </row>
    <row r="1041" spans="1:15" ht="20" x14ac:dyDescent="0.2">
      <c r="A1041" s="3">
        <v>1037</v>
      </c>
      <c r="B1041" s="19" t="s">
        <v>3682</v>
      </c>
      <c r="C1041" s="4" t="s">
        <v>3683</v>
      </c>
      <c r="D1041" s="4" t="s">
        <v>1616</v>
      </c>
      <c r="E1041" s="4"/>
      <c r="F1041" s="8"/>
      <c r="G1041" s="8"/>
      <c r="H1041" s="8"/>
      <c r="I1041" s="8"/>
      <c r="J1041" s="8"/>
      <c r="K1041" s="8">
        <v>90</v>
      </c>
      <c r="L1041" s="18">
        <v>53970.8</v>
      </c>
      <c r="M1041" s="7">
        <f t="shared" si="16"/>
        <v>4857372</v>
      </c>
      <c r="N1041" s="4"/>
      <c r="O1041" s="9"/>
    </row>
    <row r="1042" spans="1:15" ht="20" x14ac:dyDescent="0.2">
      <c r="A1042" s="3">
        <v>1038</v>
      </c>
      <c r="B1042" s="19" t="s">
        <v>3684</v>
      </c>
      <c r="C1042" s="4" t="s">
        <v>3685</v>
      </c>
      <c r="D1042" s="4" t="s">
        <v>1616</v>
      </c>
      <c r="E1042" s="4"/>
      <c r="F1042" s="8"/>
      <c r="G1042" s="8"/>
      <c r="H1042" s="8"/>
      <c r="I1042" s="8"/>
      <c r="J1042" s="8"/>
      <c r="K1042" s="8">
        <v>4200</v>
      </c>
      <c r="L1042" s="18">
        <v>1164.1600000000001</v>
      </c>
      <c r="M1042" s="7">
        <f t="shared" si="16"/>
        <v>4889472</v>
      </c>
      <c r="N1042" s="4"/>
      <c r="O1042" s="9"/>
    </row>
    <row r="1043" spans="1:15" ht="20" x14ac:dyDescent="0.2">
      <c r="A1043" s="3">
        <v>1039</v>
      </c>
      <c r="B1043" s="19" t="s">
        <v>3686</v>
      </c>
      <c r="C1043" s="4" t="s">
        <v>3687</v>
      </c>
      <c r="D1043" s="4" t="s">
        <v>1616</v>
      </c>
      <c r="E1043" s="4"/>
      <c r="F1043" s="8"/>
      <c r="G1043" s="8"/>
      <c r="H1043" s="8"/>
      <c r="I1043" s="8"/>
      <c r="J1043" s="8"/>
      <c r="K1043" s="8">
        <v>50</v>
      </c>
      <c r="L1043" s="18">
        <v>99082</v>
      </c>
      <c r="M1043" s="7">
        <f t="shared" si="16"/>
        <v>4954100</v>
      </c>
      <c r="N1043" s="4"/>
      <c r="O1043" s="9"/>
    </row>
    <row r="1044" spans="1:15" ht="20" x14ac:dyDescent="0.2">
      <c r="A1044" s="3">
        <v>1040</v>
      </c>
      <c r="B1044" s="19" t="s">
        <v>3688</v>
      </c>
      <c r="C1044" s="4" t="s">
        <v>3689</v>
      </c>
      <c r="D1044" s="4" t="s">
        <v>1616</v>
      </c>
      <c r="E1044" s="4"/>
      <c r="F1044" s="8"/>
      <c r="G1044" s="8"/>
      <c r="H1044" s="8"/>
      <c r="I1044" s="8"/>
      <c r="J1044" s="8"/>
      <c r="K1044" s="8">
        <v>520</v>
      </c>
      <c r="L1044" s="18">
        <v>10957.87</v>
      </c>
      <c r="M1044" s="7">
        <f t="shared" si="16"/>
        <v>5698092.4000000004</v>
      </c>
      <c r="N1044" s="4"/>
      <c r="O1044" s="9"/>
    </row>
    <row r="1045" spans="1:15" ht="20" x14ac:dyDescent="0.2">
      <c r="A1045" s="3">
        <v>1041</v>
      </c>
      <c r="B1045" s="19" t="s">
        <v>3690</v>
      </c>
      <c r="C1045" s="4" t="s">
        <v>3691</v>
      </c>
      <c r="D1045" s="4" t="s">
        <v>1616</v>
      </c>
      <c r="E1045" s="4"/>
      <c r="F1045" s="8"/>
      <c r="G1045" s="8"/>
      <c r="H1045" s="8"/>
      <c r="I1045" s="8"/>
      <c r="J1045" s="8"/>
      <c r="K1045" s="8">
        <v>6000</v>
      </c>
      <c r="L1045" s="18">
        <v>1049.67</v>
      </c>
      <c r="M1045" s="7">
        <f t="shared" si="16"/>
        <v>6298020</v>
      </c>
      <c r="N1045" s="4"/>
      <c r="O1045" s="9"/>
    </row>
    <row r="1046" spans="1:15" ht="20" x14ac:dyDescent="0.2">
      <c r="A1046" s="3">
        <v>1042</v>
      </c>
      <c r="B1046" s="19" t="s">
        <v>3692</v>
      </c>
      <c r="C1046" s="4" t="s">
        <v>3693</v>
      </c>
      <c r="D1046" s="4" t="s">
        <v>1616</v>
      </c>
      <c r="E1046" s="4"/>
      <c r="F1046" s="8"/>
      <c r="G1046" s="8"/>
      <c r="H1046" s="8"/>
      <c r="I1046" s="8"/>
      <c r="J1046" s="8"/>
      <c r="K1046" s="8">
        <v>65</v>
      </c>
      <c r="L1046" s="18">
        <v>97287.61</v>
      </c>
      <c r="M1046" s="7">
        <f t="shared" si="16"/>
        <v>6323694.6500000004</v>
      </c>
      <c r="N1046" s="4"/>
      <c r="O1046" s="9"/>
    </row>
    <row r="1047" spans="1:15" ht="20" x14ac:dyDescent="0.2">
      <c r="A1047" s="3">
        <v>1043</v>
      </c>
      <c r="B1047" s="19" t="s">
        <v>3694</v>
      </c>
      <c r="C1047" s="4" t="s">
        <v>3695</v>
      </c>
      <c r="D1047" s="4" t="s">
        <v>1616</v>
      </c>
      <c r="E1047" s="4"/>
      <c r="F1047" s="8"/>
      <c r="G1047" s="8"/>
      <c r="H1047" s="8"/>
      <c r="I1047" s="8"/>
      <c r="J1047" s="8"/>
      <c r="K1047" s="8">
        <v>3600</v>
      </c>
      <c r="L1047" s="18">
        <v>1820.07</v>
      </c>
      <c r="M1047" s="7">
        <f t="shared" si="16"/>
        <v>6552252</v>
      </c>
      <c r="N1047" s="4"/>
      <c r="O1047" s="9"/>
    </row>
    <row r="1048" spans="1:15" ht="20" x14ac:dyDescent="0.2">
      <c r="A1048" s="3">
        <v>1044</v>
      </c>
      <c r="B1048" s="19" t="s">
        <v>3696</v>
      </c>
      <c r="C1048" s="4" t="s">
        <v>3697</v>
      </c>
      <c r="D1048" s="4" t="s">
        <v>1616</v>
      </c>
      <c r="E1048" s="4"/>
      <c r="F1048" s="8"/>
      <c r="G1048" s="8"/>
      <c r="H1048" s="8"/>
      <c r="I1048" s="8"/>
      <c r="J1048" s="8"/>
      <c r="K1048" s="8">
        <v>60</v>
      </c>
      <c r="L1048" s="18">
        <v>114062</v>
      </c>
      <c r="M1048" s="7">
        <f t="shared" si="16"/>
        <v>6843720</v>
      </c>
      <c r="N1048" s="4"/>
      <c r="O1048" s="9"/>
    </row>
    <row r="1049" spans="1:15" ht="20" x14ac:dyDescent="0.2">
      <c r="A1049" s="3">
        <v>1045</v>
      </c>
      <c r="B1049" s="19" t="s">
        <v>3698</v>
      </c>
      <c r="C1049" s="4" t="s">
        <v>3699</v>
      </c>
      <c r="D1049" s="4" t="s">
        <v>1616</v>
      </c>
      <c r="E1049" s="4"/>
      <c r="F1049" s="8"/>
      <c r="G1049" s="8"/>
      <c r="H1049" s="8"/>
      <c r="I1049" s="8"/>
      <c r="J1049" s="8"/>
      <c r="K1049" s="8">
        <v>2080</v>
      </c>
      <c r="L1049" s="18">
        <v>6420</v>
      </c>
      <c r="M1049" s="7">
        <f t="shared" si="16"/>
        <v>13353600</v>
      </c>
      <c r="N1049" s="4"/>
      <c r="O1049" s="9"/>
    </row>
    <row r="1050" spans="1:15" ht="20" x14ac:dyDescent="0.2">
      <c r="A1050" s="3">
        <v>1046</v>
      </c>
      <c r="B1050" s="19" t="s">
        <v>3700</v>
      </c>
      <c r="C1050" s="4" t="s">
        <v>3701</v>
      </c>
      <c r="D1050" s="4" t="s">
        <v>1616</v>
      </c>
      <c r="E1050" s="4"/>
      <c r="F1050" s="8"/>
      <c r="G1050" s="8"/>
      <c r="H1050" s="8"/>
      <c r="I1050" s="8"/>
      <c r="J1050" s="8"/>
      <c r="K1050" s="8">
        <v>0</v>
      </c>
      <c r="L1050" s="18">
        <v>0</v>
      </c>
      <c r="M1050" s="7">
        <f t="shared" si="16"/>
        <v>0</v>
      </c>
      <c r="N1050" s="4"/>
      <c r="O1050" s="9"/>
    </row>
    <row r="1051" spans="1:15" ht="60" x14ac:dyDescent="0.2">
      <c r="A1051" s="3">
        <v>1047</v>
      </c>
      <c r="B1051" s="19" t="s">
        <v>3702</v>
      </c>
      <c r="C1051" s="4" t="s">
        <v>3703</v>
      </c>
      <c r="D1051" s="4" t="s">
        <v>1616</v>
      </c>
      <c r="E1051" s="4"/>
      <c r="F1051" s="8"/>
      <c r="G1051" s="8"/>
      <c r="H1051" s="8"/>
      <c r="I1051" s="8"/>
      <c r="J1051" s="8"/>
      <c r="K1051" s="8">
        <v>0</v>
      </c>
      <c r="L1051" s="18">
        <v>0</v>
      </c>
      <c r="M1051" s="7">
        <f t="shared" si="16"/>
        <v>0</v>
      </c>
      <c r="N1051" s="4"/>
      <c r="O1051" s="9"/>
    </row>
    <row r="1052" spans="1:15" ht="40" x14ac:dyDescent="0.2">
      <c r="A1052" s="3">
        <v>1048</v>
      </c>
      <c r="B1052" s="19" t="s">
        <v>3704</v>
      </c>
      <c r="C1052" s="4" t="s">
        <v>3705</v>
      </c>
      <c r="D1052" s="4" t="s">
        <v>1616</v>
      </c>
      <c r="E1052" s="4"/>
      <c r="F1052" s="8"/>
      <c r="G1052" s="8"/>
      <c r="H1052" s="8"/>
      <c r="I1052" s="8"/>
      <c r="J1052" s="8"/>
      <c r="K1052" s="8">
        <v>0</v>
      </c>
      <c r="L1052" s="18">
        <v>13910</v>
      </c>
      <c r="M1052" s="7">
        <f t="shared" si="16"/>
        <v>0</v>
      </c>
      <c r="N1052" s="4"/>
      <c r="O1052" s="9"/>
    </row>
    <row r="1053" spans="1:15" ht="40" x14ac:dyDescent="0.2">
      <c r="A1053" s="3">
        <v>1049</v>
      </c>
      <c r="B1053" s="19" t="s">
        <v>3706</v>
      </c>
      <c r="C1053" s="4" t="s">
        <v>3707</v>
      </c>
      <c r="D1053" s="4" t="s">
        <v>1616</v>
      </c>
      <c r="E1053" s="4"/>
      <c r="F1053" s="8"/>
      <c r="G1053" s="8"/>
      <c r="H1053" s="8"/>
      <c r="I1053" s="8"/>
      <c r="J1053" s="8"/>
      <c r="K1053" s="8">
        <v>0</v>
      </c>
      <c r="L1053" s="18">
        <v>0</v>
      </c>
      <c r="M1053" s="7">
        <f t="shared" si="16"/>
        <v>0</v>
      </c>
      <c r="N1053" s="4"/>
      <c r="O1053" s="9"/>
    </row>
    <row r="1054" spans="1:15" ht="40" x14ac:dyDescent="0.2">
      <c r="A1054" s="3">
        <v>1050</v>
      </c>
      <c r="B1054" s="19" t="s">
        <v>3708</v>
      </c>
      <c r="C1054" s="4" t="s">
        <v>3709</v>
      </c>
      <c r="D1054" s="4" t="s">
        <v>1616</v>
      </c>
      <c r="E1054" s="4"/>
      <c r="F1054" s="8"/>
      <c r="G1054" s="8"/>
      <c r="H1054" s="8"/>
      <c r="I1054" s="8"/>
      <c r="J1054" s="8"/>
      <c r="K1054" s="8">
        <v>0</v>
      </c>
      <c r="L1054" s="18">
        <v>1840.4</v>
      </c>
      <c r="M1054" s="7">
        <f t="shared" si="16"/>
        <v>0</v>
      </c>
      <c r="N1054" s="4"/>
      <c r="O1054" s="9"/>
    </row>
    <row r="1055" spans="1:15" ht="20" x14ac:dyDescent="0.2">
      <c r="A1055" s="3">
        <v>1051</v>
      </c>
      <c r="B1055" s="19" t="s">
        <v>3710</v>
      </c>
      <c r="C1055" s="4" t="s">
        <v>3711</v>
      </c>
      <c r="D1055" s="4" t="s">
        <v>1616</v>
      </c>
      <c r="E1055" s="4"/>
      <c r="F1055" s="8"/>
      <c r="G1055" s="8"/>
      <c r="H1055" s="8"/>
      <c r="I1055" s="8"/>
      <c r="J1055" s="8"/>
      <c r="K1055" s="8">
        <v>0</v>
      </c>
      <c r="L1055" s="18">
        <v>0</v>
      </c>
      <c r="M1055" s="7">
        <f t="shared" si="16"/>
        <v>0</v>
      </c>
      <c r="N1055" s="4"/>
      <c r="O1055" s="9"/>
    </row>
    <row r="1056" spans="1:15" ht="40" x14ac:dyDescent="0.2">
      <c r="A1056" s="3">
        <v>1052</v>
      </c>
      <c r="B1056" s="19" t="s">
        <v>3712</v>
      </c>
      <c r="C1056" s="4" t="s">
        <v>3713</v>
      </c>
      <c r="D1056" s="4" t="s">
        <v>1616</v>
      </c>
      <c r="E1056" s="4"/>
      <c r="F1056" s="8"/>
      <c r="G1056" s="8"/>
      <c r="H1056" s="8"/>
      <c r="I1056" s="8"/>
      <c r="J1056" s="8"/>
      <c r="K1056" s="8">
        <v>0</v>
      </c>
      <c r="L1056" s="18">
        <v>0</v>
      </c>
      <c r="M1056" s="7">
        <f t="shared" si="16"/>
        <v>0</v>
      </c>
      <c r="N1056" s="4"/>
      <c r="O1056" s="9"/>
    </row>
    <row r="1057" spans="1:15" ht="40" x14ac:dyDescent="0.2">
      <c r="A1057" s="3">
        <v>1053</v>
      </c>
      <c r="B1057" s="19" t="s">
        <v>3714</v>
      </c>
      <c r="C1057" s="4" t="s">
        <v>3715</v>
      </c>
      <c r="D1057" s="4" t="s">
        <v>1616</v>
      </c>
      <c r="E1057" s="4"/>
      <c r="F1057" s="8"/>
      <c r="G1057" s="8"/>
      <c r="H1057" s="8"/>
      <c r="I1057" s="8"/>
      <c r="J1057" s="8"/>
      <c r="K1057" s="8">
        <v>20</v>
      </c>
      <c r="L1057" s="18">
        <v>810</v>
      </c>
      <c r="M1057" s="7">
        <f t="shared" si="16"/>
        <v>16200</v>
      </c>
      <c r="N1057" s="4"/>
      <c r="O1057" s="9"/>
    </row>
    <row r="1058" spans="1:15" ht="20" x14ac:dyDescent="0.2">
      <c r="A1058" s="3">
        <v>1054</v>
      </c>
      <c r="B1058" s="19" t="s">
        <v>3716</v>
      </c>
      <c r="C1058" s="4" t="s">
        <v>3717</v>
      </c>
      <c r="D1058" s="4" t="s">
        <v>1616</v>
      </c>
      <c r="E1058" s="4"/>
      <c r="F1058" s="8"/>
      <c r="G1058" s="8"/>
      <c r="H1058" s="8"/>
      <c r="I1058" s="8"/>
      <c r="J1058" s="8"/>
      <c r="K1058" s="8">
        <v>40</v>
      </c>
      <c r="L1058" s="18">
        <v>650.55999999999995</v>
      </c>
      <c r="M1058" s="7">
        <f t="shared" si="16"/>
        <v>26022.399999999998</v>
      </c>
      <c r="N1058" s="4"/>
      <c r="O1058" s="9"/>
    </row>
    <row r="1059" spans="1:15" ht="40" x14ac:dyDescent="0.2">
      <c r="A1059" s="3">
        <v>1055</v>
      </c>
      <c r="B1059" s="19" t="s">
        <v>3718</v>
      </c>
      <c r="C1059" s="4" t="s">
        <v>3719</v>
      </c>
      <c r="D1059" s="4" t="s">
        <v>1616</v>
      </c>
      <c r="E1059" s="4"/>
      <c r="F1059" s="8"/>
      <c r="G1059" s="8"/>
      <c r="H1059" s="8"/>
      <c r="I1059" s="8"/>
      <c r="J1059" s="8"/>
      <c r="K1059" s="8">
        <v>2</v>
      </c>
      <c r="L1059" s="18">
        <v>27038.9</v>
      </c>
      <c r="M1059" s="7">
        <f t="shared" si="16"/>
        <v>54077.8</v>
      </c>
      <c r="N1059" s="4"/>
      <c r="O1059" s="9"/>
    </row>
    <row r="1060" spans="1:15" ht="40" x14ac:dyDescent="0.2">
      <c r="A1060" s="3">
        <v>1056</v>
      </c>
      <c r="B1060" s="19" t="s">
        <v>3720</v>
      </c>
      <c r="C1060" s="4" t="s">
        <v>3721</v>
      </c>
      <c r="D1060" s="4" t="s">
        <v>1616</v>
      </c>
      <c r="E1060" s="4"/>
      <c r="F1060" s="8"/>
      <c r="G1060" s="8"/>
      <c r="H1060" s="8"/>
      <c r="I1060" s="8"/>
      <c r="J1060" s="8"/>
      <c r="K1060" s="8">
        <v>80</v>
      </c>
      <c r="L1060" s="18">
        <v>706.2</v>
      </c>
      <c r="M1060" s="7">
        <f t="shared" si="16"/>
        <v>56496</v>
      </c>
      <c r="N1060" s="4"/>
      <c r="O1060" s="9"/>
    </row>
    <row r="1061" spans="1:15" ht="20" x14ac:dyDescent="0.2">
      <c r="A1061" s="3">
        <v>1057</v>
      </c>
      <c r="B1061" s="19" t="s">
        <v>3722</v>
      </c>
      <c r="C1061" s="4" t="s">
        <v>3723</v>
      </c>
      <c r="D1061" s="4" t="s">
        <v>1616</v>
      </c>
      <c r="E1061" s="4"/>
      <c r="F1061" s="8"/>
      <c r="G1061" s="8"/>
      <c r="H1061" s="8"/>
      <c r="I1061" s="8"/>
      <c r="J1061" s="8"/>
      <c r="K1061" s="8">
        <v>20</v>
      </c>
      <c r="L1061" s="18">
        <v>4280</v>
      </c>
      <c r="M1061" s="7">
        <f t="shared" si="16"/>
        <v>85600</v>
      </c>
      <c r="N1061" s="4"/>
      <c r="O1061" s="9"/>
    </row>
    <row r="1062" spans="1:15" ht="20" x14ac:dyDescent="0.2">
      <c r="A1062" s="3">
        <v>1058</v>
      </c>
      <c r="B1062" s="19" t="s">
        <v>3724</v>
      </c>
      <c r="C1062" s="4" t="s">
        <v>3725</v>
      </c>
      <c r="D1062" s="4" t="s">
        <v>1616</v>
      </c>
      <c r="E1062" s="4"/>
      <c r="F1062" s="8"/>
      <c r="G1062" s="8"/>
      <c r="H1062" s="8"/>
      <c r="I1062" s="8"/>
      <c r="J1062" s="8"/>
      <c r="K1062" s="8">
        <v>0</v>
      </c>
      <c r="L1062" s="18">
        <v>0</v>
      </c>
      <c r="M1062" s="7">
        <f t="shared" si="16"/>
        <v>0</v>
      </c>
      <c r="N1062" s="4"/>
      <c r="O1062" s="9"/>
    </row>
    <row r="1063" spans="1:15" ht="20" x14ac:dyDescent="0.2">
      <c r="A1063" s="3">
        <v>1059</v>
      </c>
      <c r="B1063" s="19" t="s">
        <v>3726</v>
      </c>
      <c r="C1063" s="4" t="s">
        <v>3727</v>
      </c>
      <c r="D1063" s="4" t="s">
        <v>1616</v>
      </c>
      <c r="E1063" s="4"/>
      <c r="F1063" s="8"/>
      <c r="G1063" s="8"/>
      <c r="H1063" s="8"/>
      <c r="I1063" s="8"/>
      <c r="J1063" s="8"/>
      <c r="K1063" s="8">
        <v>0</v>
      </c>
      <c r="L1063" s="18">
        <v>0</v>
      </c>
      <c r="M1063" s="7">
        <f t="shared" si="16"/>
        <v>0</v>
      </c>
      <c r="N1063" s="4"/>
      <c r="O1063" s="9"/>
    </row>
    <row r="1064" spans="1:15" ht="20" x14ac:dyDescent="0.35">
      <c r="A1064" s="10" t="s">
        <v>86</v>
      </c>
      <c r="B1064" s="20"/>
      <c r="C1064" s="11"/>
      <c r="D1064" s="11"/>
      <c r="E1064" s="11"/>
      <c r="F1064" s="11"/>
      <c r="G1064" s="11"/>
      <c r="H1064" s="11"/>
      <c r="I1064" s="11"/>
      <c r="J1064" s="11"/>
      <c r="K1064" s="13">
        <f>SUM(K5:K1063)</f>
        <v>2760254</v>
      </c>
      <c r="L1064" s="11"/>
      <c r="M1064" s="13">
        <f>SUM(M5:M1063)</f>
        <v>572516952.37999988</v>
      </c>
      <c r="N1064" s="11"/>
      <c r="O1064" s="11"/>
    </row>
    <row r="1065" spans="1:15" x14ac:dyDescent="0.2">
      <c r="A1065" s="23" t="s">
        <v>3728</v>
      </c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</row>
  </sheetData>
  <autoFilter ref="A4:O1063" xr:uid="{00000000-0009-0000-0000-00000A000000}"/>
  <mergeCells count="5">
    <mergeCell ref="E2:G2"/>
    <mergeCell ref="I2:J2"/>
    <mergeCell ref="A1:O1"/>
    <mergeCell ref="F3:O3"/>
    <mergeCell ref="A1065:O1065"/>
  </mergeCells>
  <conditionalFormatting sqref="E3">
    <cfRule type="cellIs" dxfId="37" priority="1" operator="greaterThan">
      <formula>0.009</formula>
    </cfRule>
    <cfRule type="cellIs" dxfId="36" priority="2" operator="lessThan">
      <formula>-0.009</formula>
    </cfRule>
  </conditionalFormatting>
  <dataValidations count="1">
    <dataValidation type="list" allowBlank="1" sqref="O5:O1063" xr:uid="{00000000-0002-0000-0A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ยา · DBR/2570/0013</oddHeader>
    <oddFooter>&amp;Lส่งออกจากฐาน VPK-S1 วันที่ 12 ต.ค. 2569&amp;Rหน้า &amp;P / 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6848"/>
    <pageSetUpPr fitToPage="1"/>
  </sheetPr>
  <dimension ref="A1:O114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3729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39</v>
      </c>
      <c r="D2" s="14" t="s">
        <v>7</v>
      </c>
      <c r="E2" s="24" t="s">
        <v>38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11563020.9</v>
      </c>
      <c r="D3" s="15" t="s">
        <v>94</v>
      </c>
      <c r="E3" s="17">
        <f>M113-C3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3730</v>
      </c>
      <c r="D5" s="4" t="s">
        <v>3731</v>
      </c>
      <c r="E5" s="4" t="s">
        <v>267</v>
      </c>
      <c r="F5" s="8"/>
      <c r="G5" s="8"/>
      <c r="H5" s="8"/>
      <c r="I5" s="8"/>
      <c r="J5" s="8"/>
      <c r="K5" s="8">
        <v>80</v>
      </c>
      <c r="L5" s="18">
        <v>35.31</v>
      </c>
      <c r="M5" s="7">
        <f t="shared" ref="M5:M36" si="0">IF(OR(K5="",L5=""),"",K5*L5)</f>
        <v>2824.8</v>
      </c>
      <c r="N5" s="4"/>
      <c r="O5" s="9"/>
    </row>
    <row r="6" spans="1:15" ht="20" customHeight="1" x14ac:dyDescent="0.2">
      <c r="A6" s="3">
        <v>2</v>
      </c>
      <c r="B6" s="19"/>
      <c r="C6" s="4" t="s">
        <v>3732</v>
      </c>
      <c r="D6" s="4" t="s">
        <v>3731</v>
      </c>
      <c r="E6" s="4" t="s">
        <v>3733</v>
      </c>
      <c r="F6" s="8"/>
      <c r="G6" s="8"/>
      <c r="H6" s="8"/>
      <c r="I6" s="8"/>
      <c r="J6" s="8"/>
      <c r="K6" s="8">
        <v>2</v>
      </c>
      <c r="L6" s="18">
        <v>353.1</v>
      </c>
      <c r="M6" s="7">
        <f t="shared" si="0"/>
        <v>706.2</v>
      </c>
      <c r="N6" s="4"/>
      <c r="O6" s="9"/>
    </row>
    <row r="7" spans="1:15" ht="20" customHeight="1" x14ac:dyDescent="0.2">
      <c r="A7" s="3">
        <v>3</v>
      </c>
      <c r="B7" s="19"/>
      <c r="C7" s="4" t="s">
        <v>3734</v>
      </c>
      <c r="D7" s="4" t="s">
        <v>3731</v>
      </c>
      <c r="E7" s="4" t="s">
        <v>110</v>
      </c>
      <c r="F7" s="8"/>
      <c r="G7" s="8"/>
      <c r="H7" s="8"/>
      <c r="I7" s="8"/>
      <c r="J7" s="8"/>
      <c r="K7" s="8">
        <v>0</v>
      </c>
      <c r="L7" s="18">
        <v>192.6</v>
      </c>
      <c r="M7" s="7">
        <f t="shared" si="0"/>
        <v>0</v>
      </c>
      <c r="N7" s="4"/>
      <c r="O7" s="9"/>
    </row>
    <row r="8" spans="1:15" ht="20" customHeight="1" x14ac:dyDescent="0.2">
      <c r="A8" s="3">
        <v>4</v>
      </c>
      <c r="B8" s="19"/>
      <c r="C8" s="4" t="s">
        <v>3735</v>
      </c>
      <c r="D8" s="4" t="s">
        <v>3731</v>
      </c>
      <c r="E8" s="4" t="s">
        <v>110</v>
      </c>
      <c r="F8" s="8"/>
      <c r="G8" s="8"/>
      <c r="H8" s="8"/>
      <c r="I8" s="8"/>
      <c r="J8" s="8"/>
      <c r="K8" s="8">
        <v>0</v>
      </c>
      <c r="L8" s="18">
        <v>642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3736</v>
      </c>
      <c r="D9" s="4" t="s">
        <v>3731</v>
      </c>
      <c r="E9" s="4" t="s">
        <v>110</v>
      </c>
      <c r="F9" s="8"/>
      <c r="G9" s="8"/>
      <c r="H9" s="8"/>
      <c r="I9" s="8"/>
      <c r="J9" s="8"/>
      <c r="K9" s="8">
        <v>5</v>
      </c>
      <c r="L9" s="18">
        <v>10165</v>
      </c>
      <c r="M9" s="7">
        <f t="shared" si="0"/>
        <v>50825</v>
      </c>
      <c r="N9" s="4"/>
      <c r="O9" s="9"/>
    </row>
    <row r="10" spans="1:15" ht="20" customHeight="1" x14ac:dyDescent="0.2">
      <c r="A10" s="3">
        <v>6</v>
      </c>
      <c r="B10" s="19"/>
      <c r="C10" s="4" t="s">
        <v>3737</v>
      </c>
      <c r="D10" s="4" t="s">
        <v>3731</v>
      </c>
      <c r="E10" s="4" t="s">
        <v>265</v>
      </c>
      <c r="F10" s="8"/>
      <c r="G10" s="8"/>
      <c r="H10" s="8"/>
      <c r="I10" s="8"/>
      <c r="J10" s="8"/>
      <c r="K10" s="8">
        <v>300</v>
      </c>
      <c r="L10" s="18">
        <v>250</v>
      </c>
      <c r="M10" s="7">
        <f t="shared" si="0"/>
        <v>75000</v>
      </c>
      <c r="N10" s="4"/>
      <c r="O10" s="9"/>
    </row>
    <row r="11" spans="1:15" ht="20" customHeight="1" x14ac:dyDescent="0.2">
      <c r="A11" s="3">
        <v>7</v>
      </c>
      <c r="B11" s="19"/>
      <c r="C11" s="4" t="s">
        <v>3738</v>
      </c>
      <c r="D11" s="4" t="s">
        <v>3731</v>
      </c>
      <c r="E11" s="4" t="s">
        <v>684</v>
      </c>
      <c r="F11" s="8"/>
      <c r="G11" s="8"/>
      <c r="H11" s="8"/>
      <c r="I11" s="8"/>
      <c r="J11" s="8"/>
      <c r="K11" s="8">
        <v>600</v>
      </c>
      <c r="L11" s="18">
        <v>2750</v>
      </c>
      <c r="M11" s="7">
        <f t="shared" si="0"/>
        <v>1650000</v>
      </c>
      <c r="N11" s="4"/>
      <c r="O11" s="9"/>
    </row>
    <row r="12" spans="1:15" ht="20" customHeight="1" x14ac:dyDescent="0.2">
      <c r="A12" s="3">
        <v>8</v>
      </c>
      <c r="B12" s="19"/>
      <c r="C12" s="4" t="s">
        <v>3739</v>
      </c>
      <c r="D12" s="4" t="s">
        <v>3731</v>
      </c>
      <c r="E12" s="4" t="s">
        <v>3740</v>
      </c>
      <c r="F12" s="8"/>
      <c r="G12" s="8"/>
      <c r="H12" s="8"/>
      <c r="I12" s="8"/>
      <c r="J12" s="8"/>
      <c r="K12" s="8">
        <v>25</v>
      </c>
      <c r="L12" s="18">
        <v>107</v>
      </c>
      <c r="M12" s="7">
        <f t="shared" si="0"/>
        <v>2675</v>
      </c>
      <c r="N12" s="4"/>
      <c r="O12" s="9"/>
    </row>
    <row r="13" spans="1:15" ht="20" customHeight="1" x14ac:dyDescent="0.2">
      <c r="A13" s="3">
        <v>9</v>
      </c>
      <c r="B13" s="19"/>
      <c r="C13" s="4" t="s">
        <v>3741</v>
      </c>
      <c r="D13" s="4" t="s">
        <v>3731</v>
      </c>
      <c r="E13" s="4" t="s">
        <v>267</v>
      </c>
      <c r="F13" s="8"/>
      <c r="G13" s="8"/>
      <c r="H13" s="8"/>
      <c r="I13" s="8"/>
      <c r="J13" s="8"/>
      <c r="K13" s="8">
        <v>40</v>
      </c>
      <c r="L13" s="18">
        <v>963</v>
      </c>
      <c r="M13" s="7">
        <f t="shared" si="0"/>
        <v>38520</v>
      </c>
      <c r="N13" s="4"/>
      <c r="O13" s="9"/>
    </row>
    <row r="14" spans="1:15" ht="20" customHeight="1" x14ac:dyDescent="0.2">
      <c r="A14" s="3">
        <v>10</v>
      </c>
      <c r="B14" s="19"/>
      <c r="C14" s="4" t="s">
        <v>3742</v>
      </c>
      <c r="D14" s="4" t="s">
        <v>3731</v>
      </c>
      <c r="E14" s="4" t="s">
        <v>267</v>
      </c>
      <c r="F14" s="8"/>
      <c r="G14" s="8"/>
      <c r="H14" s="8"/>
      <c r="I14" s="8"/>
      <c r="J14" s="8"/>
      <c r="K14" s="8">
        <v>15</v>
      </c>
      <c r="L14" s="18">
        <v>662.3</v>
      </c>
      <c r="M14" s="7">
        <f t="shared" si="0"/>
        <v>9934.5</v>
      </c>
      <c r="N14" s="4"/>
      <c r="O14" s="9"/>
    </row>
    <row r="15" spans="1:15" ht="20" customHeight="1" x14ac:dyDescent="0.2">
      <c r="A15" s="3">
        <v>11</v>
      </c>
      <c r="B15" s="19"/>
      <c r="C15" s="4" t="s">
        <v>3743</v>
      </c>
      <c r="D15" s="4" t="s">
        <v>3731</v>
      </c>
      <c r="E15" s="4" t="s">
        <v>267</v>
      </c>
      <c r="F15" s="8"/>
      <c r="G15" s="8"/>
      <c r="H15" s="8"/>
      <c r="I15" s="8"/>
      <c r="J15" s="8"/>
      <c r="K15" s="8">
        <v>1</v>
      </c>
      <c r="L15" s="18">
        <v>2996</v>
      </c>
      <c r="M15" s="7">
        <f t="shared" si="0"/>
        <v>2996</v>
      </c>
      <c r="N15" s="4"/>
      <c r="O15" s="9"/>
    </row>
    <row r="16" spans="1:15" ht="20" customHeight="1" x14ac:dyDescent="0.2">
      <c r="A16" s="3">
        <v>12</v>
      </c>
      <c r="B16" s="19"/>
      <c r="C16" s="4" t="s">
        <v>3744</v>
      </c>
      <c r="D16" s="4" t="s">
        <v>3731</v>
      </c>
      <c r="E16" s="4" t="s">
        <v>3740</v>
      </c>
      <c r="F16" s="8"/>
      <c r="G16" s="8"/>
      <c r="H16" s="8"/>
      <c r="I16" s="8"/>
      <c r="J16" s="8"/>
      <c r="K16" s="8">
        <v>40</v>
      </c>
      <c r="L16" s="18">
        <v>1712</v>
      </c>
      <c r="M16" s="7">
        <f t="shared" si="0"/>
        <v>68480</v>
      </c>
      <c r="N16" s="4"/>
      <c r="O16" s="9"/>
    </row>
    <row r="17" spans="1:15" ht="20" customHeight="1" x14ac:dyDescent="0.2">
      <c r="A17" s="3">
        <v>13</v>
      </c>
      <c r="B17" s="19"/>
      <c r="C17" s="4" t="s">
        <v>3745</v>
      </c>
      <c r="D17" s="4" t="s">
        <v>3731</v>
      </c>
      <c r="E17" s="4" t="s">
        <v>684</v>
      </c>
      <c r="F17" s="8"/>
      <c r="G17" s="8"/>
      <c r="H17" s="8"/>
      <c r="I17" s="8"/>
      <c r="J17" s="8"/>
      <c r="K17" s="8">
        <v>140</v>
      </c>
      <c r="L17" s="18">
        <v>486</v>
      </c>
      <c r="M17" s="7">
        <f t="shared" si="0"/>
        <v>68040</v>
      </c>
      <c r="N17" s="4"/>
      <c r="O17" s="9"/>
    </row>
    <row r="18" spans="1:15" ht="20" customHeight="1" x14ac:dyDescent="0.2">
      <c r="A18" s="3">
        <v>14</v>
      </c>
      <c r="B18" s="19"/>
      <c r="C18" s="4" t="s">
        <v>3746</v>
      </c>
      <c r="D18" s="4" t="s">
        <v>3731</v>
      </c>
      <c r="E18" s="4" t="s">
        <v>684</v>
      </c>
      <c r="F18" s="8"/>
      <c r="G18" s="8"/>
      <c r="H18" s="8"/>
      <c r="I18" s="8"/>
      <c r="J18" s="8"/>
      <c r="K18" s="8">
        <v>20</v>
      </c>
      <c r="L18" s="18">
        <v>513.6</v>
      </c>
      <c r="M18" s="7">
        <f t="shared" si="0"/>
        <v>10272</v>
      </c>
      <c r="N18" s="4"/>
      <c r="O18" s="9"/>
    </row>
    <row r="19" spans="1:15" ht="20" customHeight="1" x14ac:dyDescent="0.2">
      <c r="A19" s="3">
        <v>15</v>
      </c>
      <c r="B19" s="19"/>
      <c r="C19" s="4" t="s">
        <v>3747</v>
      </c>
      <c r="D19" s="4" t="s">
        <v>3731</v>
      </c>
      <c r="E19" s="4" t="s">
        <v>110</v>
      </c>
      <c r="F19" s="8"/>
      <c r="G19" s="8"/>
      <c r="H19" s="8"/>
      <c r="I19" s="8"/>
      <c r="J19" s="8"/>
      <c r="K19" s="8">
        <v>60</v>
      </c>
      <c r="L19" s="18">
        <v>2996</v>
      </c>
      <c r="M19" s="7">
        <f t="shared" si="0"/>
        <v>179760</v>
      </c>
      <c r="N19" s="4"/>
      <c r="O19" s="9"/>
    </row>
    <row r="20" spans="1:15" ht="20" customHeight="1" x14ac:dyDescent="0.2">
      <c r="A20" s="3">
        <v>16</v>
      </c>
      <c r="B20" s="19"/>
      <c r="C20" s="4" t="s">
        <v>3748</v>
      </c>
      <c r="D20" s="4" t="s">
        <v>3731</v>
      </c>
      <c r="E20" s="4" t="s">
        <v>267</v>
      </c>
      <c r="F20" s="8"/>
      <c r="G20" s="8"/>
      <c r="H20" s="8"/>
      <c r="I20" s="8"/>
      <c r="J20" s="8"/>
      <c r="K20" s="8">
        <v>5</v>
      </c>
      <c r="L20" s="18">
        <v>3210</v>
      </c>
      <c r="M20" s="7">
        <f t="shared" si="0"/>
        <v>16050</v>
      </c>
      <c r="N20" s="4"/>
      <c r="O20" s="9"/>
    </row>
    <row r="21" spans="1:15" ht="20" customHeight="1" x14ac:dyDescent="0.2">
      <c r="A21" s="3">
        <v>17</v>
      </c>
      <c r="B21" s="19"/>
      <c r="C21" s="4" t="s">
        <v>3749</v>
      </c>
      <c r="D21" s="4" t="s">
        <v>3731</v>
      </c>
      <c r="E21" s="4" t="s">
        <v>267</v>
      </c>
      <c r="F21" s="8"/>
      <c r="G21" s="8"/>
      <c r="H21" s="8"/>
      <c r="I21" s="8"/>
      <c r="J21" s="8"/>
      <c r="K21" s="8">
        <v>36</v>
      </c>
      <c r="L21" s="18">
        <v>101.65</v>
      </c>
      <c r="M21" s="7">
        <f t="shared" si="0"/>
        <v>3659.4</v>
      </c>
      <c r="N21" s="4"/>
      <c r="O21" s="9"/>
    </row>
    <row r="22" spans="1:15" ht="20" customHeight="1" x14ac:dyDescent="0.2">
      <c r="A22" s="3">
        <v>18</v>
      </c>
      <c r="B22" s="19"/>
      <c r="C22" s="4" t="s">
        <v>3750</v>
      </c>
      <c r="D22" s="4" t="s">
        <v>3731</v>
      </c>
      <c r="E22" s="4" t="s">
        <v>110</v>
      </c>
      <c r="F22" s="8"/>
      <c r="G22" s="8"/>
      <c r="H22" s="8"/>
      <c r="I22" s="8"/>
      <c r="J22" s="8"/>
      <c r="K22" s="8">
        <v>300</v>
      </c>
      <c r="L22" s="18">
        <v>428</v>
      </c>
      <c r="M22" s="7">
        <f t="shared" si="0"/>
        <v>128400</v>
      </c>
      <c r="N22" s="4"/>
      <c r="O22" s="9"/>
    </row>
    <row r="23" spans="1:15" ht="20" customHeight="1" x14ac:dyDescent="0.2">
      <c r="A23" s="3">
        <v>19</v>
      </c>
      <c r="B23" s="19"/>
      <c r="C23" s="4" t="s">
        <v>3751</v>
      </c>
      <c r="D23" s="4" t="s">
        <v>3731</v>
      </c>
      <c r="E23" s="4" t="s">
        <v>110</v>
      </c>
      <c r="F23" s="8"/>
      <c r="G23" s="8"/>
      <c r="H23" s="8"/>
      <c r="I23" s="8"/>
      <c r="J23" s="8"/>
      <c r="K23" s="8">
        <v>5</v>
      </c>
      <c r="L23" s="18">
        <v>909.5</v>
      </c>
      <c r="M23" s="7">
        <f t="shared" si="0"/>
        <v>4547.5</v>
      </c>
      <c r="N23" s="4"/>
      <c r="O23" s="9"/>
    </row>
    <row r="24" spans="1:15" ht="20" customHeight="1" x14ac:dyDescent="0.2">
      <c r="A24" s="3">
        <v>20</v>
      </c>
      <c r="B24" s="19"/>
      <c r="C24" s="4" t="s">
        <v>3752</v>
      </c>
      <c r="D24" s="4" t="s">
        <v>3731</v>
      </c>
      <c r="E24" s="4" t="s">
        <v>110</v>
      </c>
      <c r="F24" s="8"/>
      <c r="G24" s="8"/>
      <c r="H24" s="8"/>
      <c r="I24" s="8"/>
      <c r="J24" s="8"/>
      <c r="K24" s="8">
        <v>8</v>
      </c>
      <c r="L24" s="18">
        <v>342.4</v>
      </c>
      <c r="M24" s="7">
        <f t="shared" si="0"/>
        <v>2739.2</v>
      </c>
      <c r="N24" s="4"/>
      <c r="O24" s="9"/>
    </row>
    <row r="25" spans="1:15" ht="20" customHeight="1" x14ac:dyDescent="0.2">
      <c r="A25" s="3">
        <v>21</v>
      </c>
      <c r="B25" s="19"/>
      <c r="C25" s="4" t="s">
        <v>3753</v>
      </c>
      <c r="D25" s="4" t="s">
        <v>3731</v>
      </c>
      <c r="E25" s="4" t="s">
        <v>110</v>
      </c>
      <c r="F25" s="8"/>
      <c r="G25" s="8"/>
      <c r="H25" s="8"/>
      <c r="I25" s="8">
        <v>2060</v>
      </c>
      <c r="J25" s="8"/>
      <c r="K25" s="8">
        <v>4000</v>
      </c>
      <c r="L25" s="18">
        <v>79.180000000000007</v>
      </c>
      <c r="M25" s="7">
        <f t="shared" si="0"/>
        <v>316720</v>
      </c>
      <c r="N25" s="4"/>
      <c r="O25" s="9"/>
    </row>
    <row r="26" spans="1:15" ht="20" customHeight="1" x14ac:dyDescent="0.2">
      <c r="A26" s="3">
        <v>22</v>
      </c>
      <c r="B26" s="19"/>
      <c r="C26" s="4" t="s">
        <v>3754</v>
      </c>
      <c r="D26" s="4" t="s">
        <v>3731</v>
      </c>
      <c r="E26" s="4" t="s">
        <v>137</v>
      </c>
      <c r="F26" s="8"/>
      <c r="G26" s="8"/>
      <c r="H26" s="8"/>
      <c r="I26" s="8"/>
      <c r="J26" s="8"/>
      <c r="K26" s="8">
        <v>15</v>
      </c>
      <c r="L26" s="18">
        <v>2300</v>
      </c>
      <c r="M26" s="7">
        <f t="shared" si="0"/>
        <v>34500</v>
      </c>
      <c r="N26" s="4"/>
      <c r="O26" s="9"/>
    </row>
    <row r="27" spans="1:15" ht="20" customHeight="1" x14ac:dyDescent="0.2">
      <c r="A27" s="3">
        <v>23</v>
      </c>
      <c r="B27" s="19"/>
      <c r="C27" s="4" t="s">
        <v>3755</v>
      </c>
      <c r="D27" s="4" t="s">
        <v>3731</v>
      </c>
      <c r="E27" s="4" t="s">
        <v>267</v>
      </c>
      <c r="F27" s="8"/>
      <c r="G27" s="8"/>
      <c r="H27" s="8"/>
      <c r="I27" s="8"/>
      <c r="J27" s="8"/>
      <c r="K27" s="8">
        <v>5</v>
      </c>
      <c r="L27" s="18">
        <v>1819</v>
      </c>
      <c r="M27" s="7">
        <f t="shared" si="0"/>
        <v>9095</v>
      </c>
      <c r="N27" s="4"/>
      <c r="O27" s="9"/>
    </row>
    <row r="28" spans="1:15" ht="20" customHeight="1" x14ac:dyDescent="0.2">
      <c r="A28" s="3">
        <v>24</v>
      </c>
      <c r="B28" s="19"/>
      <c r="C28" s="4" t="s">
        <v>3756</v>
      </c>
      <c r="D28" s="4" t="s">
        <v>3731</v>
      </c>
      <c r="E28" s="4" t="s">
        <v>110</v>
      </c>
      <c r="F28" s="8"/>
      <c r="G28" s="8"/>
      <c r="H28" s="8"/>
      <c r="I28" s="8"/>
      <c r="J28" s="8"/>
      <c r="K28" s="8">
        <v>2</v>
      </c>
      <c r="L28" s="18">
        <v>107</v>
      </c>
      <c r="M28" s="7">
        <f t="shared" si="0"/>
        <v>214</v>
      </c>
      <c r="N28" s="4"/>
      <c r="O28" s="9"/>
    </row>
    <row r="29" spans="1:15" ht="20" customHeight="1" x14ac:dyDescent="0.2">
      <c r="A29" s="3">
        <v>25</v>
      </c>
      <c r="B29" s="19"/>
      <c r="C29" s="4" t="s">
        <v>3757</v>
      </c>
      <c r="D29" s="4" t="s">
        <v>3731</v>
      </c>
      <c r="E29" s="4" t="s">
        <v>110</v>
      </c>
      <c r="F29" s="8"/>
      <c r="G29" s="8"/>
      <c r="H29" s="8"/>
      <c r="I29" s="8"/>
      <c r="J29" s="8"/>
      <c r="K29" s="8">
        <v>2</v>
      </c>
      <c r="L29" s="18">
        <v>3210</v>
      </c>
      <c r="M29" s="7">
        <f t="shared" si="0"/>
        <v>6420</v>
      </c>
      <c r="N29" s="4"/>
      <c r="O29" s="9"/>
    </row>
    <row r="30" spans="1:15" ht="20" customHeight="1" x14ac:dyDescent="0.2">
      <c r="A30" s="3">
        <v>26</v>
      </c>
      <c r="B30" s="19"/>
      <c r="C30" s="4" t="s">
        <v>3758</v>
      </c>
      <c r="D30" s="4" t="s">
        <v>3731</v>
      </c>
      <c r="E30" s="4" t="s">
        <v>110</v>
      </c>
      <c r="F30" s="8"/>
      <c r="G30" s="8"/>
      <c r="H30" s="8"/>
      <c r="I30" s="8"/>
      <c r="J30" s="8"/>
      <c r="K30" s="8">
        <v>6</v>
      </c>
      <c r="L30" s="18">
        <v>374.5</v>
      </c>
      <c r="M30" s="7">
        <f t="shared" si="0"/>
        <v>2247</v>
      </c>
      <c r="N30" s="4"/>
      <c r="O30" s="9"/>
    </row>
    <row r="31" spans="1:15" ht="20" customHeight="1" x14ac:dyDescent="0.2">
      <c r="A31" s="3">
        <v>27</v>
      </c>
      <c r="B31" s="19"/>
      <c r="C31" s="4" t="s">
        <v>3759</v>
      </c>
      <c r="D31" s="4" t="s">
        <v>3731</v>
      </c>
      <c r="E31" s="4" t="s">
        <v>267</v>
      </c>
      <c r="F31" s="8"/>
      <c r="G31" s="8"/>
      <c r="H31" s="8"/>
      <c r="I31" s="8"/>
      <c r="J31" s="8"/>
      <c r="K31" s="8">
        <v>150</v>
      </c>
      <c r="L31" s="18">
        <v>74.900000000000006</v>
      </c>
      <c r="M31" s="7">
        <f t="shared" si="0"/>
        <v>11235</v>
      </c>
      <c r="N31" s="4"/>
      <c r="O31" s="9"/>
    </row>
    <row r="32" spans="1:15" ht="20" customHeight="1" x14ac:dyDescent="0.2">
      <c r="A32" s="3">
        <v>28</v>
      </c>
      <c r="B32" s="19"/>
      <c r="C32" s="4" t="s">
        <v>3760</v>
      </c>
      <c r="D32" s="4" t="s">
        <v>3731</v>
      </c>
      <c r="E32" s="4" t="s">
        <v>267</v>
      </c>
      <c r="F32" s="8"/>
      <c r="G32" s="8"/>
      <c r="H32" s="8"/>
      <c r="I32" s="8"/>
      <c r="J32" s="8"/>
      <c r="K32" s="8">
        <v>8000</v>
      </c>
      <c r="L32" s="18">
        <v>150</v>
      </c>
      <c r="M32" s="7">
        <f t="shared" si="0"/>
        <v>1200000</v>
      </c>
      <c r="N32" s="4"/>
      <c r="O32" s="9"/>
    </row>
    <row r="33" spans="1:15" ht="20" customHeight="1" x14ac:dyDescent="0.2">
      <c r="A33" s="3">
        <v>29</v>
      </c>
      <c r="B33" s="19"/>
      <c r="C33" s="4" t="s">
        <v>3761</v>
      </c>
      <c r="D33" s="4" t="s">
        <v>3731</v>
      </c>
      <c r="E33" s="4" t="s">
        <v>684</v>
      </c>
      <c r="F33" s="8"/>
      <c r="G33" s="8"/>
      <c r="H33" s="8"/>
      <c r="I33" s="8"/>
      <c r="J33" s="8"/>
      <c r="K33" s="8">
        <v>400</v>
      </c>
      <c r="L33" s="18">
        <v>750</v>
      </c>
      <c r="M33" s="7">
        <f t="shared" si="0"/>
        <v>300000</v>
      </c>
      <c r="N33" s="4"/>
      <c r="O33" s="9"/>
    </row>
    <row r="34" spans="1:15" ht="20" customHeight="1" x14ac:dyDescent="0.2">
      <c r="A34" s="3">
        <v>30</v>
      </c>
      <c r="B34" s="19"/>
      <c r="C34" s="4" t="s">
        <v>3762</v>
      </c>
      <c r="D34" s="4" t="s">
        <v>3731</v>
      </c>
      <c r="E34" s="4" t="s">
        <v>110</v>
      </c>
      <c r="F34" s="8"/>
      <c r="G34" s="8"/>
      <c r="H34" s="8"/>
      <c r="I34" s="8"/>
      <c r="J34" s="8"/>
      <c r="K34" s="8">
        <v>10</v>
      </c>
      <c r="L34" s="18">
        <v>2675</v>
      </c>
      <c r="M34" s="7">
        <f t="shared" si="0"/>
        <v>26750</v>
      </c>
      <c r="N34" s="4"/>
      <c r="O34" s="9"/>
    </row>
    <row r="35" spans="1:15" ht="20" customHeight="1" x14ac:dyDescent="0.2">
      <c r="A35" s="3">
        <v>31</v>
      </c>
      <c r="B35" s="19"/>
      <c r="C35" s="4" t="s">
        <v>3763</v>
      </c>
      <c r="D35" s="4" t="s">
        <v>3731</v>
      </c>
      <c r="E35" s="4" t="s">
        <v>110</v>
      </c>
      <c r="F35" s="8"/>
      <c r="G35" s="8"/>
      <c r="H35" s="8"/>
      <c r="I35" s="8"/>
      <c r="J35" s="8"/>
      <c r="K35" s="8">
        <v>1</v>
      </c>
      <c r="L35" s="18">
        <v>1498</v>
      </c>
      <c r="M35" s="7">
        <f t="shared" si="0"/>
        <v>1498</v>
      </c>
      <c r="N35" s="4"/>
      <c r="O35" s="9"/>
    </row>
    <row r="36" spans="1:15" ht="20" customHeight="1" x14ac:dyDescent="0.2">
      <c r="A36" s="3">
        <v>32</v>
      </c>
      <c r="B36" s="19"/>
      <c r="C36" s="4" t="s">
        <v>3764</v>
      </c>
      <c r="D36" s="4" t="s">
        <v>3731</v>
      </c>
      <c r="E36" s="4" t="s">
        <v>110</v>
      </c>
      <c r="F36" s="8"/>
      <c r="G36" s="8"/>
      <c r="H36" s="8"/>
      <c r="I36" s="8"/>
      <c r="J36" s="8"/>
      <c r="K36" s="8">
        <v>40</v>
      </c>
      <c r="L36" s="18">
        <v>299.60000000000002</v>
      </c>
      <c r="M36" s="7">
        <f t="shared" si="0"/>
        <v>11984</v>
      </c>
      <c r="N36" s="4"/>
      <c r="O36" s="9"/>
    </row>
    <row r="37" spans="1:15" ht="20" customHeight="1" x14ac:dyDescent="0.2">
      <c r="A37" s="3">
        <v>33</v>
      </c>
      <c r="B37" s="19"/>
      <c r="C37" s="4" t="s">
        <v>3765</v>
      </c>
      <c r="D37" s="4" t="s">
        <v>3731</v>
      </c>
      <c r="E37" s="4" t="s">
        <v>267</v>
      </c>
      <c r="F37" s="8"/>
      <c r="G37" s="8"/>
      <c r="H37" s="8"/>
      <c r="I37" s="8"/>
      <c r="J37" s="8"/>
      <c r="K37" s="8">
        <v>3</v>
      </c>
      <c r="L37" s="18">
        <v>7490</v>
      </c>
      <c r="M37" s="7">
        <f t="shared" ref="M37:M68" si="1">IF(OR(K37="",L37=""),"",K37*L37)</f>
        <v>22470</v>
      </c>
      <c r="N37" s="4"/>
      <c r="O37" s="9"/>
    </row>
    <row r="38" spans="1:15" ht="20" customHeight="1" x14ac:dyDescent="0.2">
      <c r="A38" s="3">
        <v>34</v>
      </c>
      <c r="B38" s="19"/>
      <c r="C38" s="4" t="s">
        <v>3766</v>
      </c>
      <c r="D38" s="4" t="s">
        <v>3731</v>
      </c>
      <c r="E38" s="4" t="s">
        <v>110</v>
      </c>
      <c r="F38" s="8"/>
      <c r="G38" s="8"/>
      <c r="H38" s="8"/>
      <c r="I38" s="8"/>
      <c r="J38" s="8"/>
      <c r="K38" s="8">
        <v>1</v>
      </c>
      <c r="L38" s="18">
        <v>192.6</v>
      </c>
      <c r="M38" s="7">
        <f t="shared" si="1"/>
        <v>192.6</v>
      </c>
      <c r="N38" s="4"/>
      <c r="O38" s="9"/>
    </row>
    <row r="39" spans="1:15" ht="20" customHeight="1" x14ac:dyDescent="0.2">
      <c r="A39" s="3">
        <v>35</v>
      </c>
      <c r="B39" s="19"/>
      <c r="C39" s="4" t="s">
        <v>3767</v>
      </c>
      <c r="D39" s="4" t="s">
        <v>3731</v>
      </c>
      <c r="E39" s="4" t="s">
        <v>3733</v>
      </c>
      <c r="F39" s="8"/>
      <c r="G39" s="8"/>
      <c r="H39" s="8"/>
      <c r="I39" s="8"/>
      <c r="J39" s="8"/>
      <c r="K39" s="8">
        <v>1</v>
      </c>
      <c r="L39" s="18">
        <v>85.6</v>
      </c>
      <c r="M39" s="7">
        <f t="shared" si="1"/>
        <v>85.6</v>
      </c>
      <c r="N39" s="4"/>
      <c r="O39" s="9"/>
    </row>
    <row r="40" spans="1:15" ht="20" customHeight="1" x14ac:dyDescent="0.2">
      <c r="A40" s="3">
        <v>36</v>
      </c>
      <c r="B40" s="19"/>
      <c r="C40" s="4" t="s">
        <v>3768</v>
      </c>
      <c r="D40" s="4" t="s">
        <v>3731</v>
      </c>
      <c r="E40" s="4" t="s">
        <v>110</v>
      </c>
      <c r="F40" s="8"/>
      <c r="G40" s="8"/>
      <c r="H40" s="8"/>
      <c r="I40" s="8"/>
      <c r="J40" s="8"/>
      <c r="K40" s="8">
        <v>10</v>
      </c>
      <c r="L40" s="18">
        <v>107</v>
      </c>
      <c r="M40" s="7">
        <f t="shared" si="1"/>
        <v>1070</v>
      </c>
      <c r="N40" s="4"/>
      <c r="O40" s="9"/>
    </row>
    <row r="41" spans="1:15" ht="20" customHeight="1" x14ac:dyDescent="0.2">
      <c r="A41" s="3">
        <v>37</v>
      </c>
      <c r="B41" s="19"/>
      <c r="C41" s="4" t="s">
        <v>3769</v>
      </c>
      <c r="D41" s="4" t="s">
        <v>3731</v>
      </c>
      <c r="E41" s="4" t="s">
        <v>3740</v>
      </c>
      <c r="F41" s="8"/>
      <c r="G41" s="8"/>
      <c r="H41" s="8"/>
      <c r="I41" s="8">
        <v>3400</v>
      </c>
      <c r="J41" s="8"/>
      <c r="K41" s="8">
        <v>15000</v>
      </c>
      <c r="L41" s="18">
        <v>17.2</v>
      </c>
      <c r="M41" s="7">
        <f t="shared" si="1"/>
        <v>258000</v>
      </c>
      <c r="N41" s="4"/>
      <c r="O41" s="9"/>
    </row>
    <row r="42" spans="1:15" ht="20" customHeight="1" x14ac:dyDescent="0.2">
      <c r="A42" s="3">
        <v>38</v>
      </c>
      <c r="B42" s="19"/>
      <c r="C42" s="4" t="s">
        <v>3770</v>
      </c>
      <c r="D42" s="4" t="s">
        <v>3731</v>
      </c>
      <c r="E42" s="4" t="s">
        <v>110</v>
      </c>
      <c r="F42" s="8"/>
      <c r="G42" s="8"/>
      <c r="H42" s="8"/>
      <c r="I42" s="8"/>
      <c r="J42" s="8"/>
      <c r="K42" s="8">
        <v>50</v>
      </c>
      <c r="L42" s="18">
        <v>214</v>
      </c>
      <c r="M42" s="7">
        <f t="shared" si="1"/>
        <v>10700</v>
      </c>
      <c r="N42" s="4"/>
      <c r="O42" s="9"/>
    </row>
    <row r="43" spans="1:15" ht="20" customHeight="1" x14ac:dyDescent="0.2">
      <c r="A43" s="3">
        <v>39</v>
      </c>
      <c r="B43" s="19"/>
      <c r="C43" s="4" t="s">
        <v>3771</v>
      </c>
      <c r="D43" s="4" t="s">
        <v>3731</v>
      </c>
      <c r="E43" s="4" t="s">
        <v>267</v>
      </c>
      <c r="F43" s="8"/>
      <c r="G43" s="8"/>
      <c r="H43" s="8"/>
      <c r="I43" s="8"/>
      <c r="J43" s="8"/>
      <c r="K43" s="8">
        <v>50</v>
      </c>
      <c r="L43" s="18">
        <v>520</v>
      </c>
      <c r="M43" s="7">
        <f t="shared" si="1"/>
        <v>26000</v>
      </c>
      <c r="N43" s="4"/>
      <c r="O43" s="9"/>
    </row>
    <row r="44" spans="1:15" ht="20" customHeight="1" x14ac:dyDescent="0.2">
      <c r="A44" s="3">
        <v>40</v>
      </c>
      <c r="B44" s="19"/>
      <c r="C44" s="4" t="s">
        <v>3772</v>
      </c>
      <c r="D44" s="4" t="s">
        <v>3731</v>
      </c>
      <c r="E44" s="4" t="s">
        <v>267</v>
      </c>
      <c r="F44" s="8"/>
      <c r="G44" s="8"/>
      <c r="H44" s="8"/>
      <c r="I44" s="8"/>
      <c r="J44" s="8"/>
      <c r="K44" s="8">
        <v>2</v>
      </c>
      <c r="L44" s="18">
        <v>1819</v>
      </c>
      <c r="M44" s="7">
        <f t="shared" si="1"/>
        <v>3638</v>
      </c>
      <c r="N44" s="4"/>
      <c r="O44" s="9"/>
    </row>
    <row r="45" spans="1:15" ht="20" customHeight="1" x14ac:dyDescent="0.2">
      <c r="A45" s="3">
        <v>41</v>
      </c>
      <c r="B45" s="19"/>
      <c r="C45" s="4" t="s">
        <v>3773</v>
      </c>
      <c r="D45" s="4" t="s">
        <v>3731</v>
      </c>
      <c r="E45" s="4" t="s">
        <v>110</v>
      </c>
      <c r="F45" s="8"/>
      <c r="G45" s="8"/>
      <c r="H45" s="8"/>
      <c r="I45" s="8"/>
      <c r="J45" s="8"/>
      <c r="K45" s="8">
        <v>5</v>
      </c>
      <c r="L45" s="18">
        <v>428</v>
      </c>
      <c r="M45" s="7">
        <f t="shared" si="1"/>
        <v>2140</v>
      </c>
      <c r="N45" s="4"/>
      <c r="O45" s="9"/>
    </row>
    <row r="46" spans="1:15" ht="20" customHeight="1" x14ac:dyDescent="0.2">
      <c r="A46" s="3">
        <v>42</v>
      </c>
      <c r="B46" s="19"/>
      <c r="C46" s="4" t="s">
        <v>3774</v>
      </c>
      <c r="D46" s="4" t="s">
        <v>3731</v>
      </c>
      <c r="E46" s="4" t="s">
        <v>3740</v>
      </c>
      <c r="F46" s="8"/>
      <c r="G46" s="8"/>
      <c r="H46" s="8"/>
      <c r="I46" s="8"/>
      <c r="J46" s="8"/>
      <c r="K46" s="8">
        <v>24200</v>
      </c>
      <c r="L46" s="18">
        <v>72</v>
      </c>
      <c r="M46" s="7">
        <f t="shared" si="1"/>
        <v>1742400</v>
      </c>
      <c r="N46" s="4"/>
      <c r="O46" s="9"/>
    </row>
    <row r="47" spans="1:15" ht="20" customHeight="1" x14ac:dyDescent="0.2">
      <c r="A47" s="3">
        <v>43</v>
      </c>
      <c r="B47" s="19"/>
      <c r="C47" s="4" t="s">
        <v>3775</v>
      </c>
      <c r="D47" s="4" t="s">
        <v>3731</v>
      </c>
      <c r="E47" s="4" t="s">
        <v>3740</v>
      </c>
      <c r="F47" s="8"/>
      <c r="G47" s="8"/>
      <c r="H47" s="8"/>
      <c r="I47" s="8"/>
      <c r="J47" s="8"/>
      <c r="K47" s="8">
        <v>3400</v>
      </c>
      <c r="L47" s="18">
        <v>76</v>
      </c>
      <c r="M47" s="7">
        <f t="shared" si="1"/>
        <v>258400</v>
      </c>
      <c r="N47" s="4"/>
      <c r="O47" s="9"/>
    </row>
    <row r="48" spans="1:15" ht="20" customHeight="1" x14ac:dyDescent="0.2">
      <c r="A48" s="3">
        <v>44</v>
      </c>
      <c r="B48" s="19"/>
      <c r="C48" s="4" t="s">
        <v>3776</v>
      </c>
      <c r="D48" s="4" t="s">
        <v>3731</v>
      </c>
      <c r="E48" s="4" t="s">
        <v>110</v>
      </c>
      <c r="F48" s="8"/>
      <c r="G48" s="8"/>
      <c r="H48" s="8"/>
      <c r="I48" s="8"/>
      <c r="J48" s="8"/>
      <c r="K48" s="8">
        <v>20</v>
      </c>
      <c r="L48" s="18">
        <v>160.5</v>
      </c>
      <c r="M48" s="7">
        <f t="shared" si="1"/>
        <v>3210</v>
      </c>
      <c r="N48" s="4"/>
      <c r="O48" s="9"/>
    </row>
    <row r="49" spans="1:15" ht="20" customHeight="1" x14ac:dyDescent="0.2">
      <c r="A49" s="3">
        <v>45</v>
      </c>
      <c r="B49" s="19"/>
      <c r="C49" s="4" t="s">
        <v>3777</v>
      </c>
      <c r="D49" s="4" t="s">
        <v>3731</v>
      </c>
      <c r="E49" s="4" t="s">
        <v>252</v>
      </c>
      <c r="F49" s="8"/>
      <c r="G49" s="8"/>
      <c r="H49" s="8"/>
      <c r="I49" s="8"/>
      <c r="J49" s="8"/>
      <c r="K49" s="8">
        <v>0</v>
      </c>
      <c r="L49" s="18">
        <v>250</v>
      </c>
      <c r="M49" s="7">
        <f t="shared" si="1"/>
        <v>0</v>
      </c>
      <c r="N49" s="4"/>
      <c r="O49" s="9"/>
    </row>
    <row r="50" spans="1:15" ht="20" customHeight="1" x14ac:dyDescent="0.2">
      <c r="A50" s="3">
        <v>46</v>
      </c>
      <c r="B50" s="19"/>
      <c r="C50" s="4" t="s">
        <v>3778</v>
      </c>
      <c r="D50" s="4" t="s">
        <v>3731</v>
      </c>
      <c r="E50" s="4" t="s">
        <v>252</v>
      </c>
      <c r="F50" s="8"/>
      <c r="G50" s="8"/>
      <c r="H50" s="8"/>
      <c r="I50" s="8"/>
      <c r="J50" s="8"/>
      <c r="K50" s="8">
        <v>0</v>
      </c>
      <c r="L50" s="18">
        <v>420</v>
      </c>
      <c r="M50" s="7">
        <f t="shared" si="1"/>
        <v>0</v>
      </c>
      <c r="N50" s="4"/>
      <c r="O50" s="9"/>
    </row>
    <row r="51" spans="1:15" ht="20" customHeight="1" x14ac:dyDescent="0.2">
      <c r="A51" s="3">
        <v>47</v>
      </c>
      <c r="B51" s="19"/>
      <c r="C51" s="4" t="s">
        <v>3779</v>
      </c>
      <c r="D51" s="4" t="s">
        <v>3731</v>
      </c>
      <c r="E51" s="4" t="s">
        <v>252</v>
      </c>
      <c r="F51" s="8"/>
      <c r="G51" s="8"/>
      <c r="H51" s="8"/>
      <c r="I51" s="8"/>
      <c r="J51" s="8"/>
      <c r="K51" s="8">
        <v>0</v>
      </c>
      <c r="L51" s="18">
        <v>400</v>
      </c>
      <c r="M51" s="7">
        <f t="shared" si="1"/>
        <v>0</v>
      </c>
      <c r="N51" s="4"/>
      <c r="O51" s="9"/>
    </row>
    <row r="52" spans="1:15" ht="20" customHeight="1" x14ac:dyDescent="0.2">
      <c r="A52" s="3">
        <v>48</v>
      </c>
      <c r="B52" s="19"/>
      <c r="C52" s="4" t="s">
        <v>3780</v>
      </c>
      <c r="D52" s="4" t="s">
        <v>3731</v>
      </c>
      <c r="E52" s="4" t="s">
        <v>252</v>
      </c>
      <c r="F52" s="8"/>
      <c r="G52" s="8"/>
      <c r="H52" s="8"/>
      <c r="I52" s="8"/>
      <c r="J52" s="8"/>
      <c r="K52" s="8">
        <v>0</v>
      </c>
      <c r="L52" s="18">
        <v>620</v>
      </c>
      <c r="M52" s="7">
        <f t="shared" si="1"/>
        <v>0</v>
      </c>
      <c r="N52" s="4"/>
      <c r="O52" s="9"/>
    </row>
    <row r="53" spans="1:15" ht="20" customHeight="1" x14ac:dyDescent="0.2">
      <c r="A53" s="3">
        <v>49</v>
      </c>
      <c r="B53" s="19"/>
      <c r="C53" s="4" t="s">
        <v>3781</v>
      </c>
      <c r="D53" s="4" t="s">
        <v>3731</v>
      </c>
      <c r="E53" s="4" t="s">
        <v>252</v>
      </c>
      <c r="F53" s="8"/>
      <c r="G53" s="8"/>
      <c r="H53" s="8"/>
      <c r="I53" s="8">
        <v>2000</v>
      </c>
      <c r="J53" s="8"/>
      <c r="K53" s="8">
        <v>1000</v>
      </c>
      <c r="L53" s="18">
        <v>10</v>
      </c>
      <c r="M53" s="7">
        <f t="shared" si="1"/>
        <v>10000</v>
      </c>
      <c r="N53" s="4"/>
      <c r="O53" s="9"/>
    </row>
    <row r="54" spans="1:15" ht="20" customHeight="1" x14ac:dyDescent="0.2">
      <c r="A54" s="3">
        <v>50</v>
      </c>
      <c r="B54" s="19"/>
      <c r="C54" s="4" t="s">
        <v>3782</v>
      </c>
      <c r="D54" s="4" t="s">
        <v>3731</v>
      </c>
      <c r="E54" s="4" t="s">
        <v>252</v>
      </c>
      <c r="F54" s="8"/>
      <c r="G54" s="8"/>
      <c r="H54" s="8"/>
      <c r="I54" s="8"/>
      <c r="J54" s="8"/>
      <c r="K54" s="8">
        <v>2000</v>
      </c>
      <c r="L54" s="18">
        <v>18</v>
      </c>
      <c r="M54" s="7">
        <f t="shared" si="1"/>
        <v>36000</v>
      </c>
      <c r="N54" s="4"/>
      <c r="O54" s="9"/>
    </row>
    <row r="55" spans="1:15" ht="20" customHeight="1" x14ac:dyDescent="0.2">
      <c r="A55" s="3">
        <v>51</v>
      </c>
      <c r="B55" s="19"/>
      <c r="C55" s="4" t="s">
        <v>3783</v>
      </c>
      <c r="D55" s="4" t="s">
        <v>3731</v>
      </c>
      <c r="E55" s="4" t="s">
        <v>267</v>
      </c>
      <c r="F55" s="8"/>
      <c r="G55" s="8"/>
      <c r="H55" s="8"/>
      <c r="I55" s="8"/>
      <c r="J55" s="8"/>
      <c r="K55" s="8">
        <v>1</v>
      </c>
      <c r="L55" s="18">
        <v>588.5</v>
      </c>
      <c r="M55" s="7">
        <f t="shared" si="1"/>
        <v>588.5</v>
      </c>
      <c r="N55" s="4"/>
      <c r="O55" s="9"/>
    </row>
    <row r="56" spans="1:15" ht="20" customHeight="1" x14ac:dyDescent="0.2">
      <c r="A56" s="3">
        <v>52</v>
      </c>
      <c r="B56" s="19"/>
      <c r="C56" s="4" t="s">
        <v>3784</v>
      </c>
      <c r="D56" s="4" t="s">
        <v>3731</v>
      </c>
      <c r="E56" s="4" t="s">
        <v>267</v>
      </c>
      <c r="F56" s="8"/>
      <c r="G56" s="8"/>
      <c r="H56" s="8"/>
      <c r="I56" s="8"/>
      <c r="J56" s="8"/>
      <c r="K56" s="8">
        <v>1</v>
      </c>
      <c r="L56" s="18">
        <v>535</v>
      </c>
      <c r="M56" s="7">
        <f t="shared" si="1"/>
        <v>535</v>
      </c>
      <c r="N56" s="4"/>
      <c r="O56" s="9"/>
    </row>
    <row r="57" spans="1:15" ht="20" customHeight="1" x14ac:dyDescent="0.2">
      <c r="A57" s="3">
        <v>53</v>
      </c>
      <c r="B57" s="19"/>
      <c r="C57" s="4" t="s">
        <v>3785</v>
      </c>
      <c r="D57" s="4" t="s">
        <v>3731</v>
      </c>
      <c r="E57" s="4" t="s">
        <v>252</v>
      </c>
      <c r="F57" s="8"/>
      <c r="G57" s="8"/>
      <c r="H57" s="8"/>
      <c r="I57" s="8"/>
      <c r="J57" s="8"/>
      <c r="K57" s="8">
        <v>0</v>
      </c>
      <c r="L57" s="18">
        <v>5</v>
      </c>
      <c r="M57" s="7">
        <f t="shared" si="1"/>
        <v>0</v>
      </c>
      <c r="N57" s="4"/>
      <c r="O57" s="9"/>
    </row>
    <row r="58" spans="1:15" ht="20" customHeight="1" x14ac:dyDescent="0.2">
      <c r="A58" s="3">
        <v>54</v>
      </c>
      <c r="B58" s="19"/>
      <c r="C58" s="4" t="s">
        <v>3786</v>
      </c>
      <c r="D58" s="4" t="s">
        <v>3731</v>
      </c>
      <c r="E58" s="4" t="s">
        <v>252</v>
      </c>
      <c r="F58" s="8"/>
      <c r="G58" s="8"/>
      <c r="H58" s="8"/>
      <c r="I58" s="8"/>
      <c r="J58" s="8"/>
      <c r="K58" s="8">
        <v>0</v>
      </c>
      <c r="L58" s="18">
        <v>5</v>
      </c>
      <c r="M58" s="7">
        <f t="shared" si="1"/>
        <v>0</v>
      </c>
      <c r="N58" s="4"/>
      <c r="O58" s="9"/>
    </row>
    <row r="59" spans="1:15" ht="20" customHeight="1" x14ac:dyDescent="0.2">
      <c r="A59" s="3">
        <v>55</v>
      </c>
      <c r="B59" s="19"/>
      <c r="C59" s="4" t="s">
        <v>3787</v>
      </c>
      <c r="D59" s="4" t="s">
        <v>3731</v>
      </c>
      <c r="E59" s="4" t="s">
        <v>252</v>
      </c>
      <c r="F59" s="8"/>
      <c r="G59" s="8"/>
      <c r="H59" s="8"/>
      <c r="I59" s="8"/>
      <c r="J59" s="8"/>
      <c r="K59" s="8">
        <v>0</v>
      </c>
      <c r="L59" s="18">
        <v>10</v>
      </c>
      <c r="M59" s="7">
        <f t="shared" si="1"/>
        <v>0</v>
      </c>
      <c r="N59" s="4"/>
      <c r="O59" s="9"/>
    </row>
    <row r="60" spans="1:15" ht="20" customHeight="1" x14ac:dyDescent="0.2">
      <c r="A60" s="3">
        <v>56</v>
      </c>
      <c r="B60" s="19"/>
      <c r="C60" s="4" t="s">
        <v>3788</v>
      </c>
      <c r="D60" s="4" t="s">
        <v>3731</v>
      </c>
      <c r="E60" s="4" t="s">
        <v>252</v>
      </c>
      <c r="F60" s="8"/>
      <c r="G60" s="8"/>
      <c r="H60" s="8"/>
      <c r="I60" s="8">
        <v>800</v>
      </c>
      <c r="J60" s="8"/>
      <c r="K60" s="8">
        <v>3000</v>
      </c>
      <c r="L60" s="18">
        <v>1.45</v>
      </c>
      <c r="M60" s="7">
        <f t="shared" si="1"/>
        <v>4350</v>
      </c>
      <c r="N60" s="4"/>
      <c r="O60" s="9"/>
    </row>
    <row r="61" spans="1:15" ht="20" customHeight="1" x14ac:dyDescent="0.2">
      <c r="A61" s="3">
        <v>57</v>
      </c>
      <c r="B61" s="19"/>
      <c r="C61" s="4" t="s">
        <v>3789</v>
      </c>
      <c r="D61" s="4" t="s">
        <v>3731</v>
      </c>
      <c r="E61" s="4" t="s">
        <v>252</v>
      </c>
      <c r="F61" s="8"/>
      <c r="G61" s="8"/>
      <c r="H61" s="8"/>
      <c r="I61" s="8"/>
      <c r="J61" s="8"/>
      <c r="K61" s="8">
        <v>40000</v>
      </c>
      <c r="L61" s="18">
        <v>2.6</v>
      </c>
      <c r="M61" s="7">
        <f t="shared" si="1"/>
        <v>104000</v>
      </c>
      <c r="N61" s="4"/>
      <c r="O61" s="9"/>
    </row>
    <row r="62" spans="1:15" ht="20" customHeight="1" x14ac:dyDescent="0.2">
      <c r="A62" s="3">
        <v>58</v>
      </c>
      <c r="B62" s="19"/>
      <c r="C62" s="4" t="s">
        <v>3790</v>
      </c>
      <c r="D62" s="4" t="s">
        <v>3731</v>
      </c>
      <c r="E62" s="4" t="s">
        <v>252</v>
      </c>
      <c r="F62" s="8"/>
      <c r="G62" s="8"/>
      <c r="H62" s="8"/>
      <c r="I62" s="8">
        <v>5000</v>
      </c>
      <c r="J62" s="8"/>
      <c r="K62" s="8">
        <v>50000</v>
      </c>
      <c r="L62" s="18">
        <v>1.4</v>
      </c>
      <c r="M62" s="7">
        <f t="shared" si="1"/>
        <v>70000</v>
      </c>
      <c r="N62" s="4"/>
      <c r="O62" s="9"/>
    </row>
    <row r="63" spans="1:15" ht="20" customHeight="1" x14ac:dyDescent="0.2">
      <c r="A63" s="3">
        <v>59</v>
      </c>
      <c r="B63" s="19"/>
      <c r="C63" s="4" t="s">
        <v>3791</v>
      </c>
      <c r="D63" s="4" t="s">
        <v>3731</v>
      </c>
      <c r="E63" s="4" t="s">
        <v>252</v>
      </c>
      <c r="F63" s="8"/>
      <c r="G63" s="8"/>
      <c r="H63" s="8"/>
      <c r="I63" s="8">
        <v>10000</v>
      </c>
      <c r="J63" s="8"/>
      <c r="K63" s="8">
        <v>20000</v>
      </c>
      <c r="L63" s="18">
        <v>1.6</v>
      </c>
      <c r="M63" s="7">
        <f t="shared" si="1"/>
        <v>32000</v>
      </c>
      <c r="N63" s="4"/>
      <c r="O63" s="9"/>
    </row>
    <row r="64" spans="1:15" ht="20" customHeight="1" x14ac:dyDescent="0.2">
      <c r="A64" s="3">
        <v>60</v>
      </c>
      <c r="B64" s="19"/>
      <c r="C64" s="4" t="s">
        <v>3792</v>
      </c>
      <c r="D64" s="4" t="s">
        <v>3731</v>
      </c>
      <c r="E64" s="4" t="s">
        <v>190</v>
      </c>
      <c r="F64" s="8"/>
      <c r="G64" s="8"/>
      <c r="H64" s="8"/>
      <c r="I64" s="8"/>
      <c r="J64" s="8"/>
      <c r="K64" s="8">
        <v>20</v>
      </c>
      <c r="L64" s="18">
        <v>540</v>
      </c>
      <c r="M64" s="7">
        <f t="shared" si="1"/>
        <v>10800</v>
      </c>
      <c r="N64" s="4"/>
      <c r="O64" s="9"/>
    </row>
    <row r="65" spans="1:15" ht="20" customHeight="1" x14ac:dyDescent="0.2">
      <c r="A65" s="3">
        <v>61</v>
      </c>
      <c r="B65" s="19"/>
      <c r="C65" s="4" t="s">
        <v>3793</v>
      </c>
      <c r="D65" s="4" t="s">
        <v>3731</v>
      </c>
      <c r="E65" s="4" t="s">
        <v>190</v>
      </c>
      <c r="F65" s="8"/>
      <c r="G65" s="8"/>
      <c r="H65" s="8"/>
      <c r="I65" s="8"/>
      <c r="J65" s="8"/>
      <c r="K65" s="8">
        <v>1000</v>
      </c>
      <c r="L65" s="18">
        <v>1.32</v>
      </c>
      <c r="M65" s="7">
        <f t="shared" si="1"/>
        <v>1320</v>
      </c>
      <c r="N65" s="4"/>
      <c r="O65" s="9"/>
    </row>
    <row r="66" spans="1:15" ht="20" customHeight="1" x14ac:dyDescent="0.2">
      <c r="A66" s="3">
        <v>62</v>
      </c>
      <c r="B66" s="19"/>
      <c r="C66" s="4" t="s">
        <v>3794</v>
      </c>
      <c r="D66" s="4" t="s">
        <v>3731</v>
      </c>
      <c r="E66" s="4" t="s">
        <v>196</v>
      </c>
      <c r="F66" s="8"/>
      <c r="G66" s="8"/>
      <c r="H66" s="8"/>
      <c r="I66" s="8"/>
      <c r="J66" s="8"/>
      <c r="K66" s="8">
        <v>13000</v>
      </c>
      <c r="L66" s="18">
        <v>9</v>
      </c>
      <c r="M66" s="7">
        <f t="shared" si="1"/>
        <v>117000</v>
      </c>
      <c r="N66" s="4"/>
      <c r="O66" s="9"/>
    </row>
    <row r="67" spans="1:15" ht="20" customHeight="1" x14ac:dyDescent="0.2">
      <c r="A67" s="3">
        <v>63</v>
      </c>
      <c r="B67" s="19"/>
      <c r="C67" s="4" t="s">
        <v>3795</v>
      </c>
      <c r="D67" s="4" t="s">
        <v>3731</v>
      </c>
      <c r="E67" s="4" t="s">
        <v>267</v>
      </c>
      <c r="F67" s="8"/>
      <c r="G67" s="8"/>
      <c r="H67" s="8"/>
      <c r="I67" s="8"/>
      <c r="J67" s="8"/>
      <c r="K67" s="8">
        <v>1000</v>
      </c>
      <c r="L67" s="18">
        <v>26.95</v>
      </c>
      <c r="M67" s="7">
        <f t="shared" si="1"/>
        <v>26950</v>
      </c>
      <c r="N67" s="4"/>
      <c r="O67" s="9"/>
    </row>
    <row r="68" spans="1:15" ht="20" customHeight="1" x14ac:dyDescent="0.2">
      <c r="A68" s="3">
        <v>64</v>
      </c>
      <c r="B68" s="19"/>
      <c r="C68" s="4" t="s">
        <v>3796</v>
      </c>
      <c r="D68" s="4" t="s">
        <v>3731</v>
      </c>
      <c r="E68" s="4" t="s">
        <v>267</v>
      </c>
      <c r="F68" s="8"/>
      <c r="G68" s="8"/>
      <c r="H68" s="8"/>
      <c r="I68" s="8"/>
      <c r="J68" s="8"/>
      <c r="K68" s="8">
        <v>200</v>
      </c>
      <c r="L68" s="18">
        <v>150</v>
      </c>
      <c r="M68" s="7">
        <f t="shared" si="1"/>
        <v>30000</v>
      </c>
      <c r="N68" s="4"/>
      <c r="O68" s="9"/>
    </row>
    <row r="69" spans="1:15" ht="20" customHeight="1" x14ac:dyDescent="0.2">
      <c r="A69" s="3">
        <v>65</v>
      </c>
      <c r="B69" s="19"/>
      <c r="C69" s="4" t="s">
        <v>3797</v>
      </c>
      <c r="D69" s="4" t="s">
        <v>3731</v>
      </c>
      <c r="E69" s="4" t="s">
        <v>252</v>
      </c>
      <c r="F69" s="8"/>
      <c r="G69" s="8"/>
      <c r="H69" s="8"/>
      <c r="I69" s="8"/>
      <c r="J69" s="8"/>
      <c r="K69" s="8">
        <v>1000</v>
      </c>
      <c r="L69" s="18">
        <v>3.6</v>
      </c>
      <c r="M69" s="7">
        <f t="shared" ref="M69:M100" si="2">IF(OR(K69="",L69=""),"",K69*L69)</f>
        <v>3600</v>
      </c>
      <c r="N69" s="4"/>
      <c r="O69" s="9"/>
    </row>
    <row r="70" spans="1:15" ht="20" customHeight="1" x14ac:dyDescent="0.2">
      <c r="A70" s="3">
        <v>66</v>
      </c>
      <c r="B70" s="19"/>
      <c r="C70" s="4" t="s">
        <v>3798</v>
      </c>
      <c r="D70" s="4" t="s">
        <v>3731</v>
      </c>
      <c r="E70" s="4" t="s">
        <v>252</v>
      </c>
      <c r="F70" s="8"/>
      <c r="G70" s="8"/>
      <c r="H70" s="8"/>
      <c r="I70" s="8"/>
      <c r="J70" s="8"/>
      <c r="K70" s="8">
        <v>2500</v>
      </c>
      <c r="L70" s="18">
        <v>4</v>
      </c>
      <c r="M70" s="7">
        <f t="shared" si="2"/>
        <v>10000</v>
      </c>
      <c r="N70" s="4"/>
      <c r="O70" s="9"/>
    </row>
    <row r="71" spans="1:15" ht="20" customHeight="1" x14ac:dyDescent="0.2">
      <c r="A71" s="3">
        <v>67</v>
      </c>
      <c r="B71" s="19"/>
      <c r="C71" s="4" t="s">
        <v>3799</v>
      </c>
      <c r="D71" s="4" t="s">
        <v>3731</v>
      </c>
      <c r="E71" s="4" t="s">
        <v>252</v>
      </c>
      <c r="F71" s="8"/>
      <c r="G71" s="8"/>
      <c r="H71" s="8"/>
      <c r="I71" s="8"/>
      <c r="J71" s="8"/>
      <c r="K71" s="8">
        <v>5000</v>
      </c>
      <c r="L71" s="18">
        <v>10</v>
      </c>
      <c r="M71" s="7">
        <f t="shared" si="2"/>
        <v>50000</v>
      </c>
      <c r="N71" s="4"/>
      <c r="O71" s="9"/>
    </row>
    <row r="72" spans="1:15" ht="20" customHeight="1" x14ac:dyDescent="0.2">
      <c r="A72" s="3">
        <v>68</v>
      </c>
      <c r="B72" s="19"/>
      <c r="C72" s="4" t="s">
        <v>3800</v>
      </c>
      <c r="D72" s="4" t="s">
        <v>3731</v>
      </c>
      <c r="E72" s="4" t="s">
        <v>152</v>
      </c>
      <c r="F72" s="8"/>
      <c r="G72" s="8"/>
      <c r="H72" s="8"/>
      <c r="I72" s="8"/>
      <c r="J72" s="8"/>
      <c r="K72" s="8">
        <v>2000</v>
      </c>
      <c r="L72" s="18">
        <v>1.21</v>
      </c>
      <c r="M72" s="7">
        <f t="shared" si="2"/>
        <v>2420</v>
      </c>
      <c r="N72" s="4"/>
      <c r="O72" s="9"/>
    </row>
    <row r="73" spans="1:15" ht="20" customHeight="1" x14ac:dyDescent="0.2">
      <c r="A73" s="3">
        <v>69</v>
      </c>
      <c r="B73" s="19"/>
      <c r="C73" s="4" t="s">
        <v>3801</v>
      </c>
      <c r="D73" s="4" t="s">
        <v>3731</v>
      </c>
      <c r="E73" s="4" t="s">
        <v>190</v>
      </c>
      <c r="F73" s="8"/>
      <c r="G73" s="8"/>
      <c r="H73" s="8"/>
      <c r="I73" s="8">
        <v>1</v>
      </c>
      <c r="J73" s="8"/>
      <c r="K73" s="8">
        <v>0</v>
      </c>
      <c r="L73" s="18">
        <v>4250</v>
      </c>
      <c r="M73" s="7">
        <f t="shared" si="2"/>
        <v>0</v>
      </c>
      <c r="N73" s="4"/>
      <c r="O73" s="9"/>
    </row>
    <row r="74" spans="1:15" ht="20" customHeight="1" x14ac:dyDescent="0.2">
      <c r="A74" s="3">
        <v>70</v>
      </c>
      <c r="B74" s="19"/>
      <c r="C74" s="4" t="s">
        <v>3802</v>
      </c>
      <c r="D74" s="4" t="s">
        <v>3731</v>
      </c>
      <c r="E74" s="4" t="s">
        <v>190</v>
      </c>
      <c r="F74" s="8"/>
      <c r="G74" s="8"/>
      <c r="H74" s="8"/>
      <c r="I74" s="8">
        <v>11</v>
      </c>
      <c r="J74" s="8"/>
      <c r="K74" s="8">
        <v>5</v>
      </c>
      <c r="L74" s="18">
        <v>2950</v>
      </c>
      <c r="M74" s="7">
        <f t="shared" si="2"/>
        <v>14750</v>
      </c>
      <c r="N74" s="4"/>
      <c r="O74" s="9"/>
    </row>
    <row r="75" spans="1:15" ht="20" customHeight="1" x14ac:dyDescent="0.2">
      <c r="A75" s="3">
        <v>71</v>
      </c>
      <c r="B75" s="19"/>
      <c r="C75" s="4" t="s">
        <v>3803</v>
      </c>
      <c r="D75" s="4" t="s">
        <v>3731</v>
      </c>
      <c r="E75" s="4" t="s">
        <v>190</v>
      </c>
      <c r="F75" s="8"/>
      <c r="G75" s="8"/>
      <c r="H75" s="8"/>
      <c r="I75" s="8">
        <v>3</v>
      </c>
      <c r="J75" s="8"/>
      <c r="K75" s="8">
        <v>2</v>
      </c>
      <c r="L75" s="18">
        <v>6250</v>
      </c>
      <c r="M75" s="7">
        <f t="shared" si="2"/>
        <v>12500</v>
      </c>
      <c r="N75" s="4"/>
      <c r="O75" s="9"/>
    </row>
    <row r="76" spans="1:15" ht="20" customHeight="1" x14ac:dyDescent="0.2">
      <c r="A76" s="3">
        <v>72</v>
      </c>
      <c r="B76" s="19"/>
      <c r="C76" s="4" t="s">
        <v>3804</v>
      </c>
      <c r="D76" s="4" t="s">
        <v>3731</v>
      </c>
      <c r="E76" s="4" t="s">
        <v>190</v>
      </c>
      <c r="F76" s="8"/>
      <c r="G76" s="8"/>
      <c r="H76" s="8"/>
      <c r="I76" s="8">
        <v>10</v>
      </c>
      <c r="J76" s="8"/>
      <c r="K76" s="8">
        <v>30</v>
      </c>
      <c r="L76" s="18">
        <v>3000</v>
      </c>
      <c r="M76" s="7">
        <f t="shared" si="2"/>
        <v>90000</v>
      </c>
      <c r="N76" s="4"/>
      <c r="O76" s="9"/>
    </row>
    <row r="77" spans="1:15" ht="20" customHeight="1" x14ac:dyDescent="0.2">
      <c r="A77" s="3">
        <v>73</v>
      </c>
      <c r="B77" s="19"/>
      <c r="C77" s="4" t="s">
        <v>3805</v>
      </c>
      <c r="D77" s="4" t="s">
        <v>3731</v>
      </c>
      <c r="E77" s="4" t="s">
        <v>190</v>
      </c>
      <c r="F77" s="8"/>
      <c r="G77" s="8"/>
      <c r="H77" s="8"/>
      <c r="I77" s="8">
        <v>3</v>
      </c>
      <c r="J77" s="8"/>
      <c r="K77" s="8">
        <v>10</v>
      </c>
      <c r="L77" s="18">
        <v>2700</v>
      </c>
      <c r="M77" s="7">
        <f t="shared" si="2"/>
        <v>27000</v>
      </c>
      <c r="N77" s="4"/>
      <c r="O77" s="9"/>
    </row>
    <row r="78" spans="1:15" ht="20" customHeight="1" x14ac:dyDescent="0.2">
      <c r="A78" s="3">
        <v>74</v>
      </c>
      <c r="B78" s="19"/>
      <c r="C78" s="4" t="s">
        <v>3806</v>
      </c>
      <c r="D78" s="4" t="s">
        <v>3731</v>
      </c>
      <c r="E78" s="4" t="s">
        <v>190</v>
      </c>
      <c r="F78" s="8"/>
      <c r="G78" s="8"/>
      <c r="H78" s="8"/>
      <c r="I78" s="8"/>
      <c r="J78" s="8"/>
      <c r="K78" s="8">
        <v>10</v>
      </c>
      <c r="L78" s="18">
        <v>2700</v>
      </c>
      <c r="M78" s="7">
        <f t="shared" si="2"/>
        <v>27000</v>
      </c>
      <c r="N78" s="4"/>
      <c r="O78" s="9"/>
    </row>
    <row r="79" spans="1:15" ht="20" customHeight="1" x14ac:dyDescent="0.2">
      <c r="A79" s="3">
        <v>75</v>
      </c>
      <c r="B79" s="19"/>
      <c r="C79" s="4" t="s">
        <v>3807</v>
      </c>
      <c r="D79" s="4" t="s">
        <v>3731</v>
      </c>
      <c r="E79" s="4" t="s">
        <v>190</v>
      </c>
      <c r="F79" s="8"/>
      <c r="G79" s="8"/>
      <c r="H79" s="8"/>
      <c r="I79" s="8">
        <v>2</v>
      </c>
      <c r="J79" s="8"/>
      <c r="K79" s="8">
        <v>20</v>
      </c>
      <c r="L79" s="18">
        <v>4750</v>
      </c>
      <c r="M79" s="7">
        <f t="shared" si="2"/>
        <v>95000</v>
      </c>
      <c r="N79" s="4"/>
      <c r="O79" s="9"/>
    </row>
    <row r="80" spans="1:15" ht="20" customHeight="1" x14ac:dyDescent="0.2">
      <c r="A80" s="3">
        <v>76</v>
      </c>
      <c r="B80" s="19"/>
      <c r="C80" s="4" t="s">
        <v>3808</v>
      </c>
      <c r="D80" s="4" t="s">
        <v>3731</v>
      </c>
      <c r="E80" s="4" t="s">
        <v>190</v>
      </c>
      <c r="F80" s="8"/>
      <c r="G80" s="8"/>
      <c r="H80" s="8"/>
      <c r="I80" s="8">
        <v>15</v>
      </c>
      <c r="J80" s="8"/>
      <c r="K80" s="8">
        <v>20</v>
      </c>
      <c r="L80" s="18">
        <v>7050</v>
      </c>
      <c r="M80" s="7">
        <f t="shared" si="2"/>
        <v>141000</v>
      </c>
      <c r="N80" s="4"/>
      <c r="O80" s="9"/>
    </row>
    <row r="81" spans="1:15" ht="20" customHeight="1" x14ac:dyDescent="0.2">
      <c r="A81" s="3">
        <v>77</v>
      </c>
      <c r="B81" s="19"/>
      <c r="C81" s="4" t="s">
        <v>3809</v>
      </c>
      <c r="D81" s="4" t="s">
        <v>3731</v>
      </c>
      <c r="E81" s="4" t="s">
        <v>190</v>
      </c>
      <c r="F81" s="8"/>
      <c r="G81" s="8"/>
      <c r="H81" s="8"/>
      <c r="I81" s="8">
        <v>16</v>
      </c>
      <c r="J81" s="8"/>
      <c r="K81" s="8">
        <v>200</v>
      </c>
      <c r="L81" s="18">
        <v>1900</v>
      </c>
      <c r="M81" s="7">
        <f t="shared" si="2"/>
        <v>380000</v>
      </c>
      <c r="N81" s="4"/>
      <c r="O81" s="9"/>
    </row>
    <row r="82" spans="1:15" ht="20" customHeight="1" x14ac:dyDescent="0.2">
      <c r="A82" s="3">
        <v>78</v>
      </c>
      <c r="B82" s="19"/>
      <c r="C82" s="4" t="s">
        <v>3810</v>
      </c>
      <c r="D82" s="4" t="s">
        <v>3731</v>
      </c>
      <c r="E82" s="4" t="s">
        <v>190</v>
      </c>
      <c r="F82" s="8"/>
      <c r="G82" s="8"/>
      <c r="H82" s="8"/>
      <c r="I82" s="8">
        <v>5</v>
      </c>
      <c r="J82" s="8"/>
      <c r="K82" s="8">
        <v>10</v>
      </c>
      <c r="L82" s="18">
        <v>3961.54</v>
      </c>
      <c r="M82" s="7">
        <f t="shared" si="2"/>
        <v>39615.4</v>
      </c>
      <c r="N82" s="4"/>
      <c r="O82" s="9"/>
    </row>
    <row r="83" spans="1:15" ht="20" customHeight="1" x14ac:dyDescent="0.2">
      <c r="A83" s="3">
        <v>79</v>
      </c>
      <c r="B83" s="19"/>
      <c r="C83" s="4" t="s">
        <v>3811</v>
      </c>
      <c r="D83" s="4" t="s">
        <v>3731</v>
      </c>
      <c r="E83" s="4" t="s">
        <v>190</v>
      </c>
      <c r="F83" s="8"/>
      <c r="G83" s="8"/>
      <c r="H83" s="8"/>
      <c r="I83" s="8">
        <v>3</v>
      </c>
      <c r="J83" s="8"/>
      <c r="K83" s="8">
        <v>10</v>
      </c>
      <c r="L83" s="18">
        <v>7700</v>
      </c>
      <c r="M83" s="7">
        <f t="shared" si="2"/>
        <v>77000</v>
      </c>
      <c r="N83" s="4"/>
      <c r="O83" s="9"/>
    </row>
    <row r="84" spans="1:15" ht="20" customHeight="1" x14ac:dyDescent="0.2">
      <c r="A84" s="3">
        <v>80</v>
      </c>
      <c r="B84" s="19"/>
      <c r="C84" s="4" t="s">
        <v>3812</v>
      </c>
      <c r="D84" s="4" t="s">
        <v>3731</v>
      </c>
      <c r="E84" s="4" t="s">
        <v>190</v>
      </c>
      <c r="F84" s="8"/>
      <c r="G84" s="8"/>
      <c r="H84" s="8"/>
      <c r="I84" s="8">
        <v>4</v>
      </c>
      <c r="J84" s="8"/>
      <c r="K84" s="8">
        <v>10</v>
      </c>
      <c r="L84" s="18">
        <v>7431.82</v>
      </c>
      <c r="M84" s="7">
        <f t="shared" si="2"/>
        <v>74318.2</v>
      </c>
      <c r="N84" s="4"/>
      <c r="O84" s="9"/>
    </row>
    <row r="85" spans="1:15" ht="20" customHeight="1" x14ac:dyDescent="0.2">
      <c r="A85" s="3">
        <v>81</v>
      </c>
      <c r="B85" s="19"/>
      <c r="C85" s="4" t="s">
        <v>818</v>
      </c>
      <c r="D85" s="4" t="s">
        <v>3731</v>
      </c>
      <c r="E85" s="4" t="s">
        <v>190</v>
      </c>
      <c r="F85" s="8"/>
      <c r="G85" s="8"/>
      <c r="H85" s="8"/>
      <c r="I85" s="8"/>
      <c r="J85" s="8"/>
      <c r="K85" s="8">
        <v>200</v>
      </c>
      <c r="L85" s="18">
        <v>1900</v>
      </c>
      <c r="M85" s="7">
        <f t="shared" si="2"/>
        <v>380000</v>
      </c>
      <c r="N85" s="4"/>
      <c r="O85" s="9"/>
    </row>
    <row r="86" spans="1:15" ht="20" customHeight="1" x14ac:dyDescent="0.2">
      <c r="A86" s="3">
        <v>82</v>
      </c>
      <c r="B86" s="19"/>
      <c r="C86" s="4" t="s">
        <v>3813</v>
      </c>
      <c r="D86" s="4" t="s">
        <v>3731</v>
      </c>
      <c r="E86" s="4" t="s">
        <v>190</v>
      </c>
      <c r="F86" s="8"/>
      <c r="G86" s="8"/>
      <c r="H86" s="8"/>
      <c r="I86" s="8"/>
      <c r="J86" s="8"/>
      <c r="K86" s="8">
        <v>5</v>
      </c>
      <c r="L86" s="18">
        <v>7700</v>
      </c>
      <c r="M86" s="7">
        <f t="shared" si="2"/>
        <v>38500</v>
      </c>
      <c r="N86" s="4"/>
      <c r="O86" s="9"/>
    </row>
    <row r="87" spans="1:15" ht="20" customHeight="1" x14ac:dyDescent="0.2">
      <c r="A87" s="3">
        <v>83</v>
      </c>
      <c r="B87" s="19"/>
      <c r="C87" s="4" t="s">
        <v>3814</v>
      </c>
      <c r="D87" s="4" t="s">
        <v>3731</v>
      </c>
      <c r="E87" s="4" t="s">
        <v>190</v>
      </c>
      <c r="F87" s="8"/>
      <c r="G87" s="8"/>
      <c r="H87" s="8"/>
      <c r="I87" s="8"/>
      <c r="J87" s="8"/>
      <c r="K87" s="8">
        <v>5</v>
      </c>
      <c r="L87" s="18">
        <v>1900</v>
      </c>
      <c r="M87" s="7">
        <f t="shared" si="2"/>
        <v>9500</v>
      </c>
      <c r="N87" s="4"/>
      <c r="O87" s="9"/>
    </row>
    <row r="88" spans="1:15" ht="20" customHeight="1" x14ac:dyDescent="0.2">
      <c r="A88" s="3">
        <v>84</v>
      </c>
      <c r="B88" s="19"/>
      <c r="C88" s="4" t="s">
        <v>3815</v>
      </c>
      <c r="D88" s="4" t="s">
        <v>3731</v>
      </c>
      <c r="E88" s="4" t="s">
        <v>190</v>
      </c>
      <c r="F88" s="8"/>
      <c r="G88" s="8"/>
      <c r="H88" s="8"/>
      <c r="I88" s="8">
        <v>10</v>
      </c>
      <c r="J88" s="8"/>
      <c r="K88" s="8">
        <v>200</v>
      </c>
      <c r="L88" s="18">
        <v>950</v>
      </c>
      <c r="M88" s="7">
        <f t="shared" si="2"/>
        <v>190000</v>
      </c>
      <c r="N88" s="4"/>
      <c r="O88" s="9"/>
    </row>
    <row r="89" spans="1:15" ht="20" customHeight="1" x14ac:dyDescent="0.2">
      <c r="A89" s="3">
        <v>85</v>
      </c>
      <c r="B89" s="19"/>
      <c r="C89" s="4" t="s">
        <v>3816</v>
      </c>
      <c r="D89" s="4" t="s">
        <v>3731</v>
      </c>
      <c r="E89" s="4" t="s">
        <v>190</v>
      </c>
      <c r="F89" s="8"/>
      <c r="G89" s="8"/>
      <c r="H89" s="8"/>
      <c r="I89" s="8">
        <v>6</v>
      </c>
      <c r="J89" s="8"/>
      <c r="K89" s="8">
        <v>120</v>
      </c>
      <c r="L89" s="18">
        <v>950</v>
      </c>
      <c r="M89" s="7">
        <f t="shared" si="2"/>
        <v>114000</v>
      </c>
      <c r="N89" s="4"/>
      <c r="O89" s="9"/>
    </row>
    <row r="90" spans="1:15" ht="20" customHeight="1" x14ac:dyDescent="0.2">
      <c r="A90" s="3">
        <v>86</v>
      </c>
      <c r="B90" s="19"/>
      <c r="C90" s="4" t="s">
        <v>3817</v>
      </c>
      <c r="D90" s="4" t="s">
        <v>3731</v>
      </c>
      <c r="E90" s="4" t="s">
        <v>190</v>
      </c>
      <c r="F90" s="8"/>
      <c r="G90" s="8"/>
      <c r="H90" s="8"/>
      <c r="I90" s="8">
        <v>7</v>
      </c>
      <c r="J90" s="8"/>
      <c r="K90" s="8">
        <v>10</v>
      </c>
      <c r="L90" s="18">
        <v>1900</v>
      </c>
      <c r="M90" s="7">
        <f t="shared" si="2"/>
        <v>19000</v>
      </c>
      <c r="N90" s="4"/>
      <c r="O90" s="9"/>
    </row>
    <row r="91" spans="1:15" ht="20" customHeight="1" x14ac:dyDescent="0.2">
      <c r="A91" s="3">
        <v>87</v>
      </c>
      <c r="B91" s="19"/>
      <c r="C91" s="4" t="s">
        <v>3818</v>
      </c>
      <c r="D91" s="4" t="s">
        <v>3731</v>
      </c>
      <c r="E91" s="4" t="s">
        <v>190</v>
      </c>
      <c r="F91" s="8"/>
      <c r="G91" s="8"/>
      <c r="H91" s="8"/>
      <c r="I91" s="8">
        <v>2</v>
      </c>
      <c r="J91" s="8"/>
      <c r="K91" s="8">
        <v>150</v>
      </c>
      <c r="L91" s="18">
        <v>1900</v>
      </c>
      <c r="M91" s="7">
        <f t="shared" si="2"/>
        <v>285000</v>
      </c>
      <c r="N91" s="4"/>
      <c r="O91" s="9"/>
    </row>
    <row r="92" spans="1:15" ht="20" customHeight="1" x14ac:dyDescent="0.2">
      <c r="A92" s="3">
        <v>88</v>
      </c>
      <c r="B92" s="19"/>
      <c r="C92" s="4" t="s">
        <v>3819</v>
      </c>
      <c r="D92" s="4" t="s">
        <v>3731</v>
      </c>
      <c r="E92" s="4" t="s">
        <v>190</v>
      </c>
      <c r="F92" s="8"/>
      <c r="G92" s="8"/>
      <c r="H92" s="8"/>
      <c r="I92" s="8"/>
      <c r="J92" s="8"/>
      <c r="K92" s="8">
        <v>150</v>
      </c>
      <c r="L92" s="18">
        <v>3150</v>
      </c>
      <c r="M92" s="7">
        <f t="shared" si="2"/>
        <v>472500</v>
      </c>
      <c r="N92" s="4"/>
      <c r="O92" s="9"/>
    </row>
    <row r="93" spans="1:15" ht="20" customHeight="1" x14ac:dyDescent="0.2">
      <c r="A93" s="3">
        <v>89</v>
      </c>
      <c r="B93" s="19"/>
      <c r="C93" s="4" t="s">
        <v>3820</v>
      </c>
      <c r="D93" s="4" t="s">
        <v>3731</v>
      </c>
      <c r="E93" s="4" t="s">
        <v>190</v>
      </c>
      <c r="F93" s="8"/>
      <c r="G93" s="8"/>
      <c r="H93" s="8"/>
      <c r="I93" s="8"/>
      <c r="J93" s="8"/>
      <c r="K93" s="8">
        <v>50</v>
      </c>
      <c r="L93" s="18">
        <v>900</v>
      </c>
      <c r="M93" s="7">
        <f t="shared" si="2"/>
        <v>45000</v>
      </c>
      <c r="N93" s="4"/>
      <c r="O93" s="9"/>
    </row>
    <row r="94" spans="1:15" ht="20" customHeight="1" x14ac:dyDescent="0.2">
      <c r="A94" s="3">
        <v>90</v>
      </c>
      <c r="B94" s="19"/>
      <c r="C94" s="4" t="s">
        <v>3821</v>
      </c>
      <c r="D94" s="4" t="s">
        <v>3731</v>
      </c>
      <c r="E94" s="4" t="s">
        <v>190</v>
      </c>
      <c r="F94" s="8"/>
      <c r="G94" s="8"/>
      <c r="H94" s="8"/>
      <c r="I94" s="8"/>
      <c r="J94" s="8"/>
      <c r="K94" s="8">
        <v>100</v>
      </c>
      <c r="L94" s="18">
        <v>900</v>
      </c>
      <c r="M94" s="7">
        <f t="shared" si="2"/>
        <v>90000</v>
      </c>
      <c r="N94" s="4"/>
      <c r="O94" s="9"/>
    </row>
    <row r="95" spans="1:15" ht="20" customHeight="1" x14ac:dyDescent="0.2">
      <c r="A95" s="3">
        <v>91</v>
      </c>
      <c r="B95" s="19"/>
      <c r="C95" s="4" t="s">
        <v>3822</v>
      </c>
      <c r="D95" s="4" t="s">
        <v>3731</v>
      </c>
      <c r="E95" s="4" t="s">
        <v>3823</v>
      </c>
      <c r="F95" s="8"/>
      <c r="G95" s="8"/>
      <c r="H95" s="8"/>
      <c r="I95" s="8">
        <v>300</v>
      </c>
      <c r="J95" s="8"/>
      <c r="K95" s="8">
        <v>1000</v>
      </c>
      <c r="L95" s="18">
        <v>1.9</v>
      </c>
      <c r="M95" s="7">
        <f t="shared" si="2"/>
        <v>1900</v>
      </c>
      <c r="N95" s="4"/>
      <c r="O95" s="9"/>
    </row>
    <row r="96" spans="1:15" ht="20" customHeight="1" x14ac:dyDescent="0.2">
      <c r="A96" s="3">
        <v>92</v>
      </c>
      <c r="B96" s="19"/>
      <c r="C96" s="4" t="s">
        <v>3824</v>
      </c>
      <c r="D96" s="4" t="s">
        <v>3731</v>
      </c>
      <c r="E96" s="4" t="s">
        <v>3823</v>
      </c>
      <c r="F96" s="8"/>
      <c r="G96" s="8"/>
      <c r="H96" s="8"/>
      <c r="I96" s="8">
        <v>29300</v>
      </c>
      <c r="J96" s="8"/>
      <c r="K96" s="8">
        <v>30000</v>
      </c>
      <c r="L96" s="18">
        <v>3.5</v>
      </c>
      <c r="M96" s="7">
        <f t="shared" si="2"/>
        <v>105000</v>
      </c>
      <c r="N96" s="4"/>
      <c r="O96" s="9"/>
    </row>
    <row r="97" spans="1:15" ht="20" customHeight="1" x14ac:dyDescent="0.2">
      <c r="A97" s="3">
        <v>93</v>
      </c>
      <c r="B97" s="19"/>
      <c r="C97" s="4" t="s">
        <v>3825</v>
      </c>
      <c r="D97" s="4" t="s">
        <v>3731</v>
      </c>
      <c r="E97" s="4" t="s">
        <v>190</v>
      </c>
      <c r="F97" s="8"/>
      <c r="G97" s="8"/>
      <c r="H97" s="8"/>
      <c r="I97" s="8"/>
      <c r="J97" s="8"/>
      <c r="K97" s="8">
        <v>0</v>
      </c>
      <c r="L97" s="18">
        <v>2900</v>
      </c>
      <c r="M97" s="7">
        <f t="shared" si="2"/>
        <v>0</v>
      </c>
      <c r="N97" s="4"/>
      <c r="O97" s="9"/>
    </row>
    <row r="98" spans="1:15" ht="20" customHeight="1" x14ac:dyDescent="0.2">
      <c r="A98" s="3">
        <v>94</v>
      </c>
      <c r="B98" s="19"/>
      <c r="C98" s="4" t="s">
        <v>3826</v>
      </c>
      <c r="D98" s="4" t="s">
        <v>3731</v>
      </c>
      <c r="E98" s="4" t="s">
        <v>267</v>
      </c>
      <c r="F98" s="8"/>
      <c r="G98" s="8"/>
      <c r="H98" s="8"/>
      <c r="I98" s="8"/>
      <c r="J98" s="8"/>
      <c r="K98" s="8">
        <v>0</v>
      </c>
      <c r="L98" s="18">
        <v>963</v>
      </c>
      <c r="M98" s="7">
        <f t="shared" si="2"/>
        <v>0</v>
      </c>
      <c r="N98" s="4"/>
      <c r="O98" s="9"/>
    </row>
    <row r="99" spans="1:15" ht="20" customHeight="1" x14ac:dyDescent="0.2">
      <c r="A99" s="3">
        <v>95</v>
      </c>
      <c r="B99" s="19"/>
      <c r="C99" s="4" t="s">
        <v>3827</v>
      </c>
      <c r="D99" s="4" t="s">
        <v>3731</v>
      </c>
      <c r="E99" s="4" t="s">
        <v>152</v>
      </c>
      <c r="F99" s="8"/>
      <c r="G99" s="8"/>
      <c r="H99" s="8"/>
      <c r="I99" s="8"/>
      <c r="J99" s="8"/>
      <c r="K99" s="8">
        <v>0</v>
      </c>
      <c r="L99" s="18">
        <v>500</v>
      </c>
      <c r="M99" s="7">
        <f t="shared" si="2"/>
        <v>0</v>
      </c>
      <c r="N99" s="4"/>
      <c r="O99" s="9"/>
    </row>
    <row r="100" spans="1:15" ht="20" customHeight="1" x14ac:dyDescent="0.2">
      <c r="A100" s="3">
        <v>96</v>
      </c>
      <c r="B100" s="19"/>
      <c r="C100" s="4" t="s">
        <v>3828</v>
      </c>
      <c r="D100" s="4" t="s">
        <v>3731</v>
      </c>
      <c r="E100" s="4" t="s">
        <v>252</v>
      </c>
      <c r="F100" s="8"/>
      <c r="G100" s="8"/>
      <c r="H100" s="8"/>
      <c r="I100" s="8"/>
      <c r="J100" s="8"/>
      <c r="K100" s="8">
        <v>0</v>
      </c>
      <c r="L100" s="18">
        <v>110</v>
      </c>
      <c r="M100" s="7">
        <f t="shared" si="2"/>
        <v>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3829</v>
      </c>
      <c r="D101" s="4" t="s">
        <v>3731</v>
      </c>
      <c r="E101" s="4" t="s">
        <v>152</v>
      </c>
      <c r="F101" s="8"/>
      <c r="G101" s="8"/>
      <c r="H101" s="8"/>
      <c r="I101" s="8"/>
      <c r="J101" s="8"/>
      <c r="K101" s="8">
        <v>0</v>
      </c>
      <c r="L101" s="18">
        <v>780</v>
      </c>
      <c r="M101" s="7">
        <f t="shared" ref="M101:M132" si="3">IF(OR(K101="",L101=""),"",K101*L101)</f>
        <v>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3830</v>
      </c>
      <c r="D102" s="4" t="s">
        <v>3731</v>
      </c>
      <c r="E102" s="4" t="s">
        <v>252</v>
      </c>
      <c r="F102" s="8"/>
      <c r="G102" s="8"/>
      <c r="H102" s="8"/>
      <c r="I102" s="8"/>
      <c r="J102" s="8"/>
      <c r="K102" s="8">
        <v>0</v>
      </c>
      <c r="L102" s="18">
        <v>120</v>
      </c>
      <c r="M102" s="7">
        <f t="shared" si="3"/>
        <v>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3831</v>
      </c>
      <c r="D103" s="4" t="s">
        <v>3731</v>
      </c>
      <c r="E103" s="4" t="s">
        <v>252</v>
      </c>
      <c r="F103" s="8"/>
      <c r="G103" s="8"/>
      <c r="H103" s="8"/>
      <c r="I103" s="8"/>
      <c r="J103" s="8"/>
      <c r="K103" s="8">
        <v>0</v>
      </c>
      <c r="L103" s="18">
        <v>120</v>
      </c>
      <c r="M103" s="7">
        <f t="shared" si="3"/>
        <v>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3832</v>
      </c>
      <c r="D104" s="4" t="s">
        <v>3731</v>
      </c>
      <c r="E104" s="4" t="s">
        <v>252</v>
      </c>
      <c r="F104" s="8"/>
      <c r="G104" s="8"/>
      <c r="H104" s="8"/>
      <c r="I104" s="8"/>
      <c r="J104" s="8"/>
      <c r="K104" s="8">
        <v>0</v>
      </c>
      <c r="L104" s="18">
        <v>330</v>
      </c>
      <c r="M104" s="7">
        <f t="shared" si="3"/>
        <v>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3833</v>
      </c>
      <c r="D105" s="4" t="s">
        <v>3731</v>
      </c>
      <c r="E105" s="4" t="s">
        <v>152</v>
      </c>
      <c r="F105" s="8"/>
      <c r="G105" s="8"/>
      <c r="H105" s="8"/>
      <c r="I105" s="8"/>
      <c r="J105" s="8"/>
      <c r="K105" s="8">
        <v>0</v>
      </c>
      <c r="L105" s="18">
        <v>220</v>
      </c>
      <c r="M105" s="7">
        <f t="shared" si="3"/>
        <v>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3834</v>
      </c>
      <c r="D106" s="4" t="s">
        <v>3731</v>
      </c>
      <c r="E106" s="4" t="s">
        <v>110</v>
      </c>
      <c r="F106" s="8"/>
      <c r="G106" s="8"/>
      <c r="H106" s="8"/>
      <c r="I106" s="8">
        <v>4</v>
      </c>
      <c r="J106" s="8"/>
      <c r="K106" s="8">
        <v>5</v>
      </c>
      <c r="L106" s="18">
        <v>3600</v>
      </c>
      <c r="M106" s="7">
        <f t="shared" si="3"/>
        <v>18000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3835</v>
      </c>
      <c r="D107" s="4" t="s">
        <v>3731</v>
      </c>
      <c r="E107" s="4" t="s">
        <v>110</v>
      </c>
      <c r="F107" s="8"/>
      <c r="G107" s="8"/>
      <c r="H107" s="8"/>
      <c r="I107" s="8">
        <v>13</v>
      </c>
      <c r="J107" s="8"/>
      <c r="K107" s="8">
        <v>350</v>
      </c>
      <c r="L107" s="18">
        <v>4160</v>
      </c>
      <c r="M107" s="7">
        <f t="shared" si="3"/>
        <v>1456000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3836</v>
      </c>
      <c r="D108" s="4" t="s">
        <v>3731</v>
      </c>
      <c r="E108" s="4" t="s">
        <v>110</v>
      </c>
      <c r="F108" s="8"/>
      <c r="G108" s="8"/>
      <c r="H108" s="8"/>
      <c r="I108" s="8">
        <v>2</v>
      </c>
      <c r="J108" s="8"/>
      <c r="K108" s="8">
        <v>2</v>
      </c>
      <c r="L108" s="18">
        <v>4800</v>
      </c>
      <c r="M108" s="7">
        <f t="shared" si="3"/>
        <v>9600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3837</v>
      </c>
      <c r="D109" s="4" t="s">
        <v>3731</v>
      </c>
      <c r="E109" s="4" t="s">
        <v>152</v>
      </c>
      <c r="F109" s="8"/>
      <c r="G109" s="8"/>
      <c r="H109" s="8"/>
      <c r="I109" s="8"/>
      <c r="J109" s="8"/>
      <c r="K109" s="8">
        <v>500</v>
      </c>
      <c r="L109" s="18">
        <v>13.95</v>
      </c>
      <c r="M109" s="7">
        <f t="shared" si="3"/>
        <v>6975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3838</v>
      </c>
      <c r="D110" s="4" t="s">
        <v>3731</v>
      </c>
      <c r="E110" s="4" t="s">
        <v>684</v>
      </c>
      <c r="F110" s="8"/>
      <c r="G110" s="8"/>
      <c r="H110" s="8"/>
      <c r="I110" s="8"/>
      <c r="J110" s="8"/>
      <c r="K110" s="8">
        <v>650</v>
      </c>
      <c r="L110" s="18">
        <v>390</v>
      </c>
      <c r="M110" s="7">
        <f t="shared" si="3"/>
        <v>253500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3839</v>
      </c>
      <c r="D111" s="4" t="s">
        <v>3731</v>
      </c>
      <c r="E111" s="4" t="s">
        <v>684</v>
      </c>
      <c r="F111" s="8"/>
      <c r="G111" s="8"/>
      <c r="H111" s="8"/>
      <c r="I111" s="8"/>
      <c r="J111" s="8"/>
      <c r="K111" s="8">
        <v>20</v>
      </c>
      <c r="L111" s="18">
        <v>499</v>
      </c>
      <c r="M111" s="7">
        <f t="shared" si="3"/>
        <v>9980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3840</v>
      </c>
      <c r="D112" s="4" t="s">
        <v>3731</v>
      </c>
      <c r="E112" s="4" t="s">
        <v>110</v>
      </c>
      <c r="F112" s="8"/>
      <c r="G112" s="8"/>
      <c r="H112" s="8"/>
      <c r="I112" s="8"/>
      <c r="J112" s="8"/>
      <c r="K112" s="8">
        <v>2</v>
      </c>
      <c r="L112" s="18">
        <v>3210</v>
      </c>
      <c r="M112" s="7">
        <f t="shared" si="3"/>
        <v>6420</v>
      </c>
      <c r="N112" s="4"/>
      <c r="O112" s="9"/>
    </row>
    <row r="113" spans="1:15" ht="22" customHeight="1" x14ac:dyDescent="0.35">
      <c r="A113" s="10" t="s">
        <v>86</v>
      </c>
      <c r="B113" s="20"/>
      <c r="C113" s="11"/>
      <c r="D113" s="11"/>
      <c r="E113" s="11"/>
      <c r="F113" s="11"/>
      <c r="G113" s="11"/>
      <c r="H113" s="11"/>
      <c r="I113" s="11"/>
      <c r="J113" s="11"/>
      <c r="K113" s="13">
        <f>SUM(K5:K112)</f>
        <v>232623</v>
      </c>
      <c r="L113" s="11"/>
      <c r="M113" s="13">
        <f>SUM(M5:M112)</f>
        <v>11563020.899999999</v>
      </c>
      <c r="N113" s="11"/>
      <c r="O113" s="11"/>
    </row>
    <row r="114" spans="1:15" ht="32" customHeight="1" x14ac:dyDescent="0.2">
      <c r="A114" s="23" t="s">
        <v>3841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</sheetData>
  <autoFilter ref="A4:O112" xr:uid="{00000000-0009-0000-0000-00000B000000}"/>
  <mergeCells count="5">
    <mergeCell ref="E2:G2"/>
    <mergeCell ref="I2:J2"/>
    <mergeCell ref="A1:O1"/>
    <mergeCell ref="F3:O3"/>
    <mergeCell ref="A114:O114"/>
  </mergeCells>
  <conditionalFormatting sqref="E3">
    <cfRule type="cellIs" dxfId="35" priority="1" operator="greaterThan">
      <formula>0.009</formula>
    </cfRule>
    <cfRule type="cellIs" dxfId="34" priority="2" operator="lessThan">
      <formula>-0.009</formula>
    </cfRule>
  </conditionalFormatting>
  <dataValidations count="1">
    <dataValidation type="list" allowBlank="1" sqref="O5:O112" xr:uid="{00000000-0002-0000-0B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วัสดุเภสัชกรรม · DBR/2570/0014</oddHeader>
    <oddFooter>&amp;Lส่งออกจากฐาน VPK-S1 วันที่ 12 ต.ค. 2569&amp;Rหน้า &amp;P / &amp;N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B6848"/>
    <pageSetUpPr fitToPage="1"/>
  </sheetPr>
  <dimension ref="A1:O556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3842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41</v>
      </c>
      <c r="D2" s="14" t="s">
        <v>7</v>
      </c>
      <c r="E2" s="24" t="s">
        <v>43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5187197.4000000004</v>
      </c>
      <c r="D3" s="15" t="s">
        <v>94</v>
      </c>
      <c r="E3" s="17">
        <f>M555-C3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3843</v>
      </c>
      <c r="D5" s="4" t="s">
        <v>42</v>
      </c>
      <c r="E5" s="4"/>
      <c r="F5" s="8"/>
      <c r="G5" s="8"/>
      <c r="H5" s="8"/>
      <c r="I5" s="8"/>
      <c r="J5" s="8"/>
      <c r="K5" s="8">
        <v>1</v>
      </c>
      <c r="L5" s="18">
        <v>2850</v>
      </c>
      <c r="M5" s="7">
        <f t="shared" ref="M5:M68" si="0">IF(OR(K5="",L5=""),"",K5*L5)</f>
        <v>2850</v>
      </c>
      <c r="N5" s="4"/>
      <c r="O5" s="9"/>
    </row>
    <row r="6" spans="1:15" ht="20" customHeight="1" x14ac:dyDescent="0.2">
      <c r="A6" s="3">
        <v>2</v>
      </c>
      <c r="B6" s="19"/>
      <c r="C6" s="4" t="s">
        <v>3844</v>
      </c>
      <c r="D6" s="4" t="s">
        <v>42</v>
      </c>
      <c r="E6" s="4"/>
      <c r="F6" s="8"/>
      <c r="G6" s="8"/>
      <c r="H6" s="8"/>
      <c r="I6" s="8"/>
      <c r="J6" s="8"/>
      <c r="K6" s="8">
        <v>1</v>
      </c>
      <c r="L6" s="18">
        <v>1140</v>
      </c>
      <c r="M6" s="7">
        <f t="shared" si="0"/>
        <v>1140</v>
      </c>
      <c r="N6" s="4"/>
      <c r="O6" s="9"/>
    </row>
    <row r="7" spans="1:15" ht="20" customHeight="1" x14ac:dyDescent="0.2">
      <c r="A7" s="3">
        <v>3</v>
      </c>
      <c r="B7" s="19"/>
      <c r="C7" s="4" t="s">
        <v>3845</v>
      </c>
      <c r="D7" s="4" t="s">
        <v>42</v>
      </c>
      <c r="E7" s="4"/>
      <c r="F7" s="8"/>
      <c r="G7" s="8"/>
      <c r="H7" s="8"/>
      <c r="I7" s="8"/>
      <c r="J7" s="8"/>
      <c r="K7" s="8">
        <v>1</v>
      </c>
      <c r="L7" s="18">
        <v>1710</v>
      </c>
      <c r="M7" s="7">
        <f t="shared" si="0"/>
        <v>1710</v>
      </c>
      <c r="N7" s="4"/>
      <c r="O7" s="9"/>
    </row>
    <row r="8" spans="1:15" ht="20" customHeight="1" x14ac:dyDescent="0.2">
      <c r="A8" s="3">
        <v>4</v>
      </c>
      <c r="B8" s="19"/>
      <c r="C8" s="4" t="s">
        <v>3846</v>
      </c>
      <c r="D8" s="4" t="s">
        <v>42</v>
      </c>
      <c r="E8" s="4"/>
      <c r="F8" s="8"/>
      <c r="G8" s="8"/>
      <c r="H8" s="8"/>
      <c r="I8" s="8"/>
      <c r="J8" s="8"/>
      <c r="K8" s="8">
        <v>1</v>
      </c>
      <c r="L8" s="18">
        <v>1710</v>
      </c>
      <c r="M8" s="7">
        <f t="shared" si="0"/>
        <v>1710</v>
      </c>
      <c r="N8" s="4"/>
      <c r="O8" s="9"/>
    </row>
    <row r="9" spans="1:15" ht="20" customHeight="1" x14ac:dyDescent="0.2">
      <c r="A9" s="3">
        <v>5</v>
      </c>
      <c r="B9" s="19"/>
      <c r="C9" s="4" t="s">
        <v>3847</v>
      </c>
      <c r="D9" s="4" t="s">
        <v>42</v>
      </c>
      <c r="E9" s="4"/>
      <c r="F9" s="8"/>
      <c r="G9" s="8"/>
      <c r="H9" s="8"/>
      <c r="I9" s="8"/>
      <c r="J9" s="8"/>
      <c r="K9" s="8">
        <v>1</v>
      </c>
      <c r="L9" s="18">
        <v>1710</v>
      </c>
      <c r="M9" s="7">
        <f t="shared" si="0"/>
        <v>1710</v>
      </c>
      <c r="N9" s="4"/>
      <c r="O9" s="9"/>
    </row>
    <row r="10" spans="1:15" ht="20" customHeight="1" x14ac:dyDescent="0.2">
      <c r="A10" s="3">
        <v>6</v>
      </c>
      <c r="B10" s="19"/>
      <c r="C10" s="4" t="s">
        <v>3848</v>
      </c>
      <c r="D10" s="4" t="s">
        <v>42</v>
      </c>
      <c r="E10" s="4"/>
      <c r="F10" s="8"/>
      <c r="G10" s="8"/>
      <c r="H10" s="8"/>
      <c r="I10" s="8"/>
      <c r="J10" s="8"/>
      <c r="K10" s="8">
        <v>1</v>
      </c>
      <c r="L10" s="18">
        <v>1710</v>
      </c>
      <c r="M10" s="7">
        <f t="shared" si="0"/>
        <v>1710</v>
      </c>
      <c r="N10" s="4"/>
      <c r="O10" s="9"/>
    </row>
    <row r="11" spans="1:15" ht="20" customHeight="1" x14ac:dyDescent="0.2">
      <c r="A11" s="3">
        <v>7</v>
      </c>
      <c r="B11" s="19"/>
      <c r="C11" s="4" t="s">
        <v>3849</v>
      </c>
      <c r="D11" s="4" t="s">
        <v>42</v>
      </c>
      <c r="E11" s="4"/>
      <c r="F11" s="8"/>
      <c r="G11" s="8"/>
      <c r="H11" s="8"/>
      <c r="I11" s="8"/>
      <c r="J11" s="8"/>
      <c r="K11" s="8">
        <v>1</v>
      </c>
      <c r="L11" s="18">
        <v>1710</v>
      </c>
      <c r="M11" s="7">
        <f t="shared" si="0"/>
        <v>1710</v>
      </c>
      <c r="N11" s="4"/>
      <c r="O11" s="9"/>
    </row>
    <row r="12" spans="1:15" ht="20" customHeight="1" x14ac:dyDescent="0.2">
      <c r="A12" s="3">
        <v>8</v>
      </c>
      <c r="B12" s="19"/>
      <c r="C12" s="4" t="s">
        <v>3850</v>
      </c>
      <c r="D12" s="4" t="s">
        <v>42</v>
      </c>
      <c r="E12" s="4"/>
      <c r="F12" s="8"/>
      <c r="G12" s="8"/>
      <c r="H12" s="8"/>
      <c r="I12" s="8"/>
      <c r="J12" s="8"/>
      <c r="K12" s="8">
        <v>1</v>
      </c>
      <c r="L12" s="18">
        <v>1710</v>
      </c>
      <c r="M12" s="7">
        <f t="shared" si="0"/>
        <v>1710</v>
      </c>
      <c r="N12" s="4"/>
      <c r="O12" s="9"/>
    </row>
    <row r="13" spans="1:15" ht="20" customHeight="1" x14ac:dyDescent="0.2">
      <c r="A13" s="3">
        <v>9</v>
      </c>
      <c r="B13" s="19"/>
      <c r="C13" s="4" t="s">
        <v>3851</v>
      </c>
      <c r="D13" s="4" t="s">
        <v>42</v>
      </c>
      <c r="E13" s="4"/>
      <c r="F13" s="8"/>
      <c r="G13" s="8"/>
      <c r="H13" s="8"/>
      <c r="I13" s="8"/>
      <c r="J13" s="8"/>
      <c r="K13" s="8">
        <v>1</v>
      </c>
      <c r="L13" s="18">
        <v>1710</v>
      </c>
      <c r="M13" s="7">
        <f t="shared" si="0"/>
        <v>1710</v>
      </c>
      <c r="N13" s="4"/>
      <c r="O13" s="9"/>
    </row>
    <row r="14" spans="1:15" ht="20" customHeight="1" x14ac:dyDescent="0.2">
      <c r="A14" s="3">
        <v>10</v>
      </c>
      <c r="B14" s="19"/>
      <c r="C14" s="4" t="s">
        <v>3852</v>
      </c>
      <c r="D14" s="4" t="s">
        <v>42</v>
      </c>
      <c r="E14" s="4"/>
      <c r="F14" s="8"/>
      <c r="G14" s="8"/>
      <c r="H14" s="8"/>
      <c r="I14" s="8"/>
      <c r="J14" s="8"/>
      <c r="K14" s="8">
        <v>1</v>
      </c>
      <c r="L14" s="18">
        <v>1710</v>
      </c>
      <c r="M14" s="7">
        <f t="shared" si="0"/>
        <v>1710</v>
      </c>
      <c r="N14" s="4"/>
      <c r="O14" s="9"/>
    </row>
    <row r="15" spans="1:15" ht="20" customHeight="1" x14ac:dyDescent="0.2">
      <c r="A15" s="3">
        <v>11</v>
      </c>
      <c r="B15" s="19"/>
      <c r="C15" s="4" t="s">
        <v>3853</v>
      </c>
      <c r="D15" s="4" t="s">
        <v>42</v>
      </c>
      <c r="E15" s="4"/>
      <c r="F15" s="8"/>
      <c r="G15" s="8"/>
      <c r="H15" s="8"/>
      <c r="I15" s="8"/>
      <c r="J15" s="8"/>
      <c r="K15" s="8">
        <v>1</v>
      </c>
      <c r="L15" s="18">
        <v>1710</v>
      </c>
      <c r="M15" s="7">
        <f t="shared" si="0"/>
        <v>1710</v>
      </c>
      <c r="N15" s="4"/>
      <c r="O15" s="9"/>
    </row>
    <row r="16" spans="1:15" ht="20" customHeight="1" x14ac:dyDescent="0.2">
      <c r="A16" s="3">
        <v>12</v>
      </c>
      <c r="B16" s="19"/>
      <c r="C16" s="4" t="s">
        <v>3854</v>
      </c>
      <c r="D16" s="4" t="s">
        <v>42</v>
      </c>
      <c r="E16" s="4"/>
      <c r="F16" s="8"/>
      <c r="G16" s="8"/>
      <c r="H16" s="8"/>
      <c r="I16" s="8"/>
      <c r="J16" s="8"/>
      <c r="K16" s="8">
        <v>1</v>
      </c>
      <c r="L16" s="18">
        <v>1710</v>
      </c>
      <c r="M16" s="7">
        <f t="shared" si="0"/>
        <v>1710</v>
      </c>
      <c r="N16" s="4"/>
      <c r="O16" s="9"/>
    </row>
    <row r="17" spans="1:15" ht="20" customHeight="1" x14ac:dyDescent="0.2">
      <c r="A17" s="3">
        <v>13</v>
      </c>
      <c r="B17" s="19"/>
      <c r="C17" s="4" t="s">
        <v>3855</v>
      </c>
      <c r="D17" s="4" t="s">
        <v>42</v>
      </c>
      <c r="E17" s="4"/>
      <c r="F17" s="8"/>
      <c r="G17" s="8"/>
      <c r="H17" s="8"/>
      <c r="I17" s="8"/>
      <c r="J17" s="8"/>
      <c r="K17" s="8">
        <v>1</v>
      </c>
      <c r="L17" s="18">
        <v>1710</v>
      </c>
      <c r="M17" s="7">
        <f t="shared" si="0"/>
        <v>1710</v>
      </c>
      <c r="N17" s="4"/>
      <c r="O17" s="9"/>
    </row>
    <row r="18" spans="1:15" ht="20" customHeight="1" x14ac:dyDescent="0.2">
      <c r="A18" s="3">
        <v>14</v>
      </c>
      <c r="B18" s="19"/>
      <c r="C18" s="4" t="s">
        <v>3856</v>
      </c>
      <c r="D18" s="4" t="s">
        <v>42</v>
      </c>
      <c r="E18" s="4"/>
      <c r="F18" s="8"/>
      <c r="G18" s="8"/>
      <c r="H18" s="8"/>
      <c r="I18" s="8"/>
      <c r="J18" s="8"/>
      <c r="K18" s="8">
        <v>1</v>
      </c>
      <c r="L18" s="18">
        <v>1710</v>
      </c>
      <c r="M18" s="7">
        <f t="shared" si="0"/>
        <v>1710</v>
      </c>
      <c r="N18" s="4"/>
      <c r="O18" s="9"/>
    </row>
    <row r="19" spans="1:15" ht="20" customHeight="1" x14ac:dyDescent="0.2">
      <c r="A19" s="3">
        <v>15</v>
      </c>
      <c r="B19" s="19"/>
      <c r="C19" s="4" t="s">
        <v>3857</v>
      </c>
      <c r="D19" s="4" t="s">
        <v>42</v>
      </c>
      <c r="E19" s="4"/>
      <c r="F19" s="8"/>
      <c r="G19" s="8"/>
      <c r="H19" s="8"/>
      <c r="I19" s="8"/>
      <c r="J19" s="8"/>
      <c r="K19" s="8">
        <v>1</v>
      </c>
      <c r="L19" s="18">
        <v>1710</v>
      </c>
      <c r="M19" s="7">
        <f t="shared" si="0"/>
        <v>1710</v>
      </c>
      <c r="N19" s="4"/>
      <c r="O19" s="9"/>
    </row>
    <row r="20" spans="1:15" ht="20" customHeight="1" x14ac:dyDescent="0.2">
      <c r="A20" s="3">
        <v>16</v>
      </c>
      <c r="B20" s="19"/>
      <c r="C20" s="4" t="s">
        <v>3858</v>
      </c>
      <c r="D20" s="4" t="s">
        <v>42</v>
      </c>
      <c r="E20" s="4"/>
      <c r="F20" s="8"/>
      <c r="G20" s="8"/>
      <c r="H20" s="8"/>
      <c r="I20" s="8"/>
      <c r="J20" s="8"/>
      <c r="K20" s="8">
        <v>1</v>
      </c>
      <c r="L20" s="18">
        <v>1710</v>
      </c>
      <c r="M20" s="7">
        <f t="shared" si="0"/>
        <v>1710</v>
      </c>
      <c r="N20" s="4"/>
      <c r="O20" s="9"/>
    </row>
    <row r="21" spans="1:15" ht="20" customHeight="1" x14ac:dyDescent="0.2">
      <c r="A21" s="3">
        <v>17</v>
      </c>
      <c r="B21" s="19"/>
      <c r="C21" s="4" t="s">
        <v>3859</v>
      </c>
      <c r="D21" s="4" t="s">
        <v>42</v>
      </c>
      <c r="E21" s="4"/>
      <c r="F21" s="8"/>
      <c r="G21" s="8"/>
      <c r="H21" s="8"/>
      <c r="I21" s="8"/>
      <c r="J21" s="8"/>
      <c r="K21" s="8">
        <v>1</v>
      </c>
      <c r="L21" s="18">
        <v>1710</v>
      </c>
      <c r="M21" s="7">
        <f t="shared" si="0"/>
        <v>1710</v>
      </c>
      <c r="N21" s="4"/>
      <c r="O21" s="9"/>
    </row>
    <row r="22" spans="1:15" ht="20" customHeight="1" x14ac:dyDescent="0.2">
      <c r="A22" s="3">
        <v>18</v>
      </c>
      <c r="B22" s="19"/>
      <c r="C22" s="4" t="s">
        <v>3860</v>
      </c>
      <c r="D22" s="4" t="s">
        <v>42</v>
      </c>
      <c r="E22" s="4"/>
      <c r="F22" s="8"/>
      <c r="G22" s="8"/>
      <c r="H22" s="8"/>
      <c r="I22" s="8"/>
      <c r="J22" s="8"/>
      <c r="K22" s="8">
        <v>1</v>
      </c>
      <c r="L22" s="18">
        <v>1710</v>
      </c>
      <c r="M22" s="7">
        <f t="shared" si="0"/>
        <v>1710</v>
      </c>
      <c r="N22" s="4"/>
      <c r="O22" s="9"/>
    </row>
    <row r="23" spans="1:15" ht="20" customHeight="1" x14ac:dyDescent="0.2">
      <c r="A23" s="3">
        <v>19</v>
      </c>
      <c r="B23" s="19"/>
      <c r="C23" s="4" t="s">
        <v>3861</v>
      </c>
      <c r="D23" s="4" t="s">
        <v>42</v>
      </c>
      <c r="E23" s="4"/>
      <c r="F23" s="8"/>
      <c r="G23" s="8"/>
      <c r="H23" s="8"/>
      <c r="I23" s="8"/>
      <c r="J23" s="8"/>
      <c r="K23" s="8">
        <v>1</v>
      </c>
      <c r="L23" s="18">
        <v>1710</v>
      </c>
      <c r="M23" s="7">
        <f t="shared" si="0"/>
        <v>1710</v>
      </c>
      <c r="N23" s="4"/>
      <c r="O23" s="9"/>
    </row>
    <row r="24" spans="1:15" ht="20" customHeight="1" x14ac:dyDescent="0.2">
      <c r="A24" s="3">
        <v>20</v>
      </c>
      <c r="B24" s="19"/>
      <c r="C24" s="4" t="s">
        <v>3862</v>
      </c>
      <c r="D24" s="4" t="s">
        <v>42</v>
      </c>
      <c r="E24" s="4"/>
      <c r="F24" s="8"/>
      <c r="G24" s="8"/>
      <c r="H24" s="8"/>
      <c r="I24" s="8"/>
      <c r="J24" s="8"/>
      <c r="K24" s="8">
        <v>1</v>
      </c>
      <c r="L24" s="18">
        <v>1710</v>
      </c>
      <c r="M24" s="7">
        <f t="shared" si="0"/>
        <v>1710</v>
      </c>
      <c r="N24" s="4"/>
      <c r="O24" s="9"/>
    </row>
    <row r="25" spans="1:15" ht="20" customHeight="1" x14ac:dyDescent="0.2">
      <c r="A25" s="3">
        <v>21</v>
      </c>
      <c r="B25" s="19"/>
      <c r="C25" s="4" t="s">
        <v>3863</v>
      </c>
      <c r="D25" s="4" t="s">
        <v>42</v>
      </c>
      <c r="E25" s="4"/>
      <c r="F25" s="8"/>
      <c r="G25" s="8"/>
      <c r="H25" s="8"/>
      <c r="I25" s="8"/>
      <c r="J25" s="8"/>
      <c r="K25" s="8">
        <v>1</v>
      </c>
      <c r="L25" s="18">
        <v>1710</v>
      </c>
      <c r="M25" s="7">
        <f t="shared" si="0"/>
        <v>1710</v>
      </c>
      <c r="N25" s="4"/>
      <c r="O25" s="9"/>
    </row>
    <row r="26" spans="1:15" ht="20" customHeight="1" x14ac:dyDescent="0.2">
      <c r="A26" s="3">
        <v>22</v>
      </c>
      <c r="B26" s="19"/>
      <c r="C26" s="4" t="s">
        <v>3864</v>
      </c>
      <c r="D26" s="4" t="s">
        <v>42</v>
      </c>
      <c r="E26" s="4"/>
      <c r="F26" s="8"/>
      <c r="G26" s="8"/>
      <c r="H26" s="8"/>
      <c r="I26" s="8"/>
      <c r="J26" s="8"/>
      <c r="K26" s="8">
        <v>1</v>
      </c>
      <c r="L26" s="18">
        <v>1710</v>
      </c>
      <c r="M26" s="7">
        <f t="shared" si="0"/>
        <v>1710</v>
      </c>
      <c r="N26" s="4"/>
      <c r="O26" s="9"/>
    </row>
    <row r="27" spans="1:15" ht="20" customHeight="1" x14ac:dyDescent="0.2">
      <c r="A27" s="3">
        <v>23</v>
      </c>
      <c r="B27" s="19"/>
      <c r="C27" s="4" t="s">
        <v>3865</v>
      </c>
      <c r="D27" s="4" t="s">
        <v>42</v>
      </c>
      <c r="E27" s="4"/>
      <c r="F27" s="8"/>
      <c r="G27" s="8"/>
      <c r="H27" s="8"/>
      <c r="I27" s="8"/>
      <c r="J27" s="8"/>
      <c r="K27" s="8">
        <v>1</v>
      </c>
      <c r="L27" s="18">
        <v>1710</v>
      </c>
      <c r="M27" s="7">
        <f t="shared" si="0"/>
        <v>1710</v>
      </c>
      <c r="N27" s="4"/>
      <c r="O27" s="9"/>
    </row>
    <row r="28" spans="1:15" ht="20" customHeight="1" x14ac:dyDescent="0.2">
      <c r="A28" s="3">
        <v>24</v>
      </c>
      <c r="B28" s="19"/>
      <c r="C28" s="4" t="s">
        <v>3866</v>
      </c>
      <c r="D28" s="4" t="s">
        <v>42</v>
      </c>
      <c r="E28" s="4"/>
      <c r="F28" s="8"/>
      <c r="G28" s="8"/>
      <c r="H28" s="8"/>
      <c r="I28" s="8"/>
      <c r="J28" s="8"/>
      <c r="K28" s="8">
        <v>1</v>
      </c>
      <c r="L28" s="18">
        <v>2700</v>
      </c>
      <c r="M28" s="7">
        <f t="shared" si="0"/>
        <v>2700</v>
      </c>
      <c r="N28" s="4"/>
      <c r="O28" s="9"/>
    </row>
    <row r="29" spans="1:15" ht="20" customHeight="1" x14ac:dyDescent="0.2">
      <c r="A29" s="3">
        <v>25</v>
      </c>
      <c r="B29" s="19"/>
      <c r="C29" s="4" t="s">
        <v>3867</v>
      </c>
      <c r="D29" s="4" t="s">
        <v>42</v>
      </c>
      <c r="E29" s="4"/>
      <c r="F29" s="8"/>
      <c r="G29" s="8"/>
      <c r="H29" s="8"/>
      <c r="I29" s="8"/>
      <c r="J29" s="8"/>
      <c r="K29" s="8">
        <v>1</v>
      </c>
      <c r="L29" s="18">
        <v>2700</v>
      </c>
      <c r="M29" s="7">
        <f t="shared" si="0"/>
        <v>2700</v>
      </c>
      <c r="N29" s="4"/>
      <c r="O29" s="9"/>
    </row>
    <row r="30" spans="1:15" ht="20" customHeight="1" x14ac:dyDescent="0.2">
      <c r="A30" s="3">
        <v>26</v>
      </c>
      <c r="B30" s="19"/>
      <c r="C30" s="4" t="s">
        <v>3868</v>
      </c>
      <c r="D30" s="4" t="s">
        <v>42</v>
      </c>
      <c r="E30" s="4"/>
      <c r="F30" s="8"/>
      <c r="G30" s="8"/>
      <c r="H30" s="8"/>
      <c r="I30" s="8"/>
      <c r="J30" s="8"/>
      <c r="K30" s="8">
        <v>1</v>
      </c>
      <c r="L30" s="18">
        <v>2700</v>
      </c>
      <c r="M30" s="7">
        <f t="shared" si="0"/>
        <v>2700</v>
      </c>
      <c r="N30" s="4"/>
      <c r="O30" s="9"/>
    </row>
    <row r="31" spans="1:15" ht="20" customHeight="1" x14ac:dyDescent="0.2">
      <c r="A31" s="3">
        <v>27</v>
      </c>
      <c r="B31" s="19"/>
      <c r="C31" s="4" t="s">
        <v>3869</v>
      </c>
      <c r="D31" s="4" t="s">
        <v>42</v>
      </c>
      <c r="E31" s="4"/>
      <c r="F31" s="8"/>
      <c r="G31" s="8"/>
      <c r="H31" s="8"/>
      <c r="I31" s="8"/>
      <c r="J31" s="8"/>
      <c r="K31" s="8">
        <v>1</v>
      </c>
      <c r="L31" s="18">
        <v>1080</v>
      </c>
      <c r="M31" s="7">
        <f t="shared" si="0"/>
        <v>1080</v>
      </c>
      <c r="N31" s="4"/>
      <c r="O31" s="9"/>
    </row>
    <row r="32" spans="1:15" ht="20" customHeight="1" x14ac:dyDescent="0.2">
      <c r="A32" s="3">
        <v>28</v>
      </c>
      <c r="B32" s="19"/>
      <c r="C32" s="4" t="s">
        <v>3870</v>
      </c>
      <c r="D32" s="4" t="s">
        <v>42</v>
      </c>
      <c r="E32" s="4"/>
      <c r="F32" s="8"/>
      <c r="G32" s="8"/>
      <c r="H32" s="8"/>
      <c r="I32" s="8"/>
      <c r="J32" s="8"/>
      <c r="K32" s="8">
        <v>1</v>
      </c>
      <c r="L32" s="18">
        <v>1710</v>
      </c>
      <c r="M32" s="7">
        <f t="shared" si="0"/>
        <v>1710</v>
      </c>
      <c r="N32" s="4"/>
      <c r="O32" s="9"/>
    </row>
    <row r="33" spans="1:15" ht="20" customHeight="1" x14ac:dyDescent="0.2">
      <c r="A33" s="3">
        <v>29</v>
      </c>
      <c r="B33" s="19"/>
      <c r="C33" s="4" t="s">
        <v>3871</v>
      </c>
      <c r="D33" s="4" t="s">
        <v>42</v>
      </c>
      <c r="E33" s="4"/>
      <c r="F33" s="8"/>
      <c r="G33" s="8"/>
      <c r="H33" s="8"/>
      <c r="I33" s="8"/>
      <c r="J33" s="8"/>
      <c r="K33" s="8">
        <v>1</v>
      </c>
      <c r="L33" s="18">
        <v>1710</v>
      </c>
      <c r="M33" s="7">
        <f t="shared" si="0"/>
        <v>1710</v>
      </c>
      <c r="N33" s="4"/>
      <c r="O33" s="9"/>
    </row>
    <row r="34" spans="1:15" ht="20" customHeight="1" x14ac:dyDescent="0.2">
      <c r="A34" s="3">
        <v>30</v>
      </c>
      <c r="B34" s="19"/>
      <c r="C34" s="4" t="s">
        <v>3872</v>
      </c>
      <c r="D34" s="4" t="s">
        <v>42</v>
      </c>
      <c r="E34" s="4"/>
      <c r="F34" s="8"/>
      <c r="G34" s="8"/>
      <c r="H34" s="8"/>
      <c r="I34" s="8"/>
      <c r="J34" s="8"/>
      <c r="K34" s="8">
        <v>1</v>
      </c>
      <c r="L34" s="18">
        <v>1710</v>
      </c>
      <c r="M34" s="7">
        <f t="shared" si="0"/>
        <v>1710</v>
      </c>
      <c r="N34" s="4"/>
      <c r="O34" s="9"/>
    </row>
    <row r="35" spans="1:15" ht="20" customHeight="1" x14ac:dyDescent="0.2">
      <c r="A35" s="3">
        <v>31</v>
      </c>
      <c r="B35" s="19"/>
      <c r="C35" s="4" t="s">
        <v>3873</v>
      </c>
      <c r="D35" s="4" t="s">
        <v>42</v>
      </c>
      <c r="E35" s="4"/>
      <c r="F35" s="8"/>
      <c r="G35" s="8"/>
      <c r="H35" s="8"/>
      <c r="I35" s="8"/>
      <c r="J35" s="8"/>
      <c r="K35" s="8">
        <v>1</v>
      </c>
      <c r="L35" s="18">
        <v>1710</v>
      </c>
      <c r="M35" s="7">
        <f t="shared" si="0"/>
        <v>1710</v>
      </c>
      <c r="N35" s="4"/>
      <c r="O35" s="9"/>
    </row>
    <row r="36" spans="1:15" ht="20" customHeight="1" x14ac:dyDescent="0.2">
      <c r="A36" s="3">
        <v>32</v>
      </c>
      <c r="B36" s="19"/>
      <c r="C36" s="4" t="s">
        <v>3874</v>
      </c>
      <c r="D36" s="4" t="s">
        <v>42</v>
      </c>
      <c r="E36" s="4"/>
      <c r="F36" s="8"/>
      <c r="G36" s="8"/>
      <c r="H36" s="8"/>
      <c r="I36" s="8"/>
      <c r="J36" s="8"/>
      <c r="K36" s="8">
        <v>1</v>
      </c>
      <c r="L36" s="18">
        <v>1710</v>
      </c>
      <c r="M36" s="7">
        <f t="shared" si="0"/>
        <v>1710</v>
      </c>
      <c r="N36" s="4"/>
      <c r="O36" s="9"/>
    </row>
    <row r="37" spans="1:15" ht="20" customHeight="1" x14ac:dyDescent="0.2">
      <c r="A37" s="3">
        <v>33</v>
      </c>
      <c r="B37" s="19"/>
      <c r="C37" s="4" t="s">
        <v>3875</v>
      </c>
      <c r="D37" s="4" t="s">
        <v>42</v>
      </c>
      <c r="E37" s="4"/>
      <c r="F37" s="8"/>
      <c r="G37" s="8"/>
      <c r="H37" s="8"/>
      <c r="I37" s="8"/>
      <c r="J37" s="8"/>
      <c r="K37" s="8">
        <v>1</v>
      </c>
      <c r="L37" s="18">
        <v>1710</v>
      </c>
      <c r="M37" s="7">
        <f t="shared" si="0"/>
        <v>1710</v>
      </c>
      <c r="N37" s="4"/>
      <c r="O37" s="9"/>
    </row>
    <row r="38" spans="1:15" ht="20" customHeight="1" x14ac:dyDescent="0.2">
      <c r="A38" s="3">
        <v>34</v>
      </c>
      <c r="B38" s="19"/>
      <c r="C38" s="4" t="s">
        <v>3876</v>
      </c>
      <c r="D38" s="4" t="s">
        <v>42</v>
      </c>
      <c r="E38" s="4"/>
      <c r="F38" s="8"/>
      <c r="G38" s="8"/>
      <c r="H38" s="8"/>
      <c r="I38" s="8"/>
      <c r="J38" s="8"/>
      <c r="K38" s="8">
        <v>1</v>
      </c>
      <c r="L38" s="18">
        <v>1710</v>
      </c>
      <c r="M38" s="7">
        <f t="shared" si="0"/>
        <v>1710</v>
      </c>
      <c r="N38" s="4"/>
      <c r="O38" s="9"/>
    </row>
    <row r="39" spans="1:15" ht="20" customHeight="1" x14ac:dyDescent="0.2">
      <c r="A39" s="3">
        <v>35</v>
      </c>
      <c r="B39" s="19"/>
      <c r="C39" s="4" t="s">
        <v>3877</v>
      </c>
      <c r="D39" s="4" t="s">
        <v>42</v>
      </c>
      <c r="E39" s="4"/>
      <c r="F39" s="8"/>
      <c r="G39" s="8"/>
      <c r="H39" s="8"/>
      <c r="I39" s="8"/>
      <c r="J39" s="8"/>
      <c r="K39" s="8">
        <v>1</v>
      </c>
      <c r="L39" s="18">
        <v>3420</v>
      </c>
      <c r="M39" s="7">
        <f t="shared" si="0"/>
        <v>3420</v>
      </c>
      <c r="N39" s="4"/>
      <c r="O39" s="9"/>
    </row>
    <row r="40" spans="1:15" ht="20" customHeight="1" x14ac:dyDescent="0.2">
      <c r="A40" s="3">
        <v>36</v>
      </c>
      <c r="B40" s="19"/>
      <c r="C40" s="4" t="s">
        <v>3878</v>
      </c>
      <c r="D40" s="4" t="s">
        <v>42</v>
      </c>
      <c r="E40" s="4"/>
      <c r="F40" s="8"/>
      <c r="G40" s="8"/>
      <c r="H40" s="8"/>
      <c r="I40" s="8"/>
      <c r="J40" s="8"/>
      <c r="K40" s="8">
        <v>1</v>
      </c>
      <c r="L40" s="18">
        <v>4320</v>
      </c>
      <c r="M40" s="7">
        <f t="shared" si="0"/>
        <v>4320</v>
      </c>
      <c r="N40" s="4"/>
      <c r="O40" s="9"/>
    </row>
    <row r="41" spans="1:15" ht="20" customHeight="1" x14ac:dyDescent="0.2">
      <c r="A41" s="3">
        <v>37</v>
      </c>
      <c r="B41" s="19"/>
      <c r="C41" s="4" t="s">
        <v>3879</v>
      </c>
      <c r="D41" s="4" t="s">
        <v>42</v>
      </c>
      <c r="E41" s="4"/>
      <c r="F41" s="8"/>
      <c r="G41" s="8"/>
      <c r="H41" s="8"/>
      <c r="I41" s="8"/>
      <c r="J41" s="8"/>
      <c r="K41" s="8">
        <v>1</v>
      </c>
      <c r="L41" s="18">
        <v>2700</v>
      </c>
      <c r="M41" s="7">
        <f t="shared" si="0"/>
        <v>2700</v>
      </c>
      <c r="N41" s="4"/>
      <c r="O41" s="9"/>
    </row>
    <row r="42" spans="1:15" ht="20" customHeight="1" x14ac:dyDescent="0.2">
      <c r="A42" s="3">
        <v>38</v>
      </c>
      <c r="B42" s="19"/>
      <c r="C42" s="4" t="s">
        <v>3880</v>
      </c>
      <c r="D42" s="4" t="s">
        <v>42</v>
      </c>
      <c r="E42" s="4"/>
      <c r="F42" s="8"/>
      <c r="G42" s="8"/>
      <c r="H42" s="8"/>
      <c r="I42" s="8"/>
      <c r="J42" s="8"/>
      <c r="K42" s="8">
        <v>1</v>
      </c>
      <c r="L42" s="18">
        <v>1620</v>
      </c>
      <c r="M42" s="7">
        <f t="shared" si="0"/>
        <v>1620</v>
      </c>
      <c r="N42" s="4"/>
      <c r="O42" s="9"/>
    </row>
    <row r="43" spans="1:15" ht="20" customHeight="1" x14ac:dyDescent="0.2">
      <c r="A43" s="3">
        <v>39</v>
      </c>
      <c r="B43" s="19"/>
      <c r="C43" s="4" t="s">
        <v>3881</v>
      </c>
      <c r="D43" s="4" t="s">
        <v>42</v>
      </c>
      <c r="E43" s="4"/>
      <c r="F43" s="8"/>
      <c r="G43" s="8"/>
      <c r="H43" s="8"/>
      <c r="I43" s="8"/>
      <c r="J43" s="8"/>
      <c r="K43" s="8">
        <v>1</v>
      </c>
      <c r="L43" s="18">
        <v>3240</v>
      </c>
      <c r="M43" s="7">
        <f t="shared" si="0"/>
        <v>3240</v>
      </c>
      <c r="N43" s="4"/>
      <c r="O43" s="9"/>
    </row>
    <row r="44" spans="1:15" ht="20" customHeight="1" x14ac:dyDescent="0.2">
      <c r="A44" s="3">
        <v>40</v>
      </c>
      <c r="B44" s="19"/>
      <c r="C44" s="4" t="s">
        <v>3882</v>
      </c>
      <c r="D44" s="4" t="s">
        <v>42</v>
      </c>
      <c r="E44" s="4"/>
      <c r="F44" s="8"/>
      <c r="G44" s="8"/>
      <c r="H44" s="8"/>
      <c r="I44" s="8"/>
      <c r="J44" s="8"/>
      <c r="K44" s="8">
        <v>1</v>
      </c>
      <c r="L44" s="18">
        <v>3240</v>
      </c>
      <c r="M44" s="7">
        <f t="shared" si="0"/>
        <v>3240</v>
      </c>
      <c r="N44" s="4"/>
      <c r="O44" s="9"/>
    </row>
    <row r="45" spans="1:15" ht="20" customHeight="1" x14ac:dyDescent="0.2">
      <c r="A45" s="3">
        <v>41</v>
      </c>
      <c r="B45" s="19"/>
      <c r="C45" s="4" t="s">
        <v>3883</v>
      </c>
      <c r="D45" s="4" t="s">
        <v>42</v>
      </c>
      <c r="E45" s="4"/>
      <c r="F45" s="8"/>
      <c r="G45" s="8"/>
      <c r="H45" s="8"/>
      <c r="I45" s="8"/>
      <c r="J45" s="8"/>
      <c r="K45" s="8">
        <v>1</v>
      </c>
      <c r="L45" s="18">
        <v>1140</v>
      </c>
      <c r="M45" s="7">
        <f t="shared" si="0"/>
        <v>1140</v>
      </c>
      <c r="N45" s="4"/>
      <c r="O45" s="9"/>
    </row>
    <row r="46" spans="1:15" ht="20" customHeight="1" x14ac:dyDescent="0.2">
      <c r="A46" s="3">
        <v>42</v>
      </c>
      <c r="B46" s="19"/>
      <c r="C46" s="4" t="s">
        <v>3884</v>
      </c>
      <c r="D46" s="4" t="s">
        <v>42</v>
      </c>
      <c r="E46" s="4"/>
      <c r="F46" s="8"/>
      <c r="G46" s="8"/>
      <c r="H46" s="8"/>
      <c r="I46" s="8"/>
      <c r="J46" s="8"/>
      <c r="K46" s="8">
        <v>1</v>
      </c>
      <c r="L46" s="18">
        <v>1140</v>
      </c>
      <c r="M46" s="7">
        <f t="shared" si="0"/>
        <v>1140</v>
      </c>
      <c r="N46" s="4"/>
      <c r="O46" s="9"/>
    </row>
    <row r="47" spans="1:15" ht="20" customHeight="1" x14ac:dyDescent="0.2">
      <c r="A47" s="3">
        <v>43</v>
      </c>
      <c r="B47" s="19"/>
      <c r="C47" s="4" t="s">
        <v>3885</v>
      </c>
      <c r="D47" s="4" t="s">
        <v>42</v>
      </c>
      <c r="E47" s="4"/>
      <c r="F47" s="8"/>
      <c r="G47" s="8"/>
      <c r="H47" s="8"/>
      <c r="I47" s="8"/>
      <c r="J47" s="8"/>
      <c r="K47" s="8">
        <v>1</v>
      </c>
      <c r="L47" s="18">
        <v>2850</v>
      </c>
      <c r="M47" s="7">
        <f t="shared" si="0"/>
        <v>2850</v>
      </c>
      <c r="N47" s="4"/>
      <c r="O47" s="9"/>
    </row>
    <row r="48" spans="1:15" ht="20" customHeight="1" x14ac:dyDescent="0.2">
      <c r="A48" s="3">
        <v>44</v>
      </c>
      <c r="B48" s="19"/>
      <c r="C48" s="4" t="s">
        <v>3886</v>
      </c>
      <c r="D48" s="4" t="s">
        <v>42</v>
      </c>
      <c r="E48" s="4"/>
      <c r="F48" s="8"/>
      <c r="G48" s="8"/>
      <c r="H48" s="8"/>
      <c r="I48" s="8"/>
      <c r="J48" s="8"/>
      <c r="K48" s="8">
        <v>1</v>
      </c>
      <c r="L48" s="18">
        <v>1710</v>
      </c>
      <c r="M48" s="7">
        <f t="shared" si="0"/>
        <v>1710</v>
      </c>
      <c r="N48" s="4"/>
      <c r="O48" s="9"/>
    </row>
    <row r="49" spans="1:15" ht="20" customHeight="1" x14ac:dyDescent="0.2">
      <c r="A49" s="3">
        <v>45</v>
      </c>
      <c r="B49" s="19"/>
      <c r="C49" s="4" t="s">
        <v>3887</v>
      </c>
      <c r="D49" s="4" t="s">
        <v>42</v>
      </c>
      <c r="E49" s="4"/>
      <c r="F49" s="8"/>
      <c r="G49" s="8"/>
      <c r="H49" s="8"/>
      <c r="I49" s="8"/>
      <c r="J49" s="8"/>
      <c r="K49" s="8">
        <v>1</v>
      </c>
      <c r="L49" s="18">
        <v>1710</v>
      </c>
      <c r="M49" s="7">
        <f t="shared" si="0"/>
        <v>1710</v>
      </c>
      <c r="N49" s="4"/>
      <c r="O49" s="9"/>
    </row>
    <row r="50" spans="1:15" ht="20" customHeight="1" x14ac:dyDescent="0.2">
      <c r="A50" s="3">
        <v>46</v>
      </c>
      <c r="B50" s="19"/>
      <c r="C50" s="4" t="s">
        <v>3888</v>
      </c>
      <c r="D50" s="4" t="s">
        <v>42</v>
      </c>
      <c r="E50" s="4"/>
      <c r="F50" s="8"/>
      <c r="G50" s="8"/>
      <c r="H50" s="8"/>
      <c r="I50" s="8"/>
      <c r="J50" s="8"/>
      <c r="K50" s="8">
        <v>1</v>
      </c>
      <c r="L50" s="18">
        <v>2700</v>
      </c>
      <c r="M50" s="7">
        <f t="shared" si="0"/>
        <v>2700</v>
      </c>
      <c r="N50" s="4"/>
      <c r="O50" s="9"/>
    </row>
    <row r="51" spans="1:15" ht="20" customHeight="1" x14ac:dyDescent="0.2">
      <c r="A51" s="3">
        <v>47</v>
      </c>
      <c r="B51" s="19"/>
      <c r="C51" s="4" t="s">
        <v>3889</v>
      </c>
      <c r="D51" s="4" t="s">
        <v>42</v>
      </c>
      <c r="E51" s="4"/>
      <c r="F51" s="8"/>
      <c r="G51" s="8"/>
      <c r="H51" s="8"/>
      <c r="I51" s="8"/>
      <c r="J51" s="8"/>
      <c r="K51" s="8">
        <v>1</v>
      </c>
      <c r="L51" s="18">
        <v>850</v>
      </c>
      <c r="M51" s="7">
        <f t="shared" si="0"/>
        <v>850</v>
      </c>
      <c r="N51" s="4"/>
      <c r="O51" s="9"/>
    </row>
    <row r="52" spans="1:15" ht="20" customHeight="1" x14ac:dyDescent="0.2">
      <c r="A52" s="3">
        <v>48</v>
      </c>
      <c r="B52" s="19"/>
      <c r="C52" s="4" t="s">
        <v>3890</v>
      </c>
      <c r="D52" s="4" t="s">
        <v>42</v>
      </c>
      <c r="E52" s="4"/>
      <c r="F52" s="8"/>
      <c r="G52" s="8"/>
      <c r="H52" s="8"/>
      <c r="I52" s="8"/>
      <c r="J52" s="8"/>
      <c r="K52" s="8">
        <v>1</v>
      </c>
      <c r="L52" s="18">
        <v>1700</v>
      </c>
      <c r="M52" s="7">
        <f t="shared" si="0"/>
        <v>1700</v>
      </c>
      <c r="N52" s="4"/>
      <c r="O52" s="9"/>
    </row>
    <row r="53" spans="1:15" ht="20" customHeight="1" x14ac:dyDescent="0.2">
      <c r="A53" s="3">
        <v>49</v>
      </c>
      <c r="B53" s="19"/>
      <c r="C53" s="4" t="s">
        <v>3891</v>
      </c>
      <c r="D53" s="4" t="s">
        <v>42</v>
      </c>
      <c r="E53" s="4"/>
      <c r="F53" s="8"/>
      <c r="G53" s="8"/>
      <c r="H53" s="8"/>
      <c r="I53" s="8"/>
      <c r="J53" s="8"/>
      <c r="K53" s="8">
        <v>1</v>
      </c>
      <c r="L53" s="18">
        <v>850</v>
      </c>
      <c r="M53" s="7">
        <f t="shared" si="0"/>
        <v>850</v>
      </c>
      <c r="N53" s="4"/>
      <c r="O53" s="9"/>
    </row>
    <row r="54" spans="1:15" ht="20" customHeight="1" x14ac:dyDescent="0.2">
      <c r="A54" s="3">
        <v>50</v>
      </c>
      <c r="B54" s="19"/>
      <c r="C54" s="4" t="s">
        <v>3892</v>
      </c>
      <c r="D54" s="4" t="s">
        <v>42</v>
      </c>
      <c r="E54" s="4"/>
      <c r="F54" s="8"/>
      <c r="G54" s="8"/>
      <c r="H54" s="8"/>
      <c r="I54" s="8"/>
      <c r="J54" s="8"/>
      <c r="K54" s="8">
        <v>1</v>
      </c>
      <c r="L54" s="18">
        <v>1700</v>
      </c>
      <c r="M54" s="7">
        <f t="shared" si="0"/>
        <v>1700</v>
      </c>
      <c r="N54" s="4"/>
      <c r="O54" s="9"/>
    </row>
    <row r="55" spans="1:15" ht="20" customHeight="1" x14ac:dyDescent="0.2">
      <c r="A55" s="3">
        <v>51</v>
      </c>
      <c r="B55" s="19"/>
      <c r="C55" s="4" t="s">
        <v>3893</v>
      </c>
      <c r="D55" s="4" t="s">
        <v>42</v>
      </c>
      <c r="E55" s="4"/>
      <c r="F55" s="8"/>
      <c r="G55" s="8"/>
      <c r="H55" s="8"/>
      <c r="I55" s="8"/>
      <c r="J55" s="8"/>
      <c r="K55" s="8">
        <v>1</v>
      </c>
      <c r="L55" s="18">
        <v>1700</v>
      </c>
      <c r="M55" s="7">
        <f t="shared" si="0"/>
        <v>1700</v>
      </c>
      <c r="N55" s="4"/>
      <c r="O55" s="9"/>
    </row>
    <row r="56" spans="1:15" ht="20" customHeight="1" x14ac:dyDescent="0.2">
      <c r="A56" s="3">
        <v>52</v>
      </c>
      <c r="B56" s="19"/>
      <c r="C56" s="4" t="s">
        <v>3894</v>
      </c>
      <c r="D56" s="4" t="s">
        <v>42</v>
      </c>
      <c r="E56" s="4"/>
      <c r="F56" s="8"/>
      <c r="G56" s="8"/>
      <c r="H56" s="8"/>
      <c r="I56" s="8"/>
      <c r="J56" s="8"/>
      <c r="K56" s="8">
        <v>1</v>
      </c>
      <c r="L56" s="18">
        <v>1700</v>
      </c>
      <c r="M56" s="7">
        <f t="shared" si="0"/>
        <v>1700</v>
      </c>
      <c r="N56" s="4"/>
      <c r="O56" s="9"/>
    </row>
    <row r="57" spans="1:15" ht="20" customHeight="1" x14ac:dyDescent="0.2">
      <c r="A57" s="3">
        <v>53</v>
      </c>
      <c r="B57" s="19"/>
      <c r="C57" s="4" t="s">
        <v>3895</v>
      </c>
      <c r="D57" s="4" t="s">
        <v>42</v>
      </c>
      <c r="E57" s="4"/>
      <c r="F57" s="8"/>
      <c r="G57" s="8"/>
      <c r="H57" s="8"/>
      <c r="I57" s="8"/>
      <c r="J57" s="8"/>
      <c r="K57" s="8">
        <v>1</v>
      </c>
      <c r="L57" s="18">
        <v>2750</v>
      </c>
      <c r="M57" s="7">
        <f t="shared" si="0"/>
        <v>2750</v>
      </c>
      <c r="N57" s="4"/>
      <c r="O57" s="9"/>
    </row>
    <row r="58" spans="1:15" ht="20" customHeight="1" x14ac:dyDescent="0.2">
      <c r="A58" s="3">
        <v>54</v>
      </c>
      <c r="B58" s="19"/>
      <c r="C58" s="4" t="s">
        <v>3896</v>
      </c>
      <c r="D58" s="4" t="s">
        <v>42</v>
      </c>
      <c r="E58" s="4"/>
      <c r="F58" s="8"/>
      <c r="G58" s="8"/>
      <c r="H58" s="8"/>
      <c r="I58" s="8"/>
      <c r="J58" s="8"/>
      <c r="K58" s="8">
        <v>1</v>
      </c>
      <c r="L58" s="18">
        <v>2750</v>
      </c>
      <c r="M58" s="7">
        <f t="shared" si="0"/>
        <v>2750</v>
      </c>
      <c r="N58" s="4"/>
      <c r="O58" s="9"/>
    </row>
    <row r="59" spans="1:15" ht="20" customHeight="1" x14ac:dyDescent="0.2">
      <c r="A59" s="3">
        <v>55</v>
      </c>
      <c r="B59" s="19"/>
      <c r="C59" s="4" t="s">
        <v>3897</v>
      </c>
      <c r="D59" s="4" t="s">
        <v>42</v>
      </c>
      <c r="E59" s="4"/>
      <c r="F59" s="8"/>
      <c r="G59" s="8"/>
      <c r="H59" s="8"/>
      <c r="I59" s="8"/>
      <c r="J59" s="8"/>
      <c r="K59" s="8">
        <v>1</v>
      </c>
      <c r="L59" s="18">
        <v>2750</v>
      </c>
      <c r="M59" s="7">
        <f t="shared" si="0"/>
        <v>2750</v>
      </c>
      <c r="N59" s="4"/>
      <c r="O59" s="9"/>
    </row>
    <row r="60" spans="1:15" ht="20" customHeight="1" x14ac:dyDescent="0.2">
      <c r="A60" s="3">
        <v>56</v>
      </c>
      <c r="B60" s="19"/>
      <c r="C60" s="4" t="s">
        <v>3898</v>
      </c>
      <c r="D60" s="4" t="s">
        <v>42</v>
      </c>
      <c r="E60" s="4"/>
      <c r="F60" s="8"/>
      <c r="G60" s="8"/>
      <c r="H60" s="8"/>
      <c r="I60" s="8"/>
      <c r="J60" s="8"/>
      <c r="K60" s="8">
        <v>1</v>
      </c>
      <c r="L60" s="18">
        <v>2750</v>
      </c>
      <c r="M60" s="7">
        <f t="shared" si="0"/>
        <v>2750</v>
      </c>
      <c r="N60" s="4"/>
      <c r="O60" s="9"/>
    </row>
    <row r="61" spans="1:15" ht="20" customHeight="1" x14ac:dyDescent="0.2">
      <c r="A61" s="3">
        <v>57</v>
      </c>
      <c r="B61" s="19"/>
      <c r="C61" s="4" t="s">
        <v>3899</v>
      </c>
      <c r="D61" s="4" t="s">
        <v>42</v>
      </c>
      <c r="E61" s="4"/>
      <c r="F61" s="8"/>
      <c r="G61" s="8"/>
      <c r="H61" s="8"/>
      <c r="I61" s="8"/>
      <c r="J61" s="8"/>
      <c r="K61" s="8">
        <v>1</v>
      </c>
      <c r="L61" s="18">
        <v>2750</v>
      </c>
      <c r="M61" s="7">
        <f t="shared" si="0"/>
        <v>2750</v>
      </c>
      <c r="N61" s="4"/>
      <c r="O61" s="9"/>
    </row>
    <row r="62" spans="1:15" ht="20" customHeight="1" x14ac:dyDescent="0.2">
      <c r="A62" s="3">
        <v>58</v>
      </c>
      <c r="B62" s="19"/>
      <c r="C62" s="4" t="s">
        <v>3900</v>
      </c>
      <c r="D62" s="4" t="s">
        <v>42</v>
      </c>
      <c r="E62" s="4"/>
      <c r="F62" s="8"/>
      <c r="G62" s="8"/>
      <c r="H62" s="8"/>
      <c r="I62" s="8"/>
      <c r="J62" s="8"/>
      <c r="K62" s="8">
        <v>1</v>
      </c>
      <c r="L62" s="18">
        <v>1100</v>
      </c>
      <c r="M62" s="7">
        <f t="shared" si="0"/>
        <v>1100</v>
      </c>
      <c r="N62" s="4"/>
      <c r="O62" s="9"/>
    </row>
    <row r="63" spans="1:15" ht="20" customHeight="1" x14ac:dyDescent="0.2">
      <c r="A63" s="3">
        <v>59</v>
      </c>
      <c r="B63" s="19"/>
      <c r="C63" s="4" t="s">
        <v>3901</v>
      </c>
      <c r="D63" s="4" t="s">
        <v>42</v>
      </c>
      <c r="E63" s="4"/>
      <c r="F63" s="8"/>
      <c r="G63" s="8"/>
      <c r="H63" s="8"/>
      <c r="I63" s="8"/>
      <c r="J63" s="8"/>
      <c r="K63" s="8">
        <v>1</v>
      </c>
      <c r="L63" s="18">
        <v>2750</v>
      </c>
      <c r="M63" s="7">
        <f t="shared" si="0"/>
        <v>2750</v>
      </c>
      <c r="N63" s="4"/>
      <c r="O63" s="9"/>
    </row>
    <row r="64" spans="1:15" ht="20" customHeight="1" x14ac:dyDescent="0.2">
      <c r="A64" s="3">
        <v>60</v>
      </c>
      <c r="B64" s="19"/>
      <c r="C64" s="4" t="s">
        <v>3902</v>
      </c>
      <c r="D64" s="4" t="s">
        <v>42</v>
      </c>
      <c r="E64" s="4"/>
      <c r="F64" s="8"/>
      <c r="G64" s="8"/>
      <c r="H64" s="8"/>
      <c r="I64" s="8"/>
      <c r="J64" s="8"/>
      <c r="K64" s="8">
        <v>1</v>
      </c>
      <c r="L64" s="18">
        <v>1100</v>
      </c>
      <c r="M64" s="7">
        <f t="shared" si="0"/>
        <v>1100</v>
      </c>
      <c r="N64" s="4"/>
      <c r="O64" s="9"/>
    </row>
    <row r="65" spans="1:15" ht="20" customHeight="1" x14ac:dyDescent="0.2">
      <c r="A65" s="3">
        <v>61</v>
      </c>
      <c r="B65" s="19"/>
      <c r="C65" s="4" t="s">
        <v>3903</v>
      </c>
      <c r="D65" s="4" t="s">
        <v>42</v>
      </c>
      <c r="E65" s="4"/>
      <c r="F65" s="8"/>
      <c r="G65" s="8"/>
      <c r="H65" s="8"/>
      <c r="I65" s="8"/>
      <c r="J65" s="8"/>
      <c r="K65" s="8">
        <v>1</v>
      </c>
      <c r="L65" s="18">
        <v>2750</v>
      </c>
      <c r="M65" s="7">
        <f t="shared" si="0"/>
        <v>2750</v>
      </c>
      <c r="N65" s="4"/>
      <c r="O65" s="9"/>
    </row>
    <row r="66" spans="1:15" ht="20" customHeight="1" x14ac:dyDescent="0.2">
      <c r="A66" s="3">
        <v>62</v>
      </c>
      <c r="B66" s="19"/>
      <c r="C66" s="4" t="s">
        <v>3904</v>
      </c>
      <c r="D66" s="4" t="s">
        <v>42</v>
      </c>
      <c r="E66" s="4"/>
      <c r="F66" s="8"/>
      <c r="G66" s="8"/>
      <c r="H66" s="8"/>
      <c r="I66" s="8"/>
      <c r="J66" s="8"/>
      <c r="K66" s="8">
        <v>1</v>
      </c>
      <c r="L66" s="18">
        <v>1650</v>
      </c>
      <c r="M66" s="7">
        <f t="shared" si="0"/>
        <v>1650</v>
      </c>
      <c r="N66" s="4"/>
      <c r="O66" s="9"/>
    </row>
    <row r="67" spans="1:15" ht="20" customHeight="1" x14ac:dyDescent="0.2">
      <c r="A67" s="3">
        <v>63</v>
      </c>
      <c r="B67" s="19"/>
      <c r="C67" s="4" t="s">
        <v>3905</v>
      </c>
      <c r="D67" s="4" t="s">
        <v>42</v>
      </c>
      <c r="E67" s="4"/>
      <c r="F67" s="8"/>
      <c r="G67" s="8"/>
      <c r="H67" s="8"/>
      <c r="I67" s="8"/>
      <c r="J67" s="8"/>
      <c r="K67" s="8">
        <v>0</v>
      </c>
      <c r="L67" s="18">
        <v>0</v>
      </c>
      <c r="M67" s="7">
        <f t="shared" si="0"/>
        <v>0</v>
      </c>
      <c r="N67" s="4"/>
      <c r="O67" s="9"/>
    </row>
    <row r="68" spans="1:15" ht="20" customHeight="1" x14ac:dyDescent="0.2">
      <c r="A68" s="3">
        <v>64</v>
      </c>
      <c r="B68" s="19"/>
      <c r="C68" s="4" t="s">
        <v>3906</v>
      </c>
      <c r="D68" s="4" t="s">
        <v>42</v>
      </c>
      <c r="E68" s="4"/>
      <c r="F68" s="8"/>
      <c r="G68" s="8"/>
      <c r="H68" s="8"/>
      <c r="I68" s="8"/>
      <c r="J68" s="8"/>
      <c r="K68" s="8">
        <v>1</v>
      </c>
      <c r="L68" s="18">
        <v>11200</v>
      </c>
      <c r="M68" s="7">
        <f t="shared" si="0"/>
        <v>11200</v>
      </c>
      <c r="N68" s="4"/>
      <c r="O68" s="9"/>
    </row>
    <row r="69" spans="1:15" ht="20" customHeight="1" x14ac:dyDescent="0.2">
      <c r="A69" s="3">
        <v>65</v>
      </c>
      <c r="B69" s="19"/>
      <c r="C69" s="4" t="s">
        <v>3907</v>
      </c>
      <c r="D69" s="4" t="s">
        <v>42</v>
      </c>
      <c r="E69" s="4"/>
      <c r="F69" s="8"/>
      <c r="G69" s="8"/>
      <c r="H69" s="8"/>
      <c r="I69" s="8"/>
      <c r="J69" s="8"/>
      <c r="K69" s="8">
        <v>1</v>
      </c>
      <c r="L69" s="18">
        <v>3600</v>
      </c>
      <c r="M69" s="7">
        <f t="shared" ref="M69:M132" si="1">IF(OR(K69="",L69=""),"",K69*L69)</f>
        <v>3600</v>
      </c>
      <c r="N69" s="4"/>
      <c r="O69" s="9"/>
    </row>
    <row r="70" spans="1:15" ht="20" customHeight="1" x14ac:dyDescent="0.2">
      <c r="A70" s="3">
        <v>66</v>
      </c>
      <c r="B70" s="19"/>
      <c r="C70" s="4" t="s">
        <v>3908</v>
      </c>
      <c r="D70" s="4" t="s">
        <v>42</v>
      </c>
      <c r="E70" s="4"/>
      <c r="F70" s="8"/>
      <c r="G70" s="8"/>
      <c r="H70" s="8"/>
      <c r="I70" s="8"/>
      <c r="J70" s="8"/>
      <c r="K70" s="8">
        <v>0</v>
      </c>
      <c r="L70" s="18">
        <v>0</v>
      </c>
      <c r="M70" s="7">
        <f t="shared" si="1"/>
        <v>0</v>
      </c>
      <c r="N70" s="4"/>
      <c r="O70" s="9"/>
    </row>
    <row r="71" spans="1:15" ht="20" customHeight="1" x14ac:dyDescent="0.2">
      <c r="A71" s="3">
        <v>67</v>
      </c>
      <c r="B71" s="19"/>
      <c r="C71" s="4" t="s">
        <v>3909</v>
      </c>
      <c r="D71" s="4" t="s">
        <v>42</v>
      </c>
      <c r="E71" s="4"/>
      <c r="F71" s="8"/>
      <c r="G71" s="8"/>
      <c r="H71" s="8"/>
      <c r="I71" s="8"/>
      <c r="J71" s="8"/>
      <c r="K71" s="8">
        <v>1</v>
      </c>
      <c r="L71" s="18">
        <v>7500</v>
      </c>
      <c r="M71" s="7">
        <f t="shared" si="1"/>
        <v>7500</v>
      </c>
      <c r="N71" s="4"/>
      <c r="O71" s="9"/>
    </row>
    <row r="72" spans="1:15" ht="20" customHeight="1" x14ac:dyDescent="0.2">
      <c r="A72" s="3">
        <v>68</v>
      </c>
      <c r="B72" s="19"/>
      <c r="C72" s="4" t="s">
        <v>3910</v>
      </c>
      <c r="D72" s="4" t="s">
        <v>42</v>
      </c>
      <c r="E72" s="4"/>
      <c r="F72" s="8"/>
      <c r="G72" s="8"/>
      <c r="H72" s="8"/>
      <c r="I72" s="8"/>
      <c r="J72" s="8"/>
      <c r="K72" s="8">
        <v>1</v>
      </c>
      <c r="L72" s="18">
        <v>965</v>
      </c>
      <c r="M72" s="7">
        <f t="shared" si="1"/>
        <v>965</v>
      </c>
      <c r="N72" s="4"/>
      <c r="O72" s="9"/>
    </row>
    <row r="73" spans="1:15" ht="20" customHeight="1" x14ac:dyDescent="0.2">
      <c r="A73" s="3">
        <v>69</v>
      </c>
      <c r="B73" s="19"/>
      <c r="C73" s="4" t="s">
        <v>3911</v>
      </c>
      <c r="D73" s="4" t="s">
        <v>42</v>
      </c>
      <c r="E73" s="4"/>
      <c r="F73" s="8"/>
      <c r="G73" s="8"/>
      <c r="H73" s="8"/>
      <c r="I73" s="8"/>
      <c r="J73" s="8"/>
      <c r="K73" s="8">
        <v>1</v>
      </c>
      <c r="L73" s="18">
        <v>12000</v>
      </c>
      <c r="M73" s="7">
        <f t="shared" si="1"/>
        <v>12000</v>
      </c>
      <c r="N73" s="4"/>
      <c r="O73" s="9"/>
    </row>
    <row r="74" spans="1:15" ht="20" customHeight="1" x14ac:dyDescent="0.2">
      <c r="A74" s="3">
        <v>70</v>
      </c>
      <c r="B74" s="19"/>
      <c r="C74" s="4" t="s">
        <v>3912</v>
      </c>
      <c r="D74" s="4" t="s">
        <v>42</v>
      </c>
      <c r="E74" s="4"/>
      <c r="F74" s="8"/>
      <c r="G74" s="8"/>
      <c r="H74" s="8"/>
      <c r="I74" s="8"/>
      <c r="J74" s="8"/>
      <c r="K74" s="8">
        <v>0</v>
      </c>
      <c r="L74" s="18">
        <v>0</v>
      </c>
      <c r="M74" s="7">
        <f t="shared" si="1"/>
        <v>0</v>
      </c>
      <c r="N74" s="4"/>
      <c r="O74" s="9"/>
    </row>
    <row r="75" spans="1:15" ht="20" customHeight="1" x14ac:dyDescent="0.2">
      <c r="A75" s="3">
        <v>71</v>
      </c>
      <c r="B75" s="19"/>
      <c r="C75" s="4" t="s">
        <v>3913</v>
      </c>
      <c r="D75" s="4" t="s">
        <v>42</v>
      </c>
      <c r="E75" s="4"/>
      <c r="F75" s="8"/>
      <c r="G75" s="8"/>
      <c r="H75" s="8"/>
      <c r="I75" s="8"/>
      <c r="J75" s="8"/>
      <c r="K75" s="8">
        <v>0</v>
      </c>
      <c r="L75" s="18">
        <v>0</v>
      </c>
      <c r="M75" s="7">
        <f t="shared" si="1"/>
        <v>0</v>
      </c>
      <c r="N75" s="4"/>
      <c r="O75" s="9"/>
    </row>
    <row r="76" spans="1:15" ht="20" customHeight="1" x14ac:dyDescent="0.2">
      <c r="A76" s="3">
        <v>72</v>
      </c>
      <c r="B76" s="19"/>
      <c r="C76" s="4" t="s">
        <v>3914</v>
      </c>
      <c r="D76" s="4" t="s">
        <v>42</v>
      </c>
      <c r="E76" s="4"/>
      <c r="F76" s="8"/>
      <c r="G76" s="8"/>
      <c r="H76" s="8"/>
      <c r="I76" s="8"/>
      <c r="J76" s="8"/>
      <c r="K76" s="8">
        <v>1</v>
      </c>
      <c r="L76" s="18">
        <v>7600</v>
      </c>
      <c r="M76" s="7">
        <f t="shared" si="1"/>
        <v>7600</v>
      </c>
      <c r="N76" s="4"/>
      <c r="O76" s="9"/>
    </row>
    <row r="77" spans="1:15" ht="20" customHeight="1" x14ac:dyDescent="0.2">
      <c r="A77" s="3">
        <v>73</v>
      </c>
      <c r="B77" s="19"/>
      <c r="C77" s="4" t="s">
        <v>3915</v>
      </c>
      <c r="D77" s="4" t="s">
        <v>42</v>
      </c>
      <c r="E77" s="4"/>
      <c r="F77" s="8"/>
      <c r="G77" s="8"/>
      <c r="H77" s="8"/>
      <c r="I77" s="8"/>
      <c r="J77" s="8"/>
      <c r="K77" s="8">
        <v>1</v>
      </c>
      <c r="L77" s="18">
        <v>36800</v>
      </c>
      <c r="M77" s="7">
        <f t="shared" si="1"/>
        <v>36800</v>
      </c>
      <c r="N77" s="4"/>
      <c r="O77" s="9"/>
    </row>
    <row r="78" spans="1:15" ht="20" customHeight="1" x14ac:dyDescent="0.2">
      <c r="A78" s="3">
        <v>74</v>
      </c>
      <c r="B78" s="19"/>
      <c r="C78" s="4" t="s">
        <v>3916</v>
      </c>
      <c r="D78" s="4" t="s">
        <v>42</v>
      </c>
      <c r="E78" s="4"/>
      <c r="F78" s="8"/>
      <c r="G78" s="8"/>
      <c r="H78" s="8"/>
      <c r="I78" s="8"/>
      <c r="J78" s="8"/>
      <c r="K78" s="8">
        <v>1</v>
      </c>
      <c r="L78" s="18">
        <v>39600</v>
      </c>
      <c r="M78" s="7">
        <f t="shared" si="1"/>
        <v>39600</v>
      </c>
      <c r="N78" s="4"/>
      <c r="O78" s="9"/>
    </row>
    <row r="79" spans="1:15" ht="20" customHeight="1" x14ac:dyDescent="0.2">
      <c r="A79" s="3">
        <v>75</v>
      </c>
      <c r="B79" s="19"/>
      <c r="C79" s="4" t="s">
        <v>3917</v>
      </c>
      <c r="D79" s="4" t="s">
        <v>42</v>
      </c>
      <c r="E79" s="4"/>
      <c r="F79" s="8"/>
      <c r="G79" s="8"/>
      <c r="H79" s="8"/>
      <c r="I79" s="8"/>
      <c r="J79" s="8"/>
      <c r="K79" s="8">
        <v>1</v>
      </c>
      <c r="L79" s="18">
        <v>1050</v>
      </c>
      <c r="M79" s="7">
        <f t="shared" si="1"/>
        <v>1050</v>
      </c>
      <c r="N79" s="4"/>
      <c r="O79" s="9"/>
    </row>
    <row r="80" spans="1:15" ht="20" customHeight="1" x14ac:dyDescent="0.2">
      <c r="A80" s="3">
        <v>76</v>
      </c>
      <c r="B80" s="19"/>
      <c r="C80" s="4" t="s">
        <v>3918</v>
      </c>
      <c r="D80" s="4" t="s">
        <v>42</v>
      </c>
      <c r="E80" s="4"/>
      <c r="F80" s="8"/>
      <c r="G80" s="8"/>
      <c r="H80" s="8"/>
      <c r="I80" s="8"/>
      <c r="J80" s="8"/>
      <c r="K80" s="8">
        <v>1</v>
      </c>
      <c r="L80" s="18">
        <v>1050</v>
      </c>
      <c r="M80" s="7">
        <f t="shared" si="1"/>
        <v>1050</v>
      </c>
      <c r="N80" s="4"/>
      <c r="O80" s="9"/>
    </row>
    <row r="81" spans="1:15" ht="20" customHeight="1" x14ac:dyDescent="0.2">
      <c r="A81" s="3">
        <v>77</v>
      </c>
      <c r="B81" s="19"/>
      <c r="C81" s="4" t="s">
        <v>3919</v>
      </c>
      <c r="D81" s="4" t="s">
        <v>42</v>
      </c>
      <c r="E81" s="4"/>
      <c r="F81" s="8"/>
      <c r="G81" s="8"/>
      <c r="H81" s="8"/>
      <c r="I81" s="8"/>
      <c r="J81" s="8"/>
      <c r="K81" s="8">
        <v>1</v>
      </c>
      <c r="L81" s="18">
        <v>5700</v>
      </c>
      <c r="M81" s="7">
        <f t="shared" si="1"/>
        <v>5700</v>
      </c>
      <c r="N81" s="4"/>
      <c r="O81" s="9"/>
    </row>
    <row r="82" spans="1:15" ht="20" customHeight="1" x14ac:dyDescent="0.2">
      <c r="A82" s="3">
        <v>78</v>
      </c>
      <c r="B82" s="19"/>
      <c r="C82" s="4" t="s">
        <v>3920</v>
      </c>
      <c r="D82" s="4" t="s">
        <v>42</v>
      </c>
      <c r="E82" s="4"/>
      <c r="F82" s="8"/>
      <c r="G82" s="8"/>
      <c r="H82" s="8"/>
      <c r="I82" s="8"/>
      <c r="J82" s="8"/>
      <c r="K82" s="8">
        <v>1</v>
      </c>
      <c r="L82" s="18">
        <v>3750</v>
      </c>
      <c r="M82" s="7">
        <f t="shared" si="1"/>
        <v>3750</v>
      </c>
      <c r="N82" s="4"/>
      <c r="O82" s="9"/>
    </row>
    <row r="83" spans="1:15" ht="20" customHeight="1" x14ac:dyDescent="0.2">
      <c r="A83" s="3">
        <v>79</v>
      </c>
      <c r="B83" s="19"/>
      <c r="C83" s="4" t="s">
        <v>3921</v>
      </c>
      <c r="D83" s="4" t="s">
        <v>42</v>
      </c>
      <c r="E83" s="4"/>
      <c r="F83" s="8"/>
      <c r="G83" s="8"/>
      <c r="H83" s="8"/>
      <c r="I83" s="8"/>
      <c r="J83" s="8"/>
      <c r="K83" s="8">
        <v>0</v>
      </c>
      <c r="L83" s="18">
        <v>0</v>
      </c>
      <c r="M83" s="7">
        <f t="shared" si="1"/>
        <v>0</v>
      </c>
      <c r="N83" s="4"/>
      <c r="O83" s="9"/>
    </row>
    <row r="84" spans="1:15" ht="20" customHeight="1" x14ac:dyDescent="0.2">
      <c r="A84" s="3">
        <v>80</v>
      </c>
      <c r="B84" s="19"/>
      <c r="C84" s="4" t="s">
        <v>3922</v>
      </c>
      <c r="D84" s="4" t="s">
        <v>42</v>
      </c>
      <c r="E84" s="4"/>
      <c r="F84" s="8"/>
      <c r="G84" s="8"/>
      <c r="H84" s="8"/>
      <c r="I84" s="8"/>
      <c r="J84" s="8"/>
      <c r="K84" s="8">
        <v>0</v>
      </c>
      <c r="L84" s="18">
        <v>0</v>
      </c>
      <c r="M84" s="7">
        <f t="shared" si="1"/>
        <v>0</v>
      </c>
      <c r="N84" s="4"/>
      <c r="O84" s="9"/>
    </row>
    <row r="85" spans="1:15" ht="20" customHeight="1" x14ac:dyDescent="0.2">
      <c r="A85" s="3">
        <v>81</v>
      </c>
      <c r="B85" s="19"/>
      <c r="C85" s="4" t="s">
        <v>3923</v>
      </c>
      <c r="D85" s="4" t="s">
        <v>42</v>
      </c>
      <c r="E85" s="4"/>
      <c r="F85" s="8"/>
      <c r="G85" s="8"/>
      <c r="H85" s="8"/>
      <c r="I85" s="8"/>
      <c r="J85" s="8"/>
      <c r="K85" s="8">
        <v>1</v>
      </c>
      <c r="L85" s="18">
        <v>2970</v>
      </c>
      <c r="M85" s="7">
        <f t="shared" si="1"/>
        <v>2970</v>
      </c>
      <c r="N85" s="4"/>
      <c r="O85" s="9"/>
    </row>
    <row r="86" spans="1:15" ht="20" customHeight="1" x14ac:dyDescent="0.2">
      <c r="A86" s="3">
        <v>82</v>
      </c>
      <c r="B86" s="19"/>
      <c r="C86" s="4" t="s">
        <v>3924</v>
      </c>
      <c r="D86" s="4" t="s">
        <v>42</v>
      </c>
      <c r="E86" s="4"/>
      <c r="F86" s="8"/>
      <c r="G86" s="8"/>
      <c r="H86" s="8"/>
      <c r="I86" s="8"/>
      <c r="J86" s="8"/>
      <c r="K86" s="8">
        <v>1</v>
      </c>
      <c r="L86" s="18">
        <v>2970</v>
      </c>
      <c r="M86" s="7">
        <f t="shared" si="1"/>
        <v>2970</v>
      </c>
      <c r="N86" s="4"/>
      <c r="O86" s="9"/>
    </row>
    <row r="87" spans="1:15" ht="20" customHeight="1" x14ac:dyDescent="0.2">
      <c r="A87" s="3">
        <v>83</v>
      </c>
      <c r="B87" s="19"/>
      <c r="C87" s="4" t="s">
        <v>3925</v>
      </c>
      <c r="D87" s="4" t="s">
        <v>42</v>
      </c>
      <c r="E87" s="4"/>
      <c r="F87" s="8"/>
      <c r="G87" s="8"/>
      <c r="H87" s="8"/>
      <c r="I87" s="8"/>
      <c r="J87" s="8"/>
      <c r="K87" s="8">
        <v>1</v>
      </c>
      <c r="L87" s="18">
        <v>2970</v>
      </c>
      <c r="M87" s="7">
        <f t="shared" si="1"/>
        <v>2970</v>
      </c>
      <c r="N87" s="4"/>
      <c r="O87" s="9"/>
    </row>
    <row r="88" spans="1:15" ht="20" customHeight="1" x14ac:dyDescent="0.2">
      <c r="A88" s="3">
        <v>84</v>
      </c>
      <c r="B88" s="19"/>
      <c r="C88" s="4" t="s">
        <v>3926</v>
      </c>
      <c r="D88" s="4" t="s">
        <v>42</v>
      </c>
      <c r="E88" s="4"/>
      <c r="F88" s="8"/>
      <c r="G88" s="8"/>
      <c r="H88" s="8"/>
      <c r="I88" s="8"/>
      <c r="J88" s="8"/>
      <c r="K88" s="8">
        <v>1</v>
      </c>
      <c r="L88" s="18">
        <v>7470</v>
      </c>
      <c r="M88" s="7">
        <f t="shared" si="1"/>
        <v>7470</v>
      </c>
      <c r="N88" s="4"/>
      <c r="O88" s="9"/>
    </row>
    <row r="89" spans="1:15" ht="20" customHeight="1" x14ac:dyDescent="0.2">
      <c r="A89" s="3">
        <v>85</v>
      </c>
      <c r="B89" s="19"/>
      <c r="C89" s="4" t="s">
        <v>3927</v>
      </c>
      <c r="D89" s="4" t="s">
        <v>42</v>
      </c>
      <c r="E89" s="4"/>
      <c r="F89" s="8"/>
      <c r="G89" s="8"/>
      <c r="H89" s="8"/>
      <c r="I89" s="8"/>
      <c r="J89" s="8"/>
      <c r="K89" s="8">
        <v>1</v>
      </c>
      <c r="L89" s="18">
        <v>4980</v>
      </c>
      <c r="M89" s="7">
        <f t="shared" si="1"/>
        <v>4980</v>
      </c>
      <c r="N89" s="4"/>
      <c r="O89" s="9"/>
    </row>
    <row r="90" spans="1:15" ht="20" customHeight="1" x14ac:dyDescent="0.2">
      <c r="A90" s="3">
        <v>86</v>
      </c>
      <c r="B90" s="19"/>
      <c r="C90" s="4" t="s">
        <v>3928</v>
      </c>
      <c r="D90" s="4" t="s">
        <v>42</v>
      </c>
      <c r="E90" s="4"/>
      <c r="F90" s="8"/>
      <c r="G90" s="8"/>
      <c r="H90" s="8"/>
      <c r="I90" s="8"/>
      <c r="J90" s="8"/>
      <c r="K90" s="8">
        <v>1</v>
      </c>
      <c r="L90" s="18">
        <v>2490</v>
      </c>
      <c r="M90" s="7">
        <f t="shared" si="1"/>
        <v>2490</v>
      </c>
      <c r="N90" s="4"/>
      <c r="O90" s="9"/>
    </row>
    <row r="91" spans="1:15" ht="20" customHeight="1" x14ac:dyDescent="0.2">
      <c r="A91" s="3">
        <v>87</v>
      </c>
      <c r="B91" s="19"/>
      <c r="C91" s="4" t="s">
        <v>3929</v>
      </c>
      <c r="D91" s="4" t="s">
        <v>42</v>
      </c>
      <c r="E91" s="4"/>
      <c r="F91" s="8"/>
      <c r="G91" s="8"/>
      <c r="H91" s="8"/>
      <c r="I91" s="8"/>
      <c r="J91" s="8"/>
      <c r="K91" s="8">
        <v>1</v>
      </c>
      <c r="L91" s="18">
        <v>660</v>
      </c>
      <c r="M91" s="7">
        <f t="shared" si="1"/>
        <v>660</v>
      </c>
      <c r="N91" s="4"/>
      <c r="O91" s="9"/>
    </row>
    <row r="92" spans="1:15" ht="20" customHeight="1" x14ac:dyDescent="0.2">
      <c r="A92" s="3">
        <v>88</v>
      </c>
      <c r="B92" s="19"/>
      <c r="C92" s="4" t="s">
        <v>3930</v>
      </c>
      <c r="D92" s="4" t="s">
        <v>42</v>
      </c>
      <c r="E92" s="4"/>
      <c r="F92" s="8"/>
      <c r="G92" s="8"/>
      <c r="H92" s="8"/>
      <c r="I92" s="8"/>
      <c r="J92" s="8"/>
      <c r="K92" s="8">
        <v>1</v>
      </c>
      <c r="L92" s="18">
        <v>660</v>
      </c>
      <c r="M92" s="7">
        <f t="shared" si="1"/>
        <v>660</v>
      </c>
      <c r="N92" s="4"/>
      <c r="O92" s="9"/>
    </row>
    <row r="93" spans="1:15" ht="20" customHeight="1" x14ac:dyDescent="0.2">
      <c r="A93" s="3">
        <v>89</v>
      </c>
      <c r="B93" s="19"/>
      <c r="C93" s="4" t="s">
        <v>3931</v>
      </c>
      <c r="D93" s="4" t="s">
        <v>42</v>
      </c>
      <c r="E93" s="4"/>
      <c r="F93" s="8"/>
      <c r="G93" s="8"/>
      <c r="H93" s="8"/>
      <c r="I93" s="8"/>
      <c r="J93" s="8"/>
      <c r="K93" s="8">
        <v>1</v>
      </c>
      <c r="L93" s="18">
        <v>660</v>
      </c>
      <c r="M93" s="7">
        <f t="shared" si="1"/>
        <v>660</v>
      </c>
      <c r="N93" s="4"/>
      <c r="O93" s="9"/>
    </row>
    <row r="94" spans="1:15" ht="20" customHeight="1" x14ac:dyDescent="0.2">
      <c r="A94" s="3">
        <v>90</v>
      </c>
      <c r="B94" s="19"/>
      <c r="C94" s="4" t="s">
        <v>3932</v>
      </c>
      <c r="D94" s="4" t="s">
        <v>42</v>
      </c>
      <c r="E94" s="4"/>
      <c r="F94" s="8"/>
      <c r="G94" s="8"/>
      <c r="H94" s="8"/>
      <c r="I94" s="8"/>
      <c r="J94" s="8"/>
      <c r="K94" s="8">
        <v>1</v>
      </c>
      <c r="L94" s="18">
        <v>10000</v>
      </c>
      <c r="M94" s="7">
        <f t="shared" si="1"/>
        <v>10000</v>
      </c>
      <c r="N94" s="4"/>
      <c r="O94" s="9"/>
    </row>
    <row r="95" spans="1:15" ht="20" customHeight="1" x14ac:dyDescent="0.2">
      <c r="A95" s="3">
        <v>91</v>
      </c>
      <c r="B95" s="19"/>
      <c r="C95" s="4" t="s">
        <v>3933</v>
      </c>
      <c r="D95" s="4" t="s">
        <v>42</v>
      </c>
      <c r="E95" s="4"/>
      <c r="F95" s="8"/>
      <c r="G95" s="8"/>
      <c r="H95" s="8"/>
      <c r="I95" s="8"/>
      <c r="J95" s="8"/>
      <c r="K95" s="8">
        <v>1</v>
      </c>
      <c r="L95" s="18">
        <v>2385</v>
      </c>
      <c r="M95" s="7">
        <f t="shared" si="1"/>
        <v>2385</v>
      </c>
      <c r="N95" s="4"/>
      <c r="O95" s="9"/>
    </row>
    <row r="96" spans="1:15" ht="20" customHeight="1" x14ac:dyDescent="0.2">
      <c r="A96" s="3">
        <v>92</v>
      </c>
      <c r="B96" s="19"/>
      <c r="C96" s="4" t="s">
        <v>3934</v>
      </c>
      <c r="D96" s="4" t="s">
        <v>42</v>
      </c>
      <c r="E96" s="4"/>
      <c r="F96" s="8"/>
      <c r="G96" s="8"/>
      <c r="H96" s="8"/>
      <c r="I96" s="8"/>
      <c r="J96" s="8"/>
      <c r="K96" s="8">
        <v>0</v>
      </c>
      <c r="L96" s="18">
        <v>0</v>
      </c>
      <c r="M96" s="7">
        <f t="shared" si="1"/>
        <v>0</v>
      </c>
      <c r="N96" s="4"/>
      <c r="O96" s="9"/>
    </row>
    <row r="97" spans="1:15" ht="20" customHeight="1" x14ac:dyDescent="0.2">
      <c r="A97" s="3">
        <v>93</v>
      </c>
      <c r="B97" s="19"/>
      <c r="C97" s="4" t="s">
        <v>3935</v>
      </c>
      <c r="D97" s="4" t="s">
        <v>42</v>
      </c>
      <c r="E97" s="4"/>
      <c r="F97" s="8"/>
      <c r="G97" s="8"/>
      <c r="H97" s="8"/>
      <c r="I97" s="8"/>
      <c r="J97" s="8"/>
      <c r="K97" s="8">
        <v>0</v>
      </c>
      <c r="L97" s="18">
        <v>0</v>
      </c>
      <c r="M97" s="7">
        <f t="shared" si="1"/>
        <v>0</v>
      </c>
      <c r="N97" s="4"/>
      <c r="O97" s="9"/>
    </row>
    <row r="98" spans="1:15" ht="20" customHeight="1" x14ac:dyDescent="0.2">
      <c r="A98" s="3">
        <v>94</v>
      </c>
      <c r="B98" s="19"/>
      <c r="C98" s="4" t="s">
        <v>3936</v>
      </c>
      <c r="D98" s="4" t="s">
        <v>42</v>
      </c>
      <c r="E98" s="4"/>
      <c r="F98" s="8"/>
      <c r="G98" s="8"/>
      <c r="H98" s="8"/>
      <c r="I98" s="8"/>
      <c r="J98" s="8"/>
      <c r="K98" s="8">
        <v>1</v>
      </c>
      <c r="L98" s="18">
        <v>4750</v>
      </c>
      <c r="M98" s="7">
        <f t="shared" si="1"/>
        <v>4750</v>
      </c>
      <c r="N98" s="4"/>
      <c r="O98" s="9"/>
    </row>
    <row r="99" spans="1:15" ht="20" customHeight="1" x14ac:dyDescent="0.2">
      <c r="A99" s="3">
        <v>95</v>
      </c>
      <c r="B99" s="19"/>
      <c r="C99" s="4" t="s">
        <v>3937</v>
      </c>
      <c r="D99" s="4" t="s">
        <v>42</v>
      </c>
      <c r="E99" s="4"/>
      <c r="F99" s="8"/>
      <c r="G99" s="8"/>
      <c r="H99" s="8"/>
      <c r="I99" s="8"/>
      <c r="J99" s="8"/>
      <c r="K99" s="8">
        <v>0</v>
      </c>
      <c r="L99" s="18">
        <v>0</v>
      </c>
      <c r="M99" s="7">
        <f t="shared" si="1"/>
        <v>0</v>
      </c>
      <c r="N99" s="4"/>
      <c r="O99" s="9"/>
    </row>
    <row r="100" spans="1:15" ht="20" customHeight="1" x14ac:dyDescent="0.2">
      <c r="A100" s="3">
        <v>96</v>
      </c>
      <c r="B100" s="19"/>
      <c r="C100" s="4" t="s">
        <v>3938</v>
      </c>
      <c r="D100" s="4" t="s">
        <v>42</v>
      </c>
      <c r="E100" s="4"/>
      <c r="F100" s="8"/>
      <c r="G100" s="8"/>
      <c r="H100" s="8"/>
      <c r="I100" s="8"/>
      <c r="J100" s="8"/>
      <c r="K100" s="8">
        <v>0</v>
      </c>
      <c r="L100" s="18">
        <v>0</v>
      </c>
      <c r="M100" s="7">
        <f t="shared" si="1"/>
        <v>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3939</v>
      </c>
      <c r="D101" s="4" t="s">
        <v>42</v>
      </c>
      <c r="E101" s="4"/>
      <c r="F101" s="8"/>
      <c r="G101" s="8"/>
      <c r="H101" s="8"/>
      <c r="I101" s="8"/>
      <c r="J101" s="8"/>
      <c r="K101" s="8">
        <v>1</v>
      </c>
      <c r="L101" s="18">
        <v>18000</v>
      </c>
      <c r="M101" s="7">
        <f t="shared" si="1"/>
        <v>18000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3940</v>
      </c>
      <c r="D102" s="4" t="s">
        <v>42</v>
      </c>
      <c r="E102" s="4"/>
      <c r="F102" s="8"/>
      <c r="G102" s="8"/>
      <c r="H102" s="8"/>
      <c r="I102" s="8"/>
      <c r="J102" s="8"/>
      <c r="K102" s="8">
        <v>1</v>
      </c>
      <c r="L102" s="18">
        <v>37750</v>
      </c>
      <c r="M102" s="7">
        <f t="shared" si="1"/>
        <v>37750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3941</v>
      </c>
      <c r="D103" s="4" t="s">
        <v>42</v>
      </c>
      <c r="E103" s="4"/>
      <c r="F103" s="8"/>
      <c r="G103" s="8"/>
      <c r="H103" s="8"/>
      <c r="I103" s="8"/>
      <c r="J103" s="8"/>
      <c r="K103" s="8">
        <v>0</v>
      </c>
      <c r="L103" s="18">
        <v>0</v>
      </c>
      <c r="M103" s="7">
        <f t="shared" si="1"/>
        <v>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3942</v>
      </c>
      <c r="D104" s="4" t="s">
        <v>42</v>
      </c>
      <c r="E104" s="4"/>
      <c r="F104" s="8"/>
      <c r="G104" s="8"/>
      <c r="H104" s="8"/>
      <c r="I104" s="8"/>
      <c r="J104" s="8"/>
      <c r="K104" s="8">
        <v>1</v>
      </c>
      <c r="L104" s="18">
        <v>18750</v>
      </c>
      <c r="M104" s="7">
        <f t="shared" si="1"/>
        <v>18750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3943</v>
      </c>
      <c r="D105" s="4" t="s">
        <v>42</v>
      </c>
      <c r="E105" s="4"/>
      <c r="F105" s="8"/>
      <c r="G105" s="8"/>
      <c r="H105" s="8"/>
      <c r="I105" s="8"/>
      <c r="J105" s="8"/>
      <c r="K105" s="8">
        <v>1</v>
      </c>
      <c r="L105" s="18">
        <v>47700</v>
      </c>
      <c r="M105" s="7">
        <f t="shared" si="1"/>
        <v>47700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3944</v>
      </c>
      <c r="D106" s="4" t="s">
        <v>42</v>
      </c>
      <c r="E106" s="4"/>
      <c r="F106" s="8"/>
      <c r="G106" s="8"/>
      <c r="H106" s="8"/>
      <c r="I106" s="8"/>
      <c r="J106" s="8"/>
      <c r="K106" s="8">
        <v>1</v>
      </c>
      <c r="L106" s="18">
        <v>7200</v>
      </c>
      <c r="M106" s="7">
        <f t="shared" si="1"/>
        <v>7200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3945</v>
      </c>
      <c r="D107" s="4" t="s">
        <v>42</v>
      </c>
      <c r="E107" s="4"/>
      <c r="F107" s="8"/>
      <c r="G107" s="8"/>
      <c r="H107" s="8"/>
      <c r="I107" s="8"/>
      <c r="J107" s="8"/>
      <c r="K107" s="8">
        <v>1</v>
      </c>
      <c r="L107" s="18">
        <v>73000</v>
      </c>
      <c r="M107" s="7">
        <f t="shared" si="1"/>
        <v>73000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3946</v>
      </c>
      <c r="D108" s="4" t="s">
        <v>42</v>
      </c>
      <c r="E108" s="4"/>
      <c r="F108" s="8"/>
      <c r="G108" s="8"/>
      <c r="H108" s="8"/>
      <c r="I108" s="8"/>
      <c r="J108" s="8"/>
      <c r="K108" s="8">
        <v>1</v>
      </c>
      <c r="L108" s="18">
        <v>27000</v>
      </c>
      <c r="M108" s="7">
        <f t="shared" si="1"/>
        <v>27000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3947</v>
      </c>
      <c r="D109" s="4" t="s">
        <v>42</v>
      </c>
      <c r="E109" s="4"/>
      <c r="F109" s="8"/>
      <c r="G109" s="8"/>
      <c r="H109" s="8"/>
      <c r="I109" s="8"/>
      <c r="J109" s="8"/>
      <c r="K109" s="8">
        <v>1</v>
      </c>
      <c r="L109" s="18">
        <v>12400</v>
      </c>
      <c r="M109" s="7">
        <f t="shared" si="1"/>
        <v>12400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3948</v>
      </c>
      <c r="D110" s="4" t="s">
        <v>42</v>
      </c>
      <c r="E110" s="4"/>
      <c r="F110" s="8"/>
      <c r="G110" s="8"/>
      <c r="H110" s="8"/>
      <c r="I110" s="8"/>
      <c r="J110" s="8"/>
      <c r="K110" s="8">
        <v>1</v>
      </c>
      <c r="L110" s="18">
        <v>1590</v>
      </c>
      <c r="M110" s="7">
        <f t="shared" si="1"/>
        <v>1590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3949</v>
      </c>
      <c r="D111" s="4" t="s">
        <v>42</v>
      </c>
      <c r="E111" s="4"/>
      <c r="F111" s="8"/>
      <c r="G111" s="8"/>
      <c r="H111" s="8"/>
      <c r="I111" s="8"/>
      <c r="J111" s="8"/>
      <c r="K111" s="8">
        <v>1</v>
      </c>
      <c r="L111" s="18">
        <v>23850</v>
      </c>
      <c r="M111" s="7">
        <f t="shared" si="1"/>
        <v>23850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3950</v>
      </c>
      <c r="D112" s="4" t="s">
        <v>42</v>
      </c>
      <c r="E112" s="4"/>
      <c r="F112" s="8"/>
      <c r="G112" s="8"/>
      <c r="H112" s="8"/>
      <c r="I112" s="8"/>
      <c r="J112" s="8"/>
      <c r="K112" s="8">
        <v>1</v>
      </c>
      <c r="L112" s="18">
        <v>3450</v>
      </c>
      <c r="M112" s="7">
        <f t="shared" si="1"/>
        <v>3450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3951</v>
      </c>
      <c r="D113" s="4" t="s">
        <v>42</v>
      </c>
      <c r="E113" s="4"/>
      <c r="F113" s="8"/>
      <c r="G113" s="8"/>
      <c r="H113" s="8"/>
      <c r="I113" s="8"/>
      <c r="J113" s="8"/>
      <c r="K113" s="8">
        <v>1</v>
      </c>
      <c r="L113" s="18">
        <v>12600</v>
      </c>
      <c r="M113" s="7">
        <f t="shared" si="1"/>
        <v>12600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3952</v>
      </c>
      <c r="D114" s="4" t="s">
        <v>42</v>
      </c>
      <c r="E114" s="4"/>
      <c r="F114" s="8"/>
      <c r="G114" s="8"/>
      <c r="H114" s="8"/>
      <c r="I114" s="8"/>
      <c r="J114" s="8"/>
      <c r="K114" s="8">
        <v>1</v>
      </c>
      <c r="L114" s="18">
        <v>1150</v>
      </c>
      <c r="M114" s="7">
        <f t="shared" si="1"/>
        <v>1150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3953</v>
      </c>
      <c r="D115" s="4" t="s">
        <v>42</v>
      </c>
      <c r="E115" s="4"/>
      <c r="F115" s="8"/>
      <c r="G115" s="8"/>
      <c r="H115" s="8"/>
      <c r="I115" s="8"/>
      <c r="J115" s="8"/>
      <c r="K115" s="8">
        <v>1</v>
      </c>
      <c r="L115" s="18">
        <v>21000</v>
      </c>
      <c r="M115" s="7">
        <f t="shared" si="1"/>
        <v>21000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3954</v>
      </c>
      <c r="D116" s="4" t="s">
        <v>42</v>
      </c>
      <c r="E116" s="4"/>
      <c r="F116" s="8"/>
      <c r="G116" s="8"/>
      <c r="H116" s="8"/>
      <c r="I116" s="8"/>
      <c r="J116" s="8"/>
      <c r="K116" s="8">
        <v>1</v>
      </c>
      <c r="L116" s="18">
        <v>1200</v>
      </c>
      <c r="M116" s="7">
        <f t="shared" si="1"/>
        <v>1200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3955</v>
      </c>
      <c r="D117" s="4" t="s">
        <v>42</v>
      </c>
      <c r="E117" s="4"/>
      <c r="F117" s="8"/>
      <c r="G117" s="8"/>
      <c r="H117" s="8"/>
      <c r="I117" s="8"/>
      <c r="J117" s="8"/>
      <c r="K117" s="8">
        <v>1</v>
      </c>
      <c r="L117" s="18">
        <v>9000</v>
      </c>
      <c r="M117" s="7">
        <f t="shared" si="1"/>
        <v>9000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3956</v>
      </c>
      <c r="D118" s="4" t="s">
        <v>42</v>
      </c>
      <c r="E118" s="4"/>
      <c r="F118" s="8"/>
      <c r="G118" s="8"/>
      <c r="H118" s="8"/>
      <c r="I118" s="8"/>
      <c r="J118" s="8"/>
      <c r="K118" s="8">
        <v>1</v>
      </c>
      <c r="L118" s="18">
        <v>12000</v>
      </c>
      <c r="M118" s="7">
        <f t="shared" si="1"/>
        <v>12000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3957</v>
      </c>
      <c r="D119" s="4" t="s">
        <v>42</v>
      </c>
      <c r="E119" s="4"/>
      <c r="F119" s="8"/>
      <c r="G119" s="8"/>
      <c r="H119" s="8"/>
      <c r="I119" s="8"/>
      <c r="J119" s="8"/>
      <c r="K119" s="8">
        <v>1</v>
      </c>
      <c r="L119" s="18">
        <v>12000</v>
      </c>
      <c r="M119" s="7">
        <f t="shared" si="1"/>
        <v>12000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3958</v>
      </c>
      <c r="D120" s="4" t="s">
        <v>42</v>
      </c>
      <c r="E120" s="4"/>
      <c r="F120" s="8"/>
      <c r="G120" s="8"/>
      <c r="H120" s="8"/>
      <c r="I120" s="8"/>
      <c r="J120" s="8"/>
      <c r="K120" s="8">
        <v>1</v>
      </c>
      <c r="L120" s="18">
        <v>6000</v>
      </c>
      <c r="M120" s="7">
        <f t="shared" si="1"/>
        <v>6000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3959</v>
      </c>
      <c r="D121" s="4" t="s">
        <v>42</v>
      </c>
      <c r="E121" s="4"/>
      <c r="F121" s="8"/>
      <c r="G121" s="8"/>
      <c r="H121" s="8"/>
      <c r="I121" s="8"/>
      <c r="J121" s="8"/>
      <c r="K121" s="8">
        <v>1</v>
      </c>
      <c r="L121" s="18">
        <v>1200</v>
      </c>
      <c r="M121" s="7">
        <f t="shared" si="1"/>
        <v>1200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3960</v>
      </c>
      <c r="D122" s="4" t="s">
        <v>42</v>
      </c>
      <c r="E122" s="4"/>
      <c r="F122" s="8"/>
      <c r="G122" s="8"/>
      <c r="H122" s="8"/>
      <c r="I122" s="8"/>
      <c r="J122" s="8"/>
      <c r="K122" s="8">
        <v>1</v>
      </c>
      <c r="L122" s="18">
        <v>1200</v>
      </c>
      <c r="M122" s="7">
        <f t="shared" si="1"/>
        <v>1200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3961</v>
      </c>
      <c r="D123" s="4" t="s">
        <v>42</v>
      </c>
      <c r="E123" s="4"/>
      <c r="F123" s="8"/>
      <c r="G123" s="8"/>
      <c r="H123" s="8"/>
      <c r="I123" s="8"/>
      <c r="J123" s="8"/>
      <c r="K123" s="8">
        <v>1</v>
      </c>
      <c r="L123" s="18">
        <v>1200</v>
      </c>
      <c r="M123" s="7">
        <f t="shared" si="1"/>
        <v>1200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3962</v>
      </c>
      <c r="D124" s="4" t="s">
        <v>42</v>
      </c>
      <c r="E124" s="4"/>
      <c r="F124" s="8"/>
      <c r="G124" s="8"/>
      <c r="H124" s="8"/>
      <c r="I124" s="8"/>
      <c r="J124" s="8"/>
      <c r="K124" s="8">
        <v>1</v>
      </c>
      <c r="L124" s="18">
        <v>6080</v>
      </c>
      <c r="M124" s="7">
        <f t="shared" si="1"/>
        <v>6080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3963</v>
      </c>
      <c r="D125" s="4" t="s">
        <v>42</v>
      </c>
      <c r="E125" s="4"/>
      <c r="F125" s="8"/>
      <c r="G125" s="8"/>
      <c r="H125" s="8"/>
      <c r="I125" s="8"/>
      <c r="J125" s="8"/>
      <c r="K125" s="8">
        <v>1</v>
      </c>
      <c r="L125" s="18">
        <v>1550</v>
      </c>
      <c r="M125" s="7">
        <f t="shared" si="1"/>
        <v>1550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3964</v>
      </c>
      <c r="D126" s="4" t="s">
        <v>42</v>
      </c>
      <c r="E126" s="4"/>
      <c r="F126" s="8"/>
      <c r="G126" s="8"/>
      <c r="H126" s="8"/>
      <c r="I126" s="8"/>
      <c r="J126" s="8"/>
      <c r="K126" s="8">
        <v>1</v>
      </c>
      <c r="L126" s="18">
        <v>1550</v>
      </c>
      <c r="M126" s="7">
        <f t="shared" si="1"/>
        <v>1550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3965</v>
      </c>
      <c r="D127" s="4" t="s">
        <v>42</v>
      </c>
      <c r="E127" s="4"/>
      <c r="F127" s="8"/>
      <c r="G127" s="8"/>
      <c r="H127" s="8"/>
      <c r="I127" s="8"/>
      <c r="J127" s="8"/>
      <c r="K127" s="8">
        <v>1</v>
      </c>
      <c r="L127" s="18">
        <v>1100</v>
      </c>
      <c r="M127" s="7">
        <f t="shared" si="1"/>
        <v>1100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3966</v>
      </c>
      <c r="D128" s="4" t="s">
        <v>42</v>
      </c>
      <c r="E128" s="4"/>
      <c r="F128" s="8"/>
      <c r="G128" s="8"/>
      <c r="H128" s="8"/>
      <c r="I128" s="8"/>
      <c r="J128" s="8"/>
      <c r="K128" s="8">
        <v>1</v>
      </c>
      <c r="L128" s="18">
        <v>9416</v>
      </c>
      <c r="M128" s="7">
        <f t="shared" si="1"/>
        <v>9416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3967</v>
      </c>
      <c r="D129" s="4" t="s">
        <v>42</v>
      </c>
      <c r="E129" s="4"/>
      <c r="F129" s="8"/>
      <c r="G129" s="8"/>
      <c r="H129" s="8"/>
      <c r="I129" s="8"/>
      <c r="J129" s="8"/>
      <c r="K129" s="8">
        <v>1</v>
      </c>
      <c r="L129" s="18">
        <v>1000</v>
      </c>
      <c r="M129" s="7">
        <f t="shared" si="1"/>
        <v>1000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3968</v>
      </c>
      <c r="D130" s="4" t="s">
        <v>42</v>
      </c>
      <c r="E130" s="4"/>
      <c r="F130" s="8"/>
      <c r="G130" s="8"/>
      <c r="H130" s="8"/>
      <c r="I130" s="8"/>
      <c r="J130" s="8"/>
      <c r="K130" s="8">
        <v>1</v>
      </c>
      <c r="L130" s="18">
        <v>10800</v>
      </c>
      <c r="M130" s="7">
        <f t="shared" si="1"/>
        <v>10800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3969</v>
      </c>
      <c r="D131" s="4" t="s">
        <v>42</v>
      </c>
      <c r="E131" s="4"/>
      <c r="F131" s="8"/>
      <c r="G131" s="8"/>
      <c r="H131" s="8"/>
      <c r="I131" s="8"/>
      <c r="J131" s="8"/>
      <c r="K131" s="8">
        <v>1</v>
      </c>
      <c r="L131" s="18">
        <v>3000</v>
      </c>
      <c r="M131" s="7">
        <f t="shared" si="1"/>
        <v>3000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3970</v>
      </c>
      <c r="D132" s="4" t="s">
        <v>42</v>
      </c>
      <c r="E132" s="4"/>
      <c r="F132" s="8"/>
      <c r="G132" s="8"/>
      <c r="H132" s="8"/>
      <c r="I132" s="8"/>
      <c r="J132" s="8"/>
      <c r="K132" s="8">
        <v>1</v>
      </c>
      <c r="L132" s="18">
        <v>800</v>
      </c>
      <c r="M132" s="7">
        <f t="shared" si="1"/>
        <v>800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3971</v>
      </c>
      <c r="D133" s="4" t="s">
        <v>42</v>
      </c>
      <c r="E133" s="4"/>
      <c r="F133" s="8"/>
      <c r="G133" s="8"/>
      <c r="H133" s="8"/>
      <c r="I133" s="8"/>
      <c r="J133" s="8"/>
      <c r="K133" s="8">
        <v>1</v>
      </c>
      <c r="L133" s="18">
        <v>7375</v>
      </c>
      <c r="M133" s="7">
        <f t="shared" ref="M133:M196" si="2">IF(OR(K133="",L133=""),"",K133*L133)</f>
        <v>7375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3972</v>
      </c>
      <c r="D134" s="4" t="s">
        <v>42</v>
      </c>
      <c r="E134" s="4"/>
      <c r="F134" s="8"/>
      <c r="G134" s="8"/>
      <c r="H134" s="8"/>
      <c r="I134" s="8"/>
      <c r="J134" s="8"/>
      <c r="K134" s="8">
        <v>1</v>
      </c>
      <c r="L134" s="18">
        <v>3400</v>
      </c>
      <c r="M134" s="7">
        <f t="shared" si="2"/>
        <v>3400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3973</v>
      </c>
      <c r="D135" s="4" t="s">
        <v>42</v>
      </c>
      <c r="E135" s="4"/>
      <c r="F135" s="8"/>
      <c r="G135" s="8"/>
      <c r="H135" s="8"/>
      <c r="I135" s="8"/>
      <c r="J135" s="8"/>
      <c r="K135" s="8">
        <v>1</v>
      </c>
      <c r="L135" s="18">
        <v>5400</v>
      </c>
      <c r="M135" s="7">
        <f t="shared" si="2"/>
        <v>5400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3974</v>
      </c>
      <c r="D136" s="4" t="s">
        <v>42</v>
      </c>
      <c r="E136" s="4"/>
      <c r="F136" s="8"/>
      <c r="G136" s="8"/>
      <c r="H136" s="8"/>
      <c r="I136" s="8"/>
      <c r="J136" s="8"/>
      <c r="K136" s="8">
        <v>1</v>
      </c>
      <c r="L136" s="18">
        <v>2300</v>
      </c>
      <c r="M136" s="7">
        <f t="shared" si="2"/>
        <v>2300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3975</v>
      </c>
      <c r="D137" s="4" t="s">
        <v>42</v>
      </c>
      <c r="E137" s="4"/>
      <c r="F137" s="8"/>
      <c r="G137" s="8"/>
      <c r="H137" s="8"/>
      <c r="I137" s="8"/>
      <c r="J137" s="8"/>
      <c r="K137" s="8">
        <v>1</v>
      </c>
      <c r="L137" s="18">
        <v>1080</v>
      </c>
      <c r="M137" s="7">
        <f t="shared" si="2"/>
        <v>1080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3976</v>
      </c>
      <c r="D138" s="4" t="s">
        <v>42</v>
      </c>
      <c r="E138" s="4"/>
      <c r="F138" s="8"/>
      <c r="G138" s="8"/>
      <c r="H138" s="8"/>
      <c r="I138" s="8"/>
      <c r="J138" s="8"/>
      <c r="K138" s="8">
        <v>1</v>
      </c>
      <c r="L138" s="18">
        <v>4480</v>
      </c>
      <c r="M138" s="7">
        <f t="shared" si="2"/>
        <v>4480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3977</v>
      </c>
      <c r="D139" s="4" t="s">
        <v>42</v>
      </c>
      <c r="E139" s="4"/>
      <c r="F139" s="8"/>
      <c r="G139" s="8"/>
      <c r="H139" s="8"/>
      <c r="I139" s="8"/>
      <c r="J139" s="8"/>
      <c r="K139" s="8">
        <v>0</v>
      </c>
      <c r="L139" s="18">
        <v>0</v>
      </c>
      <c r="M139" s="7">
        <f t="shared" si="2"/>
        <v>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3978</v>
      </c>
      <c r="D140" s="4" t="s">
        <v>42</v>
      </c>
      <c r="E140" s="4"/>
      <c r="F140" s="8"/>
      <c r="G140" s="8"/>
      <c r="H140" s="8"/>
      <c r="I140" s="8"/>
      <c r="J140" s="8"/>
      <c r="K140" s="8">
        <v>1</v>
      </c>
      <c r="L140" s="18">
        <v>4400</v>
      </c>
      <c r="M140" s="7">
        <f t="shared" si="2"/>
        <v>4400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3979</v>
      </c>
      <c r="D141" s="4" t="s">
        <v>42</v>
      </c>
      <c r="E141" s="4"/>
      <c r="F141" s="8"/>
      <c r="G141" s="8"/>
      <c r="H141" s="8"/>
      <c r="I141" s="8"/>
      <c r="J141" s="8"/>
      <c r="K141" s="8">
        <v>1</v>
      </c>
      <c r="L141" s="18">
        <v>6600</v>
      </c>
      <c r="M141" s="7">
        <f t="shared" si="2"/>
        <v>6600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3980</v>
      </c>
      <c r="D142" s="4" t="s">
        <v>42</v>
      </c>
      <c r="E142" s="4"/>
      <c r="F142" s="8"/>
      <c r="G142" s="8"/>
      <c r="H142" s="8"/>
      <c r="I142" s="8"/>
      <c r="J142" s="8"/>
      <c r="K142" s="8">
        <v>0</v>
      </c>
      <c r="L142" s="18">
        <v>0</v>
      </c>
      <c r="M142" s="7">
        <f t="shared" si="2"/>
        <v>0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3981</v>
      </c>
      <c r="D143" s="4" t="s">
        <v>42</v>
      </c>
      <c r="E143" s="4"/>
      <c r="F143" s="8"/>
      <c r="G143" s="8"/>
      <c r="H143" s="8"/>
      <c r="I143" s="8"/>
      <c r="J143" s="8"/>
      <c r="K143" s="8">
        <v>0</v>
      </c>
      <c r="L143" s="18">
        <v>0</v>
      </c>
      <c r="M143" s="7">
        <f t="shared" si="2"/>
        <v>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3982</v>
      </c>
      <c r="D144" s="4" t="s">
        <v>42</v>
      </c>
      <c r="E144" s="4"/>
      <c r="F144" s="8"/>
      <c r="G144" s="8"/>
      <c r="H144" s="8"/>
      <c r="I144" s="8"/>
      <c r="J144" s="8"/>
      <c r="K144" s="8">
        <v>1</v>
      </c>
      <c r="L144" s="18">
        <v>1100</v>
      </c>
      <c r="M144" s="7">
        <f t="shared" si="2"/>
        <v>1100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3983</v>
      </c>
      <c r="D145" s="4" t="s">
        <v>42</v>
      </c>
      <c r="E145" s="4"/>
      <c r="F145" s="8"/>
      <c r="G145" s="8"/>
      <c r="H145" s="8"/>
      <c r="I145" s="8"/>
      <c r="J145" s="8"/>
      <c r="K145" s="8">
        <v>1</v>
      </c>
      <c r="L145" s="18">
        <v>1100</v>
      </c>
      <c r="M145" s="7">
        <f t="shared" si="2"/>
        <v>1100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3984</v>
      </c>
      <c r="D146" s="4" t="s">
        <v>42</v>
      </c>
      <c r="E146" s="4"/>
      <c r="F146" s="8"/>
      <c r="G146" s="8"/>
      <c r="H146" s="8"/>
      <c r="I146" s="8"/>
      <c r="J146" s="8"/>
      <c r="K146" s="8">
        <v>1</v>
      </c>
      <c r="L146" s="18">
        <v>24900</v>
      </c>
      <c r="M146" s="7">
        <f t="shared" si="2"/>
        <v>24900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3985</v>
      </c>
      <c r="D147" s="4" t="s">
        <v>42</v>
      </c>
      <c r="E147" s="4"/>
      <c r="F147" s="8"/>
      <c r="G147" s="8"/>
      <c r="H147" s="8"/>
      <c r="I147" s="8"/>
      <c r="J147" s="8"/>
      <c r="K147" s="8">
        <v>1</v>
      </c>
      <c r="L147" s="18">
        <v>25000</v>
      </c>
      <c r="M147" s="7">
        <f t="shared" si="2"/>
        <v>25000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3986</v>
      </c>
      <c r="D148" s="4" t="s">
        <v>42</v>
      </c>
      <c r="E148" s="4"/>
      <c r="F148" s="8"/>
      <c r="G148" s="8"/>
      <c r="H148" s="8"/>
      <c r="I148" s="8"/>
      <c r="J148" s="8"/>
      <c r="K148" s="8">
        <v>0</v>
      </c>
      <c r="L148" s="18">
        <v>0</v>
      </c>
      <c r="M148" s="7">
        <f t="shared" si="2"/>
        <v>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3987</v>
      </c>
      <c r="D149" s="4" t="s">
        <v>42</v>
      </c>
      <c r="E149" s="4"/>
      <c r="F149" s="8"/>
      <c r="G149" s="8"/>
      <c r="H149" s="8"/>
      <c r="I149" s="8"/>
      <c r="J149" s="8"/>
      <c r="K149" s="8">
        <v>1</v>
      </c>
      <c r="L149" s="18">
        <v>2000</v>
      </c>
      <c r="M149" s="7">
        <f t="shared" si="2"/>
        <v>2000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3988</v>
      </c>
      <c r="D150" s="4" t="s">
        <v>42</v>
      </c>
      <c r="E150" s="4"/>
      <c r="F150" s="8"/>
      <c r="G150" s="8"/>
      <c r="H150" s="8"/>
      <c r="I150" s="8"/>
      <c r="J150" s="8"/>
      <c r="K150" s="8">
        <v>1</v>
      </c>
      <c r="L150" s="18">
        <v>1800</v>
      </c>
      <c r="M150" s="7">
        <f t="shared" si="2"/>
        <v>1800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3989</v>
      </c>
      <c r="D151" s="4" t="s">
        <v>42</v>
      </c>
      <c r="E151" s="4"/>
      <c r="F151" s="8"/>
      <c r="G151" s="8"/>
      <c r="H151" s="8"/>
      <c r="I151" s="8"/>
      <c r="J151" s="8"/>
      <c r="K151" s="8">
        <v>1</v>
      </c>
      <c r="L151" s="18">
        <v>1500</v>
      </c>
      <c r="M151" s="7">
        <f t="shared" si="2"/>
        <v>1500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3990</v>
      </c>
      <c r="D152" s="4" t="s">
        <v>42</v>
      </c>
      <c r="E152" s="4"/>
      <c r="F152" s="8"/>
      <c r="G152" s="8"/>
      <c r="H152" s="8"/>
      <c r="I152" s="8"/>
      <c r="J152" s="8"/>
      <c r="K152" s="8">
        <v>1</v>
      </c>
      <c r="L152" s="18">
        <v>25500</v>
      </c>
      <c r="M152" s="7">
        <f t="shared" si="2"/>
        <v>25500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3991</v>
      </c>
      <c r="D153" s="4" t="s">
        <v>42</v>
      </c>
      <c r="E153" s="4"/>
      <c r="F153" s="8"/>
      <c r="G153" s="8"/>
      <c r="H153" s="8"/>
      <c r="I153" s="8"/>
      <c r="J153" s="8"/>
      <c r="K153" s="8">
        <v>0</v>
      </c>
      <c r="L153" s="18">
        <v>0</v>
      </c>
      <c r="M153" s="7">
        <f t="shared" si="2"/>
        <v>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3992</v>
      </c>
      <c r="D154" s="4" t="s">
        <v>42</v>
      </c>
      <c r="E154" s="4"/>
      <c r="F154" s="8"/>
      <c r="G154" s="8"/>
      <c r="H154" s="8"/>
      <c r="I154" s="8"/>
      <c r="J154" s="8"/>
      <c r="K154" s="8">
        <v>1</v>
      </c>
      <c r="L154" s="18">
        <v>8000</v>
      </c>
      <c r="M154" s="7">
        <f t="shared" si="2"/>
        <v>8000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3993</v>
      </c>
      <c r="D155" s="4" t="s">
        <v>42</v>
      </c>
      <c r="E155" s="4"/>
      <c r="F155" s="8"/>
      <c r="G155" s="8"/>
      <c r="H155" s="8"/>
      <c r="I155" s="8"/>
      <c r="J155" s="8"/>
      <c r="K155" s="8">
        <v>1</v>
      </c>
      <c r="L155" s="18">
        <v>12000</v>
      </c>
      <c r="M155" s="7">
        <f t="shared" si="2"/>
        <v>12000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3994</v>
      </c>
      <c r="D156" s="4" t="s">
        <v>42</v>
      </c>
      <c r="E156" s="4"/>
      <c r="F156" s="8"/>
      <c r="G156" s="8"/>
      <c r="H156" s="8"/>
      <c r="I156" s="8"/>
      <c r="J156" s="8"/>
      <c r="K156" s="8">
        <v>1</v>
      </c>
      <c r="L156" s="18">
        <v>3400</v>
      </c>
      <c r="M156" s="7">
        <f t="shared" si="2"/>
        <v>3400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3995</v>
      </c>
      <c r="D157" s="4" t="s">
        <v>42</v>
      </c>
      <c r="E157" s="4"/>
      <c r="F157" s="8"/>
      <c r="G157" s="8"/>
      <c r="H157" s="8"/>
      <c r="I157" s="8"/>
      <c r="J157" s="8"/>
      <c r="K157" s="8">
        <v>1</v>
      </c>
      <c r="L157" s="18">
        <v>1700</v>
      </c>
      <c r="M157" s="7">
        <f t="shared" si="2"/>
        <v>1700</v>
      </c>
      <c r="N157" s="4"/>
      <c r="O157" s="9"/>
    </row>
    <row r="158" spans="1:15" ht="20" customHeight="1" x14ac:dyDescent="0.2">
      <c r="A158" s="3">
        <v>154</v>
      </c>
      <c r="B158" s="19"/>
      <c r="C158" s="4" t="s">
        <v>3996</v>
      </c>
      <c r="D158" s="4" t="s">
        <v>42</v>
      </c>
      <c r="E158" s="4"/>
      <c r="F158" s="8"/>
      <c r="G158" s="8"/>
      <c r="H158" s="8"/>
      <c r="I158" s="8"/>
      <c r="J158" s="8"/>
      <c r="K158" s="8">
        <v>1</v>
      </c>
      <c r="L158" s="18">
        <v>1700</v>
      </c>
      <c r="M158" s="7">
        <f t="shared" si="2"/>
        <v>1700</v>
      </c>
      <c r="N158" s="4"/>
      <c r="O158" s="9"/>
    </row>
    <row r="159" spans="1:15" ht="20" customHeight="1" x14ac:dyDescent="0.2">
      <c r="A159" s="3">
        <v>155</v>
      </c>
      <c r="B159" s="19"/>
      <c r="C159" s="4" t="s">
        <v>3997</v>
      </c>
      <c r="D159" s="4" t="s">
        <v>42</v>
      </c>
      <c r="E159" s="4"/>
      <c r="F159" s="8"/>
      <c r="G159" s="8"/>
      <c r="H159" s="8"/>
      <c r="I159" s="8"/>
      <c r="J159" s="8"/>
      <c r="K159" s="8">
        <v>1</v>
      </c>
      <c r="L159" s="18">
        <v>25000</v>
      </c>
      <c r="M159" s="7">
        <f t="shared" si="2"/>
        <v>25000</v>
      </c>
      <c r="N159" s="4"/>
      <c r="O159" s="9"/>
    </row>
    <row r="160" spans="1:15" ht="20" customHeight="1" x14ac:dyDescent="0.2">
      <c r="A160" s="3">
        <v>156</v>
      </c>
      <c r="B160" s="19"/>
      <c r="C160" s="4" t="s">
        <v>3998</v>
      </c>
      <c r="D160" s="4" t="s">
        <v>42</v>
      </c>
      <c r="E160" s="4"/>
      <c r="F160" s="8"/>
      <c r="G160" s="8"/>
      <c r="H160" s="8"/>
      <c r="I160" s="8"/>
      <c r="J160" s="8"/>
      <c r="K160" s="8">
        <v>1</v>
      </c>
      <c r="L160" s="18">
        <v>6000</v>
      </c>
      <c r="M160" s="7">
        <f t="shared" si="2"/>
        <v>6000</v>
      </c>
      <c r="N160" s="4"/>
      <c r="O160" s="9"/>
    </row>
    <row r="161" spans="1:15" ht="20" customHeight="1" x14ac:dyDescent="0.2">
      <c r="A161" s="3">
        <v>157</v>
      </c>
      <c r="B161" s="19"/>
      <c r="C161" s="4" t="s">
        <v>3999</v>
      </c>
      <c r="D161" s="4" t="s">
        <v>42</v>
      </c>
      <c r="E161" s="4"/>
      <c r="F161" s="8"/>
      <c r="G161" s="8"/>
      <c r="H161" s="8"/>
      <c r="I161" s="8"/>
      <c r="J161" s="8"/>
      <c r="K161" s="8">
        <v>1</v>
      </c>
      <c r="L161" s="18">
        <v>6500</v>
      </c>
      <c r="M161" s="7">
        <f t="shared" si="2"/>
        <v>6500</v>
      </c>
      <c r="N161" s="4"/>
      <c r="O161" s="9"/>
    </row>
    <row r="162" spans="1:15" ht="20" customHeight="1" x14ac:dyDescent="0.2">
      <c r="A162" s="3">
        <v>158</v>
      </c>
      <c r="B162" s="19"/>
      <c r="C162" s="4" t="s">
        <v>4000</v>
      </c>
      <c r="D162" s="4" t="s">
        <v>42</v>
      </c>
      <c r="E162" s="4"/>
      <c r="F162" s="8"/>
      <c r="G162" s="8"/>
      <c r="H162" s="8"/>
      <c r="I162" s="8"/>
      <c r="J162" s="8"/>
      <c r="K162" s="8">
        <v>1</v>
      </c>
      <c r="L162" s="18">
        <v>1625</v>
      </c>
      <c r="M162" s="7">
        <f t="shared" si="2"/>
        <v>1625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4001</v>
      </c>
      <c r="D163" s="4" t="s">
        <v>42</v>
      </c>
      <c r="E163" s="4"/>
      <c r="F163" s="8"/>
      <c r="G163" s="8"/>
      <c r="H163" s="8"/>
      <c r="I163" s="8"/>
      <c r="J163" s="8"/>
      <c r="K163" s="8">
        <v>1</v>
      </c>
      <c r="L163" s="18">
        <v>1625</v>
      </c>
      <c r="M163" s="7">
        <f t="shared" si="2"/>
        <v>1625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4002</v>
      </c>
      <c r="D164" s="4" t="s">
        <v>42</v>
      </c>
      <c r="E164" s="4"/>
      <c r="F164" s="8"/>
      <c r="G164" s="8"/>
      <c r="H164" s="8"/>
      <c r="I164" s="8"/>
      <c r="J164" s="8"/>
      <c r="K164" s="8">
        <v>1</v>
      </c>
      <c r="L164" s="18">
        <v>1625</v>
      </c>
      <c r="M164" s="7">
        <f t="shared" si="2"/>
        <v>1625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4003</v>
      </c>
      <c r="D165" s="4" t="s">
        <v>42</v>
      </c>
      <c r="E165" s="4"/>
      <c r="F165" s="8"/>
      <c r="G165" s="8"/>
      <c r="H165" s="8"/>
      <c r="I165" s="8"/>
      <c r="J165" s="8"/>
      <c r="K165" s="8">
        <v>1</v>
      </c>
      <c r="L165" s="18">
        <v>1625</v>
      </c>
      <c r="M165" s="7">
        <f t="shared" si="2"/>
        <v>1625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4004</v>
      </c>
      <c r="D166" s="4" t="s">
        <v>42</v>
      </c>
      <c r="E166" s="4"/>
      <c r="F166" s="8"/>
      <c r="G166" s="8"/>
      <c r="H166" s="8"/>
      <c r="I166" s="8"/>
      <c r="J166" s="8"/>
      <c r="K166" s="8">
        <v>1</v>
      </c>
      <c r="L166" s="18">
        <v>2800</v>
      </c>
      <c r="M166" s="7">
        <f t="shared" si="2"/>
        <v>2800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4005</v>
      </c>
      <c r="D167" s="4" t="s">
        <v>42</v>
      </c>
      <c r="E167" s="4"/>
      <c r="F167" s="8"/>
      <c r="G167" s="8"/>
      <c r="H167" s="8"/>
      <c r="I167" s="8"/>
      <c r="J167" s="8"/>
      <c r="K167" s="8">
        <v>1</v>
      </c>
      <c r="L167" s="18">
        <v>3800</v>
      </c>
      <c r="M167" s="7">
        <f t="shared" si="2"/>
        <v>3800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4006</v>
      </c>
      <c r="D168" s="4" t="s">
        <v>42</v>
      </c>
      <c r="E168" s="4"/>
      <c r="F168" s="8"/>
      <c r="G168" s="8"/>
      <c r="H168" s="8"/>
      <c r="I168" s="8"/>
      <c r="J168" s="8"/>
      <c r="K168" s="8">
        <v>1</v>
      </c>
      <c r="L168" s="18">
        <v>3200</v>
      </c>
      <c r="M168" s="7">
        <f t="shared" si="2"/>
        <v>3200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4007</v>
      </c>
      <c r="D169" s="4" t="s">
        <v>42</v>
      </c>
      <c r="E169" s="4"/>
      <c r="F169" s="8"/>
      <c r="G169" s="8"/>
      <c r="H169" s="8"/>
      <c r="I169" s="8"/>
      <c r="J169" s="8"/>
      <c r="K169" s="8">
        <v>1</v>
      </c>
      <c r="L169" s="18">
        <v>2800</v>
      </c>
      <c r="M169" s="7">
        <f t="shared" si="2"/>
        <v>2800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4008</v>
      </c>
      <c r="D170" s="4" t="s">
        <v>42</v>
      </c>
      <c r="E170" s="4"/>
      <c r="F170" s="8"/>
      <c r="G170" s="8"/>
      <c r="H170" s="8"/>
      <c r="I170" s="8"/>
      <c r="J170" s="8"/>
      <c r="K170" s="8">
        <v>1</v>
      </c>
      <c r="L170" s="18">
        <v>3800</v>
      </c>
      <c r="M170" s="7">
        <f t="shared" si="2"/>
        <v>3800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4009</v>
      </c>
      <c r="D171" s="4" t="s">
        <v>42</v>
      </c>
      <c r="E171" s="4"/>
      <c r="F171" s="8"/>
      <c r="G171" s="8"/>
      <c r="H171" s="8"/>
      <c r="I171" s="8"/>
      <c r="J171" s="8"/>
      <c r="K171" s="8">
        <v>1</v>
      </c>
      <c r="L171" s="18">
        <v>1650</v>
      </c>
      <c r="M171" s="7">
        <f t="shared" si="2"/>
        <v>1650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4010</v>
      </c>
      <c r="D172" s="4" t="s">
        <v>42</v>
      </c>
      <c r="E172" s="4"/>
      <c r="F172" s="8"/>
      <c r="G172" s="8"/>
      <c r="H172" s="8"/>
      <c r="I172" s="8"/>
      <c r="J172" s="8"/>
      <c r="K172" s="8">
        <v>1</v>
      </c>
      <c r="L172" s="18">
        <v>1650</v>
      </c>
      <c r="M172" s="7">
        <f t="shared" si="2"/>
        <v>1650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4011</v>
      </c>
      <c r="D173" s="4" t="s">
        <v>42</v>
      </c>
      <c r="E173" s="4"/>
      <c r="F173" s="8"/>
      <c r="G173" s="8"/>
      <c r="H173" s="8"/>
      <c r="I173" s="8"/>
      <c r="J173" s="8"/>
      <c r="K173" s="8">
        <v>1</v>
      </c>
      <c r="L173" s="18">
        <v>1320</v>
      </c>
      <c r="M173" s="7">
        <f t="shared" si="2"/>
        <v>1320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4012</v>
      </c>
      <c r="D174" s="4" t="s">
        <v>42</v>
      </c>
      <c r="E174" s="4"/>
      <c r="F174" s="8"/>
      <c r="G174" s="8"/>
      <c r="H174" s="8"/>
      <c r="I174" s="8"/>
      <c r="J174" s="8"/>
      <c r="K174" s="8">
        <v>1</v>
      </c>
      <c r="L174" s="18">
        <v>1625</v>
      </c>
      <c r="M174" s="7">
        <f t="shared" si="2"/>
        <v>1625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4013</v>
      </c>
      <c r="D175" s="4" t="s">
        <v>42</v>
      </c>
      <c r="E175" s="4"/>
      <c r="F175" s="8"/>
      <c r="G175" s="8"/>
      <c r="H175" s="8"/>
      <c r="I175" s="8"/>
      <c r="J175" s="8"/>
      <c r="K175" s="8">
        <v>0</v>
      </c>
      <c r="L175" s="18">
        <v>0</v>
      </c>
      <c r="M175" s="7">
        <f t="shared" si="2"/>
        <v>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4014</v>
      </c>
      <c r="D176" s="4" t="s">
        <v>42</v>
      </c>
      <c r="E176" s="4"/>
      <c r="F176" s="8"/>
      <c r="G176" s="8"/>
      <c r="H176" s="8"/>
      <c r="I176" s="8"/>
      <c r="J176" s="8"/>
      <c r="K176" s="8">
        <v>1</v>
      </c>
      <c r="L176" s="18">
        <v>1625</v>
      </c>
      <c r="M176" s="7">
        <f t="shared" si="2"/>
        <v>1625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4015</v>
      </c>
      <c r="D177" s="4" t="s">
        <v>42</v>
      </c>
      <c r="E177" s="4"/>
      <c r="F177" s="8"/>
      <c r="G177" s="8"/>
      <c r="H177" s="8"/>
      <c r="I177" s="8"/>
      <c r="J177" s="8"/>
      <c r="K177" s="8">
        <v>1</v>
      </c>
      <c r="L177" s="18">
        <v>1625</v>
      </c>
      <c r="M177" s="7">
        <f t="shared" si="2"/>
        <v>1625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4016</v>
      </c>
      <c r="D178" s="4" t="s">
        <v>42</v>
      </c>
      <c r="E178" s="4"/>
      <c r="F178" s="8"/>
      <c r="G178" s="8"/>
      <c r="H178" s="8"/>
      <c r="I178" s="8"/>
      <c r="J178" s="8"/>
      <c r="K178" s="8">
        <v>1</v>
      </c>
      <c r="L178" s="18">
        <v>1625</v>
      </c>
      <c r="M178" s="7">
        <f t="shared" si="2"/>
        <v>1625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4017</v>
      </c>
      <c r="D179" s="4" t="s">
        <v>42</v>
      </c>
      <c r="E179" s="4"/>
      <c r="F179" s="8"/>
      <c r="G179" s="8"/>
      <c r="H179" s="8"/>
      <c r="I179" s="8"/>
      <c r="J179" s="8"/>
      <c r="K179" s="8">
        <v>1</v>
      </c>
      <c r="L179" s="18">
        <v>550</v>
      </c>
      <c r="M179" s="7">
        <f t="shared" si="2"/>
        <v>550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4018</v>
      </c>
      <c r="D180" s="4" t="s">
        <v>42</v>
      </c>
      <c r="E180" s="4"/>
      <c r="F180" s="8"/>
      <c r="G180" s="8"/>
      <c r="H180" s="8"/>
      <c r="I180" s="8"/>
      <c r="J180" s="8"/>
      <c r="K180" s="8">
        <v>1</v>
      </c>
      <c r="L180" s="18">
        <v>550</v>
      </c>
      <c r="M180" s="7">
        <f t="shared" si="2"/>
        <v>550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4019</v>
      </c>
      <c r="D181" s="4" t="s">
        <v>42</v>
      </c>
      <c r="E181" s="4"/>
      <c r="F181" s="8"/>
      <c r="G181" s="8"/>
      <c r="H181" s="8"/>
      <c r="I181" s="8"/>
      <c r="J181" s="8"/>
      <c r="K181" s="8">
        <v>1</v>
      </c>
      <c r="L181" s="18">
        <v>550</v>
      </c>
      <c r="M181" s="7">
        <f t="shared" si="2"/>
        <v>550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4020</v>
      </c>
      <c r="D182" s="4" t="s">
        <v>42</v>
      </c>
      <c r="E182" s="4"/>
      <c r="F182" s="8"/>
      <c r="G182" s="8"/>
      <c r="H182" s="8"/>
      <c r="I182" s="8"/>
      <c r="J182" s="8"/>
      <c r="K182" s="8">
        <v>1</v>
      </c>
      <c r="L182" s="18">
        <v>600</v>
      </c>
      <c r="M182" s="7">
        <f t="shared" si="2"/>
        <v>600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4021</v>
      </c>
      <c r="D183" s="4" t="s">
        <v>42</v>
      </c>
      <c r="E183" s="4"/>
      <c r="F183" s="8"/>
      <c r="G183" s="8"/>
      <c r="H183" s="8"/>
      <c r="I183" s="8"/>
      <c r="J183" s="8"/>
      <c r="K183" s="8">
        <v>1</v>
      </c>
      <c r="L183" s="18">
        <v>6200</v>
      </c>
      <c r="M183" s="7">
        <f t="shared" si="2"/>
        <v>6200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4022</v>
      </c>
      <c r="D184" s="4" t="s">
        <v>42</v>
      </c>
      <c r="E184" s="4"/>
      <c r="F184" s="8"/>
      <c r="G184" s="8"/>
      <c r="H184" s="8"/>
      <c r="I184" s="8"/>
      <c r="J184" s="8"/>
      <c r="K184" s="8">
        <v>1</v>
      </c>
      <c r="L184" s="18">
        <v>900</v>
      </c>
      <c r="M184" s="7">
        <f t="shared" si="2"/>
        <v>900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4023</v>
      </c>
      <c r="D185" s="4" t="s">
        <v>42</v>
      </c>
      <c r="E185" s="4"/>
      <c r="F185" s="8"/>
      <c r="G185" s="8"/>
      <c r="H185" s="8"/>
      <c r="I185" s="8"/>
      <c r="J185" s="8"/>
      <c r="K185" s="8">
        <v>1</v>
      </c>
      <c r="L185" s="18">
        <v>500</v>
      </c>
      <c r="M185" s="7">
        <f t="shared" si="2"/>
        <v>500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4024</v>
      </c>
      <c r="D186" s="4" t="s">
        <v>42</v>
      </c>
      <c r="E186" s="4"/>
      <c r="F186" s="8"/>
      <c r="G186" s="8"/>
      <c r="H186" s="8"/>
      <c r="I186" s="8"/>
      <c r="J186" s="8"/>
      <c r="K186" s="8">
        <v>1</v>
      </c>
      <c r="L186" s="18">
        <v>500</v>
      </c>
      <c r="M186" s="7">
        <f t="shared" si="2"/>
        <v>500</v>
      </c>
      <c r="N186" s="4"/>
      <c r="O186" s="9"/>
    </row>
    <row r="187" spans="1:15" ht="20" customHeight="1" x14ac:dyDescent="0.2">
      <c r="A187" s="3">
        <v>183</v>
      </c>
      <c r="B187" s="19"/>
      <c r="C187" s="4" t="s">
        <v>4025</v>
      </c>
      <c r="D187" s="4" t="s">
        <v>42</v>
      </c>
      <c r="E187" s="4"/>
      <c r="F187" s="8"/>
      <c r="G187" s="8"/>
      <c r="H187" s="8"/>
      <c r="I187" s="8"/>
      <c r="J187" s="8"/>
      <c r="K187" s="8">
        <v>1</v>
      </c>
      <c r="L187" s="18">
        <v>500</v>
      </c>
      <c r="M187" s="7">
        <f t="shared" si="2"/>
        <v>500</v>
      </c>
      <c r="N187" s="4"/>
      <c r="O187" s="9"/>
    </row>
    <row r="188" spans="1:15" ht="20" customHeight="1" x14ac:dyDescent="0.2">
      <c r="A188" s="3">
        <v>184</v>
      </c>
      <c r="B188" s="19"/>
      <c r="C188" s="4" t="s">
        <v>4026</v>
      </c>
      <c r="D188" s="4" t="s">
        <v>42</v>
      </c>
      <c r="E188" s="4"/>
      <c r="F188" s="8"/>
      <c r="G188" s="8"/>
      <c r="H188" s="8"/>
      <c r="I188" s="8"/>
      <c r="J188" s="8"/>
      <c r="K188" s="8">
        <v>1</v>
      </c>
      <c r="L188" s="18">
        <v>500</v>
      </c>
      <c r="M188" s="7">
        <f t="shared" si="2"/>
        <v>500</v>
      </c>
      <c r="N188" s="4"/>
      <c r="O188" s="9"/>
    </row>
    <row r="189" spans="1:15" ht="20" customHeight="1" x14ac:dyDescent="0.2">
      <c r="A189" s="3">
        <v>185</v>
      </c>
      <c r="B189" s="19"/>
      <c r="C189" s="4" t="s">
        <v>4027</v>
      </c>
      <c r="D189" s="4" t="s">
        <v>42</v>
      </c>
      <c r="E189" s="4"/>
      <c r="F189" s="8"/>
      <c r="G189" s="8"/>
      <c r="H189" s="8"/>
      <c r="I189" s="8"/>
      <c r="J189" s="8"/>
      <c r="K189" s="8">
        <v>1</v>
      </c>
      <c r="L189" s="18">
        <v>500</v>
      </c>
      <c r="M189" s="7">
        <f t="shared" si="2"/>
        <v>500</v>
      </c>
      <c r="N189" s="4"/>
      <c r="O189" s="9"/>
    </row>
    <row r="190" spans="1:15" ht="20" customHeight="1" x14ac:dyDescent="0.2">
      <c r="A190" s="3">
        <v>186</v>
      </c>
      <c r="B190" s="19"/>
      <c r="C190" s="4" t="s">
        <v>4028</v>
      </c>
      <c r="D190" s="4" t="s">
        <v>42</v>
      </c>
      <c r="E190" s="4"/>
      <c r="F190" s="8"/>
      <c r="G190" s="8"/>
      <c r="H190" s="8"/>
      <c r="I190" s="8"/>
      <c r="J190" s="8"/>
      <c r="K190" s="8">
        <v>1</v>
      </c>
      <c r="L190" s="18">
        <v>2700</v>
      </c>
      <c r="M190" s="7">
        <f t="shared" si="2"/>
        <v>2700</v>
      </c>
      <c r="N190" s="4"/>
      <c r="O190" s="9"/>
    </row>
    <row r="191" spans="1:15" ht="20" customHeight="1" x14ac:dyDescent="0.2">
      <c r="A191" s="3">
        <v>187</v>
      </c>
      <c r="B191" s="19"/>
      <c r="C191" s="4" t="s">
        <v>4029</v>
      </c>
      <c r="D191" s="4" t="s">
        <v>42</v>
      </c>
      <c r="E191" s="4"/>
      <c r="F191" s="8"/>
      <c r="G191" s="8"/>
      <c r="H191" s="8"/>
      <c r="I191" s="8"/>
      <c r="J191" s="8"/>
      <c r="K191" s="8">
        <v>1</v>
      </c>
      <c r="L191" s="18">
        <v>1950</v>
      </c>
      <c r="M191" s="7">
        <f t="shared" si="2"/>
        <v>1950</v>
      </c>
      <c r="N191" s="4"/>
      <c r="O191" s="9"/>
    </row>
    <row r="192" spans="1:15" ht="20" customHeight="1" x14ac:dyDescent="0.2">
      <c r="A192" s="3">
        <v>188</v>
      </c>
      <c r="B192" s="19"/>
      <c r="C192" s="4" t="s">
        <v>4030</v>
      </c>
      <c r="D192" s="4" t="s">
        <v>42</v>
      </c>
      <c r="E192" s="4"/>
      <c r="F192" s="8"/>
      <c r="G192" s="8"/>
      <c r="H192" s="8"/>
      <c r="I192" s="8"/>
      <c r="J192" s="8"/>
      <c r="K192" s="8">
        <v>1</v>
      </c>
      <c r="L192" s="18">
        <v>1700</v>
      </c>
      <c r="M192" s="7">
        <f t="shared" si="2"/>
        <v>1700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4031</v>
      </c>
      <c r="D193" s="4" t="s">
        <v>42</v>
      </c>
      <c r="E193" s="4"/>
      <c r="F193" s="8"/>
      <c r="G193" s="8"/>
      <c r="H193" s="8"/>
      <c r="I193" s="8"/>
      <c r="J193" s="8"/>
      <c r="K193" s="8">
        <v>0</v>
      </c>
      <c r="L193" s="18">
        <v>0</v>
      </c>
      <c r="M193" s="7">
        <f t="shared" si="2"/>
        <v>0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4032</v>
      </c>
      <c r="D194" s="4" t="s">
        <v>42</v>
      </c>
      <c r="E194" s="4"/>
      <c r="F194" s="8"/>
      <c r="G194" s="8"/>
      <c r="H194" s="8"/>
      <c r="I194" s="8"/>
      <c r="J194" s="8"/>
      <c r="K194" s="8">
        <v>1</v>
      </c>
      <c r="L194" s="18">
        <v>2400</v>
      </c>
      <c r="M194" s="7">
        <f t="shared" si="2"/>
        <v>2400</v>
      </c>
      <c r="N194" s="4"/>
      <c r="O194" s="9"/>
    </row>
    <row r="195" spans="1:15" ht="20" customHeight="1" x14ac:dyDescent="0.2">
      <c r="A195" s="3">
        <v>191</v>
      </c>
      <c r="B195" s="19"/>
      <c r="C195" s="4" t="s">
        <v>4033</v>
      </c>
      <c r="D195" s="4" t="s">
        <v>42</v>
      </c>
      <c r="E195" s="4"/>
      <c r="F195" s="8"/>
      <c r="G195" s="8"/>
      <c r="H195" s="8"/>
      <c r="I195" s="8"/>
      <c r="J195" s="8"/>
      <c r="K195" s="8">
        <v>1</v>
      </c>
      <c r="L195" s="18">
        <v>2400</v>
      </c>
      <c r="M195" s="7">
        <f t="shared" si="2"/>
        <v>2400</v>
      </c>
      <c r="N195" s="4"/>
      <c r="O195" s="9"/>
    </row>
    <row r="196" spans="1:15" ht="20" customHeight="1" x14ac:dyDescent="0.2">
      <c r="A196" s="3">
        <v>192</v>
      </c>
      <c r="B196" s="19"/>
      <c r="C196" s="4" t="s">
        <v>4034</v>
      </c>
      <c r="D196" s="4" t="s">
        <v>42</v>
      </c>
      <c r="E196" s="4"/>
      <c r="F196" s="8"/>
      <c r="G196" s="8"/>
      <c r="H196" s="8"/>
      <c r="I196" s="8"/>
      <c r="J196" s="8"/>
      <c r="K196" s="8">
        <v>1</v>
      </c>
      <c r="L196" s="18">
        <v>2400</v>
      </c>
      <c r="M196" s="7">
        <f t="shared" si="2"/>
        <v>2400</v>
      </c>
      <c r="N196" s="4"/>
      <c r="O196" s="9"/>
    </row>
    <row r="197" spans="1:15" ht="20" customHeight="1" x14ac:dyDescent="0.2">
      <c r="A197" s="3">
        <v>193</v>
      </c>
      <c r="B197" s="19"/>
      <c r="C197" s="4" t="s">
        <v>4035</v>
      </c>
      <c r="D197" s="4" t="s">
        <v>42</v>
      </c>
      <c r="E197" s="4"/>
      <c r="F197" s="8"/>
      <c r="G197" s="8"/>
      <c r="H197" s="8"/>
      <c r="I197" s="8"/>
      <c r="J197" s="8"/>
      <c r="K197" s="8">
        <v>1</v>
      </c>
      <c r="L197" s="18">
        <v>2500</v>
      </c>
      <c r="M197" s="7">
        <f t="shared" ref="M197:M260" si="3">IF(OR(K197="",L197=""),"",K197*L197)</f>
        <v>2500</v>
      </c>
      <c r="N197" s="4"/>
      <c r="O197" s="9"/>
    </row>
    <row r="198" spans="1:15" ht="20" customHeight="1" x14ac:dyDescent="0.2">
      <c r="A198" s="3">
        <v>194</v>
      </c>
      <c r="B198" s="19"/>
      <c r="C198" s="4" t="s">
        <v>4036</v>
      </c>
      <c r="D198" s="4" t="s">
        <v>42</v>
      </c>
      <c r="E198" s="4"/>
      <c r="F198" s="8"/>
      <c r="G198" s="8"/>
      <c r="H198" s="8"/>
      <c r="I198" s="8"/>
      <c r="J198" s="8"/>
      <c r="K198" s="8">
        <v>1</v>
      </c>
      <c r="L198" s="18">
        <v>9000</v>
      </c>
      <c r="M198" s="7">
        <f t="shared" si="3"/>
        <v>9000</v>
      </c>
      <c r="N198" s="4"/>
      <c r="O198" s="9"/>
    </row>
    <row r="199" spans="1:15" ht="20" customHeight="1" x14ac:dyDescent="0.2">
      <c r="A199" s="3">
        <v>195</v>
      </c>
      <c r="B199" s="19"/>
      <c r="C199" s="4" t="s">
        <v>4037</v>
      </c>
      <c r="D199" s="4" t="s">
        <v>42</v>
      </c>
      <c r="E199" s="4"/>
      <c r="F199" s="8"/>
      <c r="G199" s="8"/>
      <c r="H199" s="8"/>
      <c r="I199" s="8"/>
      <c r="J199" s="8"/>
      <c r="K199" s="8">
        <v>1</v>
      </c>
      <c r="L199" s="18">
        <v>250</v>
      </c>
      <c r="M199" s="7">
        <f t="shared" si="3"/>
        <v>250</v>
      </c>
      <c r="N199" s="4"/>
      <c r="O199" s="9"/>
    </row>
    <row r="200" spans="1:15" ht="20" customHeight="1" x14ac:dyDescent="0.2">
      <c r="A200" s="3">
        <v>196</v>
      </c>
      <c r="B200" s="19"/>
      <c r="C200" s="4" t="s">
        <v>4038</v>
      </c>
      <c r="D200" s="4" t="s">
        <v>42</v>
      </c>
      <c r="E200" s="4"/>
      <c r="F200" s="8"/>
      <c r="G200" s="8"/>
      <c r="H200" s="8"/>
      <c r="I200" s="8"/>
      <c r="J200" s="8"/>
      <c r="K200" s="8">
        <v>1</v>
      </c>
      <c r="L200" s="18">
        <v>14000</v>
      </c>
      <c r="M200" s="7">
        <f t="shared" si="3"/>
        <v>14000</v>
      </c>
      <c r="N200" s="4"/>
      <c r="O200" s="9"/>
    </row>
    <row r="201" spans="1:15" ht="20" customHeight="1" x14ac:dyDescent="0.2">
      <c r="A201" s="3">
        <v>197</v>
      </c>
      <c r="B201" s="19"/>
      <c r="C201" s="4" t="s">
        <v>4039</v>
      </c>
      <c r="D201" s="4" t="s">
        <v>42</v>
      </c>
      <c r="E201" s="4"/>
      <c r="F201" s="8"/>
      <c r="G201" s="8"/>
      <c r="H201" s="8"/>
      <c r="I201" s="8"/>
      <c r="J201" s="8"/>
      <c r="K201" s="8">
        <v>1</v>
      </c>
      <c r="L201" s="18">
        <v>18000</v>
      </c>
      <c r="M201" s="7">
        <f t="shared" si="3"/>
        <v>18000</v>
      </c>
      <c r="N201" s="4"/>
      <c r="O201" s="9"/>
    </row>
    <row r="202" spans="1:15" ht="20" customHeight="1" x14ac:dyDescent="0.2">
      <c r="A202" s="3">
        <v>198</v>
      </c>
      <c r="B202" s="19"/>
      <c r="C202" s="4" t="s">
        <v>4040</v>
      </c>
      <c r="D202" s="4" t="s">
        <v>42</v>
      </c>
      <c r="E202" s="4"/>
      <c r="F202" s="8"/>
      <c r="G202" s="8"/>
      <c r="H202" s="8"/>
      <c r="I202" s="8"/>
      <c r="J202" s="8"/>
      <c r="K202" s="8">
        <v>1</v>
      </c>
      <c r="L202" s="18">
        <v>4800</v>
      </c>
      <c r="M202" s="7">
        <f t="shared" si="3"/>
        <v>4800</v>
      </c>
      <c r="N202" s="4"/>
      <c r="O202" s="9"/>
    </row>
    <row r="203" spans="1:15" ht="20" customHeight="1" x14ac:dyDescent="0.2">
      <c r="A203" s="3">
        <v>199</v>
      </c>
      <c r="B203" s="19"/>
      <c r="C203" s="4" t="s">
        <v>4041</v>
      </c>
      <c r="D203" s="4" t="s">
        <v>42</v>
      </c>
      <c r="E203" s="4"/>
      <c r="F203" s="8"/>
      <c r="G203" s="8"/>
      <c r="H203" s="8"/>
      <c r="I203" s="8"/>
      <c r="J203" s="8"/>
      <c r="K203" s="8">
        <v>1</v>
      </c>
      <c r="L203" s="18">
        <v>7200</v>
      </c>
      <c r="M203" s="7">
        <f t="shared" si="3"/>
        <v>7200</v>
      </c>
      <c r="N203" s="4"/>
      <c r="O203" s="9"/>
    </row>
    <row r="204" spans="1:15" ht="20" customHeight="1" x14ac:dyDescent="0.2">
      <c r="A204" s="3">
        <v>200</v>
      </c>
      <c r="B204" s="19"/>
      <c r="C204" s="4" t="s">
        <v>4042</v>
      </c>
      <c r="D204" s="4" t="s">
        <v>42</v>
      </c>
      <c r="E204" s="4"/>
      <c r="F204" s="8"/>
      <c r="G204" s="8"/>
      <c r="H204" s="8"/>
      <c r="I204" s="8"/>
      <c r="J204" s="8"/>
      <c r="K204" s="8">
        <v>1</v>
      </c>
      <c r="L204" s="18">
        <v>7200</v>
      </c>
      <c r="M204" s="7">
        <f t="shared" si="3"/>
        <v>7200</v>
      </c>
      <c r="N204" s="4"/>
      <c r="O204" s="9"/>
    </row>
    <row r="205" spans="1:15" ht="20" customHeight="1" x14ac:dyDescent="0.2">
      <c r="A205" s="3">
        <v>201</v>
      </c>
      <c r="B205" s="19"/>
      <c r="C205" s="4" t="s">
        <v>1074</v>
      </c>
      <c r="D205" s="4" t="s">
        <v>42</v>
      </c>
      <c r="E205" s="4"/>
      <c r="F205" s="8"/>
      <c r="G205" s="8"/>
      <c r="H205" s="8"/>
      <c r="I205" s="8"/>
      <c r="J205" s="8"/>
      <c r="K205" s="8">
        <v>1</v>
      </c>
      <c r="L205" s="18">
        <v>18000</v>
      </c>
      <c r="M205" s="7">
        <f t="shared" si="3"/>
        <v>18000</v>
      </c>
      <c r="N205" s="4"/>
      <c r="O205" s="9"/>
    </row>
    <row r="206" spans="1:15" ht="20" customHeight="1" x14ac:dyDescent="0.2">
      <c r="A206" s="3">
        <v>202</v>
      </c>
      <c r="B206" s="19"/>
      <c r="C206" s="4" t="s">
        <v>4043</v>
      </c>
      <c r="D206" s="4" t="s">
        <v>42</v>
      </c>
      <c r="E206" s="4"/>
      <c r="F206" s="8"/>
      <c r="G206" s="8"/>
      <c r="H206" s="8"/>
      <c r="I206" s="8"/>
      <c r="J206" s="8"/>
      <c r="K206" s="8">
        <v>0</v>
      </c>
      <c r="L206" s="18">
        <v>0</v>
      </c>
      <c r="M206" s="7">
        <f t="shared" si="3"/>
        <v>0</v>
      </c>
      <c r="N206" s="4"/>
      <c r="O206" s="9"/>
    </row>
    <row r="207" spans="1:15" ht="20" customHeight="1" x14ac:dyDescent="0.2">
      <c r="A207" s="3">
        <v>203</v>
      </c>
      <c r="B207" s="19"/>
      <c r="C207" s="4" t="s">
        <v>4044</v>
      </c>
      <c r="D207" s="4" t="s">
        <v>42</v>
      </c>
      <c r="E207" s="4"/>
      <c r="F207" s="8"/>
      <c r="G207" s="8"/>
      <c r="H207" s="8"/>
      <c r="I207" s="8"/>
      <c r="J207" s="8"/>
      <c r="K207" s="8">
        <v>1</v>
      </c>
      <c r="L207" s="18">
        <v>3000</v>
      </c>
      <c r="M207" s="7">
        <f t="shared" si="3"/>
        <v>3000</v>
      </c>
      <c r="N207" s="4"/>
      <c r="O207" s="9"/>
    </row>
    <row r="208" spans="1:15" ht="20" customHeight="1" x14ac:dyDescent="0.2">
      <c r="A208" s="3">
        <v>204</v>
      </c>
      <c r="B208" s="19"/>
      <c r="C208" s="4" t="s">
        <v>4045</v>
      </c>
      <c r="D208" s="4" t="s">
        <v>42</v>
      </c>
      <c r="E208" s="4"/>
      <c r="F208" s="8"/>
      <c r="G208" s="8"/>
      <c r="H208" s="8"/>
      <c r="I208" s="8"/>
      <c r="J208" s="8"/>
      <c r="K208" s="8">
        <v>0</v>
      </c>
      <c r="L208" s="18">
        <v>0</v>
      </c>
      <c r="M208" s="7">
        <f t="shared" si="3"/>
        <v>0</v>
      </c>
      <c r="N208" s="4"/>
      <c r="O208" s="9"/>
    </row>
    <row r="209" spans="1:15" ht="20" customHeight="1" x14ac:dyDescent="0.2">
      <c r="A209" s="3">
        <v>205</v>
      </c>
      <c r="B209" s="19"/>
      <c r="C209" s="4" t="s">
        <v>4046</v>
      </c>
      <c r="D209" s="4" t="s">
        <v>42</v>
      </c>
      <c r="E209" s="4"/>
      <c r="F209" s="8"/>
      <c r="G209" s="8"/>
      <c r="H209" s="8"/>
      <c r="I209" s="8"/>
      <c r="J209" s="8"/>
      <c r="K209" s="8">
        <v>1</v>
      </c>
      <c r="L209" s="18">
        <v>1050</v>
      </c>
      <c r="M209" s="7">
        <f t="shared" si="3"/>
        <v>1050</v>
      </c>
      <c r="N209" s="4"/>
      <c r="O209" s="9"/>
    </row>
    <row r="210" spans="1:15" ht="20" customHeight="1" x14ac:dyDescent="0.2">
      <c r="A210" s="3">
        <v>206</v>
      </c>
      <c r="B210" s="19"/>
      <c r="C210" s="4" t="s">
        <v>4047</v>
      </c>
      <c r="D210" s="4" t="s">
        <v>42</v>
      </c>
      <c r="E210" s="4"/>
      <c r="F210" s="8"/>
      <c r="G210" s="8"/>
      <c r="H210" s="8"/>
      <c r="I210" s="8"/>
      <c r="J210" s="8"/>
      <c r="K210" s="8">
        <v>1</v>
      </c>
      <c r="L210" s="18">
        <v>1050</v>
      </c>
      <c r="M210" s="7">
        <f t="shared" si="3"/>
        <v>1050</v>
      </c>
      <c r="N210" s="4"/>
      <c r="O210" s="9"/>
    </row>
    <row r="211" spans="1:15" ht="20" customHeight="1" x14ac:dyDescent="0.2">
      <c r="A211" s="3">
        <v>207</v>
      </c>
      <c r="B211" s="19"/>
      <c r="C211" s="4" t="s">
        <v>4048</v>
      </c>
      <c r="D211" s="4" t="s">
        <v>42</v>
      </c>
      <c r="E211" s="4"/>
      <c r="F211" s="8"/>
      <c r="G211" s="8"/>
      <c r="H211" s="8"/>
      <c r="I211" s="8"/>
      <c r="J211" s="8"/>
      <c r="K211" s="8">
        <v>1</v>
      </c>
      <c r="L211" s="18">
        <v>6400</v>
      </c>
      <c r="M211" s="7">
        <f t="shared" si="3"/>
        <v>6400</v>
      </c>
      <c r="N211" s="4"/>
      <c r="O211" s="9"/>
    </row>
    <row r="212" spans="1:15" ht="20" customHeight="1" x14ac:dyDescent="0.2">
      <c r="A212" s="3">
        <v>208</v>
      </c>
      <c r="B212" s="19"/>
      <c r="C212" s="4" t="s">
        <v>4049</v>
      </c>
      <c r="D212" s="4" t="s">
        <v>42</v>
      </c>
      <c r="E212" s="4"/>
      <c r="F212" s="8"/>
      <c r="G212" s="8"/>
      <c r="H212" s="8"/>
      <c r="I212" s="8"/>
      <c r="J212" s="8"/>
      <c r="K212" s="8">
        <v>1</v>
      </c>
      <c r="L212" s="18">
        <v>7000</v>
      </c>
      <c r="M212" s="7">
        <f t="shared" si="3"/>
        <v>7000</v>
      </c>
      <c r="N212" s="4"/>
      <c r="O212" s="9"/>
    </row>
    <row r="213" spans="1:15" ht="20" customHeight="1" x14ac:dyDescent="0.2">
      <c r="A213" s="3">
        <v>209</v>
      </c>
      <c r="B213" s="19"/>
      <c r="C213" s="4" t="s">
        <v>4050</v>
      </c>
      <c r="D213" s="4" t="s">
        <v>42</v>
      </c>
      <c r="E213" s="4"/>
      <c r="F213" s="8"/>
      <c r="G213" s="8"/>
      <c r="H213" s="8"/>
      <c r="I213" s="8"/>
      <c r="J213" s="8"/>
      <c r="K213" s="8">
        <v>1</v>
      </c>
      <c r="L213" s="18">
        <v>6600</v>
      </c>
      <c r="M213" s="7">
        <f t="shared" si="3"/>
        <v>6600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4051</v>
      </c>
      <c r="D214" s="4" t="s">
        <v>42</v>
      </c>
      <c r="E214" s="4"/>
      <c r="F214" s="8"/>
      <c r="G214" s="8"/>
      <c r="H214" s="8"/>
      <c r="I214" s="8"/>
      <c r="J214" s="8"/>
      <c r="K214" s="8">
        <v>1</v>
      </c>
      <c r="L214" s="18">
        <v>900</v>
      </c>
      <c r="M214" s="7">
        <f t="shared" si="3"/>
        <v>900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4052</v>
      </c>
      <c r="D215" s="4" t="s">
        <v>42</v>
      </c>
      <c r="E215" s="4"/>
      <c r="F215" s="8"/>
      <c r="G215" s="8"/>
      <c r="H215" s="8"/>
      <c r="I215" s="8"/>
      <c r="J215" s="8"/>
      <c r="K215" s="8">
        <v>1</v>
      </c>
      <c r="L215" s="18">
        <v>1200</v>
      </c>
      <c r="M215" s="7">
        <f t="shared" si="3"/>
        <v>1200</v>
      </c>
      <c r="N215" s="4"/>
      <c r="O215" s="9"/>
    </row>
    <row r="216" spans="1:15" ht="20" customHeight="1" x14ac:dyDescent="0.2">
      <c r="A216" s="3">
        <v>212</v>
      </c>
      <c r="B216" s="19"/>
      <c r="C216" s="4" t="s">
        <v>4053</v>
      </c>
      <c r="D216" s="4" t="s">
        <v>42</v>
      </c>
      <c r="E216" s="4"/>
      <c r="F216" s="8"/>
      <c r="G216" s="8"/>
      <c r="H216" s="8"/>
      <c r="I216" s="8"/>
      <c r="J216" s="8"/>
      <c r="K216" s="8">
        <v>1</v>
      </c>
      <c r="L216" s="18">
        <v>1200</v>
      </c>
      <c r="M216" s="7">
        <f t="shared" si="3"/>
        <v>1200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4054</v>
      </c>
      <c r="D217" s="4" t="s">
        <v>42</v>
      </c>
      <c r="E217" s="4"/>
      <c r="F217" s="8"/>
      <c r="G217" s="8"/>
      <c r="H217" s="8"/>
      <c r="I217" s="8"/>
      <c r="J217" s="8"/>
      <c r="K217" s="8">
        <v>1</v>
      </c>
      <c r="L217" s="18">
        <v>1200</v>
      </c>
      <c r="M217" s="7">
        <f t="shared" si="3"/>
        <v>1200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4055</v>
      </c>
      <c r="D218" s="4" t="s">
        <v>42</v>
      </c>
      <c r="E218" s="4"/>
      <c r="F218" s="8"/>
      <c r="G218" s="8"/>
      <c r="H218" s="8"/>
      <c r="I218" s="8"/>
      <c r="J218" s="8"/>
      <c r="K218" s="8">
        <v>1</v>
      </c>
      <c r="L218" s="18">
        <v>6741</v>
      </c>
      <c r="M218" s="7">
        <f t="shared" si="3"/>
        <v>6741</v>
      </c>
      <c r="N218" s="4"/>
      <c r="O218" s="9"/>
    </row>
    <row r="219" spans="1:15" ht="20" customHeight="1" x14ac:dyDescent="0.2">
      <c r="A219" s="3">
        <v>215</v>
      </c>
      <c r="B219" s="19"/>
      <c r="C219" s="4" t="s">
        <v>4056</v>
      </c>
      <c r="D219" s="4" t="s">
        <v>42</v>
      </c>
      <c r="E219" s="4"/>
      <c r="F219" s="8"/>
      <c r="G219" s="8"/>
      <c r="H219" s="8"/>
      <c r="I219" s="8"/>
      <c r="J219" s="8"/>
      <c r="K219" s="8">
        <v>1</v>
      </c>
      <c r="L219" s="18">
        <v>6741</v>
      </c>
      <c r="M219" s="7">
        <f t="shared" si="3"/>
        <v>6741</v>
      </c>
      <c r="N219" s="4"/>
      <c r="O219" s="9"/>
    </row>
    <row r="220" spans="1:15" ht="20" customHeight="1" x14ac:dyDescent="0.2">
      <c r="A220" s="3">
        <v>216</v>
      </c>
      <c r="B220" s="19"/>
      <c r="C220" s="4" t="s">
        <v>4057</v>
      </c>
      <c r="D220" s="4" t="s">
        <v>42</v>
      </c>
      <c r="E220" s="4"/>
      <c r="F220" s="8"/>
      <c r="G220" s="8"/>
      <c r="H220" s="8"/>
      <c r="I220" s="8"/>
      <c r="J220" s="8"/>
      <c r="K220" s="8">
        <v>1</v>
      </c>
      <c r="L220" s="18">
        <v>6741</v>
      </c>
      <c r="M220" s="7">
        <f t="shared" si="3"/>
        <v>6741</v>
      </c>
      <c r="N220" s="4"/>
      <c r="O220" s="9"/>
    </row>
    <row r="221" spans="1:15" ht="20" customHeight="1" x14ac:dyDescent="0.2">
      <c r="A221" s="3">
        <v>217</v>
      </c>
      <c r="B221" s="19"/>
      <c r="C221" s="4" t="s">
        <v>4058</v>
      </c>
      <c r="D221" s="4" t="s">
        <v>42</v>
      </c>
      <c r="E221" s="4"/>
      <c r="F221" s="8"/>
      <c r="G221" s="8"/>
      <c r="H221" s="8"/>
      <c r="I221" s="8"/>
      <c r="J221" s="8"/>
      <c r="K221" s="8">
        <v>1</v>
      </c>
      <c r="L221" s="18">
        <v>6741</v>
      </c>
      <c r="M221" s="7">
        <f t="shared" si="3"/>
        <v>6741</v>
      </c>
      <c r="N221" s="4"/>
      <c r="O221" s="9"/>
    </row>
    <row r="222" spans="1:15" ht="20" customHeight="1" x14ac:dyDescent="0.2">
      <c r="A222" s="3">
        <v>218</v>
      </c>
      <c r="B222" s="19"/>
      <c r="C222" s="4" t="s">
        <v>4059</v>
      </c>
      <c r="D222" s="4" t="s">
        <v>42</v>
      </c>
      <c r="E222" s="4"/>
      <c r="F222" s="8"/>
      <c r="G222" s="8"/>
      <c r="H222" s="8"/>
      <c r="I222" s="8"/>
      <c r="J222" s="8"/>
      <c r="K222" s="8">
        <v>1</v>
      </c>
      <c r="L222" s="18">
        <v>19902</v>
      </c>
      <c r="M222" s="7">
        <f t="shared" si="3"/>
        <v>19902</v>
      </c>
      <c r="N222" s="4"/>
      <c r="O222" s="9"/>
    </row>
    <row r="223" spans="1:15" ht="20" customHeight="1" x14ac:dyDescent="0.2">
      <c r="A223" s="3">
        <v>219</v>
      </c>
      <c r="B223" s="19"/>
      <c r="C223" s="4" t="s">
        <v>4060</v>
      </c>
      <c r="D223" s="4" t="s">
        <v>42</v>
      </c>
      <c r="E223" s="4"/>
      <c r="F223" s="8"/>
      <c r="G223" s="8"/>
      <c r="H223" s="8"/>
      <c r="I223" s="8"/>
      <c r="J223" s="8"/>
      <c r="K223" s="8">
        <v>1</v>
      </c>
      <c r="L223" s="18">
        <v>19902</v>
      </c>
      <c r="M223" s="7">
        <f t="shared" si="3"/>
        <v>19902</v>
      </c>
      <c r="N223" s="4"/>
      <c r="O223" s="9"/>
    </row>
    <row r="224" spans="1:15" ht="20" customHeight="1" x14ac:dyDescent="0.2">
      <c r="A224" s="3">
        <v>220</v>
      </c>
      <c r="B224" s="19"/>
      <c r="C224" s="4" t="s">
        <v>4061</v>
      </c>
      <c r="D224" s="4" t="s">
        <v>42</v>
      </c>
      <c r="E224" s="4"/>
      <c r="F224" s="8"/>
      <c r="G224" s="8"/>
      <c r="H224" s="8"/>
      <c r="I224" s="8"/>
      <c r="J224" s="8"/>
      <c r="K224" s="8">
        <v>1</v>
      </c>
      <c r="L224" s="18">
        <v>34240</v>
      </c>
      <c r="M224" s="7">
        <f t="shared" si="3"/>
        <v>34240</v>
      </c>
      <c r="N224" s="4"/>
      <c r="O224" s="9"/>
    </row>
    <row r="225" spans="1:15" ht="20" customHeight="1" x14ac:dyDescent="0.2">
      <c r="A225" s="3">
        <v>221</v>
      </c>
      <c r="B225" s="19"/>
      <c r="C225" s="4" t="s">
        <v>4062</v>
      </c>
      <c r="D225" s="4" t="s">
        <v>42</v>
      </c>
      <c r="E225" s="4"/>
      <c r="F225" s="8"/>
      <c r="G225" s="8"/>
      <c r="H225" s="8"/>
      <c r="I225" s="8"/>
      <c r="J225" s="8"/>
      <c r="K225" s="8">
        <v>1</v>
      </c>
      <c r="L225" s="18">
        <v>6480</v>
      </c>
      <c r="M225" s="7">
        <f t="shared" si="3"/>
        <v>6480</v>
      </c>
      <c r="N225" s="4"/>
      <c r="O225" s="9"/>
    </row>
    <row r="226" spans="1:15" ht="20" customHeight="1" x14ac:dyDescent="0.2">
      <c r="A226" s="3">
        <v>222</v>
      </c>
      <c r="B226" s="19"/>
      <c r="C226" s="4" t="s">
        <v>4063</v>
      </c>
      <c r="D226" s="4" t="s">
        <v>42</v>
      </c>
      <c r="E226" s="4"/>
      <c r="F226" s="8"/>
      <c r="G226" s="8"/>
      <c r="H226" s="8"/>
      <c r="I226" s="8"/>
      <c r="J226" s="8"/>
      <c r="K226" s="8">
        <v>1</v>
      </c>
      <c r="L226" s="18">
        <v>9720</v>
      </c>
      <c r="M226" s="7">
        <f t="shared" si="3"/>
        <v>9720</v>
      </c>
      <c r="N226" s="4"/>
      <c r="O226" s="9"/>
    </row>
    <row r="227" spans="1:15" ht="20" customHeight="1" x14ac:dyDescent="0.2">
      <c r="A227" s="3">
        <v>223</v>
      </c>
      <c r="B227" s="19"/>
      <c r="C227" s="4" t="s">
        <v>4064</v>
      </c>
      <c r="D227" s="4" t="s">
        <v>42</v>
      </c>
      <c r="E227" s="4"/>
      <c r="F227" s="8"/>
      <c r="G227" s="8"/>
      <c r="H227" s="8"/>
      <c r="I227" s="8"/>
      <c r="J227" s="8"/>
      <c r="K227" s="8">
        <v>1</v>
      </c>
      <c r="L227" s="18">
        <v>6480</v>
      </c>
      <c r="M227" s="7">
        <f t="shared" si="3"/>
        <v>6480</v>
      </c>
      <c r="N227" s="4"/>
      <c r="O227" s="9"/>
    </row>
    <row r="228" spans="1:15" ht="20" customHeight="1" x14ac:dyDescent="0.2">
      <c r="A228" s="3">
        <v>224</v>
      </c>
      <c r="B228" s="19"/>
      <c r="C228" s="4" t="s">
        <v>4065</v>
      </c>
      <c r="D228" s="4" t="s">
        <v>42</v>
      </c>
      <c r="E228" s="4"/>
      <c r="F228" s="8"/>
      <c r="G228" s="8"/>
      <c r="H228" s="8"/>
      <c r="I228" s="8"/>
      <c r="J228" s="8"/>
      <c r="K228" s="8">
        <v>1</v>
      </c>
      <c r="L228" s="18">
        <v>648</v>
      </c>
      <c r="M228" s="7">
        <f t="shared" si="3"/>
        <v>648</v>
      </c>
      <c r="N228" s="4"/>
      <c r="O228" s="9"/>
    </row>
    <row r="229" spans="1:15" ht="20" customHeight="1" x14ac:dyDescent="0.2">
      <c r="A229" s="3">
        <v>225</v>
      </c>
      <c r="B229" s="19"/>
      <c r="C229" s="4" t="s">
        <v>4066</v>
      </c>
      <c r="D229" s="4" t="s">
        <v>42</v>
      </c>
      <c r="E229" s="4"/>
      <c r="F229" s="8"/>
      <c r="G229" s="8"/>
      <c r="H229" s="8"/>
      <c r="I229" s="8"/>
      <c r="J229" s="8"/>
      <c r="K229" s="8">
        <v>1</v>
      </c>
      <c r="L229" s="18">
        <v>1296</v>
      </c>
      <c r="M229" s="7">
        <f t="shared" si="3"/>
        <v>1296</v>
      </c>
      <c r="N229" s="4"/>
      <c r="O229" s="9"/>
    </row>
    <row r="230" spans="1:15" ht="20" customHeight="1" x14ac:dyDescent="0.2">
      <c r="A230" s="3">
        <v>226</v>
      </c>
      <c r="B230" s="19"/>
      <c r="C230" s="4" t="s">
        <v>4067</v>
      </c>
      <c r="D230" s="4" t="s">
        <v>42</v>
      </c>
      <c r="E230" s="4"/>
      <c r="F230" s="8"/>
      <c r="G230" s="8"/>
      <c r="H230" s="8"/>
      <c r="I230" s="8"/>
      <c r="J230" s="8"/>
      <c r="K230" s="8">
        <v>1</v>
      </c>
      <c r="L230" s="18">
        <v>5280</v>
      </c>
      <c r="M230" s="7">
        <f t="shared" si="3"/>
        <v>5280</v>
      </c>
      <c r="N230" s="4"/>
      <c r="O230" s="9"/>
    </row>
    <row r="231" spans="1:15" ht="20" customHeight="1" x14ac:dyDescent="0.2">
      <c r="A231" s="3">
        <v>227</v>
      </c>
      <c r="B231" s="19"/>
      <c r="C231" s="4" t="s">
        <v>4068</v>
      </c>
      <c r="D231" s="4" t="s">
        <v>42</v>
      </c>
      <c r="E231" s="4"/>
      <c r="F231" s="8"/>
      <c r="G231" s="8"/>
      <c r="H231" s="8"/>
      <c r="I231" s="8"/>
      <c r="J231" s="8"/>
      <c r="K231" s="8">
        <v>1</v>
      </c>
      <c r="L231" s="18">
        <v>8100</v>
      </c>
      <c r="M231" s="7">
        <f t="shared" si="3"/>
        <v>8100</v>
      </c>
      <c r="N231" s="4"/>
      <c r="O231" s="9"/>
    </row>
    <row r="232" spans="1:15" ht="20" customHeight="1" x14ac:dyDescent="0.2">
      <c r="A232" s="3">
        <v>228</v>
      </c>
      <c r="B232" s="19"/>
      <c r="C232" s="4" t="s">
        <v>4069</v>
      </c>
      <c r="D232" s="4" t="s">
        <v>42</v>
      </c>
      <c r="E232" s="4"/>
      <c r="F232" s="8"/>
      <c r="G232" s="8"/>
      <c r="H232" s="8"/>
      <c r="I232" s="8"/>
      <c r="J232" s="8"/>
      <c r="K232" s="8">
        <v>1</v>
      </c>
      <c r="L232" s="18">
        <v>8500</v>
      </c>
      <c r="M232" s="7">
        <f t="shared" si="3"/>
        <v>8500</v>
      </c>
      <c r="N232" s="4"/>
      <c r="O232" s="9"/>
    </row>
    <row r="233" spans="1:15" ht="20" customHeight="1" x14ac:dyDescent="0.2">
      <c r="A233" s="3">
        <v>229</v>
      </c>
      <c r="B233" s="19"/>
      <c r="C233" s="4" t="s">
        <v>4070</v>
      </c>
      <c r="D233" s="4" t="s">
        <v>42</v>
      </c>
      <c r="E233" s="4"/>
      <c r="F233" s="8"/>
      <c r="G233" s="8"/>
      <c r="H233" s="8"/>
      <c r="I233" s="8"/>
      <c r="J233" s="8"/>
      <c r="K233" s="8">
        <v>1</v>
      </c>
      <c r="L233" s="18">
        <v>8500</v>
      </c>
      <c r="M233" s="7">
        <f t="shared" si="3"/>
        <v>8500</v>
      </c>
      <c r="N233" s="4"/>
      <c r="O233" s="9"/>
    </row>
    <row r="234" spans="1:15" ht="20" customHeight="1" x14ac:dyDescent="0.2">
      <c r="A234" s="3">
        <v>230</v>
      </c>
      <c r="B234" s="19"/>
      <c r="C234" s="4" t="s">
        <v>4071</v>
      </c>
      <c r="D234" s="4" t="s">
        <v>42</v>
      </c>
      <c r="E234" s="4"/>
      <c r="F234" s="8"/>
      <c r="G234" s="8"/>
      <c r="H234" s="8"/>
      <c r="I234" s="8"/>
      <c r="J234" s="8"/>
      <c r="K234" s="8">
        <v>1</v>
      </c>
      <c r="L234" s="18">
        <v>5450</v>
      </c>
      <c r="M234" s="7">
        <f t="shared" si="3"/>
        <v>5450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4072</v>
      </c>
      <c r="D235" s="4" t="s">
        <v>42</v>
      </c>
      <c r="E235" s="4"/>
      <c r="F235" s="8"/>
      <c r="G235" s="8"/>
      <c r="H235" s="8"/>
      <c r="I235" s="8"/>
      <c r="J235" s="8"/>
      <c r="K235" s="8">
        <v>1</v>
      </c>
      <c r="L235" s="18">
        <v>5450</v>
      </c>
      <c r="M235" s="7">
        <f t="shared" si="3"/>
        <v>5450</v>
      </c>
      <c r="N235" s="4"/>
      <c r="O235" s="9"/>
    </row>
    <row r="236" spans="1:15" ht="20" customHeight="1" x14ac:dyDescent="0.2">
      <c r="A236" s="3">
        <v>232</v>
      </c>
      <c r="B236" s="19"/>
      <c r="C236" s="4" t="s">
        <v>4073</v>
      </c>
      <c r="D236" s="4" t="s">
        <v>42</v>
      </c>
      <c r="E236" s="4"/>
      <c r="F236" s="8"/>
      <c r="G236" s="8"/>
      <c r="H236" s="8"/>
      <c r="I236" s="8"/>
      <c r="J236" s="8"/>
      <c r="K236" s="8">
        <v>1</v>
      </c>
      <c r="L236" s="18">
        <v>5450</v>
      </c>
      <c r="M236" s="7">
        <f t="shared" si="3"/>
        <v>5450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4074</v>
      </c>
      <c r="D237" s="4" t="s">
        <v>42</v>
      </c>
      <c r="E237" s="4"/>
      <c r="F237" s="8"/>
      <c r="G237" s="8"/>
      <c r="H237" s="8"/>
      <c r="I237" s="8"/>
      <c r="J237" s="8"/>
      <c r="K237" s="8">
        <v>1</v>
      </c>
      <c r="L237" s="18">
        <v>5450</v>
      </c>
      <c r="M237" s="7">
        <f t="shared" si="3"/>
        <v>5450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4075</v>
      </c>
      <c r="D238" s="4" t="s">
        <v>42</v>
      </c>
      <c r="E238" s="4"/>
      <c r="F238" s="8"/>
      <c r="G238" s="8"/>
      <c r="H238" s="8"/>
      <c r="I238" s="8"/>
      <c r="J238" s="8"/>
      <c r="K238" s="8">
        <v>1</v>
      </c>
      <c r="L238" s="18">
        <v>3200</v>
      </c>
      <c r="M238" s="7">
        <f t="shared" si="3"/>
        <v>3200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4076</v>
      </c>
      <c r="D239" s="4" t="s">
        <v>42</v>
      </c>
      <c r="E239" s="4"/>
      <c r="F239" s="8"/>
      <c r="G239" s="8"/>
      <c r="H239" s="8"/>
      <c r="I239" s="8"/>
      <c r="J239" s="8"/>
      <c r="K239" s="8">
        <v>1</v>
      </c>
      <c r="L239" s="18">
        <v>3200</v>
      </c>
      <c r="M239" s="7">
        <f t="shared" si="3"/>
        <v>3200</v>
      </c>
      <c r="N239" s="4"/>
      <c r="O239" s="9"/>
    </row>
    <row r="240" spans="1:15" ht="20" customHeight="1" x14ac:dyDescent="0.2">
      <c r="A240" s="3">
        <v>236</v>
      </c>
      <c r="B240" s="19"/>
      <c r="C240" s="4" t="s">
        <v>4077</v>
      </c>
      <c r="D240" s="4" t="s">
        <v>42</v>
      </c>
      <c r="E240" s="4"/>
      <c r="F240" s="8"/>
      <c r="G240" s="8"/>
      <c r="H240" s="8"/>
      <c r="I240" s="8"/>
      <c r="J240" s="8"/>
      <c r="K240" s="8">
        <v>1</v>
      </c>
      <c r="L240" s="18">
        <v>7350</v>
      </c>
      <c r="M240" s="7">
        <f t="shared" si="3"/>
        <v>7350</v>
      </c>
      <c r="N240" s="4"/>
      <c r="O240" s="9"/>
    </row>
    <row r="241" spans="1:15" ht="20" customHeight="1" x14ac:dyDescent="0.2">
      <c r="A241" s="3">
        <v>237</v>
      </c>
      <c r="B241" s="19"/>
      <c r="C241" s="4" t="s">
        <v>4078</v>
      </c>
      <c r="D241" s="4" t="s">
        <v>42</v>
      </c>
      <c r="E241" s="4"/>
      <c r="F241" s="8"/>
      <c r="G241" s="8"/>
      <c r="H241" s="8"/>
      <c r="I241" s="8"/>
      <c r="J241" s="8"/>
      <c r="K241" s="8">
        <v>1</v>
      </c>
      <c r="L241" s="18">
        <v>4500</v>
      </c>
      <c r="M241" s="7">
        <f t="shared" si="3"/>
        <v>4500</v>
      </c>
      <c r="N241" s="4"/>
      <c r="O241" s="9"/>
    </row>
    <row r="242" spans="1:15" ht="20" customHeight="1" x14ac:dyDescent="0.2">
      <c r="A242" s="3">
        <v>238</v>
      </c>
      <c r="B242" s="19"/>
      <c r="C242" s="4" t="s">
        <v>4079</v>
      </c>
      <c r="D242" s="4" t="s">
        <v>42</v>
      </c>
      <c r="E242" s="4"/>
      <c r="F242" s="8"/>
      <c r="G242" s="8"/>
      <c r="H242" s="8"/>
      <c r="I242" s="8"/>
      <c r="J242" s="8"/>
      <c r="K242" s="8">
        <v>1</v>
      </c>
      <c r="L242" s="18">
        <v>4000</v>
      </c>
      <c r="M242" s="7">
        <f t="shared" si="3"/>
        <v>4000</v>
      </c>
      <c r="N242" s="4"/>
      <c r="O242" s="9"/>
    </row>
    <row r="243" spans="1:15" ht="20" customHeight="1" x14ac:dyDescent="0.2">
      <c r="A243" s="3">
        <v>239</v>
      </c>
      <c r="B243" s="19"/>
      <c r="C243" s="4" t="s">
        <v>4080</v>
      </c>
      <c r="D243" s="4" t="s">
        <v>42</v>
      </c>
      <c r="E243" s="4"/>
      <c r="F243" s="8"/>
      <c r="G243" s="8"/>
      <c r="H243" s="8"/>
      <c r="I243" s="8"/>
      <c r="J243" s="8"/>
      <c r="K243" s="8">
        <v>1</v>
      </c>
      <c r="L243" s="18">
        <v>4000</v>
      </c>
      <c r="M243" s="7">
        <f t="shared" si="3"/>
        <v>4000</v>
      </c>
      <c r="N243" s="4"/>
      <c r="O243" s="9"/>
    </row>
    <row r="244" spans="1:15" ht="20" customHeight="1" x14ac:dyDescent="0.2">
      <c r="A244" s="3">
        <v>240</v>
      </c>
      <c r="B244" s="19"/>
      <c r="C244" s="4" t="s">
        <v>4081</v>
      </c>
      <c r="D244" s="4" t="s">
        <v>42</v>
      </c>
      <c r="E244" s="4"/>
      <c r="F244" s="8"/>
      <c r="G244" s="8"/>
      <c r="H244" s="8"/>
      <c r="I244" s="8"/>
      <c r="J244" s="8"/>
      <c r="K244" s="8">
        <v>1</v>
      </c>
      <c r="L244" s="18">
        <v>11400</v>
      </c>
      <c r="M244" s="7">
        <f t="shared" si="3"/>
        <v>11400</v>
      </c>
      <c r="N244" s="4"/>
      <c r="O244" s="9"/>
    </row>
    <row r="245" spans="1:15" ht="20" customHeight="1" x14ac:dyDescent="0.2">
      <c r="A245" s="3">
        <v>241</v>
      </c>
      <c r="B245" s="19"/>
      <c r="C245" s="4" t="s">
        <v>4082</v>
      </c>
      <c r="D245" s="4" t="s">
        <v>42</v>
      </c>
      <c r="E245" s="4"/>
      <c r="F245" s="8"/>
      <c r="G245" s="8"/>
      <c r="H245" s="8"/>
      <c r="I245" s="8"/>
      <c r="J245" s="8"/>
      <c r="K245" s="8">
        <v>1</v>
      </c>
      <c r="L245" s="18">
        <v>14700</v>
      </c>
      <c r="M245" s="7">
        <f t="shared" si="3"/>
        <v>14700</v>
      </c>
      <c r="N245" s="4"/>
      <c r="O245" s="9"/>
    </row>
    <row r="246" spans="1:15" ht="20" customHeight="1" x14ac:dyDescent="0.2">
      <c r="A246" s="3">
        <v>242</v>
      </c>
      <c r="B246" s="19"/>
      <c r="C246" s="4" t="s">
        <v>4083</v>
      </c>
      <c r="D246" s="4" t="s">
        <v>42</v>
      </c>
      <c r="E246" s="4"/>
      <c r="F246" s="8"/>
      <c r="G246" s="8"/>
      <c r="H246" s="8"/>
      <c r="I246" s="8"/>
      <c r="J246" s="8"/>
      <c r="K246" s="8">
        <v>1</v>
      </c>
      <c r="L246" s="18">
        <v>5800</v>
      </c>
      <c r="M246" s="7">
        <f t="shared" si="3"/>
        <v>5800</v>
      </c>
      <c r="N246" s="4"/>
      <c r="O246" s="9"/>
    </row>
    <row r="247" spans="1:15" ht="20" customHeight="1" x14ac:dyDescent="0.2">
      <c r="A247" s="3">
        <v>243</v>
      </c>
      <c r="B247" s="19"/>
      <c r="C247" s="4" t="s">
        <v>4084</v>
      </c>
      <c r="D247" s="4" t="s">
        <v>42</v>
      </c>
      <c r="E247" s="4"/>
      <c r="F247" s="8"/>
      <c r="G247" s="8"/>
      <c r="H247" s="8"/>
      <c r="I247" s="8"/>
      <c r="J247" s="8"/>
      <c r="K247" s="8">
        <v>1</v>
      </c>
      <c r="L247" s="18">
        <v>3600</v>
      </c>
      <c r="M247" s="7">
        <f t="shared" si="3"/>
        <v>3600</v>
      </c>
      <c r="N247" s="4"/>
      <c r="O247" s="9"/>
    </row>
    <row r="248" spans="1:15" ht="20" customHeight="1" x14ac:dyDescent="0.2">
      <c r="A248" s="3">
        <v>244</v>
      </c>
      <c r="B248" s="19"/>
      <c r="C248" s="4" t="s">
        <v>4085</v>
      </c>
      <c r="D248" s="4" t="s">
        <v>42</v>
      </c>
      <c r="E248" s="4"/>
      <c r="F248" s="8"/>
      <c r="G248" s="8"/>
      <c r="H248" s="8"/>
      <c r="I248" s="8"/>
      <c r="J248" s="8"/>
      <c r="K248" s="8">
        <v>1</v>
      </c>
      <c r="L248" s="18">
        <v>3600</v>
      </c>
      <c r="M248" s="7">
        <f t="shared" si="3"/>
        <v>3600</v>
      </c>
      <c r="N248" s="4"/>
      <c r="O248" s="9"/>
    </row>
    <row r="249" spans="1:15" ht="20" customHeight="1" x14ac:dyDescent="0.2">
      <c r="A249" s="3">
        <v>245</v>
      </c>
      <c r="B249" s="19"/>
      <c r="C249" s="4" t="s">
        <v>4086</v>
      </c>
      <c r="D249" s="4" t="s">
        <v>42</v>
      </c>
      <c r="E249" s="4"/>
      <c r="F249" s="8"/>
      <c r="G249" s="8"/>
      <c r="H249" s="8"/>
      <c r="I249" s="8"/>
      <c r="J249" s="8"/>
      <c r="K249" s="8">
        <v>1</v>
      </c>
      <c r="L249" s="18">
        <v>19500</v>
      </c>
      <c r="M249" s="7">
        <f t="shared" si="3"/>
        <v>19500</v>
      </c>
      <c r="N249" s="4"/>
      <c r="O249" s="9"/>
    </row>
    <row r="250" spans="1:15" ht="20" customHeight="1" x14ac:dyDescent="0.2">
      <c r="A250" s="3">
        <v>246</v>
      </c>
      <c r="B250" s="19"/>
      <c r="C250" s="4" t="s">
        <v>4087</v>
      </c>
      <c r="D250" s="4" t="s">
        <v>42</v>
      </c>
      <c r="E250" s="4"/>
      <c r="F250" s="8"/>
      <c r="G250" s="8"/>
      <c r="H250" s="8"/>
      <c r="I250" s="8"/>
      <c r="J250" s="8"/>
      <c r="K250" s="8">
        <v>1</v>
      </c>
      <c r="L250" s="18">
        <v>1300</v>
      </c>
      <c r="M250" s="7">
        <f t="shared" si="3"/>
        <v>1300</v>
      </c>
      <c r="N250" s="4"/>
      <c r="O250" s="9"/>
    </row>
    <row r="251" spans="1:15" ht="20" customHeight="1" x14ac:dyDescent="0.2">
      <c r="A251" s="3">
        <v>247</v>
      </c>
      <c r="B251" s="19"/>
      <c r="C251" s="4" t="s">
        <v>4088</v>
      </c>
      <c r="D251" s="4" t="s">
        <v>42</v>
      </c>
      <c r="E251" s="4"/>
      <c r="F251" s="8"/>
      <c r="G251" s="8"/>
      <c r="H251" s="8"/>
      <c r="I251" s="8"/>
      <c r="J251" s="8"/>
      <c r="K251" s="8">
        <v>1</v>
      </c>
      <c r="L251" s="18">
        <v>1380</v>
      </c>
      <c r="M251" s="7">
        <f t="shared" si="3"/>
        <v>1380</v>
      </c>
      <c r="N251" s="4"/>
      <c r="O251" s="9"/>
    </row>
    <row r="252" spans="1:15" ht="20" customHeight="1" x14ac:dyDescent="0.2">
      <c r="A252" s="3">
        <v>248</v>
      </c>
      <c r="B252" s="19"/>
      <c r="C252" s="4" t="s">
        <v>4089</v>
      </c>
      <c r="D252" s="4" t="s">
        <v>42</v>
      </c>
      <c r="E252" s="4"/>
      <c r="F252" s="8"/>
      <c r="G252" s="8"/>
      <c r="H252" s="8"/>
      <c r="I252" s="8"/>
      <c r="J252" s="8"/>
      <c r="K252" s="8">
        <v>1</v>
      </c>
      <c r="L252" s="18">
        <v>24750</v>
      </c>
      <c r="M252" s="7">
        <f t="shared" si="3"/>
        <v>24750</v>
      </c>
      <c r="N252" s="4"/>
      <c r="O252" s="9"/>
    </row>
    <row r="253" spans="1:15" ht="20" customHeight="1" x14ac:dyDescent="0.2">
      <c r="A253" s="3">
        <v>249</v>
      </c>
      <c r="B253" s="19"/>
      <c r="C253" s="4" t="s">
        <v>4090</v>
      </c>
      <c r="D253" s="4" t="s">
        <v>42</v>
      </c>
      <c r="E253" s="4"/>
      <c r="F253" s="8"/>
      <c r="G253" s="8"/>
      <c r="H253" s="8"/>
      <c r="I253" s="8"/>
      <c r="J253" s="8"/>
      <c r="K253" s="8">
        <v>1</v>
      </c>
      <c r="L253" s="18">
        <v>27300</v>
      </c>
      <c r="M253" s="7">
        <f t="shared" si="3"/>
        <v>27300</v>
      </c>
      <c r="N253" s="4"/>
      <c r="O253" s="9"/>
    </row>
    <row r="254" spans="1:15" ht="20" customHeight="1" x14ac:dyDescent="0.2">
      <c r="A254" s="3">
        <v>250</v>
      </c>
      <c r="B254" s="19"/>
      <c r="C254" s="4" t="s">
        <v>4091</v>
      </c>
      <c r="D254" s="4" t="s">
        <v>42</v>
      </c>
      <c r="E254" s="4"/>
      <c r="F254" s="8"/>
      <c r="G254" s="8"/>
      <c r="H254" s="8"/>
      <c r="I254" s="8"/>
      <c r="J254" s="8"/>
      <c r="K254" s="8">
        <v>1</v>
      </c>
      <c r="L254" s="18">
        <v>2000</v>
      </c>
      <c r="M254" s="7">
        <f t="shared" si="3"/>
        <v>2000</v>
      </c>
      <c r="N254" s="4"/>
      <c r="O254" s="9"/>
    </row>
    <row r="255" spans="1:15" ht="20" customHeight="1" x14ac:dyDescent="0.2">
      <c r="A255" s="3">
        <v>251</v>
      </c>
      <c r="B255" s="19"/>
      <c r="C255" s="4" t="s">
        <v>4092</v>
      </c>
      <c r="D255" s="4" t="s">
        <v>42</v>
      </c>
      <c r="E255" s="4"/>
      <c r="F255" s="8"/>
      <c r="G255" s="8"/>
      <c r="H255" s="8"/>
      <c r="I255" s="8"/>
      <c r="J255" s="8"/>
      <c r="K255" s="8">
        <v>1</v>
      </c>
      <c r="L255" s="18">
        <v>39200</v>
      </c>
      <c r="M255" s="7">
        <f t="shared" si="3"/>
        <v>39200</v>
      </c>
      <c r="N255" s="4"/>
      <c r="O255" s="9"/>
    </row>
    <row r="256" spans="1:15" ht="20" customHeight="1" x14ac:dyDescent="0.2">
      <c r="A256" s="3">
        <v>252</v>
      </c>
      <c r="B256" s="19"/>
      <c r="C256" s="4" t="s">
        <v>4093</v>
      </c>
      <c r="D256" s="4" t="s">
        <v>42</v>
      </c>
      <c r="E256" s="4"/>
      <c r="F256" s="8"/>
      <c r="G256" s="8"/>
      <c r="H256" s="8"/>
      <c r="I256" s="8"/>
      <c r="J256" s="8"/>
      <c r="K256" s="8">
        <v>1</v>
      </c>
      <c r="L256" s="18">
        <v>6440</v>
      </c>
      <c r="M256" s="7">
        <f t="shared" si="3"/>
        <v>6440</v>
      </c>
      <c r="N256" s="4"/>
      <c r="O256" s="9"/>
    </row>
    <row r="257" spans="1:15" ht="20" customHeight="1" x14ac:dyDescent="0.2">
      <c r="A257" s="3">
        <v>253</v>
      </c>
      <c r="B257" s="19"/>
      <c r="C257" s="4" t="s">
        <v>4094</v>
      </c>
      <c r="D257" s="4" t="s">
        <v>42</v>
      </c>
      <c r="E257" s="4"/>
      <c r="F257" s="8"/>
      <c r="G257" s="8"/>
      <c r="H257" s="8"/>
      <c r="I257" s="8"/>
      <c r="J257" s="8"/>
      <c r="K257" s="8">
        <v>1</v>
      </c>
      <c r="L257" s="18">
        <v>1600</v>
      </c>
      <c r="M257" s="7">
        <f t="shared" si="3"/>
        <v>1600</v>
      </c>
      <c r="N257" s="4"/>
      <c r="O257" s="9"/>
    </row>
    <row r="258" spans="1:15" ht="20" customHeight="1" x14ac:dyDescent="0.2">
      <c r="A258" s="3">
        <v>254</v>
      </c>
      <c r="B258" s="19"/>
      <c r="C258" s="4" t="s">
        <v>4095</v>
      </c>
      <c r="D258" s="4" t="s">
        <v>42</v>
      </c>
      <c r="E258" s="4"/>
      <c r="F258" s="8"/>
      <c r="G258" s="8"/>
      <c r="H258" s="8"/>
      <c r="I258" s="8"/>
      <c r="J258" s="8"/>
      <c r="K258" s="8">
        <v>1</v>
      </c>
      <c r="L258" s="18">
        <v>1600</v>
      </c>
      <c r="M258" s="7">
        <f t="shared" si="3"/>
        <v>1600</v>
      </c>
      <c r="N258" s="4"/>
      <c r="O258" s="9"/>
    </row>
    <row r="259" spans="1:15" ht="20" customHeight="1" x14ac:dyDescent="0.2">
      <c r="A259" s="3">
        <v>255</v>
      </c>
      <c r="B259" s="19"/>
      <c r="C259" s="4" t="s">
        <v>4096</v>
      </c>
      <c r="D259" s="4" t="s">
        <v>42</v>
      </c>
      <c r="E259" s="4"/>
      <c r="F259" s="8"/>
      <c r="G259" s="8"/>
      <c r="H259" s="8"/>
      <c r="I259" s="8"/>
      <c r="J259" s="8"/>
      <c r="K259" s="8">
        <v>1</v>
      </c>
      <c r="L259" s="18">
        <v>1680</v>
      </c>
      <c r="M259" s="7">
        <f t="shared" si="3"/>
        <v>1680</v>
      </c>
      <c r="N259" s="4"/>
      <c r="O259" s="9"/>
    </row>
    <row r="260" spans="1:15" ht="20" customHeight="1" x14ac:dyDescent="0.2">
      <c r="A260" s="3">
        <v>256</v>
      </c>
      <c r="B260" s="19"/>
      <c r="C260" s="4" t="s">
        <v>4097</v>
      </c>
      <c r="D260" s="4" t="s">
        <v>42</v>
      </c>
      <c r="E260" s="4"/>
      <c r="F260" s="8"/>
      <c r="G260" s="8"/>
      <c r="H260" s="8"/>
      <c r="I260" s="8"/>
      <c r="J260" s="8"/>
      <c r="K260" s="8">
        <v>1</v>
      </c>
      <c r="L260" s="18">
        <v>1680</v>
      </c>
      <c r="M260" s="7">
        <f t="shared" si="3"/>
        <v>1680</v>
      </c>
      <c r="N260" s="4"/>
      <c r="O260" s="9"/>
    </row>
    <row r="261" spans="1:15" ht="20" customHeight="1" x14ac:dyDescent="0.2">
      <c r="A261" s="3">
        <v>257</v>
      </c>
      <c r="B261" s="19"/>
      <c r="C261" s="4" t="s">
        <v>4098</v>
      </c>
      <c r="D261" s="4" t="s">
        <v>42</v>
      </c>
      <c r="E261" s="4"/>
      <c r="F261" s="8"/>
      <c r="G261" s="8"/>
      <c r="H261" s="8"/>
      <c r="I261" s="8"/>
      <c r="J261" s="8"/>
      <c r="K261" s="8">
        <v>1</v>
      </c>
      <c r="L261" s="18">
        <v>8960</v>
      </c>
      <c r="M261" s="7">
        <f t="shared" ref="M261:M324" si="4">IF(OR(K261="",L261=""),"",K261*L261)</f>
        <v>8960</v>
      </c>
      <c r="N261" s="4"/>
      <c r="O261" s="9"/>
    </row>
    <row r="262" spans="1:15" ht="20" customHeight="1" x14ac:dyDescent="0.2">
      <c r="A262" s="3">
        <v>258</v>
      </c>
      <c r="B262" s="19"/>
      <c r="C262" s="4" t="s">
        <v>4099</v>
      </c>
      <c r="D262" s="4" t="s">
        <v>42</v>
      </c>
      <c r="E262" s="4"/>
      <c r="F262" s="8"/>
      <c r="G262" s="8"/>
      <c r="H262" s="8"/>
      <c r="I262" s="8"/>
      <c r="J262" s="8"/>
      <c r="K262" s="8">
        <v>1</v>
      </c>
      <c r="L262" s="18">
        <v>5500</v>
      </c>
      <c r="M262" s="7">
        <f t="shared" si="4"/>
        <v>5500</v>
      </c>
      <c r="N262" s="4"/>
      <c r="O262" s="9"/>
    </row>
    <row r="263" spans="1:15" ht="20" customHeight="1" x14ac:dyDescent="0.2">
      <c r="A263" s="3">
        <v>259</v>
      </c>
      <c r="B263" s="19"/>
      <c r="C263" s="4" t="s">
        <v>4100</v>
      </c>
      <c r="D263" s="4" t="s">
        <v>42</v>
      </c>
      <c r="E263" s="4"/>
      <c r="F263" s="8"/>
      <c r="G263" s="8"/>
      <c r="H263" s="8"/>
      <c r="I263" s="8"/>
      <c r="J263" s="8"/>
      <c r="K263" s="8">
        <v>1</v>
      </c>
      <c r="L263" s="18">
        <v>5500</v>
      </c>
      <c r="M263" s="7">
        <f t="shared" si="4"/>
        <v>5500</v>
      </c>
      <c r="N263" s="4"/>
      <c r="O263" s="9"/>
    </row>
    <row r="264" spans="1:15" ht="20" customHeight="1" x14ac:dyDescent="0.2">
      <c r="A264" s="3">
        <v>260</v>
      </c>
      <c r="B264" s="19"/>
      <c r="C264" s="4" t="s">
        <v>4101</v>
      </c>
      <c r="D264" s="4" t="s">
        <v>42</v>
      </c>
      <c r="E264" s="4"/>
      <c r="F264" s="8"/>
      <c r="G264" s="8"/>
      <c r="H264" s="8"/>
      <c r="I264" s="8"/>
      <c r="J264" s="8"/>
      <c r="K264" s="8">
        <v>1</v>
      </c>
      <c r="L264" s="18">
        <v>2400</v>
      </c>
      <c r="M264" s="7">
        <f t="shared" si="4"/>
        <v>2400</v>
      </c>
      <c r="N264" s="4"/>
      <c r="O264" s="9"/>
    </row>
    <row r="265" spans="1:15" ht="20" customHeight="1" x14ac:dyDescent="0.2">
      <c r="A265" s="3">
        <v>261</v>
      </c>
      <c r="B265" s="19"/>
      <c r="C265" s="4" t="s">
        <v>4102</v>
      </c>
      <c r="D265" s="4" t="s">
        <v>42</v>
      </c>
      <c r="E265" s="4"/>
      <c r="F265" s="8"/>
      <c r="G265" s="8"/>
      <c r="H265" s="8"/>
      <c r="I265" s="8"/>
      <c r="J265" s="8"/>
      <c r="K265" s="8">
        <v>1</v>
      </c>
      <c r="L265" s="18">
        <v>1200</v>
      </c>
      <c r="M265" s="7">
        <f t="shared" si="4"/>
        <v>1200</v>
      </c>
      <c r="N265" s="4"/>
      <c r="O265" s="9"/>
    </row>
    <row r="266" spans="1:15" ht="20" customHeight="1" x14ac:dyDescent="0.2">
      <c r="A266" s="3">
        <v>262</v>
      </c>
      <c r="B266" s="19"/>
      <c r="C266" s="4" t="s">
        <v>4103</v>
      </c>
      <c r="D266" s="4" t="s">
        <v>42</v>
      </c>
      <c r="E266" s="4"/>
      <c r="F266" s="8"/>
      <c r="G266" s="8"/>
      <c r="H266" s="8"/>
      <c r="I266" s="8"/>
      <c r="J266" s="8"/>
      <c r="K266" s="8">
        <v>1</v>
      </c>
      <c r="L266" s="18">
        <v>3920</v>
      </c>
      <c r="M266" s="7">
        <f t="shared" si="4"/>
        <v>3920</v>
      </c>
      <c r="N266" s="4"/>
      <c r="O266" s="9"/>
    </row>
    <row r="267" spans="1:15" ht="20" customHeight="1" x14ac:dyDescent="0.2">
      <c r="A267" s="3">
        <v>263</v>
      </c>
      <c r="B267" s="19"/>
      <c r="C267" s="4" t="s">
        <v>4104</v>
      </c>
      <c r="D267" s="4" t="s">
        <v>42</v>
      </c>
      <c r="E267" s="4"/>
      <c r="F267" s="8"/>
      <c r="G267" s="8"/>
      <c r="H267" s="8"/>
      <c r="I267" s="8"/>
      <c r="J267" s="8"/>
      <c r="K267" s="8">
        <v>1</v>
      </c>
      <c r="L267" s="18">
        <v>25200</v>
      </c>
      <c r="M267" s="7">
        <f t="shared" si="4"/>
        <v>25200</v>
      </c>
      <c r="N267" s="4"/>
      <c r="O267" s="9"/>
    </row>
    <row r="268" spans="1:15" ht="20" customHeight="1" x14ac:dyDescent="0.2">
      <c r="A268" s="3">
        <v>264</v>
      </c>
      <c r="B268" s="19"/>
      <c r="C268" s="4" t="s">
        <v>4105</v>
      </c>
      <c r="D268" s="4" t="s">
        <v>42</v>
      </c>
      <c r="E268" s="4"/>
      <c r="F268" s="8"/>
      <c r="G268" s="8"/>
      <c r="H268" s="8"/>
      <c r="I268" s="8"/>
      <c r="J268" s="8"/>
      <c r="K268" s="8">
        <v>1</v>
      </c>
      <c r="L268" s="18">
        <v>2300</v>
      </c>
      <c r="M268" s="7">
        <f t="shared" si="4"/>
        <v>2300</v>
      </c>
      <c r="N268" s="4"/>
      <c r="O268" s="9"/>
    </row>
    <row r="269" spans="1:15" ht="20" customHeight="1" x14ac:dyDescent="0.2">
      <c r="A269" s="3">
        <v>265</v>
      </c>
      <c r="B269" s="19"/>
      <c r="C269" s="4" t="s">
        <v>4106</v>
      </c>
      <c r="D269" s="4" t="s">
        <v>42</v>
      </c>
      <c r="E269" s="4"/>
      <c r="F269" s="8"/>
      <c r="G269" s="8"/>
      <c r="H269" s="8"/>
      <c r="I269" s="8"/>
      <c r="J269" s="8"/>
      <c r="K269" s="8">
        <v>1</v>
      </c>
      <c r="L269" s="18">
        <v>2464</v>
      </c>
      <c r="M269" s="7">
        <f t="shared" si="4"/>
        <v>2464</v>
      </c>
      <c r="N269" s="4"/>
      <c r="O269" s="9"/>
    </row>
    <row r="270" spans="1:15" ht="20" customHeight="1" x14ac:dyDescent="0.2">
      <c r="A270" s="3">
        <v>266</v>
      </c>
      <c r="B270" s="19"/>
      <c r="C270" s="4" t="s">
        <v>4107</v>
      </c>
      <c r="D270" s="4" t="s">
        <v>42</v>
      </c>
      <c r="E270" s="4"/>
      <c r="F270" s="8"/>
      <c r="G270" s="8"/>
      <c r="H270" s="8"/>
      <c r="I270" s="8"/>
      <c r="J270" s="8"/>
      <c r="K270" s="8">
        <v>1</v>
      </c>
      <c r="L270" s="18">
        <v>2464</v>
      </c>
      <c r="M270" s="7">
        <f t="shared" si="4"/>
        <v>2464</v>
      </c>
      <c r="N270" s="4"/>
      <c r="O270" s="9"/>
    </row>
    <row r="271" spans="1:15" ht="20" customHeight="1" x14ac:dyDescent="0.2">
      <c r="A271" s="3">
        <v>267</v>
      </c>
      <c r="B271" s="19"/>
      <c r="C271" s="4" t="s">
        <v>4108</v>
      </c>
      <c r="D271" s="4" t="s">
        <v>42</v>
      </c>
      <c r="E271" s="4"/>
      <c r="F271" s="8"/>
      <c r="G271" s="8"/>
      <c r="H271" s="8"/>
      <c r="I271" s="8"/>
      <c r="J271" s="8"/>
      <c r="K271" s="8">
        <v>1</v>
      </c>
      <c r="L271" s="18">
        <v>2464</v>
      </c>
      <c r="M271" s="7">
        <f t="shared" si="4"/>
        <v>2464</v>
      </c>
      <c r="N271" s="4"/>
      <c r="O271" s="9"/>
    </row>
    <row r="272" spans="1:15" ht="20" customHeight="1" x14ac:dyDescent="0.2">
      <c r="A272" s="3">
        <v>268</v>
      </c>
      <c r="B272" s="19"/>
      <c r="C272" s="4" t="s">
        <v>4109</v>
      </c>
      <c r="D272" s="4" t="s">
        <v>42</v>
      </c>
      <c r="E272" s="4"/>
      <c r="F272" s="8"/>
      <c r="G272" s="8"/>
      <c r="H272" s="8"/>
      <c r="I272" s="8"/>
      <c r="J272" s="8"/>
      <c r="K272" s="8">
        <v>1</v>
      </c>
      <c r="L272" s="18">
        <v>2464</v>
      </c>
      <c r="M272" s="7">
        <f t="shared" si="4"/>
        <v>2464</v>
      </c>
      <c r="N272" s="4"/>
      <c r="O272" s="9"/>
    </row>
    <row r="273" spans="1:15" ht="20" customHeight="1" x14ac:dyDescent="0.2">
      <c r="A273" s="3">
        <v>269</v>
      </c>
      <c r="B273" s="19"/>
      <c r="C273" s="4" t="s">
        <v>4110</v>
      </c>
      <c r="D273" s="4" t="s">
        <v>42</v>
      </c>
      <c r="E273" s="4"/>
      <c r="F273" s="8"/>
      <c r="G273" s="8"/>
      <c r="H273" s="8"/>
      <c r="I273" s="8"/>
      <c r="J273" s="8"/>
      <c r="K273" s="8">
        <v>1</v>
      </c>
      <c r="L273" s="18">
        <v>2464</v>
      </c>
      <c r="M273" s="7">
        <f t="shared" si="4"/>
        <v>2464</v>
      </c>
      <c r="N273" s="4"/>
      <c r="O273" s="9"/>
    </row>
    <row r="274" spans="1:15" ht="20" customHeight="1" x14ac:dyDescent="0.2">
      <c r="A274" s="3">
        <v>270</v>
      </c>
      <c r="B274" s="19"/>
      <c r="C274" s="4" t="s">
        <v>4111</v>
      </c>
      <c r="D274" s="4" t="s">
        <v>42</v>
      </c>
      <c r="E274" s="4"/>
      <c r="F274" s="8"/>
      <c r="G274" s="8"/>
      <c r="H274" s="8"/>
      <c r="I274" s="8"/>
      <c r="J274" s="8"/>
      <c r="K274" s="8">
        <v>1</v>
      </c>
      <c r="L274" s="18">
        <v>2464</v>
      </c>
      <c r="M274" s="7">
        <f t="shared" si="4"/>
        <v>2464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4112</v>
      </c>
      <c r="D275" s="4" t="s">
        <v>42</v>
      </c>
      <c r="E275" s="4"/>
      <c r="F275" s="8"/>
      <c r="G275" s="8"/>
      <c r="H275" s="8"/>
      <c r="I275" s="8"/>
      <c r="J275" s="8"/>
      <c r="K275" s="8">
        <v>1</v>
      </c>
      <c r="L275" s="18">
        <v>2464</v>
      </c>
      <c r="M275" s="7">
        <f t="shared" si="4"/>
        <v>2464</v>
      </c>
      <c r="N275" s="4"/>
      <c r="O275" s="9"/>
    </row>
    <row r="276" spans="1:15" ht="20" customHeight="1" x14ac:dyDescent="0.2">
      <c r="A276" s="3">
        <v>272</v>
      </c>
      <c r="B276" s="19"/>
      <c r="C276" s="4" t="s">
        <v>4113</v>
      </c>
      <c r="D276" s="4" t="s">
        <v>42</v>
      </c>
      <c r="E276" s="4"/>
      <c r="F276" s="8"/>
      <c r="G276" s="8"/>
      <c r="H276" s="8"/>
      <c r="I276" s="8"/>
      <c r="J276" s="8"/>
      <c r="K276" s="8">
        <v>1</v>
      </c>
      <c r="L276" s="18">
        <v>2464</v>
      </c>
      <c r="M276" s="7">
        <f t="shared" si="4"/>
        <v>2464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4114</v>
      </c>
      <c r="D277" s="4" t="s">
        <v>42</v>
      </c>
      <c r="E277" s="4"/>
      <c r="F277" s="8"/>
      <c r="G277" s="8"/>
      <c r="H277" s="8"/>
      <c r="I277" s="8"/>
      <c r="J277" s="8"/>
      <c r="K277" s="8">
        <v>1</v>
      </c>
      <c r="L277" s="18">
        <v>2464</v>
      </c>
      <c r="M277" s="7">
        <f t="shared" si="4"/>
        <v>2464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4115</v>
      </c>
      <c r="D278" s="4" t="s">
        <v>42</v>
      </c>
      <c r="E278" s="4"/>
      <c r="F278" s="8"/>
      <c r="G278" s="8"/>
      <c r="H278" s="8"/>
      <c r="I278" s="8"/>
      <c r="J278" s="8"/>
      <c r="K278" s="8">
        <v>1</v>
      </c>
      <c r="L278" s="18">
        <v>2464</v>
      </c>
      <c r="M278" s="7">
        <f t="shared" si="4"/>
        <v>2464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4116</v>
      </c>
      <c r="D279" s="4" t="s">
        <v>42</v>
      </c>
      <c r="E279" s="4"/>
      <c r="F279" s="8"/>
      <c r="G279" s="8"/>
      <c r="H279" s="8"/>
      <c r="I279" s="8"/>
      <c r="J279" s="8"/>
      <c r="K279" s="8">
        <v>1</v>
      </c>
      <c r="L279" s="18">
        <v>2464</v>
      </c>
      <c r="M279" s="7">
        <f t="shared" si="4"/>
        <v>2464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4117</v>
      </c>
      <c r="D280" s="4" t="s">
        <v>42</v>
      </c>
      <c r="E280" s="4"/>
      <c r="F280" s="8"/>
      <c r="G280" s="8"/>
      <c r="H280" s="8"/>
      <c r="I280" s="8"/>
      <c r="J280" s="8"/>
      <c r="K280" s="8">
        <v>1</v>
      </c>
      <c r="L280" s="18">
        <v>2464</v>
      </c>
      <c r="M280" s="7">
        <f t="shared" si="4"/>
        <v>2464</v>
      </c>
      <c r="N280" s="4"/>
      <c r="O280" s="9"/>
    </row>
    <row r="281" spans="1:15" ht="20" customHeight="1" x14ac:dyDescent="0.2">
      <c r="A281" s="3">
        <v>277</v>
      </c>
      <c r="B281" s="19"/>
      <c r="C281" s="4" t="s">
        <v>4118</v>
      </c>
      <c r="D281" s="4" t="s">
        <v>42</v>
      </c>
      <c r="E281" s="4"/>
      <c r="F281" s="8"/>
      <c r="G281" s="8"/>
      <c r="H281" s="8"/>
      <c r="I281" s="8"/>
      <c r="J281" s="8"/>
      <c r="K281" s="8">
        <v>1</v>
      </c>
      <c r="L281" s="18">
        <v>2464</v>
      </c>
      <c r="M281" s="7">
        <f t="shared" si="4"/>
        <v>2464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4119</v>
      </c>
      <c r="D282" s="4" t="s">
        <v>42</v>
      </c>
      <c r="E282" s="4"/>
      <c r="F282" s="8"/>
      <c r="G282" s="8"/>
      <c r="H282" s="8"/>
      <c r="I282" s="8"/>
      <c r="J282" s="8"/>
      <c r="K282" s="8">
        <v>1</v>
      </c>
      <c r="L282" s="18">
        <v>2464</v>
      </c>
      <c r="M282" s="7">
        <f t="shared" si="4"/>
        <v>2464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4120</v>
      </c>
      <c r="D283" s="4" t="s">
        <v>42</v>
      </c>
      <c r="E283" s="4"/>
      <c r="F283" s="8"/>
      <c r="G283" s="8"/>
      <c r="H283" s="8"/>
      <c r="I283" s="8"/>
      <c r="J283" s="8"/>
      <c r="K283" s="8">
        <v>1</v>
      </c>
      <c r="L283" s="18">
        <v>5296.5</v>
      </c>
      <c r="M283" s="7">
        <f t="shared" si="4"/>
        <v>5296.5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4121</v>
      </c>
      <c r="D284" s="4" t="s">
        <v>42</v>
      </c>
      <c r="E284" s="4"/>
      <c r="F284" s="8"/>
      <c r="G284" s="8"/>
      <c r="H284" s="8"/>
      <c r="I284" s="8"/>
      <c r="J284" s="8"/>
      <c r="K284" s="8">
        <v>1</v>
      </c>
      <c r="L284" s="18">
        <v>3400</v>
      </c>
      <c r="M284" s="7">
        <f t="shared" si="4"/>
        <v>3400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4122</v>
      </c>
      <c r="D285" s="4" t="s">
        <v>42</v>
      </c>
      <c r="E285" s="4"/>
      <c r="F285" s="8"/>
      <c r="G285" s="8"/>
      <c r="H285" s="8"/>
      <c r="I285" s="8"/>
      <c r="J285" s="8"/>
      <c r="K285" s="8">
        <v>1</v>
      </c>
      <c r="L285" s="18">
        <v>10300</v>
      </c>
      <c r="M285" s="7">
        <f t="shared" si="4"/>
        <v>10300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4123</v>
      </c>
      <c r="D286" s="4" t="s">
        <v>42</v>
      </c>
      <c r="E286" s="4"/>
      <c r="F286" s="8"/>
      <c r="G286" s="8"/>
      <c r="H286" s="8"/>
      <c r="I286" s="8"/>
      <c r="J286" s="8"/>
      <c r="K286" s="8">
        <v>1</v>
      </c>
      <c r="L286" s="18">
        <v>1780</v>
      </c>
      <c r="M286" s="7">
        <f t="shared" si="4"/>
        <v>1780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4124</v>
      </c>
      <c r="D287" s="4" t="s">
        <v>42</v>
      </c>
      <c r="E287" s="4"/>
      <c r="F287" s="8"/>
      <c r="G287" s="8"/>
      <c r="H287" s="8"/>
      <c r="I287" s="8"/>
      <c r="J287" s="8"/>
      <c r="K287" s="8">
        <v>1</v>
      </c>
      <c r="L287" s="18">
        <v>9000</v>
      </c>
      <c r="M287" s="7">
        <f t="shared" si="4"/>
        <v>9000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4125</v>
      </c>
      <c r="D288" s="4" t="s">
        <v>42</v>
      </c>
      <c r="E288" s="4"/>
      <c r="F288" s="8"/>
      <c r="G288" s="8"/>
      <c r="H288" s="8"/>
      <c r="I288" s="8"/>
      <c r="J288" s="8"/>
      <c r="K288" s="8">
        <v>1</v>
      </c>
      <c r="L288" s="18">
        <v>3000</v>
      </c>
      <c r="M288" s="7">
        <f t="shared" si="4"/>
        <v>3000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4126</v>
      </c>
      <c r="D289" s="4" t="s">
        <v>42</v>
      </c>
      <c r="E289" s="4"/>
      <c r="F289" s="8"/>
      <c r="G289" s="8"/>
      <c r="H289" s="8"/>
      <c r="I289" s="8"/>
      <c r="J289" s="8"/>
      <c r="K289" s="8">
        <v>1</v>
      </c>
      <c r="L289" s="18">
        <v>40000</v>
      </c>
      <c r="M289" s="7">
        <f t="shared" si="4"/>
        <v>40000</v>
      </c>
      <c r="N289" s="4"/>
      <c r="O289" s="9"/>
    </row>
    <row r="290" spans="1:15" ht="20" customHeight="1" x14ac:dyDescent="0.2">
      <c r="A290" s="3">
        <v>286</v>
      </c>
      <c r="B290" s="19"/>
      <c r="C290" s="4" t="s">
        <v>4127</v>
      </c>
      <c r="D290" s="4" t="s">
        <v>42</v>
      </c>
      <c r="E290" s="4"/>
      <c r="F290" s="8"/>
      <c r="G290" s="8"/>
      <c r="H290" s="8"/>
      <c r="I290" s="8"/>
      <c r="J290" s="8"/>
      <c r="K290" s="8">
        <v>0</v>
      </c>
      <c r="L290" s="18">
        <v>0</v>
      </c>
      <c r="M290" s="7">
        <f t="shared" si="4"/>
        <v>0</v>
      </c>
      <c r="N290" s="4"/>
      <c r="O290" s="9"/>
    </row>
    <row r="291" spans="1:15" ht="20" customHeight="1" x14ac:dyDescent="0.2">
      <c r="A291" s="3">
        <v>287</v>
      </c>
      <c r="B291" s="19"/>
      <c r="C291" s="4" t="s">
        <v>4128</v>
      </c>
      <c r="D291" s="4" t="s">
        <v>42</v>
      </c>
      <c r="E291" s="4"/>
      <c r="F291" s="8"/>
      <c r="G291" s="8"/>
      <c r="H291" s="8"/>
      <c r="I291" s="8"/>
      <c r="J291" s="8"/>
      <c r="K291" s="8">
        <v>0</v>
      </c>
      <c r="L291" s="18">
        <v>0</v>
      </c>
      <c r="M291" s="7">
        <f t="shared" si="4"/>
        <v>0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4129</v>
      </c>
      <c r="D292" s="4" t="s">
        <v>42</v>
      </c>
      <c r="E292" s="4"/>
      <c r="F292" s="8"/>
      <c r="G292" s="8"/>
      <c r="H292" s="8"/>
      <c r="I292" s="8"/>
      <c r="J292" s="8"/>
      <c r="K292" s="8">
        <v>0</v>
      </c>
      <c r="L292" s="18">
        <v>0</v>
      </c>
      <c r="M292" s="7">
        <f t="shared" si="4"/>
        <v>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4130</v>
      </c>
      <c r="D293" s="4" t="s">
        <v>42</v>
      </c>
      <c r="E293" s="4"/>
      <c r="F293" s="8"/>
      <c r="G293" s="8"/>
      <c r="H293" s="8"/>
      <c r="I293" s="8"/>
      <c r="J293" s="8"/>
      <c r="K293" s="8">
        <v>0</v>
      </c>
      <c r="L293" s="18">
        <v>0</v>
      </c>
      <c r="M293" s="7">
        <f t="shared" si="4"/>
        <v>0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4131</v>
      </c>
      <c r="D294" s="4" t="s">
        <v>42</v>
      </c>
      <c r="E294" s="4"/>
      <c r="F294" s="8"/>
      <c r="G294" s="8"/>
      <c r="H294" s="8"/>
      <c r="I294" s="8"/>
      <c r="J294" s="8"/>
      <c r="K294" s="8">
        <v>0</v>
      </c>
      <c r="L294" s="18">
        <v>0</v>
      </c>
      <c r="M294" s="7">
        <f t="shared" si="4"/>
        <v>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4132</v>
      </c>
      <c r="D295" s="4" t="s">
        <v>42</v>
      </c>
      <c r="E295" s="4"/>
      <c r="F295" s="8"/>
      <c r="G295" s="8"/>
      <c r="H295" s="8"/>
      <c r="I295" s="8"/>
      <c r="J295" s="8"/>
      <c r="K295" s="8">
        <v>1</v>
      </c>
      <c r="L295" s="18">
        <v>3200</v>
      </c>
      <c r="M295" s="7">
        <f t="shared" si="4"/>
        <v>3200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4133</v>
      </c>
      <c r="D296" s="4" t="s">
        <v>42</v>
      </c>
      <c r="E296" s="4"/>
      <c r="F296" s="8"/>
      <c r="G296" s="8"/>
      <c r="H296" s="8"/>
      <c r="I296" s="8"/>
      <c r="J296" s="8"/>
      <c r="K296" s="8">
        <v>1</v>
      </c>
      <c r="L296" s="18">
        <v>13020</v>
      </c>
      <c r="M296" s="7">
        <f t="shared" si="4"/>
        <v>13020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4134</v>
      </c>
      <c r="D297" s="4" t="s">
        <v>42</v>
      </c>
      <c r="E297" s="4"/>
      <c r="F297" s="8"/>
      <c r="G297" s="8"/>
      <c r="H297" s="8"/>
      <c r="I297" s="8"/>
      <c r="J297" s="8"/>
      <c r="K297" s="8">
        <v>1</v>
      </c>
      <c r="L297" s="18">
        <v>32400</v>
      </c>
      <c r="M297" s="7">
        <f t="shared" si="4"/>
        <v>32400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4135</v>
      </c>
      <c r="D298" s="4" t="s">
        <v>42</v>
      </c>
      <c r="E298" s="4"/>
      <c r="F298" s="8"/>
      <c r="G298" s="8"/>
      <c r="H298" s="8"/>
      <c r="I298" s="8"/>
      <c r="J298" s="8"/>
      <c r="K298" s="8">
        <v>1</v>
      </c>
      <c r="L298" s="18">
        <v>4600</v>
      </c>
      <c r="M298" s="7">
        <f t="shared" si="4"/>
        <v>4600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4136</v>
      </c>
      <c r="D299" s="4" t="s">
        <v>42</v>
      </c>
      <c r="E299" s="4"/>
      <c r="F299" s="8"/>
      <c r="G299" s="8"/>
      <c r="H299" s="8"/>
      <c r="I299" s="8"/>
      <c r="J299" s="8"/>
      <c r="K299" s="8">
        <v>1</v>
      </c>
      <c r="L299" s="18">
        <v>5550</v>
      </c>
      <c r="M299" s="7">
        <f t="shared" si="4"/>
        <v>5550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4137</v>
      </c>
      <c r="D300" s="4" t="s">
        <v>42</v>
      </c>
      <c r="E300" s="4"/>
      <c r="F300" s="8"/>
      <c r="G300" s="8"/>
      <c r="H300" s="8"/>
      <c r="I300" s="8"/>
      <c r="J300" s="8"/>
      <c r="K300" s="8">
        <v>1</v>
      </c>
      <c r="L300" s="18">
        <v>4950</v>
      </c>
      <c r="M300" s="7">
        <f t="shared" si="4"/>
        <v>4950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4138</v>
      </c>
      <c r="D301" s="4" t="s">
        <v>42</v>
      </c>
      <c r="E301" s="4"/>
      <c r="F301" s="8"/>
      <c r="G301" s="8"/>
      <c r="H301" s="8"/>
      <c r="I301" s="8"/>
      <c r="J301" s="8"/>
      <c r="K301" s="8">
        <v>1</v>
      </c>
      <c r="L301" s="18">
        <v>26500</v>
      </c>
      <c r="M301" s="7">
        <f t="shared" si="4"/>
        <v>26500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4139</v>
      </c>
      <c r="D302" s="4" t="s">
        <v>42</v>
      </c>
      <c r="E302" s="4"/>
      <c r="F302" s="8"/>
      <c r="G302" s="8"/>
      <c r="H302" s="8"/>
      <c r="I302" s="8"/>
      <c r="J302" s="8"/>
      <c r="K302" s="8">
        <v>1</v>
      </c>
      <c r="L302" s="18">
        <v>2300</v>
      </c>
      <c r="M302" s="7">
        <f t="shared" si="4"/>
        <v>2300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4140</v>
      </c>
      <c r="D303" s="4" t="s">
        <v>42</v>
      </c>
      <c r="E303" s="4"/>
      <c r="F303" s="8"/>
      <c r="G303" s="8"/>
      <c r="H303" s="8"/>
      <c r="I303" s="8"/>
      <c r="J303" s="8"/>
      <c r="K303" s="8">
        <v>1</v>
      </c>
      <c r="L303" s="18">
        <v>4100</v>
      </c>
      <c r="M303" s="7">
        <f t="shared" si="4"/>
        <v>4100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4141</v>
      </c>
      <c r="D304" s="4" t="s">
        <v>42</v>
      </c>
      <c r="E304" s="4"/>
      <c r="F304" s="8"/>
      <c r="G304" s="8"/>
      <c r="H304" s="8"/>
      <c r="I304" s="8"/>
      <c r="J304" s="8"/>
      <c r="K304" s="8">
        <v>1</v>
      </c>
      <c r="L304" s="18">
        <v>2400</v>
      </c>
      <c r="M304" s="7">
        <f t="shared" si="4"/>
        <v>2400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4142</v>
      </c>
      <c r="D305" s="4" t="s">
        <v>42</v>
      </c>
      <c r="E305" s="4"/>
      <c r="F305" s="8"/>
      <c r="G305" s="8"/>
      <c r="H305" s="8"/>
      <c r="I305" s="8"/>
      <c r="J305" s="8"/>
      <c r="K305" s="8">
        <v>1</v>
      </c>
      <c r="L305" s="18">
        <v>2750</v>
      </c>
      <c r="M305" s="7">
        <f t="shared" si="4"/>
        <v>2750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4143</v>
      </c>
      <c r="D306" s="4" t="s">
        <v>42</v>
      </c>
      <c r="E306" s="4"/>
      <c r="F306" s="8"/>
      <c r="G306" s="8"/>
      <c r="H306" s="8"/>
      <c r="I306" s="8"/>
      <c r="J306" s="8"/>
      <c r="K306" s="8">
        <v>1</v>
      </c>
      <c r="L306" s="18">
        <v>6150</v>
      </c>
      <c r="M306" s="7">
        <f t="shared" si="4"/>
        <v>6150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4144</v>
      </c>
      <c r="D307" s="4" t="s">
        <v>42</v>
      </c>
      <c r="E307" s="4"/>
      <c r="F307" s="8"/>
      <c r="G307" s="8"/>
      <c r="H307" s="8"/>
      <c r="I307" s="8"/>
      <c r="J307" s="8"/>
      <c r="K307" s="8">
        <v>0</v>
      </c>
      <c r="L307" s="18">
        <v>0</v>
      </c>
      <c r="M307" s="7">
        <f t="shared" si="4"/>
        <v>0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4145</v>
      </c>
      <c r="D308" s="4" t="s">
        <v>42</v>
      </c>
      <c r="E308" s="4"/>
      <c r="F308" s="8"/>
      <c r="G308" s="8"/>
      <c r="H308" s="8"/>
      <c r="I308" s="8"/>
      <c r="J308" s="8"/>
      <c r="K308" s="8">
        <v>1</v>
      </c>
      <c r="L308" s="18">
        <v>17800</v>
      </c>
      <c r="M308" s="7">
        <f t="shared" si="4"/>
        <v>17800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4146</v>
      </c>
      <c r="D309" s="4" t="s">
        <v>42</v>
      </c>
      <c r="E309" s="4"/>
      <c r="F309" s="8"/>
      <c r="G309" s="8"/>
      <c r="H309" s="8"/>
      <c r="I309" s="8"/>
      <c r="J309" s="8"/>
      <c r="K309" s="8">
        <v>1</v>
      </c>
      <c r="L309" s="18">
        <v>12100</v>
      </c>
      <c r="M309" s="7">
        <f t="shared" si="4"/>
        <v>12100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4147</v>
      </c>
      <c r="D310" s="4" t="s">
        <v>42</v>
      </c>
      <c r="E310" s="4"/>
      <c r="F310" s="8"/>
      <c r="G310" s="8"/>
      <c r="H310" s="8"/>
      <c r="I310" s="8"/>
      <c r="J310" s="8"/>
      <c r="K310" s="8">
        <v>1</v>
      </c>
      <c r="L310" s="18">
        <v>5880</v>
      </c>
      <c r="M310" s="7">
        <f t="shared" si="4"/>
        <v>5880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4148</v>
      </c>
      <c r="D311" s="4" t="s">
        <v>42</v>
      </c>
      <c r="E311" s="4"/>
      <c r="F311" s="8"/>
      <c r="G311" s="8"/>
      <c r="H311" s="8"/>
      <c r="I311" s="8"/>
      <c r="J311" s="8"/>
      <c r="K311" s="8">
        <v>1</v>
      </c>
      <c r="L311" s="18">
        <v>5550</v>
      </c>
      <c r="M311" s="7">
        <f t="shared" si="4"/>
        <v>5550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4149</v>
      </c>
      <c r="D312" s="4" t="s">
        <v>42</v>
      </c>
      <c r="E312" s="4"/>
      <c r="F312" s="8"/>
      <c r="G312" s="8"/>
      <c r="H312" s="8"/>
      <c r="I312" s="8"/>
      <c r="J312" s="8"/>
      <c r="K312" s="8">
        <v>1</v>
      </c>
      <c r="L312" s="18">
        <v>3700</v>
      </c>
      <c r="M312" s="7">
        <f t="shared" si="4"/>
        <v>3700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4150</v>
      </c>
      <c r="D313" s="4" t="s">
        <v>42</v>
      </c>
      <c r="E313" s="4"/>
      <c r="F313" s="8"/>
      <c r="G313" s="8"/>
      <c r="H313" s="8"/>
      <c r="I313" s="8"/>
      <c r="J313" s="8"/>
      <c r="K313" s="8">
        <v>1</v>
      </c>
      <c r="L313" s="18">
        <v>3700</v>
      </c>
      <c r="M313" s="7">
        <f t="shared" si="4"/>
        <v>3700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4151</v>
      </c>
      <c r="D314" s="4" t="s">
        <v>42</v>
      </c>
      <c r="E314" s="4"/>
      <c r="F314" s="8"/>
      <c r="G314" s="8"/>
      <c r="H314" s="8"/>
      <c r="I314" s="8"/>
      <c r="J314" s="8"/>
      <c r="K314" s="8">
        <v>1</v>
      </c>
      <c r="L314" s="18">
        <v>35750</v>
      </c>
      <c r="M314" s="7">
        <f t="shared" si="4"/>
        <v>35750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4152</v>
      </c>
      <c r="D315" s="4" t="s">
        <v>42</v>
      </c>
      <c r="E315" s="4"/>
      <c r="F315" s="8"/>
      <c r="G315" s="8"/>
      <c r="H315" s="8"/>
      <c r="I315" s="8"/>
      <c r="J315" s="8"/>
      <c r="K315" s="8">
        <v>1</v>
      </c>
      <c r="L315" s="18">
        <v>2200</v>
      </c>
      <c r="M315" s="7">
        <f t="shared" si="4"/>
        <v>2200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4153</v>
      </c>
      <c r="D316" s="4" t="s">
        <v>42</v>
      </c>
      <c r="E316" s="4"/>
      <c r="F316" s="8"/>
      <c r="G316" s="8"/>
      <c r="H316" s="8"/>
      <c r="I316" s="8"/>
      <c r="J316" s="8"/>
      <c r="K316" s="8">
        <v>1</v>
      </c>
      <c r="L316" s="18">
        <v>3500</v>
      </c>
      <c r="M316" s="7">
        <f t="shared" si="4"/>
        <v>3500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4154</v>
      </c>
      <c r="D317" s="4" t="s">
        <v>42</v>
      </c>
      <c r="E317" s="4"/>
      <c r="F317" s="8"/>
      <c r="G317" s="8"/>
      <c r="H317" s="8"/>
      <c r="I317" s="8"/>
      <c r="J317" s="8"/>
      <c r="K317" s="8">
        <v>1</v>
      </c>
      <c r="L317" s="18">
        <v>2200</v>
      </c>
      <c r="M317" s="7">
        <f t="shared" si="4"/>
        <v>2200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4155</v>
      </c>
      <c r="D318" s="4" t="s">
        <v>42</v>
      </c>
      <c r="E318" s="4"/>
      <c r="F318" s="8"/>
      <c r="G318" s="8"/>
      <c r="H318" s="8"/>
      <c r="I318" s="8"/>
      <c r="J318" s="8"/>
      <c r="K318" s="8">
        <v>1</v>
      </c>
      <c r="L318" s="18">
        <v>4260</v>
      </c>
      <c r="M318" s="7">
        <f t="shared" si="4"/>
        <v>4260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4156</v>
      </c>
      <c r="D319" s="4" t="s">
        <v>42</v>
      </c>
      <c r="E319" s="4"/>
      <c r="F319" s="8"/>
      <c r="G319" s="8"/>
      <c r="H319" s="8"/>
      <c r="I319" s="8"/>
      <c r="J319" s="8"/>
      <c r="K319" s="8">
        <v>1</v>
      </c>
      <c r="L319" s="18">
        <v>3010</v>
      </c>
      <c r="M319" s="7">
        <f t="shared" si="4"/>
        <v>3010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4157</v>
      </c>
      <c r="D320" s="4" t="s">
        <v>42</v>
      </c>
      <c r="E320" s="4"/>
      <c r="F320" s="8"/>
      <c r="G320" s="8"/>
      <c r="H320" s="8"/>
      <c r="I320" s="8"/>
      <c r="J320" s="8"/>
      <c r="K320" s="8">
        <v>1</v>
      </c>
      <c r="L320" s="18">
        <v>1800</v>
      </c>
      <c r="M320" s="7">
        <f t="shared" si="4"/>
        <v>1800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4158</v>
      </c>
      <c r="D321" s="4" t="s">
        <v>42</v>
      </c>
      <c r="E321" s="4"/>
      <c r="F321" s="8"/>
      <c r="G321" s="8"/>
      <c r="H321" s="8"/>
      <c r="I321" s="8"/>
      <c r="J321" s="8"/>
      <c r="K321" s="8">
        <v>1</v>
      </c>
      <c r="L321" s="18">
        <v>3800</v>
      </c>
      <c r="M321" s="7">
        <f t="shared" si="4"/>
        <v>3800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4159</v>
      </c>
      <c r="D322" s="4" t="s">
        <v>42</v>
      </c>
      <c r="E322" s="4"/>
      <c r="F322" s="8"/>
      <c r="G322" s="8"/>
      <c r="H322" s="8"/>
      <c r="I322" s="8"/>
      <c r="J322" s="8"/>
      <c r="K322" s="8">
        <v>1</v>
      </c>
      <c r="L322" s="18">
        <v>2000</v>
      </c>
      <c r="M322" s="7">
        <f t="shared" si="4"/>
        <v>2000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4160</v>
      </c>
      <c r="D323" s="4" t="s">
        <v>42</v>
      </c>
      <c r="E323" s="4"/>
      <c r="F323" s="8"/>
      <c r="G323" s="8"/>
      <c r="H323" s="8"/>
      <c r="I323" s="8"/>
      <c r="J323" s="8"/>
      <c r="K323" s="8">
        <v>1</v>
      </c>
      <c r="L323" s="18">
        <v>4900</v>
      </c>
      <c r="M323" s="7">
        <f t="shared" si="4"/>
        <v>4900</v>
      </c>
      <c r="N323" s="4"/>
      <c r="O323" s="9"/>
    </row>
    <row r="324" spans="1:15" ht="20" customHeight="1" x14ac:dyDescent="0.2">
      <c r="A324" s="3">
        <v>320</v>
      </c>
      <c r="B324" s="19"/>
      <c r="C324" s="4" t="s">
        <v>4161</v>
      </c>
      <c r="D324" s="4" t="s">
        <v>42</v>
      </c>
      <c r="E324" s="4"/>
      <c r="F324" s="8"/>
      <c r="G324" s="8"/>
      <c r="H324" s="8"/>
      <c r="I324" s="8"/>
      <c r="J324" s="8"/>
      <c r="K324" s="8">
        <v>1</v>
      </c>
      <c r="L324" s="18">
        <v>2800</v>
      </c>
      <c r="M324" s="7">
        <f t="shared" si="4"/>
        <v>2800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4162</v>
      </c>
      <c r="D325" s="4" t="s">
        <v>42</v>
      </c>
      <c r="E325" s="4"/>
      <c r="F325" s="8"/>
      <c r="G325" s="8"/>
      <c r="H325" s="8"/>
      <c r="I325" s="8"/>
      <c r="J325" s="8"/>
      <c r="K325" s="8">
        <v>1</v>
      </c>
      <c r="L325" s="18">
        <v>8900</v>
      </c>
      <c r="M325" s="7">
        <f t="shared" ref="M325:M388" si="5">IF(OR(K325="",L325=""),"",K325*L325)</f>
        <v>8900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4163</v>
      </c>
      <c r="D326" s="4" t="s">
        <v>42</v>
      </c>
      <c r="E326" s="4"/>
      <c r="F326" s="8"/>
      <c r="G326" s="8"/>
      <c r="H326" s="8"/>
      <c r="I326" s="8"/>
      <c r="J326" s="8"/>
      <c r="K326" s="8">
        <v>1</v>
      </c>
      <c r="L326" s="18">
        <v>8900</v>
      </c>
      <c r="M326" s="7">
        <f t="shared" si="5"/>
        <v>8900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4164</v>
      </c>
      <c r="D327" s="4" t="s">
        <v>42</v>
      </c>
      <c r="E327" s="4"/>
      <c r="F327" s="8"/>
      <c r="G327" s="8"/>
      <c r="H327" s="8"/>
      <c r="I327" s="8"/>
      <c r="J327" s="8"/>
      <c r="K327" s="8">
        <v>1</v>
      </c>
      <c r="L327" s="18">
        <v>8900</v>
      </c>
      <c r="M327" s="7">
        <f t="shared" si="5"/>
        <v>8900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4165</v>
      </c>
      <c r="D328" s="4" t="s">
        <v>42</v>
      </c>
      <c r="E328" s="4"/>
      <c r="F328" s="8"/>
      <c r="G328" s="8"/>
      <c r="H328" s="8"/>
      <c r="I328" s="8"/>
      <c r="J328" s="8"/>
      <c r="K328" s="8">
        <v>1</v>
      </c>
      <c r="L328" s="18">
        <v>8900</v>
      </c>
      <c r="M328" s="7">
        <f t="shared" si="5"/>
        <v>8900</v>
      </c>
      <c r="N328" s="4"/>
      <c r="O328" s="9"/>
    </row>
    <row r="329" spans="1:15" ht="20" customHeight="1" x14ac:dyDescent="0.2">
      <c r="A329" s="3">
        <v>325</v>
      </c>
      <c r="B329" s="19"/>
      <c r="C329" s="4" t="s">
        <v>4166</v>
      </c>
      <c r="D329" s="4" t="s">
        <v>42</v>
      </c>
      <c r="E329" s="4"/>
      <c r="F329" s="8"/>
      <c r="G329" s="8"/>
      <c r="H329" s="8"/>
      <c r="I329" s="8"/>
      <c r="J329" s="8"/>
      <c r="K329" s="8">
        <v>1</v>
      </c>
      <c r="L329" s="18">
        <v>8900</v>
      </c>
      <c r="M329" s="7">
        <f t="shared" si="5"/>
        <v>8900</v>
      </c>
      <c r="N329" s="4"/>
      <c r="O329" s="9"/>
    </row>
    <row r="330" spans="1:15" ht="20" customHeight="1" x14ac:dyDescent="0.2">
      <c r="A330" s="3">
        <v>326</v>
      </c>
      <c r="B330" s="19"/>
      <c r="C330" s="4" t="s">
        <v>4167</v>
      </c>
      <c r="D330" s="4" t="s">
        <v>42</v>
      </c>
      <c r="E330" s="4"/>
      <c r="F330" s="8"/>
      <c r="G330" s="8"/>
      <c r="H330" s="8"/>
      <c r="I330" s="8"/>
      <c r="J330" s="8"/>
      <c r="K330" s="8">
        <v>1</v>
      </c>
      <c r="L330" s="18">
        <v>8900</v>
      </c>
      <c r="M330" s="7">
        <f t="shared" si="5"/>
        <v>8900</v>
      </c>
      <c r="N330" s="4"/>
      <c r="O330" s="9"/>
    </row>
    <row r="331" spans="1:15" ht="20" customHeight="1" x14ac:dyDescent="0.2">
      <c r="A331" s="3">
        <v>327</v>
      </c>
      <c r="B331" s="19"/>
      <c r="C331" s="4" t="s">
        <v>4168</v>
      </c>
      <c r="D331" s="4" t="s">
        <v>42</v>
      </c>
      <c r="E331" s="4"/>
      <c r="F331" s="8"/>
      <c r="G331" s="8"/>
      <c r="H331" s="8"/>
      <c r="I331" s="8"/>
      <c r="J331" s="8"/>
      <c r="K331" s="8">
        <v>1</v>
      </c>
      <c r="L331" s="18">
        <v>7750</v>
      </c>
      <c r="M331" s="7">
        <f t="shared" si="5"/>
        <v>7750</v>
      </c>
      <c r="N331" s="4"/>
      <c r="O331" s="9"/>
    </row>
    <row r="332" spans="1:15" ht="20" customHeight="1" x14ac:dyDescent="0.2">
      <c r="A332" s="3">
        <v>328</v>
      </c>
      <c r="B332" s="19"/>
      <c r="C332" s="4" t="s">
        <v>4169</v>
      </c>
      <c r="D332" s="4" t="s">
        <v>42</v>
      </c>
      <c r="E332" s="4"/>
      <c r="F332" s="8"/>
      <c r="G332" s="8"/>
      <c r="H332" s="8"/>
      <c r="I332" s="8"/>
      <c r="J332" s="8"/>
      <c r="K332" s="8">
        <v>1</v>
      </c>
      <c r="L332" s="18">
        <v>16800</v>
      </c>
      <c r="M332" s="7">
        <f t="shared" si="5"/>
        <v>16800</v>
      </c>
      <c r="N332" s="4"/>
      <c r="O332" s="9"/>
    </row>
    <row r="333" spans="1:15" ht="20" customHeight="1" x14ac:dyDescent="0.2">
      <c r="A333" s="3">
        <v>329</v>
      </c>
      <c r="B333" s="19"/>
      <c r="C333" s="4" t="s">
        <v>4170</v>
      </c>
      <c r="D333" s="4" t="s">
        <v>42</v>
      </c>
      <c r="E333" s="4"/>
      <c r="F333" s="8"/>
      <c r="G333" s="8"/>
      <c r="H333" s="8"/>
      <c r="I333" s="8"/>
      <c r="J333" s="8"/>
      <c r="K333" s="8">
        <v>1</v>
      </c>
      <c r="L333" s="18">
        <v>11100</v>
      </c>
      <c r="M333" s="7">
        <f t="shared" si="5"/>
        <v>11100</v>
      </c>
      <c r="N333" s="4"/>
      <c r="O333" s="9"/>
    </row>
    <row r="334" spans="1:15" ht="20" customHeight="1" x14ac:dyDescent="0.2">
      <c r="A334" s="3">
        <v>330</v>
      </c>
      <c r="B334" s="19"/>
      <c r="C334" s="4" t="s">
        <v>4171</v>
      </c>
      <c r="D334" s="4" t="s">
        <v>42</v>
      </c>
      <c r="E334" s="4"/>
      <c r="F334" s="8"/>
      <c r="G334" s="8"/>
      <c r="H334" s="8"/>
      <c r="I334" s="8"/>
      <c r="J334" s="8"/>
      <c r="K334" s="8">
        <v>0</v>
      </c>
      <c r="L334" s="18">
        <v>0</v>
      </c>
      <c r="M334" s="7">
        <f t="shared" si="5"/>
        <v>0</v>
      </c>
      <c r="N334" s="4"/>
      <c r="O334" s="9"/>
    </row>
    <row r="335" spans="1:15" ht="20" customHeight="1" x14ac:dyDescent="0.2">
      <c r="A335" s="3">
        <v>331</v>
      </c>
      <c r="B335" s="19"/>
      <c r="C335" s="4" t="s">
        <v>4172</v>
      </c>
      <c r="D335" s="4" t="s">
        <v>42</v>
      </c>
      <c r="E335" s="4"/>
      <c r="F335" s="8"/>
      <c r="G335" s="8"/>
      <c r="H335" s="8"/>
      <c r="I335" s="8"/>
      <c r="J335" s="8"/>
      <c r="K335" s="8">
        <v>0</v>
      </c>
      <c r="L335" s="18">
        <v>0</v>
      </c>
      <c r="M335" s="7">
        <f t="shared" si="5"/>
        <v>0</v>
      </c>
      <c r="N335" s="4"/>
      <c r="O335" s="9"/>
    </row>
    <row r="336" spans="1:15" ht="20" customHeight="1" x14ac:dyDescent="0.2">
      <c r="A336" s="3">
        <v>332</v>
      </c>
      <c r="B336" s="19"/>
      <c r="C336" s="4" t="s">
        <v>4173</v>
      </c>
      <c r="D336" s="4" t="s">
        <v>42</v>
      </c>
      <c r="E336" s="4"/>
      <c r="F336" s="8"/>
      <c r="G336" s="8"/>
      <c r="H336" s="8"/>
      <c r="I336" s="8"/>
      <c r="J336" s="8"/>
      <c r="K336" s="8">
        <v>1</v>
      </c>
      <c r="L336" s="18">
        <v>6500</v>
      </c>
      <c r="M336" s="7">
        <f t="shared" si="5"/>
        <v>6500</v>
      </c>
      <c r="N336" s="4"/>
      <c r="O336" s="9"/>
    </row>
    <row r="337" spans="1:15" ht="20" customHeight="1" x14ac:dyDescent="0.2">
      <c r="A337" s="3">
        <v>333</v>
      </c>
      <c r="B337" s="19"/>
      <c r="C337" s="4" t="s">
        <v>4174</v>
      </c>
      <c r="D337" s="4" t="s">
        <v>42</v>
      </c>
      <c r="E337" s="4"/>
      <c r="F337" s="8"/>
      <c r="G337" s="8"/>
      <c r="H337" s="8"/>
      <c r="I337" s="8"/>
      <c r="J337" s="8"/>
      <c r="K337" s="8">
        <v>1</v>
      </c>
      <c r="L337" s="18">
        <v>15000</v>
      </c>
      <c r="M337" s="7">
        <f t="shared" si="5"/>
        <v>15000</v>
      </c>
      <c r="N337" s="4"/>
      <c r="O337" s="9"/>
    </row>
    <row r="338" spans="1:15" ht="20" customHeight="1" x14ac:dyDescent="0.2">
      <c r="A338" s="3">
        <v>334</v>
      </c>
      <c r="B338" s="19"/>
      <c r="C338" s="4" t="s">
        <v>4175</v>
      </c>
      <c r="D338" s="4" t="s">
        <v>42</v>
      </c>
      <c r="E338" s="4"/>
      <c r="F338" s="8"/>
      <c r="G338" s="8"/>
      <c r="H338" s="8"/>
      <c r="I338" s="8"/>
      <c r="J338" s="8"/>
      <c r="K338" s="8">
        <v>1</v>
      </c>
      <c r="L338" s="18">
        <v>16000</v>
      </c>
      <c r="M338" s="7">
        <f t="shared" si="5"/>
        <v>16000</v>
      </c>
      <c r="N338" s="4"/>
      <c r="O338" s="9"/>
    </row>
    <row r="339" spans="1:15" ht="20" customHeight="1" x14ac:dyDescent="0.2">
      <c r="A339" s="3">
        <v>335</v>
      </c>
      <c r="B339" s="19"/>
      <c r="C339" s="4" t="s">
        <v>4176</v>
      </c>
      <c r="D339" s="4" t="s">
        <v>42</v>
      </c>
      <c r="E339" s="4"/>
      <c r="F339" s="8"/>
      <c r="G339" s="8"/>
      <c r="H339" s="8"/>
      <c r="I339" s="8"/>
      <c r="J339" s="8"/>
      <c r="K339" s="8">
        <v>0</v>
      </c>
      <c r="L339" s="18">
        <v>0</v>
      </c>
      <c r="M339" s="7">
        <f t="shared" si="5"/>
        <v>0</v>
      </c>
      <c r="N339" s="4"/>
      <c r="O339" s="9"/>
    </row>
    <row r="340" spans="1:15" ht="20" customHeight="1" x14ac:dyDescent="0.2">
      <c r="A340" s="3">
        <v>336</v>
      </c>
      <c r="B340" s="19"/>
      <c r="C340" s="4" t="s">
        <v>4177</v>
      </c>
      <c r="D340" s="4" t="s">
        <v>42</v>
      </c>
      <c r="E340" s="4"/>
      <c r="F340" s="8"/>
      <c r="G340" s="8"/>
      <c r="H340" s="8"/>
      <c r="I340" s="8"/>
      <c r="J340" s="8"/>
      <c r="K340" s="8">
        <v>0</v>
      </c>
      <c r="L340" s="18">
        <v>0</v>
      </c>
      <c r="M340" s="7">
        <f t="shared" si="5"/>
        <v>0</v>
      </c>
      <c r="N340" s="4"/>
      <c r="O340" s="9"/>
    </row>
    <row r="341" spans="1:15" ht="20" customHeight="1" x14ac:dyDescent="0.2">
      <c r="A341" s="3">
        <v>337</v>
      </c>
      <c r="B341" s="19"/>
      <c r="C341" s="4" t="s">
        <v>4178</v>
      </c>
      <c r="D341" s="4" t="s">
        <v>42</v>
      </c>
      <c r="E341" s="4"/>
      <c r="F341" s="8"/>
      <c r="G341" s="8"/>
      <c r="H341" s="8"/>
      <c r="I341" s="8"/>
      <c r="J341" s="8"/>
      <c r="K341" s="8">
        <v>1</v>
      </c>
      <c r="L341" s="18">
        <v>3100</v>
      </c>
      <c r="M341" s="7">
        <f t="shared" si="5"/>
        <v>3100</v>
      </c>
      <c r="N341" s="4"/>
      <c r="O341" s="9"/>
    </row>
    <row r="342" spans="1:15" ht="20" customHeight="1" x14ac:dyDescent="0.2">
      <c r="A342" s="3">
        <v>338</v>
      </c>
      <c r="B342" s="19"/>
      <c r="C342" s="4" t="s">
        <v>4179</v>
      </c>
      <c r="D342" s="4" t="s">
        <v>42</v>
      </c>
      <c r="E342" s="4"/>
      <c r="F342" s="8"/>
      <c r="G342" s="8"/>
      <c r="H342" s="8"/>
      <c r="I342" s="8"/>
      <c r="J342" s="8"/>
      <c r="K342" s="8">
        <v>1</v>
      </c>
      <c r="L342" s="18">
        <v>5600</v>
      </c>
      <c r="M342" s="7">
        <f t="shared" si="5"/>
        <v>5600</v>
      </c>
      <c r="N342" s="4"/>
      <c r="O342" s="9"/>
    </row>
    <row r="343" spans="1:15" ht="20" customHeight="1" x14ac:dyDescent="0.2">
      <c r="A343" s="3">
        <v>339</v>
      </c>
      <c r="B343" s="19"/>
      <c r="C343" s="4" t="s">
        <v>4180</v>
      </c>
      <c r="D343" s="4" t="s">
        <v>42</v>
      </c>
      <c r="E343" s="4"/>
      <c r="F343" s="8"/>
      <c r="G343" s="8"/>
      <c r="H343" s="8"/>
      <c r="I343" s="8"/>
      <c r="J343" s="8"/>
      <c r="K343" s="8">
        <v>1</v>
      </c>
      <c r="L343" s="18">
        <v>5200</v>
      </c>
      <c r="M343" s="7">
        <f t="shared" si="5"/>
        <v>5200</v>
      </c>
      <c r="N343" s="4"/>
      <c r="O343" s="9"/>
    </row>
    <row r="344" spans="1:15" ht="20" customHeight="1" x14ac:dyDescent="0.2">
      <c r="A344" s="3">
        <v>340</v>
      </c>
      <c r="B344" s="19"/>
      <c r="C344" s="4" t="s">
        <v>4181</v>
      </c>
      <c r="D344" s="4" t="s">
        <v>42</v>
      </c>
      <c r="E344" s="4"/>
      <c r="F344" s="8"/>
      <c r="G344" s="8"/>
      <c r="H344" s="8"/>
      <c r="I344" s="8"/>
      <c r="J344" s="8"/>
      <c r="K344" s="8">
        <v>1</v>
      </c>
      <c r="L344" s="18">
        <v>8400</v>
      </c>
      <c r="M344" s="7">
        <f t="shared" si="5"/>
        <v>8400</v>
      </c>
      <c r="N344" s="4"/>
      <c r="O344" s="9"/>
    </row>
    <row r="345" spans="1:15" ht="20" customHeight="1" x14ac:dyDescent="0.2">
      <c r="A345" s="3">
        <v>341</v>
      </c>
      <c r="B345" s="19"/>
      <c r="C345" s="4" t="s">
        <v>4182</v>
      </c>
      <c r="D345" s="4" t="s">
        <v>42</v>
      </c>
      <c r="E345" s="4"/>
      <c r="F345" s="8"/>
      <c r="G345" s="8"/>
      <c r="H345" s="8"/>
      <c r="I345" s="8"/>
      <c r="J345" s="8"/>
      <c r="K345" s="8">
        <v>1</v>
      </c>
      <c r="L345" s="18">
        <v>12000</v>
      </c>
      <c r="M345" s="7">
        <f t="shared" si="5"/>
        <v>12000</v>
      </c>
      <c r="N345" s="4"/>
      <c r="O345" s="9"/>
    </row>
    <row r="346" spans="1:15" ht="20" customHeight="1" x14ac:dyDescent="0.2">
      <c r="A346" s="3">
        <v>342</v>
      </c>
      <c r="B346" s="19"/>
      <c r="C346" s="4" t="s">
        <v>4183</v>
      </c>
      <c r="D346" s="4" t="s">
        <v>42</v>
      </c>
      <c r="E346" s="4"/>
      <c r="F346" s="8"/>
      <c r="G346" s="8"/>
      <c r="H346" s="8"/>
      <c r="I346" s="8"/>
      <c r="J346" s="8"/>
      <c r="K346" s="8">
        <v>0</v>
      </c>
      <c r="L346" s="18">
        <v>0</v>
      </c>
      <c r="M346" s="7">
        <f t="shared" si="5"/>
        <v>0</v>
      </c>
      <c r="N346" s="4"/>
      <c r="O346" s="9"/>
    </row>
    <row r="347" spans="1:15" ht="20" customHeight="1" x14ac:dyDescent="0.2">
      <c r="A347" s="3">
        <v>343</v>
      </c>
      <c r="B347" s="19"/>
      <c r="C347" s="4" t="s">
        <v>4184</v>
      </c>
      <c r="D347" s="4" t="s">
        <v>42</v>
      </c>
      <c r="E347" s="4"/>
      <c r="F347" s="8"/>
      <c r="G347" s="8"/>
      <c r="H347" s="8"/>
      <c r="I347" s="8"/>
      <c r="J347" s="8"/>
      <c r="K347" s="8">
        <v>1</v>
      </c>
      <c r="L347" s="18">
        <v>27000</v>
      </c>
      <c r="M347" s="7">
        <f t="shared" si="5"/>
        <v>27000</v>
      </c>
      <c r="N347" s="4"/>
      <c r="O347" s="9"/>
    </row>
    <row r="348" spans="1:15" ht="20" customHeight="1" x14ac:dyDescent="0.2">
      <c r="A348" s="3">
        <v>344</v>
      </c>
      <c r="B348" s="19"/>
      <c r="C348" s="4" t="s">
        <v>4185</v>
      </c>
      <c r="D348" s="4" t="s">
        <v>42</v>
      </c>
      <c r="E348" s="4"/>
      <c r="F348" s="8"/>
      <c r="G348" s="8"/>
      <c r="H348" s="8"/>
      <c r="I348" s="8"/>
      <c r="J348" s="8"/>
      <c r="K348" s="8">
        <v>1</v>
      </c>
      <c r="L348" s="18">
        <v>91200</v>
      </c>
      <c r="M348" s="7">
        <f t="shared" si="5"/>
        <v>91200</v>
      </c>
      <c r="N348" s="4"/>
      <c r="O348" s="9"/>
    </row>
    <row r="349" spans="1:15" ht="20" customHeight="1" x14ac:dyDescent="0.2">
      <c r="A349" s="3">
        <v>345</v>
      </c>
      <c r="B349" s="19"/>
      <c r="C349" s="4" t="s">
        <v>4186</v>
      </c>
      <c r="D349" s="4" t="s">
        <v>42</v>
      </c>
      <c r="E349" s="4"/>
      <c r="F349" s="8"/>
      <c r="G349" s="8"/>
      <c r="H349" s="8"/>
      <c r="I349" s="8"/>
      <c r="J349" s="8"/>
      <c r="K349" s="8">
        <v>1</v>
      </c>
      <c r="L349" s="18">
        <v>2700</v>
      </c>
      <c r="M349" s="7">
        <f t="shared" si="5"/>
        <v>2700</v>
      </c>
      <c r="N349" s="4"/>
      <c r="O349" s="9"/>
    </row>
    <row r="350" spans="1:15" ht="20" customHeight="1" x14ac:dyDescent="0.2">
      <c r="A350" s="3">
        <v>346</v>
      </c>
      <c r="B350" s="19"/>
      <c r="C350" s="4" t="s">
        <v>4187</v>
      </c>
      <c r="D350" s="4" t="s">
        <v>42</v>
      </c>
      <c r="E350" s="4"/>
      <c r="F350" s="8"/>
      <c r="G350" s="8"/>
      <c r="H350" s="8"/>
      <c r="I350" s="8"/>
      <c r="J350" s="8"/>
      <c r="K350" s="8">
        <v>1</v>
      </c>
      <c r="L350" s="18">
        <v>42250</v>
      </c>
      <c r="M350" s="7">
        <f t="shared" si="5"/>
        <v>42250</v>
      </c>
      <c r="N350" s="4"/>
      <c r="O350" s="9"/>
    </row>
    <row r="351" spans="1:15" ht="20" customHeight="1" x14ac:dyDescent="0.2">
      <c r="A351" s="3">
        <v>347</v>
      </c>
      <c r="B351" s="19"/>
      <c r="C351" s="4" t="s">
        <v>4188</v>
      </c>
      <c r="D351" s="4" t="s">
        <v>42</v>
      </c>
      <c r="E351" s="4"/>
      <c r="F351" s="8"/>
      <c r="G351" s="8"/>
      <c r="H351" s="8"/>
      <c r="I351" s="8"/>
      <c r="J351" s="8"/>
      <c r="K351" s="8">
        <v>1</v>
      </c>
      <c r="L351" s="18">
        <v>149000</v>
      </c>
      <c r="M351" s="7">
        <f t="shared" si="5"/>
        <v>149000</v>
      </c>
      <c r="N351" s="4"/>
      <c r="O351" s="9"/>
    </row>
    <row r="352" spans="1:15" ht="20" customHeight="1" x14ac:dyDescent="0.2">
      <c r="A352" s="3">
        <v>348</v>
      </c>
      <c r="B352" s="19"/>
      <c r="C352" s="4" t="s">
        <v>4189</v>
      </c>
      <c r="D352" s="4" t="s">
        <v>42</v>
      </c>
      <c r="E352" s="4"/>
      <c r="F352" s="8"/>
      <c r="G352" s="8"/>
      <c r="H352" s="8"/>
      <c r="I352" s="8"/>
      <c r="J352" s="8"/>
      <c r="K352" s="8">
        <v>1</v>
      </c>
      <c r="L352" s="18">
        <v>9000</v>
      </c>
      <c r="M352" s="7">
        <f t="shared" si="5"/>
        <v>9000</v>
      </c>
      <c r="N352" s="4"/>
      <c r="O352" s="9"/>
    </row>
    <row r="353" spans="1:15" ht="20" customHeight="1" x14ac:dyDescent="0.2">
      <c r="A353" s="3">
        <v>349</v>
      </c>
      <c r="B353" s="19"/>
      <c r="C353" s="4" t="s">
        <v>4190</v>
      </c>
      <c r="D353" s="4" t="s">
        <v>42</v>
      </c>
      <c r="E353" s="4"/>
      <c r="F353" s="8"/>
      <c r="G353" s="8"/>
      <c r="H353" s="8"/>
      <c r="I353" s="8"/>
      <c r="J353" s="8"/>
      <c r="K353" s="8">
        <v>1</v>
      </c>
      <c r="L353" s="18">
        <v>3424</v>
      </c>
      <c r="M353" s="7">
        <f t="shared" si="5"/>
        <v>3424</v>
      </c>
      <c r="N353" s="4"/>
      <c r="O353" s="9"/>
    </row>
    <row r="354" spans="1:15" ht="20" customHeight="1" x14ac:dyDescent="0.2">
      <c r="A354" s="3">
        <v>350</v>
      </c>
      <c r="B354" s="19"/>
      <c r="C354" s="4" t="s">
        <v>4191</v>
      </c>
      <c r="D354" s="4" t="s">
        <v>42</v>
      </c>
      <c r="E354" s="4"/>
      <c r="F354" s="8"/>
      <c r="G354" s="8"/>
      <c r="H354" s="8"/>
      <c r="I354" s="8"/>
      <c r="J354" s="8"/>
      <c r="K354" s="8">
        <v>1</v>
      </c>
      <c r="L354" s="18">
        <v>133750</v>
      </c>
      <c r="M354" s="7">
        <f t="shared" si="5"/>
        <v>133750</v>
      </c>
      <c r="N354" s="4"/>
      <c r="O354" s="9"/>
    </row>
    <row r="355" spans="1:15" ht="20" customHeight="1" x14ac:dyDescent="0.2">
      <c r="A355" s="3">
        <v>351</v>
      </c>
      <c r="B355" s="19"/>
      <c r="C355" s="4" t="s">
        <v>4192</v>
      </c>
      <c r="D355" s="4" t="s">
        <v>42</v>
      </c>
      <c r="E355" s="4"/>
      <c r="F355" s="8"/>
      <c r="G355" s="8"/>
      <c r="H355" s="8"/>
      <c r="I355" s="8"/>
      <c r="J355" s="8"/>
      <c r="K355" s="8">
        <v>1</v>
      </c>
      <c r="L355" s="18">
        <v>4066</v>
      </c>
      <c r="M355" s="7">
        <f t="shared" si="5"/>
        <v>4066</v>
      </c>
      <c r="N355" s="4"/>
      <c r="O355" s="9"/>
    </row>
    <row r="356" spans="1:15" ht="20" customHeight="1" x14ac:dyDescent="0.2">
      <c r="A356" s="3">
        <v>352</v>
      </c>
      <c r="B356" s="19"/>
      <c r="C356" s="4" t="s">
        <v>4193</v>
      </c>
      <c r="D356" s="4" t="s">
        <v>42</v>
      </c>
      <c r="E356" s="4"/>
      <c r="F356" s="8"/>
      <c r="G356" s="8"/>
      <c r="H356" s="8"/>
      <c r="I356" s="8"/>
      <c r="J356" s="8"/>
      <c r="K356" s="8">
        <v>1</v>
      </c>
      <c r="L356" s="18">
        <v>4494</v>
      </c>
      <c r="M356" s="7">
        <f t="shared" si="5"/>
        <v>4494</v>
      </c>
      <c r="N356" s="4"/>
      <c r="O356" s="9"/>
    </row>
    <row r="357" spans="1:15" ht="20" customHeight="1" x14ac:dyDescent="0.2">
      <c r="A357" s="3">
        <v>353</v>
      </c>
      <c r="B357" s="19"/>
      <c r="C357" s="4" t="s">
        <v>4194</v>
      </c>
      <c r="D357" s="4" t="s">
        <v>42</v>
      </c>
      <c r="E357" s="4"/>
      <c r="F357" s="8"/>
      <c r="G357" s="8"/>
      <c r="H357" s="8"/>
      <c r="I357" s="8"/>
      <c r="J357" s="8"/>
      <c r="K357" s="8">
        <v>0</v>
      </c>
      <c r="L357" s="18">
        <v>0</v>
      </c>
      <c r="M357" s="7">
        <f t="shared" si="5"/>
        <v>0</v>
      </c>
      <c r="N357" s="4"/>
      <c r="O357" s="9"/>
    </row>
    <row r="358" spans="1:15" ht="20" customHeight="1" x14ac:dyDescent="0.2">
      <c r="A358" s="3">
        <v>354</v>
      </c>
      <c r="B358" s="19"/>
      <c r="C358" s="4" t="s">
        <v>4195</v>
      </c>
      <c r="D358" s="4" t="s">
        <v>42</v>
      </c>
      <c r="E358" s="4"/>
      <c r="F358" s="8"/>
      <c r="G358" s="8"/>
      <c r="H358" s="8"/>
      <c r="I358" s="8"/>
      <c r="J358" s="8"/>
      <c r="K358" s="8">
        <v>1</v>
      </c>
      <c r="L358" s="18">
        <v>18190</v>
      </c>
      <c r="M358" s="7">
        <f t="shared" si="5"/>
        <v>18190</v>
      </c>
      <c r="N358" s="4"/>
      <c r="O358" s="9"/>
    </row>
    <row r="359" spans="1:15" ht="20" customHeight="1" x14ac:dyDescent="0.2">
      <c r="A359" s="3">
        <v>355</v>
      </c>
      <c r="B359" s="19"/>
      <c r="C359" s="4" t="s">
        <v>4196</v>
      </c>
      <c r="D359" s="4" t="s">
        <v>42</v>
      </c>
      <c r="E359" s="4"/>
      <c r="F359" s="8"/>
      <c r="G359" s="8"/>
      <c r="H359" s="8"/>
      <c r="I359" s="8"/>
      <c r="J359" s="8"/>
      <c r="K359" s="8">
        <v>1</v>
      </c>
      <c r="L359" s="18">
        <v>6000</v>
      </c>
      <c r="M359" s="7">
        <f t="shared" si="5"/>
        <v>6000</v>
      </c>
      <c r="N359" s="4"/>
      <c r="O359" s="9"/>
    </row>
    <row r="360" spans="1:15" ht="20" customHeight="1" x14ac:dyDescent="0.2">
      <c r="A360" s="3">
        <v>356</v>
      </c>
      <c r="B360" s="19"/>
      <c r="C360" s="4" t="s">
        <v>4197</v>
      </c>
      <c r="D360" s="4" t="s">
        <v>42</v>
      </c>
      <c r="E360" s="4"/>
      <c r="F360" s="8"/>
      <c r="G360" s="8"/>
      <c r="H360" s="8"/>
      <c r="I360" s="8"/>
      <c r="J360" s="8"/>
      <c r="K360" s="8">
        <v>1</v>
      </c>
      <c r="L360" s="18">
        <v>34500</v>
      </c>
      <c r="M360" s="7">
        <f t="shared" si="5"/>
        <v>34500</v>
      </c>
      <c r="N360" s="4"/>
      <c r="O360" s="9"/>
    </row>
    <row r="361" spans="1:15" ht="20" customHeight="1" x14ac:dyDescent="0.2">
      <c r="A361" s="3">
        <v>357</v>
      </c>
      <c r="B361" s="19"/>
      <c r="C361" s="4" t="s">
        <v>4198</v>
      </c>
      <c r="D361" s="4" t="s">
        <v>42</v>
      </c>
      <c r="E361" s="4"/>
      <c r="F361" s="8"/>
      <c r="G361" s="8"/>
      <c r="H361" s="8"/>
      <c r="I361" s="8"/>
      <c r="J361" s="8"/>
      <c r="K361" s="8">
        <v>1</v>
      </c>
      <c r="L361" s="18">
        <v>13700</v>
      </c>
      <c r="M361" s="7">
        <f t="shared" si="5"/>
        <v>13700</v>
      </c>
      <c r="N361" s="4"/>
      <c r="O361" s="9"/>
    </row>
    <row r="362" spans="1:15" ht="20" customHeight="1" x14ac:dyDescent="0.2">
      <c r="A362" s="3">
        <v>358</v>
      </c>
      <c r="B362" s="19"/>
      <c r="C362" s="4" t="s">
        <v>4199</v>
      </c>
      <c r="D362" s="4" t="s">
        <v>42</v>
      </c>
      <c r="E362" s="4"/>
      <c r="F362" s="8"/>
      <c r="G362" s="8"/>
      <c r="H362" s="8"/>
      <c r="I362" s="8"/>
      <c r="J362" s="8"/>
      <c r="K362" s="8">
        <v>1</v>
      </c>
      <c r="L362" s="18">
        <v>50700</v>
      </c>
      <c r="M362" s="7">
        <f t="shared" si="5"/>
        <v>50700</v>
      </c>
      <c r="N362" s="4"/>
      <c r="O362" s="9"/>
    </row>
    <row r="363" spans="1:15" ht="20" customHeight="1" x14ac:dyDescent="0.2">
      <c r="A363" s="3">
        <v>359</v>
      </c>
      <c r="B363" s="19"/>
      <c r="C363" s="4" t="s">
        <v>4200</v>
      </c>
      <c r="D363" s="4" t="s">
        <v>42</v>
      </c>
      <c r="E363" s="4"/>
      <c r="F363" s="8"/>
      <c r="G363" s="8"/>
      <c r="H363" s="8"/>
      <c r="I363" s="8"/>
      <c r="J363" s="8"/>
      <c r="K363" s="8">
        <v>1</v>
      </c>
      <c r="L363" s="18">
        <v>125000</v>
      </c>
      <c r="M363" s="7">
        <f t="shared" si="5"/>
        <v>125000</v>
      </c>
      <c r="N363" s="4"/>
      <c r="O363" s="9"/>
    </row>
    <row r="364" spans="1:15" ht="20" customHeight="1" x14ac:dyDescent="0.2">
      <c r="A364" s="3">
        <v>360</v>
      </c>
      <c r="B364" s="19"/>
      <c r="C364" s="4" t="s">
        <v>4201</v>
      </c>
      <c r="D364" s="4" t="s">
        <v>42</v>
      </c>
      <c r="E364" s="4"/>
      <c r="F364" s="8"/>
      <c r="G364" s="8"/>
      <c r="H364" s="8"/>
      <c r="I364" s="8"/>
      <c r="J364" s="8"/>
      <c r="K364" s="8">
        <v>0</v>
      </c>
      <c r="L364" s="18">
        <v>0</v>
      </c>
      <c r="M364" s="7">
        <f t="shared" si="5"/>
        <v>0</v>
      </c>
      <c r="N364" s="4"/>
      <c r="O364" s="9"/>
    </row>
    <row r="365" spans="1:15" ht="20" customHeight="1" x14ac:dyDescent="0.2">
      <c r="A365" s="3">
        <v>361</v>
      </c>
      <c r="B365" s="19"/>
      <c r="C365" s="4" t="s">
        <v>4202</v>
      </c>
      <c r="D365" s="4" t="s">
        <v>42</v>
      </c>
      <c r="E365" s="4"/>
      <c r="F365" s="8"/>
      <c r="G365" s="8"/>
      <c r="H365" s="8"/>
      <c r="I365" s="8"/>
      <c r="J365" s="8"/>
      <c r="K365" s="8">
        <v>0</v>
      </c>
      <c r="L365" s="18">
        <v>0</v>
      </c>
      <c r="M365" s="7">
        <f t="shared" si="5"/>
        <v>0</v>
      </c>
      <c r="N365" s="4"/>
      <c r="O365" s="9"/>
    </row>
    <row r="366" spans="1:15" ht="20" customHeight="1" x14ac:dyDescent="0.2">
      <c r="A366" s="3">
        <v>362</v>
      </c>
      <c r="B366" s="19"/>
      <c r="C366" s="4" t="s">
        <v>4203</v>
      </c>
      <c r="D366" s="4" t="s">
        <v>42</v>
      </c>
      <c r="E366" s="4"/>
      <c r="F366" s="8"/>
      <c r="G366" s="8"/>
      <c r="H366" s="8"/>
      <c r="I366" s="8"/>
      <c r="J366" s="8"/>
      <c r="K366" s="8">
        <v>0</v>
      </c>
      <c r="L366" s="18">
        <v>0</v>
      </c>
      <c r="M366" s="7">
        <f t="shared" si="5"/>
        <v>0</v>
      </c>
      <c r="N366" s="4"/>
      <c r="O366" s="9"/>
    </row>
    <row r="367" spans="1:15" ht="20" customHeight="1" x14ac:dyDescent="0.2">
      <c r="A367" s="3">
        <v>363</v>
      </c>
      <c r="B367" s="19"/>
      <c r="C367" s="4" t="s">
        <v>4204</v>
      </c>
      <c r="D367" s="4" t="s">
        <v>42</v>
      </c>
      <c r="E367" s="4"/>
      <c r="F367" s="8"/>
      <c r="G367" s="8"/>
      <c r="H367" s="8"/>
      <c r="I367" s="8"/>
      <c r="J367" s="8"/>
      <c r="K367" s="8">
        <v>1</v>
      </c>
      <c r="L367" s="18">
        <v>14250</v>
      </c>
      <c r="M367" s="7">
        <f t="shared" si="5"/>
        <v>14250</v>
      </c>
      <c r="N367" s="4"/>
      <c r="O367" s="9"/>
    </row>
    <row r="368" spans="1:15" ht="20" customHeight="1" x14ac:dyDescent="0.2">
      <c r="A368" s="3">
        <v>364</v>
      </c>
      <c r="B368" s="19"/>
      <c r="C368" s="4" t="s">
        <v>4205</v>
      </c>
      <c r="D368" s="4" t="s">
        <v>42</v>
      </c>
      <c r="E368" s="4"/>
      <c r="F368" s="8"/>
      <c r="G368" s="8"/>
      <c r="H368" s="8"/>
      <c r="I368" s="8"/>
      <c r="J368" s="8"/>
      <c r="K368" s="8">
        <v>1</v>
      </c>
      <c r="L368" s="18">
        <v>13800</v>
      </c>
      <c r="M368" s="7">
        <f t="shared" si="5"/>
        <v>13800</v>
      </c>
      <c r="N368" s="4"/>
      <c r="O368" s="9"/>
    </row>
    <row r="369" spans="1:15" ht="20" customHeight="1" x14ac:dyDescent="0.2">
      <c r="A369" s="3">
        <v>365</v>
      </c>
      <c r="B369" s="19"/>
      <c r="C369" s="4" t="s">
        <v>4206</v>
      </c>
      <c r="D369" s="4" t="s">
        <v>42</v>
      </c>
      <c r="E369" s="4"/>
      <c r="F369" s="8"/>
      <c r="G369" s="8"/>
      <c r="H369" s="8"/>
      <c r="I369" s="8"/>
      <c r="J369" s="8"/>
      <c r="K369" s="8">
        <v>0</v>
      </c>
      <c r="L369" s="18">
        <v>0</v>
      </c>
      <c r="M369" s="7">
        <f t="shared" si="5"/>
        <v>0</v>
      </c>
      <c r="N369" s="4"/>
      <c r="O369" s="9"/>
    </row>
    <row r="370" spans="1:15" ht="20" customHeight="1" x14ac:dyDescent="0.2">
      <c r="A370" s="3">
        <v>366</v>
      </c>
      <c r="B370" s="19"/>
      <c r="C370" s="4" t="s">
        <v>4207</v>
      </c>
      <c r="D370" s="4" t="s">
        <v>42</v>
      </c>
      <c r="E370" s="4"/>
      <c r="F370" s="8"/>
      <c r="G370" s="8"/>
      <c r="H370" s="8"/>
      <c r="I370" s="8"/>
      <c r="J370" s="8"/>
      <c r="K370" s="8">
        <v>1</v>
      </c>
      <c r="L370" s="18">
        <v>8400</v>
      </c>
      <c r="M370" s="7">
        <f t="shared" si="5"/>
        <v>8400</v>
      </c>
      <c r="N370" s="4"/>
      <c r="O370" s="9"/>
    </row>
    <row r="371" spans="1:15" ht="20" customHeight="1" x14ac:dyDescent="0.2">
      <c r="A371" s="3">
        <v>367</v>
      </c>
      <c r="B371" s="19"/>
      <c r="C371" s="4" t="s">
        <v>4208</v>
      </c>
      <c r="D371" s="4" t="s">
        <v>42</v>
      </c>
      <c r="E371" s="4"/>
      <c r="F371" s="8"/>
      <c r="G371" s="8"/>
      <c r="H371" s="8"/>
      <c r="I371" s="8"/>
      <c r="J371" s="8"/>
      <c r="K371" s="8">
        <v>1</v>
      </c>
      <c r="L371" s="18">
        <v>5950</v>
      </c>
      <c r="M371" s="7">
        <f t="shared" si="5"/>
        <v>5950</v>
      </c>
      <c r="N371" s="4"/>
      <c r="O371" s="9"/>
    </row>
    <row r="372" spans="1:15" ht="20" customHeight="1" x14ac:dyDescent="0.2">
      <c r="A372" s="3">
        <v>368</v>
      </c>
      <c r="B372" s="19"/>
      <c r="C372" s="4" t="s">
        <v>4209</v>
      </c>
      <c r="D372" s="4" t="s">
        <v>42</v>
      </c>
      <c r="E372" s="4"/>
      <c r="F372" s="8"/>
      <c r="G372" s="8"/>
      <c r="H372" s="8"/>
      <c r="I372" s="8"/>
      <c r="J372" s="8"/>
      <c r="K372" s="8">
        <v>1</v>
      </c>
      <c r="L372" s="18">
        <v>5950</v>
      </c>
      <c r="M372" s="7">
        <f t="shared" si="5"/>
        <v>5950</v>
      </c>
      <c r="N372" s="4"/>
      <c r="O372" s="9"/>
    </row>
    <row r="373" spans="1:15" ht="20" customHeight="1" x14ac:dyDescent="0.2">
      <c r="A373" s="3">
        <v>369</v>
      </c>
      <c r="B373" s="19"/>
      <c r="C373" s="4" t="s">
        <v>4210</v>
      </c>
      <c r="D373" s="4" t="s">
        <v>42</v>
      </c>
      <c r="E373" s="4"/>
      <c r="F373" s="8"/>
      <c r="G373" s="8"/>
      <c r="H373" s="8"/>
      <c r="I373" s="8"/>
      <c r="J373" s="8"/>
      <c r="K373" s="8">
        <v>0</v>
      </c>
      <c r="L373" s="18">
        <v>0</v>
      </c>
      <c r="M373" s="7">
        <f t="shared" si="5"/>
        <v>0</v>
      </c>
      <c r="N373" s="4"/>
      <c r="O373" s="9"/>
    </row>
    <row r="374" spans="1:15" ht="20" customHeight="1" x14ac:dyDescent="0.2">
      <c r="A374" s="3">
        <v>370</v>
      </c>
      <c r="B374" s="19"/>
      <c r="C374" s="4" t="s">
        <v>4211</v>
      </c>
      <c r="D374" s="4" t="s">
        <v>42</v>
      </c>
      <c r="E374" s="4"/>
      <c r="F374" s="8"/>
      <c r="G374" s="8"/>
      <c r="H374" s="8"/>
      <c r="I374" s="8"/>
      <c r="J374" s="8"/>
      <c r="K374" s="8">
        <v>0</v>
      </c>
      <c r="L374" s="18">
        <v>0</v>
      </c>
      <c r="M374" s="7">
        <f t="shared" si="5"/>
        <v>0</v>
      </c>
      <c r="N374" s="4"/>
      <c r="O374" s="9"/>
    </row>
    <row r="375" spans="1:15" ht="20" customHeight="1" x14ac:dyDescent="0.2">
      <c r="A375" s="3">
        <v>371</v>
      </c>
      <c r="B375" s="19"/>
      <c r="C375" s="4" t="s">
        <v>4212</v>
      </c>
      <c r="D375" s="4" t="s">
        <v>42</v>
      </c>
      <c r="E375" s="4"/>
      <c r="F375" s="8"/>
      <c r="G375" s="8"/>
      <c r="H375" s="8"/>
      <c r="I375" s="8"/>
      <c r="J375" s="8"/>
      <c r="K375" s="8">
        <v>1</v>
      </c>
      <c r="L375" s="18">
        <v>2400</v>
      </c>
      <c r="M375" s="7">
        <f t="shared" si="5"/>
        <v>2400</v>
      </c>
      <c r="N375" s="4"/>
      <c r="O375" s="9"/>
    </row>
    <row r="376" spans="1:15" ht="20" customHeight="1" x14ac:dyDescent="0.2">
      <c r="A376" s="3">
        <v>372</v>
      </c>
      <c r="B376" s="19"/>
      <c r="C376" s="4" t="s">
        <v>4213</v>
      </c>
      <c r="D376" s="4" t="s">
        <v>42</v>
      </c>
      <c r="E376" s="4"/>
      <c r="F376" s="8"/>
      <c r="G376" s="8"/>
      <c r="H376" s="8"/>
      <c r="I376" s="8"/>
      <c r="J376" s="8"/>
      <c r="K376" s="8">
        <v>1</v>
      </c>
      <c r="L376" s="18">
        <v>9600</v>
      </c>
      <c r="M376" s="7">
        <f t="shared" si="5"/>
        <v>9600</v>
      </c>
      <c r="N376" s="4"/>
      <c r="O376" s="9"/>
    </row>
    <row r="377" spans="1:15" ht="20" customHeight="1" x14ac:dyDescent="0.2">
      <c r="A377" s="3">
        <v>373</v>
      </c>
      <c r="B377" s="19"/>
      <c r="C377" s="4" t="s">
        <v>4214</v>
      </c>
      <c r="D377" s="4" t="s">
        <v>42</v>
      </c>
      <c r="E377" s="4"/>
      <c r="F377" s="8"/>
      <c r="G377" s="8"/>
      <c r="H377" s="8"/>
      <c r="I377" s="8"/>
      <c r="J377" s="8"/>
      <c r="K377" s="8">
        <v>1</v>
      </c>
      <c r="L377" s="18">
        <v>2000</v>
      </c>
      <c r="M377" s="7">
        <f t="shared" si="5"/>
        <v>2000</v>
      </c>
      <c r="N377" s="4"/>
      <c r="O377" s="9"/>
    </row>
    <row r="378" spans="1:15" ht="20" customHeight="1" x14ac:dyDescent="0.2">
      <c r="A378" s="3">
        <v>374</v>
      </c>
      <c r="B378" s="19"/>
      <c r="C378" s="4" t="s">
        <v>4215</v>
      </c>
      <c r="D378" s="4" t="s">
        <v>42</v>
      </c>
      <c r="E378" s="4"/>
      <c r="F378" s="8"/>
      <c r="G378" s="8"/>
      <c r="H378" s="8"/>
      <c r="I378" s="8"/>
      <c r="J378" s="8"/>
      <c r="K378" s="8">
        <v>1</v>
      </c>
      <c r="L378" s="18">
        <v>2500</v>
      </c>
      <c r="M378" s="7">
        <f t="shared" si="5"/>
        <v>2500</v>
      </c>
      <c r="N378" s="4"/>
      <c r="O378" s="9"/>
    </row>
    <row r="379" spans="1:15" ht="20" customHeight="1" x14ac:dyDescent="0.2">
      <c r="A379" s="3">
        <v>375</v>
      </c>
      <c r="B379" s="19"/>
      <c r="C379" s="4" t="s">
        <v>4216</v>
      </c>
      <c r="D379" s="4" t="s">
        <v>42</v>
      </c>
      <c r="E379" s="4"/>
      <c r="F379" s="8"/>
      <c r="G379" s="8"/>
      <c r="H379" s="8"/>
      <c r="I379" s="8"/>
      <c r="J379" s="8"/>
      <c r="K379" s="8">
        <v>1</v>
      </c>
      <c r="L379" s="18">
        <v>3500</v>
      </c>
      <c r="M379" s="7">
        <f t="shared" si="5"/>
        <v>3500</v>
      </c>
      <c r="N379" s="4"/>
      <c r="O379" s="9"/>
    </row>
    <row r="380" spans="1:15" ht="20" customHeight="1" x14ac:dyDescent="0.2">
      <c r="A380" s="3">
        <v>376</v>
      </c>
      <c r="B380" s="19"/>
      <c r="C380" s="4" t="s">
        <v>4217</v>
      </c>
      <c r="D380" s="4" t="s">
        <v>42</v>
      </c>
      <c r="E380" s="4"/>
      <c r="F380" s="8"/>
      <c r="G380" s="8"/>
      <c r="H380" s="8"/>
      <c r="I380" s="8"/>
      <c r="J380" s="8"/>
      <c r="K380" s="8">
        <v>1</v>
      </c>
      <c r="L380" s="18">
        <v>10500</v>
      </c>
      <c r="M380" s="7">
        <f t="shared" si="5"/>
        <v>10500</v>
      </c>
      <c r="N380" s="4"/>
      <c r="O380" s="9"/>
    </row>
    <row r="381" spans="1:15" ht="20" customHeight="1" x14ac:dyDescent="0.2">
      <c r="A381" s="3">
        <v>377</v>
      </c>
      <c r="B381" s="19"/>
      <c r="C381" s="4" t="s">
        <v>4218</v>
      </c>
      <c r="D381" s="4" t="s">
        <v>42</v>
      </c>
      <c r="E381" s="4"/>
      <c r="F381" s="8"/>
      <c r="G381" s="8"/>
      <c r="H381" s="8"/>
      <c r="I381" s="8"/>
      <c r="J381" s="8"/>
      <c r="K381" s="8">
        <v>1</v>
      </c>
      <c r="L381" s="18">
        <v>9000</v>
      </c>
      <c r="M381" s="7">
        <f t="shared" si="5"/>
        <v>9000</v>
      </c>
      <c r="N381" s="4"/>
      <c r="O381" s="9"/>
    </row>
    <row r="382" spans="1:15" ht="20" customHeight="1" x14ac:dyDescent="0.2">
      <c r="A382" s="3">
        <v>378</v>
      </c>
      <c r="B382" s="19"/>
      <c r="C382" s="4" t="s">
        <v>4219</v>
      </c>
      <c r="D382" s="4" t="s">
        <v>42</v>
      </c>
      <c r="E382" s="4"/>
      <c r="F382" s="8"/>
      <c r="G382" s="8"/>
      <c r="H382" s="8"/>
      <c r="I382" s="8"/>
      <c r="J382" s="8"/>
      <c r="K382" s="8">
        <v>1</v>
      </c>
      <c r="L382" s="18">
        <v>9000</v>
      </c>
      <c r="M382" s="7">
        <f t="shared" si="5"/>
        <v>9000</v>
      </c>
      <c r="N382" s="4"/>
      <c r="O382" s="9"/>
    </row>
    <row r="383" spans="1:15" ht="20" customHeight="1" x14ac:dyDescent="0.2">
      <c r="A383" s="3">
        <v>379</v>
      </c>
      <c r="B383" s="19"/>
      <c r="C383" s="4" t="s">
        <v>4220</v>
      </c>
      <c r="D383" s="4" t="s">
        <v>42</v>
      </c>
      <c r="E383" s="4"/>
      <c r="F383" s="8"/>
      <c r="G383" s="8"/>
      <c r="H383" s="8"/>
      <c r="I383" s="8"/>
      <c r="J383" s="8"/>
      <c r="K383" s="8">
        <v>1</v>
      </c>
      <c r="L383" s="18">
        <v>2250</v>
      </c>
      <c r="M383" s="7">
        <f t="shared" si="5"/>
        <v>2250</v>
      </c>
      <c r="N383" s="4"/>
      <c r="O383" s="9"/>
    </row>
    <row r="384" spans="1:15" ht="20" customHeight="1" x14ac:dyDescent="0.2">
      <c r="A384" s="3">
        <v>380</v>
      </c>
      <c r="B384" s="19"/>
      <c r="C384" s="4" t="s">
        <v>4221</v>
      </c>
      <c r="D384" s="4" t="s">
        <v>42</v>
      </c>
      <c r="E384" s="4"/>
      <c r="F384" s="8"/>
      <c r="G384" s="8"/>
      <c r="H384" s="8"/>
      <c r="I384" s="8"/>
      <c r="J384" s="8"/>
      <c r="K384" s="8">
        <v>1</v>
      </c>
      <c r="L384" s="18">
        <v>4500</v>
      </c>
      <c r="M384" s="7">
        <f t="shared" si="5"/>
        <v>4500</v>
      </c>
      <c r="N384" s="4"/>
      <c r="O384" s="9"/>
    </row>
    <row r="385" spans="1:15" ht="20" customHeight="1" x14ac:dyDescent="0.2">
      <c r="A385" s="3">
        <v>381</v>
      </c>
      <c r="B385" s="19"/>
      <c r="C385" s="4" t="s">
        <v>4222</v>
      </c>
      <c r="D385" s="4" t="s">
        <v>42</v>
      </c>
      <c r="E385" s="4"/>
      <c r="F385" s="8"/>
      <c r="G385" s="8"/>
      <c r="H385" s="8"/>
      <c r="I385" s="8"/>
      <c r="J385" s="8"/>
      <c r="K385" s="8">
        <v>1</v>
      </c>
      <c r="L385" s="18">
        <v>4500</v>
      </c>
      <c r="M385" s="7">
        <f t="shared" si="5"/>
        <v>4500</v>
      </c>
      <c r="N385" s="4"/>
      <c r="O385" s="9"/>
    </row>
    <row r="386" spans="1:15" ht="20" customHeight="1" x14ac:dyDescent="0.2">
      <c r="A386" s="3">
        <v>382</v>
      </c>
      <c r="B386" s="19"/>
      <c r="C386" s="4" t="s">
        <v>4223</v>
      </c>
      <c r="D386" s="4" t="s">
        <v>42</v>
      </c>
      <c r="E386" s="4"/>
      <c r="F386" s="8"/>
      <c r="G386" s="8"/>
      <c r="H386" s="8"/>
      <c r="I386" s="8"/>
      <c r="J386" s="8"/>
      <c r="K386" s="8">
        <v>1</v>
      </c>
      <c r="L386" s="18">
        <v>2250</v>
      </c>
      <c r="M386" s="7">
        <f t="shared" si="5"/>
        <v>2250</v>
      </c>
      <c r="N386" s="4"/>
      <c r="O386" s="9"/>
    </row>
    <row r="387" spans="1:15" ht="20" customHeight="1" x14ac:dyDescent="0.2">
      <c r="A387" s="3">
        <v>383</v>
      </c>
      <c r="B387" s="19"/>
      <c r="C387" s="4" t="s">
        <v>4224</v>
      </c>
      <c r="D387" s="4" t="s">
        <v>42</v>
      </c>
      <c r="E387" s="4"/>
      <c r="F387" s="8"/>
      <c r="G387" s="8"/>
      <c r="H387" s="8"/>
      <c r="I387" s="8"/>
      <c r="J387" s="8"/>
      <c r="K387" s="8">
        <v>1</v>
      </c>
      <c r="L387" s="18">
        <v>2240</v>
      </c>
      <c r="M387" s="7">
        <f t="shared" si="5"/>
        <v>2240</v>
      </c>
      <c r="N387" s="4"/>
      <c r="O387" s="9"/>
    </row>
    <row r="388" spans="1:15" ht="20" customHeight="1" x14ac:dyDescent="0.2">
      <c r="A388" s="3">
        <v>384</v>
      </c>
      <c r="B388" s="19"/>
      <c r="C388" s="4" t="s">
        <v>4225</v>
      </c>
      <c r="D388" s="4" t="s">
        <v>42</v>
      </c>
      <c r="E388" s="4"/>
      <c r="F388" s="8"/>
      <c r="G388" s="8"/>
      <c r="H388" s="8"/>
      <c r="I388" s="8"/>
      <c r="J388" s="8"/>
      <c r="K388" s="8">
        <v>1</v>
      </c>
      <c r="L388" s="18">
        <v>2240</v>
      </c>
      <c r="M388" s="7">
        <f t="shared" si="5"/>
        <v>2240</v>
      </c>
      <c r="N388" s="4"/>
      <c r="O388" s="9"/>
    </row>
    <row r="389" spans="1:15" ht="20" customHeight="1" x14ac:dyDescent="0.2">
      <c r="A389" s="3">
        <v>385</v>
      </c>
      <c r="B389" s="19"/>
      <c r="C389" s="4" t="s">
        <v>4226</v>
      </c>
      <c r="D389" s="4" t="s">
        <v>42</v>
      </c>
      <c r="E389" s="4"/>
      <c r="F389" s="8"/>
      <c r="G389" s="8"/>
      <c r="H389" s="8"/>
      <c r="I389" s="8"/>
      <c r="J389" s="8"/>
      <c r="K389" s="8">
        <v>1</v>
      </c>
      <c r="L389" s="18">
        <v>3800</v>
      </c>
      <c r="M389" s="7">
        <f t="shared" ref="M389:M452" si="6">IF(OR(K389="",L389=""),"",K389*L389)</f>
        <v>3800</v>
      </c>
      <c r="N389" s="4"/>
      <c r="O389" s="9"/>
    </row>
    <row r="390" spans="1:15" ht="20" customHeight="1" x14ac:dyDescent="0.2">
      <c r="A390" s="3">
        <v>386</v>
      </c>
      <c r="B390" s="19"/>
      <c r="C390" s="4" t="s">
        <v>4227</v>
      </c>
      <c r="D390" s="4" t="s">
        <v>42</v>
      </c>
      <c r="E390" s="4"/>
      <c r="F390" s="8"/>
      <c r="G390" s="8"/>
      <c r="H390" s="8"/>
      <c r="I390" s="8"/>
      <c r="J390" s="8"/>
      <c r="K390" s="8">
        <v>0</v>
      </c>
      <c r="L390" s="18">
        <v>0</v>
      </c>
      <c r="M390" s="7">
        <f t="shared" si="6"/>
        <v>0</v>
      </c>
      <c r="N390" s="4"/>
      <c r="O390" s="9"/>
    </row>
    <row r="391" spans="1:15" ht="20" customHeight="1" x14ac:dyDescent="0.2">
      <c r="A391" s="3">
        <v>387</v>
      </c>
      <c r="B391" s="19"/>
      <c r="C391" s="4" t="s">
        <v>4228</v>
      </c>
      <c r="D391" s="4" t="s">
        <v>42</v>
      </c>
      <c r="E391" s="4"/>
      <c r="F391" s="8"/>
      <c r="G391" s="8"/>
      <c r="H391" s="8"/>
      <c r="I391" s="8"/>
      <c r="J391" s="8"/>
      <c r="K391" s="8">
        <v>1</v>
      </c>
      <c r="L391" s="18">
        <v>10150</v>
      </c>
      <c r="M391" s="7">
        <f t="shared" si="6"/>
        <v>10150</v>
      </c>
      <c r="N391" s="4"/>
      <c r="O391" s="9"/>
    </row>
    <row r="392" spans="1:15" ht="20" customHeight="1" x14ac:dyDescent="0.2">
      <c r="A392" s="3">
        <v>388</v>
      </c>
      <c r="B392" s="19"/>
      <c r="C392" s="4" t="s">
        <v>4229</v>
      </c>
      <c r="D392" s="4" t="s">
        <v>42</v>
      </c>
      <c r="E392" s="4"/>
      <c r="F392" s="8"/>
      <c r="G392" s="8"/>
      <c r="H392" s="8"/>
      <c r="I392" s="8"/>
      <c r="J392" s="8"/>
      <c r="K392" s="8">
        <v>1</v>
      </c>
      <c r="L392" s="18">
        <v>32500</v>
      </c>
      <c r="M392" s="7">
        <f t="shared" si="6"/>
        <v>32500</v>
      </c>
      <c r="N392" s="4"/>
      <c r="O392" s="9"/>
    </row>
    <row r="393" spans="1:15" ht="20" customHeight="1" x14ac:dyDescent="0.2">
      <c r="A393" s="3">
        <v>389</v>
      </c>
      <c r="B393" s="19"/>
      <c r="C393" s="4" t="s">
        <v>4230</v>
      </c>
      <c r="D393" s="4" t="s">
        <v>42</v>
      </c>
      <c r="E393" s="4"/>
      <c r="F393" s="8"/>
      <c r="G393" s="8"/>
      <c r="H393" s="8"/>
      <c r="I393" s="8"/>
      <c r="J393" s="8"/>
      <c r="K393" s="8">
        <v>0</v>
      </c>
      <c r="L393" s="18">
        <v>0</v>
      </c>
      <c r="M393" s="7">
        <f t="shared" si="6"/>
        <v>0</v>
      </c>
      <c r="N393" s="4"/>
      <c r="O393" s="9"/>
    </row>
    <row r="394" spans="1:15" ht="20" customHeight="1" x14ac:dyDescent="0.2">
      <c r="A394" s="3">
        <v>390</v>
      </c>
      <c r="B394" s="19"/>
      <c r="C394" s="4" t="s">
        <v>4231</v>
      </c>
      <c r="D394" s="4" t="s">
        <v>42</v>
      </c>
      <c r="E394" s="4"/>
      <c r="F394" s="8"/>
      <c r="G394" s="8"/>
      <c r="H394" s="8"/>
      <c r="I394" s="8"/>
      <c r="J394" s="8"/>
      <c r="K394" s="8">
        <v>1</v>
      </c>
      <c r="L394" s="18">
        <v>3000</v>
      </c>
      <c r="M394" s="7">
        <f t="shared" si="6"/>
        <v>3000</v>
      </c>
      <c r="N394" s="4"/>
      <c r="O394" s="9"/>
    </row>
    <row r="395" spans="1:15" ht="20" customHeight="1" x14ac:dyDescent="0.2">
      <c r="A395" s="3">
        <v>391</v>
      </c>
      <c r="B395" s="19"/>
      <c r="C395" s="4" t="s">
        <v>4232</v>
      </c>
      <c r="D395" s="4" t="s">
        <v>42</v>
      </c>
      <c r="E395" s="4"/>
      <c r="F395" s="8"/>
      <c r="G395" s="8"/>
      <c r="H395" s="8"/>
      <c r="I395" s="8"/>
      <c r="J395" s="8"/>
      <c r="K395" s="8">
        <v>1</v>
      </c>
      <c r="L395" s="18">
        <v>10800</v>
      </c>
      <c r="M395" s="7">
        <f t="shared" si="6"/>
        <v>10800</v>
      </c>
      <c r="N395" s="4"/>
      <c r="O395" s="9"/>
    </row>
    <row r="396" spans="1:15" ht="20" customHeight="1" x14ac:dyDescent="0.2">
      <c r="A396" s="3">
        <v>392</v>
      </c>
      <c r="B396" s="19"/>
      <c r="C396" s="4" t="s">
        <v>4233</v>
      </c>
      <c r="D396" s="4" t="s">
        <v>42</v>
      </c>
      <c r="E396" s="4"/>
      <c r="F396" s="8"/>
      <c r="G396" s="8"/>
      <c r="H396" s="8"/>
      <c r="I396" s="8"/>
      <c r="J396" s="8"/>
      <c r="K396" s="8">
        <v>1</v>
      </c>
      <c r="L396" s="18">
        <v>1200</v>
      </c>
      <c r="M396" s="7">
        <f t="shared" si="6"/>
        <v>1200</v>
      </c>
      <c r="N396" s="4"/>
      <c r="O396" s="9"/>
    </row>
    <row r="397" spans="1:15" ht="20" customHeight="1" x14ac:dyDescent="0.2">
      <c r="A397" s="3">
        <v>393</v>
      </c>
      <c r="B397" s="19"/>
      <c r="C397" s="4" t="s">
        <v>4234</v>
      </c>
      <c r="D397" s="4" t="s">
        <v>42</v>
      </c>
      <c r="E397" s="4"/>
      <c r="F397" s="8"/>
      <c r="G397" s="8"/>
      <c r="H397" s="8"/>
      <c r="I397" s="8"/>
      <c r="J397" s="8"/>
      <c r="K397" s="8">
        <v>1</v>
      </c>
      <c r="L397" s="18">
        <v>1500</v>
      </c>
      <c r="M397" s="7">
        <f t="shared" si="6"/>
        <v>1500</v>
      </c>
      <c r="N397" s="4"/>
      <c r="O397" s="9"/>
    </row>
    <row r="398" spans="1:15" ht="20" customHeight="1" x14ac:dyDescent="0.2">
      <c r="A398" s="3">
        <v>394</v>
      </c>
      <c r="B398" s="19"/>
      <c r="C398" s="4" t="s">
        <v>4235</v>
      </c>
      <c r="D398" s="4" t="s">
        <v>42</v>
      </c>
      <c r="E398" s="4"/>
      <c r="F398" s="8"/>
      <c r="G398" s="8"/>
      <c r="H398" s="8"/>
      <c r="I398" s="8"/>
      <c r="J398" s="8"/>
      <c r="K398" s="8">
        <v>0</v>
      </c>
      <c r="L398" s="18">
        <v>0</v>
      </c>
      <c r="M398" s="7">
        <f t="shared" si="6"/>
        <v>0</v>
      </c>
      <c r="N398" s="4"/>
      <c r="O398" s="9"/>
    </row>
    <row r="399" spans="1:15" ht="20" customHeight="1" x14ac:dyDescent="0.2">
      <c r="A399" s="3">
        <v>395</v>
      </c>
      <c r="B399" s="19"/>
      <c r="C399" s="4" t="s">
        <v>4236</v>
      </c>
      <c r="D399" s="4" t="s">
        <v>42</v>
      </c>
      <c r="E399" s="4"/>
      <c r="F399" s="8"/>
      <c r="G399" s="8"/>
      <c r="H399" s="8"/>
      <c r="I399" s="8"/>
      <c r="J399" s="8"/>
      <c r="K399" s="8">
        <v>0</v>
      </c>
      <c r="L399" s="18">
        <v>0</v>
      </c>
      <c r="M399" s="7">
        <f t="shared" si="6"/>
        <v>0</v>
      </c>
      <c r="N399" s="4"/>
      <c r="O399" s="9"/>
    </row>
    <row r="400" spans="1:15" ht="20" customHeight="1" x14ac:dyDescent="0.2">
      <c r="A400" s="3">
        <v>396</v>
      </c>
      <c r="B400" s="19"/>
      <c r="C400" s="4" t="s">
        <v>4237</v>
      </c>
      <c r="D400" s="4" t="s">
        <v>42</v>
      </c>
      <c r="E400" s="4"/>
      <c r="F400" s="8"/>
      <c r="G400" s="8"/>
      <c r="H400" s="8"/>
      <c r="I400" s="8"/>
      <c r="J400" s="8"/>
      <c r="K400" s="8">
        <v>0</v>
      </c>
      <c r="L400" s="18">
        <v>0</v>
      </c>
      <c r="M400" s="7">
        <f t="shared" si="6"/>
        <v>0</v>
      </c>
      <c r="N400" s="4"/>
      <c r="O400" s="9"/>
    </row>
    <row r="401" spans="1:15" ht="20" customHeight="1" x14ac:dyDescent="0.2">
      <c r="A401" s="3">
        <v>397</v>
      </c>
      <c r="B401" s="19"/>
      <c r="C401" s="4" t="s">
        <v>4238</v>
      </c>
      <c r="D401" s="4" t="s">
        <v>42</v>
      </c>
      <c r="E401" s="4"/>
      <c r="F401" s="8"/>
      <c r="G401" s="8"/>
      <c r="H401" s="8"/>
      <c r="I401" s="8"/>
      <c r="J401" s="8"/>
      <c r="K401" s="8">
        <v>1</v>
      </c>
      <c r="L401" s="18">
        <v>13500</v>
      </c>
      <c r="M401" s="7">
        <f t="shared" si="6"/>
        <v>13500</v>
      </c>
      <c r="N401" s="4"/>
      <c r="O401" s="9"/>
    </row>
    <row r="402" spans="1:15" ht="20" customHeight="1" x14ac:dyDescent="0.2">
      <c r="A402" s="3">
        <v>398</v>
      </c>
      <c r="B402" s="19"/>
      <c r="C402" s="4" t="s">
        <v>4239</v>
      </c>
      <c r="D402" s="4" t="s">
        <v>42</v>
      </c>
      <c r="E402" s="4"/>
      <c r="F402" s="8"/>
      <c r="G402" s="8"/>
      <c r="H402" s="8"/>
      <c r="I402" s="8"/>
      <c r="J402" s="8"/>
      <c r="K402" s="8">
        <v>1</v>
      </c>
      <c r="L402" s="18">
        <v>4002</v>
      </c>
      <c r="M402" s="7">
        <f t="shared" si="6"/>
        <v>4002</v>
      </c>
      <c r="N402" s="4"/>
      <c r="O402" s="9"/>
    </row>
    <row r="403" spans="1:15" ht="20" customHeight="1" x14ac:dyDescent="0.2">
      <c r="A403" s="3">
        <v>399</v>
      </c>
      <c r="B403" s="19"/>
      <c r="C403" s="4" t="s">
        <v>4240</v>
      </c>
      <c r="D403" s="4" t="s">
        <v>42</v>
      </c>
      <c r="E403" s="4"/>
      <c r="F403" s="8"/>
      <c r="G403" s="8"/>
      <c r="H403" s="8"/>
      <c r="I403" s="8"/>
      <c r="J403" s="8"/>
      <c r="K403" s="8">
        <v>1</v>
      </c>
      <c r="L403" s="18">
        <v>4002</v>
      </c>
      <c r="M403" s="7">
        <f t="shared" si="6"/>
        <v>4002</v>
      </c>
      <c r="N403" s="4"/>
      <c r="O403" s="9"/>
    </row>
    <row r="404" spans="1:15" ht="20" customHeight="1" x14ac:dyDescent="0.2">
      <c r="A404" s="3">
        <v>400</v>
      </c>
      <c r="B404" s="19"/>
      <c r="C404" s="4" t="s">
        <v>4241</v>
      </c>
      <c r="D404" s="4" t="s">
        <v>42</v>
      </c>
      <c r="E404" s="4"/>
      <c r="F404" s="8"/>
      <c r="G404" s="8"/>
      <c r="H404" s="8"/>
      <c r="I404" s="8"/>
      <c r="J404" s="8"/>
      <c r="K404" s="8">
        <v>1</v>
      </c>
      <c r="L404" s="18">
        <v>4002</v>
      </c>
      <c r="M404" s="7">
        <f t="shared" si="6"/>
        <v>4002</v>
      </c>
      <c r="N404" s="4"/>
      <c r="O404" s="9"/>
    </row>
    <row r="405" spans="1:15" ht="20" customHeight="1" x14ac:dyDescent="0.2">
      <c r="A405" s="3">
        <v>401</v>
      </c>
      <c r="B405" s="19"/>
      <c r="C405" s="4" t="s">
        <v>4242</v>
      </c>
      <c r="D405" s="4" t="s">
        <v>42</v>
      </c>
      <c r="E405" s="4"/>
      <c r="F405" s="8"/>
      <c r="G405" s="8"/>
      <c r="H405" s="8"/>
      <c r="I405" s="8"/>
      <c r="J405" s="8"/>
      <c r="K405" s="8">
        <v>1</v>
      </c>
      <c r="L405" s="18">
        <v>900</v>
      </c>
      <c r="M405" s="7">
        <f t="shared" si="6"/>
        <v>900</v>
      </c>
      <c r="N405" s="4"/>
      <c r="O405" s="9"/>
    </row>
    <row r="406" spans="1:15" ht="20" customHeight="1" x14ac:dyDescent="0.2">
      <c r="A406" s="3">
        <v>402</v>
      </c>
      <c r="B406" s="19"/>
      <c r="C406" s="4" t="s">
        <v>4243</v>
      </c>
      <c r="D406" s="4" t="s">
        <v>42</v>
      </c>
      <c r="E406" s="4"/>
      <c r="F406" s="8"/>
      <c r="G406" s="8"/>
      <c r="H406" s="8"/>
      <c r="I406" s="8"/>
      <c r="J406" s="8"/>
      <c r="K406" s="8">
        <v>0</v>
      </c>
      <c r="L406" s="18">
        <v>0</v>
      </c>
      <c r="M406" s="7">
        <f t="shared" si="6"/>
        <v>0</v>
      </c>
      <c r="N406" s="4"/>
      <c r="O406" s="9"/>
    </row>
    <row r="407" spans="1:15" ht="20" customHeight="1" x14ac:dyDescent="0.2">
      <c r="A407" s="3">
        <v>403</v>
      </c>
      <c r="B407" s="19"/>
      <c r="C407" s="4" t="s">
        <v>4244</v>
      </c>
      <c r="D407" s="4" t="s">
        <v>42</v>
      </c>
      <c r="E407" s="4"/>
      <c r="F407" s="8"/>
      <c r="G407" s="8"/>
      <c r="H407" s="8"/>
      <c r="I407" s="8"/>
      <c r="J407" s="8"/>
      <c r="K407" s="8">
        <v>1</v>
      </c>
      <c r="L407" s="18">
        <v>380000</v>
      </c>
      <c r="M407" s="7">
        <f t="shared" si="6"/>
        <v>380000</v>
      </c>
      <c r="N407" s="4"/>
      <c r="O407" s="9"/>
    </row>
    <row r="408" spans="1:15" ht="20" customHeight="1" x14ac:dyDescent="0.2">
      <c r="A408" s="3">
        <v>404</v>
      </c>
      <c r="B408" s="19"/>
      <c r="C408" s="4" t="s">
        <v>4245</v>
      </c>
      <c r="D408" s="4" t="s">
        <v>42</v>
      </c>
      <c r="E408" s="4"/>
      <c r="F408" s="8"/>
      <c r="G408" s="8"/>
      <c r="H408" s="8"/>
      <c r="I408" s="8"/>
      <c r="J408" s="8"/>
      <c r="K408" s="8">
        <v>0</v>
      </c>
      <c r="L408" s="18">
        <v>0</v>
      </c>
      <c r="M408" s="7">
        <f t="shared" si="6"/>
        <v>0</v>
      </c>
      <c r="N408" s="4"/>
      <c r="O408" s="9"/>
    </row>
    <row r="409" spans="1:15" ht="20" customHeight="1" x14ac:dyDescent="0.2">
      <c r="A409" s="3">
        <v>405</v>
      </c>
      <c r="B409" s="19"/>
      <c r="C409" s="4" t="s">
        <v>4246</v>
      </c>
      <c r="D409" s="4" t="s">
        <v>42</v>
      </c>
      <c r="E409" s="4"/>
      <c r="F409" s="8"/>
      <c r="G409" s="8"/>
      <c r="H409" s="8"/>
      <c r="I409" s="8"/>
      <c r="J409" s="8"/>
      <c r="K409" s="8">
        <v>0</v>
      </c>
      <c r="L409" s="18">
        <v>0</v>
      </c>
      <c r="M409" s="7">
        <f t="shared" si="6"/>
        <v>0</v>
      </c>
      <c r="N409" s="4"/>
      <c r="O409" s="9"/>
    </row>
    <row r="410" spans="1:15" ht="20" customHeight="1" x14ac:dyDescent="0.2">
      <c r="A410" s="3">
        <v>406</v>
      </c>
      <c r="B410" s="19"/>
      <c r="C410" s="4" t="s">
        <v>4247</v>
      </c>
      <c r="D410" s="4" t="s">
        <v>42</v>
      </c>
      <c r="E410" s="4"/>
      <c r="F410" s="8"/>
      <c r="G410" s="8"/>
      <c r="H410" s="8"/>
      <c r="I410" s="8"/>
      <c r="J410" s="8"/>
      <c r="K410" s="8">
        <v>1</v>
      </c>
      <c r="L410" s="18">
        <v>3800</v>
      </c>
      <c r="M410" s="7">
        <f t="shared" si="6"/>
        <v>3800</v>
      </c>
      <c r="N410" s="4"/>
      <c r="O410" s="9"/>
    </row>
    <row r="411" spans="1:15" ht="20" customHeight="1" x14ac:dyDescent="0.2">
      <c r="A411" s="3">
        <v>407</v>
      </c>
      <c r="B411" s="19"/>
      <c r="C411" s="4" t="s">
        <v>4248</v>
      </c>
      <c r="D411" s="4" t="s">
        <v>42</v>
      </c>
      <c r="E411" s="4"/>
      <c r="F411" s="8"/>
      <c r="G411" s="8"/>
      <c r="H411" s="8"/>
      <c r="I411" s="8"/>
      <c r="J411" s="8"/>
      <c r="K411" s="8">
        <v>1</v>
      </c>
      <c r="L411" s="18">
        <v>4000</v>
      </c>
      <c r="M411" s="7">
        <f t="shared" si="6"/>
        <v>4000</v>
      </c>
      <c r="N411" s="4"/>
      <c r="O411" s="9"/>
    </row>
    <row r="412" spans="1:15" ht="20" customHeight="1" x14ac:dyDescent="0.2">
      <c r="A412" s="3">
        <v>408</v>
      </c>
      <c r="B412" s="19"/>
      <c r="C412" s="4" t="s">
        <v>4249</v>
      </c>
      <c r="D412" s="4" t="s">
        <v>42</v>
      </c>
      <c r="E412" s="4"/>
      <c r="F412" s="8"/>
      <c r="G412" s="8"/>
      <c r="H412" s="8"/>
      <c r="I412" s="8"/>
      <c r="J412" s="8"/>
      <c r="K412" s="8">
        <v>1</v>
      </c>
      <c r="L412" s="18">
        <v>4750</v>
      </c>
      <c r="M412" s="7">
        <f t="shared" si="6"/>
        <v>4750</v>
      </c>
      <c r="N412" s="4"/>
      <c r="O412" s="9"/>
    </row>
    <row r="413" spans="1:15" ht="20" customHeight="1" x14ac:dyDescent="0.2">
      <c r="A413" s="3">
        <v>409</v>
      </c>
      <c r="B413" s="19"/>
      <c r="C413" s="4" t="s">
        <v>4250</v>
      </c>
      <c r="D413" s="4" t="s">
        <v>42</v>
      </c>
      <c r="E413" s="4"/>
      <c r="F413" s="8"/>
      <c r="G413" s="8"/>
      <c r="H413" s="8"/>
      <c r="I413" s="8"/>
      <c r="J413" s="8"/>
      <c r="K413" s="8">
        <v>1</v>
      </c>
      <c r="L413" s="18">
        <v>6750</v>
      </c>
      <c r="M413" s="7">
        <f t="shared" si="6"/>
        <v>6750</v>
      </c>
      <c r="N413" s="4"/>
      <c r="O413" s="9"/>
    </row>
    <row r="414" spans="1:15" ht="20" customHeight="1" x14ac:dyDescent="0.2">
      <c r="A414" s="3">
        <v>410</v>
      </c>
      <c r="B414" s="19"/>
      <c r="C414" s="4" t="s">
        <v>4251</v>
      </c>
      <c r="D414" s="4" t="s">
        <v>42</v>
      </c>
      <c r="E414" s="4"/>
      <c r="F414" s="8"/>
      <c r="G414" s="8"/>
      <c r="H414" s="8"/>
      <c r="I414" s="8"/>
      <c r="J414" s="8"/>
      <c r="K414" s="8">
        <v>1</v>
      </c>
      <c r="L414" s="18">
        <v>9000</v>
      </c>
      <c r="M414" s="7">
        <f t="shared" si="6"/>
        <v>9000</v>
      </c>
      <c r="N414" s="4"/>
      <c r="O414" s="9"/>
    </row>
    <row r="415" spans="1:15" ht="20" customHeight="1" x14ac:dyDescent="0.2">
      <c r="A415" s="3">
        <v>411</v>
      </c>
      <c r="B415" s="19"/>
      <c r="C415" s="4" t="s">
        <v>4252</v>
      </c>
      <c r="D415" s="4" t="s">
        <v>42</v>
      </c>
      <c r="E415" s="4"/>
      <c r="F415" s="8"/>
      <c r="G415" s="8"/>
      <c r="H415" s="8"/>
      <c r="I415" s="8"/>
      <c r="J415" s="8"/>
      <c r="K415" s="8">
        <v>1</v>
      </c>
      <c r="L415" s="18">
        <v>13900</v>
      </c>
      <c r="M415" s="7">
        <f t="shared" si="6"/>
        <v>13900</v>
      </c>
      <c r="N415" s="4"/>
      <c r="O415" s="9"/>
    </row>
    <row r="416" spans="1:15" ht="20" customHeight="1" x14ac:dyDescent="0.2">
      <c r="A416" s="3">
        <v>412</v>
      </c>
      <c r="B416" s="19"/>
      <c r="C416" s="4" t="s">
        <v>4253</v>
      </c>
      <c r="D416" s="4" t="s">
        <v>42</v>
      </c>
      <c r="E416" s="4"/>
      <c r="F416" s="8"/>
      <c r="G416" s="8"/>
      <c r="H416" s="8"/>
      <c r="I416" s="8"/>
      <c r="J416" s="8"/>
      <c r="K416" s="8">
        <v>1</v>
      </c>
      <c r="L416" s="18">
        <v>157000</v>
      </c>
      <c r="M416" s="7">
        <f t="shared" si="6"/>
        <v>157000</v>
      </c>
      <c r="N416" s="4"/>
      <c r="O416" s="9"/>
    </row>
    <row r="417" spans="1:15" ht="20" customHeight="1" x14ac:dyDescent="0.2">
      <c r="A417" s="3">
        <v>413</v>
      </c>
      <c r="B417" s="19"/>
      <c r="C417" s="4" t="s">
        <v>4254</v>
      </c>
      <c r="D417" s="4" t="s">
        <v>42</v>
      </c>
      <c r="E417" s="4"/>
      <c r="F417" s="8"/>
      <c r="G417" s="8"/>
      <c r="H417" s="8"/>
      <c r="I417" s="8"/>
      <c r="J417" s="8"/>
      <c r="K417" s="8">
        <v>0</v>
      </c>
      <c r="L417" s="18">
        <v>0</v>
      </c>
      <c r="M417" s="7">
        <f t="shared" si="6"/>
        <v>0</v>
      </c>
      <c r="N417" s="4"/>
      <c r="O417" s="9"/>
    </row>
    <row r="418" spans="1:15" ht="20" customHeight="1" x14ac:dyDescent="0.2">
      <c r="A418" s="3">
        <v>414</v>
      </c>
      <c r="B418" s="19"/>
      <c r="C418" s="4" t="s">
        <v>4255</v>
      </c>
      <c r="D418" s="4" t="s">
        <v>42</v>
      </c>
      <c r="E418" s="4"/>
      <c r="F418" s="8"/>
      <c r="G418" s="8"/>
      <c r="H418" s="8"/>
      <c r="I418" s="8"/>
      <c r="J418" s="8"/>
      <c r="K418" s="8">
        <v>1</v>
      </c>
      <c r="L418" s="18">
        <v>17120</v>
      </c>
      <c r="M418" s="7">
        <f t="shared" si="6"/>
        <v>17120</v>
      </c>
      <c r="N418" s="4"/>
      <c r="O418" s="9"/>
    </row>
    <row r="419" spans="1:15" ht="20" customHeight="1" x14ac:dyDescent="0.2">
      <c r="A419" s="3">
        <v>415</v>
      </c>
      <c r="B419" s="19"/>
      <c r="C419" s="4" t="s">
        <v>4256</v>
      </c>
      <c r="D419" s="4" t="s">
        <v>42</v>
      </c>
      <c r="E419" s="4"/>
      <c r="F419" s="8"/>
      <c r="G419" s="8"/>
      <c r="H419" s="8"/>
      <c r="I419" s="8"/>
      <c r="J419" s="8"/>
      <c r="K419" s="8">
        <v>0</v>
      </c>
      <c r="L419" s="18">
        <v>0</v>
      </c>
      <c r="M419" s="7">
        <f t="shared" si="6"/>
        <v>0</v>
      </c>
      <c r="N419" s="4"/>
      <c r="O419" s="9"/>
    </row>
    <row r="420" spans="1:15" ht="20" customHeight="1" x14ac:dyDescent="0.2">
      <c r="A420" s="3">
        <v>416</v>
      </c>
      <c r="B420" s="19"/>
      <c r="C420" s="4" t="s">
        <v>4257</v>
      </c>
      <c r="D420" s="4" t="s">
        <v>42</v>
      </c>
      <c r="E420" s="4"/>
      <c r="F420" s="8"/>
      <c r="G420" s="8"/>
      <c r="H420" s="8"/>
      <c r="I420" s="8"/>
      <c r="J420" s="8"/>
      <c r="K420" s="8">
        <v>1</v>
      </c>
      <c r="L420" s="18">
        <v>30000</v>
      </c>
      <c r="M420" s="7">
        <f t="shared" si="6"/>
        <v>30000</v>
      </c>
      <c r="N420" s="4"/>
      <c r="O420" s="9"/>
    </row>
    <row r="421" spans="1:15" ht="20" customHeight="1" x14ac:dyDescent="0.2">
      <c r="A421" s="3">
        <v>417</v>
      </c>
      <c r="B421" s="19"/>
      <c r="C421" s="4" t="s">
        <v>4258</v>
      </c>
      <c r="D421" s="4" t="s">
        <v>42</v>
      </c>
      <c r="E421" s="4"/>
      <c r="F421" s="8"/>
      <c r="G421" s="8"/>
      <c r="H421" s="8"/>
      <c r="I421" s="8"/>
      <c r="J421" s="8"/>
      <c r="K421" s="8">
        <v>0</v>
      </c>
      <c r="L421" s="18">
        <v>0</v>
      </c>
      <c r="M421" s="7">
        <f t="shared" si="6"/>
        <v>0</v>
      </c>
      <c r="N421" s="4"/>
      <c r="O421" s="9"/>
    </row>
    <row r="422" spans="1:15" ht="20" customHeight="1" x14ac:dyDescent="0.2">
      <c r="A422" s="3">
        <v>418</v>
      </c>
      <c r="B422" s="19"/>
      <c r="C422" s="4" t="s">
        <v>4259</v>
      </c>
      <c r="D422" s="4" t="s">
        <v>42</v>
      </c>
      <c r="E422" s="4"/>
      <c r="F422" s="8"/>
      <c r="G422" s="8"/>
      <c r="H422" s="8"/>
      <c r="I422" s="8"/>
      <c r="J422" s="8"/>
      <c r="K422" s="8">
        <v>1</v>
      </c>
      <c r="L422" s="18">
        <v>21920</v>
      </c>
      <c r="M422" s="7">
        <f t="shared" si="6"/>
        <v>21920</v>
      </c>
      <c r="N422" s="4"/>
      <c r="O422" s="9"/>
    </row>
    <row r="423" spans="1:15" ht="20" customHeight="1" x14ac:dyDescent="0.2">
      <c r="A423" s="3">
        <v>419</v>
      </c>
      <c r="B423" s="19"/>
      <c r="C423" s="4" t="s">
        <v>4260</v>
      </c>
      <c r="D423" s="4" t="s">
        <v>42</v>
      </c>
      <c r="E423" s="4"/>
      <c r="F423" s="8"/>
      <c r="G423" s="8"/>
      <c r="H423" s="8"/>
      <c r="I423" s="8"/>
      <c r="J423" s="8"/>
      <c r="K423" s="8">
        <v>1</v>
      </c>
      <c r="L423" s="18">
        <v>29400</v>
      </c>
      <c r="M423" s="7">
        <f t="shared" si="6"/>
        <v>29400</v>
      </c>
      <c r="N423" s="4"/>
      <c r="O423" s="9"/>
    </row>
    <row r="424" spans="1:15" ht="20" customHeight="1" x14ac:dyDescent="0.2">
      <c r="A424" s="3">
        <v>420</v>
      </c>
      <c r="B424" s="19"/>
      <c r="C424" s="4" t="s">
        <v>4261</v>
      </c>
      <c r="D424" s="4" t="s">
        <v>42</v>
      </c>
      <c r="E424" s="4"/>
      <c r="F424" s="8"/>
      <c r="G424" s="8"/>
      <c r="H424" s="8"/>
      <c r="I424" s="8"/>
      <c r="J424" s="8"/>
      <c r="K424" s="8">
        <v>0</v>
      </c>
      <c r="L424" s="18">
        <v>0</v>
      </c>
      <c r="M424" s="7">
        <f t="shared" si="6"/>
        <v>0</v>
      </c>
      <c r="N424" s="4"/>
      <c r="O424" s="9"/>
    </row>
    <row r="425" spans="1:15" ht="20" customHeight="1" x14ac:dyDescent="0.2">
      <c r="A425" s="3">
        <v>421</v>
      </c>
      <c r="B425" s="19"/>
      <c r="C425" s="4" t="s">
        <v>4262</v>
      </c>
      <c r="D425" s="4" t="s">
        <v>42</v>
      </c>
      <c r="E425" s="4"/>
      <c r="F425" s="8"/>
      <c r="G425" s="8"/>
      <c r="H425" s="8"/>
      <c r="I425" s="8"/>
      <c r="J425" s="8"/>
      <c r="K425" s="8">
        <v>1</v>
      </c>
      <c r="L425" s="18">
        <v>48150</v>
      </c>
      <c r="M425" s="7">
        <f t="shared" si="6"/>
        <v>48150</v>
      </c>
      <c r="N425" s="4"/>
      <c r="O425" s="9"/>
    </row>
    <row r="426" spans="1:15" ht="20" customHeight="1" x14ac:dyDescent="0.2">
      <c r="A426" s="3">
        <v>422</v>
      </c>
      <c r="B426" s="19"/>
      <c r="C426" s="4" t="s">
        <v>4263</v>
      </c>
      <c r="D426" s="4" t="s">
        <v>42</v>
      </c>
      <c r="E426" s="4"/>
      <c r="F426" s="8"/>
      <c r="G426" s="8"/>
      <c r="H426" s="8"/>
      <c r="I426" s="8"/>
      <c r="J426" s="8"/>
      <c r="K426" s="8">
        <v>1</v>
      </c>
      <c r="L426" s="18">
        <v>3210</v>
      </c>
      <c r="M426" s="7">
        <f t="shared" si="6"/>
        <v>3210</v>
      </c>
      <c r="N426" s="4"/>
      <c r="O426" s="9"/>
    </row>
    <row r="427" spans="1:15" ht="20" customHeight="1" x14ac:dyDescent="0.2">
      <c r="A427" s="3">
        <v>423</v>
      </c>
      <c r="B427" s="19"/>
      <c r="C427" s="4" t="s">
        <v>4264</v>
      </c>
      <c r="D427" s="4" t="s">
        <v>42</v>
      </c>
      <c r="E427" s="4"/>
      <c r="F427" s="8"/>
      <c r="G427" s="8"/>
      <c r="H427" s="8"/>
      <c r="I427" s="8"/>
      <c r="J427" s="8"/>
      <c r="K427" s="8">
        <v>1</v>
      </c>
      <c r="L427" s="18">
        <v>4920</v>
      </c>
      <c r="M427" s="7">
        <f t="shared" si="6"/>
        <v>4920</v>
      </c>
      <c r="N427" s="4"/>
      <c r="O427" s="9"/>
    </row>
    <row r="428" spans="1:15" ht="20" customHeight="1" x14ac:dyDescent="0.2">
      <c r="A428" s="3">
        <v>424</v>
      </c>
      <c r="B428" s="19"/>
      <c r="C428" s="4" t="s">
        <v>4265</v>
      </c>
      <c r="D428" s="4" t="s">
        <v>42</v>
      </c>
      <c r="E428" s="4"/>
      <c r="F428" s="8"/>
      <c r="G428" s="8"/>
      <c r="H428" s="8"/>
      <c r="I428" s="8"/>
      <c r="J428" s="8"/>
      <c r="K428" s="8">
        <v>1</v>
      </c>
      <c r="L428" s="18">
        <v>6365</v>
      </c>
      <c r="M428" s="7">
        <f t="shared" si="6"/>
        <v>6365</v>
      </c>
      <c r="N428" s="4"/>
      <c r="O428" s="9"/>
    </row>
    <row r="429" spans="1:15" ht="20" customHeight="1" x14ac:dyDescent="0.2">
      <c r="A429" s="3">
        <v>425</v>
      </c>
      <c r="B429" s="19"/>
      <c r="C429" s="4" t="s">
        <v>4266</v>
      </c>
      <c r="D429" s="4" t="s">
        <v>42</v>
      </c>
      <c r="E429" s="4"/>
      <c r="F429" s="8"/>
      <c r="G429" s="8"/>
      <c r="H429" s="8"/>
      <c r="I429" s="8"/>
      <c r="J429" s="8"/>
      <c r="K429" s="8">
        <v>1</v>
      </c>
      <c r="L429" s="18">
        <v>7950</v>
      </c>
      <c r="M429" s="7">
        <f t="shared" si="6"/>
        <v>7950</v>
      </c>
      <c r="N429" s="4"/>
      <c r="O429" s="9"/>
    </row>
    <row r="430" spans="1:15" ht="20" customHeight="1" x14ac:dyDescent="0.2">
      <c r="A430" s="3">
        <v>426</v>
      </c>
      <c r="B430" s="19"/>
      <c r="C430" s="4" t="s">
        <v>4267</v>
      </c>
      <c r="D430" s="4" t="s">
        <v>42</v>
      </c>
      <c r="E430" s="4"/>
      <c r="F430" s="8"/>
      <c r="G430" s="8"/>
      <c r="H430" s="8"/>
      <c r="I430" s="8"/>
      <c r="J430" s="8"/>
      <c r="K430" s="8">
        <v>1</v>
      </c>
      <c r="L430" s="18">
        <v>27000</v>
      </c>
      <c r="M430" s="7">
        <f t="shared" si="6"/>
        <v>27000</v>
      </c>
      <c r="N430" s="4"/>
      <c r="O430" s="9"/>
    </row>
    <row r="431" spans="1:15" ht="20" customHeight="1" x14ac:dyDescent="0.2">
      <c r="A431" s="3">
        <v>427</v>
      </c>
      <c r="B431" s="19"/>
      <c r="C431" s="4" t="s">
        <v>4268</v>
      </c>
      <c r="D431" s="4" t="s">
        <v>42</v>
      </c>
      <c r="E431" s="4"/>
      <c r="F431" s="8"/>
      <c r="G431" s="8"/>
      <c r="H431" s="8"/>
      <c r="I431" s="8"/>
      <c r="J431" s="8"/>
      <c r="K431" s="8">
        <v>1</v>
      </c>
      <c r="L431" s="18">
        <v>2675</v>
      </c>
      <c r="M431" s="7">
        <f t="shared" si="6"/>
        <v>2675</v>
      </c>
      <c r="N431" s="4"/>
      <c r="O431" s="9"/>
    </row>
    <row r="432" spans="1:15" ht="20" customHeight="1" x14ac:dyDescent="0.2">
      <c r="A432" s="3">
        <v>428</v>
      </c>
      <c r="B432" s="19"/>
      <c r="C432" s="4" t="s">
        <v>4269</v>
      </c>
      <c r="D432" s="4" t="s">
        <v>42</v>
      </c>
      <c r="E432" s="4"/>
      <c r="F432" s="8"/>
      <c r="G432" s="8"/>
      <c r="H432" s="8"/>
      <c r="I432" s="8"/>
      <c r="J432" s="8"/>
      <c r="K432" s="8">
        <v>1</v>
      </c>
      <c r="L432" s="18">
        <v>4280</v>
      </c>
      <c r="M432" s="7">
        <f t="shared" si="6"/>
        <v>4280</v>
      </c>
      <c r="N432" s="4"/>
      <c r="O432" s="9"/>
    </row>
    <row r="433" spans="1:15" ht="20" customHeight="1" x14ac:dyDescent="0.2">
      <c r="A433" s="3">
        <v>429</v>
      </c>
      <c r="B433" s="19"/>
      <c r="C433" s="4" t="s">
        <v>4270</v>
      </c>
      <c r="D433" s="4" t="s">
        <v>42</v>
      </c>
      <c r="E433" s="4"/>
      <c r="F433" s="8"/>
      <c r="G433" s="8"/>
      <c r="H433" s="8"/>
      <c r="I433" s="8"/>
      <c r="J433" s="8"/>
      <c r="K433" s="8">
        <v>1</v>
      </c>
      <c r="L433" s="18">
        <v>6420</v>
      </c>
      <c r="M433" s="7">
        <f t="shared" si="6"/>
        <v>6420</v>
      </c>
      <c r="N433" s="4"/>
      <c r="O433" s="9"/>
    </row>
    <row r="434" spans="1:15" ht="20" customHeight="1" x14ac:dyDescent="0.2">
      <c r="A434" s="3">
        <v>430</v>
      </c>
      <c r="B434" s="19"/>
      <c r="C434" s="4" t="s">
        <v>4271</v>
      </c>
      <c r="D434" s="4" t="s">
        <v>42</v>
      </c>
      <c r="E434" s="4"/>
      <c r="F434" s="8"/>
      <c r="G434" s="8"/>
      <c r="H434" s="8"/>
      <c r="I434" s="8"/>
      <c r="J434" s="8"/>
      <c r="K434" s="8">
        <v>1</v>
      </c>
      <c r="L434" s="18">
        <v>32742</v>
      </c>
      <c r="M434" s="7">
        <f t="shared" si="6"/>
        <v>32742</v>
      </c>
      <c r="N434" s="4"/>
      <c r="O434" s="9"/>
    </row>
    <row r="435" spans="1:15" ht="20" customHeight="1" x14ac:dyDescent="0.2">
      <c r="A435" s="3">
        <v>431</v>
      </c>
      <c r="B435" s="19"/>
      <c r="C435" s="4" t="s">
        <v>4272</v>
      </c>
      <c r="D435" s="4" t="s">
        <v>42</v>
      </c>
      <c r="E435" s="4"/>
      <c r="F435" s="8"/>
      <c r="G435" s="8"/>
      <c r="H435" s="8"/>
      <c r="I435" s="8"/>
      <c r="J435" s="8"/>
      <c r="K435" s="8">
        <v>1</v>
      </c>
      <c r="L435" s="18">
        <v>11770</v>
      </c>
      <c r="M435" s="7">
        <f t="shared" si="6"/>
        <v>11770</v>
      </c>
      <c r="N435" s="4"/>
      <c r="O435" s="9"/>
    </row>
    <row r="436" spans="1:15" ht="20" customHeight="1" x14ac:dyDescent="0.2">
      <c r="A436" s="3">
        <v>432</v>
      </c>
      <c r="B436" s="19"/>
      <c r="C436" s="4" t="s">
        <v>4273</v>
      </c>
      <c r="D436" s="4" t="s">
        <v>42</v>
      </c>
      <c r="E436" s="4"/>
      <c r="F436" s="8"/>
      <c r="G436" s="8"/>
      <c r="H436" s="8"/>
      <c r="I436" s="8"/>
      <c r="J436" s="8"/>
      <c r="K436" s="8">
        <v>1</v>
      </c>
      <c r="L436" s="18">
        <v>1445</v>
      </c>
      <c r="M436" s="7">
        <f t="shared" si="6"/>
        <v>1445</v>
      </c>
      <c r="N436" s="4"/>
      <c r="O436" s="9"/>
    </row>
    <row r="437" spans="1:15" ht="20" customHeight="1" x14ac:dyDescent="0.2">
      <c r="A437" s="3">
        <v>433</v>
      </c>
      <c r="B437" s="19"/>
      <c r="C437" s="4" t="s">
        <v>4274</v>
      </c>
      <c r="D437" s="4" t="s">
        <v>42</v>
      </c>
      <c r="E437" s="4"/>
      <c r="F437" s="8"/>
      <c r="G437" s="8"/>
      <c r="H437" s="8"/>
      <c r="I437" s="8"/>
      <c r="J437" s="8"/>
      <c r="K437" s="8">
        <v>1</v>
      </c>
      <c r="L437" s="18">
        <v>1445</v>
      </c>
      <c r="M437" s="7">
        <f t="shared" si="6"/>
        <v>1445</v>
      </c>
      <c r="N437" s="4"/>
      <c r="O437" s="9"/>
    </row>
    <row r="438" spans="1:15" ht="20" customHeight="1" x14ac:dyDescent="0.2">
      <c r="A438" s="3">
        <v>434</v>
      </c>
      <c r="B438" s="19"/>
      <c r="C438" s="4" t="s">
        <v>4275</v>
      </c>
      <c r="D438" s="4" t="s">
        <v>42</v>
      </c>
      <c r="E438" s="4"/>
      <c r="F438" s="8"/>
      <c r="G438" s="8"/>
      <c r="H438" s="8"/>
      <c r="I438" s="8"/>
      <c r="J438" s="8"/>
      <c r="K438" s="8">
        <v>1</v>
      </c>
      <c r="L438" s="18">
        <v>1445</v>
      </c>
      <c r="M438" s="7">
        <f t="shared" si="6"/>
        <v>1445</v>
      </c>
      <c r="N438" s="4"/>
      <c r="O438" s="9"/>
    </row>
    <row r="439" spans="1:15" ht="20" customHeight="1" x14ac:dyDescent="0.2">
      <c r="A439" s="3">
        <v>435</v>
      </c>
      <c r="B439" s="19"/>
      <c r="C439" s="4" t="s">
        <v>4276</v>
      </c>
      <c r="D439" s="4" t="s">
        <v>42</v>
      </c>
      <c r="E439" s="4"/>
      <c r="F439" s="8"/>
      <c r="G439" s="8"/>
      <c r="H439" s="8"/>
      <c r="I439" s="8"/>
      <c r="J439" s="8"/>
      <c r="K439" s="8">
        <v>1</v>
      </c>
      <c r="L439" s="18">
        <v>1445</v>
      </c>
      <c r="M439" s="7">
        <f t="shared" si="6"/>
        <v>1445</v>
      </c>
      <c r="N439" s="4"/>
      <c r="O439" s="9"/>
    </row>
    <row r="440" spans="1:15" ht="20" customHeight="1" x14ac:dyDescent="0.2">
      <c r="A440" s="3">
        <v>436</v>
      </c>
      <c r="B440" s="19"/>
      <c r="C440" s="4" t="s">
        <v>4277</v>
      </c>
      <c r="D440" s="4" t="s">
        <v>42</v>
      </c>
      <c r="E440" s="4"/>
      <c r="F440" s="8"/>
      <c r="G440" s="8"/>
      <c r="H440" s="8"/>
      <c r="I440" s="8"/>
      <c r="J440" s="8"/>
      <c r="K440" s="8">
        <v>1</v>
      </c>
      <c r="L440" s="18">
        <v>1445</v>
      </c>
      <c r="M440" s="7">
        <f t="shared" si="6"/>
        <v>1445</v>
      </c>
      <c r="N440" s="4"/>
      <c r="O440" s="9"/>
    </row>
    <row r="441" spans="1:15" ht="20" customHeight="1" x14ac:dyDescent="0.2">
      <c r="A441" s="3">
        <v>437</v>
      </c>
      <c r="B441" s="19"/>
      <c r="C441" s="4" t="s">
        <v>4278</v>
      </c>
      <c r="D441" s="4" t="s">
        <v>42</v>
      </c>
      <c r="E441" s="4"/>
      <c r="F441" s="8"/>
      <c r="G441" s="8"/>
      <c r="H441" s="8"/>
      <c r="I441" s="8"/>
      <c r="J441" s="8"/>
      <c r="K441" s="8">
        <v>1</v>
      </c>
      <c r="L441" s="18">
        <v>34240</v>
      </c>
      <c r="M441" s="7">
        <f t="shared" si="6"/>
        <v>34240</v>
      </c>
      <c r="N441" s="4"/>
      <c r="O441" s="9"/>
    </row>
    <row r="442" spans="1:15" ht="20" customHeight="1" x14ac:dyDescent="0.2">
      <c r="A442" s="3">
        <v>438</v>
      </c>
      <c r="B442" s="19"/>
      <c r="C442" s="4" t="s">
        <v>4279</v>
      </c>
      <c r="D442" s="4" t="s">
        <v>42</v>
      </c>
      <c r="E442" s="4"/>
      <c r="F442" s="8"/>
      <c r="G442" s="8"/>
      <c r="H442" s="8"/>
      <c r="I442" s="8"/>
      <c r="J442" s="8"/>
      <c r="K442" s="8">
        <v>1</v>
      </c>
      <c r="L442" s="18">
        <v>14766</v>
      </c>
      <c r="M442" s="7">
        <f t="shared" si="6"/>
        <v>14766</v>
      </c>
      <c r="N442" s="4"/>
      <c r="O442" s="9"/>
    </row>
    <row r="443" spans="1:15" ht="20" customHeight="1" x14ac:dyDescent="0.2">
      <c r="A443" s="3">
        <v>439</v>
      </c>
      <c r="B443" s="19"/>
      <c r="C443" s="4" t="s">
        <v>4280</v>
      </c>
      <c r="D443" s="4" t="s">
        <v>42</v>
      </c>
      <c r="E443" s="4"/>
      <c r="F443" s="8"/>
      <c r="G443" s="8"/>
      <c r="H443" s="8"/>
      <c r="I443" s="8"/>
      <c r="J443" s="8"/>
      <c r="K443" s="8">
        <v>1</v>
      </c>
      <c r="L443" s="18">
        <v>984.4</v>
      </c>
      <c r="M443" s="7">
        <f t="shared" si="6"/>
        <v>984.4</v>
      </c>
      <c r="N443" s="4"/>
      <c r="O443" s="9"/>
    </row>
    <row r="444" spans="1:15" ht="20" customHeight="1" x14ac:dyDescent="0.2">
      <c r="A444" s="3">
        <v>440</v>
      </c>
      <c r="B444" s="19"/>
      <c r="C444" s="4" t="s">
        <v>4281</v>
      </c>
      <c r="D444" s="4" t="s">
        <v>42</v>
      </c>
      <c r="E444" s="4"/>
      <c r="F444" s="8"/>
      <c r="G444" s="8"/>
      <c r="H444" s="8"/>
      <c r="I444" s="8"/>
      <c r="J444" s="8"/>
      <c r="K444" s="8">
        <v>1</v>
      </c>
      <c r="L444" s="18">
        <v>1070</v>
      </c>
      <c r="M444" s="7">
        <f t="shared" si="6"/>
        <v>1070</v>
      </c>
      <c r="N444" s="4"/>
      <c r="O444" s="9"/>
    </row>
    <row r="445" spans="1:15" ht="20" customHeight="1" x14ac:dyDescent="0.2">
      <c r="A445" s="3">
        <v>441</v>
      </c>
      <c r="B445" s="19"/>
      <c r="C445" s="4" t="s">
        <v>4282</v>
      </c>
      <c r="D445" s="4" t="s">
        <v>42</v>
      </c>
      <c r="E445" s="4"/>
      <c r="F445" s="8"/>
      <c r="G445" s="8"/>
      <c r="H445" s="8"/>
      <c r="I445" s="8"/>
      <c r="J445" s="8"/>
      <c r="K445" s="8">
        <v>1</v>
      </c>
      <c r="L445" s="18">
        <v>4832</v>
      </c>
      <c r="M445" s="7">
        <f t="shared" si="6"/>
        <v>4832</v>
      </c>
      <c r="N445" s="4"/>
      <c r="O445" s="9"/>
    </row>
    <row r="446" spans="1:15" ht="20" customHeight="1" x14ac:dyDescent="0.2">
      <c r="A446" s="3">
        <v>442</v>
      </c>
      <c r="B446" s="19"/>
      <c r="C446" s="4" t="s">
        <v>4283</v>
      </c>
      <c r="D446" s="4" t="s">
        <v>42</v>
      </c>
      <c r="E446" s="4"/>
      <c r="F446" s="8"/>
      <c r="G446" s="8"/>
      <c r="H446" s="8"/>
      <c r="I446" s="8"/>
      <c r="J446" s="8"/>
      <c r="K446" s="8">
        <v>1</v>
      </c>
      <c r="L446" s="18">
        <v>8346</v>
      </c>
      <c r="M446" s="7">
        <f t="shared" si="6"/>
        <v>8346</v>
      </c>
      <c r="N446" s="4"/>
      <c r="O446" s="9"/>
    </row>
    <row r="447" spans="1:15" ht="20" customHeight="1" x14ac:dyDescent="0.2">
      <c r="A447" s="3">
        <v>443</v>
      </c>
      <c r="B447" s="19"/>
      <c r="C447" s="4" t="s">
        <v>4284</v>
      </c>
      <c r="D447" s="4" t="s">
        <v>42</v>
      </c>
      <c r="E447" s="4"/>
      <c r="F447" s="8"/>
      <c r="G447" s="8"/>
      <c r="H447" s="8"/>
      <c r="I447" s="8"/>
      <c r="J447" s="8"/>
      <c r="K447" s="8">
        <v>1</v>
      </c>
      <c r="L447" s="18">
        <v>30495</v>
      </c>
      <c r="M447" s="7">
        <f t="shared" si="6"/>
        <v>30495</v>
      </c>
      <c r="N447" s="4"/>
      <c r="O447" s="9"/>
    </row>
    <row r="448" spans="1:15" ht="20" customHeight="1" x14ac:dyDescent="0.2">
      <c r="A448" s="3">
        <v>444</v>
      </c>
      <c r="B448" s="19"/>
      <c r="C448" s="4" t="s">
        <v>4285</v>
      </c>
      <c r="D448" s="4" t="s">
        <v>42</v>
      </c>
      <c r="E448" s="4"/>
      <c r="F448" s="8"/>
      <c r="G448" s="8"/>
      <c r="H448" s="8"/>
      <c r="I448" s="8"/>
      <c r="J448" s="8"/>
      <c r="K448" s="8">
        <v>0</v>
      </c>
      <c r="L448" s="18">
        <v>0</v>
      </c>
      <c r="M448" s="7">
        <f t="shared" si="6"/>
        <v>0</v>
      </c>
      <c r="N448" s="4"/>
      <c r="O448" s="9"/>
    </row>
    <row r="449" spans="1:15" ht="20" customHeight="1" x14ac:dyDescent="0.2">
      <c r="A449" s="3">
        <v>445</v>
      </c>
      <c r="B449" s="19"/>
      <c r="C449" s="4" t="s">
        <v>4286</v>
      </c>
      <c r="D449" s="4" t="s">
        <v>42</v>
      </c>
      <c r="E449" s="4"/>
      <c r="F449" s="8"/>
      <c r="G449" s="8"/>
      <c r="H449" s="8"/>
      <c r="I449" s="8"/>
      <c r="J449" s="8"/>
      <c r="K449" s="8">
        <v>0</v>
      </c>
      <c r="L449" s="18">
        <v>0</v>
      </c>
      <c r="M449" s="7">
        <f t="shared" si="6"/>
        <v>0</v>
      </c>
      <c r="N449" s="4"/>
      <c r="O449" s="9"/>
    </row>
    <row r="450" spans="1:15" ht="20" customHeight="1" x14ac:dyDescent="0.2">
      <c r="A450" s="3">
        <v>446</v>
      </c>
      <c r="B450" s="19"/>
      <c r="C450" s="4" t="s">
        <v>4287</v>
      </c>
      <c r="D450" s="4" t="s">
        <v>42</v>
      </c>
      <c r="E450" s="4"/>
      <c r="F450" s="8"/>
      <c r="G450" s="8"/>
      <c r="H450" s="8"/>
      <c r="I450" s="8"/>
      <c r="J450" s="8"/>
      <c r="K450" s="8">
        <v>0</v>
      </c>
      <c r="L450" s="18">
        <v>0</v>
      </c>
      <c r="M450" s="7">
        <f t="shared" si="6"/>
        <v>0</v>
      </c>
      <c r="N450" s="4"/>
      <c r="O450" s="9"/>
    </row>
    <row r="451" spans="1:15" ht="20" customHeight="1" x14ac:dyDescent="0.2">
      <c r="A451" s="3">
        <v>447</v>
      </c>
      <c r="B451" s="19"/>
      <c r="C451" s="4" t="s">
        <v>4288</v>
      </c>
      <c r="D451" s="4" t="s">
        <v>42</v>
      </c>
      <c r="E451" s="4"/>
      <c r="F451" s="8"/>
      <c r="G451" s="8"/>
      <c r="H451" s="8"/>
      <c r="I451" s="8"/>
      <c r="J451" s="8"/>
      <c r="K451" s="8">
        <v>0</v>
      </c>
      <c r="L451" s="18">
        <v>0</v>
      </c>
      <c r="M451" s="7">
        <f t="shared" si="6"/>
        <v>0</v>
      </c>
      <c r="N451" s="4"/>
      <c r="O451" s="9"/>
    </row>
    <row r="452" spans="1:15" ht="20" customHeight="1" x14ac:dyDescent="0.2">
      <c r="A452" s="3">
        <v>448</v>
      </c>
      <c r="B452" s="19"/>
      <c r="C452" s="4" t="s">
        <v>4289</v>
      </c>
      <c r="D452" s="4" t="s">
        <v>42</v>
      </c>
      <c r="E452" s="4"/>
      <c r="F452" s="8"/>
      <c r="G452" s="8"/>
      <c r="H452" s="8"/>
      <c r="I452" s="8"/>
      <c r="J452" s="8"/>
      <c r="K452" s="8">
        <v>0</v>
      </c>
      <c r="L452" s="18">
        <v>0</v>
      </c>
      <c r="M452" s="7">
        <f t="shared" si="6"/>
        <v>0</v>
      </c>
      <c r="N452" s="4"/>
      <c r="O452" s="9"/>
    </row>
    <row r="453" spans="1:15" ht="20" customHeight="1" x14ac:dyDescent="0.2">
      <c r="A453" s="3">
        <v>449</v>
      </c>
      <c r="B453" s="19"/>
      <c r="C453" s="4" t="s">
        <v>4290</v>
      </c>
      <c r="D453" s="4" t="s">
        <v>42</v>
      </c>
      <c r="E453" s="4"/>
      <c r="F453" s="8"/>
      <c r="G453" s="8"/>
      <c r="H453" s="8"/>
      <c r="I453" s="8"/>
      <c r="J453" s="8"/>
      <c r="K453" s="8">
        <v>0</v>
      </c>
      <c r="L453" s="18">
        <v>0</v>
      </c>
      <c r="M453" s="7">
        <f t="shared" ref="M453:M516" si="7">IF(OR(K453="",L453=""),"",K453*L453)</f>
        <v>0</v>
      </c>
      <c r="N453" s="4"/>
      <c r="O453" s="9"/>
    </row>
    <row r="454" spans="1:15" ht="20" customHeight="1" x14ac:dyDescent="0.2">
      <c r="A454" s="3">
        <v>450</v>
      </c>
      <c r="B454" s="19"/>
      <c r="C454" s="4" t="s">
        <v>4291</v>
      </c>
      <c r="D454" s="4" t="s">
        <v>42</v>
      </c>
      <c r="E454" s="4"/>
      <c r="F454" s="8"/>
      <c r="G454" s="8"/>
      <c r="H454" s="8"/>
      <c r="I454" s="8"/>
      <c r="J454" s="8"/>
      <c r="K454" s="8">
        <v>0</v>
      </c>
      <c r="L454" s="18">
        <v>0</v>
      </c>
      <c r="M454" s="7">
        <f t="shared" si="7"/>
        <v>0</v>
      </c>
      <c r="N454" s="4"/>
      <c r="O454" s="9"/>
    </row>
    <row r="455" spans="1:15" ht="20" customHeight="1" x14ac:dyDescent="0.2">
      <c r="A455" s="3">
        <v>451</v>
      </c>
      <c r="B455" s="19"/>
      <c r="C455" s="4" t="s">
        <v>4292</v>
      </c>
      <c r="D455" s="4" t="s">
        <v>42</v>
      </c>
      <c r="E455" s="4"/>
      <c r="F455" s="8"/>
      <c r="G455" s="8"/>
      <c r="H455" s="8"/>
      <c r="I455" s="8"/>
      <c r="J455" s="8"/>
      <c r="K455" s="8">
        <v>0</v>
      </c>
      <c r="L455" s="18">
        <v>0</v>
      </c>
      <c r="M455" s="7">
        <f t="shared" si="7"/>
        <v>0</v>
      </c>
      <c r="N455" s="4"/>
      <c r="O455" s="9"/>
    </row>
    <row r="456" spans="1:15" ht="20" customHeight="1" x14ac:dyDescent="0.2">
      <c r="A456" s="3">
        <v>452</v>
      </c>
      <c r="B456" s="19"/>
      <c r="C456" s="4" t="s">
        <v>4293</v>
      </c>
      <c r="D456" s="4" t="s">
        <v>42</v>
      </c>
      <c r="E456" s="4"/>
      <c r="F456" s="8"/>
      <c r="G456" s="8"/>
      <c r="H456" s="8"/>
      <c r="I456" s="8"/>
      <c r="J456" s="8"/>
      <c r="K456" s="8">
        <v>0</v>
      </c>
      <c r="L456" s="18">
        <v>0</v>
      </c>
      <c r="M456" s="7">
        <f t="shared" si="7"/>
        <v>0</v>
      </c>
      <c r="N456" s="4"/>
      <c r="O456" s="9"/>
    </row>
    <row r="457" spans="1:15" ht="20" customHeight="1" x14ac:dyDescent="0.2">
      <c r="A457" s="3">
        <v>453</v>
      </c>
      <c r="B457" s="19"/>
      <c r="C457" s="4" t="s">
        <v>4294</v>
      </c>
      <c r="D457" s="4" t="s">
        <v>42</v>
      </c>
      <c r="E457" s="4"/>
      <c r="F457" s="8"/>
      <c r="G457" s="8"/>
      <c r="H457" s="8"/>
      <c r="I457" s="8"/>
      <c r="J457" s="8"/>
      <c r="K457" s="8">
        <v>0</v>
      </c>
      <c r="L457" s="18">
        <v>0</v>
      </c>
      <c r="M457" s="7">
        <f t="shared" si="7"/>
        <v>0</v>
      </c>
      <c r="N457" s="4"/>
      <c r="O457" s="9"/>
    </row>
    <row r="458" spans="1:15" ht="20" customHeight="1" x14ac:dyDescent="0.2">
      <c r="A458" s="3">
        <v>454</v>
      </c>
      <c r="B458" s="19"/>
      <c r="C458" s="4" t="s">
        <v>4295</v>
      </c>
      <c r="D458" s="4" t="s">
        <v>42</v>
      </c>
      <c r="E458" s="4"/>
      <c r="F458" s="8"/>
      <c r="G458" s="8"/>
      <c r="H458" s="8"/>
      <c r="I458" s="8"/>
      <c r="J458" s="8"/>
      <c r="K458" s="8">
        <v>0</v>
      </c>
      <c r="L458" s="18">
        <v>0</v>
      </c>
      <c r="M458" s="7">
        <f t="shared" si="7"/>
        <v>0</v>
      </c>
      <c r="N458" s="4"/>
      <c r="O458" s="9"/>
    </row>
    <row r="459" spans="1:15" ht="20" customHeight="1" x14ac:dyDescent="0.2">
      <c r="A459" s="3">
        <v>455</v>
      </c>
      <c r="B459" s="19"/>
      <c r="C459" s="4" t="s">
        <v>4296</v>
      </c>
      <c r="D459" s="4" t="s">
        <v>42</v>
      </c>
      <c r="E459" s="4"/>
      <c r="F459" s="8"/>
      <c r="G459" s="8"/>
      <c r="H459" s="8"/>
      <c r="I459" s="8"/>
      <c r="J459" s="8"/>
      <c r="K459" s="8">
        <v>0</v>
      </c>
      <c r="L459" s="18">
        <v>0</v>
      </c>
      <c r="M459" s="7">
        <f t="shared" si="7"/>
        <v>0</v>
      </c>
      <c r="N459" s="4"/>
      <c r="O459" s="9"/>
    </row>
    <row r="460" spans="1:15" ht="20" customHeight="1" x14ac:dyDescent="0.2">
      <c r="A460" s="3">
        <v>456</v>
      </c>
      <c r="B460" s="19"/>
      <c r="C460" s="4" t="s">
        <v>4297</v>
      </c>
      <c r="D460" s="4" t="s">
        <v>42</v>
      </c>
      <c r="E460" s="4"/>
      <c r="F460" s="8"/>
      <c r="G460" s="8"/>
      <c r="H460" s="8"/>
      <c r="I460" s="8"/>
      <c r="J460" s="8"/>
      <c r="K460" s="8">
        <v>0</v>
      </c>
      <c r="L460" s="18">
        <v>0</v>
      </c>
      <c r="M460" s="7">
        <f t="shared" si="7"/>
        <v>0</v>
      </c>
      <c r="N460" s="4"/>
      <c r="O460" s="9"/>
    </row>
    <row r="461" spans="1:15" ht="20" customHeight="1" x14ac:dyDescent="0.2">
      <c r="A461" s="3">
        <v>457</v>
      </c>
      <c r="B461" s="19"/>
      <c r="C461" s="4" t="s">
        <v>4298</v>
      </c>
      <c r="D461" s="4" t="s">
        <v>42</v>
      </c>
      <c r="E461" s="4"/>
      <c r="F461" s="8"/>
      <c r="G461" s="8"/>
      <c r="H461" s="8"/>
      <c r="I461" s="8"/>
      <c r="J461" s="8"/>
      <c r="K461" s="8">
        <v>0</v>
      </c>
      <c r="L461" s="18">
        <v>0</v>
      </c>
      <c r="M461" s="7">
        <f t="shared" si="7"/>
        <v>0</v>
      </c>
      <c r="N461" s="4"/>
      <c r="O461" s="9"/>
    </row>
    <row r="462" spans="1:15" ht="20" customHeight="1" x14ac:dyDescent="0.2">
      <c r="A462" s="3">
        <v>458</v>
      </c>
      <c r="B462" s="19"/>
      <c r="C462" s="4" t="s">
        <v>4299</v>
      </c>
      <c r="D462" s="4" t="s">
        <v>42</v>
      </c>
      <c r="E462" s="4"/>
      <c r="F462" s="8"/>
      <c r="G462" s="8"/>
      <c r="H462" s="8"/>
      <c r="I462" s="8"/>
      <c r="J462" s="8"/>
      <c r="K462" s="8">
        <v>0</v>
      </c>
      <c r="L462" s="18">
        <v>0</v>
      </c>
      <c r="M462" s="7">
        <f t="shared" si="7"/>
        <v>0</v>
      </c>
      <c r="N462" s="4"/>
      <c r="O462" s="9"/>
    </row>
    <row r="463" spans="1:15" ht="20" customHeight="1" x14ac:dyDescent="0.2">
      <c r="A463" s="3">
        <v>459</v>
      </c>
      <c r="B463" s="19"/>
      <c r="C463" s="4" t="s">
        <v>4300</v>
      </c>
      <c r="D463" s="4" t="s">
        <v>42</v>
      </c>
      <c r="E463" s="4"/>
      <c r="F463" s="8"/>
      <c r="G463" s="8"/>
      <c r="H463" s="8"/>
      <c r="I463" s="8"/>
      <c r="J463" s="8"/>
      <c r="K463" s="8">
        <v>0</v>
      </c>
      <c r="L463" s="18">
        <v>0</v>
      </c>
      <c r="M463" s="7">
        <f t="shared" si="7"/>
        <v>0</v>
      </c>
      <c r="N463" s="4"/>
      <c r="O463" s="9"/>
    </row>
    <row r="464" spans="1:15" ht="20" customHeight="1" x14ac:dyDescent="0.2">
      <c r="A464" s="3">
        <v>460</v>
      </c>
      <c r="B464" s="19"/>
      <c r="C464" s="4" t="s">
        <v>4301</v>
      </c>
      <c r="D464" s="4" t="s">
        <v>42</v>
      </c>
      <c r="E464" s="4"/>
      <c r="F464" s="8"/>
      <c r="G464" s="8"/>
      <c r="H464" s="8"/>
      <c r="I464" s="8"/>
      <c r="J464" s="8"/>
      <c r="K464" s="8">
        <v>1</v>
      </c>
      <c r="L464" s="18">
        <v>27820</v>
      </c>
      <c r="M464" s="7">
        <f t="shared" si="7"/>
        <v>27820</v>
      </c>
      <c r="N464" s="4"/>
      <c r="O464" s="9"/>
    </row>
    <row r="465" spans="1:15" ht="20" customHeight="1" x14ac:dyDescent="0.2">
      <c r="A465" s="3">
        <v>461</v>
      </c>
      <c r="B465" s="19"/>
      <c r="C465" s="4" t="s">
        <v>4302</v>
      </c>
      <c r="D465" s="4" t="s">
        <v>42</v>
      </c>
      <c r="E465" s="4"/>
      <c r="F465" s="8"/>
      <c r="G465" s="8"/>
      <c r="H465" s="8"/>
      <c r="I465" s="8"/>
      <c r="J465" s="8"/>
      <c r="K465" s="8">
        <v>1</v>
      </c>
      <c r="L465" s="18">
        <v>25680</v>
      </c>
      <c r="M465" s="7">
        <f t="shared" si="7"/>
        <v>25680</v>
      </c>
      <c r="N465" s="4"/>
      <c r="O465" s="9"/>
    </row>
    <row r="466" spans="1:15" ht="20" customHeight="1" x14ac:dyDescent="0.2">
      <c r="A466" s="3">
        <v>462</v>
      </c>
      <c r="B466" s="19"/>
      <c r="C466" s="4" t="s">
        <v>4303</v>
      </c>
      <c r="D466" s="4" t="s">
        <v>42</v>
      </c>
      <c r="E466" s="4"/>
      <c r="F466" s="8"/>
      <c r="G466" s="8"/>
      <c r="H466" s="8"/>
      <c r="I466" s="8"/>
      <c r="J466" s="8"/>
      <c r="K466" s="8">
        <v>1</v>
      </c>
      <c r="L466" s="18">
        <v>8688</v>
      </c>
      <c r="M466" s="7">
        <f t="shared" si="7"/>
        <v>8688</v>
      </c>
      <c r="N466" s="4"/>
      <c r="O466" s="9"/>
    </row>
    <row r="467" spans="1:15" ht="20" customHeight="1" x14ac:dyDescent="0.2">
      <c r="A467" s="3">
        <v>463</v>
      </c>
      <c r="B467" s="19"/>
      <c r="C467" s="4" t="s">
        <v>4304</v>
      </c>
      <c r="D467" s="4" t="s">
        <v>42</v>
      </c>
      <c r="E467" s="4"/>
      <c r="F467" s="8"/>
      <c r="G467" s="8"/>
      <c r="H467" s="8"/>
      <c r="I467" s="8"/>
      <c r="J467" s="8"/>
      <c r="K467" s="8">
        <v>1</v>
      </c>
      <c r="L467" s="18">
        <v>4280</v>
      </c>
      <c r="M467" s="7">
        <f t="shared" si="7"/>
        <v>4280</v>
      </c>
      <c r="N467" s="4"/>
      <c r="O467" s="9"/>
    </row>
    <row r="468" spans="1:15" ht="20" customHeight="1" x14ac:dyDescent="0.2">
      <c r="A468" s="3">
        <v>464</v>
      </c>
      <c r="B468" s="19"/>
      <c r="C468" s="4" t="s">
        <v>4305</v>
      </c>
      <c r="D468" s="4" t="s">
        <v>42</v>
      </c>
      <c r="E468" s="4"/>
      <c r="F468" s="8"/>
      <c r="G468" s="8"/>
      <c r="H468" s="8"/>
      <c r="I468" s="8"/>
      <c r="J468" s="8"/>
      <c r="K468" s="8">
        <v>1</v>
      </c>
      <c r="L468" s="18">
        <v>6420</v>
      </c>
      <c r="M468" s="7">
        <f t="shared" si="7"/>
        <v>6420</v>
      </c>
      <c r="N468" s="4"/>
      <c r="O468" s="9"/>
    </row>
    <row r="469" spans="1:15" ht="20" customHeight="1" x14ac:dyDescent="0.2">
      <c r="A469" s="3">
        <v>465</v>
      </c>
      <c r="B469" s="19"/>
      <c r="C469" s="4" t="s">
        <v>4306</v>
      </c>
      <c r="D469" s="4" t="s">
        <v>42</v>
      </c>
      <c r="E469" s="4"/>
      <c r="F469" s="8"/>
      <c r="G469" s="8"/>
      <c r="H469" s="8"/>
      <c r="I469" s="8"/>
      <c r="J469" s="8"/>
      <c r="K469" s="8">
        <v>1</v>
      </c>
      <c r="L469" s="18">
        <v>6420</v>
      </c>
      <c r="M469" s="7">
        <f t="shared" si="7"/>
        <v>6420</v>
      </c>
      <c r="N469" s="4"/>
      <c r="O469" s="9"/>
    </row>
    <row r="470" spans="1:15" ht="20" customHeight="1" x14ac:dyDescent="0.2">
      <c r="A470" s="3">
        <v>466</v>
      </c>
      <c r="B470" s="19"/>
      <c r="C470" s="4" t="s">
        <v>4307</v>
      </c>
      <c r="D470" s="4" t="s">
        <v>42</v>
      </c>
      <c r="E470" s="4"/>
      <c r="F470" s="8"/>
      <c r="G470" s="8"/>
      <c r="H470" s="8"/>
      <c r="I470" s="8"/>
      <c r="J470" s="8"/>
      <c r="K470" s="8">
        <v>1</v>
      </c>
      <c r="L470" s="18">
        <v>6420</v>
      </c>
      <c r="M470" s="7">
        <f t="shared" si="7"/>
        <v>6420</v>
      </c>
      <c r="N470" s="4"/>
      <c r="O470" s="9"/>
    </row>
    <row r="471" spans="1:15" ht="20" customHeight="1" x14ac:dyDescent="0.2">
      <c r="A471" s="3">
        <v>467</v>
      </c>
      <c r="B471" s="19"/>
      <c r="C471" s="4" t="s">
        <v>4308</v>
      </c>
      <c r="D471" s="4" t="s">
        <v>42</v>
      </c>
      <c r="E471" s="4"/>
      <c r="F471" s="8"/>
      <c r="G471" s="8"/>
      <c r="H471" s="8"/>
      <c r="I471" s="8"/>
      <c r="J471" s="8"/>
      <c r="K471" s="8">
        <v>1</v>
      </c>
      <c r="L471" s="18">
        <v>6420</v>
      </c>
      <c r="M471" s="7">
        <f t="shared" si="7"/>
        <v>6420</v>
      </c>
      <c r="N471" s="4"/>
      <c r="O471" s="9"/>
    </row>
    <row r="472" spans="1:15" ht="20" customHeight="1" x14ac:dyDescent="0.2">
      <c r="A472" s="3">
        <v>468</v>
      </c>
      <c r="B472" s="19"/>
      <c r="C472" s="4" t="s">
        <v>4309</v>
      </c>
      <c r="D472" s="4" t="s">
        <v>42</v>
      </c>
      <c r="E472" s="4"/>
      <c r="F472" s="8"/>
      <c r="G472" s="8"/>
      <c r="H472" s="8"/>
      <c r="I472" s="8"/>
      <c r="J472" s="8"/>
      <c r="K472" s="8">
        <v>1</v>
      </c>
      <c r="L472" s="18">
        <v>6420</v>
      </c>
      <c r="M472" s="7">
        <f t="shared" si="7"/>
        <v>6420</v>
      </c>
      <c r="N472" s="4"/>
      <c r="O472" s="9"/>
    </row>
    <row r="473" spans="1:15" ht="20" customHeight="1" x14ac:dyDescent="0.2">
      <c r="A473" s="3">
        <v>469</v>
      </c>
      <c r="B473" s="19"/>
      <c r="C473" s="4" t="s">
        <v>4310</v>
      </c>
      <c r="D473" s="4" t="s">
        <v>42</v>
      </c>
      <c r="E473" s="4"/>
      <c r="F473" s="8"/>
      <c r="G473" s="8"/>
      <c r="H473" s="8"/>
      <c r="I473" s="8"/>
      <c r="J473" s="8"/>
      <c r="K473" s="8">
        <v>1</v>
      </c>
      <c r="L473" s="18">
        <v>10165</v>
      </c>
      <c r="M473" s="7">
        <f t="shared" si="7"/>
        <v>10165</v>
      </c>
      <c r="N473" s="4"/>
      <c r="O473" s="9"/>
    </row>
    <row r="474" spans="1:15" ht="20" customHeight="1" x14ac:dyDescent="0.2">
      <c r="A474" s="3">
        <v>470</v>
      </c>
      <c r="B474" s="19"/>
      <c r="C474" s="4" t="s">
        <v>4311</v>
      </c>
      <c r="D474" s="4" t="s">
        <v>42</v>
      </c>
      <c r="E474" s="4"/>
      <c r="F474" s="8"/>
      <c r="G474" s="8"/>
      <c r="H474" s="8"/>
      <c r="I474" s="8"/>
      <c r="J474" s="8"/>
      <c r="K474" s="8">
        <v>1</v>
      </c>
      <c r="L474" s="18">
        <v>10165</v>
      </c>
      <c r="M474" s="7">
        <f t="shared" si="7"/>
        <v>10165</v>
      </c>
      <c r="N474" s="4"/>
      <c r="O474" s="9"/>
    </row>
    <row r="475" spans="1:15" ht="20" customHeight="1" x14ac:dyDescent="0.2">
      <c r="A475" s="3">
        <v>471</v>
      </c>
      <c r="B475" s="19"/>
      <c r="C475" s="4" t="s">
        <v>4312</v>
      </c>
      <c r="D475" s="4" t="s">
        <v>42</v>
      </c>
      <c r="E475" s="4"/>
      <c r="F475" s="8"/>
      <c r="G475" s="8"/>
      <c r="H475" s="8"/>
      <c r="I475" s="8"/>
      <c r="J475" s="8"/>
      <c r="K475" s="8">
        <v>1</v>
      </c>
      <c r="L475" s="18">
        <v>5450</v>
      </c>
      <c r="M475" s="7">
        <f t="shared" si="7"/>
        <v>5450</v>
      </c>
      <c r="N475" s="4"/>
      <c r="O475" s="9"/>
    </row>
    <row r="476" spans="1:15" ht="20" customHeight="1" x14ac:dyDescent="0.2">
      <c r="A476" s="3">
        <v>472</v>
      </c>
      <c r="B476" s="19"/>
      <c r="C476" s="4" t="s">
        <v>4313</v>
      </c>
      <c r="D476" s="4" t="s">
        <v>42</v>
      </c>
      <c r="E476" s="4"/>
      <c r="F476" s="8"/>
      <c r="G476" s="8"/>
      <c r="H476" s="8"/>
      <c r="I476" s="8"/>
      <c r="J476" s="8"/>
      <c r="K476" s="8">
        <v>1</v>
      </c>
      <c r="L476" s="18">
        <v>7062</v>
      </c>
      <c r="M476" s="7">
        <f t="shared" si="7"/>
        <v>7062</v>
      </c>
      <c r="N476" s="4"/>
      <c r="O476" s="9"/>
    </row>
    <row r="477" spans="1:15" ht="20" customHeight="1" x14ac:dyDescent="0.2">
      <c r="A477" s="3">
        <v>473</v>
      </c>
      <c r="B477" s="19"/>
      <c r="C477" s="4" t="s">
        <v>4314</v>
      </c>
      <c r="D477" s="4" t="s">
        <v>42</v>
      </c>
      <c r="E477" s="4"/>
      <c r="F477" s="8"/>
      <c r="G477" s="8"/>
      <c r="H477" s="8"/>
      <c r="I477" s="8"/>
      <c r="J477" s="8"/>
      <c r="K477" s="8">
        <v>1</v>
      </c>
      <c r="L477" s="18">
        <v>16585</v>
      </c>
      <c r="M477" s="7">
        <f t="shared" si="7"/>
        <v>16585</v>
      </c>
      <c r="N477" s="4"/>
      <c r="O477" s="9"/>
    </row>
    <row r="478" spans="1:15" ht="20" customHeight="1" x14ac:dyDescent="0.2">
      <c r="A478" s="3">
        <v>474</v>
      </c>
      <c r="B478" s="19"/>
      <c r="C478" s="4" t="s">
        <v>4315</v>
      </c>
      <c r="D478" s="4" t="s">
        <v>42</v>
      </c>
      <c r="E478" s="4"/>
      <c r="F478" s="8"/>
      <c r="G478" s="8"/>
      <c r="H478" s="8"/>
      <c r="I478" s="8"/>
      <c r="J478" s="8"/>
      <c r="K478" s="8">
        <v>1</v>
      </c>
      <c r="L478" s="18">
        <v>64200</v>
      </c>
      <c r="M478" s="7">
        <f t="shared" si="7"/>
        <v>64200</v>
      </c>
      <c r="N478" s="4"/>
      <c r="O478" s="9"/>
    </row>
    <row r="479" spans="1:15" ht="20" customHeight="1" x14ac:dyDescent="0.2">
      <c r="A479" s="3">
        <v>475</v>
      </c>
      <c r="B479" s="19"/>
      <c r="C479" s="4" t="s">
        <v>4316</v>
      </c>
      <c r="D479" s="4" t="s">
        <v>42</v>
      </c>
      <c r="E479" s="4"/>
      <c r="F479" s="8"/>
      <c r="G479" s="8"/>
      <c r="H479" s="8"/>
      <c r="I479" s="8"/>
      <c r="J479" s="8"/>
      <c r="K479" s="8">
        <v>1</v>
      </c>
      <c r="L479" s="18">
        <v>141240</v>
      </c>
      <c r="M479" s="7">
        <f t="shared" si="7"/>
        <v>141240</v>
      </c>
      <c r="N479" s="4"/>
      <c r="O479" s="9"/>
    </row>
    <row r="480" spans="1:15" ht="20" customHeight="1" x14ac:dyDescent="0.2">
      <c r="A480" s="3">
        <v>476</v>
      </c>
      <c r="B480" s="19"/>
      <c r="C480" s="4" t="s">
        <v>4317</v>
      </c>
      <c r="D480" s="4" t="s">
        <v>42</v>
      </c>
      <c r="E480" s="4"/>
      <c r="F480" s="8"/>
      <c r="G480" s="8"/>
      <c r="H480" s="8"/>
      <c r="I480" s="8"/>
      <c r="J480" s="8"/>
      <c r="K480" s="8">
        <v>1</v>
      </c>
      <c r="L480" s="18">
        <v>17548</v>
      </c>
      <c r="M480" s="7">
        <f t="shared" si="7"/>
        <v>17548</v>
      </c>
      <c r="N480" s="4"/>
      <c r="O480" s="9"/>
    </row>
    <row r="481" spans="1:15" ht="20" customHeight="1" x14ac:dyDescent="0.2">
      <c r="A481" s="3">
        <v>477</v>
      </c>
      <c r="B481" s="19"/>
      <c r="C481" s="4" t="s">
        <v>4318</v>
      </c>
      <c r="D481" s="4" t="s">
        <v>42</v>
      </c>
      <c r="E481" s="4"/>
      <c r="F481" s="8"/>
      <c r="G481" s="8"/>
      <c r="H481" s="8"/>
      <c r="I481" s="8"/>
      <c r="J481" s="8"/>
      <c r="K481" s="8">
        <v>1</v>
      </c>
      <c r="L481" s="18">
        <v>43870</v>
      </c>
      <c r="M481" s="7">
        <f t="shared" si="7"/>
        <v>43870</v>
      </c>
      <c r="N481" s="4"/>
      <c r="O481" s="9"/>
    </row>
    <row r="482" spans="1:15" ht="20" customHeight="1" x14ac:dyDescent="0.2">
      <c r="A482" s="3">
        <v>478</v>
      </c>
      <c r="B482" s="19"/>
      <c r="C482" s="4" t="s">
        <v>4319</v>
      </c>
      <c r="D482" s="4" t="s">
        <v>42</v>
      </c>
      <c r="E482" s="4"/>
      <c r="F482" s="8"/>
      <c r="G482" s="8"/>
      <c r="H482" s="8"/>
      <c r="I482" s="8"/>
      <c r="J482" s="8"/>
      <c r="K482" s="8">
        <v>1</v>
      </c>
      <c r="L482" s="18">
        <v>43870</v>
      </c>
      <c r="M482" s="7">
        <f t="shared" si="7"/>
        <v>43870</v>
      </c>
      <c r="N482" s="4"/>
      <c r="O482" s="9"/>
    </row>
    <row r="483" spans="1:15" ht="20" customHeight="1" x14ac:dyDescent="0.2">
      <c r="A483" s="3">
        <v>479</v>
      </c>
      <c r="B483" s="19"/>
      <c r="C483" s="4" t="s">
        <v>4320</v>
      </c>
      <c r="D483" s="4" t="s">
        <v>42</v>
      </c>
      <c r="E483" s="4"/>
      <c r="F483" s="8"/>
      <c r="G483" s="8"/>
      <c r="H483" s="8"/>
      <c r="I483" s="8"/>
      <c r="J483" s="8"/>
      <c r="K483" s="8">
        <v>1</v>
      </c>
      <c r="L483" s="18">
        <v>17548</v>
      </c>
      <c r="M483" s="7">
        <f t="shared" si="7"/>
        <v>17548</v>
      </c>
      <c r="N483" s="4"/>
      <c r="O483" s="9"/>
    </row>
    <row r="484" spans="1:15" ht="20" customHeight="1" x14ac:dyDescent="0.2">
      <c r="A484" s="3">
        <v>480</v>
      </c>
      <c r="B484" s="19"/>
      <c r="C484" s="4" t="s">
        <v>4321</v>
      </c>
      <c r="D484" s="4" t="s">
        <v>42</v>
      </c>
      <c r="E484" s="4"/>
      <c r="F484" s="8"/>
      <c r="G484" s="8"/>
      <c r="H484" s="8"/>
      <c r="I484" s="8"/>
      <c r="J484" s="8"/>
      <c r="K484" s="8">
        <v>0</v>
      </c>
      <c r="L484" s="18">
        <v>0</v>
      </c>
      <c r="M484" s="7">
        <f t="shared" si="7"/>
        <v>0</v>
      </c>
      <c r="N484" s="4"/>
      <c r="O484" s="9"/>
    </row>
    <row r="485" spans="1:15" ht="20" customHeight="1" x14ac:dyDescent="0.2">
      <c r="A485" s="3">
        <v>481</v>
      </c>
      <c r="B485" s="19"/>
      <c r="C485" s="4" t="s">
        <v>4322</v>
      </c>
      <c r="D485" s="4" t="s">
        <v>42</v>
      </c>
      <c r="E485" s="4"/>
      <c r="F485" s="8"/>
      <c r="G485" s="8"/>
      <c r="H485" s="8"/>
      <c r="I485" s="8"/>
      <c r="J485" s="8"/>
      <c r="K485" s="8">
        <v>1</v>
      </c>
      <c r="L485" s="18">
        <v>3424</v>
      </c>
      <c r="M485" s="7">
        <f t="shared" si="7"/>
        <v>3424</v>
      </c>
      <c r="N485" s="4"/>
      <c r="O485" s="9"/>
    </row>
    <row r="486" spans="1:15" ht="20" customHeight="1" x14ac:dyDescent="0.2">
      <c r="A486" s="3">
        <v>482</v>
      </c>
      <c r="B486" s="19"/>
      <c r="C486" s="4" t="s">
        <v>4323</v>
      </c>
      <c r="D486" s="4" t="s">
        <v>42</v>
      </c>
      <c r="E486" s="4"/>
      <c r="F486" s="8"/>
      <c r="G486" s="8"/>
      <c r="H486" s="8"/>
      <c r="I486" s="8"/>
      <c r="J486" s="8"/>
      <c r="K486" s="8">
        <v>1</v>
      </c>
      <c r="L486" s="18">
        <v>3424</v>
      </c>
      <c r="M486" s="7">
        <f t="shared" si="7"/>
        <v>3424</v>
      </c>
      <c r="N486" s="4"/>
      <c r="O486" s="9"/>
    </row>
    <row r="487" spans="1:15" ht="20" customHeight="1" x14ac:dyDescent="0.2">
      <c r="A487" s="3">
        <v>483</v>
      </c>
      <c r="B487" s="19"/>
      <c r="C487" s="4" t="s">
        <v>4324</v>
      </c>
      <c r="D487" s="4" t="s">
        <v>42</v>
      </c>
      <c r="E487" s="4"/>
      <c r="F487" s="8"/>
      <c r="G487" s="8"/>
      <c r="H487" s="8"/>
      <c r="I487" s="8"/>
      <c r="J487" s="8"/>
      <c r="K487" s="8">
        <v>1</v>
      </c>
      <c r="L487" s="18">
        <v>3424</v>
      </c>
      <c r="M487" s="7">
        <f t="shared" si="7"/>
        <v>3424</v>
      </c>
      <c r="N487" s="4"/>
      <c r="O487" s="9"/>
    </row>
    <row r="488" spans="1:15" ht="20" customHeight="1" x14ac:dyDescent="0.2">
      <c r="A488" s="3">
        <v>484</v>
      </c>
      <c r="B488" s="19"/>
      <c r="C488" s="4" t="s">
        <v>4325</v>
      </c>
      <c r="D488" s="4" t="s">
        <v>42</v>
      </c>
      <c r="E488" s="4"/>
      <c r="F488" s="8"/>
      <c r="G488" s="8"/>
      <c r="H488" s="8"/>
      <c r="I488" s="8"/>
      <c r="J488" s="8"/>
      <c r="K488" s="8">
        <v>1</v>
      </c>
      <c r="L488" s="18">
        <v>6848</v>
      </c>
      <c r="M488" s="7">
        <f t="shared" si="7"/>
        <v>6848</v>
      </c>
      <c r="N488" s="4"/>
      <c r="O488" s="9"/>
    </row>
    <row r="489" spans="1:15" ht="20" customHeight="1" x14ac:dyDescent="0.2">
      <c r="A489" s="3">
        <v>485</v>
      </c>
      <c r="B489" s="19"/>
      <c r="C489" s="4" t="s">
        <v>4326</v>
      </c>
      <c r="D489" s="4" t="s">
        <v>42</v>
      </c>
      <c r="E489" s="4"/>
      <c r="F489" s="8"/>
      <c r="G489" s="8"/>
      <c r="H489" s="8"/>
      <c r="I489" s="8"/>
      <c r="J489" s="8"/>
      <c r="K489" s="8">
        <v>1</v>
      </c>
      <c r="L489" s="18">
        <v>3424</v>
      </c>
      <c r="M489" s="7">
        <f t="shared" si="7"/>
        <v>3424</v>
      </c>
      <c r="N489" s="4"/>
      <c r="O489" s="9"/>
    </row>
    <row r="490" spans="1:15" ht="20" customHeight="1" x14ac:dyDescent="0.2">
      <c r="A490" s="3">
        <v>486</v>
      </c>
      <c r="B490" s="19"/>
      <c r="C490" s="4" t="s">
        <v>4327</v>
      </c>
      <c r="D490" s="4" t="s">
        <v>42</v>
      </c>
      <c r="E490" s="4"/>
      <c r="F490" s="8"/>
      <c r="G490" s="8"/>
      <c r="H490" s="8"/>
      <c r="I490" s="8"/>
      <c r="J490" s="8"/>
      <c r="K490" s="8">
        <v>1</v>
      </c>
      <c r="L490" s="18">
        <v>1712</v>
      </c>
      <c r="M490" s="7">
        <f t="shared" si="7"/>
        <v>1712</v>
      </c>
      <c r="N490" s="4"/>
      <c r="O490" s="9"/>
    </row>
    <row r="491" spans="1:15" ht="20" customHeight="1" x14ac:dyDescent="0.2">
      <c r="A491" s="3">
        <v>487</v>
      </c>
      <c r="B491" s="19"/>
      <c r="C491" s="4" t="s">
        <v>4328</v>
      </c>
      <c r="D491" s="4" t="s">
        <v>42</v>
      </c>
      <c r="E491" s="4"/>
      <c r="F491" s="8"/>
      <c r="G491" s="8"/>
      <c r="H491" s="8"/>
      <c r="I491" s="8"/>
      <c r="J491" s="8"/>
      <c r="K491" s="8">
        <v>1</v>
      </c>
      <c r="L491" s="18">
        <v>3424</v>
      </c>
      <c r="M491" s="7">
        <f t="shared" si="7"/>
        <v>3424</v>
      </c>
      <c r="N491" s="4"/>
      <c r="O491" s="9"/>
    </row>
    <row r="492" spans="1:15" ht="20" customHeight="1" x14ac:dyDescent="0.2">
      <c r="A492" s="3">
        <v>488</v>
      </c>
      <c r="B492" s="19"/>
      <c r="C492" s="4" t="s">
        <v>4329</v>
      </c>
      <c r="D492" s="4" t="s">
        <v>42</v>
      </c>
      <c r="E492" s="4"/>
      <c r="F492" s="8"/>
      <c r="G492" s="8"/>
      <c r="H492" s="8"/>
      <c r="I492" s="8"/>
      <c r="J492" s="8"/>
      <c r="K492" s="8">
        <v>1</v>
      </c>
      <c r="L492" s="18">
        <v>1712</v>
      </c>
      <c r="M492" s="7">
        <f t="shared" si="7"/>
        <v>1712</v>
      </c>
      <c r="N492" s="4"/>
      <c r="O492" s="9"/>
    </row>
    <row r="493" spans="1:15" ht="20" customHeight="1" x14ac:dyDescent="0.2">
      <c r="A493" s="3">
        <v>489</v>
      </c>
      <c r="B493" s="19"/>
      <c r="C493" s="4" t="s">
        <v>4330</v>
      </c>
      <c r="D493" s="4" t="s">
        <v>42</v>
      </c>
      <c r="E493" s="4"/>
      <c r="F493" s="8"/>
      <c r="G493" s="8"/>
      <c r="H493" s="8"/>
      <c r="I493" s="8"/>
      <c r="J493" s="8"/>
      <c r="K493" s="8">
        <v>1</v>
      </c>
      <c r="L493" s="18">
        <v>28462</v>
      </c>
      <c r="M493" s="7">
        <f t="shared" si="7"/>
        <v>28462</v>
      </c>
      <c r="N493" s="4"/>
      <c r="O493" s="9"/>
    </row>
    <row r="494" spans="1:15" ht="20" customHeight="1" x14ac:dyDescent="0.2">
      <c r="A494" s="3">
        <v>490</v>
      </c>
      <c r="B494" s="19"/>
      <c r="C494" s="4" t="s">
        <v>4331</v>
      </c>
      <c r="D494" s="4" t="s">
        <v>42</v>
      </c>
      <c r="E494" s="4"/>
      <c r="F494" s="8"/>
      <c r="G494" s="8"/>
      <c r="H494" s="8"/>
      <c r="I494" s="8"/>
      <c r="J494" s="8"/>
      <c r="K494" s="8">
        <v>1</v>
      </c>
      <c r="L494" s="18">
        <v>53500</v>
      </c>
      <c r="M494" s="7">
        <f t="shared" si="7"/>
        <v>53500</v>
      </c>
      <c r="N494" s="4"/>
      <c r="O494" s="9"/>
    </row>
    <row r="495" spans="1:15" ht="20" customHeight="1" x14ac:dyDescent="0.2">
      <c r="A495" s="3">
        <v>491</v>
      </c>
      <c r="B495" s="19"/>
      <c r="C495" s="4" t="s">
        <v>4332</v>
      </c>
      <c r="D495" s="4" t="s">
        <v>42</v>
      </c>
      <c r="E495" s="4"/>
      <c r="F495" s="8"/>
      <c r="G495" s="8"/>
      <c r="H495" s="8"/>
      <c r="I495" s="8"/>
      <c r="J495" s="8"/>
      <c r="K495" s="8">
        <v>1</v>
      </c>
      <c r="L495" s="18">
        <v>63558</v>
      </c>
      <c r="M495" s="7">
        <f t="shared" si="7"/>
        <v>63558</v>
      </c>
      <c r="N495" s="4"/>
      <c r="O495" s="9"/>
    </row>
    <row r="496" spans="1:15" ht="20" customHeight="1" x14ac:dyDescent="0.2">
      <c r="A496" s="3">
        <v>492</v>
      </c>
      <c r="B496" s="19"/>
      <c r="C496" s="4" t="s">
        <v>4333</v>
      </c>
      <c r="D496" s="4" t="s">
        <v>42</v>
      </c>
      <c r="E496" s="4"/>
      <c r="F496" s="8"/>
      <c r="G496" s="8"/>
      <c r="H496" s="8"/>
      <c r="I496" s="8"/>
      <c r="J496" s="8"/>
      <c r="K496" s="8">
        <v>1</v>
      </c>
      <c r="L496" s="18">
        <v>34775</v>
      </c>
      <c r="M496" s="7">
        <f t="shared" si="7"/>
        <v>34775</v>
      </c>
      <c r="N496" s="4"/>
      <c r="O496" s="9"/>
    </row>
    <row r="497" spans="1:15" ht="20" customHeight="1" x14ac:dyDescent="0.2">
      <c r="A497" s="3">
        <v>493</v>
      </c>
      <c r="B497" s="19"/>
      <c r="C497" s="4" t="s">
        <v>4334</v>
      </c>
      <c r="D497" s="4" t="s">
        <v>42</v>
      </c>
      <c r="E497" s="4"/>
      <c r="F497" s="8"/>
      <c r="G497" s="8"/>
      <c r="H497" s="8"/>
      <c r="I497" s="8"/>
      <c r="J497" s="8"/>
      <c r="K497" s="8">
        <v>1</v>
      </c>
      <c r="L497" s="18">
        <v>13482</v>
      </c>
      <c r="M497" s="7">
        <f t="shared" si="7"/>
        <v>13482</v>
      </c>
      <c r="N497" s="4"/>
      <c r="O497" s="9"/>
    </row>
    <row r="498" spans="1:15" ht="20" customHeight="1" x14ac:dyDescent="0.2">
      <c r="A498" s="3">
        <v>494</v>
      </c>
      <c r="B498" s="19"/>
      <c r="C498" s="4" t="s">
        <v>4335</v>
      </c>
      <c r="D498" s="4" t="s">
        <v>42</v>
      </c>
      <c r="E498" s="4"/>
      <c r="F498" s="8"/>
      <c r="G498" s="8"/>
      <c r="H498" s="8"/>
      <c r="I498" s="8"/>
      <c r="J498" s="8"/>
      <c r="K498" s="8">
        <v>1</v>
      </c>
      <c r="L498" s="18">
        <v>8025</v>
      </c>
      <c r="M498" s="7">
        <f t="shared" si="7"/>
        <v>8025</v>
      </c>
      <c r="N498" s="4"/>
      <c r="O498" s="9"/>
    </row>
    <row r="499" spans="1:15" ht="20" customHeight="1" x14ac:dyDescent="0.2">
      <c r="A499" s="3">
        <v>495</v>
      </c>
      <c r="B499" s="19"/>
      <c r="C499" s="4" t="s">
        <v>4336</v>
      </c>
      <c r="D499" s="4" t="s">
        <v>42</v>
      </c>
      <c r="E499" s="4"/>
      <c r="F499" s="8"/>
      <c r="G499" s="8"/>
      <c r="H499" s="8"/>
      <c r="I499" s="8"/>
      <c r="J499" s="8"/>
      <c r="K499" s="8">
        <v>1</v>
      </c>
      <c r="L499" s="18">
        <v>3424</v>
      </c>
      <c r="M499" s="7">
        <f t="shared" si="7"/>
        <v>3424</v>
      </c>
      <c r="N499" s="4"/>
      <c r="O499" s="9"/>
    </row>
    <row r="500" spans="1:15" ht="20" customHeight="1" x14ac:dyDescent="0.2">
      <c r="A500" s="3">
        <v>496</v>
      </c>
      <c r="B500" s="19"/>
      <c r="C500" s="4" t="s">
        <v>4337</v>
      </c>
      <c r="D500" s="4" t="s">
        <v>42</v>
      </c>
      <c r="E500" s="4"/>
      <c r="F500" s="8"/>
      <c r="G500" s="8"/>
      <c r="H500" s="8"/>
      <c r="I500" s="8"/>
      <c r="J500" s="8"/>
      <c r="K500" s="8">
        <v>0</v>
      </c>
      <c r="L500" s="18">
        <v>0</v>
      </c>
      <c r="M500" s="7">
        <f t="shared" si="7"/>
        <v>0</v>
      </c>
      <c r="N500" s="4"/>
      <c r="O500" s="9"/>
    </row>
    <row r="501" spans="1:15" ht="20" customHeight="1" x14ac:dyDescent="0.2">
      <c r="A501" s="3">
        <v>497</v>
      </c>
      <c r="B501" s="19"/>
      <c r="C501" s="4" t="s">
        <v>4338</v>
      </c>
      <c r="D501" s="4" t="s">
        <v>42</v>
      </c>
      <c r="E501" s="4"/>
      <c r="F501" s="8"/>
      <c r="G501" s="8"/>
      <c r="H501" s="8"/>
      <c r="I501" s="8"/>
      <c r="J501" s="8"/>
      <c r="K501" s="8">
        <v>1</v>
      </c>
      <c r="L501" s="18">
        <v>6291.6</v>
      </c>
      <c r="M501" s="7">
        <f t="shared" si="7"/>
        <v>6291.6</v>
      </c>
      <c r="N501" s="4"/>
      <c r="O501" s="9"/>
    </row>
    <row r="502" spans="1:15" ht="20" customHeight="1" x14ac:dyDescent="0.2">
      <c r="A502" s="3">
        <v>498</v>
      </c>
      <c r="B502" s="19"/>
      <c r="C502" s="4" t="s">
        <v>4339</v>
      </c>
      <c r="D502" s="4" t="s">
        <v>42</v>
      </c>
      <c r="E502" s="4"/>
      <c r="F502" s="8"/>
      <c r="G502" s="8"/>
      <c r="H502" s="8"/>
      <c r="I502" s="8"/>
      <c r="J502" s="8"/>
      <c r="K502" s="8">
        <v>1</v>
      </c>
      <c r="L502" s="18">
        <v>856</v>
      </c>
      <c r="M502" s="7">
        <f t="shared" si="7"/>
        <v>856</v>
      </c>
      <c r="N502" s="4"/>
      <c r="O502" s="9"/>
    </row>
    <row r="503" spans="1:15" ht="20" customHeight="1" x14ac:dyDescent="0.2">
      <c r="A503" s="3">
        <v>499</v>
      </c>
      <c r="B503" s="19"/>
      <c r="C503" s="4" t="s">
        <v>4340</v>
      </c>
      <c r="D503" s="4" t="s">
        <v>42</v>
      </c>
      <c r="E503" s="4"/>
      <c r="F503" s="8"/>
      <c r="G503" s="8"/>
      <c r="H503" s="8"/>
      <c r="I503" s="8"/>
      <c r="J503" s="8"/>
      <c r="K503" s="8">
        <v>1</v>
      </c>
      <c r="L503" s="18">
        <v>2332.6</v>
      </c>
      <c r="M503" s="7">
        <f t="shared" si="7"/>
        <v>2332.6</v>
      </c>
      <c r="N503" s="4"/>
      <c r="O503" s="9"/>
    </row>
    <row r="504" spans="1:15" ht="20" customHeight="1" x14ac:dyDescent="0.2">
      <c r="A504" s="3">
        <v>500</v>
      </c>
      <c r="B504" s="19"/>
      <c r="C504" s="4" t="s">
        <v>4341</v>
      </c>
      <c r="D504" s="4" t="s">
        <v>42</v>
      </c>
      <c r="E504" s="4"/>
      <c r="F504" s="8"/>
      <c r="G504" s="8"/>
      <c r="H504" s="8"/>
      <c r="I504" s="8"/>
      <c r="J504" s="8"/>
      <c r="K504" s="8">
        <v>1</v>
      </c>
      <c r="L504" s="18">
        <v>2332.6</v>
      </c>
      <c r="M504" s="7">
        <f t="shared" si="7"/>
        <v>2332.6</v>
      </c>
      <c r="N504" s="4"/>
      <c r="O504" s="9"/>
    </row>
    <row r="505" spans="1:15" ht="20" customHeight="1" x14ac:dyDescent="0.2">
      <c r="A505" s="3">
        <v>501</v>
      </c>
      <c r="B505" s="19"/>
      <c r="C505" s="4" t="s">
        <v>4342</v>
      </c>
      <c r="D505" s="4" t="s">
        <v>42</v>
      </c>
      <c r="E505" s="4"/>
      <c r="F505" s="8"/>
      <c r="G505" s="8"/>
      <c r="H505" s="8"/>
      <c r="I505" s="8"/>
      <c r="J505" s="8"/>
      <c r="K505" s="8">
        <v>1</v>
      </c>
      <c r="L505" s="18">
        <v>6018.75</v>
      </c>
      <c r="M505" s="7">
        <f t="shared" si="7"/>
        <v>6018.75</v>
      </c>
      <c r="N505" s="4"/>
      <c r="O505" s="9"/>
    </row>
    <row r="506" spans="1:15" ht="20" customHeight="1" x14ac:dyDescent="0.2">
      <c r="A506" s="3">
        <v>502</v>
      </c>
      <c r="B506" s="19"/>
      <c r="C506" s="4" t="s">
        <v>4343</v>
      </c>
      <c r="D506" s="4" t="s">
        <v>42</v>
      </c>
      <c r="E506" s="4"/>
      <c r="F506" s="8"/>
      <c r="G506" s="8"/>
      <c r="H506" s="8"/>
      <c r="I506" s="8"/>
      <c r="J506" s="8"/>
      <c r="K506" s="8">
        <v>1</v>
      </c>
      <c r="L506" s="18">
        <v>6018.75</v>
      </c>
      <c r="M506" s="7">
        <f t="shared" si="7"/>
        <v>6018.75</v>
      </c>
      <c r="N506" s="4"/>
      <c r="O506" s="9"/>
    </row>
    <row r="507" spans="1:15" ht="20" customHeight="1" x14ac:dyDescent="0.2">
      <c r="A507" s="3">
        <v>503</v>
      </c>
      <c r="B507" s="19"/>
      <c r="C507" s="4" t="s">
        <v>4344</v>
      </c>
      <c r="D507" s="4" t="s">
        <v>42</v>
      </c>
      <c r="E507" s="4"/>
      <c r="F507" s="8"/>
      <c r="G507" s="8"/>
      <c r="H507" s="8"/>
      <c r="I507" s="8"/>
      <c r="J507" s="8"/>
      <c r="K507" s="8">
        <v>1</v>
      </c>
      <c r="L507" s="18">
        <v>3659.4</v>
      </c>
      <c r="M507" s="7">
        <f t="shared" si="7"/>
        <v>3659.4</v>
      </c>
      <c r="N507" s="4"/>
      <c r="O507" s="9"/>
    </row>
    <row r="508" spans="1:15" ht="20" customHeight="1" x14ac:dyDescent="0.2">
      <c r="A508" s="3">
        <v>504</v>
      </c>
      <c r="B508" s="19"/>
      <c r="C508" s="4" t="s">
        <v>4345</v>
      </c>
      <c r="D508" s="4" t="s">
        <v>42</v>
      </c>
      <c r="E508" s="4"/>
      <c r="F508" s="8"/>
      <c r="G508" s="8"/>
      <c r="H508" s="8"/>
      <c r="I508" s="8"/>
      <c r="J508" s="8"/>
      <c r="K508" s="8">
        <v>1</v>
      </c>
      <c r="L508" s="18">
        <v>877.4</v>
      </c>
      <c r="M508" s="7">
        <f t="shared" si="7"/>
        <v>877.4</v>
      </c>
      <c r="N508" s="4"/>
      <c r="O508" s="9"/>
    </row>
    <row r="509" spans="1:15" ht="20" customHeight="1" x14ac:dyDescent="0.2">
      <c r="A509" s="3">
        <v>505</v>
      </c>
      <c r="B509" s="19"/>
      <c r="C509" s="4" t="s">
        <v>4346</v>
      </c>
      <c r="D509" s="4" t="s">
        <v>42</v>
      </c>
      <c r="E509" s="4"/>
      <c r="F509" s="8"/>
      <c r="G509" s="8"/>
      <c r="H509" s="8"/>
      <c r="I509" s="8"/>
      <c r="J509" s="8"/>
      <c r="K509" s="8">
        <v>1</v>
      </c>
      <c r="L509" s="18">
        <v>3424</v>
      </c>
      <c r="M509" s="7">
        <f t="shared" si="7"/>
        <v>3424</v>
      </c>
      <c r="N509" s="4"/>
      <c r="O509" s="9"/>
    </row>
    <row r="510" spans="1:15" ht="20" customHeight="1" x14ac:dyDescent="0.2">
      <c r="A510" s="3">
        <v>506</v>
      </c>
      <c r="B510" s="19"/>
      <c r="C510" s="4" t="s">
        <v>4347</v>
      </c>
      <c r="D510" s="4" t="s">
        <v>42</v>
      </c>
      <c r="E510" s="4"/>
      <c r="F510" s="8"/>
      <c r="G510" s="8"/>
      <c r="H510" s="8"/>
      <c r="I510" s="8"/>
      <c r="J510" s="8"/>
      <c r="K510" s="8">
        <v>1</v>
      </c>
      <c r="L510" s="18">
        <v>3424</v>
      </c>
      <c r="M510" s="7">
        <f t="shared" si="7"/>
        <v>3424</v>
      </c>
      <c r="N510" s="4"/>
      <c r="O510" s="9"/>
    </row>
    <row r="511" spans="1:15" ht="20" customHeight="1" x14ac:dyDescent="0.2">
      <c r="A511" s="3">
        <v>507</v>
      </c>
      <c r="B511" s="19"/>
      <c r="C511" s="4" t="s">
        <v>4348</v>
      </c>
      <c r="D511" s="4" t="s">
        <v>42</v>
      </c>
      <c r="E511" s="4"/>
      <c r="F511" s="8"/>
      <c r="G511" s="8"/>
      <c r="H511" s="8"/>
      <c r="I511" s="8"/>
      <c r="J511" s="8"/>
      <c r="K511" s="8">
        <v>1</v>
      </c>
      <c r="L511" s="18">
        <v>3424</v>
      </c>
      <c r="M511" s="7">
        <f t="shared" si="7"/>
        <v>3424</v>
      </c>
      <c r="N511" s="4"/>
      <c r="O511" s="9"/>
    </row>
    <row r="512" spans="1:15" ht="20" customHeight="1" x14ac:dyDescent="0.2">
      <c r="A512" s="3">
        <v>508</v>
      </c>
      <c r="B512" s="19"/>
      <c r="C512" s="4" t="s">
        <v>4349</v>
      </c>
      <c r="D512" s="4" t="s">
        <v>42</v>
      </c>
      <c r="E512" s="4"/>
      <c r="F512" s="8"/>
      <c r="G512" s="8"/>
      <c r="H512" s="8"/>
      <c r="I512" s="8"/>
      <c r="J512" s="8"/>
      <c r="K512" s="8">
        <v>1</v>
      </c>
      <c r="L512" s="18">
        <v>22470</v>
      </c>
      <c r="M512" s="7">
        <f t="shared" si="7"/>
        <v>22470</v>
      </c>
      <c r="N512" s="4"/>
      <c r="O512" s="9"/>
    </row>
    <row r="513" spans="1:15" ht="20" customHeight="1" x14ac:dyDescent="0.2">
      <c r="A513" s="3">
        <v>509</v>
      </c>
      <c r="B513" s="19"/>
      <c r="C513" s="4" t="s">
        <v>4350</v>
      </c>
      <c r="D513" s="4" t="s">
        <v>42</v>
      </c>
      <c r="E513" s="4"/>
      <c r="F513" s="8"/>
      <c r="G513" s="8"/>
      <c r="H513" s="8"/>
      <c r="I513" s="8"/>
      <c r="J513" s="8"/>
      <c r="K513" s="8">
        <v>1</v>
      </c>
      <c r="L513" s="18">
        <v>1070</v>
      </c>
      <c r="M513" s="7">
        <f t="shared" si="7"/>
        <v>1070</v>
      </c>
      <c r="N513" s="4"/>
      <c r="O513" s="9"/>
    </row>
    <row r="514" spans="1:15" ht="20" customHeight="1" x14ac:dyDescent="0.2">
      <c r="A514" s="3">
        <v>510</v>
      </c>
      <c r="B514" s="19"/>
      <c r="C514" s="4" t="s">
        <v>4351</v>
      </c>
      <c r="D514" s="4" t="s">
        <v>42</v>
      </c>
      <c r="E514" s="4"/>
      <c r="F514" s="8"/>
      <c r="G514" s="8"/>
      <c r="H514" s="8"/>
      <c r="I514" s="8"/>
      <c r="J514" s="8"/>
      <c r="K514" s="8">
        <v>1</v>
      </c>
      <c r="L514" s="18">
        <v>10000</v>
      </c>
      <c r="M514" s="7">
        <f t="shared" si="7"/>
        <v>10000</v>
      </c>
      <c r="N514" s="4"/>
      <c r="O514" s="9"/>
    </row>
    <row r="515" spans="1:15" ht="20" customHeight="1" x14ac:dyDescent="0.2">
      <c r="A515" s="3">
        <v>511</v>
      </c>
      <c r="B515" s="19"/>
      <c r="C515" s="4" t="s">
        <v>4352</v>
      </c>
      <c r="D515" s="4" t="s">
        <v>42</v>
      </c>
      <c r="E515" s="4"/>
      <c r="F515" s="8"/>
      <c r="G515" s="8"/>
      <c r="H515" s="8"/>
      <c r="I515" s="8"/>
      <c r="J515" s="8"/>
      <c r="K515" s="8">
        <v>1</v>
      </c>
      <c r="L515" s="18">
        <v>7222.5</v>
      </c>
      <c r="M515" s="7">
        <f t="shared" si="7"/>
        <v>7222.5</v>
      </c>
      <c r="N515" s="4"/>
      <c r="O515" s="9"/>
    </row>
    <row r="516" spans="1:15" ht="20" customHeight="1" x14ac:dyDescent="0.2">
      <c r="A516" s="3">
        <v>512</v>
      </c>
      <c r="B516" s="19"/>
      <c r="C516" s="4" t="s">
        <v>4353</v>
      </c>
      <c r="D516" s="4" t="s">
        <v>42</v>
      </c>
      <c r="E516" s="4"/>
      <c r="F516" s="8"/>
      <c r="G516" s="8"/>
      <c r="H516" s="8"/>
      <c r="I516" s="8"/>
      <c r="J516" s="8"/>
      <c r="K516" s="8">
        <v>1</v>
      </c>
      <c r="L516" s="18">
        <v>11770</v>
      </c>
      <c r="M516" s="7">
        <f t="shared" si="7"/>
        <v>11770</v>
      </c>
      <c r="N516" s="4"/>
      <c r="O516" s="9"/>
    </row>
    <row r="517" spans="1:15" ht="20" customHeight="1" x14ac:dyDescent="0.2">
      <c r="A517" s="3">
        <v>513</v>
      </c>
      <c r="B517" s="19"/>
      <c r="C517" s="4" t="s">
        <v>4354</v>
      </c>
      <c r="D517" s="4" t="s">
        <v>42</v>
      </c>
      <c r="E517" s="4"/>
      <c r="F517" s="8"/>
      <c r="G517" s="8"/>
      <c r="H517" s="8"/>
      <c r="I517" s="8"/>
      <c r="J517" s="8"/>
      <c r="K517" s="8">
        <v>1</v>
      </c>
      <c r="L517" s="18">
        <v>11235</v>
      </c>
      <c r="M517" s="7">
        <f t="shared" ref="M517:M580" si="8">IF(OR(K517="",L517=""),"",K517*L517)</f>
        <v>11235</v>
      </c>
      <c r="N517" s="4"/>
      <c r="O517" s="9"/>
    </row>
    <row r="518" spans="1:15" ht="20" customHeight="1" x14ac:dyDescent="0.2">
      <c r="A518" s="3">
        <v>514</v>
      </c>
      <c r="B518" s="19"/>
      <c r="C518" s="4" t="s">
        <v>4355</v>
      </c>
      <c r="D518" s="4" t="s">
        <v>42</v>
      </c>
      <c r="E518" s="4"/>
      <c r="F518" s="8"/>
      <c r="G518" s="8"/>
      <c r="H518" s="8"/>
      <c r="I518" s="8"/>
      <c r="J518" s="8"/>
      <c r="K518" s="8">
        <v>1</v>
      </c>
      <c r="L518" s="18">
        <v>11235</v>
      </c>
      <c r="M518" s="7">
        <f t="shared" si="8"/>
        <v>11235</v>
      </c>
      <c r="N518" s="4"/>
      <c r="O518" s="9"/>
    </row>
    <row r="519" spans="1:15" ht="20" customHeight="1" x14ac:dyDescent="0.2">
      <c r="A519" s="3">
        <v>515</v>
      </c>
      <c r="B519" s="19"/>
      <c r="C519" s="4" t="s">
        <v>4356</v>
      </c>
      <c r="D519" s="4" t="s">
        <v>42</v>
      </c>
      <c r="E519" s="4"/>
      <c r="F519" s="8"/>
      <c r="G519" s="8"/>
      <c r="H519" s="8"/>
      <c r="I519" s="8"/>
      <c r="J519" s="8"/>
      <c r="K519" s="8">
        <v>1</v>
      </c>
      <c r="L519" s="18">
        <v>11235</v>
      </c>
      <c r="M519" s="7">
        <f t="shared" si="8"/>
        <v>11235</v>
      </c>
      <c r="N519" s="4"/>
      <c r="O519" s="9"/>
    </row>
    <row r="520" spans="1:15" ht="20" customHeight="1" x14ac:dyDescent="0.2">
      <c r="A520" s="3">
        <v>516</v>
      </c>
      <c r="B520" s="19"/>
      <c r="C520" s="4" t="s">
        <v>4357</v>
      </c>
      <c r="D520" s="4" t="s">
        <v>42</v>
      </c>
      <c r="E520" s="4"/>
      <c r="F520" s="8"/>
      <c r="G520" s="8"/>
      <c r="H520" s="8"/>
      <c r="I520" s="8"/>
      <c r="J520" s="8"/>
      <c r="K520" s="8">
        <v>1</v>
      </c>
      <c r="L520" s="18">
        <v>11235</v>
      </c>
      <c r="M520" s="7">
        <f t="shared" si="8"/>
        <v>11235</v>
      </c>
      <c r="N520" s="4"/>
      <c r="O520" s="9"/>
    </row>
    <row r="521" spans="1:15" ht="20" customHeight="1" x14ac:dyDescent="0.2">
      <c r="A521" s="3">
        <v>517</v>
      </c>
      <c r="B521" s="19"/>
      <c r="C521" s="4" t="s">
        <v>4358</v>
      </c>
      <c r="D521" s="4" t="s">
        <v>42</v>
      </c>
      <c r="E521" s="4"/>
      <c r="F521" s="8"/>
      <c r="G521" s="8"/>
      <c r="H521" s="8"/>
      <c r="I521" s="8"/>
      <c r="J521" s="8"/>
      <c r="K521" s="8">
        <v>1</v>
      </c>
      <c r="L521" s="18">
        <v>33170</v>
      </c>
      <c r="M521" s="7">
        <f t="shared" si="8"/>
        <v>33170</v>
      </c>
      <c r="N521" s="4"/>
      <c r="O521" s="9"/>
    </row>
    <row r="522" spans="1:15" ht="20" customHeight="1" x14ac:dyDescent="0.2">
      <c r="A522" s="3">
        <v>518</v>
      </c>
      <c r="B522" s="19"/>
      <c r="C522" s="4" t="s">
        <v>4359</v>
      </c>
      <c r="D522" s="4" t="s">
        <v>42</v>
      </c>
      <c r="E522" s="4"/>
      <c r="F522" s="8"/>
      <c r="G522" s="8"/>
      <c r="H522" s="8"/>
      <c r="I522" s="8"/>
      <c r="J522" s="8"/>
      <c r="K522" s="8">
        <v>1</v>
      </c>
      <c r="L522" s="18">
        <v>1284</v>
      </c>
      <c r="M522" s="7">
        <f t="shared" si="8"/>
        <v>1284</v>
      </c>
      <c r="N522" s="4"/>
      <c r="O522" s="9"/>
    </row>
    <row r="523" spans="1:15" ht="20" customHeight="1" x14ac:dyDescent="0.2">
      <c r="A523" s="3">
        <v>519</v>
      </c>
      <c r="B523" s="19"/>
      <c r="C523" s="4" t="s">
        <v>4360</v>
      </c>
      <c r="D523" s="4" t="s">
        <v>42</v>
      </c>
      <c r="E523" s="4"/>
      <c r="F523" s="8"/>
      <c r="G523" s="8"/>
      <c r="H523" s="8"/>
      <c r="I523" s="8"/>
      <c r="J523" s="8"/>
      <c r="K523" s="8">
        <v>1</v>
      </c>
      <c r="L523" s="18">
        <v>33170</v>
      </c>
      <c r="M523" s="7">
        <f t="shared" si="8"/>
        <v>33170</v>
      </c>
      <c r="N523" s="4"/>
      <c r="O523" s="9"/>
    </row>
    <row r="524" spans="1:15" ht="20" customHeight="1" x14ac:dyDescent="0.2">
      <c r="A524" s="3">
        <v>520</v>
      </c>
      <c r="B524" s="19"/>
      <c r="C524" s="4" t="s">
        <v>4361</v>
      </c>
      <c r="D524" s="4" t="s">
        <v>42</v>
      </c>
      <c r="E524" s="4"/>
      <c r="F524" s="8"/>
      <c r="G524" s="8"/>
      <c r="H524" s="8"/>
      <c r="I524" s="8"/>
      <c r="J524" s="8"/>
      <c r="K524" s="8">
        <v>1</v>
      </c>
      <c r="L524" s="18">
        <v>26000</v>
      </c>
      <c r="M524" s="7">
        <f t="shared" si="8"/>
        <v>26000</v>
      </c>
      <c r="N524" s="4"/>
      <c r="O524" s="9"/>
    </row>
    <row r="525" spans="1:15" ht="20" customHeight="1" x14ac:dyDescent="0.2">
      <c r="A525" s="3">
        <v>521</v>
      </c>
      <c r="B525" s="19"/>
      <c r="C525" s="4" t="s">
        <v>4362</v>
      </c>
      <c r="D525" s="4" t="s">
        <v>42</v>
      </c>
      <c r="E525" s="4"/>
      <c r="F525" s="8"/>
      <c r="G525" s="8"/>
      <c r="H525" s="8"/>
      <c r="I525" s="8"/>
      <c r="J525" s="8"/>
      <c r="K525" s="8">
        <v>1</v>
      </c>
      <c r="L525" s="18">
        <v>3220</v>
      </c>
      <c r="M525" s="7">
        <f t="shared" si="8"/>
        <v>3220</v>
      </c>
      <c r="N525" s="4"/>
      <c r="O525" s="9"/>
    </row>
    <row r="526" spans="1:15" ht="20" customHeight="1" x14ac:dyDescent="0.2">
      <c r="A526" s="3">
        <v>522</v>
      </c>
      <c r="B526" s="19"/>
      <c r="C526" s="4" t="s">
        <v>4363</v>
      </c>
      <c r="D526" s="4" t="s">
        <v>42</v>
      </c>
      <c r="E526" s="4"/>
      <c r="F526" s="8"/>
      <c r="G526" s="8"/>
      <c r="H526" s="8"/>
      <c r="I526" s="8"/>
      <c r="J526" s="8"/>
      <c r="K526" s="8">
        <v>1</v>
      </c>
      <c r="L526" s="18">
        <v>2070</v>
      </c>
      <c r="M526" s="7">
        <f t="shared" si="8"/>
        <v>2070</v>
      </c>
      <c r="N526" s="4"/>
      <c r="O526" s="9"/>
    </row>
    <row r="527" spans="1:15" ht="20" customHeight="1" x14ac:dyDescent="0.2">
      <c r="A527" s="3">
        <v>523</v>
      </c>
      <c r="B527" s="19"/>
      <c r="C527" s="4" t="s">
        <v>4364</v>
      </c>
      <c r="D527" s="4" t="s">
        <v>42</v>
      </c>
      <c r="E527" s="4"/>
      <c r="F527" s="8"/>
      <c r="G527" s="8"/>
      <c r="H527" s="8"/>
      <c r="I527" s="8"/>
      <c r="J527" s="8"/>
      <c r="K527" s="8">
        <v>1</v>
      </c>
      <c r="L527" s="18">
        <v>2070</v>
      </c>
      <c r="M527" s="7">
        <f t="shared" si="8"/>
        <v>2070</v>
      </c>
      <c r="N527" s="4"/>
      <c r="O527" s="9"/>
    </row>
    <row r="528" spans="1:15" ht="20" customHeight="1" x14ac:dyDescent="0.2">
      <c r="A528" s="3">
        <v>524</v>
      </c>
      <c r="B528" s="19"/>
      <c r="C528" s="4" t="s">
        <v>4365</v>
      </c>
      <c r="D528" s="4" t="s">
        <v>42</v>
      </c>
      <c r="E528" s="4"/>
      <c r="F528" s="8"/>
      <c r="G528" s="8"/>
      <c r="H528" s="8"/>
      <c r="I528" s="8"/>
      <c r="J528" s="8"/>
      <c r="K528" s="8">
        <v>1</v>
      </c>
      <c r="L528" s="18">
        <v>5520</v>
      </c>
      <c r="M528" s="7">
        <f t="shared" si="8"/>
        <v>5520</v>
      </c>
      <c r="N528" s="4"/>
      <c r="O528" s="9"/>
    </row>
    <row r="529" spans="1:15" ht="20" customHeight="1" x14ac:dyDescent="0.2">
      <c r="A529" s="3">
        <v>525</v>
      </c>
      <c r="B529" s="19"/>
      <c r="C529" s="4" t="s">
        <v>4366</v>
      </c>
      <c r="D529" s="4" t="s">
        <v>42</v>
      </c>
      <c r="E529" s="4"/>
      <c r="F529" s="8"/>
      <c r="G529" s="8"/>
      <c r="H529" s="8"/>
      <c r="I529" s="8"/>
      <c r="J529" s="8"/>
      <c r="K529" s="8">
        <v>1</v>
      </c>
      <c r="L529" s="18">
        <v>5520</v>
      </c>
      <c r="M529" s="7">
        <f t="shared" si="8"/>
        <v>5520</v>
      </c>
      <c r="N529" s="4"/>
      <c r="O529" s="9"/>
    </row>
    <row r="530" spans="1:15" ht="20" customHeight="1" x14ac:dyDescent="0.2">
      <c r="A530" s="3">
        <v>526</v>
      </c>
      <c r="B530" s="19"/>
      <c r="C530" s="4" t="s">
        <v>4367</v>
      </c>
      <c r="D530" s="4" t="s">
        <v>42</v>
      </c>
      <c r="E530" s="4"/>
      <c r="F530" s="8"/>
      <c r="G530" s="8"/>
      <c r="H530" s="8"/>
      <c r="I530" s="8"/>
      <c r="J530" s="8"/>
      <c r="K530" s="8">
        <v>1</v>
      </c>
      <c r="L530" s="18">
        <v>5520</v>
      </c>
      <c r="M530" s="7">
        <f t="shared" si="8"/>
        <v>5520</v>
      </c>
      <c r="N530" s="4"/>
      <c r="O530" s="9"/>
    </row>
    <row r="531" spans="1:15" ht="20" customHeight="1" x14ac:dyDescent="0.2">
      <c r="A531" s="3">
        <v>527</v>
      </c>
      <c r="B531" s="19"/>
      <c r="C531" s="4" t="s">
        <v>4368</v>
      </c>
      <c r="D531" s="4" t="s">
        <v>42</v>
      </c>
      <c r="E531" s="4"/>
      <c r="F531" s="8"/>
      <c r="G531" s="8"/>
      <c r="H531" s="8"/>
      <c r="I531" s="8"/>
      <c r="J531" s="8"/>
      <c r="K531" s="8">
        <v>1</v>
      </c>
      <c r="L531" s="18">
        <v>1380</v>
      </c>
      <c r="M531" s="7">
        <f t="shared" si="8"/>
        <v>1380</v>
      </c>
      <c r="N531" s="4"/>
      <c r="O531" s="9"/>
    </row>
    <row r="532" spans="1:15" ht="20" customHeight="1" x14ac:dyDescent="0.2">
      <c r="A532" s="3">
        <v>528</v>
      </c>
      <c r="B532" s="19"/>
      <c r="C532" s="4" t="s">
        <v>4369</v>
      </c>
      <c r="D532" s="4" t="s">
        <v>42</v>
      </c>
      <c r="E532" s="4"/>
      <c r="F532" s="8"/>
      <c r="G532" s="8"/>
      <c r="H532" s="8"/>
      <c r="I532" s="8"/>
      <c r="J532" s="8"/>
      <c r="K532" s="8">
        <v>1</v>
      </c>
      <c r="L532" s="18">
        <v>2760</v>
      </c>
      <c r="M532" s="7">
        <f t="shared" si="8"/>
        <v>2760</v>
      </c>
      <c r="N532" s="4"/>
      <c r="O532" s="9"/>
    </row>
    <row r="533" spans="1:15" ht="20" customHeight="1" x14ac:dyDescent="0.2">
      <c r="A533" s="3">
        <v>529</v>
      </c>
      <c r="B533" s="19"/>
      <c r="C533" s="4" t="s">
        <v>4370</v>
      </c>
      <c r="D533" s="4" t="s">
        <v>42</v>
      </c>
      <c r="E533" s="4"/>
      <c r="F533" s="8"/>
      <c r="G533" s="8"/>
      <c r="H533" s="8"/>
      <c r="I533" s="8"/>
      <c r="J533" s="8"/>
      <c r="K533" s="8">
        <v>1</v>
      </c>
      <c r="L533" s="18">
        <v>1177</v>
      </c>
      <c r="M533" s="7">
        <f t="shared" si="8"/>
        <v>1177</v>
      </c>
      <c r="N533" s="4"/>
      <c r="O533" s="9"/>
    </row>
    <row r="534" spans="1:15" ht="20" customHeight="1" x14ac:dyDescent="0.2">
      <c r="A534" s="3">
        <v>530</v>
      </c>
      <c r="B534" s="19"/>
      <c r="C534" s="4" t="s">
        <v>4371</v>
      </c>
      <c r="D534" s="4" t="s">
        <v>42</v>
      </c>
      <c r="E534" s="4"/>
      <c r="F534" s="8"/>
      <c r="G534" s="8"/>
      <c r="H534" s="8"/>
      <c r="I534" s="8"/>
      <c r="J534" s="8"/>
      <c r="K534" s="8">
        <v>1</v>
      </c>
      <c r="L534" s="18">
        <v>1177</v>
      </c>
      <c r="M534" s="7">
        <f t="shared" si="8"/>
        <v>1177</v>
      </c>
      <c r="N534" s="4"/>
      <c r="O534" s="9"/>
    </row>
    <row r="535" spans="1:15" ht="20" customHeight="1" x14ac:dyDescent="0.2">
      <c r="A535" s="3">
        <v>531</v>
      </c>
      <c r="B535" s="19"/>
      <c r="C535" s="4" t="s">
        <v>4372</v>
      </c>
      <c r="D535" s="4" t="s">
        <v>42</v>
      </c>
      <c r="E535" s="4"/>
      <c r="F535" s="8"/>
      <c r="G535" s="8"/>
      <c r="H535" s="8"/>
      <c r="I535" s="8"/>
      <c r="J535" s="8"/>
      <c r="K535" s="8">
        <v>1</v>
      </c>
      <c r="L535" s="18">
        <v>2354</v>
      </c>
      <c r="M535" s="7">
        <f t="shared" si="8"/>
        <v>2354</v>
      </c>
      <c r="N535" s="4"/>
      <c r="O535" s="9"/>
    </row>
    <row r="536" spans="1:15" ht="20" customHeight="1" x14ac:dyDescent="0.2">
      <c r="A536" s="3">
        <v>532</v>
      </c>
      <c r="B536" s="19"/>
      <c r="C536" s="4" t="s">
        <v>4373</v>
      </c>
      <c r="D536" s="4" t="s">
        <v>42</v>
      </c>
      <c r="E536" s="4"/>
      <c r="F536" s="8"/>
      <c r="G536" s="8"/>
      <c r="H536" s="8"/>
      <c r="I536" s="8"/>
      <c r="J536" s="8"/>
      <c r="K536" s="8">
        <v>1</v>
      </c>
      <c r="L536" s="18">
        <v>2354</v>
      </c>
      <c r="M536" s="7">
        <f t="shared" si="8"/>
        <v>2354</v>
      </c>
      <c r="N536" s="4"/>
      <c r="O536" s="9"/>
    </row>
    <row r="537" spans="1:15" ht="20" customHeight="1" x14ac:dyDescent="0.2">
      <c r="A537" s="3">
        <v>533</v>
      </c>
      <c r="B537" s="19"/>
      <c r="C537" s="4" t="s">
        <v>4374</v>
      </c>
      <c r="D537" s="4" t="s">
        <v>42</v>
      </c>
      <c r="E537" s="4"/>
      <c r="F537" s="8"/>
      <c r="G537" s="8"/>
      <c r="H537" s="8"/>
      <c r="I537" s="8"/>
      <c r="J537" s="8"/>
      <c r="K537" s="8">
        <v>1</v>
      </c>
      <c r="L537" s="18">
        <v>1177</v>
      </c>
      <c r="M537" s="7">
        <f t="shared" si="8"/>
        <v>1177</v>
      </c>
      <c r="N537" s="4"/>
      <c r="O537" s="9"/>
    </row>
    <row r="538" spans="1:15" ht="20" customHeight="1" x14ac:dyDescent="0.2">
      <c r="A538" s="3">
        <v>534</v>
      </c>
      <c r="B538" s="19"/>
      <c r="C538" s="4" t="s">
        <v>4375</v>
      </c>
      <c r="D538" s="4" t="s">
        <v>42</v>
      </c>
      <c r="E538" s="4"/>
      <c r="F538" s="8"/>
      <c r="G538" s="8"/>
      <c r="H538" s="8"/>
      <c r="I538" s="8"/>
      <c r="J538" s="8"/>
      <c r="K538" s="8">
        <v>1</v>
      </c>
      <c r="L538" s="18">
        <v>2354</v>
      </c>
      <c r="M538" s="7">
        <f t="shared" si="8"/>
        <v>2354</v>
      </c>
      <c r="N538" s="4"/>
      <c r="O538" s="9"/>
    </row>
    <row r="539" spans="1:15" ht="20" customHeight="1" x14ac:dyDescent="0.2">
      <c r="A539" s="3">
        <v>535</v>
      </c>
      <c r="B539" s="19"/>
      <c r="C539" s="4" t="s">
        <v>4376</v>
      </c>
      <c r="D539" s="4" t="s">
        <v>42</v>
      </c>
      <c r="E539" s="4"/>
      <c r="F539" s="8"/>
      <c r="G539" s="8"/>
      <c r="H539" s="8"/>
      <c r="I539" s="8"/>
      <c r="J539" s="8"/>
      <c r="K539" s="8">
        <v>1</v>
      </c>
      <c r="L539" s="18">
        <v>42800</v>
      </c>
      <c r="M539" s="7">
        <f t="shared" si="8"/>
        <v>42800</v>
      </c>
      <c r="N539" s="4"/>
      <c r="O539" s="9"/>
    </row>
    <row r="540" spans="1:15" ht="20" customHeight="1" x14ac:dyDescent="0.2">
      <c r="A540" s="3">
        <v>536</v>
      </c>
      <c r="B540" s="19"/>
      <c r="C540" s="4" t="s">
        <v>4377</v>
      </c>
      <c r="D540" s="4" t="s">
        <v>42</v>
      </c>
      <c r="E540" s="4"/>
      <c r="F540" s="8"/>
      <c r="G540" s="8"/>
      <c r="H540" s="8"/>
      <c r="I540" s="8"/>
      <c r="J540" s="8"/>
      <c r="K540" s="8">
        <v>1</v>
      </c>
      <c r="L540" s="18">
        <v>8988</v>
      </c>
      <c r="M540" s="7">
        <f t="shared" si="8"/>
        <v>8988</v>
      </c>
      <c r="N540" s="4"/>
      <c r="O540" s="9"/>
    </row>
    <row r="541" spans="1:15" ht="20" customHeight="1" x14ac:dyDescent="0.2">
      <c r="A541" s="3">
        <v>537</v>
      </c>
      <c r="B541" s="19"/>
      <c r="C541" s="4" t="s">
        <v>4378</v>
      </c>
      <c r="D541" s="4" t="s">
        <v>42</v>
      </c>
      <c r="E541" s="4"/>
      <c r="F541" s="8"/>
      <c r="G541" s="8"/>
      <c r="H541" s="8"/>
      <c r="I541" s="8"/>
      <c r="J541" s="8"/>
      <c r="K541" s="8">
        <v>1</v>
      </c>
      <c r="L541" s="18">
        <v>4494</v>
      </c>
      <c r="M541" s="7">
        <f t="shared" si="8"/>
        <v>4494</v>
      </c>
      <c r="N541" s="4"/>
      <c r="O541" s="9"/>
    </row>
    <row r="542" spans="1:15" ht="20" customHeight="1" x14ac:dyDescent="0.2">
      <c r="A542" s="3">
        <v>538</v>
      </c>
      <c r="B542" s="19"/>
      <c r="C542" s="4" t="s">
        <v>4379</v>
      </c>
      <c r="D542" s="4" t="s">
        <v>42</v>
      </c>
      <c r="E542" s="4"/>
      <c r="F542" s="8"/>
      <c r="G542" s="8"/>
      <c r="H542" s="8"/>
      <c r="I542" s="8"/>
      <c r="J542" s="8"/>
      <c r="K542" s="8">
        <v>1</v>
      </c>
      <c r="L542" s="18">
        <v>7800.3</v>
      </c>
      <c r="M542" s="7">
        <f t="shared" si="8"/>
        <v>7800.3</v>
      </c>
      <c r="N542" s="4"/>
      <c r="O542" s="9"/>
    </row>
    <row r="543" spans="1:15" ht="20" customHeight="1" x14ac:dyDescent="0.2">
      <c r="A543" s="3">
        <v>539</v>
      </c>
      <c r="B543" s="19"/>
      <c r="C543" s="4" t="s">
        <v>4380</v>
      </c>
      <c r="D543" s="4" t="s">
        <v>42</v>
      </c>
      <c r="E543" s="4"/>
      <c r="F543" s="8"/>
      <c r="G543" s="8"/>
      <c r="H543" s="8"/>
      <c r="I543" s="8"/>
      <c r="J543" s="8"/>
      <c r="K543" s="8">
        <v>1</v>
      </c>
      <c r="L543" s="18">
        <v>3852</v>
      </c>
      <c r="M543" s="7">
        <f t="shared" si="8"/>
        <v>3852</v>
      </c>
      <c r="N543" s="4"/>
      <c r="O543" s="9"/>
    </row>
    <row r="544" spans="1:15" ht="20" customHeight="1" x14ac:dyDescent="0.2">
      <c r="A544" s="3">
        <v>540</v>
      </c>
      <c r="B544" s="19"/>
      <c r="C544" s="4" t="s">
        <v>4381</v>
      </c>
      <c r="D544" s="4" t="s">
        <v>42</v>
      </c>
      <c r="E544" s="4"/>
      <c r="F544" s="8"/>
      <c r="G544" s="8"/>
      <c r="H544" s="8"/>
      <c r="I544" s="8"/>
      <c r="J544" s="8"/>
      <c r="K544" s="8">
        <v>1</v>
      </c>
      <c r="L544" s="18">
        <v>72760</v>
      </c>
      <c r="M544" s="7">
        <f t="shared" si="8"/>
        <v>72760</v>
      </c>
      <c r="N544" s="4"/>
      <c r="O544" s="9"/>
    </row>
    <row r="545" spans="1:15" ht="20" customHeight="1" x14ac:dyDescent="0.2">
      <c r="A545" s="3">
        <v>541</v>
      </c>
      <c r="B545" s="19"/>
      <c r="C545" s="4" t="s">
        <v>4382</v>
      </c>
      <c r="D545" s="4" t="s">
        <v>42</v>
      </c>
      <c r="E545" s="4"/>
      <c r="F545" s="8"/>
      <c r="G545" s="8"/>
      <c r="H545" s="8"/>
      <c r="I545" s="8"/>
      <c r="J545" s="8"/>
      <c r="K545" s="8">
        <v>1</v>
      </c>
      <c r="L545" s="18">
        <v>4000</v>
      </c>
      <c r="M545" s="7">
        <f t="shared" si="8"/>
        <v>4000</v>
      </c>
      <c r="N545" s="4"/>
      <c r="O545" s="9"/>
    </row>
    <row r="546" spans="1:15" ht="20" customHeight="1" x14ac:dyDescent="0.2">
      <c r="A546" s="3">
        <v>542</v>
      </c>
      <c r="B546" s="19"/>
      <c r="C546" s="4" t="s">
        <v>4383</v>
      </c>
      <c r="D546" s="4" t="s">
        <v>42</v>
      </c>
      <c r="E546" s="4"/>
      <c r="F546" s="8"/>
      <c r="G546" s="8"/>
      <c r="H546" s="8"/>
      <c r="I546" s="8"/>
      <c r="J546" s="8"/>
      <c r="K546" s="8">
        <v>1</v>
      </c>
      <c r="L546" s="18">
        <v>13600</v>
      </c>
      <c r="M546" s="7">
        <f t="shared" si="8"/>
        <v>13600</v>
      </c>
      <c r="N546" s="4"/>
      <c r="O546" s="9"/>
    </row>
    <row r="547" spans="1:15" ht="20" customHeight="1" x14ac:dyDescent="0.2">
      <c r="A547" s="3">
        <v>543</v>
      </c>
      <c r="B547" s="19"/>
      <c r="C547" s="4" t="s">
        <v>4384</v>
      </c>
      <c r="D547" s="4" t="s">
        <v>42</v>
      </c>
      <c r="E547" s="4"/>
      <c r="F547" s="8"/>
      <c r="G547" s="8"/>
      <c r="H547" s="8"/>
      <c r="I547" s="8"/>
      <c r="J547" s="8"/>
      <c r="K547" s="8">
        <v>1</v>
      </c>
      <c r="L547" s="18">
        <v>195000</v>
      </c>
      <c r="M547" s="7">
        <f t="shared" si="8"/>
        <v>195000</v>
      </c>
      <c r="N547" s="4"/>
      <c r="O547" s="9"/>
    </row>
    <row r="548" spans="1:15" ht="20" customHeight="1" x14ac:dyDescent="0.2">
      <c r="A548" s="3">
        <v>544</v>
      </c>
      <c r="B548" s="19"/>
      <c r="C548" s="4" t="s">
        <v>4385</v>
      </c>
      <c r="D548" s="4" t="s">
        <v>42</v>
      </c>
      <c r="E548" s="4"/>
      <c r="F548" s="8"/>
      <c r="G548" s="8"/>
      <c r="H548" s="8"/>
      <c r="I548" s="8"/>
      <c r="J548" s="8"/>
      <c r="K548" s="8">
        <v>0</v>
      </c>
      <c r="L548" s="18">
        <v>0</v>
      </c>
      <c r="M548" s="7">
        <f t="shared" si="8"/>
        <v>0</v>
      </c>
      <c r="N548" s="4"/>
      <c r="O548" s="9"/>
    </row>
    <row r="549" spans="1:15" ht="20" customHeight="1" x14ac:dyDescent="0.2">
      <c r="A549" s="3">
        <v>545</v>
      </c>
      <c r="B549" s="19"/>
      <c r="C549" s="4" t="s">
        <v>4386</v>
      </c>
      <c r="D549" s="4" t="s">
        <v>42</v>
      </c>
      <c r="E549" s="4"/>
      <c r="F549" s="8"/>
      <c r="G549" s="8"/>
      <c r="H549" s="8"/>
      <c r="I549" s="8"/>
      <c r="J549" s="8"/>
      <c r="K549" s="8">
        <v>1</v>
      </c>
      <c r="L549" s="18">
        <v>10000</v>
      </c>
      <c r="M549" s="7">
        <f t="shared" si="8"/>
        <v>10000</v>
      </c>
      <c r="N549" s="4"/>
      <c r="O549" s="9"/>
    </row>
    <row r="550" spans="1:15" ht="20" customHeight="1" x14ac:dyDescent="0.2">
      <c r="A550" s="3">
        <v>546</v>
      </c>
      <c r="B550" s="19"/>
      <c r="C550" s="4" t="s">
        <v>4387</v>
      </c>
      <c r="D550" s="4" t="s">
        <v>42</v>
      </c>
      <c r="E550" s="4"/>
      <c r="F550" s="8"/>
      <c r="G550" s="8"/>
      <c r="H550" s="8"/>
      <c r="I550" s="8"/>
      <c r="J550" s="8"/>
      <c r="K550" s="8">
        <v>1</v>
      </c>
      <c r="L550" s="18">
        <v>10000</v>
      </c>
      <c r="M550" s="7">
        <f t="shared" si="8"/>
        <v>10000</v>
      </c>
      <c r="N550" s="4"/>
      <c r="O550" s="9"/>
    </row>
    <row r="551" spans="1:15" ht="20" customHeight="1" x14ac:dyDescent="0.2">
      <c r="A551" s="3">
        <v>547</v>
      </c>
      <c r="B551" s="19"/>
      <c r="C551" s="4" t="s">
        <v>4388</v>
      </c>
      <c r="D551" s="4" t="s">
        <v>42</v>
      </c>
      <c r="E551" s="4"/>
      <c r="F551" s="8"/>
      <c r="G551" s="8"/>
      <c r="H551" s="8"/>
      <c r="I551" s="8"/>
      <c r="J551" s="8"/>
      <c r="K551" s="8">
        <v>1</v>
      </c>
      <c r="L551" s="18">
        <v>3200</v>
      </c>
      <c r="M551" s="7">
        <f t="shared" si="8"/>
        <v>3200</v>
      </c>
      <c r="N551" s="4"/>
      <c r="O551" s="9"/>
    </row>
    <row r="552" spans="1:15" ht="20" customHeight="1" x14ac:dyDescent="0.2">
      <c r="A552" s="3">
        <v>548</v>
      </c>
      <c r="B552" s="19"/>
      <c r="C552" s="4" t="s">
        <v>4389</v>
      </c>
      <c r="D552" s="4" t="s">
        <v>42</v>
      </c>
      <c r="E552" s="4"/>
      <c r="F552" s="8"/>
      <c r="G552" s="8"/>
      <c r="H552" s="8"/>
      <c r="I552" s="8"/>
      <c r="J552" s="8"/>
      <c r="K552" s="8">
        <v>1</v>
      </c>
      <c r="L552" s="18">
        <v>2439.6</v>
      </c>
      <c r="M552" s="7">
        <f t="shared" si="8"/>
        <v>2439.6</v>
      </c>
      <c r="N552" s="4"/>
      <c r="O552" s="9"/>
    </row>
    <row r="553" spans="1:15" ht="20" customHeight="1" x14ac:dyDescent="0.2">
      <c r="A553" s="3">
        <v>549</v>
      </c>
      <c r="B553" s="19"/>
      <c r="C553" s="4" t="s">
        <v>4390</v>
      </c>
      <c r="D553" s="4" t="s">
        <v>42</v>
      </c>
      <c r="E553" s="4"/>
      <c r="F553" s="8"/>
      <c r="G553" s="8"/>
      <c r="H553" s="8"/>
      <c r="I553" s="8"/>
      <c r="J553" s="8"/>
      <c r="K553" s="8">
        <v>1</v>
      </c>
      <c r="L553" s="18">
        <v>1000</v>
      </c>
      <c r="M553" s="7">
        <f t="shared" si="8"/>
        <v>1000</v>
      </c>
      <c r="N553" s="4"/>
      <c r="O553" s="9"/>
    </row>
    <row r="554" spans="1:15" ht="20" customHeight="1" x14ac:dyDescent="0.2">
      <c r="A554" s="3">
        <v>550</v>
      </c>
      <c r="B554" s="19"/>
      <c r="C554" s="4" t="s">
        <v>4391</v>
      </c>
      <c r="D554" s="4" t="s">
        <v>42</v>
      </c>
      <c r="E554" s="4"/>
      <c r="F554" s="8"/>
      <c r="G554" s="8"/>
      <c r="H554" s="8"/>
      <c r="I554" s="8"/>
      <c r="J554" s="8"/>
      <c r="K554" s="8">
        <v>1</v>
      </c>
      <c r="L554" s="18">
        <v>25200</v>
      </c>
      <c r="M554" s="7">
        <f t="shared" si="8"/>
        <v>25200</v>
      </c>
      <c r="N554" s="4"/>
      <c r="O554" s="9"/>
    </row>
    <row r="555" spans="1:15" ht="22" customHeight="1" x14ac:dyDescent="0.35">
      <c r="A555" s="10" t="s">
        <v>86</v>
      </c>
      <c r="B555" s="20"/>
      <c r="C555" s="11"/>
      <c r="D555" s="11"/>
      <c r="E555" s="11"/>
      <c r="F555" s="11"/>
      <c r="G555" s="11"/>
      <c r="H555" s="11"/>
      <c r="I555" s="11"/>
      <c r="J555" s="11"/>
      <c r="K555" s="13">
        <f>SUM(K5:K554)</f>
        <v>481</v>
      </c>
      <c r="L555" s="11"/>
      <c r="M555" s="13">
        <f>SUM(M5:M554)</f>
        <v>5187197.3999999994</v>
      </c>
      <c r="N555" s="11"/>
      <c r="O555" s="11"/>
    </row>
    <row r="556" spans="1:15" ht="32" customHeight="1" x14ac:dyDescent="0.2">
      <c r="A556" s="23" t="s">
        <v>4392</v>
      </c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</row>
  </sheetData>
  <autoFilter ref="A4:O554" xr:uid="{00000000-0009-0000-0000-00000C000000}"/>
  <mergeCells count="5">
    <mergeCell ref="E2:G2"/>
    <mergeCell ref="I2:J2"/>
    <mergeCell ref="A1:O1"/>
    <mergeCell ref="F3:O3"/>
    <mergeCell ref="A556:O556"/>
  </mergeCells>
  <conditionalFormatting sqref="E3">
    <cfRule type="cellIs" dxfId="33" priority="1" operator="greaterThan">
      <formula>0.009</formula>
    </cfRule>
    <cfRule type="cellIs" dxfId="32" priority="2" operator="lessThan">
      <formula>-0.009</formula>
    </cfRule>
  </conditionalFormatting>
  <dataValidations count="1">
    <dataValidation type="list" allowBlank="1" sqref="O5:O554" xr:uid="{00000000-0002-0000-0C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ทันตกรรม · DBR/2570/0015</oddHeader>
    <oddFooter>&amp;Lส่งออกจากฐาน VPK-S1 วันที่ 12 ต.ค. 2569&amp;Rหน้า &amp;P / &amp;N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B6848"/>
    <pageSetUpPr fitToPage="1"/>
  </sheetPr>
  <dimension ref="A1:O332"/>
  <sheetViews>
    <sheetView showGridLines="0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4393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44</v>
      </c>
      <c r="D2" s="14" t="s">
        <v>7</v>
      </c>
      <c r="E2" s="24" t="s">
        <v>46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50403619.75</v>
      </c>
      <c r="D3" s="15" t="s">
        <v>94</v>
      </c>
      <c r="E3" s="17">
        <f>M331-C3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4394</v>
      </c>
      <c r="D5" s="4" t="s">
        <v>4395</v>
      </c>
      <c r="E5" s="4" t="s">
        <v>653</v>
      </c>
      <c r="F5" s="8"/>
      <c r="G5" s="8"/>
      <c r="H5" s="8"/>
      <c r="I5" s="8"/>
      <c r="J5" s="8"/>
      <c r="K5" s="8">
        <v>1860</v>
      </c>
      <c r="L5" s="18">
        <v>230</v>
      </c>
      <c r="M5" s="7">
        <f t="shared" ref="M5:M68" si="0">IF(OR(K5="",L5=""),"",K5*L5)</f>
        <v>427800</v>
      </c>
      <c r="N5" s="4"/>
      <c r="O5" s="9"/>
    </row>
    <row r="6" spans="1:15" ht="20" customHeight="1" x14ac:dyDescent="0.2">
      <c r="A6" s="3">
        <v>2</v>
      </c>
      <c r="B6" s="19"/>
      <c r="C6" s="4" t="s">
        <v>4396</v>
      </c>
      <c r="D6" s="4" t="s">
        <v>4395</v>
      </c>
      <c r="E6" s="4"/>
      <c r="F6" s="8"/>
      <c r="G6" s="8"/>
      <c r="H6" s="8"/>
      <c r="I6" s="8"/>
      <c r="J6" s="8"/>
      <c r="K6" s="8">
        <v>1</v>
      </c>
      <c r="L6" s="18">
        <v>26500</v>
      </c>
      <c r="M6" s="7">
        <f t="shared" si="0"/>
        <v>26500</v>
      </c>
      <c r="N6" s="4" t="s">
        <v>4397</v>
      </c>
      <c r="O6" s="9"/>
    </row>
    <row r="7" spans="1:15" ht="20" customHeight="1" x14ac:dyDescent="0.2">
      <c r="A7" s="3">
        <v>3</v>
      </c>
      <c r="B7" s="19"/>
      <c r="C7" s="4" t="s">
        <v>4398</v>
      </c>
      <c r="D7" s="4" t="s">
        <v>4395</v>
      </c>
      <c r="E7" s="4"/>
      <c r="F7" s="8"/>
      <c r="G7" s="8"/>
      <c r="H7" s="8"/>
      <c r="I7" s="8"/>
      <c r="J7" s="8"/>
      <c r="K7" s="8">
        <v>0</v>
      </c>
      <c r="L7" s="18">
        <v>75</v>
      </c>
      <c r="M7" s="7">
        <f t="shared" si="0"/>
        <v>0</v>
      </c>
      <c r="N7" s="4" t="s">
        <v>4399</v>
      </c>
      <c r="O7" s="9"/>
    </row>
    <row r="8" spans="1:15" ht="20" customHeight="1" x14ac:dyDescent="0.2">
      <c r="A8" s="3">
        <v>4</v>
      </c>
      <c r="B8" s="19"/>
      <c r="C8" s="4" t="s">
        <v>4400</v>
      </c>
      <c r="D8" s="4" t="s">
        <v>4395</v>
      </c>
      <c r="E8" s="4"/>
      <c r="F8" s="8"/>
      <c r="G8" s="8"/>
      <c r="H8" s="8"/>
      <c r="I8" s="8"/>
      <c r="J8" s="8"/>
      <c r="K8" s="8">
        <v>0</v>
      </c>
      <c r="L8" s="18">
        <v>65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4401</v>
      </c>
      <c r="D9" s="4" t="s">
        <v>4395</v>
      </c>
      <c r="E9" s="4"/>
      <c r="F9" s="8"/>
      <c r="G9" s="8"/>
      <c r="H9" s="8"/>
      <c r="I9" s="8"/>
      <c r="J9" s="8"/>
      <c r="K9" s="8">
        <v>0</v>
      </c>
      <c r="L9" s="18">
        <v>175</v>
      </c>
      <c r="M9" s="7">
        <f t="shared" si="0"/>
        <v>0</v>
      </c>
      <c r="N9" s="4"/>
      <c r="O9" s="9"/>
    </row>
    <row r="10" spans="1:15" ht="20" customHeight="1" x14ac:dyDescent="0.2">
      <c r="A10" s="3">
        <v>6</v>
      </c>
      <c r="B10" s="19"/>
      <c r="C10" s="4" t="s">
        <v>4402</v>
      </c>
      <c r="D10" s="4" t="s">
        <v>4395</v>
      </c>
      <c r="E10" s="4"/>
      <c r="F10" s="8"/>
      <c r="G10" s="8"/>
      <c r="H10" s="8"/>
      <c r="I10" s="8"/>
      <c r="J10" s="8"/>
      <c r="K10" s="8">
        <v>0</v>
      </c>
      <c r="L10" s="18">
        <v>110</v>
      </c>
      <c r="M10" s="7">
        <f t="shared" si="0"/>
        <v>0</v>
      </c>
      <c r="N10" s="4"/>
      <c r="O10" s="9"/>
    </row>
    <row r="11" spans="1:15" ht="20" customHeight="1" x14ac:dyDescent="0.2">
      <c r="A11" s="3">
        <v>7</v>
      </c>
      <c r="B11" s="19"/>
      <c r="C11" s="4" t="s">
        <v>4403</v>
      </c>
      <c r="D11" s="4" t="s">
        <v>4395</v>
      </c>
      <c r="E11" s="4"/>
      <c r="F11" s="8"/>
      <c r="G11" s="8"/>
      <c r="H11" s="8"/>
      <c r="I11" s="8"/>
      <c r="J11" s="8"/>
      <c r="K11" s="8">
        <v>1</v>
      </c>
      <c r="L11" s="18">
        <v>2500000</v>
      </c>
      <c r="M11" s="7">
        <f t="shared" si="0"/>
        <v>2500000</v>
      </c>
      <c r="N11" s="4"/>
      <c r="O11" s="9"/>
    </row>
    <row r="12" spans="1:15" ht="20" customHeight="1" x14ac:dyDescent="0.2">
      <c r="A12" s="3">
        <v>8</v>
      </c>
      <c r="B12" s="19"/>
      <c r="C12" s="4" t="s">
        <v>4404</v>
      </c>
      <c r="D12" s="4" t="s">
        <v>4395</v>
      </c>
      <c r="E12" s="4" t="s">
        <v>276</v>
      </c>
      <c r="F12" s="8"/>
      <c r="G12" s="8"/>
      <c r="H12" s="8"/>
      <c r="I12" s="8"/>
      <c r="J12" s="8"/>
      <c r="K12" s="8">
        <v>600</v>
      </c>
      <c r="L12" s="18">
        <v>55</v>
      </c>
      <c r="M12" s="7">
        <f t="shared" si="0"/>
        <v>33000</v>
      </c>
      <c r="N12" s="4"/>
      <c r="O12" s="9"/>
    </row>
    <row r="13" spans="1:15" ht="20" customHeight="1" x14ac:dyDescent="0.2">
      <c r="A13" s="3">
        <v>9</v>
      </c>
      <c r="B13" s="19"/>
      <c r="C13" s="4" t="s">
        <v>4405</v>
      </c>
      <c r="D13" s="4" t="s">
        <v>4395</v>
      </c>
      <c r="E13" s="4" t="s">
        <v>4406</v>
      </c>
      <c r="F13" s="8"/>
      <c r="G13" s="8"/>
      <c r="H13" s="8"/>
      <c r="I13" s="8"/>
      <c r="J13" s="8"/>
      <c r="K13" s="8">
        <v>30</v>
      </c>
      <c r="L13" s="18">
        <v>60</v>
      </c>
      <c r="M13" s="7">
        <f t="shared" si="0"/>
        <v>1800</v>
      </c>
      <c r="N13" s="4" t="s">
        <v>4407</v>
      </c>
      <c r="O13" s="9"/>
    </row>
    <row r="14" spans="1:15" ht="20" customHeight="1" x14ac:dyDescent="0.2">
      <c r="A14" s="3">
        <v>10</v>
      </c>
      <c r="B14" s="19"/>
      <c r="C14" s="4" t="s">
        <v>4408</v>
      </c>
      <c r="D14" s="4" t="s">
        <v>4395</v>
      </c>
      <c r="E14" s="4" t="s">
        <v>4406</v>
      </c>
      <c r="F14" s="8"/>
      <c r="G14" s="8"/>
      <c r="H14" s="8"/>
      <c r="I14" s="8"/>
      <c r="J14" s="8"/>
      <c r="K14" s="8">
        <v>110</v>
      </c>
      <c r="L14" s="18">
        <v>60</v>
      </c>
      <c r="M14" s="7">
        <f t="shared" si="0"/>
        <v>6600</v>
      </c>
      <c r="N14" s="4" t="s">
        <v>4407</v>
      </c>
      <c r="O14" s="9"/>
    </row>
    <row r="15" spans="1:15" ht="20" customHeight="1" x14ac:dyDescent="0.2">
      <c r="A15" s="3">
        <v>11</v>
      </c>
      <c r="B15" s="19"/>
      <c r="C15" s="4" t="s">
        <v>4409</v>
      </c>
      <c r="D15" s="4" t="s">
        <v>4395</v>
      </c>
      <c r="E15" s="4" t="s">
        <v>4406</v>
      </c>
      <c r="F15" s="8"/>
      <c r="G15" s="8"/>
      <c r="H15" s="8"/>
      <c r="I15" s="8"/>
      <c r="J15" s="8"/>
      <c r="K15" s="8">
        <v>40</v>
      </c>
      <c r="L15" s="18">
        <v>510</v>
      </c>
      <c r="M15" s="7">
        <f t="shared" si="0"/>
        <v>20400</v>
      </c>
      <c r="N15" s="4"/>
      <c r="O15" s="9"/>
    </row>
    <row r="16" spans="1:15" ht="20" customHeight="1" x14ac:dyDescent="0.2">
      <c r="A16" s="3">
        <v>12</v>
      </c>
      <c r="B16" s="19"/>
      <c r="C16" s="4" t="s">
        <v>4410</v>
      </c>
      <c r="D16" s="4" t="s">
        <v>4395</v>
      </c>
      <c r="E16" s="4" t="s">
        <v>276</v>
      </c>
      <c r="F16" s="8"/>
      <c r="G16" s="8"/>
      <c r="H16" s="8"/>
      <c r="I16" s="8"/>
      <c r="J16" s="8"/>
      <c r="K16" s="8">
        <v>75</v>
      </c>
      <c r="L16" s="18">
        <v>46.25</v>
      </c>
      <c r="M16" s="7">
        <f t="shared" si="0"/>
        <v>3468.75</v>
      </c>
      <c r="N16" s="4"/>
      <c r="O16" s="9"/>
    </row>
    <row r="17" spans="1:15" ht="20" customHeight="1" x14ac:dyDescent="0.2">
      <c r="A17" s="3">
        <v>13</v>
      </c>
      <c r="B17" s="19"/>
      <c r="C17" s="4" t="s">
        <v>4411</v>
      </c>
      <c r="D17" s="4" t="s">
        <v>4395</v>
      </c>
      <c r="E17" s="4" t="s">
        <v>276</v>
      </c>
      <c r="F17" s="8"/>
      <c r="G17" s="8"/>
      <c r="H17" s="8"/>
      <c r="I17" s="8"/>
      <c r="J17" s="8"/>
      <c r="K17" s="8">
        <v>140</v>
      </c>
      <c r="L17" s="18">
        <v>43</v>
      </c>
      <c r="M17" s="7">
        <f t="shared" si="0"/>
        <v>6020</v>
      </c>
      <c r="N17" s="4"/>
      <c r="O17" s="9"/>
    </row>
    <row r="18" spans="1:15" ht="20" customHeight="1" x14ac:dyDescent="0.2">
      <c r="A18" s="3">
        <v>14</v>
      </c>
      <c r="B18" s="19"/>
      <c r="C18" s="4" t="s">
        <v>4412</v>
      </c>
      <c r="D18" s="4" t="s">
        <v>4395</v>
      </c>
      <c r="E18" s="4" t="s">
        <v>276</v>
      </c>
      <c r="F18" s="8"/>
      <c r="G18" s="8"/>
      <c r="H18" s="8"/>
      <c r="I18" s="8"/>
      <c r="J18" s="8"/>
      <c r="K18" s="8">
        <v>50</v>
      </c>
      <c r="L18" s="18">
        <v>80</v>
      </c>
      <c r="M18" s="7">
        <f t="shared" si="0"/>
        <v>4000</v>
      </c>
      <c r="N18" s="4" t="s">
        <v>4407</v>
      </c>
      <c r="O18" s="9"/>
    </row>
    <row r="19" spans="1:15" ht="20" customHeight="1" x14ac:dyDescent="0.2">
      <c r="A19" s="3">
        <v>15</v>
      </c>
      <c r="B19" s="19"/>
      <c r="C19" s="4" t="s">
        <v>4413</v>
      </c>
      <c r="D19" s="4" t="s">
        <v>4395</v>
      </c>
      <c r="E19" s="4" t="s">
        <v>276</v>
      </c>
      <c r="F19" s="8"/>
      <c r="G19" s="8"/>
      <c r="H19" s="8"/>
      <c r="I19" s="8"/>
      <c r="J19" s="8"/>
      <c r="K19" s="8">
        <v>1350</v>
      </c>
      <c r="L19" s="18">
        <v>357</v>
      </c>
      <c r="M19" s="7">
        <f t="shared" si="0"/>
        <v>481950</v>
      </c>
      <c r="N19" s="4"/>
      <c r="O19" s="9"/>
    </row>
    <row r="20" spans="1:15" ht="20" customHeight="1" x14ac:dyDescent="0.2">
      <c r="A20" s="3">
        <v>16</v>
      </c>
      <c r="B20" s="19"/>
      <c r="C20" s="4" t="s">
        <v>4414</v>
      </c>
      <c r="D20" s="4" t="s">
        <v>4395</v>
      </c>
      <c r="E20" s="4" t="s">
        <v>276</v>
      </c>
      <c r="F20" s="8"/>
      <c r="G20" s="8"/>
      <c r="H20" s="8"/>
      <c r="I20" s="8"/>
      <c r="J20" s="8"/>
      <c r="K20" s="8">
        <v>50</v>
      </c>
      <c r="L20" s="18">
        <v>357</v>
      </c>
      <c r="M20" s="7">
        <f t="shared" si="0"/>
        <v>17850</v>
      </c>
      <c r="N20" s="4"/>
      <c r="O20" s="9"/>
    </row>
    <row r="21" spans="1:15" ht="20" customHeight="1" x14ac:dyDescent="0.2">
      <c r="A21" s="3">
        <v>17</v>
      </c>
      <c r="B21" s="19"/>
      <c r="C21" s="4" t="s">
        <v>4415</v>
      </c>
      <c r="D21" s="4" t="s">
        <v>4395</v>
      </c>
      <c r="E21" s="4" t="s">
        <v>133</v>
      </c>
      <c r="F21" s="8"/>
      <c r="G21" s="8"/>
      <c r="H21" s="8"/>
      <c r="I21" s="8"/>
      <c r="J21" s="8"/>
      <c r="K21" s="8">
        <v>40</v>
      </c>
      <c r="L21" s="18">
        <v>35</v>
      </c>
      <c r="M21" s="7">
        <f t="shared" si="0"/>
        <v>1400</v>
      </c>
      <c r="N21" s="4"/>
      <c r="O21" s="9"/>
    </row>
    <row r="22" spans="1:15" ht="20" customHeight="1" x14ac:dyDescent="0.2">
      <c r="A22" s="3">
        <v>18</v>
      </c>
      <c r="B22" s="19"/>
      <c r="C22" s="4" t="s">
        <v>4416</v>
      </c>
      <c r="D22" s="4" t="s">
        <v>4395</v>
      </c>
      <c r="E22" s="4"/>
      <c r="F22" s="8"/>
      <c r="G22" s="8"/>
      <c r="H22" s="8"/>
      <c r="I22" s="8"/>
      <c r="J22" s="8"/>
      <c r="K22" s="8">
        <v>0</v>
      </c>
      <c r="L22" s="18">
        <v>95</v>
      </c>
      <c r="M22" s="7">
        <f t="shared" si="0"/>
        <v>0</v>
      </c>
      <c r="N22" s="4"/>
      <c r="O22" s="9"/>
    </row>
    <row r="23" spans="1:15" ht="20" customHeight="1" x14ac:dyDescent="0.2">
      <c r="A23" s="3">
        <v>19</v>
      </c>
      <c r="B23" s="19"/>
      <c r="C23" s="4" t="s">
        <v>4417</v>
      </c>
      <c r="D23" s="4" t="s">
        <v>4395</v>
      </c>
      <c r="E23" s="4" t="s">
        <v>4406</v>
      </c>
      <c r="F23" s="8"/>
      <c r="G23" s="8"/>
      <c r="H23" s="8"/>
      <c r="I23" s="8"/>
      <c r="J23" s="8"/>
      <c r="K23" s="8">
        <v>120</v>
      </c>
      <c r="L23" s="18">
        <v>95</v>
      </c>
      <c r="M23" s="7">
        <f t="shared" si="0"/>
        <v>11400</v>
      </c>
      <c r="N23" s="4" t="s">
        <v>4407</v>
      </c>
      <c r="O23" s="9"/>
    </row>
    <row r="24" spans="1:15" ht="20" customHeight="1" x14ac:dyDescent="0.2">
      <c r="A24" s="3">
        <v>20</v>
      </c>
      <c r="B24" s="19"/>
      <c r="C24" s="4" t="s">
        <v>4418</v>
      </c>
      <c r="D24" s="4" t="s">
        <v>4395</v>
      </c>
      <c r="E24" s="4" t="s">
        <v>4406</v>
      </c>
      <c r="F24" s="8"/>
      <c r="G24" s="8"/>
      <c r="H24" s="8"/>
      <c r="I24" s="8"/>
      <c r="J24" s="8"/>
      <c r="K24" s="8">
        <v>400</v>
      </c>
      <c r="L24" s="18">
        <v>92</v>
      </c>
      <c r="M24" s="7">
        <f t="shared" si="0"/>
        <v>36800</v>
      </c>
      <c r="N24" s="4" t="s">
        <v>4407</v>
      </c>
      <c r="O24" s="9"/>
    </row>
    <row r="25" spans="1:15" ht="20" customHeight="1" x14ac:dyDescent="0.2">
      <c r="A25" s="3">
        <v>21</v>
      </c>
      <c r="B25" s="19"/>
      <c r="C25" s="4" t="s">
        <v>4419</v>
      </c>
      <c r="D25" s="4" t="s">
        <v>4395</v>
      </c>
      <c r="E25" s="4" t="s">
        <v>4406</v>
      </c>
      <c r="F25" s="8"/>
      <c r="G25" s="8"/>
      <c r="H25" s="8"/>
      <c r="I25" s="8"/>
      <c r="J25" s="8"/>
      <c r="K25" s="8">
        <v>20</v>
      </c>
      <c r="L25" s="18">
        <v>95</v>
      </c>
      <c r="M25" s="7">
        <f t="shared" si="0"/>
        <v>1900</v>
      </c>
      <c r="N25" s="4" t="s">
        <v>4407</v>
      </c>
      <c r="O25" s="9"/>
    </row>
    <row r="26" spans="1:15" ht="20" customHeight="1" x14ac:dyDescent="0.2">
      <c r="A26" s="3">
        <v>22</v>
      </c>
      <c r="B26" s="19"/>
      <c r="C26" s="4" t="s">
        <v>4420</v>
      </c>
      <c r="D26" s="4" t="s">
        <v>4395</v>
      </c>
      <c r="E26" s="4" t="s">
        <v>4406</v>
      </c>
      <c r="F26" s="8"/>
      <c r="G26" s="8"/>
      <c r="H26" s="8"/>
      <c r="I26" s="8"/>
      <c r="J26" s="8"/>
      <c r="K26" s="8">
        <v>100</v>
      </c>
      <c r="L26" s="18">
        <v>95</v>
      </c>
      <c r="M26" s="7">
        <f t="shared" si="0"/>
        <v>9500</v>
      </c>
      <c r="N26" s="4" t="s">
        <v>4407</v>
      </c>
      <c r="O26" s="9"/>
    </row>
    <row r="27" spans="1:15" ht="20" customHeight="1" x14ac:dyDescent="0.2">
      <c r="A27" s="3">
        <v>23</v>
      </c>
      <c r="B27" s="19"/>
      <c r="C27" s="4" t="s">
        <v>4421</v>
      </c>
      <c r="D27" s="4" t="s">
        <v>4395</v>
      </c>
      <c r="E27" s="4" t="s">
        <v>4406</v>
      </c>
      <c r="F27" s="8"/>
      <c r="G27" s="8"/>
      <c r="H27" s="8"/>
      <c r="I27" s="8"/>
      <c r="J27" s="8"/>
      <c r="K27" s="8">
        <v>200</v>
      </c>
      <c r="L27" s="18">
        <v>100</v>
      </c>
      <c r="M27" s="7">
        <f t="shared" si="0"/>
        <v>20000</v>
      </c>
      <c r="N27" s="4" t="s">
        <v>4407</v>
      </c>
      <c r="O27" s="9"/>
    </row>
    <row r="28" spans="1:15" ht="20" customHeight="1" x14ac:dyDescent="0.2">
      <c r="A28" s="3">
        <v>24</v>
      </c>
      <c r="B28" s="19"/>
      <c r="C28" s="4" t="s">
        <v>4422</v>
      </c>
      <c r="D28" s="4" t="s">
        <v>4395</v>
      </c>
      <c r="E28" s="4" t="s">
        <v>4406</v>
      </c>
      <c r="F28" s="8"/>
      <c r="G28" s="8"/>
      <c r="H28" s="8"/>
      <c r="I28" s="8"/>
      <c r="J28" s="8"/>
      <c r="K28" s="8">
        <v>250</v>
      </c>
      <c r="L28" s="18">
        <v>92</v>
      </c>
      <c r="M28" s="7">
        <f t="shared" si="0"/>
        <v>23000</v>
      </c>
      <c r="N28" s="4" t="s">
        <v>4407</v>
      </c>
      <c r="O28" s="9"/>
    </row>
    <row r="29" spans="1:15" ht="20" customHeight="1" x14ac:dyDescent="0.2">
      <c r="A29" s="3">
        <v>25</v>
      </c>
      <c r="B29" s="19"/>
      <c r="C29" s="4" t="s">
        <v>4423</v>
      </c>
      <c r="D29" s="4" t="s">
        <v>4395</v>
      </c>
      <c r="E29" s="4" t="s">
        <v>4406</v>
      </c>
      <c r="F29" s="8"/>
      <c r="G29" s="8"/>
      <c r="H29" s="8"/>
      <c r="I29" s="8"/>
      <c r="J29" s="8"/>
      <c r="K29" s="8">
        <v>100</v>
      </c>
      <c r="L29" s="18">
        <v>100</v>
      </c>
      <c r="M29" s="7">
        <f t="shared" si="0"/>
        <v>10000</v>
      </c>
      <c r="N29" s="4" t="s">
        <v>4407</v>
      </c>
      <c r="O29" s="9"/>
    </row>
    <row r="30" spans="1:15" ht="20" customHeight="1" x14ac:dyDescent="0.2">
      <c r="A30" s="3">
        <v>26</v>
      </c>
      <c r="B30" s="19"/>
      <c r="C30" s="4" t="s">
        <v>4424</v>
      </c>
      <c r="D30" s="4" t="s">
        <v>4395</v>
      </c>
      <c r="E30" s="4" t="s">
        <v>4406</v>
      </c>
      <c r="F30" s="8"/>
      <c r="G30" s="8"/>
      <c r="H30" s="8"/>
      <c r="I30" s="8"/>
      <c r="J30" s="8"/>
      <c r="K30" s="8">
        <v>100</v>
      </c>
      <c r="L30" s="18">
        <v>140</v>
      </c>
      <c r="M30" s="7">
        <f t="shared" si="0"/>
        <v>14000</v>
      </c>
      <c r="N30" s="4" t="s">
        <v>4407</v>
      </c>
      <c r="O30" s="9"/>
    </row>
    <row r="31" spans="1:15" ht="20" customHeight="1" x14ac:dyDescent="0.2">
      <c r="A31" s="3">
        <v>27</v>
      </c>
      <c r="B31" s="19"/>
      <c r="C31" s="4" t="s">
        <v>4425</v>
      </c>
      <c r="D31" s="4" t="s">
        <v>4395</v>
      </c>
      <c r="E31" s="4" t="s">
        <v>4406</v>
      </c>
      <c r="F31" s="8"/>
      <c r="G31" s="8"/>
      <c r="H31" s="8"/>
      <c r="I31" s="8"/>
      <c r="J31" s="8"/>
      <c r="K31" s="8">
        <v>300</v>
      </c>
      <c r="L31" s="18">
        <v>92</v>
      </c>
      <c r="M31" s="7">
        <f t="shared" si="0"/>
        <v>27600</v>
      </c>
      <c r="N31" s="4" t="s">
        <v>4407</v>
      </c>
      <c r="O31" s="9"/>
    </row>
    <row r="32" spans="1:15" ht="20" customHeight="1" x14ac:dyDescent="0.2">
      <c r="A32" s="3">
        <v>28</v>
      </c>
      <c r="B32" s="19"/>
      <c r="C32" s="4" t="s">
        <v>4426</v>
      </c>
      <c r="D32" s="4" t="s">
        <v>4395</v>
      </c>
      <c r="E32" s="4" t="s">
        <v>4406</v>
      </c>
      <c r="F32" s="8"/>
      <c r="G32" s="8"/>
      <c r="H32" s="8"/>
      <c r="I32" s="8"/>
      <c r="J32" s="8"/>
      <c r="K32" s="8">
        <v>10</v>
      </c>
      <c r="L32" s="18">
        <v>95</v>
      </c>
      <c r="M32" s="7">
        <f t="shared" si="0"/>
        <v>950</v>
      </c>
      <c r="N32" s="4" t="s">
        <v>4407</v>
      </c>
      <c r="O32" s="9"/>
    </row>
    <row r="33" spans="1:15" ht="20" customHeight="1" x14ac:dyDescent="0.2">
      <c r="A33" s="3">
        <v>29</v>
      </c>
      <c r="B33" s="19"/>
      <c r="C33" s="4" t="s">
        <v>4427</v>
      </c>
      <c r="D33" s="4" t="s">
        <v>4395</v>
      </c>
      <c r="E33" s="4"/>
      <c r="F33" s="8"/>
      <c r="G33" s="8"/>
      <c r="H33" s="8"/>
      <c r="I33" s="8"/>
      <c r="J33" s="8"/>
      <c r="K33" s="8">
        <v>55</v>
      </c>
      <c r="L33" s="18">
        <v>65</v>
      </c>
      <c r="M33" s="7">
        <f t="shared" si="0"/>
        <v>3575</v>
      </c>
      <c r="N33" s="4"/>
      <c r="O33" s="9"/>
    </row>
    <row r="34" spans="1:15" ht="20" customHeight="1" x14ac:dyDescent="0.2">
      <c r="A34" s="3">
        <v>30</v>
      </c>
      <c r="B34" s="19"/>
      <c r="C34" s="4" t="s">
        <v>4428</v>
      </c>
      <c r="D34" s="4" t="s">
        <v>4395</v>
      </c>
      <c r="E34" s="4"/>
      <c r="F34" s="8"/>
      <c r="G34" s="8"/>
      <c r="H34" s="8"/>
      <c r="I34" s="8"/>
      <c r="J34" s="8"/>
      <c r="K34" s="8">
        <v>100</v>
      </c>
      <c r="L34" s="18">
        <v>69</v>
      </c>
      <c r="M34" s="7">
        <f t="shared" si="0"/>
        <v>6900</v>
      </c>
      <c r="N34" s="4"/>
      <c r="O34" s="9"/>
    </row>
    <row r="35" spans="1:15" ht="20" customHeight="1" x14ac:dyDescent="0.2">
      <c r="A35" s="3">
        <v>31</v>
      </c>
      <c r="B35" s="19"/>
      <c r="C35" s="4" t="s">
        <v>4429</v>
      </c>
      <c r="D35" s="4" t="s">
        <v>4395</v>
      </c>
      <c r="E35" s="4" t="s">
        <v>110</v>
      </c>
      <c r="F35" s="8"/>
      <c r="G35" s="8"/>
      <c r="H35" s="8"/>
      <c r="I35" s="8"/>
      <c r="J35" s="8"/>
      <c r="K35" s="8">
        <v>20</v>
      </c>
      <c r="L35" s="18">
        <v>57</v>
      </c>
      <c r="M35" s="7">
        <f t="shared" si="0"/>
        <v>1140</v>
      </c>
      <c r="N35" s="4"/>
      <c r="O35" s="9"/>
    </row>
    <row r="36" spans="1:15" ht="20" customHeight="1" x14ac:dyDescent="0.2">
      <c r="A36" s="3">
        <v>32</v>
      </c>
      <c r="B36" s="19"/>
      <c r="C36" s="4" t="s">
        <v>4430</v>
      </c>
      <c r="D36" s="4" t="s">
        <v>4395</v>
      </c>
      <c r="E36" s="4" t="s">
        <v>302</v>
      </c>
      <c r="F36" s="8"/>
      <c r="G36" s="8"/>
      <c r="H36" s="8"/>
      <c r="I36" s="8"/>
      <c r="J36" s="8"/>
      <c r="K36" s="8">
        <v>4000</v>
      </c>
      <c r="L36" s="18">
        <v>8</v>
      </c>
      <c r="M36" s="7">
        <f t="shared" si="0"/>
        <v>32000</v>
      </c>
      <c r="N36" s="4"/>
      <c r="O36" s="9"/>
    </row>
    <row r="37" spans="1:15" ht="20" customHeight="1" x14ac:dyDescent="0.2">
      <c r="A37" s="3">
        <v>33</v>
      </c>
      <c r="B37" s="19"/>
      <c r="C37" s="4" t="s">
        <v>4431</v>
      </c>
      <c r="D37" s="4" t="s">
        <v>4395</v>
      </c>
      <c r="E37" s="4" t="s">
        <v>265</v>
      </c>
      <c r="F37" s="8"/>
      <c r="G37" s="8"/>
      <c r="H37" s="8"/>
      <c r="I37" s="8"/>
      <c r="J37" s="8"/>
      <c r="K37" s="8">
        <v>40</v>
      </c>
      <c r="L37" s="18">
        <v>11</v>
      </c>
      <c r="M37" s="7">
        <f t="shared" si="0"/>
        <v>440</v>
      </c>
      <c r="N37" s="4"/>
      <c r="O37" s="9"/>
    </row>
    <row r="38" spans="1:15" ht="20" customHeight="1" x14ac:dyDescent="0.2">
      <c r="A38" s="3">
        <v>34</v>
      </c>
      <c r="B38" s="19"/>
      <c r="C38" s="4" t="s">
        <v>4432</v>
      </c>
      <c r="D38" s="4" t="s">
        <v>4395</v>
      </c>
      <c r="E38" s="4" t="s">
        <v>133</v>
      </c>
      <c r="F38" s="8"/>
      <c r="G38" s="8"/>
      <c r="H38" s="8"/>
      <c r="I38" s="8"/>
      <c r="J38" s="8"/>
      <c r="K38" s="8">
        <v>535</v>
      </c>
      <c r="L38" s="18">
        <v>98</v>
      </c>
      <c r="M38" s="7">
        <f t="shared" si="0"/>
        <v>52430</v>
      </c>
      <c r="N38" s="4"/>
      <c r="O38" s="9"/>
    </row>
    <row r="39" spans="1:15" ht="20" customHeight="1" x14ac:dyDescent="0.2">
      <c r="A39" s="3">
        <v>35</v>
      </c>
      <c r="B39" s="19"/>
      <c r="C39" s="4" t="s">
        <v>4433</v>
      </c>
      <c r="D39" s="4" t="s">
        <v>4395</v>
      </c>
      <c r="E39" s="4" t="s">
        <v>302</v>
      </c>
      <c r="F39" s="8"/>
      <c r="G39" s="8"/>
      <c r="H39" s="8"/>
      <c r="I39" s="8"/>
      <c r="J39" s="8"/>
      <c r="K39" s="8">
        <v>2800</v>
      </c>
      <c r="L39" s="18">
        <v>8</v>
      </c>
      <c r="M39" s="7">
        <f t="shared" si="0"/>
        <v>22400</v>
      </c>
      <c r="N39" s="4"/>
      <c r="O39" s="9"/>
    </row>
    <row r="40" spans="1:15" ht="20" customHeight="1" x14ac:dyDescent="0.2">
      <c r="A40" s="3">
        <v>36</v>
      </c>
      <c r="B40" s="19"/>
      <c r="C40" s="4" t="s">
        <v>4434</v>
      </c>
      <c r="D40" s="4" t="s">
        <v>4395</v>
      </c>
      <c r="E40" s="4" t="s">
        <v>276</v>
      </c>
      <c r="F40" s="8"/>
      <c r="G40" s="8"/>
      <c r="H40" s="8"/>
      <c r="I40" s="8"/>
      <c r="J40" s="8"/>
      <c r="K40" s="8">
        <v>90</v>
      </c>
      <c r="L40" s="18">
        <v>60</v>
      </c>
      <c r="M40" s="7">
        <f t="shared" si="0"/>
        <v>5400</v>
      </c>
      <c r="N40" s="4" t="s">
        <v>4407</v>
      </c>
      <c r="O40" s="9"/>
    </row>
    <row r="41" spans="1:15" ht="20" customHeight="1" x14ac:dyDescent="0.2">
      <c r="A41" s="3">
        <v>37</v>
      </c>
      <c r="B41" s="19"/>
      <c r="C41" s="4" t="s">
        <v>4435</v>
      </c>
      <c r="D41" s="4" t="s">
        <v>4395</v>
      </c>
      <c r="E41" s="4" t="s">
        <v>276</v>
      </c>
      <c r="F41" s="8"/>
      <c r="G41" s="8"/>
      <c r="H41" s="8"/>
      <c r="I41" s="8"/>
      <c r="J41" s="8"/>
      <c r="K41" s="8">
        <v>40</v>
      </c>
      <c r="L41" s="18">
        <v>70</v>
      </c>
      <c r="M41" s="7">
        <f t="shared" si="0"/>
        <v>2800</v>
      </c>
      <c r="N41" s="4" t="s">
        <v>4407</v>
      </c>
      <c r="O41" s="9"/>
    </row>
    <row r="42" spans="1:15" ht="20" customHeight="1" x14ac:dyDescent="0.2">
      <c r="A42" s="3">
        <v>38</v>
      </c>
      <c r="B42" s="19"/>
      <c r="C42" s="4" t="s">
        <v>4436</v>
      </c>
      <c r="D42" s="4" t="s">
        <v>4395</v>
      </c>
      <c r="E42" s="4" t="s">
        <v>276</v>
      </c>
      <c r="F42" s="8"/>
      <c r="G42" s="8"/>
      <c r="H42" s="8"/>
      <c r="I42" s="8"/>
      <c r="J42" s="8"/>
      <c r="K42" s="8">
        <v>40</v>
      </c>
      <c r="L42" s="18">
        <v>90</v>
      </c>
      <c r="M42" s="7">
        <f t="shared" si="0"/>
        <v>3600</v>
      </c>
      <c r="N42" s="4" t="s">
        <v>4407</v>
      </c>
      <c r="O42" s="9"/>
    </row>
    <row r="43" spans="1:15" ht="20" customHeight="1" x14ac:dyDescent="0.2">
      <c r="A43" s="3">
        <v>39</v>
      </c>
      <c r="B43" s="19"/>
      <c r="C43" s="4" t="s">
        <v>4437</v>
      </c>
      <c r="D43" s="4" t="s">
        <v>4395</v>
      </c>
      <c r="E43" s="4" t="s">
        <v>276</v>
      </c>
      <c r="F43" s="8"/>
      <c r="G43" s="8"/>
      <c r="H43" s="8"/>
      <c r="I43" s="8"/>
      <c r="J43" s="8"/>
      <c r="K43" s="8">
        <v>50</v>
      </c>
      <c r="L43" s="18">
        <v>104</v>
      </c>
      <c r="M43" s="7">
        <f t="shared" si="0"/>
        <v>5200</v>
      </c>
      <c r="N43" s="4" t="s">
        <v>4407</v>
      </c>
      <c r="O43" s="9"/>
    </row>
    <row r="44" spans="1:15" ht="20" customHeight="1" x14ac:dyDescent="0.2">
      <c r="A44" s="3">
        <v>40</v>
      </c>
      <c r="B44" s="19"/>
      <c r="C44" s="4" t="s">
        <v>4438</v>
      </c>
      <c r="D44" s="4" t="s">
        <v>4395</v>
      </c>
      <c r="E44" s="4" t="s">
        <v>267</v>
      </c>
      <c r="F44" s="8"/>
      <c r="G44" s="8"/>
      <c r="H44" s="8"/>
      <c r="I44" s="8"/>
      <c r="J44" s="8"/>
      <c r="K44" s="8">
        <v>48</v>
      </c>
      <c r="L44" s="18">
        <v>712</v>
      </c>
      <c r="M44" s="7">
        <f t="shared" si="0"/>
        <v>34176</v>
      </c>
      <c r="N44" s="4"/>
      <c r="O44" s="9"/>
    </row>
    <row r="45" spans="1:15" ht="20" customHeight="1" x14ac:dyDescent="0.2">
      <c r="A45" s="3">
        <v>41</v>
      </c>
      <c r="B45" s="19"/>
      <c r="C45" s="4" t="s">
        <v>4439</v>
      </c>
      <c r="D45" s="4" t="s">
        <v>4395</v>
      </c>
      <c r="E45" s="4" t="s">
        <v>276</v>
      </c>
      <c r="F45" s="8"/>
      <c r="G45" s="8"/>
      <c r="H45" s="8"/>
      <c r="I45" s="8"/>
      <c r="J45" s="8"/>
      <c r="K45" s="8">
        <v>5</v>
      </c>
      <c r="L45" s="18">
        <v>74</v>
      </c>
      <c r="M45" s="7">
        <f t="shared" si="0"/>
        <v>370</v>
      </c>
      <c r="N45" s="4" t="s">
        <v>4407</v>
      </c>
      <c r="O45" s="9"/>
    </row>
    <row r="46" spans="1:15" ht="20" customHeight="1" x14ac:dyDescent="0.2">
      <c r="A46" s="3">
        <v>42</v>
      </c>
      <c r="B46" s="19"/>
      <c r="C46" s="4" t="s">
        <v>4440</v>
      </c>
      <c r="D46" s="4" t="s">
        <v>4395</v>
      </c>
      <c r="E46" s="4" t="s">
        <v>276</v>
      </c>
      <c r="F46" s="8"/>
      <c r="G46" s="8"/>
      <c r="H46" s="8"/>
      <c r="I46" s="8"/>
      <c r="J46" s="8"/>
      <c r="K46" s="8">
        <v>40</v>
      </c>
      <c r="L46" s="18">
        <v>55</v>
      </c>
      <c r="M46" s="7">
        <f t="shared" si="0"/>
        <v>2200</v>
      </c>
      <c r="N46" s="4" t="s">
        <v>4407</v>
      </c>
      <c r="O46" s="9"/>
    </row>
    <row r="47" spans="1:15" ht="20" customHeight="1" x14ac:dyDescent="0.2">
      <c r="A47" s="3">
        <v>43</v>
      </c>
      <c r="B47" s="19"/>
      <c r="C47" s="4" t="s">
        <v>4441</v>
      </c>
      <c r="D47" s="4" t="s">
        <v>4395</v>
      </c>
      <c r="E47" s="4" t="s">
        <v>4406</v>
      </c>
      <c r="F47" s="8"/>
      <c r="G47" s="8"/>
      <c r="H47" s="8"/>
      <c r="I47" s="8"/>
      <c r="J47" s="8"/>
      <c r="K47" s="8">
        <v>320</v>
      </c>
      <c r="L47" s="18">
        <v>90</v>
      </c>
      <c r="M47" s="7">
        <f t="shared" si="0"/>
        <v>28800</v>
      </c>
      <c r="N47" s="4"/>
      <c r="O47" s="9"/>
    </row>
    <row r="48" spans="1:15" ht="20" customHeight="1" x14ac:dyDescent="0.2">
      <c r="A48" s="3">
        <v>44</v>
      </c>
      <c r="B48" s="19"/>
      <c r="C48" s="4" t="s">
        <v>4442</v>
      </c>
      <c r="D48" s="4" t="s">
        <v>4395</v>
      </c>
      <c r="E48" s="4"/>
      <c r="F48" s="8"/>
      <c r="G48" s="8"/>
      <c r="H48" s="8"/>
      <c r="I48" s="8"/>
      <c r="J48" s="8"/>
      <c r="K48" s="8">
        <v>10</v>
      </c>
      <c r="L48" s="18">
        <v>332</v>
      </c>
      <c r="M48" s="7">
        <f t="shared" si="0"/>
        <v>3320</v>
      </c>
      <c r="N48" s="4"/>
      <c r="O48" s="9"/>
    </row>
    <row r="49" spans="1:15" ht="20" customHeight="1" x14ac:dyDescent="0.2">
      <c r="A49" s="3">
        <v>45</v>
      </c>
      <c r="B49" s="19"/>
      <c r="C49" s="4" t="s">
        <v>4443</v>
      </c>
      <c r="D49" s="4" t="s">
        <v>4395</v>
      </c>
      <c r="E49" s="4"/>
      <c r="F49" s="8"/>
      <c r="G49" s="8"/>
      <c r="H49" s="8"/>
      <c r="I49" s="8"/>
      <c r="J49" s="8"/>
      <c r="K49" s="8">
        <v>45</v>
      </c>
      <c r="L49" s="18">
        <v>103</v>
      </c>
      <c r="M49" s="7">
        <f t="shared" si="0"/>
        <v>4635</v>
      </c>
      <c r="N49" s="4"/>
      <c r="O49" s="9"/>
    </row>
    <row r="50" spans="1:15" ht="20" customHeight="1" x14ac:dyDescent="0.2">
      <c r="A50" s="3">
        <v>46</v>
      </c>
      <c r="B50" s="19"/>
      <c r="C50" s="4" t="s">
        <v>4444</v>
      </c>
      <c r="D50" s="4" t="s">
        <v>4395</v>
      </c>
      <c r="E50" s="4" t="s">
        <v>267</v>
      </c>
      <c r="F50" s="8"/>
      <c r="G50" s="8"/>
      <c r="H50" s="8"/>
      <c r="I50" s="8"/>
      <c r="J50" s="8"/>
      <c r="K50" s="8">
        <v>50</v>
      </c>
      <c r="L50" s="18">
        <v>232.5</v>
      </c>
      <c r="M50" s="7">
        <f t="shared" si="0"/>
        <v>11625</v>
      </c>
      <c r="N50" s="4"/>
      <c r="O50" s="9"/>
    </row>
    <row r="51" spans="1:15" ht="20" customHeight="1" x14ac:dyDescent="0.2">
      <c r="A51" s="3">
        <v>47</v>
      </c>
      <c r="B51" s="19"/>
      <c r="C51" s="4" t="s">
        <v>4445</v>
      </c>
      <c r="D51" s="4" t="s">
        <v>4395</v>
      </c>
      <c r="E51" s="4" t="s">
        <v>267</v>
      </c>
      <c r="F51" s="8"/>
      <c r="G51" s="8"/>
      <c r="H51" s="8"/>
      <c r="I51" s="8"/>
      <c r="J51" s="8"/>
      <c r="K51" s="8">
        <v>45</v>
      </c>
      <c r="L51" s="18">
        <v>192</v>
      </c>
      <c r="M51" s="7">
        <f t="shared" si="0"/>
        <v>8640</v>
      </c>
      <c r="N51" s="4"/>
      <c r="O51" s="9"/>
    </row>
    <row r="52" spans="1:15" ht="20" customHeight="1" x14ac:dyDescent="0.2">
      <c r="A52" s="3">
        <v>48</v>
      </c>
      <c r="B52" s="19"/>
      <c r="C52" s="4" t="s">
        <v>4446</v>
      </c>
      <c r="D52" s="4" t="s">
        <v>4395</v>
      </c>
      <c r="E52" s="4" t="s">
        <v>276</v>
      </c>
      <c r="F52" s="8"/>
      <c r="G52" s="8"/>
      <c r="H52" s="8"/>
      <c r="I52" s="8"/>
      <c r="J52" s="8"/>
      <c r="K52" s="8">
        <v>45</v>
      </c>
      <c r="L52" s="18">
        <v>124</v>
      </c>
      <c r="M52" s="7">
        <f t="shared" si="0"/>
        <v>5580</v>
      </c>
      <c r="N52" s="4"/>
      <c r="O52" s="9"/>
    </row>
    <row r="53" spans="1:15" ht="20" customHeight="1" x14ac:dyDescent="0.2">
      <c r="A53" s="3">
        <v>49</v>
      </c>
      <c r="B53" s="19"/>
      <c r="C53" s="4" t="s">
        <v>4447</v>
      </c>
      <c r="D53" s="4" t="s">
        <v>4395</v>
      </c>
      <c r="E53" s="4" t="s">
        <v>276</v>
      </c>
      <c r="F53" s="8"/>
      <c r="G53" s="8"/>
      <c r="H53" s="8"/>
      <c r="I53" s="8"/>
      <c r="J53" s="8"/>
      <c r="K53" s="8">
        <v>50</v>
      </c>
      <c r="L53" s="18">
        <v>173</v>
      </c>
      <c r="M53" s="7">
        <f t="shared" si="0"/>
        <v>8650</v>
      </c>
      <c r="N53" s="4"/>
      <c r="O53" s="9"/>
    </row>
    <row r="54" spans="1:15" ht="20" customHeight="1" x14ac:dyDescent="0.2">
      <c r="A54" s="3">
        <v>50</v>
      </c>
      <c r="B54" s="19"/>
      <c r="C54" s="4" t="s">
        <v>4448</v>
      </c>
      <c r="D54" s="4" t="s">
        <v>4395</v>
      </c>
      <c r="E54" s="4" t="s">
        <v>267</v>
      </c>
      <c r="F54" s="8"/>
      <c r="G54" s="8"/>
      <c r="H54" s="8"/>
      <c r="I54" s="8"/>
      <c r="J54" s="8"/>
      <c r="K54" s="8">
        <v>10</v>
      </c>
      <c r="L54" s="18">
        <v>98</v>
      </c>
      <c r="M54" s="7">
        <f t="shared" si="0"/>
        <v>980</v>
      </c>
      <c r="N54" s="4"/>
      <c r="O54" s="9"/>
    </row>
    <row r="55" spans="1:15" ht="20" customHeight="1" x14ac:dyDescent="0.2">
      <c r="A55" s="3">
        <v>51</v>
      </c>
      <c r="B55" s="19"/>
      <c r="C55" s="4" t="s">
        <v>4449</v>
      </c>
      <c r="D55" s="4" t="s">
        <v>4395</v>
      </c>
      <c r="E55" s="4" t="s">
        <v>302</v>
      </c>
      <c r="F55" s="8"/>
      <c r="G55" s="8"/>
      <c r="H55" s="8"/>
      <c r="I55" s="8"/>
      <c r="J55" s="8"/>
      <c r="K55" s="8">
        <v>5</v>
      </c>
      <c r="L55" s="18">
        <v>119</v>
      </c>
      <c r="M55" s="7">
        <f t="shared" si="0"/>
        <v>595</v>
      </c>
      <c r="N55" s="4"/>
      <c r="O55" s="9"/>
    </row>
    <row r="56" spans="1:15" ht="20" customHeight="1" x14ac:dyDescent="0.2">
      <c r="A56" s="3">
        <v>52</v>
      </c>
      <c r="B56" s="19"/>
      <c r="C56" s="4" t="s">
        <v>4450</v>
      </c>
      <c r="D56" s="4" t="s">
        <v>4395</v>
      </c>
      <c r="E56" s="4" t="s">
        <v>276</v>
      </c>
      <c r="F56" s="8"/>
      <c r="G56" s="8"/>
      <c r="H56" s="8"/>
      <c r="I56" s="8"/>
      <c r="J56" s="8"/>
      <c r="K56" s="8">
        <v>20</v>
      </c>
      <c r="L56" s="18">
        <v>25</v>
      </c>
      <c r="M56" s="7">
        <f t="shared" si="0"/>
        <v>500</v>
      </c>
      <c r="N56" s="4"/>
      <c r="O56" s="9"/>
    </row>
    <row r="57" spans="1:15" ht="20" customHeight="1" x14ac:dyDescent="0.2">
      <c r="A57" s="3">
        <v>53</v>
      </c>
      <c r="B57" s="19"/>
      <c r="C57" s="4" t="s">
        <v>4451</v>
      </c>
      <c r="D57" s="4" t="s">
        <v>4395</v>
      </c>
      <c r="E57" s="4" t="s">
        <v>4406</v>
      </c>
      <c r="F57" s="8"/>
      <c r="G57" s="8"/>
      <c r="H57" s="8"/>
      <c r="I57" s="8"/>
      <c r="J57" s="8"/>
      <c r="K57" s="8">
        <v>20</v>
      </c>
      <c r="L57" s="18">
        <v>15</v>
      </c>
      <c r="M57" s="7">
        <f t="shared" si="0"/>
        <v>300</v>
      </c>
      <c r="N57" s="4"/>
      <c r="O57" s="9"/>
    </row>
    <row r="58" spans="1:15" ht="20" customHeight="1" x14ac:dyDescent="0.2">
      <c r="A58" s="3">
        <v>54</v>
      </c>
      <c r="B58" s="19"/>
      <c r="C58" s="4" t="s">
        <v>4452</v>
      </c>
      <c r="D58" s="4" t="s">
        <v>4395</v>
      </c>
      <c r="E58" s="4" t="s">
        <v>133</v>
      </c>
      <c r="F58" s="8"/>
      <c r="G58" s="8"/>
      <c r="H58" s="8"/>
      <c r="I58" s="8"/>
      <c r="J58" s="8"/>
      <c r="K58" s="8">
        <v>60</v>
      </c>
      <c r="L58" s="18">
        <v>72</v>
      </c>
      <c r="M58" s="7">
        <f t="shared" si="0"/>
        <v>4320</v>
      </c>
      <c r="N58" s="4"/>
      <c r="O58" s="9"/>
    </row>
    <row r="59" spans="1:15" ht="20" customHeight="1" x14ac:dyDescent="0.2">
      <c r="A59" s="3">
        <v>55</v>
      </c>
      <c r="B59" s="19"/>
      <c r="C59" s="4" t="s">
        <v>4453</v>
      </c>
      <c r="D59" s="4" t="s">
        <v>4395</v>
      </c>
      <c r="E59" s="4" t="s">
        <v>267</v>
      </c>
      <c r="F59" s="8"/>
      <c r="G59" s="8"/>
      <c r="H59" s="8"/>
      <c r="I59" s="8"/>
      <c r="J59" s="8"/>
      <c r="K59" s="8">
        <v>65</v>
      </c>
      <c r="L59" s="18">
        <v>120</v>
      </c>
      <c r="M59" s="7">
        <f t="shared" si="0"/>
        <v>7800</v>
      </c>
      <c r="N59" s="4"/>
      <c r="O59" s="9"/>
    </row>
    <row r="60" spans="1:15" ht="20" customHeight="1" x14ac:dyDescent="0.2">
      <c r="A60" s="3">
        <v>56</v>
      </c>
      <c r="B60" s="19"/>
      <c r="C60" s="4" t="s">
        <v>4454</v>
      </c>
      <c r="D60" s="4" t="s">
        <v>4395</v>
      </c>
      <c r="E60" s="4" t="s">
        <v>287</v>
      </c>
      <c r="F60" s="8"/>
      <c r="G60" s="8"/>
      <c r="H60" s="8"/>
      <c r="I60" s="8"/>
      <c r="J60" s="8"/>
      <c r="K60" s="8">
        <v>60</v>
      </c>
      <c r="L60" s="18">
        <v>80</v>
      </c>
      <c r="M60" s="7">
        <f t="shared" si="0"/>
        <v>4800</v>
      </c>
      <c r="N60" s="4"/>
      <c r="O60" s="9"/>
    </row>
    <row r="61" spans="1:15" ht="20" customHeight="1" x14ac:dyDescent="0.2">
      <c r="A61" s="3">
        <v>57</v>
      </c>
      <c r="B61" s="19"/>
      <c r="C61" s="4" t="s">
        <v>4455</v>
      </c>
      <c r="D61" s="4" t="s">
        <v>4395</v>
      </c>
      <c r="E61" s="4" t="s">
        <v>287</v>
      </c>
      <c r="F61" s="8"/>
      <c r="G61" s="8"/>
      <c r="H61" s="8"/>
      <c r="I61" s="8"/>
      <c r="J61" s="8"/>
      <c r="K61" s="8">
        <v>0</v>
      </c>
      <c r="L61" s="18">
        <v>0</v>
      </c>
      <c r="M61" s="7">
        <f t="shared" si="0"/>
        <v>0</v>
      </c>
      <c r="N61" s="4"/>
      <c r="O61" s="9"/>
    </row>
    <row r="62" spans="1:15" ht="20" customHeight="1" x14ac:dyDescent="0.2">
      <c r="A62" s="3">
        <v>58</v>
      </c>
      <c r="B62" s="19"/>
      <c r="C62" s="4" t="s">
        <v>4456</v>
      </c>
      <c r="D62" s="4" t="s">
        <v>4395</v>
      </c>
      <c r="E62" s="4" t="s">
        <v>133</v>
      </c>
      <c r="F62" s="8"/>
      <c r="G62" s="8"/>
      <c r="H62" s="8"/>
      <c r="I62" s="8"/>
      <c r="J62" s="8"/>
      <c r="K62" s="8">
        <v>60</v>
      </c>
      <c r="L62" s="18">
        <v>224</v>
      </c>
      <c r="M62" s="7">
        <f t="shared" si="0"/>
        <v>13440</v>
      </c>
      <c r="N62" s="4"/>
      <c r="O62" s="9"/>
    </row>
    <row r="63" spans="1:15" ht="20" customHeight="1" x14ac:dyDescent="0.2">
      <c r="A63" s="3">
        <v>59</v>
      </c>
      <c r="B63" s="19"/>
      <c r="C63" s="4" t="s">
        <v>4457</v>
      </c>
      <c r="D63" s="4" t="s">
        <v>4395</v>
      </c>
      <c r="E63" s="4" t="s">
        <v>276</v>
      </c>
      <c r="F63" s="8"/>
      <c r="G63" s="8"/>
      <c r="H63" s="8"/>
      <c r="I63" s="8"/>
      <c r="J63" s="8"/>
      <c r="K63" s="8">
        <v>5</v>
      </c>
      <c r="L63" s="18">
        <v>72</v>
      </c>
      <c r="M63" s="7">
        <f t="shared" si="0"/>
        <v>360</v>
      </c>
      <c r="N63" s="4"/>
      <c r="O63" s="9"/>
    </row>
    <row r="64" spans="1:15" ht="20" customHeight="1" x14ac:dyDescent="0.2">
      <c r="A64" s="3">
        <v>60</v>
      </c>
      <c r="B64" s="19"/>
      <c r="C64" s="4" t="s">
        <v>4458</v>
      </c>
      <c r="D64" s="4" t="s">
        <v>4395</v>
      </c>
      <c r="E64" s="4" t="s">
        <v>276</v>
      </c>
      <c r="F64" s="8"/>
      <c r="G64" s="8"/>
      <c r="H64" s="8"/>
      <c r="I64" s="8"/>
      <c r="J64" s="8"/>
      <c r="K64" s="8">
        <v>10</v>
      </c>
      <c r="L64" s="18">
        <v>115</v>
      </c>
      <c r="M64" s="7">
        <f t="shared" si="0"/>
        <v>1150</v>
      </c>
      <c r="N64" s="4"/>
      <c r="O64" s="9"/>
    </row>
    <row r="65" spans="1:15" ht="20" customHeight="1" x14ac:dyDescent="0.2">
      <c r="A65" s="3">
        <v>61</v>
      </c>
      <c r="B65" s="19"/>
      <c r="C65" s="4" t="s">
        <v>4459</v>
      </c>
      <c r="D65" s="4" t="s">
        <v>4395</v>
      </c>
      <c r="E65" s="4" t="s">
        <v>276</v>
      </c>
      <c r="F65" s="8"/>
      <c r="G65" s="8"/>
      <c r="H65" s="8"/>
      <c r="I65" s="8"/>
      <c r="J65" s="8"/>
      <c r="K65" s="8">
        <v>25</v>
      </c>
      <c r="L65" s="18">
        <v>62</v>
      </c>
      <c r="M65" s="7">
        <f t="shared" si="0"/>
        <v>1550</v>
      </c>
      <c r="N65" s="4"/>
      <c r="O65" s="9"/>
    </row>
    <row r="66" spans="1:15" ht="20" customHeight="1" x14ac:dyDescent="0.2">
      <c r="A66" s="3">
        <v>62</v>
      </c>
      <c r="B66" s="19"/>
      <c r="C66" s="4" t="s">
        <v>4460</v>
      </c>
      <c r="D66" s="4" t="s">
        <v>4395</v>
      </c>
      <c r="E66" s="4" t="s">
        <v>276</v>
      </c>
      <c r="F66" s="8"/>
      <c r="G66" s="8"/>
      <c r="H66" s="8"/>
      <c r="I66" s="8"/>
      <c r="J66" s="8"/>
      <c r="K66" s="8">
        <v>5</v>
      </c>
      <c r="L66" s="18">
        <v>120</v>
      </c>
      <c r="M66" s="7">
        <f t="shared" si="0"/>
        <v>600</v>
      </c>
      <c r="N66" s="4"/>
      <c r="O66" s="9"/>
    </row>
    <row r="67" spans="1:15" ht="20" customHeight="1" x14ac:dyDescent="0.2">
      <c r="A67" s="3">
        <v>63</v>
      </c>
      <c r="B67" s="19"/>
      <c r="C67" s="4" t="s">
        <v>4461</v>
      </c>
      <c r="D67" s="4" t="s">
        <v>4395</v>
      </c>
      <c r="E67" s="4" t="s">
        <v>276</v>
      </c>
      <c r="F67" s="8"/>
      <c r="G67" s="8"/>
      <c r="H67" s="8"/>
      <c r="I67" s="8"/>
      <c r="J67" s="8"/>
      <c r="K67" s="8">
        <v>0</v>
      </c>
      <c r="L67" s="18">
        <v>0</v>
      </c>
      <c r="M67" s="7">
        <f t="shared" si="0"/>
        <v>0</v>
      </c>
      <c r="N67" s="4"/>
      <c r="O67" s="9"/>
    </row>
    <row r="68" spans="1:15" ht="20" customHeight="1" x14ac:dyDescent="0.2">
      <c r="A68" s="3">
        <v>64</v>
      </c>
      <c r="B68" s="19"/>
      <c r="C68" s="4" t="s">
        <v>4462</v>
      </c>
      <c r="D68" s="4" t="s">
        <v>4395</v>
      </c>
      <c r="E68" s="4" t="s">
        <v>229</v>
      </c>
      <c r="F68" s="8"/>
      <c r="G68" s="8"/>
      <c r="H68" s="8"/>
      <c r="I68" s="8"/>
      <c r="J68" s="8"/>
      <c r="K68" s="8">
        <v>0</v>
      </c>
      <c r="L68" s="18">
        <v>0</v>
      </c>
      <c r="M68" s="7">
        <f t="shared" si="0"/>
        <v>0</v>
      </c>
      <c r="N68" s="4"/>
      <c r="O68" s="9"/>
    </row>
    <row r="69" spans="1:15" ht="20" customHeight="1" x14ac:dyDescent="0.2">
      <c r="A69" s="3">
        <v>65</v>
      </c>
      <c r="B69" s="19"/>
      <c r="C69" s="4" t="s">
        <v>4463</v>
      </c>
      <c r="D69" s="4" t="s">
        <v>4395</v>
      </c>
      <c r="E69" s="4" t="s">
        <v>276</v>
      </c>
      <c r="F69" s="8"/>
      <c r="G69" s="8"/>
      <c r="H69" s="8"/>
      <c r="I69" s="8"/>
      <c r="J69" s="8"/>
      <c r="K69" s="8">
        <v>0</v>
      </c>
      <c r="L69" s="18">
        <v>0</v>
      </c>
      <c r="M69" s="7">
        <f t="shared" ref="M69:M132" si="1">IF(OR(K69="",L69=""),"",K69*L69)</f>
        <v>0</v>
      </c>
      <c r="N69" s="4"/>
      <c r="O69" s="9"/>
    </row>
    <row r="70" spans="1:15" ht="20" customHeight="1" x14ac:dyDescent="0.2">
      <c r="A70" s="3">
        <v>66</v>
      </c>
      <c r="B70" s="19"/>
      <c r="C70" s="4" t="s">
        <v>4464</v>
      </c>
      <c r="D70" s="4" t="s">
        <v>4395</v>
      </c>
      <c r="E70" s="4" t="s">
        <v>229</v>
      </c>
      <c r="F70" s="8"/>
      <c r="G70" s="8"/>
      <c r="H70" s="8"/>
      <c r="I70" s="8"/>
      <c r="J70" s="8"/>
      <c r="K70" s="8">
        <v>0</v>
      </c>
      <c r="L70" s="18">
        <v>0</v>
      </c>
      <c r="M70" s="7">
        <f t="shared" si="1"/>
        <v>0</v>
      </c>
      <c r="N70" s="4"/>
      <c r="O70" s="9"/>
    </row>
    <row r="71" spans="1:15" ht="20" customHeight="1" x14ac:dyDescent="0.2">
      <c r="A71" s="3">
        <v>67</v>
      </c>
      <c r="B71" s="19"/>
      <c r="C71" s="4" t="s">
        <v>4465</v>
      </c>
      <c r="D71" s="4" t="s">
        <v>4395</v>
      </c>
      <c r="E71" s="4" t="s">
        <v>190</v>
      </c>
      <c r="F71" s="8"/>
      <c r="G71" s="8"/>
      <c r="H71" s="8"/>
      <c r="I71" s="8"/>
      <c r="J71" s="8"/>
      <c r="K71" s="8">
        <v>15</v>
      </c>
      <c r="L71" s="18">
        <v>77</v>
      </c>
      <c r="M71" s="7">
        <f t="shared" si="1"/>
        <v>1155</v>
      </c>
      <c r="N71" s="4"/>
      <c r="O71" s="9"/>
    </row>
    <row r="72" spans="1:15" ht="20" customHeight="1" x14ac:dyDescent="0.2">
      <c r="A72" s="3">
        <v>68</v>
      </c>
      <c r="B72" s="19"/>
      <c r="C72" s="4" t="s">
        <v>4466</v>
      </c>
      <c r="D72" s="4" t="s">
        <v>4395</v>
      </c>
      <c r="E72" s="4" t="s">
        <v>276</v>
      </c>
      <c r="F72" s="8"/>
      <c r="G72" s="8"/>
      <c r="H72" s="8"/>
      <c r="I72" s="8"/>
      <c r="J72" s="8"/>
      <c r="K72" s="8">
        <v>120</v>
      </c>
      <c r="L72" s="18">
        <v>82</v>
      </c>
      <c r="M72" s="7">
        <f t="shared" si="1"/>
        <v>9840</v>
      </c>
      <c r="N72" s="4"/>
      <c r="O72" s="9"/>
    </row>
    <row r="73" spans="1:15" ht="20" customHeight="1" x14ac:dyDescent="0.2">
      <c r="A73" s="3">
        <v>69</v>
      </c>
      <c r="B73" s="19"/>
      <c r="C73" s="4" t="s">
        <v>4467</v>
      </c>
      <c r="D73" s="4" t="s">
        <v>4395</v>
      </c>
      <c r="E73" s="4" t="s">
        <v>276</v>
      </c>
      <c r="F73" s="8"/>
      <c r="G73" s="8"/>
      <c r="H73" s="8"/>
      <c r="I73" s="8"/>
      <c r="J73" s="8"/>
      <c r="K73" s="8">
        <v>5</v>
      </c>
      <c r="L73" s="18">
        <v>154</v>
      </c>
      <c r="M73" s="7">
        <f t="shared" si="1"/>
        <v>770</v>
      </c>
      <c r="N73" s="4"/>
      <c r="O73" s="9"/>
    </row>
    <row r="74" spans="1:15" ht="20" customHeight="1" x14ac:dyDescent="0.2">
      <c r="A74" s="3">
        <v>70</v>
      </c>
      <c r="B74" s="19"/>
      <c r="C74" s="4" t="s">
        <v>4468</v>
      </c>
      <c r="D74" s="4" t="s">
        <v>4395</v>
      </c>
      <c r="E74" s="4" t="s">
        <v>276</v>
      </c>
      <c r="F74" s="8"/>
      <c r="G74" s="8"/>
      <c r="H74" s="8"/>
      <c r="I74" s="8"/>
      <c r="J74" s="8"/>
      <c r="K74" s="8">
        <v>5</v>
      </c>
      <c r="L74" s="18">
        <v>157</v>
      </c>
      <c r="M74" s="7">
        <f t="shared" si="1"/>
        <v>785</v>
      </c>
      <c r="N74" s="4"/>
      <c r="O74" s="9"/>
    </row>
    <row r="75" spans="1:15" ht="20" customHeight="1" x14ac:dyDescent="0.2">
      <c r="A75" s="3">
        <v>71</v>
      </c>
      <c r="B75" s="19"/>
      <c r="C75" s="4" t="s">
        <v>4469</v>
      </c>
      <c r="D75" s="4" t="s">
        <v>4395</v>
      </c>
      <c r="E75" s="4" t="s">
        <v>276</v>
      </c>
      <c r="F75" s="8"/>
      <c r="G75" s="8"/>
      <c r="H75" s="8"/>
      <c r="I75" s="8"/>
      <c r="J75" s="8"/>
      <c r="K75" s="8">
        <v>15</v>
      </c>
      <c r="L75" s="18">
        <v>127</v>
      </c>
      <c r="M75" s="7">
        <f t="shared" si="1"/>
        <v>1905</v>
      </c>
      <c r="N75" s="4"/>
      <c r="O75" s="9"/>
    </row>
    <row r="76" spans="1:15" ht="20" customHeight="1" x14ac:dyDescent="0.2">
      <c r="A76" s="3">
        <v>72</v>
      </c>
      <c r="B76" s="19"/>
      <c r="C76" s="4" t="s">
        <v>4470</v>
      </c>
      <c r="D76" s="4" t="s">
        <v>4395</v>
      </c>
      <c r="E76" s="4" t="s">
        <v>110</v>
      </c>
      <c r="F76" s="8"/>
      <c r="G76" s="8"/>
      <c r="H76" s="8"/>
      <c r="I76" s="8"/>
      <c r="J76" s="8"/>
      <c r="K76" s="8">
        <v>20</v>
      </c>
      <c r="L76" s="18">
        <v>265</v>
      </c>
      <c r="M76" s="7">
        <f t="shared" si="1"/>
        <v>5300</v>
      </c>
      <c r="N76" s="4"/>
      <c r="O76" s="9"/>
    </row>
    <row r="77" spans="1:15" ht="20" customHeight="1" x14ac:dyDescent="0.2">
      <c r="A77" s="3">
        <v>73</v>
      </c>
      <c r="B77" s="19"/>
      <c r="C77" s="4" t="s">
        <v>4471</v>
      </c>
      <c r="D77" s="4" t="s">
        <v>4395</v>
      </c>
      <c r="E77" s="4" t="s">
        <v>110</v>
      </c>
      <c r="F77" s="8"/>
      <c r="G77" s="8"/>
      <c r="H77" s="8"/>
      <c r="I77" s="8"/>
      <c r="J77" s="8"/>
      <c r="K77" s="8">
        <v>15</v>
      </c>
      <c r="L77" s="18">
        <v>265</v>
      </c>
      <c r="M77" s="7">
        <f t="shared" si="1"/>
        <v>3975</v>
      </c>
      <c r="N77" s="4"/>
      <c r="O77" s="9"/>
    </row>
    <row r="78" spans="1:15" ht="20" customHeight="1" x14ac:dyDescent="0.2">
      <c r="A78" s="3">
        <v>74</v>
      </c>
      <c r="B78" s="19"/>
      <c r="C78" s="4" t="s">
        <v>4472</v>
      </c>
      <c r="D78" s="4" t="s">
        <v>4395</v>
      </c>
      <c r="E78" s="4" t="s">
        <v>276</v>
      </c>
      <c r="F78" s="8"/>
      <c r="G78" s="8"/>
      <c r="H78" s="8"/>
      <c r="I78" s="8"/>
      <c r="J78" s="8"/>
      <c r="K78" s="8">
        <v>0</v>
      </c>
      <c r="L78" s="18">
        <v>0</v>
      </c>
      <c r="M78" s="7">
        <f t="shared" si="1"/>
        <v>0</v>
      </c>
      <c r="N78" s="4"/>
      <c r="O78" s="9"/>
    </row>
    <row r="79" spans="1:15" ht="20" customHeight="1" x14ac:dyDescent="0.2">
      <c r="A79" s="3">
        <v>75</v>
      </c>
      <c r="B79" s="19"/>
      <c r="C79" s="4" t="s">
        <v>4473</v>
      </c>
      <c r="D79" s="4" t="s">
        <v>4395</v>
      </c>
      <c r="E79" s="4" t="s">
        <v>276</v>
      </c>
      <c r="F79" s="8"/>
      <c r="G79" s="8"/>
      <c r="H79" s="8"/>
      <c r="I79" s="8"/>
      <c r="J79" s="8"/>
      <c r="K79" s="8">
        <v>2</v>
      </c>
      <c r="L79" s="18">
        <v>80</v>
      </c>
      <c r="M79" s="7">
        <f t="shared" si="1"/>
        <v>160</v>
      </c>
      <c r="N79" s="4"/>
      <c r="O79" s="9"/>
    </row>
    <row r="80" spans="1:15" ht="20" customHeight="1" x14ac:dyDescent="0.2">
      <c r="A80" s="3">
        <v>76</v>
      </c>
      <c r="B80" s="19"/>
      <c r="C80" s="4" t="s">
        <v>4474</v>
      </c>
      <c r="D80" s="4" t="s">
        <v>4395</v>
      </c>
      <c r="E80" s="4" t="s">
        <v>276</v>
      </c>
      <c r="F80" s="8"/>
      <c r="G80" s="8"/>
      <c r="H80" s="8"/>
      <c r="I80" s="8"/>
      <c r="J80" s="8"/>
      <c r="K80" s="8">
        <v>70</v>
      </c>
      <c r="L80" s="18">
        <v>61</v>
      </c>
      <c r="M80" s="7">
        <f t="shared" si="1"/>
        <v>4270</v>
      </c>
      <c r="N80" s="4"/>
      <c r="O80" s="9"/>
    </row>
    <row r="81" spans="1:15" ht="20" customHeight="1" x14ac:dyDescent="0.2">
      <c r="A81" s="3">
        <v>77</v>
      </c>
      <c r="B81" s="19"/>
      <c r="C81" s="4" t="s">
        <v>4475</v>
      </c>
      <c r="D81" s="4" t="s">
        <v>4395</v>
      </c>
      <c r="E81" s="4" t="s">
        <v>276</v>
      </c>
      <c r="F81" s="8"/>
      <c r="G81" s="8"/>
      <c r="H81" s="8"/>
      <c r="I81" s="8"/>
      <c r="J81" s="8"/>
      <c r="K81" s="8">
        <v>10</v>
      </c>
      <c r="L81" s="18">
        <v>81</v>
      </c>
      <c r="M81" s="7">
        <f t="shared" si="1"/>
        <v>810</v>
      </c>
      <c r="N81" s="4"/>
      <c r="O81" s="9"/>
    </row>
    <row r="82" spans="1:15" ht="20" customHeight="1" x14ac:dyDescent="0.2">
      <c r="A82" s="3">
        <v>78</v>
      </c>
      <c r="B82" s="19"/>
      <c r="C82" s="4" t="s">
        <v>4476</v>
      </c>
      <c r="D82" s="4" t="s">
        <v>4395</v>
      </c>
      <c r="E82" s="4" t="s">
        <v>276</v>
      </c>
      <c r="F82" s="8"/>
      <c r="G82" s="8"/>
      <c r="H82" s="8"/>
      <c r="I82" s="8"/>
      <c r="J82" s="8"/>
      <c r="K82" s="8">
        <v>0</v>
      </c>
      <c r="L82" s="18">
        <v>0</v>
      </c>
      <c r="M82" s="7">
        <f t="shared" si="1"/>
        <v>0</v>
      </c>
      <c r="N82" s="4"/>
      <c r="O82" s="9"/>
    </row>
    <row r="83" spans="1:15" ht="20" customHeight="1" x14ac:dyDescent="0.2">
      <c r="A83" s="3">
        <v>79</v>
      </c>
      <c r="B83" s="19"/>
      <c r="C83" s="4" t="s">
        <v>4477</v>
      </c>
      <c r="D83" s="4" t="s">
        <v>4395</v>
      </c>
      <c r="E83" s="4" t="s">
        <v>276</v>
      </c>
      <c r="F83" s="8"/>
      <c r="G83" s="8"/>
      <c r="H83" s="8"/>
      <c r="I83" s="8"/>
      <c r="J83" s="8"/>
      <c r="K83" s="8">
        <v>40</v>
      </c>
      <c r="L83" s="18">
        <v>70</v>
      </c>
      <c r="M83" s="7">
        <f t="shared" si="1"/>
        <v>2800</v>
      </c>
      <c r="N83" s="4"/>
      <c r="O83" s="9"/>
    </row>
    <row r="84" spans="1:15" ht="20" customHeight="1" x14ac:dyDescent="0.2">
      <c r="A84" s="3">
        <v>80</v>
      </c>
      <c r="B84" s="19"/>
      <c r="C84" s="4" t="s">
        <v>4478</v>
      </c>
      <c r="D84" s="4" t="s">
        <v>4395</v>
      </c>
      <c r="E84" s="4" t="s">
        <v>276</v>
      </c>
      <c r="F84" s="8"/>
      <c r="G84" s="8"/>
      <c r="H84" s="8"/>
      <c r="I84" s="8"/>
      <c r="J84" s="8"/>
      <c r="K84" s="8">
        <v>120</v>
      </c>
      <c r="L84" s="18">
        <v>35</v>
      </c>
      <c r="M84" s="7">
        <f t="shared" si="1"/>
        <v>4200</v>
      </c>
      <c r="N84" s="4"/>
      <c r="O84" s="9"/>
    </row>
    <row r="85" spans="1:15" ht="20" customHeight="1" x14ac:dyDescent="0.2">
      <c r="A85" s="3">
        <v>81</v>
      </c>
      <c r="B85" s="19"/>
      <c r="C85" s="4" t="s">
        <v>4479</v>
      </c>
      <c r="D85" s="4" t="s">
        <v>4395</v>
      </c>
      <c r="E85" s="4" t="s">
        <v>276</v>
      </c>
      <c r="F85" s="8"/>
      <c r="G85" s="8"/>
      <c r="H85" s="8"/>
      <c r="I85" s="8"/>
      <c r="J85" s="8"/>
      <c r="K85" s="8">
        <v>20</v>
      </c>
      <c r="L85" s="18">
        <v>50</v>
      </c>
      <c r="M85" s="7">
        <f t="shared" si="1"/>
        <v>1000</v>
      </c>
      <c r="N85" s="4" t="s">
        <v>4407</v>
      </c>
      <c r="O85" s="9"/>
    </row>
    <row r="86" spans="1:15" ht="20" customHeight="1" x14ac:dyDescent="0.2">
      <c r="A86" s="3">
        <v>82</v>
      </c>
      <c r="B86" s="19"/>
      <c r="C86" s="4" t="s">
        <v>4480</v>
      </c>
      <c r="D86" s="4" t="s">
        <v>4395</v>
      </c>
      <c r="E86" s="4" t="s">
        <v>276</v>
      </c>
      <c r="F86" s="8"/>
      <c r="G86" s="8"/>
      <c r="H86" s="8"/>
      <c r="I86" s="8"/>
      <c r="J86" s="8"/>
      <c r="K86" s="8">
        <v>10</v>
      </c>
      <c r="L86" s="18">
        <v>25</v>
      </c>
      <c r="M86" s="7">
        <f t="shared" si="1"/>
        <v>250</v>
      </c>
      <c r="N86" s="4"/>
      <c r="O86" s="9"/>
    </row>
    <row r="87" spans="1:15" ht="20" customHeight="1" x14ac:dyDescent="0.2">
      <c r="A87" s="3">
        <v>83</v>
      </c>
      <c r="B87" s="19"/>
      <c r="C87" s="4" t="s">
        <v>4481</v>
      </c>
      <c r="D87" s="4" t="s">
        <v>4395</v>
      </c>
      <c r="E87" s="4" t="s">
        <v>4406</v>
      </c>
      <c r="F87" s="8"/>
      <c r="G87" s="8"/>
      <c r="H87" s="8"/>
      <c r="I87" s="8"/>
      <c r="J87" s="8"/>
      <c r="K87" s="8">
        <v>660</v>
      </c>
      <c r="L87" s="18">
        <v>24</v>
      </c>
      <c r="M87" s="7">
        <f t="shared" si="1"/>
        <v>15840</v>
      </c>
      <c r="N87" s="4"/>
      <c r="O87" s="9"/>
    </row>
    <row r="88" spans="1:15" ht="20" customHeight="1" x14ac:dyDescent="0.2">
      <c r="A88" s="3">
        <v>84</v>
      </c>
      <c r="B88" s="19"/>
      <c r="C88" s="4" t="s">
        <v>4482</v>
      </c>
      <c r="D88" s="4" t="s">
        <v>4395</v>
      </c>
      <c r="E88" s="4" t="s">
        <v>4406</v>
      </c>
      <c r="F88" s="8"/>
      <c r="G88" s="8"/>
      <c r="H88" s="8"/>
      <c r="I88" s="8"/>
      <c r="J88" s="8"/>
      <c r="K88" s="8">
        <v>190</v>
      </c>
      <c r="L88" s="18">
        <v>240</v>
      </c>
      <c r="M88" s="7">
        <f t="shared" si="1"/>
        <v>45600</v>
      </c>
      <c r="N88" s="4"/>
      <c r="O88" s="9"/>
    </row>
    <row r="89" spans="1:15" ht="20" customHeight="1" x14ac:dyDescent="0.2">
      <c r="A89" s="3">
        <v>85</v>
      </c>
      <c r="B89" s="19"/>
      <c r="C89" s="4" t="s">
        <v>4483</v>
      </c>
      <c r="D89" s="4" t="s">
        <v>4395</v>
      </c>
      <c r="E89" s="4" t="s">
        <v>229</v>
      </c>
      <c r="F89" s="8"/>
      <c r="G89" s="8"/>
      <c r="H89" s="8"/>
      <c r="I89" s="8"/>
      <c r="J89" s="8"/>
      <c r="K89" s="8">
        <v>5</v>
      </c>
      <c r="L89" s="18">
        <v>255</v>
      </c>
      <c r="M89" s="7">
        <f t="shared" si="1"/>
        <v>1275</v>
      </c>
      <c r="N89" s="4"/>
      <c r="O89" s="9"/>
    </row>
    <row r="90" spans="1:15" ht="20" customHeight="1" x14ac:dyDescent="0.2">
      <c r="A90" s="3">
        <v>86</v>
      </c>
      <c r="B90" s="19"/>
      <c r="C90" s="4" t="s">
        <v>4484</v>
      </c>
      <c r="D90" s="4" t="s">
        <v>4395</v>
      </c>
      <c r="E90" s="4" t="s">
        <v>229</v>
      </c>
      <c r="F90" s="8"/>
      <c r="G90" s="8"/>
      <c r="H90" s="8"/>
      <c r="I90" s="8"/>
      <c r="J90" s="8"/>
      <c r="K90" s="8">
        <v>0</v>
      </c>
      <c r="L90" s="18">
        <v>0</v>
      </c>
      <c r="M90" s="7">
        <f t="shared" si="1"/>
        <v>0</v>
      </c>
      <c r="N90" s="4"/>
      <c r="O90" s="9"/>
    </row>
    <row r="91" spans="1:15" ht="20" customHeight="1" x14ac:dyDescent="0.2">
      <c r="A91" s="3">
        <v>87</v>
      </c>
      <c r="B91" s="19"/>
      <c r="C91" s="4" t="s">
        <v>4485</v>
      </c>
      <c r="D91" s="4" t="s">
        <v>4395</v>
      </c>
      <c r="E91" s="4" t="s">
        <v>133</v>
      </c>
      <c r="F91" s="8"/>
      <c r="G91" s="8"/>
      <c r="H91" s="8"/>
      <c r="I91" s="8"/>
      <c r="J91" s="8"/>
      <c r="K91" s="8">
        <v>530</v>
      </c>
      <c r="L91" s="18">
        <v>71</v>
      </c>
      <c r="M91" s="7">
        <f t="shared" si="1"/>
        <v>37630</v>
      </c>
      <c r="N91" s="4"/>
      <c r="O91" s="9"/>
    </row>
    <row r="92" spans="1:15" ht="20" customHeight="1" x14ac:dyDescent="0.2">
      <c r="A92" s="3">
        <v>88</v>
      </c>
      <c r="B92" s="19"/>
      <c r="C92" s="4" t="s">
        <v>4486</v>
      </c>
      <c r="D92" s="4" t="s">
        <v>4395</v>
      </c>
      <c r="E92" s="4" t="s">
        <v>4406</v>
      </c>
      <c r="F92" s="8"/>
      <c r="G92" s="8"/>
      <c r="H92" s="8"/>
      <c r="I92" s="8"/>
      <c r="J92" s="8"/>
      <c r="K92" s="8">
        <v>130</v>
      </c>
      <c r="L92" s="18">
        <v>31</v>
      </c>
      <c r="M92" s="7">
        <f t="shared" si="1"/>
        <v>4030</v>
      </c>
      <c r="N92" s="4"/>
      <c r="O92" s="9"/>
    </row>
    <row r="93" spans="1:15" ht="20" customHeight="1" x14ac:dyDescent="0.2">
      <c r="A93" s="3">
        <v>89</v>
      </c>
      <c r="B93" s="19"/>
      <c r="C93" s="4" t="s">
        <v>4487</v>
      </c>
      <c r="D93" s="4" t="s">
        <v>4395</v>
      </c>
      <c r="E93" s="4" t="s">
        <v>276</v>
      </c>
      <c r="F93" s="8"/>
      <c r="G93" s="8"/>
      <c r="H93" s="8"/>
      <c r="I93" s="8"/>
      <c r="J93" s="8"/>
      <c r="K93" s="8">
        <v>60</v>
      </c>
      <c r="L93" s="18">
        <v>89</v>
      </c>
      <c r="M93" s="7">
        <f t="shared" si="1"/>
        <v>5340</v>
      </c>
      <c r="N93" s="4"/>
      <c r="O93" s="9"/>
    </row>
    <row r="94" spans="1:15" ht="20" customHeight="1" x14ac:dyDescent="0.2">
      <c r="A94" s="3">
        <v>90</v>
      </c>
      <c r="B94" s="19"/>
      <c r="C94" s="4" t="s">
        <v>4488</v>
      </c>
      <c r="D94" s="4" t="s">
        <v>4395</v>
      </c>
      <c r="E94" s="4" t="s">
        <v>276</v>
      </c>
      <c r="F94" s="8"/>
      <c r="G94" s="8"/>
      <c r="H94" s="8"/>
      <c r="I94" s="8"/>
      <c r="J94" s="8"/>
      <c r="K94" s="8">
        <v>20</v>
      </c>
      <c r="L94" s="18">
        <v>195</v>
      </c>
      <c r="M94" s="7">
        <f t="shared" si="1"/>
        <v>3900</v>
      </c>
      <c r="N94" s="4"/>
      <c r="O94" s="9"/>
    </row>
    <row r="95" spans="1:15" ht="20" customHeight="1" x14ac:dyDescent="0.2">
      <c r="A95" s="3">
        <v>91</v>
      </c>
      <c r="B95" s="19"/>
      <c r="C95" s="4" t="s">
        <v>4489</v>
      </c>
      <c r="D95" s="4" t="s">
        <v>4395</v>
      </c>
      <c r="E95" s="4" t="s">
        <v>276</v>
      </c>
      <c r="F95" s="8"/>
      <c r="G95" s="8"/>
      <c r="H95" s="8"/>
      <c r="I95" s="8"/>
      <c r="J95" s="8"/>
      <c r="K95" s="8">
        <v>0</v>
      </c>
      <c r="L95" s="18">
        <v>0</v>
      </c>
      <c r="M95" s="7">
        <f t="shared" si="1"/>
        <v>0</v>
      </c>
      <c r="N95" s="4"/>
      <c r="O95" s="9"/>
    </row>
    <row r="96" spans="1:15" ht="20" customHeight="1" x14ac:dyDescent="0.2">
      <c r="A96" s="3">
        <v>92</v>
      </c>
      <c r="B96" s="19"/>
      <c r="C96" s="4" t="s">
        <v>4490</v>
      </c>
      <c r="D96" s="4" t="s">
        <v>4395</v>
      </c>
      <c r="E96" s="4" t="s">
        <v>276</v>
      </c>
      <c r="F96" s="8"/>
      <c r="G96" s="8"/>
      <c r="H96" s="8"/>
      <c r="I96" s="8"/>
      <c r="J96" s="8"/>
      <c r="K96" s="8">
        <v>200</v>
      </c>
      <c r="L96" s="18">
        <v>168</v>
      </c>
      <c r="M96" s="7">
        <f t="shared" si="1"/>
        <v>33600</v>
      </c>
      <c r="N96" s="4"/>
      <c r="O96" s="9"/>
    </row>
    <row r="97" spans="1:15" ht="20" customHeight="1" x14ac:dyDescent="0.2">
      <c r="A97" s="3">
        <v>93</v>
      </c>
      <c r="B97" s="19"/>
      <c r="C97" s="4" t="s">
        <v>4491</v>
      </c>
      <c r="D97" s="4" t="s">
        <v>4395</v>
      </c>
      <c r="E97" s="4" t="s">
        <v>276</v>
      </c>
      <c r="F97" s="8"/>
      <c r="G97" s="8"/>
      <c r="H97" s="8"/>
      <c r="I97" s="8"/>
      <c r="J97" s="8"/>
      <c r="K97" s="8">
        <v>50</v>
      </c>
      <c r="L97" s="18">
        <v>79</v>
      </c>
      <c r="M97" s="7">
        <f t="shared" si="1"/>
        <v>3950</v>
      </c>
      <c r="N97" s="4"/>
      <c r="O97" s="9"/>
    </row>
    <row r="98" spans="1:15" ht="20" customHeight="1" x14ac:dyDescent="0.2">
      <c r="A98" s="3">
        <v>94</v>
      </c>
      <c r="B98" s="19"/>
      <c r="C98" s="4" t="s">
        <v>4492</v>
      </c>
      <c r="D98" s="4" t="s">
        <v>4395</v>
      </c>
      <c r="E98" s="4" t="s">
        <v>276</v>
      </c>
      <c r="F98" s="8"/>
      <c r="G98" s="8"/>
      <c r="H98" s="8"/>
      <c r="I98" s="8"/>
      <c r="J98" s="8"/>
      <c r="K98" s="8">
        <v>5</v>
      </c>
      <c r="L98" s="18">
        <v>170</v>
      </c>
      <c r="M98" s="7">
        <f t="shared" si="1"/>
        <v>850</v>
      </c>
      <c r="N98" s="4"/>
      <c r="O98" s="9"/>
    </row>
    <row r="99" spans="1:15" ht="20" customHeight="1" x14ac:dyDescent="0.2">
      <c r="A99" s="3">
        <v>95</v>
      </c>
      <c r="B99" s="19"/>
      <c r="C99" s="4" t="s">
        <v>4493</v>
      </c>
      <c r="D99" s="4" t="s">
        <v>4395</v>
      </c>
      <c r="E99" s="4" t="s">
        <v>267</v>
      </c>
      <c r="F99" s="8"/>
      <c r="G99" s="8"/>
      <c r="H99" s="8"/>
      <c r="I99" s="8"/>
      <c r="J99" s="8"/>
      <c r="K99" s="8">
        <v>5</v>
      </c>
      <c r="L99" s="18">
        <v>103</v>
      </c>
      <c r="M99" s="7">
        <f t="shared" si="1"/>
        <v>515</v>
      </c>
      <c r="N99" s="4"/>
      <c r="O99" s="9"/>
    </row>
    <row r="100" spans="1:15" ht="20" customHeight="1" x14ac:dyDescent="0.2">
      <c r="A100" s="3">
        <v>96</v>
      </c>
      <c r="B100" s="19"/>
      <c r="C100" s="4" t="s">
        <v>4494</v>
      </c>
      <c r="D100" s="4" t="s">
        <v>4395</v>
      </c>
      <c r="E100" s="4" t="s">
        <v>133</v>
      </c>
      <c r="F100" s="8"/>
      <c r="G100" s="8"/>
      <c r="H100" s="8"/>
      <c r="I100" s="8"/>
      <c r="J100" s="8"/>
      <c r="K100" s="8">
        <v>10</v>
      </c>
      <c r="L100" s="18">
        <v>34</v>
      </c>
      <c r="M100" s="7">
        <f t="shared" si="1"/>
        <v>340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4495</v>
      </c>
      <c r="D101" s="4" t="s">
        <v>4395</v>
      </c>
      <c r="E101" s="4" t="s">
        <v>190</v>
      </c>
      <c r="F101" s="8"/>
      <c r="G101" s="8"/>
      <c r="H101" s="8"/>
      <c r="I101" s="8"/>
      <c r="J101" s="8"/>
      <c r="K101" s="8">
        <v>24</v>
      </c>
      <c r="L101" s="18">
        <v>67</v>
      </c>
      <c r="M101" s="7">
        <f t="shared" si="1"/>
        <v>1608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4496</v>
      </c>
      <c r="D102" s="4" t="s">
        <v>4395</v>
      </c>
      <c r="E102" s="4" t="s">
        <v>110</v>
      </c>
      <c r="F102" s="8"/>
      <c r="G102" s="8"/>
      <c r="H102" s="8"/>
      <c r="I102" s="8"/>
      <c r="J102" s="8"/>
      <c r="K102" s="8">
        <v>20</v>
      </c>
      <c r="L102" s="18">
        <v>87</v>
      </c>
      <c r="M102" s="7">
        <f t="shared" si="1"/>
        <v>1740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4497</v>
      </c>
      <c r="D103" s="4" t="s">
        <v>4395</v>
      </c>
      <c r="E103" s="4" t="s">
        <v>229</v>
      </c>
      <c r="F103" s="8"/>
      <c r="G103" s="8"/>
      <c r="H103" s="8"/>
      <c r="I103" s="8"/>
      <c r="J103" s="8"/>
      <c r="K103" s="8">
        <v>5</v>
      </c>
      <c r="L103" s="18">
        <v>1282</v>
      </c>
      <c r="M103" s="7">
        <f t="shared" si="1"/>
        <v>6410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4498</v>
      </c>
      <c r="D104" s="4" t="s">
        <v>4395</v>
      </c>
      <c r="E104" s="4"/>
      <c r="F104" s="8"/>
      <c r="G104" s="8"/>
      <c r="H104" s="8"/>
      <c r="I104" s="8"/>
      <c r="J104" s="8"/>
      <c r="K104" s="8">
        <v>0</v>
      </c>
      <c r="L104" s="18">
        <v>230</v>
      </c>
      <c r="M104" s="7">
        <f t="shared" si="1"/>
        <v>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4499</v>
      </c>
      <c r="D105" s="4" t="s">
        <v>4395</v>
      </c>
      <c r="E105" s="4"/>
      <c r="F105" s="8"/>
      <c r="G105" s="8"/>
      <c r="H105" s="8"/>
      <c r="I105" s="8"/>
      <c r="J105" s="8"/>
      <c r="K105" s="8">
        <v>1</v>
      </c>
      <c r="L105" s="18">
        <v>248500</v>
      </c>
      <c r="M105" s="7">
        <f t="shared" si="1"/>
        <v>248500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4500</v>
      </c>
      <c r="D106" s="4" t="s">
        <v>4395</v>
      </c>
      <c r="E106" s="4"/>
      <c r="F106" s="8"/>
      <c r="G106" s="8"/>
      <c r="H106" s="8"/>
      <c r="I106" s="8"/>
      <c r="J106" s="8"/>
      <c r="K106" s="8">
        <v>0</v>
      </c>
      <c r="L106" s="18">
        <v>90</v>
      </c>
      <c r="M106" s="7">
        <f t="shared" si="1"/>
        <v>0</v>
      </c>
      <c r="N106" s="4" t="s">
        <v>4397</v>
      </c>
      <c r="O106" s="9"/>
    </row>
    <row r="107" spans="1:15" ht="20" customHeight="1" x14ac:dyDescent="0.2">
      <c r="A107" s="3">
        <v>103</v>
      </c>
      <c r="B107" s="19"/>
      <c r="C107" s="4" t="s">
        <v>4501</v>
      </c>
      <c r="D107" s="4" t="s">
        <v>4395</v>
      </c>
      <c r="E107" s="4"/>
      <c r="F107" s="8"/>
      <c r="G107" s="8"/>
      <c r="H107" s="8"/>
      <c r="I107" s="8"/>
      <c r="J107" s="8"/>
      <c r="K107" s="8">
        <v>0</v>
      </c>
      <c r="L107" s="18">
        <v>100</v>
      </c>
      <c r="M107" s="7">
        <f t="shared" si="1"/>
        <v>0</v>
      </c>
      <c r="N107" s="4" t="s">
        <v>4502</v>
      </c>
      <c r="O107" s="9"/>
    </row>
    <row r="108" spans="1:15" ht="20" customHeight="1" x14ac:dyDescent="0.2">
      <c r="A108" s="3">
        <v>104</v>
      </c>
      <c r="B108" s="19"/>
      <c r="C108" s="4" t="s">
        <v>4503</v>
      </c>
      <c r="D108" s="4" t="s">
        <v>4395</v>
      </c>
      <c r="E108" s="4"/>
      <c r="F108" s="8"/>
      <c r="G108" s="8"/>
      <c r="H108" s="8"/>
      <c r="I108" s="8"/>
      <c r="J108" s="8"/>
      <c r="K108" s="8">
        <v>0</v>
      </c>
      <c r="L108" s="18">
        <v>90</v>
      </c>
      <c r="M108" s="7">
        <f t="shared" si="1"/>
        <v>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4504</v>
      </c>
      <c r="D109" s="4" t="s">
        <v>4395</v>
      </c>
      <c r="E109" s="4"/>
      <c r="F109" s="8"/>
      <c r="G109" s="8"/>
      <c r="H109" s="8"/>
      <c r="I109" s="8"/>
      <c r="J109" s="8"/>
      <c r="K109" s="8">
        <v>0</v>
      </c>
      <c r="L109" s="18">
        <v>150</v>
      </c>
      <c r="M109" s="7">
        <f t="shared" si="1"/>
        <v>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4505</v>
      </c>
      <c r="D110" s="4" t="s">
        <v>4395</v>
      </c>
      <c r="E110" s="4"/>
      <c r="F110" s="8"/>
      <c r="G110" s="8"/>
      <c r="H110" s="8"/>
      <c r="I110" s="8"/>
      <c r="J110" s="8"/>
      <c r="K110" s="8">
        <v>0</v>
      </c>
      <c r="L110" s="18">
        <v>200</v>
      </c>
      <c r="M110" s="7">
        <f t="shared" si="1"/>
        <v>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4506</v>
      </c>
      <c r="D111" s="4" t="s">
        <v>4395</v>
      </c>
      <c r="E111" s="4"/>
      <c r="F111" s="8"/>
      <c r="G111" s="8"/>
      <c r="H111" s="8"/>
      <c r="I111" s="8"/>
      <c r="J111" s="8"/>
      <c r="K111" s="8">
        <v>0</v>
      </c>
      <c r="L111" s="18">
        <v>150</v>
      </c>
      <c r="M111" s="7">
        <f t="shared" si="1"/>
        <v>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4507</v>
      </c>
      <c r="D112" s="4" t="s">
        <v>4395</v>
      </c>
      <c r="E112" s="4"/>
      <c r="F112" s="8"/>
      <c r="G112" s="8"/>
      <c r="H112" s="8"/>
      <c r="I112" s="8"/>
      <c r="J112" s="8"/>
      <c r="K112" s="8">
        <v>0</v>
      </c>
      <c r="L112" s="18">
        <v>40</v>
      </c>
      <c r="M112" s="7">
        <f t="shared" si="1"/>
        <v>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4508</v>
      </c>
      <c r="D113" s="4" t="s">
        <v>4395</v>
      </c>
      <c r="E113" s="4"/>
      <c r="F113" s="8"/>
      <c r="G113" s="8"/>
      <c r="H113" s="8"/>
      <c r="I113" s="8"/>
      <c r="J113" s="8"/>
      <c r="K113" s="8">
        <v>1</v>
      </c>
      <c r="L113" s="18">
        <v>1000000</v>
      </c>
      <c r="M113" s="7">
        <f t="shared" si="1"/>
        <v>1000000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4509</v>
      </c>
      <c r="D114" s="4" t="s">
        <v>4395</v>
      </c>
      <c r="E114" s="4"/>
      <c r="F114" s="8"/>
      <c r="G114" s="8"/>
      <c r="H114" s="8"/>
      <c r="I114" s="8"/>
      <c r="J114" s="8"/>
      <c r="K114" s="8">
        <v>1</v>
      </c>
      <c r="L114" s="18">
        <v>400875</v>
      </c>
      <c r="M114" s="7">
        <f t="shared" si="1"/>
        <v>400875</v>
      </c>
      <c r="N114" s="4" t="s">
        <v>4397</v>
      </c>
      <c r="O114" s="9"/>
    </row>
    <row r="115" spans="1:15" ht="20" customHeight="1" x14ac:dyDescent="0.2">
      <c r="A115" s="3">
        <v>111</v>
      </c>
      <c r="B115" s="19"/>
      <c r="C115" s="4" t="s">
        <v>4510</v>
      </c>
      <c r="D115" s="4" t="s">
        <v>4395</v>
      </c>
      <c r="E115" s="4" t="s">
        <v>229</v>
      </c>
      <c r="F115" s="8"/>
      <c r="G115" s="8"/>
      <c r="H115" s="8"/>
      <c r="I115" s="8"/>
      <c r="J115" s="8"/>
      <c r="K115" s="8">
        <v>80</v>
      </c>
      <c r="L115" s="18">
        <v>480</v>
      </c>
      <c r="M115" s="7">
        <f t="shared" si="1"/>
        <v>38400</v>
      </c>
      <c r="N115" s="4" t="s">
        <v>4511</v>
      </c>
      <c r="O115" s="9"/>
    </row>
    <row r="116" spans="1:15" ht="20" customHeight="1" x14ac:dyDescent="0.2">
      <c r="A116" s="3">
        <v>112</v>
      </c>
      <c r="B116" s="19"/>
      <c r="C116" s="4" t="s">
        <v>4512</v>
      </c>
      <c r="D116" s="4" t="s">
        <v>4395</v>
      </c>
      <c r="E116" s="4" t="s">
        <v>229</v>
      </c>
      <c r="F116" s="8"/>
      <c r="G116" s="8"/>
      <c r="H116" s="8"/>
      <c r="I116" s="8"/>
      <c r="J116" s="8"/>
      <c r="K116" s="8">
        <v>80</v>
      </c>
      <c r="L116" s="18">
        <v>480</v>
      </c>
      <c r="M116" s="7">
        <f t="shared" si="1"/>
        <v>38400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4513</v>
      </c>
      <c r="D117" s="4" t="s">
        <v>4395</v>
      </c>
      <c r="E117" s="4" t="s">
        <v>229</v>
      </c>
      <c r="F117" s="8"/>
      <c r="G117" s="8"/>
      <c r="H117" s="8"/>
      <c r="I117" s="8"/>
      <c r="J117" s="8"/>
      <c r="K117" s="8">
        <v>80</v>
      </c>
      <c r="L117" s="18">
        <v>480</v>
      </c>
      <c r="M117" s="7">
        <f t="shared" si="1"/>
        <v>38400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4514</v>
      </c>
      <c r="D118" s="4" t="s">
        <v>4395</v>
      </c>
      <c r="E118" s="4" t="s">
        <v>229</v>
      </c>
      <c r="F118" s="8"/>
      <c r="G118" s="8"/>
      <c r="H118" s="8"/>
      <c r="I118" s="8"/>
      <c r="J118" s="8"/>
      <c r="K118" s="8">
        <v>80</v>
      </c>
      <c r="L118" s="18">
        <v>480</v>
      </c>
      <c r="M118" s="7">
        <f t="shared" si="1"/>
        <v>38400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4515</v>
      </c>
      <c r="D119" s="4" t="s">
        <v>4395</v>
      </c>
      <c r="E119" s="4" t="s">
        <v>229</v>
      </c>
      <c r="F119" s="8"/>
      <c r="G119" s="8"/>
      <c r="H119" s="8"/>
      <c r="I119" s="8"/>
      <c r="J119" s="8"/>
      <c r="K119" s="8">
        <v>80</v>
      </c>
      <c r="L119" s="18">
        <v>480</v>
      </c>
      <c r="M119" s="7">
        <f t="shared" si="1"/>
        <v>38400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4516</v>
      </c>
      <c r="D120" s="4" t="s">
        <v>4395</v>
      </c>
      <c r="E120" s="4" t="s">
        <v>229</v>
      </c>
      <c r="F120" s="8"/>
      <c r="G120" s="8"/>
      <c r="H120" s="8"/>
      <c r="I120" s="8"/>
      <c r="J120" s="8"/>
      <c r="K120" s="8">
        <v>80</v>
      </c>
      <c r="L120" s="18">
        <v>480</v>
      </c>
      <c r="M120" s="7">
        <f t="shared" si="1"/>
        <v>38400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4517</v>
      </c>
      <c r="D121" s="4" t="s">
        <v>4395</v>
      </c>
      <c r="E121" s="4" t="s">
        <v>229</v>
      </c>
      <c r="F121" s="8"/>
      <c r="G121" s="8"/>
      <c r="H121" s="8"/>
      <c r="I121" s="8"/>
      <c r="J121" s="8"/>
      <c r="K121" s="8">
        <v>80</v>
      </c>
      <c r="L121" s="18">
        <v>480</v>
      </c>
      <c r="M121" s="7">
        <f t="shared" si="1"/>
        <v>38400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4518</v>
      </c>
      <c r="D122" s="4" t="s">
        <v>4395</v>
      </c>
      <c r="E122" s="4" t="s">
        <v>229</v>
      </c>
      <c r="F122" s="8"/>
      <c r="G122" s="8"/>
      <c r="H122" s="8"/>
      <c r="I122" s="8"/>
      <c r="J122" s="8"/>
      <c r="K122" s="8">
        <v>30</v>
      </c>
      <c r="L122" s="18">
        <v>350</v>
      </c>
      <c r="M122" s="7">
        <f t="shared" si="1"/>
        <v>10500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4519</v>
      </c>
      <c r="D123" s="4" t="s">
        <v>4395</v>
      </c>
      <c r="E123" s="4" t="s">
        <v>229</v>
      </c>
      <c r="F123" s="8"/>
      <c r="G123" s="8"/>
      <c r="H123" s="8"/>
      <c r="I123" s="8"/>
      <c r="J123" s="8"/>
      <c r="K123" s="8">
        <v>20</v>
      </c>
      <c r="L123" s="18">
        <v>350</v>
      </c>
      <c r="M123" s="7">
        <f t="shared" si="1"/>
        <v>7000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4520</v>
      </c>
      <c r="D124" s="4" t="s">
        <v>4395</v>
      </c>
      <c r="E124" s="4" t="s">
        <v>229</v>
      </c>
      <c r="F124" s="8"/>
      <c r="G124" s="8"/>
      <c r="H124" s="8"/>
      <c r="I124" s="8"/>
      <c r="J124" s="8"/>
      <c r="K124" s="8">
        <v>20</v>
      </c>
      <c r="L124" s="18">
        <v>350</v>
      </c>
      <c r="M124" s="7">
        <f t="shared" si="1"/>
        <v>7000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4521</v>
      </c>
      <c r="D125" s="4" t="s">
        <v>4395</v>
      </c>
      <c r="E125" s="4" t="s">
        <v>229</v>
      </c>
      <c r="F125" s="8"/>
      <c r="G125" s="8"/>
      <c r="H125" s="8"/>
      <c r="I125" s="8"/>
      <c r="J125" s="8"/>
      <c r="K125" s="8">
        <v>10</v>
      </c>
      <c r="L125" s="18">
        <v>405</v>
      </c>
      <c r="M125" s="7">
        <f t="shared" si="1"/>
        <v>4050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4522</v>
      </c>
      <c r="D126" s="4" t="s">
        <v>4395</v>
      </c>
      <c r="E126" s="4" t="s">
        <v>229</v>
      </c>
      <c r="F126" s="8"/>
      <c r="G126" s="8"/>
      <c r="H126" s="8"/>
      <c r="I126" s="8"/>
      <c r="J126" s="8"/>
      <c r="K126" s="8">
        <v>20</v>
      </c>
      <c r="L126" s="18">
        <v>305</v>
      </c>
      <c r="M126" s="7">
        <f t="shared" si="1"/>
        <v>6100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4523</v>
      </c>
      <c r="D127" s="4" t="s">
        <v>4395</v>
      </c>
      <c r="E127" s="4" t="s">
        <v>229</v>
      </c>
      <c r="F127" s="8"/>
      <c r="G127" s="8"/>
      <c r="H127" s="8"/>
      <c r="I127" s="8"/>
      <c r="J127" s="8"/>
      <c r="K127" s="8">
        <v>80</v>
      </c>
      <c r="L127" s="18">
        <v>435</v>
      </c>
      <c r="M127" s="7">
        <f t="shared" si="1"/>
        <v>34800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4524</v>
      </c>
      <c r="D128" s="4" t="s">
        <v>4395</v>
      </c>
      <c r="E128" s="4" t="s">
        <v>229</v>
      </c>
      <c r="F128" s="8"/>
      <c r="G128" s="8"/>
      <c r="H128" s="8"/>
      <c r="I128" s="8"/>
      <c r="J128" s="8"/>
      <c r="K128" s="8">
        <v>80</v>
      </c>
      <c r="L128" s="18">
        <v>435</v>
      </c>
      <c r="M128" s="7">
        <f t="shared" si="1"/>
        <v>34800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4525</v>
      </c>
      <c r="D129" s="4" t="s">
        <v>4395</v>
      </c>
      <c r="E129" s="4" t="s">
        <v>229</v>
      </c>
      <c r="F129" s="8"/>
      <c r="G129" s="8"/>
      <c r="H129" s="8"/>
      <c r="I129" s="8"/>
      <c r="J129" s="8"/>
      <c r="K129" s="8">
        <v>15</v>
      </c>
      <c r="L129" s="18">
        <v>795</v>
      </c>
      <c r="M129" s="7">
        <f t="shared" si="1"/>
        <v>11925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4526</v>
      </c>
      <c r="D130" s="4" t="s">
        <v>4395</v>
      </c>
      <c r="E130" s="4" t="s">
        <v>229</v>
      </c>
      <c r="F130" s="8"/>
      <c r="G130" s="8"/>
      <c r="H130" s="8"/>
      <c r="I130" s="8"/>
      <c r="J130" s="8"/>
      <c r="K130" s="8">
        <v>15</v>
      </c>
      <c r="L130" s="18">
        <v>795</v>
      </c>
      <c r="M130" s="7">
        <f t="shared" si="1"/>
        <v>11925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4527</v>
      </c>
      <c r="D131" s="4" t="s">
        <v>4395</v>
      </c>
      <c r="E131" s="4" t="s">
        <v>229</v>
      </c>
      <c r="F131" s="8"/>
      <c r="G131" s="8"/>
      <c r="H131" s="8"/>
      <c r="I131" s="8"/>
      <c r="J131" s="8"/>
      <c r="K131" s="8">
        <v>5</v>
      </c>
      <c r="L131" s="18">
        <v>795</v>
      </c>
      <c r="M131" s="7">
        <f t="shared" si="1"/>
        <v>3975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4528</v>
      </c>
      <c r="D132" s="4" t="s">
        <v>4395</v>
      </c>
      <c r="E132" s="4"/>
      <c r="F132" s="8"/>
      <c r="G132" s="8"/>
      <c r="H132" s="8"/>
      <c r="I132" s="8"/>
      <c r="J132" s="8"/>
      <c r="K132" s="8">
        <v>1</v>
      </c>
      <c r="L132" s="18">
        <v>248200</v>
      </c>
      <c r="M132" s="7">
        <f t="shared" si="1"/>
        <v>248200</v>
      </c>
      <c r="N132" s="4" t="s">
        <v>4397</v>
      </c>
      <c r="O132" s="9"/>
    </row>
    <row r="133" spans="1:15" ht="20" customHeight="1" x14ac:dyDescent="0.2">
      <c r="A133" s="3">
        <v>129</v>
      </c>
      <c r="B133" s="19"/>
      <c r="C133" s="4" t="s">
        <v>4529</v>
      </c>
      <c r="D133" s="4" t="s">
        <v>4395</v>
      </c>
      <c r="E133" s="4" t="s">
        <v>229</v>
      </c>
      <c r="F133" s="8"/>
      <c r="G133" s="8"/>
      <c r="H133" s="8"/>
      <c r="I133" s="8"/>
      <c r="J133" s="8"/>
      <c r="K133" s="8">
        <v>100</v>
      </c>
      <c r="L133" s="18">
        <v>410</v>
      </c>
      <c r="M133" s="7">
        <f t="shared" ref="M133:M196" si="2">IF(OR(K133="",L133=""),"",K133*L133)</f>
        <v>41000</v>
      </c>
      <c r="N133" s="4" t="s">
        <v>4530</v>
      </c>
      <c r="O133" s="9"/>
    </row>
    <row r="134" spans="1:15" ht="20" customHeight="1" x14ac:dyDescent="0.2">
      <c r="A134" s="3">
        <v>130</v>
      </c>
      <c r="B134" s="19"/>
      <c r="C134" s="4" t="s">
        <v>4531</v>
      </c>
      <c r="D134" s="4" t="s">
        <v>4395</v>
      </c>
      <c r="E134" s="4" t="s">
        <v>229</v>
      </c>
      <c r="F134" s="8"/>
      <c r="G134" s="8"/>
      <c r="H134" s="8"/>
      <c r="I134" s="8"/>
      <c r="J134" s="8"/>
      <c r="K134" s="8">
        <v>100</v>
      </c>
      <c r="L134" s="18">
        <v>410</v>
      </c>
      <c r="M134" s="7">
        <f t="shared" si="2"/>
        <v>41000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4532</v>
      </c>
      <c r="D135" s="4" t="s">
        <v>4395</v>
      </c>
      <c r="E135" s="4" t="s">
        <v>229</v>
      </c>
      <c r="F135" s="8"/>
      <c r="G135" s="8"/>
      <c r="H135" s="8"/>
      <c r="I135" s="8"/>
      <c r="J135" s="8"/>
      <c r="K135" s="8">
        <v>100</v>
      </c>
      <c r="L135" s="18">
        <v>410</v>
      </c>
      <c r="M135" s="7">
        <f t="shared" si="2"/>
        <v>41000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4533</v>
      </c>
      <c r="D136" s="4" t="s">
        <v>4395</v>
      </c>
      <c r="E136" s="4" t="s">
        <v>229</v>
      </c>
      <c r="F136" s="8"/>
      <c r="G136" s="8"/>
      <c r="H136" s="8"/>
      <c r="I136" s="8"/>
      <c r="J136" s="8"/>
      <c r="K136" s="8">
        <v>100</v>
      </c>
      <c r="L136" s="18">
        <v>410</v>
      </c>
      <c r="M136" s="7">
        <f t="shared" si="2"/>
        <v>41000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4534</v>
      </c>
      <c r="D137" s="4" t="s">
        <v>4395</v>
      </c>
      <c r="E137" s="4" t="s">
        <v>229</v>
      </c>
      <c r="F137" s="8"/>
      <c r="G137" s="8"/>
      <c r="H137" s="8"/>
      <c r="I137" s="8"/>
      <c r="J137" s="8"/>
      <c r="K137" s="8">
        <v>100</v>
      </c>
      <c r="L137" s="18">
        <v>410</v>
      </c>
      <c r="M137" s="7">
        <f t="shared" si="2"/>
        <v>41000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4535</v>
      </c>
      <c r="D138" s="4" t="s">
        <v>4395</v>
      </c>
      <c r="E138" s="4" t="s">
        <v>229</v>
      </c>
      <c r="F138" s="8"/>
      <c r="G138" s="8"/>
      <c r="H138" s="8"/>
      <c r="I138" s="8"/>
      <c r="J138" s="8"/>
      <c r="K138" s="8">
        <v>50</v>
      </c>
      <c r="L138" s="18">
        <v>432</v>
      </c>
      <c r="M138" s="7">
        <f t="shared" si="2"/>
        <v>21600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4536</v>
      </c>
      <c r="D139" s="4" t="s">
        <v>4395</v>
      </c>
      <c r="E139" s="4" t="s">
        <v>229</v>
      </c>
      <c r="F139" s="8"/>
      <c r="G139" s="8"/>
      <c r="H139" s="8"/>
      <c r="I139" s="8"/>
      <c r="J139" s="8"/>
      <c r="K139" s="8">
        <v>50</v>
      </c>
      <c r="L139" s="18">
        <v>432</v>
      </c>
      <c r="M139" s="7">
        <f t="shared" si="2"/>
        <v>21600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4537</v>
      </c>
      <c r="D140" s="4" t="s">
        <v>4395</v>
      </c>
      <c r="E140" s="4"/>
      <c r="F140" s="8"/>
      <c r="G140" s="8"/>
      <c r="H140" s="8"/>
      <c r="I140" s="8"/>
      <c r="J140" s="8"/>
      <c r="K140" s="8">
        <v>1</v>
      </c>
      <c r="L140" s="18">
        <v>300000</v>
      </c>
      <c r="M140" s="7">
        <f t="shared" si="2"/>
        <v>300000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4538</v>
      </c>
      <c r="D141" s="4" t="s">
        <v>4395</v>
      </c>
      <c r="E141" s="4" t="s">
        <v>271</v>
      </c>
      <c r="F141" s="8"/>
      <c r="G141" s="8"/>
      <c r="H141" s="8"/>
      <c r="I141" s="8"/>
      <c r="J141" s="8"/>
      <c r="K141" s="8">
        <v>700</v>
      </c>
      <c r="L141" s="18">
        <v>12</v>
      </c>
      <c r="M141" s="7">
        <f t="shared" si="2"/>
        <v>8400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4539</v>
      </c>
      <c r="D142" s="4" t="s">
        <v>4395</v>
      </c>
      <c r="E142" s="4" t="s">
        <v>271</v>
      </c>
      <c r="F142" s="8"/>
      <c r="G142" s="8"/>
      <c r="H142" s="8"/>
      <c r="I142" s="8"/>
      <c r="J142" s="8"/>
      <c r="K142" s="8">
        <v>700</v>
      </c>
      <c r="L142" s="18">
        <v>12</v>
      </c>
      <c r="M142" s="7">
        <f t="shared" si="2"/>
        <v>8400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4540</v>
      </c>
      <c r="D143" s="4" t="s">
        <v>4395</v>
      </c>
      <c r="E143" s="4" t="s">
        <v>271</v>
      </c>
      <c r="F143" s="8"/>
      <c r="G143" s="8"/>
      <c r="H143" s="8"/>
      <c r="I143" s="8"/>
      <c r="J143" s="8"/>
      <c r="K143" s="8">
        <v>800</v>
      </c>
      <c r="L143" s="18">
        <v>12</v>
      </c>
      <c r="M143" s="7">
        <f t="shared" si="2"/>
        <v>9600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4541</v>
      </c>
      <c r="D144" s="4" t="s">
        <v>4395</v>
      </c>
      <c r="E144" s="4" t="s">
        <v>271</v>
      </c>
      <c r="F144" s="8"/>
      <c r="G144" s="8"/>
      <c r="H144" s="8"/>
      <c r="I144" s="8"/>
      <c r="J144" s="8"/>
      <c r="K144" s="8">
        <v>800</v>
      </c>
      <c r="L144" s="18">
        <v>12</v>
      </c>
      <c r="M144" s="7">
        <f t="shared" si="2"/>
        <v>9600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4542</v>
      </c>
      <c r="D145" s="4" t="s">
        <v>4395</v>
      </c>
      <c r="E145" s="4" t="s">
        <v>271</v>
      </c>
      <c r="F145" s="8"/>
      <c r="G145" s="8"/>
      <c r="H145" s="8"/>
      <c r="I145" s="8"/>
      <c r="J145" s="8"/>
      <c r="K145" s="8">
        <v>700</v>
      </c>
      <c r="L145" s="18">
        <v>12</v>
      </c>
      <c r="M145" s="7">
        <f t="shared" si="2"/>
        <v>8400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4543</v>
      </c>
      <c r="D146" s="4" t="s">
        <v>4395</v>
      </c>
      <c r="E146" s="4" t="s">
        <v>271</v>
      </c>
      <c r="F146" s="8"/>
      <c r="G146" s="8"/>
      <c r="H146" s="8"/>
      <c r="I146" s="8"/>
      <c r="J146" s="8"/>
      <c r="K146" s="8">
        <v>800</v>
      </c>
      <c r="L146" s="18">
        <v>12</v>
      </c>
      <c r="M146" s="7">
        <f t="shared" si="2"/>
        <v>9600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4544</v>
      </c>
      <c r="D147" s="4" t="s">
        <v>4395</v>
      </c>
      <c r="E147" s="4" t="s">
        <v>271</v>
      </c>
      <c r="F147" s="8"/>
      <c r="G147" s="8"/>
      <c r="H147" s="8"/>
      <c r="I147" s="8"/>
      <c r="J147" s="8"/>
      <c r="K147" s="8">
        <v>800</v>
      </c>
      <c r="L147" s="18">
        <v>12</v>
      </c>
      <c r="M147" s="7">
        <f t="shared" si="2"/>
        <v>9600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4545</v>
      </c>
      <c r="D148" s="4" t="s">
        <v>4395</v>
      </c>
      <c r="E148" s="4" t="s">
        <v>271</v>
      </c>
      <c r="F148" s="8"/>
      <c r="G148" s="8"/>
      <c r="H148" s="8"/>
      <c r="I148" s="8"/>
      <c r="J148" s="8"/>
      <c r="K148" s="8">
        <v>700</v>
      </c>
      <c r="L148" s="18">
        <v>12</v>
      </c>
      <c r="M148" s="7">
        <f t="shared" si="2"/>
        <v>8400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4546</v>
      </c>
      <c r="D149" s="4" t="s">
        <v>4395</v>
      </c>
      <c r="E149" s="4" t="s">
        <v>271</v>
      </c>
      <c r="F149" s="8"/>
      <c r="G149" s="8"/>
      <c r="H149" s="8"/>
      <c r="I149" s="8"/>
      <c r="J149" s="8"/>
      <c r="K149" s="8">
        <v>800</v>
      </c>
      <c r="L149" s="18">
        <v>12</v>
      </c>
      <c r="M149" s="7">
        <f t="shared" si="2"/>
        <v>9600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4547</v>
      </c>
      <c r="D150" s="4" t="s">
        <v>4395</v>
      </c>
      <c r="E150" s="4" t="s">
        <v>271</v>
      </c>
      <c r="F150" s="8"/>
      <c r="G150" s="8"/>
      <c r="H150" s="8"/>
      <c r="I150" s="8"/>
      <c r="J150" s="8"/>
      <c r="K150" s="8">
        <v>800</v>
      </c>
      <c r="L150" s="18">
        <v>12</v>
      </c>
      <c r="M150" s="7">
        <f t="shared" si="2"/>
        <v>9600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4548</v>
      </c>
      <c r="D151" s="4" t="s">
        <v>4395</v>
      </c>
      <c r="E151" s="4" t="s">
        <v>271</v>
      </c>
      <c r="F151" s="8"/>
      <c r="G151" s="8"/>
      <c r="H151" s="8"/>
      <c r="I151" s="8"/>
      <c r="J151" s="8"/>
      <c r="K151" s="8">
        <v>700</v>
      </c>
      <c r="L151" s="18">
        <v>12</v>
      </c>
      <c r="M151" s="7">
        <f t="shared" si="2"/>
        <v>8400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4549</v>
      </c>
      <c r="D152" s="4" t="s">
        <v>4395</v>
      </c>
      <c r="E152" s="4" t="s">
        <v>271</v>
      </c>
      <c r="F152" s="8"/>
      <c r="G152" s="8"/>
      <c r="H152" s="8"/>
      <c r="I152" s="8"/>
      <c r="J152" s="8"/>
      <c r="K152" s="8">
        <v>800</v>
      </c>
      <c r="L152" s="18">
        <v>12</v>
      </c>
      <c r="M152" s="7">
        <f t="shared" si="2"/>
        <v>9600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4550</v>
      </c>
      <c r="D153" s="4" t="s">
        <v>4395</v>
      </c>
      <c r="E153" s="4" t="s">
        <v>271</v>
      </c>
      <c r="F153" s="8"/>
      <c r="G153" s="8"/>
      <c r="H153" s="8"/>
      <c r="I153" s="8"/>
      <c r="J153" s="8"/>
      <c r="K153" s="8">
        <v>800</v>
      </c>
      <c r="L153" s="18">
        <v>12</v>
      </c>
      <c r="M153" s="7">
        <f t="shared" si="2"/>
        <v>9600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4551</v>
      </c>
      <c r="D154" s="4" t="s">
        <v>4395</v>
      </c>
      <c r="E154" s="4" t="s">
        <v>271</v>
      </c>
      <c r="F154" s="8"/>
      <c r="G154" s="8"/>
      <c r="H154" s="8"/>
      <c r="I154" s="8"/>
      <c r="J154" s="8"/>
      <c r="K154" s="8">
        <v>700</v>
      </c>
      <c r="L154" s="18">
        <v>12</v>
      </c>
      <c r="M154" s="7">
        <f t="shared" si="2"/>
        <v>8400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4552</v>
      </c>
      <c r="D155" s="4" t="s">
        <v>4395</v>
      </c>
      <c r="E155" s="4" t="s">
        <v>271</v>
      </c>
      <c r="F155" s="8"/>
      <c r="G155" s="8"/>
      <c r="H155" s="8"/>
      <c r="I155" s="8"/>
      <c r="J155" s="8"/>
      <c r="K155" s="8">
        <v>800</v>
      </c>
      <c r="L155" s="18">
        <v>12</v>
      </c>
      <c r="M155" s="7">
        <f t="shared" si="2"/>
        <v>9600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4553</v>
      </c>
      <c r="D156" s="4" t="s">
        <v>4395</v>
      </c>
      <c r="E156" s="4" t="s">
        <v>271</v>
      </c>
      <c r="F156" s="8"/>
      <c r="G156" s="8"/>
      <c r="H156" s="8"/>
      <c r="I156" s="8"/>
      <c r="J156" s="8"/>
      <c r="K156" s="8">
        <v>1000</v>
      </c>
      <c r="L156" s="18">
        <v>7</v>
      </c>
      <c r="M156" s="7">
        <f t="shared" si="2"/>
        <v>7000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4554</v>
      </c>
      <c r="D157" s="4" t="s">
        <v>4395</v>
      </c>
      <c r="E157" s="4" t="s">
        <v>271</v>
      </c>
      <c r="F157" s="8"/>
      <c r="G157" s="8"/>
      <c r="H157" s="8"/>
      <c r="I157" s="8"/>
      <c r="J157" s="8"/>
      <c r="K157" s="8">
        <v>700</v>
      </c>
      <c r="L157" s="18">
        <v>12</v>
      </c>
      <c r="M157" s="7">
        <f t="shared" si="2"/>
        <v>8400</v>
      </c>
      <c r="N157" s="4"/>
      <c r="O157" s="9"/>
    </row>
    <row r="158" spans="1:15" ht="20" customHeight="1" x14ac:dyDescent="0.2">
      <c r="A158" s="3">
        <v>154</v>
      </c>
      <c r="B158" s="19"/>
      <c r="C158" s="4" t="s">
        <v>4555</v>
      </c>
      <c r="D158" s="4" t="s">
        <v>4395</v>
      </c>
      <c r="E158" s="4" t="s">
        <v>271</v>
      </c>
      <c r="F158" s="8"/>
      <c r="G158" s="8"/>
      <c r="H158" s="8"/>
      <c r="I158" s="8"/>
      <c r="J158" s="8"/>
      <c r="K158" s="8">
        <v>700</v>
      </c>
      <c r="L158" s="18">
        <v>12</v>
      </c>
      <c r="M158" s="7">
        <f t="shared" si="2"/>
        <v>8400</v>
      </c>
      <c r="N158" s="4"/>
      <c r="O158" s="9"/>
    </row>
    <row r="159" spans="1:15" ht="20" customHeight="1" x14ac:dyDescent="0.2">
      <c r="A159" s="3">
        <v>155</v>
      </c>
      <c r="B159" s="19"/>
      <c r="C159" s="4" t="s">
        <v>4556</v>
      </c>
      <c r="D159" s="4" t="s">
        <v>4395</v>
      </c>
      <c r="E159" s="4" t="s">
        <v>271</v>
      </c>
      <c r="F159" s="8"/>
      <c r="G159" s="8"/>
      <c r="H159" s="8"/>
      <c r="I159" s="8"/>
      <c r="J159" s="8"/>
      <c r="K159" s="8">
        <v>800</v>
      </c>
      <c r="L159" s="18">
        <v>12</v>
      </c>
      <c r="M159" s="7">
        <f t="shared" si="2"/>
        <v>9600</v>
      </c>
      <c r="N159" s="4"/>
      <c r="O159" s="9"/>
    </row>
    <row r="160" spans="1:15" ht="20" customHeight="1" x14ac:dyDescent="0.2">
      <c r="A160" s="3">
        <v>156</v>
      </c>
      <c r="B160" s="19"/>
      <c r="C160" s="4" t="s">
        <v>4557</v>
      </c>
      <c r="D160" s="4" t="s">
        <v>4395</v>
      </c>
      <c r="E160" s="4" t="s">
        <v>271</v>
      </c>
      <c r="F160" s="8"/>
      <c r="G160" s="8"/>
      <c r="H160" s="8"/>
      <c r="I160" s="8"/>
      <c r="J160" s="8"/>
      <c r="K160" s="8">
        <v>800</v>
      </c>
      <c r="L160" s="18">
        <v>12</v>
      </c>
      <c r="M160" s="7">
        <f t="shared" si="2"/>
        <v>9600</v>
      </c>
      <c r="N160" s="4"/>
      <c r="O160" s="9"/>
    </row>
    <row r="161" spans="1:15" ht="20" customHeight="1" x14ac:dyDescent="0.2">
      <c r="A161" s="3">
        <v>157</v>
      </c>
      <c r="B161" s="19"/>
      <c r="C161" s="4" t="s">
        <v>4558</v>
      </c>
      <c r="D161" s="4" t="s">
        <v>4395</v>
      </c>
      <c r="E161" s="4" t="s">
        <v>271</v>
      </c>
      <c r="F161" s="8"/>
      <c r="G161" s="8"/>
      <c r="H161" s="8"/>
      <c r="I161" s="8"/>
      <c r="J161" s="8"/>
      <c r="K161" s="8">
        <v>800</v>
      </c>
      <c r="L161" s="18">
        <v>12</v>
      </c>
      <c r="M161" s="7">
        <f t="shared" si="2"/>
        <v>9600</v>
      </c>
      <c r="N161" s="4"/>
      <c r="O161" s="9"/>
    </row>
    <row r="162" spans="1:15" ht="20" customHeight="1" x14ac:dyDescent="0.2">
      <c r="A162" s="3">
        <v>158</v>
      </c>
      <c r="B162" s="19"/>
      <c r="C162" s="4" t="s">
        <v>4559</v>
      </c>
      <c r="D162" s="4" t="s">
        <v>4395</v>
      </c>
      <c r="E162" s="4" t="s">
        <v>271</v>
      </c>
      <c r="F162" s="8"/>
      <c r="G162" s="8"/>
      <c r="H162" s="8"/>
      <c r="I162" s="8"/>
      <c r="J162" s="8"/>
      <c r="K162" s="8">
        <v>800</v>
      </c>
      <c r="L162" s="18">
        <v>12</v>
      </c>
      <c r="M162" s="7">
        <f t="shared" si="2"/>
        <v>9600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4560</v>
      </c>
      <c r="D163" s="4" t="s">
        <v>4395</v>
      </c>
      <c r="E163" s="4" t="s">
        <v>271</v>
      </c>
      <c r="F163" s="8"/>
      <c r="G163" s="8"/>
      <c r="H163" s="8"/>
      <c r="I163" s="8"/>
      <c r="J163" s="8"/>
      <c r="K163" s="8">
        <v>800</v>
      </c>
      <c r="L163" s="18">
        <v>12</v>
      </c>
      <c r="M163" s="7">
        <f t="shared" si="2"/>
        <v>9600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4561</v>
      </c>
      <c r="D164" s="4" t="s">
        <v>4395</v>
      </c>
      <c r="E164" s="4" t="s">
        <v>271</v>
      </c>
      <c r="F164" s="8"/>
      <c r="G164" s="8"/>
      <c r="H164" s="8"/>
      <c r="I164" s="8"/>
      <c r="J164" s="8"/>
      <c r="K164" s="8">
        <v>800</v>
      </c>
      <c r="L164" s="18">
        <v>12</v>
      </c>
      <c r="M164" s="7">
        <f t="shared" si="2"/>
        <v>9600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4562</v>
      </c>
      <c r="D165" s="4" t="s">
        <v>4395</v>
      </c>
      <c r="E165" s="4" t="s">
        <v>271</v>
      </c>
      <c r="F165" s="8"/>
      <c r="G165" s="8"/>
      <c r="H165" s="8"/>
      <c r="I165" s="8"/>
      <c r="J165" s="8"/>
      <c r="K165" s="8">
        <v>800</v>
      </c>
      <c r="L165" s="18">
        <v>12</v>
      </c>
      <c r="M165" s="7">
        <f t="shared" si="2"/>
        <v>9600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4563</v>
      </c>
      <c r="D166" s="4" t="s">
        <v>4395</v>
      </c>
      <c r="E166" s="4" t="s">
        <v>271</v>
      </c>
      <c r="F166" s="8"/>
      <c r="G166" s="8"/>
      <c r="H166" s="8"/>
      <c r="I166" s="8"/>
      <c r="J166" s="8"/>
      <c r="K166" s="8">
        <v>800</v>
      </c>
      <c r="L166" s="18">
        <v>12</v>
      </c>
      <c r="M166" s="7">
        <f t="shared" si="2"/>
        <v>9600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4564</v>
      </c>
      <c r="D167" s="4" t="s">
        <v>4395</v>
      </c>
      <c r="E167" s="4" t="s">
        <v>271</v>
      </c>
      <c r="F167" s="8"/>
      <c r="G167" s="8"/>
      <c r="H167" s="8"/>
      <c r="I167" s="8"/>
      <c r="J167" s="8"/>
      <c r="K167" s="8">
        <v>800</v>
      </c>
      <c r="L167" s="18">
        <v>12</v>
      </c>
      <c r="M167" s="7">
        <f t="shared" si="2"/>
        <v>9600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4565</v>
      </c>
      <c r="D168" s="4" t="s">
        <v>4395</v>
      </c>
      <c r="E168" s="4" t="s">
        <v>271</v>
      </c>
      <c r="F168" s="8"/>
      <c r="G168" s="8"/>
      <c r="H168" s="8"/>
      <c r="I168" s="8"/>
      <c r="J168" s="8"/>
      <c r="K168" s="8">
        <v>800</v>
      </c>
      <c r="L168" s="18">
        <v>12</v>
      </c>
      <c r="M168" s="7">
        <f t="shared" si="2"/>
        <v>9600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4566</v>
      </c>
      <c r="D169" s="4" t="s">
        <v>4395</v>
      </c>
      <c r="E169" s="4" t="s">
        <v>271</v>
      </c>
      <c r="F169" s="8"/>
      <c r="G169" s="8"/>
      <c r="H169" s="8"/>
      <c r="I169" s="8"/>
      <c r="J169" s="8"/>
      <c r="K169" s="8">
        <v>700</v>
      </c>
      <c r="L169" s="18">
        <v>12</v>
      </c>
      <c r="M169" s="7">
        <f t="shared" si="2"/>
        <v>8400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4567</v>
      </c>
      <c r="D170" s="4" t="s">
        <v>4395</v>
      </c>
      <c r="E170" s="4" t="s">
        <v>271</v>
      </c>
      <c r="F170" s="8"/>
      <c r="G170" s="8"/>
      <c r="H170" s="8"/>
      <c r="I170" s="8"/>
      <c r="J170" s="8"/>
      <c r="K170" s="8">
        <v>700</v>
      </c>
      <c r="L170" s="18">
        <v>12</v>
      </c>
      <c r="M170" s="7">
        <f t="shared" si="2"/>
        <v>8400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4568</v>
      </c>
      <c r="D171" s="4" t="s">
        <v>4395</v>
      </c>
      <c r="E171" s="4" t="s">
        <v>271</v>
      </c>
      <c r="F171" s="8"/>
      <c r="G171" s="8"/>
      <c r="H171" s="8"/>
      <c r="I171" s="8"/>
      <c r="J171" s="8"/>
      <c r="K171" s="8">
        <v>700</v>
      </c>
      <c r="L171" s="18">
        <v>12</v>
      </c>
      <c r="M171" s="7">
        <f t="shared" si="2"/>
        <v>8400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4569</v>
      </c>
      <c r="D172" s="4" t="s">
        <v>4395</v>
      </c>
      <c r="E172" s="4" t="s">
        <v>271</v>
      </c>
      <c r="F172" s="8"/>
      <c r="G172" s="8"/>
      <c r="H172" s="8"/>
      <c r="I172" s="8"/>
      <c r="J172" s="8"/>
      <c r="K172" s="8">
        <v>750</v>
      </c>
      <c r="L172" s="18">
        <v>12</v>
      </c>
      <c r="M172" s="7">
        <f t="shared" si="2"/>
        <v>9000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4570</v>
      </c>
      <c r="D173" s="4" t="s">
        <v>4395</v>
      </c>
      <c r="E173" s="4" t="s">
        <v>271</v>
      </c>
      <c r="F173" s="8"/>
      <c r="G173" s="8"/>
      <c r="H173" s="8"/>
      <c r="I173" s="8"/>
      <c r="J173" s="8"/>
      <c r="K173" s="8">
        <v>750</v>
      </c>
      <c r="L173" s="18">
        <v>12</v>
      </c>
      <c r="M173" s="7">
        <f t="shared" si="2"/>
        <v>9000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76</v>
      </c>
      <c r="D174" s="4" t="s">
        <v>4395</v>
      </c>
      <c r="E174" s="4"/>
      <c r="F174" s="8"/>
      <c r="G174" s="8"/>
      <c r="H174" s="8"/>
      <c r="I174" s="8"/>
      <c r="J174" s="8"/>
      <c r="K174" s="8">
        <v>0</v>
      </c>
      <c r="L174" s="18">
        <v>0</v>
      </c>
      <c r="M174" s="7">
        <f t="shared" si="2"/>
        <v>0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4571</v>
      </c>
      <c r="D175" s="4" t="s">
        <v>4395</v>
      </c>
      <c r="E175" s="4"/>
      <c r="F175" s="8"/>
      <c r="G175" s="8"/>
      <c r="H175" s="8"/>
      <c r="I175" s="8"/>
      <c r="J175" s="8"/>
      <c r="K175" s="8">
        <v>800</v>
      </c>
      <c r="L175" s="18">
        <v>25</v>
      </c>
      <c r="M175" s="7">
        <f t="shared" si="2"/>
        <v>20000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4572</v>
      </c>
      <c r="D176" s="4" t="s">
        <v>4395</v>
      </c>
      <c r="E176" s="4"/>
      <c r="F176" s="8"/>
      <c r="G176" s="8"/>
      <c r="H176" s="8"/>
      <c r="I176" s="8"/>
      <c r="J176" s="8"/>
      <c r="K176" s="8">
        <v>500</v>
      </c>
      <c r="L176" s="18">
        <v>180</v>
      </c>
      <c r="M176" s="7">
        <f t="shared" si="2"/>
        <v>90000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4573</v>
      </c>
      <c r="D177" s="4" t="s">
        <v>4395</v>
      </c>
      <c r="E177" s="4"/>
      <c r="F177" s="8"/>
      <c r="G177" s="8"/>
      <c r="H177" s="8"/>
      <c r="I177" s="8"/>
      <c r="J177" s="8"/>
      <c r="K177" s="8">
        <v>0</v>
      </c>
      <c r="L177" s="18">
        <v>0</v>
      </c>
      <c r="M177" s="7">
        <f t="shared" si="2"/>
        <v>0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4574</v>
      </c>
      <c r="D178" s="4" t="s">
        <v>4395</v>
      </c>
      <c r="E178" s="4"/>
      <c r="F178" s="8"/>
      <c r="G178" s="8"/>
      <c r="H178" s="8"/>
      <c r="I178" s="8"/>
      <c r="J178" s="8"/>
      <c r="K178" s="8">
        <v>0</v>
      </c>
      <c r="L178" s="18">
        <v>0</v>
      </c>
      <c r="M178" s="7">
        <f t="shared" si="2"/>
        <v>0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4575</v>
      </c>
      <c r="D179" s="4" t="s">
        <v>4395</v>
      </c>
      <c r="E179" s="4"/>
      <c r="F179" s="8"/>
      <c r="G179" s="8"/>
      <c r="H179" s="8"/>
      <c r="I179" s="8"/>
      <c r="J179" s="8"/>
      <c r="K179" s="8">
        <v>0</v>
      </c>
      <c r="L179" s="18">
        <v>0</v>
      </c>
      <c r="M179" s="7">
        <f t="shared" si="2"/>
        <v>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4576</v>
      </c>
      <c r="D180" s="4" t="s">
        <v>4395</v>
      </c>
      <c r="E180" s="4"/>
      <c r="F180" s="8"/>
      <c r="G180" s="8"/>
      <c r="H180" s="8"/>
      <c r="I180" s="8"/>
      <c r="J180" s="8"/>
      <c r="K180" s="8">
        <v>0</v>
      </c>
      <c r="L180" s="18">
        <v>0</v>
      </c>
      <c r="M180" s="7">
        <f t="shared" si="2"/>
        <v>0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4577</v>
      </c>
      <c r="D181" s="4" t="s">
        <v>4395</v>
      </c>
      <c r="E181" s="4"/>
      <c r="F181" s="8"/>
      <c r="G181" s="8"/>
      <c r="H181" s="8"/>
      <c r="I181" s="8"/>
      <c r="J181" s="8"/>
      <c r="K181" s="8">
        <v>0</v>
      </c>
      <c r="L181" s="18">
        <v>0</v>
      </c>
      <c r="M181" s="7">
        <f t="shared" si="2"/>
        <v>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4578</v>
      </c>
      <c r="D182" s="4" t="s">
        <v>4395</v>
      </c>
      <c r="E182" s="4"/>
      <c r="F182" s="8"/>
      <c r="G182" s="8"/>
      <c r="H182" s="8"/>
      <c r="I182" s="8"/>
      <c r="J182" s="8"/>
      <c r="K182" s="8">
        <v>0</v>
      </c>
      <c r="L182" s="18">
        <v>0</v>
      </c>
      <c r="M182" s="7">
        <f t="shared" si="2"/>
        <v>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4579</v>
      </c>
      <c r="D183" s="4" t="s">
        <v>4395</v>
      </c>
      <c r="E183" s="4"/>
      <c r="F183" s="8"/>
      <c r="G183" s="8"/>
      <c r="H183" s="8"/>
      <c r="I183" s="8"/>
      <c r="J183" s="8"/>
      <c r="K183" s="8">
        <v>0</v>
      </c>
      <c r="L183" s="18">
        <v>0</v>
      </c>
      <c r="M183" s="7">
        <f t="shared" si="2"/>
        <v>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4580</v>
      </c>
      <c r="D184" s="4" t="s">
        <v>4395</v>
      </c>
      <c r="E184" s="4"/>
      <c r="F184" s="8"/>
      <c r="G184" s="8"/>
      <c r="H184" s="8"/>
      <c r="I184" s="8"/>
      <c r="J184" s="8"/>
      <c r="K184" s="8">
        <v>0</v>
      </c>
      <c r="L184" s="18">
        <v>0</v>
      </c>
      <c r="M184" s="7">
        <f t="shared" si="2"/>
        <v>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4581</v>
      </c>
      <c r="D185" s="4" t="s">
        <v>4395</v>
      </c>
      <c r="E185" s="4"/>
      <c r="F185" s="8"/>
      <c r="G185" s="8"/>
      <c r="H185" s="8"/>
      <c r="I185" s="8"/>
      <c r="J185" s="8"/>
      <c r="K185" s="8">
        <v>0</v>
      </c>
      <c r="L185" s="18">
        <v>0</v>
      </c>
      <c r="M185" s="7">
        <f t="shared" si="2"/>
        <v>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4582</v>
      </c>
      <c r="D186" s="4" t="s">
        <v>4395</v>
      </c>
      <c r="E186" s="4"/>
      <c r="F186" s="8"/>
      <c r="G186" s="8"/>
      <c r="H186" s="8"/>
      <c r="I186" s="8"/>
      <c r="J186" s="8"/>
      <c r="K186" s="8">
        <v>0</v>
      </c>
      <c r="L186" s="18">
        <v>0</v>
      </c>
      <c r="M186" s="7">
        <f t="shared" si="2"/>
        <v>0</v>
      </c>
      <c r="N186" s="4"/>
      <c r="O186" s="9"/>
    </row>
    <row r="187" spans="1:15" ht="20" customHeight="1" x14ac:dyDescent="0.2">
      <c r="A187" s="3">
        <v>183</v>
      </c>
      <c r="B187" s="19"/>
      <c r="C187" s="4" t="s">
        <v>4583</v>
      </c>
      <c r="D187" s="4" t="s">
        <v>4395</v>
      </c>
      <c r="E187" s="4"/>
      <c r="F187" s="8"/>
      <c r="G187" s="8"/>
      <c r="H187" s="8"/>
      <c r="I187" s="8"/>
      <c r="J187" s="8"/>
      <c r="K187" s="8">
        <v>0</v>
      </c>
      <c r="L187" s="18">
        <v>0</v>
      </c>
      <c r="M187" s="7">
        <f t="shared" si="2"/>
        <v>0</v>
      </c>
      <c r="N187" s="4"/>
      <c r="O187" s="9"/>
    </row>
    <row r="188" spans="1:15" ht="20" customHeight="1" x14ac:dyDescent="0.2">
      <c r="A188" s="3">
        <v>184</v>
      </c>
      <c r="B188" s="19"/>
      <c r="C188" s="4" t="s">
        <v>4584</v>
      </c>
      <c r="D188" s="4" t="s">
        <v>4395</v>
      </c>
      <c r="E188" s="4"/>
      <c r="F188" s="8"/>
      <c r="G188" s="8"/>
      <c r="H188" s="8"/>
      <c r="I188" s="8"/>
      <c r="J188" s="8"/>
      <c r="K188" s="8">
        <v>1</v>
      </c>
      <c r="L188" s="18">
        <v>4151875</v>
      </c>
      <c r="M188" s="7">
        <f t="shared" si="2"/>
        <v>4151875</v>
      </c>
      <c r="N188" s="4"/>
      <c r="O188" s="9"/>
    </row>
    <row r="189" spans="1:15" ht="20" customHeight="1" x14ac:dyDescent="0.2">
      <c r="A189" s="3">
        <v>185</v>
      </c>
      <c r="B189" s="19"/>
      <c r="C189" s="4" t="s">
        <v>4585</v>
      </c>
      <c r="D189" s="4" t="s">
        <v>4395</v>
      </c>
      <c r="E189" s="4"/>
      <c r="F189" s="8"/>
      <c r="G189" s="8"/>
      <c r="H189" s="8"/>
      <c r="I189" s="8"/>
      <c r="J189" s="8"/>
      <c r="K189" s="8">
        <v>1</v>
      </c>
      <c r="L189" s="18">
        <v>3633000</v>
      </c>
      <c r="M189" s="7">
        <f t="shared" si="2"/>
        <v>3633000</v>
      </c>
      <c r="N189" s="4" t="s">
        <v>4586</v>
      </c>
      <c r="O189" s="9"/>
    </row>
    <row r="190" spans="1:15" ht="20" customHeight="1" x14ac:dyDescent="0.2">
      <c r="A190" s="3">
        <v>186</v>
      </c>
      <c r="B190" s="19"/>
      <c r="C190" s="4" t="s">
        <v>4587</v>
      </c>
      <c r="D190" s="4" t="s">
        <v>4395</v>
      </c>
      <c r="E190" s="4" t="s">
        <v>4406</v>
      </c>
      <c r="F190" s="8"/>
      <c r="G190" s="8"/>
      <c r="H190" s="8"/>
      <c r="I190" s="8"/>
      <c r="J190" s="8"/>
      <c r="K190" s="8">
        <v>12100</v>
      </c>
      <c r="L190" s="18">
        <v>150</v>
      </c>
      <c r="M190" s="7">
        <f t="shared" si="2"/>
        <v>1815000</v>
      </c>
      <c r="N190" s="4"/>
      <c r="O190" s="9"/>
    </row>
    <row r="191" spans="1:15" ht="20" customHeight="1" x14ac:dyDescent="0.2">
      <c r="A191" s="3">
        <v>187</v>
      </c>
      <c r="B191" s="19"/>
      <c r="C191" s="4" t="s">
        <v>4588</v>
      </c>
      <c r="D191" s="4" t="s">
        <v>4395</v>
      </c>
      <c r="E191" s="4" t="s">
        <v>4406</v>
      </c>
      <c r="F191" s="8"/>
      <c r="G191" s="8"/>
      <c r="H191" s="8"/>
      <c r="I191" s="8"/>
      <c r="J191" s="8"/>
      <c r="K191" s="8">
        <v>12100</v>
      </c>
      <c r="L191" s="18">
        <v>150</v>
      </c>
      <c r="M191" s="7">
        <f t="shared" si="2"/>
        <v>1815000</v>
      </c>
      <c r="N191" s="4"/>
      <c r="O191" s="9"/>
    </row>
    <row r="192" spans="1:15" ht="20" customHeight="1" x14ac:dyDescent="0.2">
      <c r="A192" s="3">
        <v>188</v>
      </c>
      <c r="B192" s="19"/>
      <c r="C192" s="4" t="s">
        <v>4589</v>
      </c>
      <c r="D192" s="4" t="s">
        <v>4395</v>
      </c>
      <c r="E192" s="4" t="s">
        <v>4406</v>
      </c>
      <c r="F192" s="8"/>
      <c r="G192" s="8"/>
      <c r="H192" s="8"/>
      <c r="I192" s="8"/>
      <c r="J192" s="8"/>
      <c r="K192" s="8">
        <v>200</v>
      </c>
      <c r="L192" s="18">
        <v>15</v>
      </c>
      <c r="M192" s="7">
        <f t="shared" si="2"/>
        <v>3000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4590</v>
      </c>
      <c r="D193" s="4" t="s">
        <v>4395</v>
      </c>
      <c r="E193" s="4"/>
      <c r="F193" s="8"/>
      <c r="G193" s="8"/>
      <c r="H193" s="8"/>
      <c r="I193" s="8"/>
      <c r="J193" s="8"/>
      <c r="K193" s="8">
        <v>1</v>
      </c>
      <c r="L193" s="18">
        <v>4375000</v>
      </c>
      <c r="M193" s="7">
        <f t="shared" si="2"/>
        <v>4375000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4591</v>
      </c>
      <c r="D194" s="4" t="s">
        <v>4395</v>
      </c>
      <c r="E194" s="4" t="s">
        <v>921</v>
      </c>
      <c r="F194" s="8"/>
      <c r="G194" s="8"/>
      <c r="H194" s="8"/>
      <c r="I194" s="8"/>
      <c r="J194" s="8"/>
      <c r="K194" s="8">
        <v>15000</v>
      </c>
      <c r="L194" s="18">
        <v>105</v>
      </c>
      <c r="M194" s="7">
        <f t="shared" si="2"/>
        <v>1575000</v>
      </c>
      <c r="N194" s="4"/>
      <c r="O194" s="9"/>
    </row>
    <row r="195" spans="1:15" ht="20" customHeight="1" x14ac:dyDescent="0.2">
      <c r="A195" s="3">
        <v>191</v>
      </c>
      <c r="B195" s="19"/>
      <c r="C195" s="4" t="s">
        <v>4592</v>
      </c>
      <c r="D195" s="4" t="s">
        <v>4395</v>
      </c>
      <c r="E195" s="4" t="s">
        <v>921</v>
      </c>
      <c r="F195" s="8"/>
      <c r="G195" s="8"/>
      <c r="H195" s="8"/>
      <c r="I195" s="8"/>
      <c r="J195" s="8"/>
      <c r="K195" s="8">
        <v>10000</v>
      </c>
      <c r="L195" s="18">
        <v>265</v>
      </c>
      <c r="M195" s="7">
        <f t="shared" si="2"/>
        <v>2650000</v>
      </c>
      <c r="N195" s="4"/>
      <c r="O195" s="9"/>
    </row>
    <row r="196" spans="1:15" ht="20" customHeight="1" x14ac:dyDescent="0.2">
      <c r="A196" s="3">
        <v>192</v>
      </c>
      <c r="B196" s="19"/>
      <c r="C196" s="4" t="s">
        <v>4593</v>
      </c>
      <c r="D196" s="4" t="s">
        <v>4395</v>
      </c>
      <c r="E196" s="4" t="s">
        <v>4406</v>
      </c>
      <c r="F196" s="8"/>
      <c r="G196" s="8"/>
      <c r="H196" s="8"/>
      <c r="I196" s="8"/>
      <c r="J196" s="8"/>
      <c r="K196" s="8">
        <v>500</v>
      </c>
      <c r="L196" s="18">
        <v>300</v>
      </c>
      <c r="M196" s="7">
        <f t="shared" si="2"/>
        <v>150000</v>
      </c>
      <c r="N196" s="4"/>
      <c r="O196" s="9"/>
    </row>
    <row r="197" spans="1:15" ht="20" customHeight="1" x14ac:dyDescent="0.2">
      <c r="A197" s="3">
        <v>193</v>
      </c>
      <c r="B197" s="19"/>
      <c r="C197" s="4" t="s">
        <v>4594</v>
      </c>
      <c r="D197" s="4" t="s">
        <v>4395</v>
      </c>
      <c r="E197" s="4"/>
      <c r="F197" s="8"/>
      <c r="G197" s="8"/>
      <c r="H197" s="8"/>
      <c r="I197" s="8"/>
      <c r="J197" s="8"/>
      <c r="K197" s="8">
        <v>1</v>
      </c>
      <c r="L197" s="18">
        <v>2492100</v>
      </c>
      <c r="M197" s="7">
        <f t="shared" ref="M197:M260" si="3">IF(OR(K197="",L197=""),"",K197*L197)</f>
        <v>2492100</v>
      </c>
      <c r="N197" s="4" t="s">
        <v>4586</v>
      </c>
      <c r="O197" s="9"/>
    </row>
    <row r="198" spans="1:15" ht="20" customHeight="1" x14ac:dyDescent="0.2">
      <c r="A198" s="3">
        <v>194</v>
      </c>
      <c r="B198" s="19"/>
      <c r="C198" s="4" t="s">
        <v>4595</v>
      </c>
      <c r="D198" s="4" t="s">
        <v>4395</v>
      </c>
      <c r="E198" s="4" t="s">
        <v>4406</v>
      </c>
      <c r="F198" s="8"/>
      <c r="G198" s="8"/>
      <c r="H198" s="8"/>
      <c r="I198" s="8"/>
      <c r="J198" s="8"/>
      <c r="K198" s="8">
        <v>10000</v>
      </c>
      <c r="L198" s="18">
        <v>95</v>
      </c>
      <c r="M198" s="7">
        <f t="shared" si="3"/>
        <v>950000</v>
      </c>
      <c r="N198" s="4"/>
      <c r="O198" s="9"/>
    </row>
    <row r="199" spans="1:15" ht="20" customHeight="1" x14ac:dyDescent="0.2">
      <c r="A199" s="3">
        <v>195</v>
      </c>
      <c r="B199" s="19"/>
      <c r="C199" s="4" t="s">
        <v>4596</v>
      </c>
      <c r="D199" s="4" t="s">
        <v>4395</v>
      </c>
      <c r="E199" s="4" t="s">
        <v>4406</v>
      </c>
      <c r="F199" s="8"/>
      <c r="G199" s="8"/>
      <c r="H199" s="8"/>
      <c r="I199" s="8"/>
      <c r="J199" s="8"/>
      <c r="K199" s="8">
        <v>10000</v>
      </c>
      <c r="L199" s="18">
        <v>80</v>
      </c>
      <c r="M199" s="7">
        <f t="shared" si="3"/>
        <v>800000</v>
      </c>
      <c r="N199" s="4"/>
      <c r="O199" s="9"/>
    </row>
    <row r="200" spans="1:15" ht="20" customHeight="1" x14ac:dyDescent="0.2">
      <c r="A200" s="3">
        <v>196</v>
      </c>
      <c r="B200" s="19"/>
      <c r="C200" s="4" t="s">
        <v>4597</v>
      </c>
      <c r="D200" s="4" t="s">
        <v>4395</v>
      </c>
      <c r="E200" s="4" t="s">
        <v>921</v>
      </c>
      <c r="F200" s="8"/>
      <c r="G200" s="8"/>
      <c r="H200" s="8"/>
      <c r="I200" s="8"/>
      <c r="J200" s="8"/>
      <c r="K200" s="8">
        <v>4500</v>
      </c>
      <c r="L200" s="18">
        <v>70</v>
      </c>
      <c r="M200" s="7">
        <f t="shared" si="3"/>
        <v>315000</v>
      </c>
      <c r="N200" s="4"/>
      <c r="O200" s="9"/>
    </row>
    <row r="201" spans="1:15" ht="20" customHeight="1" x14ac:dyDescent="0.2">
      <c r="A201" s="3">
        <v>197</v>
      </c>
      <c r="B201" s="19"/>
      <c r="C201" s="4" t="s">
        <v>4598</v>
      </c>
      <c r="D201" s="4" t="s">
        <v>4395</v>
      </c>
      <c r="E201" s="4" t="s">
        <v>4406</v>
      </c>
      <c r="F201" s="8"/>
      <c r="G201" s="8"/>
      <c r="H201" s="8"/>
      <c r="I201" s="8"/>
      <c r="J201" s="8"/>
      <c r="K201" s="8">
        <v>250</v>
      </c>
      <c r="L201" s="18">
        <v>90</v>
      </c>
      <c r="M201" s="7">
        <f t="shared" si="3"/>
        <v>22500</v>
      </c>
      <c r="N201" s="4"/>
      <c r="O201" s="9"/>
    </row>
    <row r="202" spans="1:15" ht="20" customHeight="1" x14ac:dyDescent="0.2">
      <c r="A202" s="3">
        <v>198</v>
      </c>
      <c r="B202" s="19"/>
      <c r="C202" s="4" t="s">
        <v>4599</v>
      </c>
      <c r="D202" s="4" t="s">
        <v>4395</v>
      </c>
      <c r="E202" s="4" t="s">
        <v>4406</v>
      </c>
      <c r="F202" s="8"/>
      <c r="G202" s="8"/>
      <c r="H202" s="8"/>
      <c r="I202" s="8"/>
      <c r="J202" s="8"/>
      <c r="K202" s="8">
        <v>200</v>
      </c>
      <c r="L202" s="18">
        <v>18</v>
      </c>
      <c r="M202" s="7">
        <f t="shared" si="3"/>
        <v>3600</v>
      </c>
      <c r="N202" s="4"/>
      <c r="O202" s="9"/>
    </row>
    <row r="203" spans="1:15" ht="20" customHeight="1" x14ac:dyDescent="0.2">
      <c r="A203" s="3">
        <v>199</v>
      </c>
      <c r="B203" s="19"/>
      <c r="C203" s="4" t="s">
        <v>4600</v>
      </c>
      <c r="D203" s="4" t="s">
        <v>4395</v>
      </c>
      <c r="E203" s="4" t="s">
        <v>4406</v>
      </c>
      <c r="F203" s="8"/>
      <c r="G203" s="8"/>
      <c r="H203" s="8"/>
      <c r="I203" s="8"/>
      <c r="J203" s="8"/>
      <c r="K203" s="8">
        <v>2800</v>
      </c>
      <c r="L203" s="18">
        <v>90</v>
      </c>
      <c r="M203" s="7">
        <f t="shared" si="3"/>
        <v>252000</v>
      </c>
      <c r="N203" s="4"/>
      <c r="O203" s="9"/>
    </row>
    <row r="204" spans="1:15" ht="20" customHeight="1" x14ac:dyDescent="0.2">
      <c r="A204" s="3">
        <v>200</v>
      </c>
      <c r="B204" s="19"/>
      <c r="C204" s="4" t="s">
        <v>4601</v>
      </c>
      <c r="D204" s="4" t="s">
        <v>4395</v>
      </c>
      <c r="E204" s="4" t="s">
        <v>4406</v>
      </c>
      <c r="F204" s="8"/>
      <c r="G204" s="8"/>
      <c r="H204" s="8"/>
      <c r="I204" s="8"/>
      <c r="J204" s="8"/>
      <c r="K204" s="8">
        <v>1500</v>
      </c>
      <c r="L204" s="18">
        <v>90</v>
      </c>
      <c r="M204" s="7">
        <f t="shared" si="3"/>
        <v>135000</v>
      </c>
      <c r="N204" s="4"/>
      <c r="O204" s="9"/>
    </row>
    <row r="205" spans="1:15" ht="20" customHeight="1" x14ac:dyDescent="0.2">
      <c r="A205" s="3">
        <v>201</v>
      </c>
      <c r="B205" s="19"/>
      <c r="C205" s="4" t="s">
        <v>4602</v>
      </c>
      <c r="D205" s="4" t="s">
        <v>4395</v>
      </c>
      <c r="E205" s="4" t="s">
        <v>4406</v>
      </c>
      <c r="F205" s="8"/>
      <c r="G205" s="8"/>
      <c r="H205" s="8"/>
      <c r="I205" s="8"/>
      <c r="J205" s="8"/>
      <c r="K205" s="8">
        <v>100</v>
      </c>
      <c r="L205" s="18">
        <v>130</v>
      </c>
      <c r="M205" s="7">
        <f t="shared" si="3"/>
        <v>13000</v>
      </c>
      <c r="N205" s="4"/>
      <c r="O205" s="9"/>
    </row>
    <row r="206" spans="1:15" ht="20" customHeight="1" x14ac:dyDescent="0.2">
      <c r="A206" s="3">
        <v>202</v>
      </c>
      <c r="B206" s="19"/>
      <c r="C206" s="4" t="s">
        <v>4603</v>
      </c>
      <c r="D206" s="4" t="s">
        <v>4395</v>
      </c>
      <c r="E206" s="4" t="s">
        <v>4406</v>
      </c>
      <c r="F206" s="8"/>
      <c r="G206" s="8"/>
      <c r="H206" s="8"/>
      <c r="I206" s="8"/>
      <c r="J206" s="8"/>
      <c r="K206" s="8">
        <v>100</v>
      </c>
      <c r="L206" s="18">
        <v>10</v>
      </c>
      <c r="M206" s="7">
        <f t="shared" si="3"/>
        <v>1000</v>
      </c>
      <c r="N206" s="4"/>
      <c r="O206" s="9"/>
    </row>
    <row r="207" spans="1:15" ht="20" customHeight="1" x14ac:dyDescent="0.2">
      <c r="A207" s="3">
        <v>203</v>
      </c>
      <c r="B207" s="19"/>
      <c r="C207" s="4" t="s">
        <v>4604</v>
      </c>
      <c r="D207" s="4" t="s">
        <v>4395</v>
      </c>
      <c r="E207" s="4" t="s">
        <v>775</v>
      </c>
      <c r="F207" s="8"/>
      <c r="G207" s="8"/>
      <c r="H207" s="8"/>
      <c r="I207" s="8"/>
      <c r="J207" s="8"/>
      <c r="K207" s="8">
        <v>960</v>
      </c>
      <c r="L207" s="18">
        <v>1650</v>
      </c>
      <c r="M207" s="7">
        <f t="shared" si="3"/>
        <v>1584000</v>
      </c>
      <c r="N207" s="4" t="s">
        <v>4605</v>
      </c>
      <c r="O207" s="9"/>
    </row>
    <row r="208" spans="1:15" ht="20" customHeight="1" x14ac:dyDescent="0.2">
      <c r="A208" s="3">
        <v>204</v>
      </c>
      <c r="B208" s="19"/>
      <c r="C208" s="4" t="s">
        <v>4606</v>
      </c>
      <c r="D208" s="4" t="s">
        <v>4395</v>
      </c>
      <c r="E208" s="4" t="s">
        <v>4607</v>
      </c>
      <c r="F208" s="8"/>
      <c r="G208" s="8"/>
      <c r="H208" s="8"/>
      <c r="I208" s="8"/>
      <c r="J208" s="8"/>
      <c r="K208" s="8">
        <v>9600</v>
      </c>
      <c r="L208" s="18">
        <v>126</v>
      </c>
      <c r="M208" s="7">
        <f t="shared" si="3"/>
        <v>1209600</v>
      </c>
      <c r="N208" s="4" t="s">
        <v>4605</v>
      </c>
      <c r="O208" s="9"/>
    </row>
    <row r="209" spans="1:15" ht="20" customHeight="1" x14ac:dyDescent="0.2">
      <c r="A209" s="3">
        <v>205</v>
      </c>
      <c r="B209" s="19"/>
      <c r="C209" s="4" t="s">
        <v>4608</v>
      </c>
      <c r="D209" s="4" t="s">
        <v>4395</v>
      </c>
      <c r="E209" s="4"/>
      <c r="F209" s="8"/>
      <c r="G209" s="8"/>
      <c r="H209" s="8"/>
      <c r="I209" s="8"/>
      <c r="J209" s="8"/>
      <c r="K209" s="8">
        <v>1</v>
      </c>
      <c r="L209" s="18">
        <v>4000000</v>
      </c>
      <c r="M209" s="7">
        <f t="shared" si="3"/>
        <v>4000000</v>
      </c>
      <c r="N209" s="4"/>
      <c r="O209" s="9"/>
    </row>
    <row r="210" spans="1:15" ht="20" customHeight="1" x14ac:dyDescent="0.2">
      <c r="A210" s="3">
        <v>206</v>
      </c>
      <c r="B210" s="19"/>
      <c r="C210" s="4" t="s">
        <v>4609</v>
      </c>
      <c r="D210" s="4" t="s">
        <v>4395</v>
      </c>
      <c r="E210" s="4" t="s">
        <v>4406</v>
      </c>
      <c r="F210" s="8"/>
      <c r="G210" s="8"/>
      <c r="H210" s="8"/>
      <c r="I210" s="8"/>
      <c r="J210" s="8"/>
      <c r="K210" s="8">
        <v>600</v>
      </c>
      <c r="L210" s="18">
        <v>85</v>
      </c>
      <c r="M210" s="7">
        <f t="shared" si="3"/>
        <v>51000</v>
      </c>
      <c r="N210" s="4"/>
      <c r="O210" s="9"/>
    </row>
    <row r="211" spans="1:15" ht="20" customHeight="1" x14ac:dyDescent="0.2">
      <c r="A211" s="3">
        <v>207</v>
      </c>
      <c r="B211" s="19"/>
      <c r="C211" s="4" t="s">
        <v>4610</v>
      </c>
      <c r="D211" s="4" t="s">
        <v>4395</v>
      </c>
      <c r="E211" s="4" t="s">
        <v>4406</v>
      </c>
      <c r="F211" s="8"/>
      <c r="G211" s="8"/>
      <c r="H211" s="8"/>
      <c r="I211" s="8"/>
      <c r="J211" s="8"/>
      <c r="K211" s="8">
        <v>150</v>
      </c>
      <c r="L211" s="18">
        <v>150</v>
      </c>
      <c r="M211" s="7">
        <f t="shared" si="3"/>
        <v>22500</v>
      </c>
      <c r="N211" s="4"/>
      <c r="O211" s="9"/>
    </row>
    <row r="212" spans="1:15" ht="20" customHeight="1" x14ac:dyDescent="0.2">
      <c r="A212" s="3">
        <v>208</v>
      </c>
      <c r="B212" s="19"/>
      <c r="C212" s="4" t="s">
        <v>4611</v>
      </c>
      <c r="D212" s="4" t="s">
        <v>4395</v>
      </c>
      <c r="E212" s="4" t="s">
        <v>4406</v>
      </c>
      <c r="F212" s="8"/>
      <c r="G212" s="8"/>
      <c r="H212" s="8"/>
      <c r="I212" s="8"/>
      <c r="J212" s="8"/>
      <c r="K212" s="8">
        <v>80</v>
      </c>
      <c r="L212" s="18">
        <v>80</v>
      </c>
      <c r="M212" s="7">
        <f t="shared" si="3"/>
        <v>6400</v>
      </c>
      <c r="N212" s="4"/>
      <c r="O212" s="9"/>
    </row>
    <row r="213" spans="1:15" ht="20" customHeight="1" x14ac:dyDescent="0.2">
      <c r="A213" s="3">
        <v>209</v>
      </c>
      <c r="B213" s="19"/>
      <c r="C213" s="4" t="s">
        <v>4612</v>
      </c>
      <c r="D213" s="4" t="s">
        <v>4395</v>
      </c>
      <c r="E213" s="4" t="s">
        <v>4406</v>
      </c>
      <c r="F213" s="8"/>
      <c r="G213" s="8"/>
      <c r="H213" s="8"/>
      <c r="I213" s="8"/>
      <c r="J213" s="8"/>
      <c r="K213" s="8">
        <v>600</v>
      </c>
      <c r="L213" s="18">
        <v>85</v>
      </c>
      <c r="M213" s="7">
        <f t="shared" si="3"/>
        <v>51000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4613</v>
      </c>
      <c r="D214" s="4" t="s">
        <v>4395</v>
      </c>
      <c r="E214" s="4" t="s">
        <v>4406</v>
      </c>
      <c r="F214" s="8"/>
      <c r="G214" s="8"/>
      <c r="H214" s="8"/>
      <c r="I214" s="8"/>
      <c r="J214" s="8"/>
      <c r="K214" s="8">
        <v>100</v>
      </c>
      <c r="L214" s="18">
        <v>50</v>
      </c>
      <c r="M214" s="7">
        <f t="shared" si="3"/>
        <v>5000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4614</v>
      </c>
      <c r="D215" s="4" t="s">
        <v>4395</v>
      </c>
      <c r="E215" s="4" t="s">
        <v>4406</v>
      </c>
      <c r="F215" s="8"/>
      <c r="G215" s="8"/>
      <c r="H215" s="8"/>
      <c r="I215" s="8"/>
      <c r="J215" s="8"/>
      <c r="K215" s="8">
        <v>1500</v>
      </c>
      <c r="L215" s="18">
        <v>90</v>
      </c>
      <c r="M215" s="7">
        <f t="shared" si="3"/>
        <v>135000</v>
      </c>
      <c r="N215" s="4"/>
      <c r="O215" s="9"/>
    </row>
    <row r="216" spans="1:15" ht="20" customHeight="1" x14ac:dyDescent="0.2">
      <c r="A216" s="3">
        <v>212</v>
      </c>
      <c r="B216" s="19"/>
      <c r="C216" s="4" t="s">
        <v>4615</v>
      </c>
      <c r="D216" s="4" t="s">
        <v>4395</v>
      </c>
      <c r="E216" s="4" t="s">
        <v>4406</v>
      </c>
      <c r="F216" s="8"/>
      <c r="G216" s="8"/>
      <c r="H216" s="8"/>
      <c r="I216" s="8"/>
      <c r="J216" s="8"/>
      <c r="K216" s="8">
        <v>2000</v>
      </c>
      <c r="L216" s="18">
        <v>26</v>
      </c>
      <c r="M216" s="7">
        <f t="shared" si="3"/>
        <v>52000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4616</v>
      </c>
      <c r="D217" s="4" t="s">
        <v>4395</v>
      </c>
      <c r="E217" s="4" t="s">
        <v>4406</v>
      </c>
      <c r="F217" s="8"/>
      <c r="G217" s="8"/>
      <c r="H217" s="8"/>
      <c r="I217" s="8"/>
      <c r="J217" s="8"/>
      <c r="K217" s="8">
        <v>350</v>
      </c>
      <c r="L217" s="18">
        <v>50</v>
      </c>
      <c r="M217" s="7">
        <f t="shared" si="3"/>
        <v>17500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4617</v>
      </c>
      <c r="D218" s="4" t="s">
        <v>4395</v>
      </c>
      <c r="E218" s="4" t="s">
        <v>4406</v>
      </c>
      <c r="F218" s="8"/>
      <c r="G218" s="8"/>
      <c r="H218" s="8"/>
      <c r="I218" s="8"/>
      <c r="J218" s="8"/>
      <c r="K218" s="8">
        <v>350</v>
      </c>
      <c r="L218" s="18">
        <v>120</v>
      </c>
      <c r="M218" s="7">
        <f t="shared" si="3"/>
        <v>42000</v>
      </c>
      <c r="N218" s="4"/>
      <c r="O218" s="9"/>
    </row>
    <row r="219" spans="1:15" ht="20" customHeight="1" x14ac:dyDescent="0.2">
      <c r="A219" s="3">
        <v>215</v>
      </c>
      <c r="B219" s="19"/>
      <c r="C219" s="4" t="s">
        <v>4618</v>
      </c>
      <c r="D219" s="4" t="s">
        <v>4395</v>
      </c>
      <c r="E219" s="4" t="s">
        <v>4406</v>
      </c>
      <c r="F219" s="8"/>
      <c r="G219" s="8"/>
      <c r="H219" s="8"/>
      <c r="I219" s="8"/>
      <c r="J219" s="8"/>
      <c r="K219" s="8">
        <v>2000</v>
      </c>
      <c r="L219" s="18">
        <v>45</v>
      </c>
      <c r="M219" s="7">
        <f t="shared" si="3"/>
        <v>90000</v>
      </c>
      <c r="N219" s="4"/>
      <c r="O219" s="9"/>
    </row>
    <row r="220" spans="1:15" ht="20" customHeight="1" x14ac:dyDescent="0.2">
      <c r="A220" s="3">
        <v>216</v>
      </c>
      <c r="B220" s="19"/>
      <c r="C220" s="4" t="s">
        <v>4619</v>
      </c>
      <c r="D220" s="4" t="s">
        <v>4395</v>
      </c>
      <c r="E220" s="4" t="s">
        <v>4406</v>
      </c>
      <c r="F220" s="8"/>
      <c r="G220" s="8"/>
      <c r="H220" s="8"/>
      <c r="I220" s="8"/>
      <c r="J220" s="8"/>
      <c r="K220" s="8">
        <v>250</v>
      </c>
      <c r="L220" s="18">
        <v>120</v>
      </c>
      <c r="M220" s="7">
        <f t="shared" si="3"/>
        <v>30000</v>
      </c>
      <c r="N220" s="4"/>
      <c r="O220" s="9"/>
    </row>
    <row r="221" spans="1:15" ht="20" customHeight="1" x14ac:dyDescent="0.2">
      <c r="A221" s="3">
        <v>217</v>
      </c>
      <c r="B221" s="19"/>
      <c r="C221" s="4" t="s">
        <v>4620</v>
      </c>
      <c r="D221" s="4" t="s">
        <v>4395</v>
      </c>
      <c r="E221" s="4" t="s">
        <v>4406</v>
      </c>
      <c r="F221" s="8"/>
      <c r="G221" s="8"/>
      <c r="H221" s="8"/>
      <c r="I221" s="8"/>
      <c r="J221" s="8"/>
      <c r="K221" s="8">
        <v>1500</v>
      </c>
      <c r="L221" s="18">
        <v>35</v>
      </c>
      <c r="M221" s="7">
        <f t="shared" si="3"/>
        <v>52500</v>
      </c>
      <c r="N221" s="4"/>
      <c r="O221" s="9"/>
    </row>
    <row r="222" spans="1:15" ht="20" customHeight="1" x14ac:dyDescent="0.2">
      <c r="A222" s="3">
        <v>218</v>
      </c>
      <c r="B222" s="19"/>
      <c r="C222" s="4" t="s">
        <v>4621</v>
      </c>
      <c r="D222" s="4" t="s">
        <v>4395</v>
      </c>
      <c r="E222" s="4" t="s">
        <v>4406</v>
      </c>
      <c r="F222" s="8"/>
      <c r="G222" s="8"/>
      <c r="H222" s="8"/>
      <c r="I222" s="8"/>
      <c r="J222" s="8"/>
      <c r="K222" s="8">
        <v>150</v>
      </c>
      <c r="L222" s="18">
        <v>65</v>
      </c>
      <c r="M222" s="7">
        <f t="shared" si="3"/>
        <v>9750</v>
      </c>
      <c r="N222" s="4"/>
      <c r="O222" s="9"/>
    </row>
    <row r="223" spans="1:15" ht="20" customHeight="1" x14ac:dyDescent="0.2">
      <c r="A223" s="3">
        <v>219</v>
      </c>
      <c r="B223" s="19"/>
      <c r="C223" s="4" t="s">
        <v>4622</v>
      </c>
      <c r="D223" s="4" t="s">
        <v>4395</v>
      </c>
      <c r="E223" s="4" t="s">
        <v>4406</v>
      </c>
      <c r="F223" s="8"/>
      <c r="G223" s="8"/>
      <c r="H223" s="8"/>
      <c r="I223" s="8"/>
      <c r="J223" s="8"/>
      <c r="K223" s="8">
        <v>150</v>
      </c>
      <c r="L223" s="18">
        <v>65</v>
      </c>
      <c r="M223" s="7">
        <f t="shared" si="3"/>
        <v>9750</v>
      </c>
      <c r="N223" s="4"/>
      <c r="O223" s="9"/>
    </row>
    <row r="224" spans="1:15" ht="20" customHeight="1" x14ac:dyDescent="0.2">
      <c r="A224" s="3">
        <v>220</v>
      </c>
      <c r="B224" s="19"/>
      <c r="C224" s="4" t="s">
        <v>4623</v>
      </c>
      <c r="D224" s="4" t="s">
        <v>4395</v>
      </c>
      <c r="E224" s="4" t="s">
        <v>921</v>
      </c>
      <c r="F224" s="8"/>
      <c r="G224" s="8"/>
      <c r="H224" s="8"/>
      <c r="I224" s="8"/>
      <c r="J224" s="8"/>
      <c r="K224" s="8">
        <v>120</v>
      </c>
      <c r="L224" s="18">
        <v>65</v>
      </c>
      <c r="M224" s="7">
        <f t="shared" si="3"/>
        <v>7800</v>
      </c>
      <c r="N224" s="4"/>
      <c r="O224" s="9"/>
    </row>
    <row r="225" spans="1:15" ht="20" customHeight="1" x14ac:dyDescent="0.2">
      <c r="A225" s="3">
        <v>221</v>
      </c>
      <c r="B225" s="19"/>
      <c r="C225" s="4" t="s">
        <v>4624</v>
      </c>
      <c r="D225" s="4" t="s">
        <v>4395</v>
      </c>
      <c r="E225" s="4" t="s">
        <v>4406</v>
      </c>
      <c r="F225" s="8"/>
      <c r="G225" s="8"/>
      <c r="H225" s="8"/>
      <c r="I225" s="8"/>
      <c r="J225" s="8"/>
      <c r="K225" s="8">
        <v>2200</v>
      </c>
      <c r="L225" s="18">
        <v>60</v>
      </c>
      <c r="M225" s="7">
        <f t="shared" si="3"/>
        <v>132000</v>
      </c>
      <c r="N225" s="4"/>
      <c r="O225" s="9"/>
    </row>
    <row r="226" spans="1:15" ht="20" customHeight="1" x14ac:dyDescent="0.2">
      <c r="A226" s="3">
        <v>222</v>
      </c>
      <c r="B226" s="19"/>
      <c r="C226" s="4" t="s">
        <v>4625</v>
      </c>
      <c r="D226" s="4" t="s">
        <v>4395</v>
      </c>
      <c r="E226" s="4" t="s">
        <v>4406</v>
      </c>
      <c r="F226" s="8"/>
      <c r="G226" s="8"/>
      <c r="H226" s="8"/>
      <c r="I226" s="8"/>
      <c r="J226" s="8"/>
      <c r="K226" s="8">
        <v>300</v>
      </c>
      <c r="L226" s="18">
        <v>120</v>
      </c>
      <c r="M226" s="7">
        <f t="shared" si="3"/>
        <v>36000</v>
      </c>
      <c r="N226" s="4"/>
      <c r="O226" s="9"/>
    </row>
    <row r="227" spans="1:15" ht="20" customHeight="1" x14ac:dyDescent="0.2">
      <c r="A227" s="3">
        <v>223</v>
      </c>
      <c r="B227" s="19"/>
      <c r="C227" s="4" t="s">
        <v>4626</v>
      </c>
      <c r="D227" s="4" t="s">
        <v>4395</v>
      </c>
      <c r="E227" s="4" t="s">
        <v>4406</v>
      </c>
      <c r="F227" s="8"/>
      <c r="G227" s="8"/>
      <c r="H227" s="8"/>
      <c r="I227" s="8"/>
      <c r="J227" s="8"/>
      <c r="K227" s="8">
        <v>300</v>
      </c>
      <c r="L227" s="18">
        <v>85</v>
      </c>
      <c r="M227" s="7">
        <f t="shared" si="3"/>
        <v>25500</v>
      </c>
      <c r="N227" s="4"/>
      <c r="O227" s="9"/>
    </row>
    <row r="228" spans="1:15" ht="20" customHeight="1" x14ac:dyDescent="0.2">
      <c r="A228" s="3">
        <v>224</v>
      </c>
      <c r="B228" s="19"/>
      <c r="C228" s="4" t="s">
        <v>4627</v>
      </c>
      <c r="D228" s="4" t="s">
        <v>4395</v>
      </c>
      <c r="E228" s="4" t="s">
        <v>4406</v>
      </c>
      <c r="F228" s="8"/>
      <c r="G228" s="8"/>
      <c r="H228" s="8"/>
      <c r="I228" s="8"/>
      <c r="J228" s="8"/>
      <c r="K228" s="8">
        <v>150</v>
      </c>
      <c r="L228" s="18">
        <v>90</v>
      </c>
      <c r="M228" s="7">
        <f t="shared" si="3"/>
        <v>13500</v>
      </c>
      <c r="N228" s="4"/>
      <c r="O228" s="9"/>
    </row>
    <row r="229" spans="1:15" ht="20" customHeight="1" x14ac:dyDescent="0.2">
      <c r="A229" s="3">
        <v>225</v>
      </c>
      <c r="B229" s="19"/>
      <c r="C229" s="4" t="s">
        <v>4628</v>
      </c>
      <c r="D229" s="4" t="s">
        <v>4395</v>
      </c>
      <c r="E229" s="4" t="s">
        <v>4406</v>
      </c>
      <c r="F229" s="8"/>
      <c r="G229" s="8"/>
      <c r="H229" s="8"/>
      <c r="I229" s="8"/>
      <c r="J229" s="8"/>
      <c r="K229" s="8">
        <v>50</v>
      </c>
      <c r="L229" s="18">
        <v>65</v>
      </c>
      <c r="M229" s="7">
        <f t="shared" si="3"/>
        <v>3250</v>
      </c>
      <c r="N229" s="4"/>
      <c r="O229" s="9"/>
    </row>
    <row r="230" spans="1:15" ht="20" customHeight="1" x14ac:dyDescent="0.2">
      <c r="A230" s="3">
        <v>226</v>
      </c>
      <c r="B230" s="19"/>
      <c r="C230" s="4" t="s">
        <v>4629</v>
      </c>
      <c r="D230" s="4" t="s">
        <v>4395</v>
      </c>
      <c r="E230" s="4" t="s">
        <v>4406</v>
      </c>
      <c r="F230" s="8"/>
      <c r="G230" s="8"/>
      <c r="H230" s="8"/>
      <c r="I230" s="8"/>
      <c r="J230" s="8"/>
      <c r="K230" s="8">
        <v>50</v>
      </c>
      <c r="L230" s="18">
        <v>100</v>
      </c>
      <c r="M230" s="7">
        <f t="shared" si="3"/>
        <v>5000</v>
      </c>
      <c r="N230" s="4"/>
      <c r="O230" s="9"/>
    </row>
    <row r="231" spans="1:15" ht="20" customHeight="1" x14ac:dyDescent="0.2">
      <c r="A231" s="3">
        <v>227</v>
      </c>
      <c r="B231" s="19"/>
      <c r="C231" s="4" t="s">
        <v>4630</v>
      </c>
      <c r="D231" s="4" t="s">
        <v>4395</v>
      </c>
      <c r="E231" s="4" t="s">
        <v>4406</v>
      </c>
      <c r="F231" s="8"/>
      <c r="G231" s="8"/>
      <c r="H231" s="8"/>
      <c r="I231" s="8"/>
      <c r="J231" s="8"/>
      <c r="K231" s="8">
        <v>80</v>
      </c>
      <c r="L231" s="18">
        <v>120</v>
      </c>
      <c r="M231" s="7">
        <f t="shared" si="3"/>
        <v>9600</v>
      </c>
      <c r="N231" s="4"/>
      <c r="O231" s="9"/>
    </row>
    <row r="232" spans="1:15" ht="20" customHeight="1" x14ac:dyDescent="0.2">
      <c r="A232" s="3">
        <v>228</v>
      </c>
      <c r="B232" s="19"/>
      <c r="C232" s="4" t="s">
        <v>4631</v>
      </c>
      <c r="D232" s="4" t="s">
        <v>4395</v>
      </c>
      <c r="E232" s="4" t="s">
        <v>4406</v>
      </c>
      <c r="F232" s="8"/>
      <c r="G232" s="8"/>
      <c r="H232" s="8"/>
      <c r="I232" s="8"/>
      <c r="J232" s="8"/>
      <c r="K232" s="8">
        <v>50</v>
      </c>
      <c r="L232" s="18">
        <v>120</v>
      </c>
      <c r="M232" s="7">
        <f t="shared" si="3"/>
        <v>6000</v>
      </c>
      <c r="N232" s="4"/>
      <c r="O232" s="9"/>
    </row>
    <row r="233" spans="1:15" ht="20" customHeight="1" x14ac:dyDescent="0.2">
      <c r="A233" s="3">
        <v>229</v>
      </c>
      <c r="B233" s="19"/>
      <c r="C233" s="4" t="s">
        <v>4632</v>
      </c>
      <c r="D233" s="4" t="s">
        <v>4395</v>
      </c>
      <c r="E233" s="4" t="s">
        <v>4406</v>
      </c>
      <c r="F233" s="8"/>
      <c r="G233" s="8"/>
      <c r="H233" s="8"/>
      <c r="I233" s="8"/>
      <c r="J233" s="8"/>
      <c r="K233" s="8">
        <v>50</v>
      </c>
      <c r="L233" s="18">
        <v>320</v>
      </c>
      <c r="M233" s="7">
        <f t="shared" si="3"/>
        <v>16000</v>
      </c>
      <c r="N233" s="4"/>
      <c r="O233" s="9"/>
    </row>
    <row r="234" spans="1:15" ht="20" customHeight="1" x14ac:dyDescent="0.2">
      <c r="A234" s="3">
        <v>230</v>
      </c>
      <c r="B234" s="19"/>
      <c r="C234" s="4" t="s">
        <v>4633</v>
      </c>
      <c r="D234" s="4" t="s">
        <v>4395</v>
      </c>
      <c r="E234" s="4" t="s">
        <v>4406</v>
      </c>
      <c r="F234" s="8"/>
      <c r="G234" s="8"/>
      <c r="H234" s="8"/>
      <c r="I234" s="8"/>
      <c r="J234" s="8"/>
      <c r="K234" s="8">
        <v>2200</v>
      </c>
      <c r="L234" s="18">
        <v>42</v>
      </c>
      <c r="M234" s="7">
        <f t="shared" si="3"/>
        <v>92400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4634</v>
      </c>
      <c r="D235" s="4" t="s">
        <v>4395</v>
      </c>
      <c r="E235" s="4" t="s">
        <v>4406</v>
      </c>
      <c r="F235" s="8"/>
      <c r="G235" s="8"/>
      <c r="H235" s="8"/>
      <c r="I235" s="8"/>
      <c r="J235" s="8"/>
      <c r="K235" s="8">
        <v>200</v>
      </c>
      <c r="L235" s="18">
        <v>80</v>
      </c>
      <c r="M235" s="7">
        <f t="shared" si="3"/>
        <v>16000</v>
      </c>
      <c r="N235" s="4"/>
      <c r="O235" s="9"/>
    </row>
    <row r="236" spans="1:15" ht="20" customHeight="1" x14ac:dyDescent="0.2">
      <c r="A236" s="3">
        <v>232</v>
      </c>
      <c r="B236" s="19"/>
      <c r="C236" s="4" t="s">
        <v>4635</v>
      </c>
      <c r="D236" s="4" t="s">
        <v>4395</v>
      </c>
      <c r="E236" s="4" t="s">
        <v>4406</v>
      </c>
      <c r="F236" s="8"/>
      <c r="G236" s="8"/>
      <c r="H236" s="8"/>
      <c r="I236" s="8"/>
      <c r="J236" s="8"/>
      <c r="K236" s="8">
        <v>150</v>
      </c>
      <c r="L236" s="18">
        <v>80</v>
      </c>
      <c r="M236" s="7">
        <f t="shared" si="3"/>
        <v>12000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4636</v>
      </c>
      <c r="D237" s="4" t="s">
        <v>4395</v>
      </c>
      <c r="E237" s="4" t="s">
        <v>4406</v>
      </c>
      <c r="F237" s="8"/>
      <c r="G237" s="8"/>
      <c r="H237" s="8"/>
      <c r="I237" s="8"/>
      <c r="J237" s="8"/>
      <c r="K237" s="8">
        <v>50</v>
      </c>
      <c r="L237" s="18">
        <v>85</v>
      </c>
      <c r="M237" s="7">
        <f t="shared" si="3"/>
        <v>4250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4637</v>
      </c>
      <c r="D238" s="4" t="s">
        <v>4395</v>
      </c>
      <c r="E238" s="4" t="s">
        <v>4406</v>
      </c>
      <c r="F238" s="8"/>
      <c r="G238" s="8"/>
      <c r="H238" s="8"/>
      <c r="I238" s="8"/>
      <c r="J238" s="8"/>
      <c r="K238" s="8">
        <v>1200</v>
      </c>
      <c r="L238" s="18">
        <v>105</v>
      </c>
      <c r="M238" s="7">
        <f t="shared" si="3"/>
        <v>126000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4638</v>
      </c>
      <c r="D239" s="4" t="s">
        <v>4395</v>
      </c>
      <c r="E239" s="4" t="s">
        <v>4406</v>
      </c>
      <c r="F239" s="8"/>
      <c r="G239" s="8"/>
      <c r="H239" s="8"/>
      <c r="I239" s="8"/>
      <c r="J239" s="8"/>
      <c r="K239" s="8">
        <v>800</v>
      </c>
      <c r="L239" s="18">
        <v>85</v>
      </c>
      <c r="M239" s="7">
        <f t="shared" si="3"/>
        <v>68000</v>
      </c>
      <c r="N239" s="4"/>
      <c r="O239" s="9"/>
    </row>
    <row r="240" spans="1:15" ht="20" customHeight="1" x14ac:dyDescent="0.2">
      <c r="A240" s="3">
        <v>236</v>
      </c>
      <c r="B240" s="19"/>
      <c r="C240" s="4" t="s">
        <v>4639</v>
      </c>
      <c r="D240" s="4" t="s">
        <v>4395</v>
      </c>
      <c r="E240" s="4" t="s">
        <v>4406</v>
      </c>
      <c r="F240" s="8"/>
      <c r="G240" s="8"/>
      <c r="H240" s="8"/>
      <c r="I240" s="8"/>
      <c r="J240" s="8"/>
      <c r="K240" s="8">
        <v>5500</v>
      </c>
      <c r="L240" s="18">
        <v>30</v>
      </c>
      <c r="M240" s="7">
        <f t="shared" si="3"/>
        <v>165000</v>
      </c>
      <c r="N240" s="4"/>
      <c r="O240" s="9"/>
    </row>
    <row r="241" spans="1:15" ht="20" customHeight="1" x14ac:dyDescent="0.2">
      <c r="A241" s="3">
        <v>237</v>
      </c>
      <c r="B241" s="19"/>
      <c r="C241" s="4" t="s">
        <v>4640</v>
      </c>
      <c r="D241" s="4" t="s">
        <v>4395</v>
      </c>
      <c r="E241" s="4" t="s">
        <v>4406</v>
      </c>
      <c r="F241" s="8"/>
      <c r="G241" s="8"/>
      <c r="H241" s="8"/>
      <c r="I241" s="8"/>
      <c r="J241" s="8"/>
      <c r="K241" s="8">
        <v>3000</v>
      </c>
      <c r="L241" s="18">
        <v>25</v>
      </c>
      <c r="M241" s="7">
        <f t="shared" si="3"/>
        <v>75000</v>
      </c>
      <c r="N241" s="4"/>
      <c r="O241" s="9"/>
    </row>
    <row r="242" spans="1:15" ht="20" customHeight="1" x14ac:dyDescent="0.2">
      <c r="A242" s="3">
        <v>238</v>
      </c>
      <c r="B242" s="19"/>
      <c r="C242" s="4" t="s">
        <v>4641</v>
      </c>
      <c r="D242" s="4" t="s">
        <v>4395</v>
      </c>
      <c r="E242" s="4" t="s">
        <v>4406</v>
      </c>
      <c r="F242" s="8"/>
      <c r="G242" s="8"/>
      <c r="H242" s="8"/>
      <c r="I242" s="8"/>
      <c r="J242" s="8"/>
      <c r="K242" s="8">
        <v>80</v>
      </c>
      <c r="L242" s="18">
        <v>110</v>
      </c>
      <c r="M242" s="7">
        <f t="shared" si="3"/>
        <v>8800</v>
      </c>
      <c r="N242" s="4"/>
      <c r="O242" s="9"/>
    </row>
    <row r="243" spans="1:15" ht="20" customHeight="1" x14ac:dyDescent="0.2">
      <c r="A243" s="3">
        <v>239</v>
      </c>
      <c r="B243" s="19"/>
      <c r="C243" s="4" t="s">
        <v>4642</v>
      </c>
      <c r="D243" s="4" t="s">
        <v>4395</v>
      </c>
      <c r="E243" s="4" t="s">
        <v>4406</v>
      </c>
      <c r="F243" s="8"/>
      <c r="G243" s="8"/>
      <c r="H243" s="8"/>
      <c r="I243" s="8"/>
      <c r="J243" s="8"/>
      <c r="K243" s="8">
        <v>1300</v>
      </c>
      <c r="L243" s="18">
        <v>25</v>
      </c>
      <c r="M243" s="7">
        <f t="shared" si="3"/>
        <v>32500</v>
      </c>
      <c r="N243" s="4"/>
      <c r="O243" s="9"/>
    </row>
    <row r="244" spans="1:15" ht="20" customHeight="1" x14ac:dyDescent="0.2">
      <c r="A244" s="3">
        <v>240</v>
      </c>
      <c r="B244" s="19"/>
      <c r="C244" s="4" t="s">
        <v>4643</v>
      </c>
      <c r="D244" s="4" t="s">
        <v>4395</v>
      </c>
      <c r="E244" s="4" t="s">
        <v>4406</v>
      </c>
      <c r="F244" s="8"/>
      <c r="G244" s="8"/>
      <c r="H244" s="8"/>
      <c r="I244" s="8"/>
      <c r="J244" s="8"/>
      <c r="K244" s="8">
        <v>1200</v>
      </c>
      <c r="L244" s="18">
        <v>30</v>
      </c>
      <c r="M244" s="7">
        <f t="shared" si="3"/>
        <v>36000</v>
      </c>
      <c r="N244" s="4"/>
      <c r="O244" s="9"/>
    </row>
    <row r="245" spans="1:15" ht="20" customHeight="1" x14ac:dyDescent="0.2">
      <c r="A245" s="3">
        <v>241</v>
      </c>
      <c r="B245" s="19"/>
      <c r="C245" s="4" t="s">
        <v>4644</v>
      </c>
      <c r="D245" s="4" t="s">
        <v>4395</v>
      </c>
      <c r="E245" s="4" t="s">
        <v>4406</v>
      </c>
      <c r="F245" s="8"/>
      <c r="G245" s="8"/>
      <c r="H245" s="8"/>
      <c r="I245" s="8"/>
      <c r="J245" s="8"/>
      <c r="K245" s="8">
        <v>1000</v>
      </c>
      <c r="L245" s="18">
        <v>35</v>
      </c>
      <c r="M245" s="7">
        <f t="shared" si="3"/>
        <v>35000</v>
      </c>
      <c r="N245" s="4"/>
      <c r="O245" s="9"/>
    </row>
    <row r="246" spans="1:15" ht="20" customHeight="1" x14ac:dyDescent="0.2">
      <c r="A246" s="3">
        <v>242</v>
      </c>
      <c r="B246" s="19"/>
      <c r="C246" s="4" t="s">
        <v>4645</v>
      </c>
      <c r="D246" s="4" t="s">
        <v>4395</v>
      </c>
      <c r="E246" s="4" t="s">
        <v>4406</v>
      </c>
      <c r="F246" s="8"/>
      <c r="G246" s="8"/>
      <c r="H246" s="8"/>
      <c r="I246" s="8"/>
      <c r="J246" s="8"/>
      <c r="K246" s="8">
        <v>4000</v>
      </c>
      <c r="L246" s="18">
        <v>35</v>
      </c>
      <c r="M246" s="7">
        <f t="shared" si="3"/>
        <v>140000</v>
      </c>
      <c r="N246" s="4"/>
      <c r="O246" s="9"/>
    </row>
    <row r="247" spans="1:15" ht="20" customHeight="1" x14ac:dyDescent="0.2">
      <c r="A247" s="3">
        <v>243</v>
      </c>
      <c r="B247" s="19"/>
      <c r="C247" s="4" t="s">
        <v>4646</v>
      </c>
      <c r="D247" s="4" t="s">
        <v>4395</v>
      </c>
      <c r="E247" s="4" t="s">
        <v>4406</v>
      </c>
      <c r="F247" s="8"/>
      <c r="G247" s="8"/>
      <c r="H247" s="8"/>
      <c r="I247" s="8"/>
      <c r="J247" s="8"/>
      <c r="K247" s="8">
        <v>2500</v>
      </c>
      <c r="L247" s="18">
        <v>55</v>
      </c>
      <c r="M247" s="7">
        <f t="shared" si="3"/>
        <v>137500</v>
      </c>
      <c r="N247" s="4"/>
      <c r="O247" s="9"/>
    </row>
    <row r="248" spans="1:15" ht="20" customHeight="1" x14ac:dyDescent="0.2">
      <c r="A248" s="3">
        <v>244</v>
      </c>
      <c r="B248" s="19"/>
      <c r="C248" s="4" t="s">
        <v>4647</v>
      </c>
      <c r="D248" s="4" t="s">
        <v>4395</v>
      </c>
      <c r="E248" s="4" t="s">
        <v>4406</v>
      </c>
      <c r="F248" s="8"/>
      <c r="G248" s="8"/>
      <c r="H248" s="8"/>
      <c r="I248" s="8"/>
      <c r="J248" s="8"/>
      <c r="K248" s="8">
        <v>1500</v>
      </c>
      <c r="L248" s="18">
        <v>30</v>
      </c>
      <c r="M248" s="7">
        <f t="shared" si="3"/>
        <v>45000</v>
      </c>
      <c r="N248" s="4"/>
      <c r="O248" s="9"/>
    </row>
    <row r="249" spans="1:15" ht="20" customHeight="1" x14ac:dyDescent="0.2">
      <c r="A249" s="3">
        <v>245</v>
      </c>
      <c r="B249" s="19"/>
      <c r="C249" s="4" t="s">
        <v>4648</v>
      </c>
      <c r="D249" s="4" t="s">
        <v>4395</v>
      </c>
      <c r="E249" s="4" t="s">
        <v>4406</v>
      </c>
      <c r="F249" s="8"/>
      <c r="G249" s="8"/>
      <c r="H249" s="8"/>
      <c r="I249" s="8"/>
      <c r="J249" s="8"/>
      <c r="K249" s="8">
        <v>5000</v>
      </c>
      <c r="L249" s="18">
        <v>30</v>
      </c>
      <c r="M249" s="7">
        <f t="shared" si="3"/>
        <v>150000</v>
      </c>
      <c r="N249" s="4"/>
      <c r="O249" s="9"/>
    </row>
    <row r="250" spans="1:15" ht="20" customHeight="1" x14ac:dyDescent="0.2">
      <c r="A250" s="3">
        <v>246</v>
      </c>
      <c r="B250" s="19"/>
      <c r="C250" s="4" t="s">
        <v>4649</v>
      </c>
      <c r="D250" s="4" t="s">
        <v>4395</v>
      </c>
      <c r="E250" s="4" t="s">
        <v>4406</v>
      </c>
      <c r="F250" s="8"/>
      <c r="G250" s="8"/>
      <c r="H250" s="8"/>
      <c r="I250" s="8"/>
      <c r="J250" s="8"/>
      <c r="K250" s="8">
        <v>150</v>
      </c>
      <c r="L250" s="18">
        <v>45</v>
      </c>
      <c r="M250" s="7">
        <f t="shared" si="3"/>
        <v>6750</v>
      </c>
      <c r="N250" s="4"/>
      <c r="O250" s="9"/>
    </row>
    <row r="251" spans="1:15" ht="20" customHeight="1" x14ac:dyDescent="0.2">
      <c r="A251" s="3">
        <v>247</v>
      </c>
      <c r="B251" s="19"/>
      <c r="C251" s="4" t="s">
        <v>4650</v>
      </c>
      <c r="D251" s="4" t="s">
        <v>4395</v>
      </c>
      <c r="E251" s="4" t="s">
        <v>4406</v>
      </c>
      <c r="F251" s="8"/>
      <c r="G251" s="8"/>
      <c r="H251" s="8"/>
      <c r="I251" s="8"/>
      <c r="J251" s="8"/>
      <c r="K251" s="8">
        <v>450</v>
      </c>
      <c r="L251" s="18">
        <v>60</v>
      </c>
      <c r="M251" s="7">
        <f t="shared" si="3"/>
        <v>27000</v>
      </c>
      <c r="N251" s="4"/>
      <c r="O251" s="9"/>
    </row>
    <row r="252" spans="1:15" ht="20" customHeight="1" x14ac:dyDescent="0.2">
      <c r="A252" s="3">
        <v>248</v>
      </c>
      <c r="B252" s="19"/>
      <c r="C252" s="4" t="s">
        <v>4651</v>
      </c>
      <c r="D252" s="4" t="s">
        <v>4395</v>
      </c>
      <c r="E252" s="4" t="s">
        <v>4406</v>
      </c>
      <c r="F252" s="8"/>
      <c r="G252" s="8"/>
      <c r="H252" s="8"/>
      <c r="I252" s="8"/>
      <c r="J252" s="8"/>
      <c r="K252" s="8">
        <v>300</v>
      </c>
      <c r="L252" s="18">
        <v>60</v>
      </c>
      <c r="M252" s="7">
        <f t="shared" si="3"/>
        <v>18000</v>
      </c>
      <c r="N252" s="4"/>
      <c r="O252" s="9"/>
    </row>
    <row r="253" spans="1:15" ht="20" customHeight="1" x14ac:dyDescent="0.2">
      <c r="A253" s="3">
        <v>249</v>
      </c>
      <c r="B253" s="19"/>
      <c r="C253" s="4" t="s">
        <v>4652</v>
      </c>
      <c r="D253" s="4" t="s">
        <v>4395</v>
      </c>
      <c r="E253" s="4" t="s">
        <v>4406</v>
      </c>
      <c r="F253" s="8"/>
      <c r="G253" s="8"/>
      <c r="H253" s="8"/>
      <c r="I253" s="8"/>
      <c r="J253" s="8"/>
      <c r="K253" s="8">
        <v>100</v>
      </c>
      <c r="L253" s="18">
        <v>60</v>
      </c>
      <c r="M253" s="7">
        <f t="shared" si="3"/>
        <v>6000</v>
      </c>
      <c r="N253" s="4"/>
      <c r="O253" s="9"/>
    </row>
    <row r="254" spans="1:15" ht="20" customHeight="1" x14ac:dyDescent="0.2">
      <c r="A254" s="3">
        <v>250</v>
      </c>
      <c r="B254" s="19"/>
      <c r="C254" s="4" t="s">
        <v>4653</v>
      </c>
      <c r="D254" s="4" t="s">
        <v>4395</v>
      </c>
      <c r="E254" s="4" t="s">
        <v>4406</v>
      </c>
      <c r="F254" s="8"/>
      <c r="G254" s="8"/>
      <c r="H254" s="8"/>
      <c r="I254" s="8"/>
      <c r="J254" s="8"/>
      <c r="K254" s="8">
        <v>100</v>
      </c>
      <c r="L254" s="18">
        <v>120</v>
      </c>
      <c r="M254" s="7">
        <f t="shared" si="3"/>
        <v>12000</v>
      </c>
      <c r="N254" s="4"/>
      <c r="O254" s="9"/>
    </row>
    <row r="255" spans="1:15" ht="20" customHeight="1" x14ac:dyDescent="0.2">
      <c r="A255" s="3">
        <v>251</v>
      </c>
      <c r="B255" s="19"/>
      <c r="C255" s="4" t="s">
        <v>4654</v>
      </c>
      <c r="D255" s="4" t="s">
        <v>4395</v>
      </c>
      <c r="E255" s="4" t="s">
        <v>4406</v>
      </c>
      <c r="F255" s="8"/>
      <c r="G255" s="8"/>
      <c r="H255" s="8"/>
      <c r="I255" s="8"/>
      <c r="J255" s="8"/>
      <c r="K255" s="8">
        <v>100</v>
      </c>
      <c r="L255" s="18">
        <v>70</v>
      </c>
      <c r="M255" s="7">
        <f t="shared" si="3"/>
        <v>7000</v>
      </c>
      <c r="N255" s="4"/>
      <c r="O255" s="9"/>
    </row>
    <row r="256" spans="1:15" ht="20" customHeight="1" x14ac:dyDescent="0.2">
      <c r="A256" s="3">
        <v>252</v>
      </c>
      <c r="B256" s="19"/>
      <c r="C256" s="4" t="s">
        <v>4655</v>
      </c>
      <c r="D256" s="4" t="s">
        <v>4395</v>
      </c>
      <c r="E256" s="4" t="s">
        <v>4406</v>
      </c>
      <c r="F256" s="8"/>
      <c r="G256" s="8"/>
      <c r="H256" s="8"/>
      <c r="I256" s="8"/>
      <c r="J256" s="8"/>
      <c r="K256" s="8">
        <v>500</v>
      </c>
      <c r="L256" s="18">
        <v>30</v>
      </c>
      <c r="M256" s="7">
        <f t="shared" si="3"/>
        <v>15000</v>
      </c>
      <c r="N256" s="4"/>
      <c r="O256" s="9"/>
    </row>
    <row r="257" spans="1:15" ht="20" customHeight="1" x14ac:dyDescent="0.2">
      <c r="A257" s="3">
        <v>253</v>
      </c>
      <c r="B257" s="19"/>
      <c r="C257" s="4" t="s">
        <v>4656</v>
      </c>
      <c r="D257" s="4" t="s">
        <v>4395</v>
      </c>
      <c r="E257" s="4" t="s">
        <v>4406</v>
      </c>
      <c r="F257" s="8"/>
      <c r="G257" s="8"/>
      <c r="H257" s="8"/>
      <c r="I257" s="8"/>
      <c r="J257" s="8"/>
      <c r="K257" s="8">
        <v>350</v>
      </c>
      <c r="L257" s="18">
        <v>100</v>
      </c>
      <c r="M257" s="7">
        <f t="shared" si="3"/>
        <v>35000</v>
      </c>
      <c r="N257" s="4"/>
      <c r="O257" s="9"/>
    </row>
    <row r="258" spans="1:15" ht="20" customHeight="1" x14ac:dyDescent="0.2">
      <c r="A258" s="3">
        <v>254</v>
      </c>
      <c r="B258" s="19"/>
      <c r="C258" s="4" t="s">
        <v>4657</v>
      </c>
      <c r="D258" s="4" t="s">
        <v>4395</v>
      </c>
      <c r="E258" s="4" t="s">
        <v>4406</v>
      </c>
      <c r="F258" s="8"/>
      <c r="G258" s="8"/>
      <c r="H258" s="8"/>
      <c r="I258" s="8"/>
      <c r="J258" s="8"/>
      <c r="K258" s="8">
        <v>1300</v>
      </c>
      <c r="L258" s="18">
        <v>35</v>
      </c>
      <c r="M258" s="7">
        <f t="shared" si="3"/>
        <v>45500</v>
      </c>
      <c r="N258" s="4"/>
      <c r="O258" s="9"/>
    </row>
    <row r="259" spans="1:15" ht="20" customHeight="1" x14ac:dyDescent="0.2">
      <c r="A259" s="3">
        <v>255</v>
      </c>
      <c r="B259" s="19"/>
      <c r="C259" s="4" t="s">
        <v>4658</v>
      </c>
      <c r="D259" s="4" t="s">
        <v>4395</v>
      </c>
      <c r="E259" s="4" t="s">
        <v>4406</v>
      </c>
      <c r="F259" s="8"/>
      <c r="G259" s="8"/>
      <c r="H259" s="8"/>
      <c r="I259" s="8"/>
      <c r="J259" s="8"/>
      <c r="K259" s="8">
        <v>950</v>
      </c>
      <c r="L259" s="18">
        <v>65</v>
      </c>
      <c r="M259" s="7">
        <f t="shared" si="3"/>
        <v>61750</v>
      </c>
      <c r="N259" s="4"/>
      <c r="O259" s="9"/>
    </row>
    <row r="260" spans="1:15" ht="20" customHeight="1" x14ac:dyDescent="0.2">
      <c r="A260" s="3">
        <v>256</v>
      </c>
      <c r="B260" s="19"/>
      <c r="C260" s="4" t="s">
        <v>4659</v>
      </c>
      <c r="D260" s="4" t="s">
        <v>4395</v>
      </c>
      <c r="E260" s="4" t="s">
        <v>4406</v>
      </c>
      <c r="F260" s="8"/>
      <c r="G260" s="8"/>
      <c r="H260" s="8"/>
      <c r="I260" s="8"/>
      <c r="J260" s="8"/>
      <c r="K260" s="8">
        <v>200</v>
      </c>
      <c r="L260" s="18">
        <v>170</v>
      </c>
      <c r="M260" s="7">
        <f t="shared" si="3"/>
        <v>34000</v>
      </c>
      <c r="N260" s="4"/>
      <c r="O260" s="9"/>
    </row>
    <row r="261" spans="1:15" ht="20" customHeight="1" x14ac:dyDescent="0.2">
      <c r="A261" s="3">
        <v>257</v>
      </c>
      <c r="B261" s="19"/>
      <c r="C261" s="4" t="s">
        <v>4660</v>
      </c>
      <c r="D261" s="4" t="s">
        <v>4395</v>
      </c>
      <c r="E261" s="4" t="s">
        <v>4406</v>
      </c>
      <c r="F261" s="8"/>
      <c r="G261" s="8"/>
      <c r="H261" s="8"/>
      <c r="I261" s="8"/>
      <c r="J261" s="8"/>
      <c r="K261" s="8">
        <v>250</v>
      </c>
      <c r="L261" s="18">
        <v>65</v>
      </c>
      <c r="M261" s="7">
        <f t="shared" ref="M261:M324" si="4">IF(OR(K261="",L261=""),"",K261*L261)</f>
        <v>16250</v>
      </c>
      <c r="N261" s="4"/>
      <c r="O261" s="9"/>
    </row>
    <row r="262" spans="1:15" ht="20" customHeight="1" x14ac:dyDescent="0.2">
      <c r="A262" s="3">
        <v>258</v>
      </c>
      <c r="B262" s="19"/>
      <c r="C262" s="4" t="s">
        <v>4661</v>
      </c>
      <c r="D262" s="4" t="s">
        <v>4395</v>
      </c>
      <c r="E262" s="4" t="s">
        <v>4406</v>
      </c>
      <c r="F262" s="8"/>
      <c r="G262" s="8"/>
      <c r="H262" s="8"/>
      <c r="I262" s="8"/>
      <c r="J262" s="8"/>
      <c r="K262" s="8">
        <v>150</v>
      </c>
      <c r="L262" s="18">
        <v>150</v>
      </c>
      <c r="M262" s="7">
        <f t="shared" si="4"/>
        <v>22500</v>
      </c>
      <c r="N262" s="4"/>
      <c r="O262" s="9"/>
    </row>
    <row r="263" spans="1:15" ht="20" customHeight="1" x14ac:dyDescent="0.2">
      <c r="A263" s="3">
        <v>259</v>
      </c>
      <c r="B263" s="19"/>
      <c r="C263" s="4" t="s">
        <v>4662</v>
      </c>
      <c r="D263" s="4" t="s">
        <v>4395</v>
      </c>
      <c r="E263" s="4" t="s">
        <v>4406</v>
      </c>
      <c r="F263" s="8"/>
      <c r="G263" s="8"/>
      <c r="H263" s="8"/>
      <c r="I263" s="8"/>
      <c r="J263" s="8"/>
      <c r="K263" s="8">
        <v>250</v>
      </c>
      <c r="L263" s="18">
        <v>105</v>
      </c>
      <c r="M263" s="7">
        <f t="shared" si="4"/>
        <v>26250</v>
      </c>
      <c r="N263" s="4"/>
      <c r="O263" s="9"/>
    </row>
    <row r="264" spans="1:15" ht="20" customHeight="1" x14ac:dyDescent="0.2">
      <c r="A264" s="3">
        <v>260</v>
      </c>
      <c r="B264" s="19"/>
      <c r="C264" s="4" t="s">
        <v>4663</v>
      </c>
      <c r="D264" s="4" t="s">
        <v>4395</v>
      </c>
      <c r="E264" s="4" t="s">
        <v>133</v>
      </c>
      <c r="F264" s="8"/>
      <c r="G264" s="8"/>
      <c r="H264" s="8"/>
      <c r="I264" s="8"/>
      <c r="J264" s="8"/>
      <c r="K264" s="8">
        <v>20</v>
      </c>
      <c r="L264" s="18">
        <v>15</v>
      </c>
      <c r="M264" s="7">
        <f t="shared" si="4"/>
        <v>300</v>
      </c>
      <c r="N264" s="4"/>
      <c r="O264" s="9"/>
    </row>
    <row r="265" spans="1:15" ht="20" customHeight="1" x14ac:dyDescent="0.2">
      <c r="A265" s="3">
        <v>261</v>
      </c>
      <c r="B265" s="19"/>
      <c r="C265" s="4" t="s">
        <v>4664</v>
      </c>
      <c r="D265" s="4" t="s">
        <v>4395</v>
      </c>
      <c r="E265" s="4" t="s">
        <v>133</v>
      </c>
      <c r="F265" s="8"/>
      <c r="G265" s="8"/>
      <c r="H265" s="8"/>
      <c r="I265" s="8"/>
      <c r="J265" s="8"/>
      <c r="K265" s="8">
        <v>300</v>
      </c>
      <c r="L265" s="18">
        <v>16</v>
      </c>
      <c r="M265" s="7">
        <f t="shared" si="4"/>
        <v>4800</v>
      </c>
      <c r="N265" s="4"/>
      <c r="O265" s="9"/>
    </row>
    <row r="266" spans="1:15" ht="20" customHeight="1" x14ac:dyDescent="0.2">
      <c r="A266" s="3">
        <v>262</v>
      </c>
      <c r="B266" s="19"/>
      <c r="C266" s="4" t="s">
        <v>4665</v>
      </c>
      <c r="D266" s="4" t="s">
        <v>4395</v>
      </c>
      <c r="E266" s="4" t="s">
        <v>229</v>
      </c>
      <c r="F266" s="8"/>
      <c r="G266" s="8"/>
      <c r="H266" s="8"/>
      <c r="I266" s="8"/>
      <c r="J266" s="8"/>
      <c r="K266" s="8">
        <v>10</v>
      </c>
      <c r="L266" s="18">
        <v>450</v>
      </c>
      <c r="M266" s="7">
        <f t="shared" si="4"/>
        <v>4500</v>
      </c>
      <c r="N266" s="4"/>
      <c r="O266" s="9"/>
    </row>
    <row r="267" spans="1:15" ht="20" customHeight="1" x14ac:dyDescent="0.2">
      <c r="A267" s="3">
        <v>263</v>
      </c>
      <c r="B267" s="19"/>
      <c r="C267" s="4" t="s">
        <v>4666</v>
      </c>
      <c r="D267" s="4" t="s">
        <v>4395</v>
      </c>
      <c r="E267" s="4" t="s">
        <v>133</v>
      </c>
      <c r="F267" s="8"/>
      <c r="G267" s="8"/>
      <c r="H267" s="8"/>
      <c r="I267" s="8"/>
      <c r="J267" s="8"/>
      <c r="K267" s="8">
        <v>85</v>
      </c>
      <c r="L267" s="18">
        <v>16</v>
      </c>
      <c r="M267" s="7">
        <f t="shared" si="4"/>
        <v>1360</v>
      </c>
      <c r="N267" s="4"/>
      <c r="O267" s="9"/>
    </row>
    <row r="268" spans="1:15" ht="20" customHeight="1" x14ac:dyDescent="0.2">
      <c r="A268" s="3">
        <v>264</v>
      </c>
      <c r="B268" s="19"/>
      <c r="C268" s="4" t="s">
        <v>4667</v>
      </c>
      <c r="D268" s="4" t="s">
        <v>4395</v>
      </c>
      <c r="E268" s="4" t="s">
        <v>229</v>
      </c>
      <c r="F268" s="8"/>
      <c r="G268" s="8"/>
      <c r="H268" s="8"/>
      <c r="I268" s="8"/>
      <c r="J268" s="8"/>
      <c r="K268" s="8">
        <v>10</v>
      </c>
      <c r="L268" s="18">
        <v>450</v>
      </c>
      <c r="M268" s="7">
        <f t="shared" si="4"/>
        <v>4500</v>
      </c>
      <c r="N268" s="4"/>
      <c r="O268" s="9"/>
    </row>
    <row r="269" spans="1:15" ht="20" customHeight="1" x14ac:dyDescent="0.2">
      <c r="A269" s="3">
        <v>265</v>
      </c>
      <c r="B269" s="19"/>
      <c r="C269" s="4" t="s">
        <v>4668</v>
      </c>
      <c r="D269" s="4" t="s">
        <v>4395</v>
      </c>
      <c r="E269" s="4" t="s">
        <v>4406</v>
      </c>
      <c r="F269" s="8"/>
      <c r="G269" s="8"/>
      <c r="H269" s="8"/>
      <c r="I269" s="8"/>
      <c r="J269" s="8"/>
      <c r="K269" s="8">
        <v>20</v>
      </c>
      <c r="L269" s="18">
        <v>75</v>
      </c>
      <c r="M269" s="7">
        <f t="shared" si="4"/>
        <v>1500</v>
      </c>
      <c r="N269" s="4"/>
      <c r="O269" s="9"/>
    </row>
    <row r="270" spans="1:15" ht="20" customHeight="1" x14ac:dyDescent="0.2">
      <c r="A270" s="3">
        <v>266</v>
      </c>
      <c r="B270" s="19"/>
      <c r="C270" s="4" t="s">
        <v>4669</v>
      </c>
      <c r="D270" s="4" t="s">
        <v>4395</v>
      </c>
      <c r="E270" s="4" t="s">
        <v>133</v>
      </c>
      <c r="F270" s="8"/>
      <c r="G270" s="8"/>
      <c r="H270" s="8"/>
      <c r="I270" s="8"/>
      <c r="J270" s="8"/>
      <c r="K270" s="8">
        <v>100</v>
      </c>
      <c r="L270" s="18">
        <v>18</v>
      </c>
      <c r="M270" s="7">
        <f t="shared" si="4"/>
        <v>1800</v>
      </c>
      <c r="N270" s="4"/>
      <c r="O270" s="9"/>
    </row>
    <row r="271" spans="1:15" ht="20" customHeight="1" x14ac:dyDescent="0.2">
      <c r="A271" s="3">
        <v>267</v>
      </c>
      <c r="B271" s="19"/>
      <c r="C271" s="4" t="s">
        <v>4670</v>
      </c>
      <c r="D271" s="4" t="s">
        <v>4395</v>
      </c>
      <c r="E271" s="4" t="s">
        <v>4406</v>
      </c>
      <c r="F271" s="8"/>
      <c r="G271" s="8"/>
      <c r="H271" s="8"/>
      <c r="I271" s="8"/>
      <c r="J271" s="8"/>
      <c r="K271" s="8">
        <v>850</v>
      </c>
      <c r="L271" s="18">
        <v>40</v>
      </c>
      <c r="M271" s="7">
        <f t="shared" si="4"/>
        <v>34000</v>
      </c>
      <c r="N271" s="4"/>
      <c r="O271" s="9"/>
    </row>
    <row r="272" spans="1:15" ht="20" customHeight="1" x14ac:dyDescent="0.2">
      <c r="A272" s="3">
        <v>268</v>
      </c>
      <c r="B272" s="19"/>
      <c r="C272" s="4" t="s">
        <v>4671</v>
      </c>
      <c r="D272" s="4" t="s">
        <v>4395</v>
      </c>
      <c r="E272" s="4" t="s">
        <v>4406</v>
      </c>
      <c r="F272" s="8"/>
      <c r="G272" s="8"/>
      <c r="H272" s="8"/>
      <c r="I272" s="8"/>
      <c r="J272" s="8"/>
      <c r="K272" s="8">
        <v>1580</v>
      </c>
      <c r="L272" s="18">
        <v>34</v>
      </c>
      <c r="M272" s="7">
        <f t="shared" si="4"/>
        <v>53720</v>
      </c>
      <c r="N272" s="4"/>
      <c r="O272" s="9"/>
    </row>
    <row r="273" spans="1:15" ht="20" customHeight="1" x14ac:dyDescent="0.2">
      <c r="A273" s="3">
        <v>269</v>
      </c>
      <c r="B273" s="19"/>
      <c r="C273" s="4" t="s">
        <v>4672</v>
      </c>
      <c r="D273" s="4" t="s">
        <v>4395</v>
      </c>
      <c r="E273" s="4" t="s">
        <v>4406</v>
      </c>
      <c r="F273" s="8"/>
      <c r="G273" s="8"/>
      <c r="H273" s="8"/>
      <c r="I273" s="8"/>
      <c r="J273" s="8"/>
      <c r="K273" s="8">
        <v>200</v>
      </c>
      <c r="L273" s="18">
        <v>65</v>
      </c>
      <c r="M273" s="7">
        <f t="shared" si="4"/>
        <v>13000</v>
      </c>
      <c r="N273" s="4"/>
      <c r="O273" s="9"/>
    </row>
    <row r="274" spans="1:15" ht="20" customHeight="1" x14ac:dyDescent="0.2">
      <c r="A274" s="3">
        <v>270</v>
      </c>
      <c r="B274" s="19"/>
      <c r="C274" s="4" t="s">
        <v>4673</v>
      </c>
      <c r="D274" s="4" t="s">
        <v>4395</v>
      </c>
      <c r="E274" s="4" t="s">
        <v>4406</v>
      </c>
      <c r="F274" s="8"/>
      <c r="G274" s="8"/>
      <c r="H274" s="8"/>
      <c r="I274" s="8"/>
      <c r="J274" s="8"/>
      <c r="K274" s="8">
        <v>600</v>
      </c>
      <c r="L274" s="18">
        <v>65</v>
      </c>
      <c r="M274" s="7">
        <f t="shared" si="4"/>
        <v>39000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4674</v>
      </c>
      <c r="D275" s="4" t="s">
        <v>4395</v>
      </c>
      <c r="E275" s="4" t="s">
        <v>4406</v>
      </c>
      <c r="F275" s="8"/>
      <c r="G275" s="8"/>
      <c r="H275" s="8"/>
      <c r="I275" s="8"/>
      <c r="J275" s="8"/>
      <c r="K275" s="8">
        <v>505</v>
      </c>
      <c r="L275" s="18">
        <v>30</v>
      </c>
      <c r="M275" s="7">
        <f t="shared" si="4"/>
        <v>15150</v>
      </c>
      <c r="N275" s="4"/>
      <c r="O275" s="9"/>
    </row>
    <row r="276" spans="1:15" ht="20" customHeight="1" x14ac:dyDescent="0.2">
      <c r="A276" s="3">
        <v>272</v>
      </c>
      <c r="B276" s="19"/>
      <c r="C276" s="4" t="s">
        <v>4675</v>
      </c>
      <c r="D276" s="4" t="s">
        <v>4395</v>
      </c>
      <c r="E276" s="4" t="s">
        <v>4406</v>
      </c>
      <c r="F276" s="8"/>
      <c r="G276" s="8"/>
      <c r="H276" s="8"/>
      <c r="I276" s="8"/>
      <c r="J276" s="8"/>
      <c r="K276" s="8">
        <v>310</v>
      </c>
      <c r="L276" s="18">
        <v>100</v>
      </c>
      <c r="M276" s="7">
        <f t="shared" si="4"/>
        <v>31000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4676</v>
      </c>
      <c r="D277" s="4" t="s">
        <v>4395</v>
      </c>
      <c r="E277" s="4" t="s">
        <v>4406</v>
      </c>
      <c r="F277" s="8"/>
      <c r="G277" s="8"/>
      <c r="H277" s="8"/>
      <c r="I277" s="8"/>
      <c r="J277" s="8"/>
      <c r="K277" s="8">
        <v>50</v>
      </c>
      <c r="L277" s="18">
        <v>70</v>
      </c>
      <c r="M277" s="7">
        <f t="shared" si="4"/>
        <v>3500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4677</v>
      </c>
      <c r="D278" s="4" t="s">
        <v>4395</v>
      </c>
      <c r="E278" s="4" t="s">
        <v>4406</v>
      </c>
      <c r="F278" s="8"/>
      <c r="G278" s="8"/>
      <c r="H278" s="8"/>
      <c r="I278" s="8"/>
      <c r="J278" s="8"/>
      <c r="K278" s="8">
        <v>80</v>
      </c>
      <c r="L278" s="18">
        <v>65</v>
      </c>
      <c r="M278" s="7">
        <f t="shared" si="4"/>
        <v>5200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4678</v>
      </c>
      <c r="D279" s="4" t="s">
        <v>4395</v>
      </c>
      <c r="E279" s="4" t="s">
        <v>4406</v>
      </c>
      <c r="F279" s="8"/>
      <c r="G279" s="8"/>
      <c r="H279" s="8"/>
      <c r="I279" s="8"/>
      <c r="J279" s="8"/>
      <c r="K279" s="8">
        <v>1200</v>
      </c>
      <c r="L279" s="18">
        <v>22</v>
      </c>
      <c r="M279" s="7">
        <f t="shared" si="4"/>
        <v>26400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4679</v>
      </c>
      <c r="D280" s="4" t="s">
        <v>4395</v>
      </c>
      <c r="E280" s="4" t="s">
        <v>4406</v>
      </c>
      <c r="F280" s="8"/>
      <c r="G280" s="8"/>
      <c r="H280" s="8"/>
      <c r="I280" s="8"/>
      <c r="J280" s="8"/>
      <c r="K280" s="8">
        <v>800</v>
      </c>
      <c r="L280" s="18">
        <v>65</v>
      </c>
      <c r="M280" s="7">
        <f t="shared" si="4"/>
        <v>52000</v>
      </c>
      <c r="N280" s="4"/>
      <c r="O280" s="9"/>
    </row>
    <row r="281" spans="1:15" ht="20" customHeight="1" x14ac:dyDescent="0.2">
      <c r="A281" s="3">
        <v>277</v>
      </c>
      <c r="B281" s="19"/>
      <c r="C281" s="4" t="s">
        <v>4680</v>
      </c>
      <c r="D281" s="4" t="s">
        <v>4395</v>
      </c>
      <c r="E281" s="4" t="s">
        <v>4406</v>
      </c>
      <c r="F281" s="8"/>
      <c r="G281" s="8"/>
      <c r="H281" s="8"/>
      <c r="I281" s="8"/>
      <c r="J281" s="8"/>
      <c r="K281" s="8">
        <v>250</v>
      </c>
      <c r="L281" s="18">
        <v>155</v>
      </c>
      <c r="M281" s="7">
        <f t="shared" si="4"/>
        <v>38750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4681</v>
      </c>
      <c r="D282" s="4" t="s">
        <v>4395</v>
      </c>
      <c r="E282" s="4" t="s">
        <v>4406</v>
      </c>
      <c r="F282" s="8"/>
      <c r="G282" s="8"/>
      <c r="H282" s="8"/>
      <c r="I282" s="8"/>
      <c r="J282" s="8"/>
      <c r="K282" s="8">
        <v>100</v>
      </c>
      <c r="L282" s="18">
        <v>155</v>
      </c>
      <c r="M282" s="7">
        <f t="shared" si="4"/>
        <v>15500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4682</v>
      </c>
      <c r="D283" s="4" t="s">
        <v>4395</v>
      </c>
      <c r="E283" s="4" t="s">
        <v>4406</v>
      </c>
      <c r="F283" s="8"/>
      <c r="G283" s="8"/>
      <c r="H283" s="8"/>
      <c r="I283" s="8"/>
      <c r="J283" s="8"/>
      <c r="K283" s="8">
        <v>50</v>
      </c>
      <c r="L283" s="18">
        <v>120</v>
      </c>
      <c r="M283" s="7">
        <f t="shared" si="4"/>
        <v>6000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4683</v>
      </c>
      <c r="D284" s="4" t="s">
        <v>4395</v>
      </c>
      <c r="E284" s="4" t="s">
        <v>4406</v>
      </c>
      <c r="F284" s="8"/>
      <c r="G284" s="8"/>
      <c r="H284" s="8"/>
      <c r="I284" s="8"/>
      <c r="J284" s="8"/>
      <c r="K284" s="8">
        <v>320</v>
      </c>
      <c r="L284" s="18">
        <v>34</v>
      </c>
      <c r="M284" s="7">
        <f t="shared" si="4"/>
        <v>10880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4684</v>
      </c>
      <c r="D285" s="4" t="s">
        <v>4395</v>
      </c>
      <c r="E285" s="4" t="s">
        <v>4406</v>
      </c>
      <c r="F285" s="8"/>
      <c r="G285" s="8"/>
      <c r="H285" s="8"/>
      <c r="I285" s="8"/>
      <c r="J285" s="8"/>
      <c r="K285" s="8">
        <v>1600</v>
      </c>
      <c r="L285" s="18">
        <v>28</v>
      </c>
      <c r="M285" s="7">
        <f t="shared" si="4"/>
        <v>44800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4685</v>
      </c>
      <c r="D286" s="4" t="s">
        <v>4395</v>
      </c>
      <c r="E286" s="4" t="s">
        <v>4406</v>
      </c>
      <c r="F286" s="8"/>
      <c r="G286" s="8"/>
      <c r="H286" s="8"/>
      <c r="I286" s="8"/>
      <c r="J286" s="8"/>
      <c r="K286" s="8">
        <v>100</v>
      </c>
      <c r="L286" s="18">
        <v>50</v>
      </c>
      <c r="M286" s="7">
        <f t="shared" si="4"/>
        <v>5000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4686</v>
      </c>
      <c r="D287" s="4" t="s">
        <v>4395</v>
      </c>
      <c r="E287" s="4" t="s">
        <v>4406</v>
      </c>
      <c r="F287" s="8"/>
      <c r="G287" s="8"/>
      <c r="H287" s="8"/>
      <c r="I287" s="8"/>
      <c r="J287" s="8"/>
      <c r="K287" s="8">
        <v>900</v>
      </c>
      <c r="L287" s="18">
        <v>30</v>
      </c>
      <c r="M287" s="7">
        <f t="shared" si="4"/>
        <v>27000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4687</v>
      </c>
      <c r="D288" s="4" t="s">
        <v>4395</v>
      </c>
      <c r="E288" s="4" t="s">
        <v>4406</v>
      </c>
      <c r="F288" s="8"/>
      <c r="G288" s="8"/>
      <c r="H288" s="8"/>
      <c r="I288" s="8"/>
      <c r="J288" s="8"/>
      <c r="K288" s="8">
        <v>2000</v>
      </c>
      <c r="L288" s="18">
        <v>38</v>
      </c>
      <c r="M288" s="7">
        <f t="shared" si="4"/>
        <v>76000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4688</v>
      </c>
      <c r="D289" s="4" t="s">
        <v>4395</v>
      </c>
      <c r="E289" s="4" t="s">
        <v>4406</v>
      </c>
      <c r="F289" s="8"/>
      <c r="G289" s="8"/>
      <c r="H289" s="8"/>
      <c r="I289" s="8"/>
      <c r="J289" s="8"/>
      <c r="K289" s="8">
        <v>1500</v>
      </c>
      <c r="L289" s="18">
        <v>32</v>
      </c>
      <c r="M289" s="7">
        <f t="shared" si="4"/>
        <v>48000</v>
      </c>
      <c r="N289" s="4"/>
      <c r="O289" s="9"/>
    </row>
    <row r="290" spans="1:15" ht="20" customHeight="1" x14ac:dyDescent="0.2">
      <c r="A290" s="3">
        <v>286</v>
      </c>
      <c r="B290" s="19"/>
      <c r="C290" s="4" t="s">
        <v>4689</v>
      </c>
      <c r="D290" s="4" t="s">
        <v>4395</v>
      </c>
      <c r="E290" s="4" t="s">
        <v>4406</v>
      </c>
      <c r="F290" s="8"/>
      <c r="G290" s="8"/>
      <c r="H290" s="8"/>
      <c r="I290" s="8"/>
      <c r="J290" s="8"/>
      <c r="K290" s="8">
        <v>1500</v>
      </c>
      <c r="L290" s="18">
        <v>50</v>
      </c>
      <c r="M290" s="7">
        <f t="shared" si="4"/>
        <v>75000</v>
      </c>
      <c r="N290" s="4"/>
      <c r="O290" s="9"/>
    </row>
    <row r="291" spans="1:15" ht="20" customHeight="1" x14ac:dyDescent="0.2">
      <c r="A291" s="3">
        <v>287</v>
      </c>
      <c r="B291" s="19"/>
      <c r="C291" s="4" t="s">
        <v>4690</v>
      </c>
      <c r="D291" s="4" t="s">
        <v>4395</v>
      </c>
      <c r="E291" s="4" t="s">
        <v>4406</v>
      </c>
      <c r="F291" s="8"/>
      <c r="G291" s="8"/>
      <c r="H291" s="8"/>
      <c r="I291" s="8"/>
      <c r="J291" s="8"/>
      <c r="K291" s="8">
        <v>750</v>
      </c>
      <c r="L291" s="18">
        <v>40</v>
      </c>
      <c r="M291" s="7">
        <f t="shared" si="4"/>
        <v>30000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4691</v>
      </c>
      <c r="D292" s="4" t="s">
        <v>4395</v>
      </c>
      <c r="E292" s="4" t="s">
        <v>918</v>
      </c>
      <c r="F292" s="8"/>
      <c r="G292" s="8"/>
      <c r="H292" s="8"/>
      <c r="I292" s="8"/>
      <c r="J292" s="8"/>
      <c r="K292" s="8">
        <v>200</v>
      </c>
      <c r="L292" s="18">
        <v>110</v>
      </c>
      <c r="M292" s="7">
        <f t="shared" si="4"/>
        <v>22000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4692</v>
      </c>
      <c r="D293" s="4" t="s">
        <v>4395</v>
      </c>
      <c r="E293" s="4" t="s">
        <v>4406</v>
      </c>
      <c r="F293" s="8"/>
      <c r="G293" s="8"/>
      <c r="H293" s="8"/>
      <c r="I293" s="8"/>
      <c r="J293" s="8"/>
      <c r="K293" s="8">
        <v>200</v>
      </c>
      <c r="L293" s="18">
        <v>110</v>
      </c>
      <c r="M293" s="7">
        <f t="shared" si="4"/>
        <v>22000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4693</v>
      </c>
      <c r="D294" s="4" t="s">
        <v>4395</v>
      </c>
      <c r="E294" s="4" t="s">
        <v>4406</v>
      </c>
      <c r="F294" s="8"/>
      <c r="G294" s="8"/>
      <c r="H294" s="8"/>
      <c r="I294" s="8"/>
      <c r="J294" s="8"/>
      <c r="K294" s="8">
        <v>250</v>
      </c>
      <c r="L294" s="18">
        <v>95</v>
      </c>
      <c r="M294" s="7">
        <f t="shared" si="4"/>
        <v>23750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4694</v>
      </c>
      <c r="D295" s="4" t="s">
        <v>4395</v>
      </c>
      <c r="E295" s="4" t="s">
        <v>4406</v>
      </c>
      <c r="F295" s="8"/>
      <c r="G295" s="8"/>
      <c r="H295" s="8"/>
      <c r="I295" s="8"/>
      <c r="J295" s="8"/>
      <c r="K295" s="8">
        <v>100</v>
      </c>
      <c r="L295" s="18">
        <v>60</v>
      </c>
      <c r="M295" s="7">
        <f t="shared" si="4"/>
        <v>6000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4695</v>
      </c>
      <c r="D296" s="4" t="s">
        <v>4395</v>
      </c>
      <c r="E296" s="4" t="s">
        <v>4406</v>
      </c>
      <c r="F296" s="8"/>
      <c r="G296" s="8"/>
      <c r="H296" s="8"/>
      <c r="I296" s="8"/>
      <c r="J296" s="8"/>
      <c r="K296" s="8">
        <v>50</v>
      </c>
      <c r="L296" s="18">
        <v>150</v>
      </c>
      <c r="M296" s="7">
        <f t="shared" si="4"/>
        <v>7500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4696</v>
      </c>
      <c r="D297" s="4" t="s">
        <v>4395</v>
      </c>
      <c r="E297" s="4" t="s">
        <v>4406</v>
      </c>
      <c r="F297" s="8"/>
      <c r="G297" s="8"/>
      <c r="H297" s="8"/>
      <c r="I297" s="8"/>
      <c r="J297" s="8"/>
      <c r="K297" s="8">
        <v>1000</v>
      </c>
      <c r="L297" s="18">
        <v>55</v>
      </c>
      <c r="M297" s="7">
        <f t="shared" si="4"/>
        <v>55000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4697</v>
      </c>
      <c r="D298" s="4" t="s">
        <v>4395</v>
      </c>
      <c r="E298" s="4" t="s">
        <v>4406</v>
      </c>
      <c r="F298" s="8"/>
      <c r="G298" s="8"/>
      <c r="H298" s="8"/>
      <c r="I298" s="8"/>
      <c r="J298" s="8"/>
      <c r="K298" s="8">
        <v>30</v>
      </c>
      <c r="L298" s="18">
        <v>85</v>
      </c>
      <c r="M298" s="7">
        <f t="shared" si="4"/>
        <v>2550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4698</v>
      </c>
      <c r="D299" s="4" t="s">
        <v>4395</v>
      </c>
      <c r="E299" s="4" t="s">
        <v>4406</v>
      </c>
      <c r="F299" s="8"/>
      <c r="G299" s="8"/>
      <c r="H299" s="8"/>
      <c r="I299" s="8"/>
      <c r="J299" s="8"/>
      <c r="K299" s="8">
        <v>30</v>
      </c>
      <c r="L299" s="18">
        <v>120</v>
      </c>
      <c r="M299" s="7">
        <f t="shared" si="4"/>
        <v>3600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4699</v>
      </c>
      <c r="D300" s="4" t="s">
        <v>4395</v>
      </c>
      <c r="E300" s="4" t="s">
        <v>4406</v>
      </c>
      <c r="F300" s="8"/>
      <c r="G300" s="8"/>
      <c r="H300" s="8"/>
      <c r="I300" s="8"/>
      <c r="J300" s="8"/>
      <c r="K300" s="8">
        <v>30</v>
      </c>
      <c r="L300" s="18">
        <v>120</v>
      </c>
      <c r="M300" s="7">
        <f t="shared" si="4"/>
        <v>3600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4700</v>
      </c>
      <c r="D301" s="4" t="s">
        <v>4395</v>
      </c>
      <c r="E301" s="4" t="s">
        <v>4406</v>
      </c>
      <c r="F301" s="8"/>
      <c r="G301" s="8"/>
      <c r="H301" s="8"/>
      <c r="I301" s="8"/>
      <c r="J301" s="8"/>
      <c r="K301" s="8">
        <v>30</v>
      </c>
      <c r="L301" s="18">
        <v>120</v>
      </c>
      <c r="M301" s="7">
        <f t="shared" si="4"/>
        <v>3600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4701</v>
      </c>
      <c r="D302" s="4" t="s">
        <v>4395</v>
      </c>
      <c r="E302" s="4" t="s">
        <v>4406</v>
      </c>
      <c r="F302" s="8"/>
      <c r="G302" s="8"/>
      <c r="H302" s="8"/>
      <c r="I302" s="8"/>
      <c r="J302" s="8"/>
      <c r="K302" s="8">
        <v>30</v>
      </c>
      <c r="L302" s="18">
        <v>70</v>
      </c>
      <c r="M302" s="7">
        <f t="shared" si="4"/>
        <v>2100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4702</v>
      </c>
      <c r="D303" s="4" t="s">
        <v>4395</v>
      </c>
      <c r="E303" s="4"/>
      <c r="F303" s="8"/>
      <c r="G303" s="8"/>
      <c r="H303" s="8"/>
      <c r="I303" s="8"/>
      <c r="J303" s="8"/>
      <c r="K303" s="8">
        <v>0</v>
      </c>
      <c r="L303" s="18">
        <v>0</v>
      </c>
      <c r="M303" s="7">
        <f t="shared" si="4"/>
        <v>0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4703</v>
      </c>
      <c r="D304" s="4" t="s">
        <v>4395</v>
      </c>
      <c r="E304" s="4" t="s">
        <v>4406</v>
      </c>
      <c r="F304" s="8"/>
      <c r="G304" s="8"/>
      <c r="H304" s="8"/>
      <c r="I304" s="8"/>
      <c r="J304" s="8"/>
      <c r="K304" s="8">
        <v>3000</v>
      </c>
      <c r="L304" s="18">
        <v>60</v>
      </c>
      <c r="M304" s="7">
        <f t="shared" si="4"/>
        <v>180000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4704</v>
      </c>
      <c r="D305" s="4" t="s">
        <v>4395</v>
      </c>
      <c r="E305" s="4" t="s">
        <v>4406</v>
      </c>
      <c r="F305" s="8"/>
      <c r="G305" s="8"/>
      <c r="H305" s="8"/>
      <c r="I305" s="8"/>
      <c r="J305" s="8"/>
      <c r="K305" s="8">
        <v>800</v>
      </c>
      <c r="L305" s="18">
        <v>105</v>
      </c>
      <c r="M305" s="7">
        <f t="shared" si="4"/>
        <v>84000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4705</v>
      </c>
      <c r="D306" s="4" t="s">
        <v>4395</v>
      </c>
      <c r="E306" s="4" t="s">
        <v>4406</v>
      </c>
      <c r="F306" s="8"/>
      <c r="G306" s="8"/>
      <c r="H306" s="8"/>
      <c r="I306" s="8"/>
      <c r="J306" s="8"/>
      <c r="K306" s="8">
        <v>800</v>
      </c>
      <c r="L306" s="18">
        <v>105</v>
      </c>
      <c r="M306" s="7">
        <f t="shared" si="4"/>
        <v>84000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4706</v>
      </c>
      <c r="D307" s="4" t="s">
        <v>4395</v>
      </c>
      <c r="E307" s="4" t="s">
        <v>4406</v>
      </c>
      <c r="F307" s="8"/>
      <c r="G307" s="8"/>
      <c r="H307" s="8"/>
      <c r="I307" s="8"/>
      <c r="J307" s="8"/>
      <c r="K307" s="8">
        <v>2000</v>
      </c>
      <c r="L307" s="18">
        <v>60</v>
      </c>
      <c r="M307" s="7">
        <f t="shared" si="4"/>
        <v>120000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4707</v>
      </c>
      <c r="D308" s="4" t="s">
        <v>4395</v>
      </c>
      <c r="E308" s="4" t="s">
        <v>4406</v>
      </c>
      <c r="F308" s="8"/>
      <c r="G308" s="8"/>
      <c r="H308" s="8"/>
      <c r="I308" s="8"/>
      <c r="J308" s="8"/>
      <c r="K308" s="8">
        <v>250</v>
      </c>
      <c r="L308" s="18">
        <v>40</v>
      </c>
      <c r="M308" s="7">
        <f t="shared" si="4"/>
        <v>10000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4708</v>
      </c>
      <c r="D309" s="4" t="s">
        <v>4395</v>
      </c>
      <c r="E309" s="4" t="s">
        <v>4406</v>
      </c>
      <c r="F309" s="8"/>
      <c r="G309" s="8"/>
      <c r="H309" s="8"/>
      <c r="I309" s="8"/>
      <c r="J309" s="8"/>
      <c r="K309" s="8">
        <v>1000</v>
      </c>
      <c r="L309" s="18">
        <v>75</v>
      </c>
      <c r="M309" s="7">
        <f t="shared" si="4"/>
        <v>75000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4709</v>
      </c>
      <c r="D310" s="4" t="s">
        <v>4395</v>
      </c>
      <c r="E310" s="4" t="s">
        <v>4406</v>
      </c>
      <c r="F310" s="8"/>
      <c r="G310" s="8"/>
      <c r="H310" s="8"/>
      <c r="I310" s="8"/>
      <c r="J310" s="8"/>
      <c r="K310" s="8">
        <v>250</v>
      </c>
      <c r="L310" s="18">
        <v>80</v>
      </c>
      <c r="M310" s="7">
        <f t="shared" si="4"/>
        <v>20000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4710</v>
      </c>
      <c r="D311" s="4" t="s">
        <v>4395</v>
      </c>
      <c r="E311" s="4" t="s">
        <v>4406</v>
      </c>
      <c r="F311" s="8"/>
      <c r="G311" s="8"/>
      <c r="H311" s="8"/>
      <c r="I311" s="8"/>
      <c r="J311" s="8"/>
      <c r="K311" s="8">
        <v>1500</v>
      </c>
      <c r="L311" s="18">
        <v>22</v>
      </c>
      <c r="M311" s="7">
        <f t="shared" si="4"/>
        <v>33000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4711</v>
      </c>
      <c r="D312" s="4" t="s">
        <v>4395</v>
      </c>
      <c r="E312" s="4" t="s">
        <v>4406</v>
      </c>
      <c r="F312" s="8"/>
      <c r="G312" s="8"/>
      <c r="H312" s="8"/>
      <c r="I312" s="8"/>
      <c r="J312" s="8"/>
      <c r="K312" s="8">
        <v>1500</v>
      </c>
      <c r="L312" s="18">
        <v>55</v>
      </c>
      <c r="M312" s="7">
        <f t="shared" si="4"/>
        <v>82500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4712</v>
      </c>
      <c r="D313" s="4" t="s">
        <v>4395</v>
      </c>
      <c r="E313" s="4" t="s">
        <v>4406</v>
      </c>
      <c r="F313" s="8"/>
      <c r="G313" s="8"/>
      <c r="H313" s="8"/>
      <c r="I313" s="8"/>
      <c r="J313" s="8"/>
      <c r="K313" s="8">
        <v>50</v>
      </c>
      <c r="L313" s="18">
        <v>95</v>
      </c>
      <c r="M313" s="7">
        <f t="shared" si="4"/>
        <v>4750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4713</v>
      </c>
      <c r="D314" s="4" t="s">
        <v>4395</v>
      </c>
      <c r="E314" s="4" t="s">
        <v>4406</v>
      </c>
      <c r="F314" s="8"/>
      <c r="G314" s="8"/>
      <c r="H314" s="8"/>
      <c r="I314" s="8"/>
      <c r="J314" s="8"/>
      <c r="K314" s="8">
        <v>4000</v>
      </c>
      <c r="L314" s="18">
        <v>25</v>
      </c>
      <c r="M314" s="7">
        <f t="shared" si="4"/>
        <v>100000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4714</v>
      </c>
      <c r="D315" s="4" t="s">
        <v>4395</v>
      </c>
      <c r="E315" s="4" t="s">
        <v>4406</v>
      </c>
      <c r="F315" s="8"/>
      <c r="G315" s="8"/>
      <c r="H315" s="8"/>
      <c r="I315" s="8"/>
      <c r="J315" s="8"/>
      <c r="K315" s="8">
        <v>100</v>
      </c>
      <c r="L315" s="18">
        <v>50</v>
      </c>
      <c r="M315" s="7">
        <f t="shared" si="4"/>
        <v>5000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4715</v>
      </c>
      <c r="D316" s="4" t="s">
        <v>4395</v>
      </c>
      <c r="E316" s="4" t="s">
        <v>4406</v>
      </c>
      <c r="F316" s="8"/>
      <c r="G316" s="8"/>
      <c r="H316" s="8"/>
      <c r="I316" s="8"/>
      <c r="J316" s="8"/>
      <c r="K316" s="8">
        <v>500</v>
      </c>
      <c r="L316" s="18">
        <v>50</v>
      </c>
      <c r="M316" s="7">
        <f t="shared" si="4"/>
        <v>25000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4716</v>
      </c>
      <c r="D317" s="4" t="s">
        <v>4395</v>
      </c>
      <c r="E317" s="4" t="s">
        <v>4406</v>
      </c>
      <c r="F317" s="8"/>
      <c r="G317" s="8"/>
      <c r="H317" s="8"/>
      <c r="I317" s="8"/>
      <c r="J317" s="8"/>
      <c r="K317" s="8">
        <v>200</v>
      </c>
      <c r="L317" s="18">
        <v>35</v>
      </c>
      <c r="M317" s="7">
        <f t="shared" si="4"/>
        <v>7000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4717</v>
      </c>
      <c r="D318" s="4" t="s">
        <v>4395</v>
      </c>
      <c r="E318" s="4" t="s">
        <v>4406</v>
      </c>
      <c r="F318" s="8"/>
      <c r="G318" s="8"/>
      <c r="H318" s="8"/>
      <c r="I318" s="8"/>
      <c r="J318" s="8"/>
      <c r="K318" s="8">
        <v>200</v>
      </c>
      <c r="L318" s="18">
        <v>50</v>
      </c>
      <c r="M318" s="7">
        <f t="shared" si="4"/>
        <v>10000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4718</v>
      </c>
      <c r="D319" s="4" t="s">
        <v>4395</v>
      </c>
      <c r="E319" s="4" t="s">
        <v>4406</v>
      </c>
      <c r="F319" s="8"/>
      <c r="G319" s="8"/>
      <c r="H319" s="8"/>
      <c r="I319" s="8"/>
      <c r="J319" s="8"/>
      <c r="K319" s="8">
        <v>200</v>
      </c>
      <c r="L319" s="18">
        <v>50</v>
      </c>
      <c r="M319" s="7">
        <f t="shared" si="4"/>
        <v>10000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4719</v>
      </c>
      <c r="D320" s="4" t="s">
        <v>4395</v>
      </c>
      <c r="E320" s="4" t="s">
        <v>4406</v>
      </c>
      <c r="F320" s="8"/>
      <c r="G320" s="8"/>
      <c r="H320" s="8"/>
      <c r="I320" s="8"/>
      <c r="J320" s="8"/>
      <c r="K320" s="8">
        <v>50</v>
      </c>
      <c r="L320" s="18">
        <v>120</v>
      </c>
      <c r="M320" s="7">
        <f t="shared" si="4"/>
        <v>6000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4720</v>
      </c>
      <c r="D321" s="4" t="s">
        <v>4395</v>
      </c>
      <c r="E321" s="4" t="s">
        <v>4406</v>
      </c>
      <c r="F321" s="8"/>
      <c r="G321" s="8"/>
      <c r="H321" s="8"/>
      <c r="I321" s="8"/>
      <c r="J321" s="8"/>
      <c r="K321" s="8">
        <v>36</v>
      </c>
      <c r="L321" s="18">
        <v>250</v>
      </c>
      <c r="M321" s="7">
        <f t="shared" si="4"/>
        <v>9000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4721</v>
      </c>
      <c r="D322" s="4" t="s">
        <v>4395</v>
      </c>
      <c r="E322" s="4"/>
      <c r="F322" s="8"/>
      <c r="G322" s="8"/>
      <c r="H322" s="8"/>
      <c r="I322" s="8"/>
      <c r="J322" s="8"/>
      <c r="K322" s="8">
        <v>1</v>
      </c>
      <c r="L322" s="18">
        <v>3522161</v>
      </c>
      <c r="M322" s="7">
        <f t="shared" si="4"/>
        <v>3522161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4722</v>
      </c>
      <c r="D323" s="4" t="s">
        <v>4395</v>
      </c>
      <c r="E323" s="4" t="s">
        <v>4723</v>
      </c>
      <c r="F323" s="8"/>
      <c r="G323" s="8"/>
      <c r="H323" s="8"/>
      <c r="I323" s="8"/>
      <c r="J323" s="8"/>
      <c r="K323" s="8">
        <v>900</v>
      </c>
      <c r="L323" s="18">
        <v>395.9</v>
      </c>
      <c r="M323" s="7">
        <f t="shared" si="4"/>
        <v>356310</v>
      </c>
      <c r="N323" s="4"/>
      <c r="O323" s="9"/>
    </row>
    <row r="324" spans="1:15" ht="20" customHeight="1" x14ac:dyDescent="0.2">
      <c r="A324" s="3">
        <v>320</v>
      </c>
      <c r="B324" s="19"/>
      <c r="C324" s="4" t="s">
        <v>4724</v>
      </c>
      <c r="D324" s="4" t="s">
        <v>4395</v>
      </c>
      <c r="E324" s="4" t="s">
        <v>4723</v>
      </c>
      <c r="F324" s="8"/>
      <c r="G324" s="8"/>
      <c r="H324" s="8"/>
      <c r="I324" s="8"/>
      <c r="J324" s="8"/>
      <c r="K324" s="8">
        <v>400</v>
      </c>
      <c r="L324" s="18">
        <v>231.76</v>
      </c>
      <c r="M324" s="7">
        <f t="shared" si="4"/>
        <v>92704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4725</v>
      </c>
      <c r="D325" s="4" t="s">
        <v>4395</v>
      </c>
      <c r="E325" s="4" t="s">
        <v>276</v>
      </c>
      <c r="F325" s="8"/>
      <c r="G325" s="8"/>
      <c r="H325" s="8"/>
      <c r="I325" s="8"/>
      <c r="J325" s="8"/>
      <c r="K325" s="8">
        <v>1700</v>
      </c>
      <c r="L325" s="18">
        <v>663.4</v>
      </c>
      <c r="M325" s="7">
        <f t="shared" ref="M325:M388" si="5">IF(OR(K325="",L325=""),"",K325*L325)</f>
        <v>1127780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4726</v>
      </c>
      <c r="D326" s="4" t="s">
        <v>4395</v>
      </c>
      <c r="E326" s="4" t="s">
        <v>276</v>
      </c>
      <c r="F326" s="8"/>
      <c r="G326" s="8"/>
      <c r="H326" s="8"/>
      <c r="I326" s="8"/>
      <c r="J326" s="8"/>
      <c r="K326" s="8">
        <v>730</v>
      </c>
      <c r="L326" s="18">
        <v>1498</v>
      </c>
      <c r="M326" s="7">
        <f t="shared" si="5"/>
        <v>1093540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4727</v>
      </c>
      <c r="D327" s="4" t="s">
        <v>4395</v>
      </c>
      <c r="E327" s="4" t="s">
        <v>4723</v>
      </c>
      <c r="F327" s="8"/>
      <c r="G327" s="8"/>
      <c r="H327" s="8"/>
      <c r="I327" s="8"/>
      <c r="J327" s="8"/>
      <c r="K327" s="8">
        <v>45</v>
      </c>
      <c r="L327" s="18">
        <v>877.4</v>
      </c>
      <c r="M327" s="7">
        <f t="shared" si="5"/>
        <v>39483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4728</v>
      </c>
      <c r="D328" s="4" t="s">
        <v>4395</v>
      </c>
      <c r="E328" s="4" t="s">
        <v>4723</v>
      </c>
      <c r="F328" s="8"/>
      <c r="G328" s="8"/>
      <c r="H328" s="8"/>
      <c r="I328" s="8"/>
      <c r="J328" s="8"/>
      <c r="K328" s="8">
        <v>200</v>
      </c>
      <c r="L328" s="18">
        <v>726.53</v>
      </c>
      <c r="M328" s="7">
        <f t="shared" si="5"/>
        <v>145306</v>
      </c>
      <c r="N328" s="4"/>
      <c r="O328" s="9"/>
    </row>
    <row r="329" spans="1:15" ht="20" customHeight="1" x14ac:dyDescent="0.2">
      <c r="A329" s="3">
        <v>325</v>
      </c>
      <c r="B329" s="19"/>
      <c r="C329" s="4" t="s">
        <v>4729</v>
      </c>
      <c r="D329" s="4" t="s">
        <v>4395</v>
      </c>
      <c r="E329" s="4" t="s">
        <v>4723</v>
      </c>
      <c r="F329" s="8"/>
      <c r="G329" s="8"/>
      <c r="H329" s="8"/>
      <c r="I329" s="8"/>
      <c r="J329" s="8"/>
      <c r="K329" s="8">
        <v>200</v>
      </c>
      <c r="L329" s="18">
        <v>767.19</v>
      </c>
      <c r="M329" s="7">
        <f t="shared" si="5"/>
        <v>153438</v>
      </c>
      <c r="N329" s="4"/>
      <c r="O329" s="9"/>
    </row>
    <row r="330" spans="1:15" ht="20" customHeight="1" x14ac:dyDescent="0.2">
      <c r="A330" s="3">
        <v>326</v>
      </c>
      <c r="B330" s="19"/>
      <c r="C330" s="4" t="s">
        <v>4730</v>
      </c>
      <c r="D330" s="4" t="s">
        <v>4395</v>
      </c>
      <c r="E330" s="4" t="s">
        <v>4723</v>
      </c>
      <c r="F330" s="8"/>
      <c r="G330" s="8"/>
      <c r="H330" s="8"/>
      <c r="I330" s="8"/>
      <c r="J330" s="8"/>
      <c r="K330" s="8">
        <v>800</v>
      </c>
      <c r="L330" s="18">
        <v>642</v>
      </c>
      <c r="M330" s="7">
        <f t="shared" si="5"/>
        <v>513600</v>
      </c>
      <c r="N330" s="4"/>
      <c r="O330" s="9"/>
    </row>
    <row r="331" spans="1:15" ht="22" customHeight="1" x14ac:dyDescent="0.35">
      <c r="A331" s="10" t="s">
        <v>86</v>
      </c>
      <c r="B331" s="20"/>
      <c r="C331" s="11"/>
      <c r="D331" s="11"/>
      <c r="E331" s="11"/>
      <c r="F331" s="11"/>
      <c r="G331" s="11"/>
      <c r="H331" s="11"/>
      <c r="I331" s="11"/>
      <c r="J331" s="11"/>
      <c r="K331" s="13">
        <f>SUM(K5:K330)</f>
        <v>222288</v>
      </c>
      <c r="L331" s="11"/>
      <c r="M331" s="13">
        <f>SUM(M5:M330)</f>
        <v>50403619.75</v>
      </c>
      <c r="N331" s="11"/>
      <c r="O331" s="11"/>
    </row>
    <row r="332" spans="1:15" ht="32" customHeight="1" x14ac:dyDescent="0.2">
      <c r="A332" s="23" t="s">
        <v>4731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</row>
  </sheetData>
  <autoFilter ref="A4:O330" xr:uid="{00000000-0009-0000-0000-00000D000000}"/>
  <mergeCells count="5">
    <mergeCell ref="E2:G2"/>
    <mergeCell ref="A332:O332"/>
    <mergeCell ref="I2:J2"/>
    <mergeCell ref="A1:O1"/>
    <mergeCell ref="F3:O3"/>
  </mergeCells>
  <conditionalFormatting sqref="E3">
    <cfRule type="cellIs" dxfId="31" priority="1" operator="greaterThan">
      <formula>0.009</formula>
    </cfRule>
    <cfRule type="cellIs" dxfId="30" priority="2" operator="lessThan">
      <formula>-0.009</formula>
    </cfRule>
  </conditionalFormatting>
  <dataValidations count="1">
    <dataValidation type="list" allowBlank="1" sqref="O5:O330" xr:uid="{00000000-0002-0000-0D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โภชนาการ · DBR/2570/0016</oddHeader>
    <oddFooter>&amp;Lส่งออกจากฐาน VPK-S1 วันที่ 12 ต.ค. 2569&amp;Rหน้า &amp;P / &amp;N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B6848"/>
    <pageSetUpPr fitToPage="1"/>
  </sheetPr>
  <dimension ref="A1:O143"/>
  <sheetViews>
    <sheetView showGridLines="0" tabSelected="1" zoomScale="11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4732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47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1869950.68</v>
      </c>
      <c r="D3" s="15" t="s">
        <v>94</v>
      </c>
      <c r="E3" s="17">
        <f>M142-C3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4733</v>
      </c>
      <c r="D5" s="4" t="s">
        <v>48</v>
      </c>
      <c r="E5" s="4" t="s">
        <v>121</v>
      </c>
      <c r="F5" s="8"/>
      <c r="G5" s="8"/>
      <c r="H5" s="8"/>
      <c r="I5" s="8"/>
      <c r="J5" s="8"/>
      <c r="K5" s="8">
        <v>1</v>
      </c>
      <c r="L5" s="18">
        <v>20000</v>
      </c>
      <c r="M5" s="7">
        <f t="shared" ref="M5:M36" si="0">IF(OR(K5="",L5=""),"",K5*L5)</f>
        <v>20000</v>
      </c>
      <c r="N5" s="4"/>
      <c r="O5" s="9"/>
    </row>
    <row r="6" spans="1:15" ht="20" customHeight="1" x14ac:dyDescent="0.2">
      <c r="A6" s="3">
        <v>2</v>
      </c>
      <c r="B6" s="19"/>
      <c r="C6" s="4" t="s">
        <v>4734</v>
      </c>
      <c r="D6" s="4" t="s">
        <v>48</v>
      </c>
      <c r="E6" s="4" t="s">
        <v>121</v>
      </c>
      <c r="F6" s="8"/>
      <c r="G6" s="8"/>
      <c r="H6" s="8"/>
      <c r="I6" s="8"/>
      <c r="J6" s="8"/>
      <c r="K6" s="8">
        <v>1</v>
      </c>
      <c r="L6" s="18">
        <v>20000</v>
      </c>
      <c r="M6" s="7">
        <f t="shared" si="0"/>
        <v>20000</v>
      </c>
      <c r="N6" s="4"/>
      <c r="O6" s="9"/>
    </row>
    <row r="7" spans="1:15" ht="20" customHeight="1" x14ac:dyDescent="0.2">
      <c r="A7" s="3">
        <v>3</v>
      </c>
      <c r="B7" s="19"/>
      <c r="C7" s="4" t="s">
        <v>4735</v>
      </c>
      <c r="D7" s="4" t="s">
        <v>48</v>
      </c>
      <c r="E7" s="4" t="s">
        <v>121</v>
      </c>
      <c r="F7" s="8"/>
      <c r="G7" s="8"/>
      <c r="H7" s="8"/>
      <c r="I7" s="8"/>
      <c r="J7" s="8"/>
      <c r="K7" s="8">
        <v>1</v>
      </c>
      <c r="L7" s="18">
        <v>40000</v>
      </c>
      <c r="M7" s="7">
        <f t="shared" si="0"/>
        <v>40000</v>
      </c>
      <c r="N7" s="4"/>
      <c r="O7" s="9"/>
    </row>
    <row r="8" spans="1:15" ht="20" customHeight="1" x14ac:dyDescent="0.2">
      <c r="A8" s="3">
        <v>4</v>
      </c>
      <c r="B8" s="19"/>
      <c r="C8" s="4" t="s">
        <v>4736</v>
      </c>
      <c r="D8" s="4" t="s">
        <v>48</v>
      </c>
      <c r="E8" s="4" t="s">
        <v>121</v>
      </c>
      <c r="F8" s="8"/>
      <c r="G8" s="8"/>
      <c r="H8" s="8"/>
      <c r="I8" s="8"/>
      <c r="J8" s="8"/>
      <c r="K8" s="8">
        <v>1</v>
      </c>
      <c r="L8" s="18">
        <v>40000</v>
      </c>
      <c r="M8" s="7">
        <f t="shared" si="0"/>
        <v>40000</v>
      </c>
      <c r="N8" s="4"/>
      <c r="O8" s="9"/>
    </row>
    <row r="9" spans="1:15" ht="20" customHeight="1" x14ac:dyDescent="0.2">
      <c r="A9" s="3">
        <v>5</v>
      </c>
      <c r="B9" s="19"/>
      <c r="C9" s="4" t="s">
        <v>4737</v>
      </c>
      <c r="D9" s="4" t="s">
        <v>48</v>
      </c>
      <c r="E9" s="4" t="s">
        <v>121</v>
      </c>
      <c r="F9" s="8"/>
      <c r="G9" s="8"/>
      <c r="H9" s="8"/>
      <c r="I9" s="8"/>
      <c r="J9" s="8"/>
      <c r="K9" s="8">
        <v>1</v>
      </c>
      <c r="L9" s="18">
        <v>40000</v>
      </c>
      <c r="M9" s="7">
        <f t="shared" si="0"/>
        <v>40000</v>
      </c>
      <c r="N9" s="4"/>
      <c r="O9" s="9"/>
    </row>
    <row r="10" spans="1:15" ht="20" customHeight="1" x14ac:dyDescent="0.2">
      <c r="A10" s="3">
        <v>6</v>
      </c>
      <c r="B10" s="19"/>
      <c r="C10" s="4" t="s">
        <v>4738</v>
      </c>
      <c r="D10" s="4" t="s">
        <v>48</v>
      </c>
      <c r="E10" s="4" t="s">
        <v>121</v>
      </c>
      <c r="F10" s="8"/>
      <c r="G10" s="8"/>
      <c r="H10" s="8"/>
      <c r="I10" s="8"/>
      <c r="J10" s="8"/>
      <c r="K10" s="8">
        <v>1</v>
      </c>
      <c r="L10" s="18">
        <v>20000</v>
      </c>
      <c r="M10" s="7">
        <f t="shared" si="0"/>
        <v>20000</v>
      </c>
      <c r="N10" s="4"/>
      <c r="O10" s="9"/>
    </row>
    <row r="11" spans="1:15" ht="20" customHeight="1" x14ac:dyDescent="0.2">
      <c r="A11" s="3">
        <v>7</v>
      </c>
      <c r="B11" s="19"/>
      <c r="C11" s="4" t="s">
        <v>4739</v>
      </c>
      <c r="D11" s="4" t="s">
        <v>48</v>
      </c>
      <c r="E11" s="4" t="s">
        <v>121</v>
      </c>
      <c r="F11" s="8"/>
      <c r="G11" s="8"/>
      <c r="H11" s="8"/>
      <c r="I11" s="8"/>
      <c r="J11" s="8"/>
      <c r="K11" s="8">
        <v>1</v>
      </c>
      <c r="L11" s="18">
        <v>20000</v>
      </c>
      <c r="M11" s="7">
        <f t="shared" si="0"/>
        <v>20000</v>
      </c>
      <c r="N11" s="4"/>
      <c r="O11" s="9"/>
    </row>
    <row r="12" spans="1:15" ht="20" customHeight="1" x14ac:dyDescent="0.2">
      <c r="A12" s="3">
        <v>8</v>
      </c>
      <c r="B12" s="19"/>
      <c r="C12" s="4" t="s">
        <v>4740</v>
      </c>
      <c r="D12" s="4" t="s">
        <v>48</v>
      </c>
      <c r="E12" s="4" t="s">
        <v>121</v>
      </c>
      <c r="F12" s="8"/>
      <c r="G12" s="8"/>
      <c r="H12" s="8"/>
      <c r="I12" s="8"/>
      <c r="J12" s="8"/>
      <c r="K12" s="8">
        <v>1</v>
      </c>
      <c r="L12" s="18">
        <v>20000</v>
      </c>
      <c r="M12" s="7">
        <f t="shared" si="0"/>
        <v>20000</v>
      </c>
      <c r="N12" s="4"/>
      <c r="O12" s="9"/>
    </row>
    <row r="13" spans="1:15" ht="20" customHeight="1" x14ac:dyDescent="0.2">
      <c r="A13" s="3">
        <v>9</v>
      </c>
      <c r="B13" s="19"/>
      <c r="C13" s="4" t="s">
        <v>4741</v>
      </c>
      <c r="D13" s="4" t="s">
        <v>48</v>
      </c>
      <c r="E13" s="4" t="s">
        <v>121</v>
      </c>
      <c r="F13" s="8"/>
      <c r="G13" s="8"/>
      <c r="H13" s="8"/>
      <c r="I13" s="8"/>
      <c r="J13" s="8"/>
      <c r="K13" s="8">
        <v>0</v>
      </c>
      <c r="L13" s="18">
        <v>0</v>
      </c>
      <c r="M13" s="7">
        <f t="shared" si="0"/>
        <v>0</v>
      </c>
      <c r="N13" s="4"/>
      <c r="O13" s="9"/>
    </row>
    <row r="14" spans="1:15" ht="20" customHeight="1" x14ac:dyDescent="0.2">
      <c r="A14" s="3">
        <v>10</v>
      </c>
      <c r="B14" s="19"/>
      <c r="C14" s="4" t="s">
        <v>4742</v>
      </c>
      <c r="D14" s="4" t="s">
        <v>48</v>
      </c>
      <c r="E14" s="4" t="s">
        <v>121</v>
      </c>
      <c r="F14" s="8"/>
      <c r="G14" s="8"/>
      <c r="H14" s="8"/>
      <c r="I14" s="8"/>
      <c r="J14" s="8"/>
      <c r="K14" s="8">
        <v>0</v>
      </c>
      <c r="L14" s="18">
        <v>0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4743</v>
      </c>
      <c r="D15" s="4" t="s">
        <v>48</v>
      </c>
      <c r="E15" s="4" t="s">
        <v>121</v>
      </c>
      <c r="F15" s="8"/>
      <c r="G15" s="8"/>
      <c r="H15" s="8"/>
      <c r="I15" s="8"/>
      <c r="J15" s="8"/>
      <c r="K15" s="8">
        <v>0</v>
      </c>
      <c r="L15" s="18">
        <v>0</v>
      </c>
      <c r="M15" s="7">
        <f t="shared" si="0"/>
        <v>0</v>
      </c>
      <c r="N15" s="4"/>
      <c r="O15" s="9"/>
    </row>
    <row r="16" spans="1:15" ht="20" customHeight="1" x14ac:dyDescent="0.2">
      <c r="A16" s="3">
        <v>12</v>
      </c>
      <c r="B16" s="19"/>
      <c r="C16" s="4" t="s">
        <v>4744</v>
      </c>
      <c r="D16" s="4" t="s">
        <v>48</v>
      </c>
      <c r="E16" s="4" t="s">
        <v>121</v>
      </c>
      <c r="F16" s="8"/>
      <c r="G16" s="8"/>
      <c r="H16" s="8"/>
      <c r="I16" s="8"/>
      <c r="J16" s="8"/>
      <c r="K16" s="8">
        <v>1</v>
      </c>
      <c r="L16" s="18">
        <v>14600</v>
      </c>
      <c r="M16" s="7">
        <f t="shared" si="0"/>
        <v>14600</v>
      </c>
      <c r="N16" s="4"/>
      <c r="O16" s="9"/>
    </row>
    <row r="17" spans="1:15" ht="20" customHeight="1" x14ac:dyDescent="0.2">
      <c r="A17" s="3">
        <v>13</v>
      </c>
      <c r="B17" s="19"/>
      <c r="C17" s="4" t="s">
        <v>4745</v>
      </c>
      <c r="D17" s="4" t="s">
        <v>48</v>
      </c>
      <c r="E17" s="4" t="s">
        <v>121</v>
      </c>
      <c r="F17" s="8"/>
      <c r="G17" s="8"/>
      <c r="H17" s="8"/>
      <c r="I17" s="8"/>
      <c r="J17" s="8"/>
      <c r="K17" s="8">
        <v>1</v>
      </c>
      <c r="L17" s="18">
        <v>16000</v>
      </c>
      <c r="M17" s="7">
        <f t="shared" si="0"/>
        <v>16000</v>
      </c>
      <c r="N17" s="4"/>
      <c r="O17" s="9"/>
    </row>
    <row r="18" spans="1:15" ht="20" customHeight="1" x14ac:dyDescent="0.2">
      <c r="A18" s="3">
        <v>14</v>
      </c>
      <c r="B18" s="19"/>
      <c r="C18" s="4" t="s">
        <v>4746</v>
      </c>
      <c r="D18" s="4" t="s">
        <v>48</v>
      </c>
      <c r="E18" s="4" t="s">
        <v>150</v>
      </c>
      <c r="F18" s="8"/>
      <c r="G18" s="8"/>
      <c r="H18" s="8"/>
      <c r="I18" s="8"/>
      <c r="J18" s="8"/>
      <c r="K18" s="8">
        <v>1</v>
      </c>
      <c r="L18" s="18">
        <v>20000</v>
      </c>
      <c r="M18" s="7">
        <f t="shared" si="0"/>
        <v>20000</v>
      </c>
      <c r="N18" s="4"/>
      <c r="O18" s="9"/>
    </row>
    <row r="19" spans="1:15" ht="20" customHeight="1" x14ac:dyDescent="0.2">
      <c r="A19" s="3">
        <v>15</v>
      </c>
      <c r="B19" s="19"/>
      <c r="C19" s="4" t="s">
        <v>4747</v>
      </c>
      <c r="D19" s="4" t="s">
        <v>48</v>
      </c>
      <c r="E19" s="4" t="s">
        <v>150</v>
      </c>
      <c r="F19" s="8"/>
      <c r="G19" s="8"/>
      <c r="H19" s="8"/>
      <c r="I19" s="8"/>
      <c r="J19" s="8"/>
      <c r="K19" s="8">
        <v>1</v>
      </c>
      <c r="L19" s="18">
        <v>10000</v>
      </c>
      <c r="M19" s="7">
        <f t="shared" si="0"/>
        <v>10000</v>
      </c>
      <c r="N19" s="4"/>
      <c r="O19" s="9"/>
    </row>
    <row r="20" spans="1:15" ht="20" customHeight="1" x14ac:dyDescent="0.2">
      <c r="A20" s="3">
        <v>16</v>
      </c>
      <c r="B20" s="19"/>
      <c r="C20" s="4" t="s">
        <v>4748</v>
      </c>
      <c r="D20" s="4" t="s">
        <v>48</v>
      </c>
      <c r="E20" s="4" t="s">
        <v>150</v>
      </c>
      <c r="F20" s="8"/>
      <c r="G20" s="8"/>
      <c r="H20" s="8"/>
      <c r="I20" s="8"/>
      <c r="J20" s="8"/>
      <c r="K20" s="8">
        <v>0</v>
      </c>
      <c r="L20" s="18">
        <v>0</v>
      </c>
      <c r="M20" s="7">
        <f t="shared" si="0"/>
        <v>0</v>
      </c>
      <c r="N20" s="4"/>
      <c r="O20" s="9"/>
    </row>
    <row r="21" spans="1:15" ht="20" customHeight="1" x14ac:dyDescent="0.2">
      <c r="A21" s="3">
        <v>17</v>
      </c>
      <c r="B21" s="19"/>
      <c r="C21" s="4" t="s">
        <v>4749</v>
      </c>
      <c r="D21" s="4" t="s">
        <v>48</v>
      </c>
      <c r="E21" s="4" t="s">
        <v>150</v>
      </c>
      <c r="F21" s="8"/>
      <c r="G21" s="8"/>
      <c r="H21" s="8"/>
      <c r="I21" s="8"/>
      <c r="J21" s="8"/>
      <c r="K21" s="8">
        <v>0</v>
      </c>
      <c r="L21" s="18">
        <v>0</v>
      </c>
      <c r="M21" s="7">
        <f t="shared" si="0"/>
        <v>0</v>
      </c>
      <c r="N21" s="4"/>
      <c r="O21" s="9"/>
    </row>
    <row r="22" spans="1:15" ht="20" customHeight="1" x14ac:dyDescent="0.2">
      <c r="A22" s="3">
        <v>18</v>
      </c>
      <c r="B22" s="19"/>
      <c r="C22" s="4" t="s">
        <v>4750</v>
      </c>
      <c r="D22" s="4" t="s">
        <v>48</v>
      </c>
      <c r="E22" s="4" t="s">
        <v>150</v>
      </c>
      <c r="F22" s="8"/>
      <c r="G22" s="8"/>
      <c r="H22" s="8"/>
      <c r="I22" s="8"/>
      <c r="J22" s="8"/>
      <c r="K22" s="8">
        <v>0</v>
      </c>
      <c r="L22" s="18">
        <v>0</v>
      </c>
      <c r="M22" s="7">
        <f t="shared" si="0"/>
        <v>0</v>
      </c>
      <c r="N22" s="4"/>
      <c r="O22" s="9"/>
    </row>
    <row r="23" spans="1:15" ht="20" customHeight="1" x14ac:dyDescent="0.2">
      <c r="A23" s="3">
        <v>19</v>
      </c>
      <c r="B23" s="19"/>
      <c r="C23" s="4" t="s">
        <v>4751</v>
      </c>
      <c r="D23" s="4" t="s">
        <v>48</v>
      </c>
      <c r="E23" s="4" t="s">
        <v>150</v>
      </c>
      <c r="F23" s="8"/>
      <c r="G23" s="8"/>
      <c r="H23" s="8"/>
      <c r="I23" s="8"/>
      <c r="J23" s="8"/>
      <c r="K23" s="8">
        <v>0</v>
      </c>
      <c r="L23" s="18">
        <v>0</v>
      </c>
      <c r="M23" s="7">
        <f t="shared" si="0"/>
        <v>0</v>
      </c>
      <c r="N23" s="4"/>
      <c r="O23" s="9"/>
    </row>
    <row r="24" spans="1:15" ht="20" customHeight="1" x14ac:dyDescent="0.2">
      <c r="A24" s="3">
        <v>20</v>
      </c>
      <c r="B24" s="19"/>
      <c r="C24" s="4" t="s">
        <v>4752</v>
      </c>
      <c r="D24" s="4" t="s">
        <v>48</v>
      </c>
      <c r="E24" s="4" t="s">
        <v>150</v>
      </c>
      <c r="F24" s="8"/>
      <c r="G24" s="8"/>
      <c r="H24" s="8"/>
      <c r="I24" s="8"/>
      <c r="J24" s="8"/>
      <c r="K24" s="8">
        <v>0</v>
      </c>
      <c r="L24" s="18">
        <v>0</v>
      </c>
      <c r="M24" s="7">
        <f t="shared" si="0"/>
        <v>0</v>
      </c>
      <c r="N24" s="4"/>
      <c r="O24" s="9"/>
    </row>
    <row r="25" spans="1:15" ht="20" customHeight="1" x14ac:dyDescent="0.2">
      <c r="A25" s="3">
        <v>21</v>
      </c>
      <c r="B25" s="19"/>
      <c r="C25" s="4" t="s">
        <v>4753</v>
      </c>
      <c r="D25" s="4" t="s">
        <v>48</v>
      </c>
      <c r="E25" s="4" t="s">
        <v>150</v>
      </c>
      <c r="F25" s="8"/>
      <c r="G25" s="8"/>
      <c r="H25" s="8"/>
      <c r="I25" s="8"/>
      <c r="J25" s="8"/>
      <c r="K25" s="8">
        <v>1</v>
      </c>
      <c r="L25" s="18">
        <v>13981.32</v>
      </c>
      <c r="M25" s="7">
        <f t="shared" si="0"/>
        <v>13981.32</v>
      </c>
      <c r="N25" s="4"/>
      <c r="O25" s="9"/>
    </row>
    <row r="26" spans="1:15" ht="20" customHeight="1" x14ac:dyDescent="0.2">
      <c r="A26" s="3">
        <v>22</v>
      </c>
      <c r="B26" s="19"/>
      <c r="C26" s="4" t="s">
        <v>4754</v>
      </c>
      <c r="D26" s="4" t="s">
        <v>48</v>
      </c>
      <c r="E26" s="4" t="s">
        <v>121</v>
      </c>
      <c r="F26" s="8"/>
      <c r="G26" s="8"/>
      <c r="H26" s="8"/>
      <c r="I26" s="8"/>
      <c r="J26" s="8"/>
      <c r="K26" s="8">
        <v>0</v>
      </c>
      <c r="L26" s="18">
        <v>0</v>
      </c>
      <c r="M26" s="7">
        <f t="shared" si="0"/>
        <v>0</v>
      </c>
      <c r="N26" s="4"/>
      <c r="O26" s="9"/>
    </row>
    <row r="27" spans="1:15" ht="20" customHeight="1" x14ac:dyDescent="0.2">
      <c r="A27" s="3">
        <v>23</v>
      </c>
      <c r="B27" s="19"/>
      <c r="C27" s="4" t="s">
        <v>4755</v>
      </c>
      <c r="D27" s="4" t="s">
        <v>48</v>
      </c>
      <c r="E27" s="4" t="s">
        <v>121</v>
      </c>
      <c r="F27" s="8"/>
      <c r="G27" s="8"/>
      <c r="H27" s="8"/>
      <c r="I27" s="8"/>
      <c r="J27" s="8"/>
      <c r="K27" s="8">
        <v>0</v>
      </c>
      <c r="L27" s="18">
        <v>0</v>
      </c>
      <c r="M27" s="7">
        <f t="shared" si="0"/>
        <v>0</v>
      </c>
      <c r="N27" s="4"/>
      <c r="O27" s="9"/>
    </row>
    <row r="28" spans="1:15" ht="20" customHeight="1" x14ac:dyDescent="0.2">
      <c r="A28" s="3">
        <v>24</v>
      </c>
      <c r="B28" s="19"/>
      <c r="C28" s="4" t="s">
        <v>4756</v>
      </c>
      <c r="D28" s="4" t="s">
        <v>48</v>
      </c>
      <c r="E28" s="4" t="s">
        <v>121</v>
      </c>
      <c r="F28" s="8"/>
      <c r="G28" s="8"/>
      <c r="H28" s="8"/>
      <c r="I28" s="8"/>
      <c r="J28" s="8"/>
      <c r="K28" s="8">
        <v>0</v>
      </c>
      <c r="L28" s="18">
        <v>0</v>
      </c>
      <c r="M28" s="7">
        <f t="shared" si="0"/>
        <v>0</v>
      </c>
      <c r="N28" s="4"/>
      <c r="O28" s="9"/>
    </row>
    <row r="29" spans="1:15" ht="20" customHeight="1" x14ac:dyDescent="0.2">
      <c r="A29" s="3">
        <v>25</v>
      </c>
      <c r="B29" s="19"/>
      <c r="C29" s="4" t="s">
        <v>4757</v>
      </c>
      <c r="D29" s="4" t="s">
        <v>48</v>
      </c>
      <c r="E29" s="4" t="s">
        <v>121</v>
      </c>
      <c r="F29" s="8"/>
      <c r="G29" s="8"/>
      <c r="H29" s="8"/>
      <c r="I29" s="8"/>
      <c r="J29" s="8"/>
      <c r="K29" s="8">
        <v>0</v>
      </c>
      <c r="L29" s="18">
        <v>0</v>
      </c>
      <c r="M29" s="7">
        <f t="shared" si="0"/>
        <v>0</v>
      </c>
      <c r="N29" s="4"/>
      <c r="O29" s="9"/>
    </row>
    <row r="30" spans="1:15" ht="20" customHeight="1" x14ac:dyDescent="0.2">
      <c r="A30" s="3">
        <v>26</v>
      </c>
      <c r="B30" s="19"/>
      <c r="C30" s="4" t="s">
        <v>4758</v>
      </c>
      <c r="D30" s="4" t="s">
        <v>48</v>
      </c>
      <c r="E30" s="4" t="s">
        <v>121</v>
      </c>
      <c r="F30" s="8"/>
      <c r="G30" s="8"/>
      <c r="H30" s="8"/>
      <c r="I30" s="8"/>
      <c r="J30" s="8"/>
      <c r="K30" s="8">
        <v>0</v>
      </c>
      <c r="L30" s="18">
        <v>0</v>
      </c>
      <c r="M30" s="7">
        <f t="shared" si="0"/>
        <v>0</v>
      </c>
      <c r="N30" s="4"/>
      <c r="O30" s="9"/>
    </row>
    <row r="31" spans="1:15" ht="20" customHeight="1" x14ac:dyDescent="0.2">
      <c r="A31" s="3">
        <v>27</v>
      </c>
      <c r="B31" s="19"/>
      <c r="C31" s="4" t="s">
        <v>4759</v>
      </c>
      <c r="D31" s="4" t="s">
        <v>48</v>
      </c>
      <c r="E31" s="4" t="s">
        <v>121</v>
      </c>
      <c r="F31" s="8"/>
      <c r="G31" s="8"/>
      <c r="H31" s="8"/>
      <c r="I31" s="8"/>
      <c r="J31" s="8"/>
      <c r="K31" s="8">
        <v>0</v>
      </c>
      <c r="L31" s="18">
        <v>0</v>
      </c>
      <c r="M31" s="7">
        <f t="shared" si="0"/>
        <v>0</v>
      </c>
      <c r="N31" s="4"/>
      <c r="O31" s="9"/>
    </row>
    <row r="32" spans="1:15" ht="20" customHeight="1" x14ac:dyDescent="0.2">
      <c r="A32" s="3">
        <v>28</v>
      </c>
      <c r="B32" s="19"/>
      <c r="C32" s="4" t="s">
        <v>4760</v>
      </c>
      <c r="D32" s="4" t="s">
        <v>48</v>
      </c>
      <c r="E32" s="4" t="s">
        <v>121</v>
      </c>
      <c r="F32" s="8"/>
      <c r="G32" s="8"/>
      <c r="H32" s="8"/>
      <c r="I32" s="8"/>
      <c r="J32" s="8"/>
      <c r="K32" s="8">
        <v>1</v>
      </c>
      <c r="L32" s="18">
        <v>28800</v>
      </c>
      <c r="M32" s="7">
        <f t="shared" si="0"/>
        <v>28800</v>
      </c>
      <c r="N32" s="4"/>
      <c r="O32" s="9"/>
    </row>
    <row r="33" spans="1:15" ht="20" customHeight="1" x14ac:dyDescent="0.2">
      <c r="A33" s="3">
        <v>29</v>
      </c>
      <c r="B33" s="19"/>
      <c r="C33" s="4" t="s">
        <v>4761</v>
      </c>
      <c r="D33" s="4" t="s">
        <v>48</v>
      </c>
      <c r="E33" s="4" t="s">
        <v>121</v>
      </c>
      <c r="F33" s="8"/>
      <c r="G33" s="8"/>
      <c r="H33" s="8"/>
      <c r="I33" s="8"/>
      <c r="J33" s="8"/>
      <c r="K33" s="8">
        <v>0</v>
      </c>
      <c r="L33" s="18">
        <v>0</v>
      </c>
      <c r="M33" s="7">
        <f t="shared" si="0"/>
        <v>0</v>
      </c>
      <c r="N33" s="4"/>
      <c r="O33" s="9"/>
    </row>
    <row r="34" spans="1:15" ht="20" customHeight="1" x14ac:dyDescent="0.2">
      <c r="A34" s="3">
        <v>30</v>
      </c>
      <c r="B34" s="19"/>
      <c r="C34" s="4" t="s">
        <v>4762</v>
      </c>
      <c r="D34" s="4" t="s">
        <v>48</v>
      </c>
      <c r="E34" s="4" t="s">
        <v>121</v>
      </c>
      <c r="F34" s="8"/>
      <c r="G34" s="8"/>
      <c r="H34" s="8"/>
      <c r="I34" s="8"/>
      <c r="J34" s="8"/>
      <c r="K34" s="8">
        <v>1</v>
      </c>
      <c r="L34" s="18">
        <v>19200</v>
      </c>
      <c r="M34" s="7">
        <f t="shared" si="0"/>
        <v>19200</v>
      </c>
      <c r="N34" s="4"/>
      <c r="O34" s="9"/>
    </row>
    <row r="35" spans="1:15" ht="20" customHeight="1" x14ac:dyDescent="0.2">
      <c r="A35" s="3">
        <v>31</v>
      </c>
      <c r="B35" s="19"/>
      <c r="C35" s="4" t="s">
        <v>4763</v>
      </c>
      <c r="D35" s="4" t="s">
        <v>48</v>
      </c>
      <c r="E35" s="4" t="s">
        <v>121</v>
      </c>
      <c r="F35" s="8"/>
      <c r="G35" s="8"/>
      <c r="H35" s="8"/>
      <c r="I35" s="8"/>
      <c r="J35" s="8"/>
      <c r="K35" s="8">
        <v>1</v>
      </c>
      <c r="L35" s="18">
        <v>25600</v>
      </c>
      <c r="M35" s="7">
        <f t="shared" si="0"/>
        <v>25600</v>
      </c>
      <c r="N35" s="4"/>
      <c r="O35" s="9"/>
    </row>
    <row r="36" spans="1:15" ht="20" customHeight="1" x14ac:dyDescent="0.2">
      <c r="A36" s="3">
        <v>32</v>
      </c>
      <c r="B36" s="19"/>
      <c r="C36" s="4" t="s">
        <v>4764</v>
      </c>
      <c r="D36" s="4" t="s">
        <v>48</v>
      </c>
      <c r="E36" s="4" t="s">
        <v>121</v>
      </c>
      <c r="F36" s="8"/>
      <c r="G36" s="8"/>
      <c r="H36" s="8"/>
      <c r="I36" s="8"/>
      <c r="J36" s="8"/>
      <c r="K36" s="8">
        <v>1</v>
      </c>
      <c r="L36" s="18">
        <v>124800</v>
      </c>
      <c r="M36" s="7">
        <f t="shared" si="0"/>
        <v>124800</v>
      </c>
      <c r="N36" s="4"/>
      <c r="O36" s="9"/>
    </row>
    <row r="37" spans="1:15" ht="20" customHeight="1" x14ac:dyDescent="0.2">
      <c r="A37" s="3">
        <v>33</v>
      </c>
      <c r="B37" s="19"/>
      <c r="C37" s="4" t="s">
        <v>4765</v>
      </c>
      <c r="D37" s="4" t="s">
        <v>48</v>
      </c>
      <c r="E37" s="4" t="s">
        <v>121</v>
      </c>
      <c r="F37" s="8"/>
      <c r="G37" s="8"/>
      <c r="H37" s="8"/>
      <c r="I37" s="8"/>
      <c r="J37" s="8"/>
      <c r="K37" s="8">
        <v>1</v>
      </c>
      <c r="L37" s="18">
        <v>230400</v>
      </c>
      <c r="M37" s="7">
        <f t="shared" ref="M37:M68" si="1">IF(OR(K37="",L37=""),"",K37*L37)</f>
        <v>230400</v>
      </c>
      <c r="N37" s="4"/>
      <c r="O37" s="9"/>
    </row>
    <row r="38" spans="1:15" ht="20" customHeight="1" x14ac:dyDescent="0.2">
      <c r="A38" s="3">
        <v>34</v>
      </c>
      <c r="B38" s="19"/>
      <c r="C38" s="4" t="s">
        <v>4766</v>
      </c>
      <c r="D38" s="4" t="s">
        <v>48</v>
      </c>
      <c r="E38" s="4" t="s">
        <v>121</v>
      </c>
      <c r="F38" s="8"/>
      <c r="G38" s="8"/>
      <c r="H38" s="8"/>
      <c r="I38" s="8"/>
      <c r="J38" s="8"/>
      <c r="K38" s="8">
        <v>0</v>
      </c>
      <c r="L38" s="18">
        <v>0</v>
      </c>
      <c r="M38" s="7">
        <f t="shared" si="1"/>
        <v>0</v>
      </c>
      <c r="N38" s="4"/>
      <c r="O38" s="9"/>
    </row>
    <row r="39" spans="1:15" ht="20" customHeight="1" x14ac:dyDescent="0.2">
      <c r="A39" s="3">
        <v>35</v>
      </c>
      <c r="B39" s="19"/>
      <c r="C39" s="4" t="s">
        <v>4767</v>
      </c>
      <c r="D39" s="4" t="s">
        <v>48</v>
      </c>
      <c r="E39" s="4" t="s">
        <v>121</v>
      </c>
      <c r="F39" s="8"/>
      <c r="G39" s="8"/>
      <c r="H39" s="8"/>
      <c r="I39" s="8"/>
      <c r="J39" s="8"/>
      <c r="K39" s="8">
        <v>0</v>
      </c>
      <c r="L39" s="18">
        <v>0</v>
      </c>
      <c r="M39" s="7">
        <f t="shared" si="1"/>
        <v>0</v>
      </c>
      <c r="N39" s="4"/>
      <c r="O39" s="9"/>
    </row>
    <row r="40" spans="1:15" ht="20" customHeight="1" x14ac:dyDescent="0.2">
      <c r="A40" s="3">
        <v>36</v>
      </c>
      <c r="B40" s="19"/>
      <c r="C40" s="4" t="s">
        <v>4768</v>
      </c>
      <c r="D40" s="4" t="s">
        <v>48</v>
      </c>
      <c r="E40" s="4" t="s">
        <v>121</v>
      </c>
      <c r="F40" s="8"/>
      <c r="G40" s="8"/>
      <c r="H40" s="8"/>
      <c r="I40" s="8"/>
      <c r="J40" s="8"/>
      <c r="K40" s="8">
        <v>0</v>
      </c>
      <c r="L40" s="18">
        <v>0</v>
      </c>
      <c r="M40" s="7">
        <f t="shared" si="1"/>
        <v>0</v>
      </c>
      <c r="N40" s="4"/>
      <c r="O40" s="9"/>
    </row>
    <row r="41" spans="1:15" ht="20" customHeight="1" x14ac:dyDescent="0.2">
      <c r="A41" s="3">
        <v>37</v>
      </c>
      <c r="B41" s="19"/>
      <c r="C41" s="4" t="s">
        <v>4769</v>
      </c>
      <c r="D41" s="4" t="s">
        <v>48</v>
      </c>
      <c r="E41" s="4" t="s">
        <v>121</v>
      </c>
      <c r="F41" s="8"/>
      <c r="G41" s="8"/>
      <c r="H41" s="8"/>
      <c r="I41" s="8"/>
      <c r="J41" s="8"/>
      <c r="K41" s="8">
        <v>0</v>
      </c>
      <c r="L41" s="18">
        <v>0</v>
      </c>
      <c r="M41" s="7">
        <f t="shared" si="1"/>
        <v>0</v>
      </c>
      <c r="N41" s="4"/>
      <c r="O41" s="9"/>
    </row>
    <row r="42" spans="1:15" ht="20" customHeight="1" x14ac:dyDescent="0.2">
      <c r="A42" s="3">
        <v>38</v>
      </c>
      <c r="B42" s="19"/>
      <c r="C42" s="4" t="s">
        <v>4770</v>
      </c>
      <c r="D42" s="4" t="s">
        <v>48</v>
      </c>
      <c r="E42" s="4" t="s">
        <v>121</v>
      </c>
      <c r="F42" s="8"/>
      <c r="G42" s="8"/>
      <c r="H42" s="8"/>
      <c r="I42" s="8"/>
      <c r="J42" s="8"/>
      <c r="K42" s="8">
        <v>1</v>
      </c>
      <c r="L42" s="18">
        <v>34666.68</v>
      </c>
      <c r="M42" s="7">
        <f t="shared" si="1"/>
        <v>34666.68</v>
      </c>
      <c r="N42" s="4"/>
      <c r="O42" s="9"/>
    </row>
    <row r="43" spans="1:15" ht="20" customHeight="1" x14ac:dyDescent="0.2">
      <c r="A43" s="3">
        <v>39</v>
      </c>
      <c r="B43" s="19"/>
      <c r="C43" s="4" t="s">
        <v>4771</v>
      </c>
      <c r="D43" s="4" t="s">
        <v>48</v>
      </c>
      <c r="E43" s="4" t="s">
        <v>121</v>
      </c>
      <c r="F43" s="8"/>
      <c r="G43" s="8"/>
      <c r="H43" s="8"/>
      <c r="I43" s="8"/>
      <c r="J43" s="8"/>
      <c r="K43" s="8">
        <v>0</v>
      </c>
      <c r="L43" s="18">
        <v>0</v>
      </c>
      <c r="M43" s="7">
        <f t="shared" si="1"/>
        <v>0</v>
      </c>
      <c r="N43" s="4"/>
      <c r="O43" s="9"/>
    </row>
    <row r="44" spans="1:15" ht="20" customHeight="1" x14ac:dyDescent="0.2">
      <c r="A44" s="3">
        <v>40</v>
      </c>
      <c r="B44" s="19"/>
      <c r="C44" s="4" t="s">
        <v>4772</v>
      </c>
      <c r="D44" s="4" t="s">
        <v>48</v>
      </c>
      <c r="E44" s="4" t="s">
        <v>121</v>
      </c>
      <c r="F44" s="8"/>
      <c r="G44" s="8"/>
      <c r="H44" s="8"/>
      <c r="I44" s="8"/>
      <c r="J44" s="8"/>
      <c r="K44" s="8">
        <v>0</v>
      </c>
      <c r="L44" s="18">
        <v>0</v>
      </c>
      <c r="M44" s="7">
        <f t="shared" si="1"/>
        <v>0</v>
      </c>
      <c r="N44" s="4"/>
      <c r="O44" s="9"/>
    </row>
    <row r="45" spans="1:15" ht="20" customHeight="1" x14ac:dyDescent="0.2">
      <c r="A45" s="3">
        <v>41</v>
      </c>
      <c r="B45" s="19"/>
      <c r="C45" s="4" t="s">
        <v>4773</v>
      </c>
      <c r="D45" s="4" t="s">
        <v>48</v>
      </c>
      <c r="E45" s="4" t="s">
        <v>121</v>
      </c>
      <c r="F45" s="8"/>
      <c r="G45" s="8"/>
      <c r="H45" s="8"/>
      <c r="I45" s="8"/>
      <c r="J45" s="8"/>
      <c r="K45" s="8">
        <v>0</v>
      </c>
      <c r="L45" s="18">
        <v>0</v>
      </c>
      <c r="M45" s="7">
        <f t="shared" si="1"/>
        <v>0</v>
      </c>
      <c r="N45" s="4"/>
      <c r="O45" s="9"/>
    </row>
    <row r="46" spans="1:15" ht="20" customHeight="1" x14ac:dyDescent="0.2">
      <c r="A46" s="3">
        <v>42</v>
      </c>
      <c r="B46" s="19"/>
      <c r="C46" s="4" t="s">
        <v>4774</v>
      </c>
      <c r="D46" s="4" t="s">
        <v>48</v>
      </c>
      <c r="E46" s="4" t="s">
        <v>121</v>
      </c>
      <c r="F46" s="8"/>
      <c r="G46" s="8"/>
      <c r="H46" s="8"/>
      <c r="I46" s="8"/>
      <c r="J46" s="8"/>
      <c r="K46" s="8">
        <v>0</v>
      </c>
      <c r="L46" s="18">
        <v>0</v>
      </c>
      <c r="M46" s="7">
        <f t="shared" si="1"/>
        <v>0</v>
      </c>
      <c r="N46" s="4"/>
      <c r="O46" s="9"/>
    </row>
    <row r="47" spans="1:15" ht="20" customHeight="1" x14ac:dyDescent="0.2">
      <c r="A47" s="3">
        <v>43</v>
      </c>
      <c r="B47" s="19"/>
      <c r="C47" s="4" t="s">
        <v>4775</v>
      </c>
      <c r="D47" s="4" t="s">
        <v>48</v>
      </c>
      <c r="E47" s="4" t="s">
        <v>121</v>
      </c>
      <c r="F47" s="8"/>
      <c r="G47" s="8"/>
      <c r="H47" s="8"/>
      <c r="I47" s="8"/>
      <c r="J47" s="8"/>
      <c r="K47" s="8">
        <v>0</v>
      </c>
      <c r="L47" s="18">
        <v>0</v>
      </c>
      <c r="M47" s="7">
        <f t="shared" si="1"/>
        <v>0</v>
      </c>
      <c r="N47" s="4"/>
      <c r="O47" s="9"/>
    </row>
    <row r="48" spans="1:15" ht="20" customHeight="1" x14ac:dyDescent="0.2">
      <c r="A48" s="3">
        <v>44</v>
      </c>
      <c r="B48" s="19"/>
      <c r="C48" s="4" t="s">
        <v>4776</v>
      </c>
      <c r="D48" s="4" t="s">
        <v>48</v>
      </c>
      <c r="E48" s="4" t="s">
        <v>121</v>
      </c>
      <c r="F48" s="8"/>
      <c r="G48" s="8"/>
      <c r="H48" s="8"/>
      <c r="I48" s="8"/>
      <c r="J48" s="8"/>
      <c r="K48" s="8">
        <v>0</v>
      </c>
      <c r="L48" s="18">
        <v>0</v>
      </c>
      <c r="M48" s="7">
        <f t="shared" si="1"/>
        <v>0</v>
      </c>
      <c r="N48" s="4"/>
      <c r="O48" s="9"/>
    </row>
    <row r="49" spans="1:15" ht="20" customHeight="1" x14ac:dyDescent="0.2">
      <c r="A49" s="3">
        <v>45</v>
      </c>
      <c r="B49" s="19"/>
      <c r="C49" s="4" t="s">
        <v>4777</v>
      </c>
      <c r="D49" s="4" t="s">
        <v>48</v>
      </c>
      <c r="E49" s="4" t="s">
        <v>121</v>
      </c>
      <c r="F49" s="8"/>
      <c r="G49" s="8"/>
      <c r="H49" s="8"/>
      <c r="I49" s="8"/>
      <c r="J49" s="8"/>
      <c r="K49" s="8">
        <v>1</v>
      </c>
      <c r="L49" s="18">
        <v>21333.32</v>
      </c>
      <c r="M49" s="7">
        <f t="shared" si="1"/>
        <v>21333.32</v>
      </c>
      <c r="N49" s="4"/>
      <c r="O49" s="9"/>
    </row>
    <row r="50" spans="1:15" ht="20" customHeight="1" x14ac:dyDescent="0.2">
      <c r="A50" s="3">
        <v>46</v>
      </c>
      <c r="B50" s="19"/>
      <c r="C50" s="4" t="s">
        <v>4778</v>
      </c>
      <c r="D50" s="4" t="s">
        <v>48</v>
      </c>
      <c r="E50" s="4" t="s">
        <v>121</v>
      </c>
      <c r="F50" s="8"/>
      <c r="G50" s="8"/>
      <c r="H50" s="8"/>
      <c r="I50" s="8"/>
      <c r="J50" s="8"/>
      <c r="K50" s="8">
        <v>0</v>
      </c>
      <c r="L50" s="18">
        <v>0</v>
      </c>
      <c r="M50" s="7">
        <f t="shared" si="1"/>
        <v>0</v>
      </c>
      <c r="N50" s="4"/>
      <c r="O50" s="9"/>
    </row>
    <row r="51" spans="1:15" ht="20" customHeight="1" x14ac:dyDescent="0.2">
      <c r="A51" s="3">
        <v>47</v>
      </c>
      <c r="B51" s="19"/>
      <c r="C51" s="4" t="s">
        <v>4779</v>
      </c>
      <c r="D51" s="4" t="s">
        <v>48</v>
      </c>
      <c r="E51" s="4" t="s">
        <v>121</v>
      </c>
      <c r="F51" s="8"/>
      <c r="G51" s="8"/>
      <c r="H51" s="8"/>
      <c r="I51" s="8"/>
      <c r="J51" s="8"/>
      <c r="K51" s="8">
        <v>0</v>
      </c>
      <c r="L51" s="18">
        <v>0</v>
      </c>
      <c r="M51" s="7">
        <f t="shared" si="1"/>
        <v>0</v>
      </c>
      <c r="N51" s="4"/>
      <c r="O51" s="9"/>
    </row>
    <row r="52" spans="1:15" ht="20" customHeight="1" x14ac:dyDescent="0.2">
      <c r="A52" s="3">
        <v>48</v>
      </c>
      <c r="B52" s="19"/>
      <c r="C52" s="4" t="s">
        <v>4780</v>
      </c>
      <c r="D52" s="4" t="s">
        <v>48</v>
      </c>
      <c r="E52" s="4" t="s">
        <v>121</v>
      </c>
      <c r="F52" s="8"/>
      <c r="G52" s="8"/>
      <c r="H52" s="8"/>
      <c r="I52" s="8"/>
      <c r="J52" s="8"/>
      <c r="K52" s="8">
        <v>0</v>
      </c>
      <c r="L52" s="18">
        <v>0</v>
      </c>
      <c r="M52" s="7">
        <f t="shared" si="1"/>
        <v>0</v>
      </c>
      <c r="N52" s="4"/>
      <c r="O52" s="9"/>
    </row>
    <row r="53" spans="1:15" ht="20" customHeight="1" x14ac:dyDescent="0.2">
      <c r="A53" s="3">
        <v>49</v>
      </c>
      <c r="B53" s="19"/>
      <c r="C53" s="4" t="s">
        <v>4781</v>
      </c>
      <c r="D53" s="4" t="s">
        <v>48</v>
      </c>
      <c r="E53" s="4" t="s">
        <v>121</v>
      </c>
      <c r="F53" s="8"/>
      <c r="G53" s="8"/>
      <c r="H53" s="8"/>
      <c r="I53" s="8"/>
      <c r="J53" s="8"/>
      <c r="K53" s="8">
        <v>0</v>
      </c>
      <c r="L53" s="18">
        <v>0</v>
      </c>
      <c r="M53" s="7">
        <f t="shared" si="1"/>
        <v>0</v>
      </c>
      <c r="N53" s="4"/>
      <c r="O53" s="9"/>
    </row>
    <row r="54" spans="1:15" ht="20" customHeight="1" x14ac:dyDescent="0.2">
      <c r="A54" s="3">
        <v>50</v>
      </c>
      <c r="B54" s="19"/>
      <c r="C54" s="4" t="s">
        <v>4782</v>
      </c>
      <c r="D54" s="4" t="s">
        <v>48</v>
      </c>
      <c r="E54" s="4" t="s">
        <v>121</v>
      </c>
      <c r="F54" s="8"/>
      <c r="G54" s="8"/>
      <c r="H54" s="8"/>
      <c r="I54" s="8"/>
      <c r="J54" s="8"/>
      <c r="K54" s="8">
        <v>0</v>
      </c>
      <c r="L54" s="18">
        <v>0</v>
      </c>
      <c r="M54" s="7">
        <f t="shared" si="1"/>
        <v>0</v>
      </c>
      <c r="N54" s="4"/>
      <c r="O54" s="9"/>
    </row>
    <row r="55" spans="1:15" ht="20" customHeight="1" x14ac:dyDescent="0.2">
      <c r="A55" s="3">
        <v>51</v>
      </c>
      <c r="B55" s="19"/>
      <c r="C55" s="4" t="s">
        <v>4783</v>
      </c>
      <c r="D55" s="4" t="s">
        <v>48</v>
      </c>
      <c r="E55" s="4" t="s">
        <v>121</v>
      </c>
      <c r="F55" s="8"/>
      <c r="G55" s="8"/>
      <c r="H55" s="8"/>
      <c r="I55" s="8"/>
      <c r="J55" s="8"/>
      <c r="K55" s="8">
        <v>0</v>
      </c>
      <c r="L55" s="18">
        <v>0</v>
      </c>
      <c r="M55" s="7">
        <f t="shared" si="1"/>
        <v>0</v>
      </c>
      <c r="N55" s="4"/>
      <c r="O55" s="9"/>
    </row>
    <row r="56" spans="1:15" ht="20" customHeight="1" x14ac:dyDescent="0.2">
      <c r="A56" s="3">
        <v>52</v>
      </c>
      <c r="B56" s="19"/>
      <c r="C56" s="4" t="s">
        <v>4784</v>
      </c>
      <c r="D56" s="4" t="s">
        <v>48</v>
      </c>
      <c r="E56" s="4" t="s">
        <v>150</v>
      </c>
      <c r="F56" s="8"/>
      <c r="G56" s="8"/>
      <c r="H56" s="8"/>
      <c r="I56" s="8"/>
      <c r="J56" s="8"/>
      <c r="K56" s="8">
        <v>0</v>
      </c>
      <c r="L56" s="18">
        <v>0</v>
      </c>
      <c r="M56" s="7">
        <f t="shared" si="1"/>
        <v>0</v>
      </c>
      <c r="N56" s="4"/>
      <c r="O56" s="9"/>
    </row>
    <row r="57" spans="1:15" ht="20" customHeight="1" x14ac:dyDescent="0.2">
      <c r="A57" s="3">
        <v>53</v>
      </c>
      <c r="B57" s="19"/>
      <c r="C57" s="4" t="s">
        <v>4785</v>
      </c>
      <c r="D57" s="4" t="s">
        <v>48</v>
      </c>
      <c r="E57" s="4" t="s">
        <v>110</v>
      </c>
      <c r="F57" s="8"/>
      <c r="G57" s="8"/>
      <c r="H57" s="8"/>
      <c r="I57" s="8"/>
      <c r="J57" s="8"/>
      <c r="K57" s="8">
        <v>1</v>
      </c>
      <c r="L57" s="18">
        <v>207580</v>
      </c>
      <c r="M57" s="7">
        <f t="shared" si="1"/>
        <v>207580</v>
      </c>
      <c r="N57" s="4"/>
      <c r="O57" s="9"/>
    </row>
    <row r="58" spans="1:15" ht="20" customHeight="1" x14ac:dyDescent="0.2">
      <c r="A58" s="3">
        <v>54</v>
      </c>
      <c r="B58" s="19"/>
      <c r="C58" s="4" t="s">
        <v>4786</v>
      </c>
      <c r="D58" s="4" t="s">
        <v>48</v>
      </c>
      <c r="E58" s="4" t="s">
        <v>121</v>
      </c>
      <c r="F58" s="8"/>
      <c r="G58" s="8"/>
      <c r="H58" s="8"/>
      <c r="I58" s="8"/>
      <c r="J58" s="8"/>
      <c r="K58" s="8">
        <v>1</v>
      </c>
      <c r="L58" s="18">
        <v>37333.32</v>
      </c>
      <c r="M58" s="7">
        <f t="shared" si="1"/>
        <v>37333.32</v>
      </c>
      <c r="N58" s="4"/>
      <c r="O58" s="9"/>
    </row>
    <row r="59" spans="1:15" ht="20" customHeight="1" x14ac:dyDescent="0.2">
      <c r="A59" s="3">
        <v>55</v>
      </c>
      <c r="B59" s="19"/>
      <c r="C59" s="4" t="s">
        <v>4787</v>
      </c>
      <c r="D59" s="4" t="s">
        <v>48</v>
      </c>
      <c r="E59" s="4" t="s">
        <v>121</v>
      </c>
      <c r="F59" s="8"/>
      <c r="G59" s="8"/>
      <c r="H59" s="8"/>
      <c r="I59" s="8"/>
      <c r="J59" s="8"/>
      <c r="K59" s="8">
        <v>0</v>
      </c>
      <c r="L59" s="18">
        <v>0</v>
      </c>
      <c r="M59" s="7">
        <f t="shared" si="1"/>
        <v>0</v>
      </c>
      <c r="N59" s="4"/>
      <c r="O59" s="9"/>
    </row>
    <row r="60" spans="1:15" ht="20" customHeight="1" x14ac:dyDescent="0.2">
      <c r="A60" s="3">
        <v>56</v>
      </c>
      <c r="B60" s="19"/>
      <c r="C60" s="4" t="s">
        <v>4788</v>
      </c>
      <c r="D60" s="4" t="s">
        <v>48</v>
      </c>
      <c r="E60" s="4" t="s">
        <v>121</v>
      </c>
      <c r="F60" s="8"/>
      <c r="G60" s="8"/>
      <c r="H60" s="8"/>
      <c r="I60" s="8"/>
      <c r="J60" s="8"/>
      <c r="K60" s="8">
        <v>0</v>
      </c>
      <c r="L60" s="18">
        <v>0</v>
      </c>
      <c r="M60" s="7">
        <f t="shared" si="1"/>
        <v>0</v>
      </c>
      <c r="N60" s="4"/>
      <c r="O60" s="9"/>
    </row>
    <row r="61" spans="1:15" ht="20" customHeight="1" x14ac:dyDescent="0.2">
      <c r="A61" s="3">
        <v>57</v>
      </c>
      <c r="B61" s="19"/>
      <c r="C61" s="4" t="s">
        <v>4789</v>
      </c>
      <c r="D61" s="4" t="s">
        <v>48</v>
      </c>
      <c r="E61" s="4" t="s">
        <v>121</v>
      </c>
      <c r="F61" s="8"/>
      <c r="G61" s="8"/>
      <c r="H61" s="8"/>
      <c r="I61" s="8"/>
      <c r="J61" s="8"/>
      <c r="K61" s="8">
        <v>0</v>
      </c>
      <c r="L61" s="18">
        <v>0</v>
      </c>
      <c r="M61" s="7">
        <f t="shared" si="1"/>
        <v>0</v>
      </c>
      <c r="N61" s="4"/>
      <c r="O61" s="9"/>
    </row>
    <row r="62" spans="1:15" ht="20" customHeight="1" x14ac:dyDescent="0.2">
      <c r="A62" s="3">
        <v>58</v>
      </c>
      <c r="B62" s="19"/>
      <c r="C62" s="4" t="s">
        <v>4790</v>
      </c>
      <c r="D62" s="4" t="s">
        <v>48</v>
      </c>
      <c r="E62" s="4" t="s">
        <v>121</v>
      </c>
      <c r="F62" s="8"/>
      <c r="G62" s="8"/>
      <c r="H62" s="8"/>
      <c r="I62" s="8"/>
      <c r="J62" s="8"/>
      <c r="K62" s="8">
        <v>0</v>
      </c>
      <c r="L62" s="18">
        <v>0</v>
      </c>
      <c r="M62" s="7">
        <f t="shared" si="1"/>
        <v>0</v>
      </c>
      <c r="N62" s="4"/>
      <c r="O62" s="9"/>
    </row>
    <row r="63" spans="1:15" ht="20" customHeight="1" x14ac:dyDescent="0.2">
      <c r="A63" s="3">
        <v>59</v>
      </c>
      <c r="B63" s="19"/>
      <c r="C63" s="4" t="s">
        <v>4791</v>
      </c>
      <c r="D63" s="4" t="s">
        <v>48</v>
      </c>
      <c r="E63" s="4" t="s">
        <v>121</v>
      </c>
      <c r="F63" s="8"/>
      <c r="G63" s="8"/>
      <c r="H63" s="8"/>
      <c r="I63" s="8"/>
      <c r="J63" s="8"/>
      <c r="K63" s="8">
        <v>1</v>
      </c>
      <c r="L63" s="18">
        <v>4266.68</v>
      </c>
      <c r="M63" s="7">
        <f t="shared" si="1"/>
        <v>4266.68</v>
      </c>
      <c r="N63" s="4"/>
      <c r="O63" s="9"/>
    </row>
    <row r="64" spans="1:15" ht="20" customHeight="1" x14ac:dyDescent="0.2">
      <c r="A64" s="3">
        <v>60</v>
      </c>
      <c r="B64" s="19"/>
      <c r="C64" s="4" t="s">
        <v>4792</v>
      </c>
      <c r="D64" s="4" t="s">
        <v>48</v>
      </c>
      <c r="E64" s="4" t="s">
        <v>121</v>
      </c>
      <c r="F64" s="8"/>
      <c r="G64" s="8"/>
      <c r="H64" s="8"/>
      <c r="I64" s="8"/>
      <c r="J64" s="8"/>
      <c r="K64" s="8">
        <v>1</v>
      </c>
      <c r="L64" s="18">
        <v>3640</v>
      </c>
      <c r="M64" s="7">
        <f t="shared" si="1"/>
        <v>3640</v>
      </c>
      <c r="N64" s="4"/>
      <c r="O64" s="9"/>
    </row>
    <row r="65" spans="1:15" ht="20" customHeight="1" x14ac:dyDescent="0.2">
      <c r="A65" s="3">
        <v>61</v>
      </c>
      <c r="B65" s="19"/>
      <c r="C65" s="4" t="s">
        <v>4793</v>
      </c>
      <c r="D65" s="4" t="s">
        <v>48</v>
      </c>
      <c r="E65" s="4" t="s">
        <v>121</v>
      </c>
      <c r="F65" s="8"/>
      <c r="G65" s="8"/>
      <c r="H65" s="8"/>
      <c r="I65" s="8"/>
      <c r="J65" s="8"/>
      <c r="K65" s="8">
        <v>0</v>
      </c>
      <c r="L65" s="18">
        <v>0</v>
      </c>
      <c r="M65" s="7">
        <f t="shared" si="1"/>
        <v>0</v>
      </c>
      <c r="N65" s="4"/>
      <c r="O65" s="9"/>
    </row>
    <row r="66" spans="1:15" ht="20" customHeight="1" x14ac:dyDescent="0.2">
      <c r="A66" s="3">
        <v>62</v>
      </c>
      <c r="B66" s="19"/>
      <c r="C66" s="4" t="s">
        <v>4794</v>
      </c>
      <c r="D66" s="4" t="s">
        <v>48</v>
      </c>
      <c r="E66" s="4" t="s">
        <v>121</v>
      </c>
      <c r="F66" s="8"/>
      <c r="G66" s="8"/>
      <c r="H66" s="8"/>
      <c r="I66" s="8"/>
      <c r="J66" s="8"/>
      <c r="K66" s="8">
        <v>0</v>
      </c>
      <c r="L66" s="18">
        <v>0</v>
      </c>
      <c r="M66" s="7">
        <f t="shared" si="1"/>
        <v>0</v>
      </c>
      <c r="N66" s="4"/>
      <c r="O66" s="9"/>
    </row>
    <row r="67" spans="1:15" ht="20" customHeight="1" x14ac:dyDescent="0.2">
      <c r="A67" s="3">
        <v>63</v>
      </c>
      <c r="B67" s="19"/>
      <c r="C67" s="4" t="s">
        <v>4795</v>
      </c>
      <c r="D67" s="4" t="s">
        <v>48</v>
      </c>
      <c r="E67" s="4" t="s">
        <v>121</v>
      </c>
      <c r="F67" s="8"/>
      <c r="G67" s="8"/>
      <c r="H67" s="8"/>
      <c r="I67" s="8"/>
      <c r="J67" s="8"/>
      <c r="K67" s="8">
        <v>0</v>
      </c>
      <c r="L67" s="18">
        <v>0</v>
      </c>
      <c r="M67" s="7">
        <f t="shared" si="1"/>
        <v>0</v>
      </c>
      <c r="N67" s="4"/>
      <c r="O67" s="9"/>
    </row>
    <row r="68" spans="1:15" ht="20" customHeight="1" x14ac:dyDescent="0.2">
      <c r="A68" s="3">
        <v>64</v>
      </c>
      <c r="B68" s="19"/>
      <c r="C68" s="4" t="s">
        <v>4796</v>
      </c>
      <c r="D68" s="4" t="s">
        <v>48</v>
      </c>
      <c r="E68" s="4" t="s">
        <v>121</v>
      </c>
      <c r="F68" s="8"/>
      <c r="G68" s="8"/>
      <c r="H68" s="8"/>
      <c r="I68" s="8"/>
      <c r="J68" s="8"/>
      <c r="K68" s="8">
        <v>0</v>
      </c>
      <c r="L68" s="18">
        <v>0</v>
      </c>
      <c r="M68" s="7">
        <f t="shared" si="1"/>
        <v>0</v>
      </c>
      <c r="N68" s="4"/>
      <c r="O68" s="9"/>
    </row>
    <row r="69" spans="1:15" ht="20" customHeight="1" x14ac:dyDescent="0.2">
      <c r="A69" s="3">
        <v>65</v>
      </c>
      <c r="B69" s="19"/>
      <c r="C69" s="4" t="s">
        <v>4797</v>
      </c>
      <c r="D69" s="4" t="s">
        <v>48</v>
      </c>
      <c r="E69" s="4" t="s">
        <v>121</v>
      </c>
      <c r="F69" s="8"/>
      <c r="G69" s="8"/>
      <c r="H69" s="8"/>
      <c r="I69" s="8"/>
      <c r="J69" s="8"/>
      <c r="K69" s="8">
        <v>0</v>
      </c>
      <c r="L69" s="18">
        <v>0</v>
      </c>
      <c r="M69" s="7">
        <f t="shared" ref="M69:M100" si="2">IF(OR(K69="",L69=""),"",K69*L69)</f>
        <v>0</v>
      </c>
      <c r="N69" s="4"/>
      <c r="O69" s="9"/>
    </row>
    <row r="70" spans="1:15" ht="20" customHeight="1" x14ac:dyDescent="0.2">
      <c r="A70" s="3">
        <v>66</v>
      </c>
      <c r="B70" s="19"/>
      <c r="C70" s="4" t="s">
        <v>4798</v>
      </c>
      <c r="D70" s="4" t="s">
        <v>48</v>
      </c>
      <c r="E70" s="4" t="s">
        <v>121</v>
      </c>
      <c r="F70" s="8"/>
      <c r="G70" s="8"/>
      <c r="H70" s="8"/>
      <c r="I70" s="8"/>
      <c r="J70" s="8"/>
      <c r="K70" s="8">
        <v>0</v>
      </c>
      <c r="L70" s="18">
        <v>0</v>
      </c>
      <c r="M70" s="7">
        <f t="shared" si="2"/>
        <v>0</v>
      </c>
      <c r="N70" s="4"/>
      <c r="O70" s="9"/>
    </row>
    <row r="71" spans="1:15" ht="20" customHeight="1" x14ac:dyDescent="0.2">
      <c r="A71" s="3">
        <v>67</v>
      </c>
      <c r="B71" s="19"/>
      <c r="C71" s="4" t="s">
        <v>4799</v>
      </c>
      <c r="D71" s="4" t="s">
        <v>48</v>
      </c>
      <c r="E71" s="4" t="s">
        <v>121</v>
      </c>
      <c r="F71" s="8"/>
      <c r="G71" s="8"/>
      <c r="H71" s="8"/>
      <c r="I71" s="8"/>
      <c r="J71" s="8"/>
      <c r="K71" s="8">
        <v>1</v>
      </c>
      <c r="L71" s="18">
        <v>7200</v>
      </c>
      <c r="M71" s="7">
        <f t="shared" si="2"/>
        <v>7200</v>
      </c>
      <c r="N71" s="4"/>
      <c r="O71" s="9"/>
    </row>
    <row r="72" spans="1:15" ht="20" customHeight="1" x14ac:dyDescent="0.2">
      <c r="A72" s="3">
        <v>68</v>
      </c>
      <c r="B72" s="19"/>
      <c r="C72" s="4" t="s">
        <v>4800</v>
      </c>
      <c r="D72" s="4" t="s">
        <v>48</v>
      </c>
      <c r="E72" s="4" t="s">
        <v>121</v>
      </c>
      <c r="F72" s="8"/>
      <c r="G72" s="8"/>
      <c r="H72" s="8"/>
      <c r="I72" s="8"/>
      <c r="J72" s="8"/>
      <c r="K72" s="8">
        <v>1</v>
      </c>
      <c r="L72" s="18">
        <v>5146.68</v>
      </c>
      <c r="M72" s="7">
        <f t="shared" si="2"/>
        <v>5146.68</v>
      </c>
      <c r="N72" s="4"/>
      <c r="O72" s="9"/>
    </row>
    <row r="73" spans="1:15" ht="20" customHeight="1" x14ac:dyDescent="0.2">
      <c r="A73" s="3">
        <v>69</v>
      </c>
      <c r="B73" s="19"/>
      <c r="C73" s="4" t="s">
        <v>4801</v>
      </c>
      <c r="D73" s="4" t="s">
        <v>48</v>
      </c>
      <c r="E73" s="4" t="s">
        <v>121</v>
      </c>
      <c r="F73" s="8"/>
      <c r="G73" s="8"/>
      <c r="H73" s="8"/>
      <c r="I73" s="8"/>
      <c r="J73" s="8"/>
      <c r="K73" s="8">
        <v>0</v>
      </c>
      <c r="L73" s="18">
        <v>0</v>
      </c>
      <c r="M73" s="7">
        <f t="shared" si="2"/>
        <v>0</v>
      </c>
      <c r="N73" s="4"/>
      <c r="O73" s="9"/>
    </row>
    <row r="74" spans="1:15" ht="20" customHeight="1" x14ac:dyDescent="0.2">
      <c r="A74" s="3">
        <v>70</v>
      </c>
      <c r="B74" s="19"/>
      <c r="C74" s="4" t="s">
        <v>4802</v>
      </c>
      <c r="D74" s="4" t="s">
        <v>48</v>
      </c>
      <c r="E74" s="4" t="s">
        <v>121</v>
      </c>
      <c r="F74" s="8"/>
      <c r="G74" s="8"/>
      <c r="H74" s="8"/>
      <c r="I74" s="8"/>
      <c r="J74" s="8"/>
      <c r="K74" s="8">
        <v>0</v>
      </c>
      <c r="L74" s="18">
        <v>0</v>
      </c>
      <c r="M74" s="7">
        <f t="shared" si="2"/>
        <v>0</v>
      </c>
      <c r="N74" s="4"/>
      <c r="O74" s="9"/>
    </row>
    <row r="75" spans="1:15" ht="20" customHeight="1" x14ac:dyDescent="0.2">
      <c r="A75" s="3">
        <v>71</v>
      </c>
      <c r="B75" s="19"/>
      <c r="C75" s="4" t="s">
        <v>4803</v>
      </c>
      <c r="D75" s="4" t="s">
        <v>48</v>
      </c>
      <c r="E75" s="4" t="s">
        <v>121</v>
      </c>
      <c r="F75" s="8"/>
      <c r="G75" s="8"/>
      <c r="H75" s="8"/>
      <c r="I75" s="8"/>
      <c r="J75" s="8"/>
      <c r="K75" s="8">
        <v>0</v>
      </c>
      <c r="L75" s="18">
        <v>0</v>
      </c>
      <c r="M75" s="7">
        <f t="shared" si="2"/>
        <v>0</v>
      </c>
      <c r="N75" s="4"/>
      <c r="O75" s="9"/>
    </row>
    <row r="76" spans="1:15" ht="20" customHeight="1" x14ac:dyDescent="0.2">
      <c r="A76" s="3">
        <v>72</v>
      </c>
      <c r="B76" s="19"/>
      <c r="C76" s="4" t="s">
        <v>4804</v>
      </c>
      <c r="D76" s="4" t="s">
        <v>48</v>
      </c>
      <c r="E76" s="4" t="s">
        <v>121</v>
      </c>
      <c r="F76" s="8"/>
      <c r="G76" s="8"/>
      <c r="H76" s="8"/>
      <c r="I76" s="8"/>
      <c r="J76" s="8"/>
      <c r="K76" s="8">
        <v>0</v>
      </c>
      <c r="L76" s="18">
        <v>0</v>
      </c>
      <c r="M76" s="7">
        <f t="shared" si="2"/>
        <v>0</v>
      </c>
      <c r="N76" s="4"/>
      <c r="O76" s="9"/>
    </row>
    <row r="77" spans="1:15" ht="20" customHeight="1" x14ac:dyDescent="0.2">
      <c r="A77" s="3">
        <v>73</v>
      </c>
      <c r="B77" s="19"/>
      <c r="C77" s="4" t="s">
        <v>4805</v>
      </c>
      <c r="D77" s="4" t="s">
        <v>48</v>
      </c>
      <c r="E77" s="4" t="s">
        <v>121</v>
      </c>
      <c r="F77" s="8"/>
      <c r="G77" s="8"/>
      <c r="H77" s="8"/>
      <c r="I77" s="8"/>
      <c r="J77" s="8"/>
      <c r="K77" s="8">
        <v>0</v>
      </c>
      <c r="L77" s="18">
        <v>0</v>
      </c>
      <c r="M77" s="7">
        <f t="shared" si="2"/>
        <v>0</v>
      </c>
      <c r="N77" s="4"/>
      <c r="O77" s="9"/>
    </row>
    <row r="78" spans="1:15" ht="20" customHeight="1" x14ac:dyDescent="0.2">
      <c r="A78" s="3">
        <v>74</v>
      </c>
      <c r="B78" s="19"/>
      <c r="C78" s="4" t="s">
        <v>4806</v>
      </c>
      <c r="D78" s="4" t="s">
        <v>48</v>
      </c>
      <c r="E78" s="4" t="s">
        <v>121</v>
      </c>
      <c r="F78" s="8"/>
      <c r="G78" s="8"/>
      <c r="H78" s="8"/>
      <c r="I78" s="8"/>
      <c r="J78" s="8"/>
      <c r="K78" s="8">
        <v>0</v>
      </c>
      <c r="L78" s="18">
        <v>0</v>
      </c>
      <c r="M78" s="7">
        <f t="shared" si="2"/>
        <v>0</v>
      </c>
      <c r="N78" s="4"/>
      <c r="O78" s="9"/>
    </row>
    <row r="79" spans="1:15" ht="20" customHeight="1" x14ac:dyDescent="0.2">
      <c r="A79" s="3">
        <v>75</v>
      </c>
      <c r="B79" s="19"/>
      <c r="C79" s="4" t="s">
        <v>4807</v>
      </c>
      <c r="D79" s="4" t="s">
        <v>48</v>
      </c>
      <c r="E79" s="4" t="s">
        <v>121</v>
      </c>
      <c r="F79" s="8"/>
      <c r="G79" s="8"/>
      <c r="H79" s="8"/>
      <c r="I79" s="8"/>
      <c r="J79" s="8"/>
      <c r="K79" s="8">
        <v>1</v>
      </c>
      <c r="L79" s="18">
        <v>28000</v>
      </c>
      <c r="M79" s="7">
        <f t="shared" si="2"/>
        <v>28000</v>
      </c>
      <c r="N79" s="4"/>
      <c r="O79" s="9"/>
    </row>
    <row r="80" spans="1:15" ht="20" customHeight="1" x14ac:dyDescent="0.2">
      <c r="A80" s="3">
        <v>76</v>
      </c>
      <c r="B80" s="19"/>
      <c r="C80" s="4" t="s">
        <v>4808</v>
      </c>
      <c r="D80" s="4" t="s">
        <v>48</v>
      </c>
      <c r="E80" s="4" t="s">
        <v>121</v>
      </c>
      <c r="F80" s="8"/>
      <c r="G80" s="8"/>
      <c r="H80" s="8"/>
      <c r="I80" s="8"/>
      <c r="J80" s="8"/>
      <c r="K80" s="8">
        <v>0</v>
      </c>
      <c r="L80" s="18">
        <v>0</v>
      </c>
      <c r="M80" s="7">
        <f t="shared" si="2"/>
        <v>0</v>
      </c>
      <c r="N80" s="4"/>
      <c r="O80" s="9"/>
    </row>
    <row r="81" spans="1:15" ht="20" customHeight="1" x14ac:dyDescent="0.2">
      <c r="A81" s="3">
        <v>77</v>
      </c>
      <c r="B81" s="19"/>
      <c r="C81" s="4" t="s">
        <v>4809</v>
      </c>
      <c r="D81" s="4" t="s">
        <v>48</v>
      </c>
      <c r="E81" s="4" t="s">
        <v>121</v>
      </c>
      <c r="F81" s="8"/>
      <c r="G81" s="8"/>
      <c r="H81" s="8"/>
      <c r="I81" s="8"/>
      <c r="J81" s="8"/>
      <c r="K81" s="8">
        <v>0</v>
      </c>
      <c r="L81" s="18">
        <v>0</v>
      </c>
      <c r="M81" s="7">
        <f t="shared" si="2"/>
        <v>0</v>
      </c>
      <c r="N81" s="4"/>
      <c r="O81" s="9"/>
    </row>
    <row r="82" spans="1:15" ht="20" customHeight="1" x14ac:dyDescent="0.2">
      <c r="A82" s="3">
        <v>78</v>
      </c>
      <c r="B82" s="19"/>
      <c r="C82" s="4" t="s">
        <v>4810</v>
      </c>
      <c r="D82" s="4" t="s">
        <v>48</v>
      </c>
      <c r="E82" s="4" t="s">
        <v>121</v>
      </c>
      <c r="F82" s="8"/>
      <c r="G82" s="8"/>
      <c r="H82" s="8"/>
      <c r="I82" s="8"/>
      <c r="J82" s="8"/>
      <c r="K82" s="8">
        <v>0</v>
      </c>
      <c r="L82" s="18">
        <v>0</v>
      </c>
      <c r="M82" s="7">
        <f t="shared" si="2"/>
        <v>0</v>
      </c>
      <c r="N82" s="4"/>
      <c r="O82" s="9"/>
    </row>
    <row r="83" spans="1:15" ht="20" customHeight="1" x14ac:dyDescent="0.2">
      <c r="A83" s="3">
        <v>79</v>
      </c>
      <c r="B83" s="19"/>
      <c r="C83" s="4" t="s">
        <v>4811</v>
      </c>
      <c r="D83" s="4" t="s">
        <v>48</v>
      </c>
      <c r="E83" s="4" t="s">
        <v>121</v>
      </c>
      <c r="F83" s="8"/>
      <c r="G83" s="8"/>
      <c r="H83" s="8"/>
      <c r="I83" s="8"/>
      <c r="J83" s="8"/>
      <c r="K83" s="8">
        <v>0</v>
      </c>
      <c r="L83" s="18">
        <v>0</v>
      </c>
      <c r="M83" s="7">
        <f t="shared" si="2"/>
        <v>0</v>
      </c>
      <c r="N83" s="4"/>
      <c r="O83" s="9"/>
    </row>
    <row r="84" spans="1:15" ht="20" customHeight="1" x14ac:dyDescent="0.2">
      <c r="A84" s="3">
        <v>80</v>
      </c>
      <c r="B84" s="19"/>
      <c r="C84" s="4" t="s">
        <v>4812</v>
      </c>
      <c r="D84" s="4" t="s">
        <v>48</v>
      </c>
      <c r="E84" s="4" t="s">
        <v>150</v>
      </c>
      <c r="F84" s="8"/>
      <c r="G84" s="8"/>
      <c r="H84" s="8"/>
      <c r="I84" s="8"/>
      <c r="J84" s="8"/>
      <c r="K84" s="8">
        <v>0</v>
      </c>
      <c r="L84" s="18">
        <v>0</v>
      </c>
      <c r="M84" s="7">
        <f t="shared" si="2"/>
        <v>0</v>
      </c>
      <c r="N84" s="4"/>
      <c r="O84" s="9"/>
    </row>
    <row r="85" spans="1:15" ht="20" customHeight="1" x14ac:dyDescent="0.2">
      <c r="A85" s="3">
        <v>81</v>
      </c>
      <c r="B85" s="19"/>
      <c r="C85" s="4" t="s">
        <v>4813</v>
      </c>
      <c r="D85" s="4" t="s">
        <v>48</v>
      </c>
      <c r="E85" s="4" t="s">
        <v>121</v>
      </c>
      <c r="F85" s="8"/>
      <c r="G85" s="8"/>
      <c r="H85" s="8"/>
      <c r="I85" s="8"/>
      <c r="J85" s="8"/>
      <c r="K85" s="8">
        <v>0</v>
      </c>
      <c r="L85" s="18">
        <v>0</v>
      </c>
      <c r="M85" s="7">
        <f t="shared" si="2"/>
        <v>0</v>
      </c>
      <c r="N85" s="4"/>
      <c r="O85" s="9"/>
    </row>
    <row r="86" spans="1:15" ht="20" customHeight="1" x14ac:dyDescent="0.2">
      <c r="A86" s="3">
        <v>82</v>
      </c>
      <c r="B86" s="19"/>
      <c r="C86" s="4" t="s">
        <v>4814</v>
      </c>
      <c r="D86" s="4" t="s">
        <v>48</v>
      </c>
      <c r="E86" s="4" t="s">
        <v>121</v>
      </c>
      <c r="F86" s="8"/>
      <c r="G86" s="8"/>
      <c r="H86" s="8"/>
      <c r="I86" s="8"/>
      <c r="J86" s="8"/>
      <c r="K86" s="8">
        <v>0</v>
      </c>
      <c r="L86" s="18">
        <v>0</v>
      </c>
      <c r="M86" s="7">
        <f t="shared" si="2"/>
        <v>0</v>
      </c>
      <c r="N86" s="4"/>
      <c r="O86" s="9"/>
    </row>
    <row r="87" spans="1:15" ht="20" customHeight="1" x14ac:dyDescent="0.2">
      <c r="A87" s="3">
        <v>83</v>
      </c>
      <c r="B87" s="19"/>
      <c r="C87" s="4" t="s">
        <v>4815</v>
      </c>
      <c r="D87" s="4" t="s">
        <v>48</v>
      </c>
      <c r="E87" s="4" t="s">
        <v>121</v>
      </c>
      <c r="F87" s="8"/>
      <c r="G87" s="8"/>
      <c r="H87" s="8"/>
      <c r="I87" s="8"/>
      <c r="J87" s="8"/>
      <c r="K87" s="8">
        <v>0</v>
      </c>
      <c r="L87" s="18">
        <v>0</v>
      </c>
      <c r="M87" s="7">
        <f t="shared" si="2"/>
        <v>0</v>
      </c>
      <c r="N87" s="4"/>
      <c r="O87" s="9"/>
    </row>
    <row r="88" spans="1:15" ht="20" customHeight="1" x14ac:dyDescent="0.2">
      <c r="A88" s="3">
        <v>84</v>
      </c>
      <c r="B88" s="19"/>
      <c r="C88" s="4" t="s">
        <v>4816</v>
      </c>
      <c r="D88" s="4" t="s">
        <v>48</v>
      </c>
      <c r="E88" s="4" t="s">
        <v>921</v>
      </c>
      <c r="F88" s="8"/>
      <c r="G88" s="8"/>
      <c r="H88" s="8"/>
      <c r="I88" s="8"/>
      <c r="J88" s="8"/>
      <c r="K88" s="8">
        <v>0</v>
      </c>
      <c r="L88" s="18">
        <v>0</v>
      </c>
      <c r="M88" s="7">
        <f t="shared" si="2"/>
        <v>0</v>
      </c>
      <c r="N88" s="4"/>
      <c r="O88" s="9"/>
    </row>
    <row r="89" spans="1:15" ht="20" customHeight="1" x14ac:dyDescent="0.2">
      <c r="A89" s="3">
        <v>85</v>
      </c>
      <c r="B89" s="19"/>
      <c r="C89" s="4" t="s">
        <v>4817</v>
      </c>
      <c r="D89" s="4" t="s">
        <v>48</v>
      </c>
      <c r="E89" s="4" t="s">
        <v>121</v>
      </c>
      <c r="F89" s="8"/>
      <c r="G89" s="8"/>
      <c r="H89" s="8"/>
      <c r="I89" s="8"/>
      <c r="J89" s="8"/>
      <c r="K89" s="8">
        <v>1</v>
      </c>
      <c r="L89" s="18">
        <v>10800</v>
      </c>
      <c r="M89" s="7">
        <f t="shared" si="2"/>
        <v>10800</v>
      </c>
      <c r="N89" s="4"/>
      <c r="O89" s="9"/>
    </row>
    <row r="90" spans="1:15" ht="20" customHeight="1" x14ac:dyDescent="0.2">
      <c r="A90" s="3">
        <v>86</v>
      </c>
      <c r="B90" s="19"/>
      <c r="C90" s="4" t="s">
        <v>4818</v>
      </c>
      <c r="D90" s="4" t="s">
        <v>48</v>
      </c>
      <c r="E90" s="4" t="s">
        <v>121</v>
      </c>
      <c r="F90" s="8"/>
      <c r="G90" s="8"/>
      <c r="H90" s="8"/>
      <c r="I90" s="8"/>
      <c r="J90" s="8"/>
      <c r="K90" s="8">
        <v>1</v>
      </c>
      <c r="L90" s="18">
        <v>2000</v>
      </c>
      <c r="M90" s="7">
        <f t="shared" si="2"/>
        <v>2000</v>
      </c>
      <c r="N90" s="4"/>
      <c r="O90" s="9"/>
    </row>
    <row r="91" spans="1:15" ht="20" customHeight="1" x14ac:dyDescent="0.2">
      <c r="A91" s="3">
        <v>87</v>
      </c>
      <c r="B91" s="19"/>
      <c r="C91" s="4" t="s">
        <v>4819</v>
      </c>
      <c r="D91" s="4" t="s">
        <v>48</v>
      </c>
      <c r="E91" s="4" t="s">
        <v>121</v>
      </c>
      <c r="F91" s="8"/>
      <c r="G91" s="8"/>
      <c r="H91" s="8"/>
      <c r="I91" s="8"/>
      <c r="J91" s="8"/>
      <c r="K91" s="8">
        <v>1</v>
      </c>
      <c r="L91" s="18">
        <v>1800</v>
      </c>
      <c r="M91" s="7">
        <f t="shared" si="2"/>
        <v>1800</v>
      </c>
      <c r="N91" s="4"/>
      <c r="O91" s="9"/>
    </row>
    <row r="92" spans="1:15" ht="20" customHeight="1" x14ac:dyDescent="0.2">
      <c r="A92" s="3">
        <v>88</v>
      </c>
      <c r="B92" s="19"/>
      <c r="C92" s="4" t="s">
        <v>4820</v>
      </c>
      <c r="D92" s="4" t="s">
        <v>48</v>
      </c>
      <c r="E92" s="4" t="s">
        <v>121</v>
      </c>
      <c r="F92" s="8"/>
      <c r="G92" s="8"/>
      <c r="H92" s="8"/>
      <c r="I92" s="8"/>
      <c r="J92" s="8"/>
      <c r="K92" s="8">
        <v>1</v>
      </c>
      <c r="L92" s="18">
        <v>1200</v>
      </c>
      <c r="M92" s="7">
        <f t="shared" si="2"/>
        <v>1200</v>
      </c>
      <c r="N92" s="4"/>
      <c r="O92" s="9"/>
    </row>
    <row r="93" spans="1:15" ht="20" customHeight="1" x14ac:dyDescent="0.2">
      <c r="A93" s="3">
        <v>89</v>
      </c>
      <c r="B93" s="19"/>
      <c r="C93" s="4" t="s">
        <v>4821</v>
      </c>
      <c r="D93" s="4" t="s">
        <v>48</v>
      </c>
      <c r="E93" s="4" t="s">
        <v>121</v>
      </c>
      <c r="F93" s="8"/>
      <c r="G93" s="8"/>
      <c r="H93" s="8"/>
      <c r="I93" s="8"/>
      <c r="J93" s="8"/>
      <c r="K93" s="8">
        <v>1</v>
      </c>
      <c r="L93" s="18">
        <v>1200</v>
      </c>
      <c r="M93" s="7">
        <f t="shared" si="2"/>
        <v>1200</v>
      </c>
      <c r="N93" s="4"/>
      <c r="O93" s="9"/>
    </row>
    <row r="94" spans="1:15" ht="20" customHeight="1" x14ac:dyDescent="0.2">
      <c r="A94" s="3">
        <v>90</v>
      </c>
      <c r="B94" s="19"/>
      <c r="C94" s="4" t="s">
        <v>4822</v>
      </c>
      <c r="D94" s="4" t="s">
        <v>48</v>
      </c>
      <c r="E94" s="4" t="s">
        <v>121</v>
      </c>
      <c r="F94" s="8"/>
      <c r="G94" s="8"/>
      <c r="H94" s="8"/>
      <c r="I94" s="8"/>
      <c r="J94" s="8"/>
      <c r="K94" s="8">
        <v>1</v>
      </c>
      <c r="L94" s="18">
        <v>3000</v>
      </c>
      <c r="M94" s="7">
        <f t="shared" si="2"/>
        <v>3000</v>
      </c>
      <c r="N94" s="4"/>
      <c r="O94" s="9"/>
    </row>
    <row r="95" spans="1:15" ht="20" customHeight="1" x14ac:dyDescent="0.2">
      <c r="A95" s="3">
        <v>91</v>
      </c>
      <c r="B95" s="19"/>
      <c r="C95" s="4" t="s">
        <v>4823</v>
      </c>
      <c r="D95" s="4" t="s">
        <v>48</v>
      </c>
      <c r="E95" s="4" t="s">
        <v>121</v>
      </c>
      <c r="F95" s="8"/>
      <c r="G95" s="8"/>
      <c r="H95" s="8"/>
      <c r="I95" s="8"/>
      <c r="J95" s="8"/>
      <c r="K95" s="8">
        <v>1</v>
      </c>
      <c r="L95" s="18">
        <v>11200</v>
      </c>
      <c r="M95" s="7">
        <f t="shared" si="2"/>
        <v>11200</v>
      </c>
      <c r="N95" s="4"/>
      <c r="O95" s="9"/>
    </row>
    <row r="96" spans="1:15" ht="20" customHeight="1" x14ac:dyDescent="0.2">
      <c r="A96" s="3">
        <v>92</v>
      </c>
      <c r="B96" s="19"/>
      <c r="C96" s="4" t="s">
        <v>4824</v>
      </c>
      <c r="D96" s="4" t="s">
        <v>48</v>
      </c>
      <c r="E96" s="4" t="s">
        <v>121</v>
      </c>
      <c r="F96" s="8"/>
      <c r="G96" s="8"/>
      <c r="H96" s="8"/>
      <c r="I96" s="8"/>
      <c r="J96" s="8"/>
      <c r="K96" s="8">
        <v>1</v>
      </c>
      <c r="L96" s="18">
        <v>6000</v>
      </c>
      <c r="M96" s="7">
        <f t="shared" si="2"/>
        <v>6000</v>
      </c>
      <c r="N96" s="4"/>
      <c r="O96" s="9"/>
    </row>
    <row r="97" spans="1:15" ht="20" customHeight="1" x14ac:dyDescent="0.2">
      <c r="A97" s="3">
        <v>93</v>
      </c>
      <c r="B97" s="19"/>
      <c r="C97" s="4" t="s">
        <v>4825</v>
      </c>
      <c r="D97" s="4" t="s">
        <v>48</v>
      </c>
      <c r="E97" s="4" t="s">
        <v>121</v>
      </c>
      <c r="F97" s="8"/>
      <c r="G97" s="8"/>
      <c r="H97" s="8"/>
      <c r="I97" s="8"/>
      <c r="J97" s="8"/>
      <c r="K97" s="8">
        <v>1</v>
      </c>
      <c r="L97" s="18">
        <v>4200</v>
      </c>
      <c r="M97" s="7">
        <f t="shared" si="2"/>
        <v>4200</v>
      </c>
      <c r="N97" s="4"/>
      <c r="O97" s="9"/>
    </row>
    <row r="98" spans="1:15" ht="20" customHeight="1" x14ac:dyDescent="0.2">
      <c r="A98" s="3">
        <v>94</v>
      </c>
      <c r="B98" s="19"/>
      <c r="C98" s="4" t="s">
        <v>4826</v>
      </c>
      <c r="D98" s="4" t="s">
        <v>48</v>
      </c>
      <c r="E98" s="4" t="s">
        <v>121</v>
      </c>
      <c r="F98" s="8"/>
      <c r="G98" s="8"/>
      <c r="H98" s="8"/>
      <c r="I98" s="8"/>
      <c r="J98" s="8"/>
      <c r="K98" s="8">
        <v>1</v>
      </c>
      <c r="L98" s="18">
        <v>1200</v>
      </c>
      <c r="M98" s="7">
        <f t="shared" si="2"/>
        <v>1200</v>
      </c>
      <c r="N98" s="4"/>
      <c r="O98" s="9"/>
    </row>
    <row r="99" spans="1:15" ht="20" customHeight="1" x14ac:dyDescent="0.2">
      <c r="A99" s="3">
        <v>95</v>
      </c>
      <c r="B99" s="19"/>
      <c r="C99" s="4" t="s">
        <v>4827</v>
      </c>
      <c r="D99" s="4" t="s">
        <v>48</v>
      </c>
      <c r="E99" s="4" t="s">
        <v>121</v>
      </c>
      <c r="F99" s="8"/>
      <c r="G99" s="8"/>
      <c r="H99" s="8"/>
      <c r="I99" s="8"/>
      <c r="J99" s="8"/>
      <c r="K99" s="8">
        <v>1</v>
      </c>
      <c r="L99" s="18">
        <v>5333.32</v>
      </c>
      <c r="M99" s="7">
        <f t="shared" si="2"/>
        <v>5333.32</v>
      </c>
      <c r="N99" s="4"/>
      <c r="O99" s="9"/>
    </row>
    <row r="100" spans="1:15" ht="20" customHeight="1" x14ac:dyDescent="0.2">
      <c r="A100" s="3">
        <v>96</v>
      </c>
      <c r="B100" s="19"/>
      <c r="C100" s="4" t="s">
        <v>4828</v>
      </c>
      <c r="D100" s="4" t="s">
        <v>48</v>
      </c>
      <c r="E100" s="4" t="s">
        <v>4829</v>
      </c>
      <c r="F100" s="8"/>
      <c r="G100" s="8"/>
      <c r="H100" s="8"/>
      <c r="I100" s="8"/>
      <c r="J100" s="8"/>
      <c r="K100" s="8">
        <v>1</v>
      </c>
      <c r="L100" s="18">
        <v>16000</v>
      </c>
      <c r="M100" s="7">
        <f t="shared" si="2"/>
        <v>16000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4830</v>
      </c>
      <c r="D101" s="4" t="s">
        <v>48</v>
      </c>
      <c r="E101" s="4" t="s">
        <v>121</v>
      </c>
      <c r="F101" s="8"/>
      <c r="G101" s="8"/>
      <c r="H101" s="8"/>
      <c r="I101" s="8"/>
      <c r="J101" s="8"/>
      <c r="K101" s="8">
        <v>1</v>
      </c>
      <c r="L101" s="18">
        <v>2666.68</v>
      </c>
      <c r="M101" s="7">
        <f t="shared" ref="M101:M132" si="3">IF(OR(K101="",L101=""),"",K101*L101)</f>
        <v>2666.68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4831</v>
      </c>
      <c r="D102" s="4" t="s">
        <v>48</v>
      </c>
      <c r="E102" s="4" t="s">
        <v>121</v>
      </c>
      <c r="F102" s="8"/>
      <c r="G102" s="8"/>
      <c r="H102" s="8"/>
      <c r="I102" s="8"/>
      <c r="J102" s="8"/>
      <c r="K102" s="8">
        <v>1</v>
      </c>
      <c r="L102" s="18">
        <v>2400</v>
      </c>
      <c r="M102" s="7">
        <f t="shared" si="3"/>
        <v>2400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4832</v>
      </c>
      <c r="D103" s="4" t="s">
        <v>48</v>
      </c>
      <c r="E103" s="4" t="s">
        <v>121</v>
      </c>
      <c r="F103" s="8"/>
      <c r="G103" s="8"/>
      <c r="H103" s="8"/>
      <c r="I103" s="8"/>
      <c r="J103" s="8"/>
      <c r="K103" s="8">
        <v>1</v>
      </c>
      <c r="L103" s="18">
        <v>1800</v>
      </c>
      <c r="M103" s="7">
        <f t="shared" si="3"/>
        <v>1800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4833</v>
      </c>
      <c r="D104" s="4" t="s">
        <v>48</v>
      </c>
      <c r="E104" s="4" t="s">
        <v>121</v>
      </c>
      <c r="F104" s="8"/>
      <c r="G104" s="8"/>
      <c r="H104" s="8"/>
      <c r="I104" s="8"/>
      <c r="J104" s="8"/>
      <c r="K104" s="8">
        <v>1</v>
      </c>
      <c r="L104" s="18">
        <v>3466.68</v>
      </c>
      <c r="M104" s="7">
        <f t="shared" si="3"/>
        <v>3466.68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4834</v>
      </c>
      <c r="D105" s="4" t="s">
        <v>48</v>
      </c>
      <c r="E105" s="4" t="s">
        <v>121</v>
      </c>
      <c r="F105" s="8"/>
      <c r="G105" s="8"/>
      <c r="H105" s="8"/>
      <c r="I105" s="8"/>
      <c r="J105" s="8"/>
      <c r="K105" s="8">
        <v>1</v>
      </c>
      <c r="L105" s="18">
        <v>4000</v>
      </c>
      <c r="M105" s="7">
        <f t="shared" si="3"/>
        <v>4000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4835</v>
      </c>
      <c r="D106" s="4" t="s">
        <v>48</v>
      </c>
      <c r="E106" s="4" t="s">
        <v>121</v>
      </c>
      <c r="F106" s="8"/>
      <c r="G106" s="8"/>
      <c r="H106" s="8"/>
      <c r="I106" s="8"/>
      <c r="J106" s="8"/>
      <c r="K106" s="8">
        <v>1</v>
      </c>
      <c r="L106" s="18">
        <v>866.68</v>
      </c>
      <c r="M106" s="7">
        <f t="shared" si="3"/>
        <v>866.68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4836</v>
      </c>
      <c r="D107" s="4" t="s">
        <v>48</v>
      </c>
      <c r="E107" s="4" t="s">
        <v>121</v>
      </c>
      <c r="F107" s="8"/>
      <c r="G107" s="8"/>
      <c r="H107" s="8"/>
      <c r="I107" s="8"/>
      <c r="J107" s="8"/>
      <c r="K107" s="8">
        <v>1</v>
      </c>
      <c r="L107" s="18">
        <v>76160</v>
      </c>
      <c r="M107" s="7">
        <f t="shared" si="3"/>
        <v>76160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4837</v>
      </c>
      <c r="D108" s="4" t="s">
        <v>48</v>
      </c>
      <c r="E108" s="4" t="s">
        <v>121</v>
      </c>
      <c r="F108" s="8"/>
      <c r="G108" s="8"/>
      <c r="H108" s="8"/>
      <c r="I108" s="8"/>
      <c r="J108" s="8"/>
      <c r="K108" s="8">
        <v>0</v>
      </c>
      <c r="L108" s="18">
        <v>0</v>
      </c>
      <c r="M108" s="7">
        <f t="shared" si="3"/>
        <v>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4838</v>
      </c>
      <c r="D109" s="4" t="s">
        <v>48</v>
      </c>
      <c r="E109" s="4" t="s">
        <v>121</v>
      </c>
      <c r="F109" s="8"/>
      <c r="G109" s="8"/>
      <c r="H109" s="8"/>
      <c r="I109" s="8"/>
      <c r="J109" s="8"/>
      <c r="K109" s="8">
        <v>0</v>
      </c>
      <c r="L109" s="18">
        <v>0</v>
      </c>
      <c r="M109" s="7">
        <f t="shared" si="3"/>
        <v>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4839</v>
      </c>
      <c r="D110" s="4" t="s">
        <v>48</v>
      </c>
      <c r="E110" s="4" t="s">
        <v>121</v>
      </c>
      <c r="F110" s="8"/>
      <c r="G110" s="8"/>
      <c r="H110" s="8"/>
      <c r="I110" s="8"/>
      <c r="J110" s="8"/>
      <c r="K110" s="8">
        <v>0</v>
      </c>
      <c r="L110" s="18">
        <v>0</v>
      </c>
      <c r="M110" s="7">
        <f t="shared" si="3"/>
        <v>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4840</v>
      </c>
      <c r="D111" s="4" t="s">
        <v>48</v>
      </c>
      <c r="E111" s="4" t="s">
        <v>121</v>
      </c>
      <c r="F111" s="8"/>
      <c r="G111" s="8"/>
      <c r="H111" s="8"/>
      <c r="I111" s="8"/>
      <c r="J111" s="8"/>
      <c r="K111" s="8">
        <v>1</v>
      </c>
      <c r="L111" s="18">
        <v>8533.32</v>
      </c>
      <c r="M111" s="7">
        <f t="shared" si="3"/>
        <v>8533.32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4841</v>
      </c>
      <c r="D112" s="4" t="s">
        <v>48</v>
      </c>
      <c r="E112" s="4" t="s">
        <v>121</v>
      </c>
      <c r="F112" s="8"/>
      <c r="G112" s="8"/>
      <c r="H112" s="8"/>
      <c r="I112" s="8"/>
      <c r="J112" s="8"/>
      <c r="K112" s="8">
        <v>0</v>
      </c>
      <c r="L112" s="18">
        <v>0</v>
      </c>
      <c r="M112" s="7">
        <f t="shared" si="3"/>
        <v>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4842</v>
      </c>
      <c r="D113" s="4" t="s">
        <v>48</v>
      </c>
      <c r="E113" s="4" t="s">
        <v>121</v>
      </c>
      <c r="F113" s="8"/>
      <c r="G113" s="8"/>
      <c r="H113" s="8"/>
      <c r="I113" s="8"/>
      <c r="J113" s="8"/>
      <c r="K113" s="8">
        <v>0</v>
      </c>
      <c r="L113" s="18">
        <v>0</v>
      </c>
      <c r="M113" s="7">
        <f t="shared" si="3"/>
        <v>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4843</v>
      </c>
      <c r="D114" s="4" t="s">
        <v>48</v>
      </c>
      <c r="E114" s="4" t="s">
        <v>121</v>
      </c>
      <c r="F114" s="8"/>
      <c r="G114" s="8"/>
      <c r="H114" s="8"/>
      <c r="I114" s="8"/>
      <c r="J114" s="8"/>
      <c r="K114" s="8">
        <v>0</v>
      </c>
      <c r="L114" s="18">
        <v>0</v>
      </c>
      <c r="M114" s="7">
        <f t="shared" si="3"/>
        <v>0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4844</v>
      </c>
      <c r="D115" s="4" t="s">
        <v>48</v>
      </c>
      <c r="E115" s="4" t="s">
        <v>121</v>
      </c>
      <c r="F115" s="8"/>
      <c r="G115" s="8"/>
      <c r="H115" s="8"/>
      <c r="I115" s="8"/>
      <c r="J115" s="8"/>
      <c r="K115" s="8">
        <v>1</v>
      </c>
      <c r="L115" s="18">
        <v>12720</v>
      </c>
      <c r="M115" s="7">
        <f t="shared" si="3"/>
        <v>12720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4845</v>
      </c>
      <c r="D116" s="4" t="s">
        <v>48</v>
      </c>
      <c r="E116" s="4" t="s">
        <v>4829</v>
      </c>
      <c r="F116" s="8"/>
      <c r="G116" s="8"/>
      <c r="H116" s="8"/>
      <c r="I116" s="8"/>
      <c r="J116" s="8"/>
      <c r="K116" s="8">
        <v>1</v>
      </c>
      <c r="L116" s="18">
        <v>65600</v>
      </c>
      <c r="M116" s="7">
        <f t="shared" si="3"/>
        <v>65600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4846</v>
      </c>
      <c r="D117" s="4" t="s">
        <v>48</v>
      </c>
      <c r="E117" s="4" t="s">
        <v>121</v>
      </c>
      <c r="F117" s="8"/>
      <c r="G117" s="8"/>
      <c r="H117" s="8"/>
      <c r="I117" s="8"/>
      <c r="J117" s="8"/>
      <c r="K117" s="8">
        <v>1</v>
      </c>
      <c r="L117" s="18">
        <v>290000</v>
      </c>
      <c r="M117" s="7">
        <f t="shared" si="3"/>
        <v>290000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4847</v>
      </c>
      <c r="D118" s="4" t="s">
        <v>48</v>
      </c>
      <c r="E118" s="4" t="s">
        <v>150</v>
      </c>
      <c r="F118" s="8"/>
      <c r="G118" s="8"/>
      <c r="H118" s="8"/>
      <c r="I118" s="8"/>
      <c r="J118" s="8"/>
      <c r="K118" s="8">
        <v>0</v>
      </c>
      <c r="L118" s="18">
        <v>0</v>
      </c>
      <c r="M118" s="7">
        <f t="shared" si="3"/>
        <v>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4848</v>
      </c>
      <c r="D119" s="4" t="s">
        <v>48</v>
      </c>
      <c r="E119" s="4" t="s">
        <v>150</v>
      </c>
      <c r="F119" s="8"/>
      <c r="G119" s="8"/>
      <c r="H119" s="8"/>
      <c r="I119" s="8"/>
      <c r="J119" s="8"/>
      <c r="K119" s="8">
        <v>1</v>
      </c>
      <c r="L119" s="18">
        <v>120000</v>
      </c>
      <c r="M119" s="7">
        <f t="shared" si="3"/>
        <v>120000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4849</v>
      </c>
      <c r="D120" s="4" t="s">
        <v>48</v>
      </c>
      <c r="E120" s="4" t="s">
        <v>150</v>
      </c>
      <c r="F120" s="8"/>
      <c r="G120" s="8"/>
      <c r="H120" s="8"/>
      <c r="I120" s="8"/>
      <c r="J120" s="8"/>
      <c r="K120" s="8">
        <v>0</v>
      </c>
      <c r="L120" s="18">
        <v>0</v>
      </c>
      <c r="M120" s="7">
        <f t="shared" si="3"/>
        <v>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4850</v>
      </c>
      <c r="D121" s="4" t="s">
        <v>48</v>
      </c>
      <c r="E121" s="4" t="s">
        <v>150</v>
      </c>
      <c r="F121" s="8"/>
      <c r="G121" s="8"/>
      <c r="H121" s="8"/>
      <c r="I121" s="8"/>
      <c r="J121" s="8"/>
      <c r="K121" s="8">
        <v>1</v>
      </c>
      <c r="L121" s="18">
        <v>22000</v>
      </c>
      <c r="M121" s="7">
        <f t="shared" si="3"/>
        <v>22000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4851</v>
      </c>
      <c r="D122" s="4" t="s">
        <v>48</v>
      </c>
      <c r="E122" s="4" t="s">
        <v>150</v>
      </c>
      <c r="F122" s="8"/>
      <c r="G122" s="8"/>
      <c r="H122" s="8"/>
      <c r="I122" s="8"/>
      <c r="J122" s="8"/>
      <c r="K122" s="8">
        <v>1</v>
      </c>
      <c r="L122" s="18">
        <v>33600</v>
      </c>
      <c r="M122" s="7">
        <f t="shared" si="3"/>
        <v>33600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4852</v>
      </c>
      <c r="D123" s="4" t="s">
        <v>48</v>
      </c>
      <c r="E123" s="4" t="s">
        <v>150</v>
      </c>
      <c r="F123" s="8"/>
      <c r="G123" s="8"/>
      <c r="H123" s="8"/>
      <c r="I123" s="8"/>
      <c r="J123" s="8"/>
      <c r="K123" s="8">
        <v>0</v>
      </c>
      <c r="L123" s="18">
        <v>0</v>
      </c>
      <c r="M123" s="7">
        <f t="shared" si="3"/>
        <v>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4853</v>
      </c>
      <c r="D124" s="4" t="s">
        <v>48</v>
      </c>
      <c r="E124" s="4" t="s">
        <v>150</v>
      </c>
      <c r="F124" s="8"/>
      <c r="G124" s="8"/>
      <c r="H124" s="8"/>
      <c r="I124" s="8"/>
      <c r="J124" s="8"/>
      <c r="K124" s="8">
        <v>0</v>
      </c>
      <c r="L124" s="18">
        <v>0</v>
      </c>
      <c r="M124" s="7">
        <f t="shared" si="3"/>
        <v>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4854</v>
      </c>
      <c r="D125" s="4" t="s">
        <v>48</v>
      </c>
      <c r="E125" s="4" t="s">
        <v>150</v>
      </c>
      <c r="F125" s="8"/>
      <c r="G125" s="8"/>
      <c r="H125" s="8"/>
      <c r="I125" s="8"/>
      <c r="J125" s="8"/>
      <c r="K125" s="8">
        <v>0</v>
      </c>
      <c r="L125" s="18">
        <v>0</v>
      </c>
      <c r="M125" s="7">
        <f t="shared" si="3"/>
        <v>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4855</v>
      </c>
      <c r="D126" s="4" t="s">
        <v>48</v>
      </c>
      <c r="E126" s="4" t="s">
        <v>150</v>
      </c>
      <c r="F126" s="8"/>
      <c r="G126" s="8"/>
      <c r="H126" s="8"/>
      <c r="I126" s="8"/>
      <c r="J126" s="8"/>
      <c r="K126" s="8">
        <v>0</v>
      </c>
      <c r="L126" s="18">
        <v>0</v>
      </c>
      <c r="M126" s="7">
        <f t="shared" si="3"/>
        <v>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4856</v>
      </c>
      <c r="D127" s="4" t="s">
        <v>48</v>
      </c>
      <c r="E127" s="4" t="s">
        <v>150</v>
      </c>
      <c r="F127" s="8"/>
      <c r="G127" s="8"/>
      <c r="H127" s="8"/>
      <c r="I127" s="8"/>
      <c r="J127" s="8"/>
      <c r="K127" s="8">
        <v>0</v>
      </c>
      <c r="L127" s="18">
        <v>0</v>
      </c>
      <c r="M127" s="7">
        <f t="shared" si="3"/>
        <v>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4857</v>
      </c>
      <c r="D128" s="4" t="s">
        <v>48</v>
      </c>
      <c r="E128" s="4" t="s">
        <v>150</v>
      </c>
      <c r="F128" s="8"/>
      <c r="G128" s="8"/>
      <c r="H128" s="8"/>
      <c r="I128" s="8"/>
      <c r="J128" s="8"/>
      <c r="K128" s="8">
        <v>0</v>
      </c>
      <c r="L128" s="18">
        <v>0</v>
      </c>
      <c r="M128" s="7">
        <f t="shared" si="3"/>
        <v>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4858</v>
      </c>
      <c r="D129" s="4" t="s">
        <v>48</v>
      </c>
      <c r="E129" s="4" t="s">
        <v>150</v>
      </c>
      <c r="F129" s="8"/>
      <c r="G129" s="8"/>
      <c r="H129" s="8"/>
      <c r="I129" s="8"/>
      <c r="J129" s="8"/>
      <c r="K129" s="8">
        <v>0</v>
      </c>
      <c r="L129" s="18">
        <v>0</v>
      </c>
      <c r="M129" s="7">
        <f t="shared" si="3"/>
        <v>0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4859</v>
      </c>
      <c r="D130" s="4" t="s">
        <v>48</v>
      </c>
      <c r="E130" s="4" t="s">
        <v>150</v>
      </c>
      <c r="F130" s="8"/>
      <c r="G130" s="8"/>
      <c r="H130" s="8"/>
      <c r="I130" s="8"/>
      <c r="J130" s="8"/>
      <c r="K130" s="8">
        <v>0</v>
      </c>
      <c r="L130" s="18">
        <v>0</v>
      </c>
      <c r="M130" s="7">
        <f t="shared" si="3"/>
        <v>0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4860</v>
      </c>
      <c r="D131" s="4" t="s">
        <v>48</v>
      </c>
      <c r="E131" s="4" t="s">
        <v>150</v>
      </c>
      <c r="F131" s="8"/>
      <c r="G131" s="8"/>
      <c r="H131" s="8"/>
      <c r="I131" s="8"/>
      <c r="J131" s="8"/>
      <c r="K131" s="8">
        <v>0</v>
      </c>
      <c r="L131" s="18">
        <v>0</v>
      </c>
      <c r="M131" s="7">
        <f t="shared" si="3"/>
        <v>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4861</v>
      </c>
      <c r="D132" s="4" t="s">
        <v>48</v>
      </c>
      <c r="E132" s="4" t="s">
        <v>150</v>
      </c>
      <c r="F132" s="8"/>
      <c r="G132" s="8"/>
      <c r="H132" s="8"/>
      <c r="I132" s="8"/>
      <c r="J132" s="8"/>
      <c r="K132" s="8">
        <v>0</v>
      </c>
      <c r="L132" s="18">
        <v>0</v>
      </c>
      <c r="M132" s="7">
        <f t="shared" si="3"/>
        <v>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4862</v>
      </c>
      <c r="D133" s="4" t="s">
        <v>48</v>
      </c>
      <c r="E133" s="4" t="s">
        <v>150</v>
      </c>
      <c r="F133" s="8"/>
      <c r="G133" s="8"/>
      <c r="H133" s="8"/>
      <c r="I133" s="8"/>
      <c r="J133" s="8"/>
      <c r="K133" s="8">
        <v>0</v>
      </c>
      <c r="L133" s="18">
        <v>0</v>
      </c>
      <c r="M133" s="7">
        <f t="shared" ref="M133:M164" si="4">IF(OR(K133="",L133=""),"",K133*L133)</f>
        <v>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4863</v>
      </c>
      <c r="D134" s="4" t="s">
        <v>48</v>
      </c>
      <c r="E134" s="4" t="s">
        <v>150</v>
      </c>
      <c r="F134" s="8"/>
      <c r="G134" s="8"/>
      <c r="H134" s="8"/>
      <c r="I134" s="8"/>
      <c r="J134" s="8"/>
      <c r="K134" s="8">
        <v>0</v>
      </c>
      <c r="L134" s="18">
        <v>0</v>
      </c>
      <c r="M134" s="7">
        <f t="shared" si="4"/>
        <v>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4864</v>
      </c>
      <c r="D135" s="4" t="s">
        <v>48</v>
      </c>
      <c r="E135" s="4" t="s">
        <v>150</v>
      </c>
      <c r="F135" s="8"/>
      <c r="G135" s="8"/>
      <c r="H135" s="8"/>
      <c r="I135" s="8"/>
      <c r="J135" s="8"/>
      <c r="K135" s="8">
        <v>0</v>
      </c>
      <c r="L135" s="18">
        <v>0</v>
      </c>
      <c r="M135" s="7">
        <f t="shared" si="4"/>
        <v>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4865</v>
      </c>
      <c r="D136" s="4" t="s">
        <v>48</v>
      </c>
      <c r="E136" s="4" t="s">
        <v>150</v>
      </c>
      <c r="F136" s="8"/>
      <c r="G136" s="8"/>
      <c r="H136" s="8"/>
      <c r="I136" s="8"/>
      <c r="J136" s="8"/>
      <c r="K136" s="8">
        <v>0</v>
      </c>
      <c r="L136" s="18">
        <v>0</v>
      </c>
      <c r="M136" s="7">
        <f t="shared" si="4"/>
        <v>0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4866</v>
      </c>
      <c r="D137" s="4" t="s">
        <v>48</v>
      </c>
      <c r="E137" s="4" t="s">
        <v>150</v>
      </c>
      <c r="F137" s="8"/>
      <c r="G137" s="8"/>
      <c r="H137" s="8"/>
      <c r="I137" s="8"/>
      <c r="J137" s="8"/>
      <c r="K137" s="8">
        <v>0</v>
      </c>
      <c r="L137" s="18">
        <v>0</v>
      </c>
      <c r="M137" s="7">
        <f t="shared" si="4"/>
        <v>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4867</v>
      </c>
      <c r="D138" s="4" t="s">
        <v>48</v>
      </c>
      <c r="E138" s="4" t="s">
        <v>499</v>
      </c>
      <c r="F138" s="8"/>
      <c r="G138" s="8"/>
      <c r="H138" s="8"/>
      <c r="I138" s="8"/>
      <c r="J138" s="8"/>
      <c r="K138" s="8">
        <v>1</v>
      </c>
      <c r="L138" s="18">
        <v>16549.32</v>
      </c>
      <c r="M138" s="7">
        <f t="shared" si="4"/>
        <v>16549.32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4868</v>
      </c>
      <c r="D139" s="4" t="s">
        <v>48</v>
      </c>
      <c r="E139" s="4" t="s">
        <v>150</v>
      </c>
      <c r="F139" s="8"/>
      <c r="G139" s="8"/>
      <c r="H139" s="8"/>
      <c r="I139" s="8"/>
      <c r="J139" s="8"/>
      <c r="K139" s="8">
        <v>1</v>
      </c>
      <c r="L139" s="18">
        <v>4600</v>
      </c>
      <c r="M139" s="7">
        <f t="shared" si="4"/>
        <v>4600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4869</v>
      </c>
      <c r="D140" s="4" t="s">
        <v>48</v>
      </c>
      <c r="E140" s="4" t="s">
        <v>150</v>
      </c>
      <c r="F140" s="8"/>
      <c r="G140" s="8"/>
      <c r="H140" s="8"/>
      <c r="I140" s="8"/>
      <c r="J140" s="8"/>
      <c r="K140" s="8">
        <v>1</v>
      </c>
      <c r="L140" s="18">
        <v>48506.68</v>
      </c>
      <c r="M140" s="7">
        <f t="shared" si="4"/>
        <v>48506.68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4870</v>
      </c>
      <c r="D141" s="4" t="s">
        <v>48</v>
      </c>
      <c r="E141" s="4" t="s">
        <v>121</v>
      </c>
      <c r="F141" s="8"/>
      <c r="G141" s="8"/>
      <c r="H141" s="8"/>
      <c r="I141" s="8"/>
      <c r="J141" s="8"/>
      <c r="K141" s="8">
        <v>1</v>
      </c>
      <c r="L141" s="18">
        <v>20000</v>
      </c>
      <c r="M141" s="7">
        <f t="shared" si="4"/>
        <v>20000</v>
      </c>
      <c r="N141" s="4"/>
      <c r="O141" s="9"/>
    </row>
    <row r="142" spans="1:15" ht="22" customHeight="1" x14ac:dyDescent="0.35">
      <c r="A142" s="10" t="s">
        <v>86</v>
      </c>
      <c r="B142" s="20"/>
      <c r="C142" s="11"/>
      <c r="D142" s="11"/>
      <c r="E142" s="11"/>
      <c r="F142" s="11"/>
      <c r="G142" s="11"/>
      <c r="H142" s="11"/>
      <c r="I142" s="11"/>
      <c r="J142" s="11"/>
      <c r="K142" s="13">
        <f>SUM(K5:K141)</f>
        <v>57</v>
      </c>
      <c r="L142" s="11"/>
      <c r="M142" s="13">
        <f>SUM(M5:M141)</f>
        <v>1869950.68</v>
      </c>
      <c r="N142" s="11"/>
      <c r="O142" s="11"/>
    </row>
    <row r="143" spans="1:15" ht="32" customHeight="1" x14ac:dyDescent="0.2">
      <c r="A143" s="23" t="s">
        <v>4871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</row>
  </sheetData>
  <autoFilter ref="A4:O141" xr:uid="{00000000-0009-0000-0000-00000E000000}"/>
  <mergeCells count="5">
    <mergeCell ref="E2:G2"/>
    <mergeCell ref="I2:J2"/>
    <mergeCell ref="A1:O1"/>
    <mergeCell ref="F3:O3"/>
    <mergeCell ref="A143:O143"/>
  </mergeCells>
  <conditionalFormatting sqref="E3">
    <cfRule type="cellIs" dxfId="29" priority="1" operator="greaterThan">
      <formula>0.009</formula>
    </cfRule>
    <cfRule type="cellIs" dxfId="28" priority="2" operator="lessThan">
      <formula>-0.009</formula>
    </cfRule>
  </conditionalFormatting>
  <dataValidations count="1">
    <dataValidation type="list" allowBlank="1" sqref="O5:O141" xr:uid="{00000000-0002-0000-0E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แบบพิมพ์ · DBR/2570/0017</oddHeader>
    <oddFooter>&amp;Lส่งออกจากฐาน VPK-S1 วันที่ 12 ต.ค. 2569&amp;Rหน้า &amp;P / &amp;N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B6848"/>
    <pageSetUpPr fitToPage="1"/>
  </sheetPr>
  <dimension ref="A1:O38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4872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49</v>
      </c>
      <c r="D2" s="14" t="s">
        <v>7</v>
      </c>
      <c r="E2" s="24" t="s">
        <v>51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10970000</v>
      </c>
      <c r="D3" s="15" t="s">
        <v>94</v>
      </c>
      <c r="E3" s="17">
        <f>M37-C3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4873</v>
      </c>
      <c r="D5" s="4" t="s">
        <v>4874</v>
      </c>
      <c r="E5" s="4"/>
      <c r="F5" s="8"/>
      <c r="G5" s="8"/>
      <c r="H5" s="8"/>
      <c r="I5" s="8"/>
      <c r="J5" s="8"/>
      <c r="K5" s="8">
        <v>1</v>
      </c>
      <c r="L5" s="18">
        <v>1000000</v>
      </c>
      <c r="M5" s="7">
        <f t="shared" ref="M5:M36" si="0">IF(OR(K5="",L5=""),"",K5*L5)</f>
        <v>1000000</v>
      </c>
      <c r="N5" s="4"/>
      <c r="O5" s="9"/>
    </row>
    <row r="6" spans="1:15" ht="20" customHeight="1" x14ac:dyDescent="0.2">
      <c r="A6" s="3">
        <v>2</v>
      </c>
      <c r="B6" s="19"/>
      <c r="C6" s="4" t="s">
        <v>4875</v>
      </c>
      <c r="D6" s="4" t="s">
        <v>4874</v>
      </c>
      <c r="E6" s="4"/>
      <c r="F6" s="8"/>
      <c r="G6" s="8"/>
      <c r="H6" s="8"/>
      <c r="I6" s="8"/>
      <c r="J6" s="8"/>
      <c r="K6" s="8">
        <v>1</v>
      </c>
      <c r="L6" s="18">
        <v>300000</v>
      </c>
      <c r="M6" s="7">
        <f t="shared" si="0"/>
        <v>300000</v>
      </c>
      <c r="N6" s="4"/>
      <c r="O6" s="9"/>
    </row>
    <row r="7" spans="1:15" ht="20" customHeight="1" x14ac:dyDescent="0.2">
      <c r="A7" s="3">
        <v>3</v>
      </c>
      <c r="B7" s="19"/>
      <c r="C7" s="4" t="s">
        <v>4876</v>
      </c>
      <c r="D7" s="4" t="s">
        <v>4874</v>
      </c>
      <c r="E7" s="4"/>
      <c r="F7" s="8"/>
      <c r="G7" s="8"/>
      <c r="H7" s="8"/>
      <c r="I7" s="8"/>
      <c r="J7" s="8"/>
      <c r="K7" s="8">
        <v>1</v>
      </c>
      <c r="L7" s="18">
        <v>1600000</v>
      </c>
      <c r="M7" s="7">
        <f t="shared" si="0"/>
        <v>1600000</v>
      </c>
      <c r="N7" s="4"/>
      <c r="O7" s="9"/>
    </row>
    <row r="8" spans="1:15" ht="20" customHeight="1" x14ac:dyDescent="0.2">
      <c r="A8" s="3">
        <v>4</v>
      </c>
      <c r="B8" s="19"/>
      <c r="C8" s="4" t="s">
        <v>4877</v>
      </c>
      <c r="D8" s="4" t="s">
        <v>4874</v>
      </c>
      <c r="E8" s="4"/>
      <c r="F8" s="8"/>
      <c r="G8" s="8"/>
      <c r="H8" s="8"/>
      <c r="I8" s="8"/>
      <c r="J8" s="8"/>
      <c r="K8" s="8">
        <v>1</v>
      </c>
      <c r="L8" s="18">
        <v>100000</v>
      </c>
      <c r="M8" s="7">
        <f t="shared" si="0"/>
        <v>100000</v>
      </c>
      <c r="N8" s="4"/>
      <c r="O8" s="9"/>
    </row>
    <row r="9" spans="1:15" ht="20" customHeight="1" x14ac:dyDescent="0.2">
      <c r="A9" s="3">
        <v>5</v>
      </c>
      <c r="B9" s="19"/>
      <c r="C9" s="4" t="s">
        <v>4878</v>
      </c>
      <c r="D9" s="4" t="s">
        <v>4874</v>
      </c>
      <c r="E9" s="4"/>
      <c r="F9" s="8"/>
      <c r="G9" s="8"/>
      <c r="H9" s="8"/>
      <c r="I9" s="8"/>
      <c r="J9" s="8"/>
      <c r="K9" s="8">
        <v>1</v>
      </c>
      <c r="L9" s="18">
        <v>700000</v>
      </c>
      <c r="M9" s="7">
        <f t="shared" si="0"/>
        <v>700000</v>
      </c>
      <c r="N9" s="4"/>
      <c r="O9" s="9"/>
    </row>
    <row r="10" spans="1:15" ht="20" customHeight="1" x14ac:dyDescent="0.2">
      <c r="A10" s="3">
        <v>6</v>
      </c>
      <c r="B10" s="19"/>
      <c r="C10" s="4" t="s">
        <v>4879</v>
      </c>
      <c r="D10" s="4" t="s">
        <v>4874</v>
      </c>
      <c r="E10" s="4"/>
      <c r="F10" s="8"/>
      <c r="G10" s="8"/>
      <c r="H10" s="8"/>
      <c r="I10" s="8"/>
      <c r="J10" s="8"/>
      <c r="K10" s="8">
        <v>1</v>
      </c>
      <c r="L10" s="18">
        <v>200000</v>
      </c>
      <c r="M10" s="7">
        <f t="shared" si="0"/>
        <v>200000</v>
      </c>
      <c r="N10" s="4"/>
      <c r="O10" s="9"/>
    </row>
    <row r="11" spans="1:15" ht="20" customHeight="1" x14ac:dyDescent="0.2">
      <c r="A11" s="3">
        <v>7</v>
      </c>
      <c r="B11" s="19"/>
      <c r="C11" s="4" t="s">
        <v>4880</v>
      </c>
      <c r="D11" s="4" t="s">
        <v>4874</v>
      </c>
      <c r="E11" s="4"/>
      <c r="F11" s="8"/>
      <c r="G11" s="8"/>
      <c r="H11" s="8"/>
      <c r="I11" s="8"/>
      <c r="J11" s="8"/>
      <c r="K11" s="8">
        <v>1</v>
      </c>
      <c r="L11" s="18">
        <v>1500000</v>
      </c>
      <c r="M11" s="7">
        <f t="shared" si="0"/>
        <v>1500000</v>
      </c>
      <c r="N11" s="4"/>
      <c r="O11" s="9"/>
    </row>
    <row r="12" spans="1:15" ht="20" customHeight="1" x14ac:dyDescent="0.2">
      <c r="A12" s="3">
        <v>8</v>
      </c>
      <c r="B12" s="19"/>
      <c r="C12" s="4" t="s">
        <v>4881</v>
      </c>
      <c r="D12" s="4" t="s">
        <v>4874</v>
      </c>
      <c r="E12" s="4"/>
      <c r="F12" s="8"/>
      <c r="G12" s="8"/>
      <c r="H12" s="8"/>
      <c r="I12" s="8"/>
      <c r="J12" s="8"/>
      <c r="K12" s="8">
        <v>1</v>
      </c>
      <c r="L12" s="18">
        <v>200000</v>
      </c>
      <c r="M12" s="7">
        <f t="shared" si="0"/>
        <v>200000</v>
      </c>
      <c r="N12" s="4"/>
      <c r="O12" s="9"/>
    </row>
    <row r="13" spans="1:15" ht="20" customHeight="1" x14ac:dyDescent="0.2">
      <c r="A13" s="3">
        <v>9</v>
      </c>
      <c r="B13" s="19"/>
      <c r="C13" s="4" t="s">
        <v>4882</v>
      </c>
      <c r="D13" s="4" t="s">
        <v>4874</v>
      </c>
      <c r="E13" s="4"/>
      <c r="F13" s="8"/>
      <c r="G13" s="8"/>
      <c r="H13" s="8"/>
      <c r="I13" s="8"/>
      <c r="J13" s="8"/>
      <c r="K13" s="8">
        <v>1</v>
      </c>
      <c r="L13" s="18">
        <v>800000</v>
      </c>
      <c r="M13" s="7">
        <f t="shared" si="0"/>
        <v>800000</v>
      </c>
      <c r="N13" s="4"/>
      <c r="O13" s="9"/>
    </row>
    <row r="14" spans="1:15" ht="20" customHeight="1" x14ac:dyDescent="0.2">
      <c r="A14" s="3">
        <v>10</v>
      </c>
      <c r="B14" s="19"/>
      <c r="C14" s="4" t="s">
        <v>4883</v>
      </c>
      <c r="D14" s="4" t="s">
        <v>4874</v>
      </c>
      <c r="E14" s="4"/>
      <c r="F14" s="8"/>
      <c r="G14" s="8"/>
      <c r="H14" s="8"/>
      <c r="I14" s="8"/>
      <c r="J14" s="8"/>
      <c r="K14" s="8">
        <v>1</v>
      </c>
      <c r="L14" s="18">
        <v>200000</v>
      </c>
      <c r="M14" s="7">
        <f t="shared" si="0"/>
        <v>200000</v>
      </c>
      <c r="N14" s="4"/>
      <c r="O14" s="9"/>
    </row>
    <row r="15" spans="1:15" ht="20" customHeight="1" x14ac:dyDescent="0.2">
      <c r="A15" s="3">
        <v>11</v>
      </c>
      <c r="B15" s="19"/>
      <c r="C15" s="4" t="s">
        <v>4884</v>
      </c>
      <c r="D15" s="4" t="s">
        <v>4874</v>
      </c>
      <c r="E15" s="4"/>
      <c r="F15" s="8"/>
      <c r="G15" s="8"/>
      <c r="H15" s="8"/>
      <c r="I15" s="8"/>
      <c r="J15" s="8"/>
      <c r="K15" s="8">
        <v>1</v>
      </c>
      <c r="L15" s="18">
        <v>100000</v>
      </c>
      <c r="M15" s="7">
        <f t="shared" si="0"/>
        <v>100000</v>
      </c>
      <c r="N15" s="4"/>
      <c r="O15" s="9"/>
    </row>
    <row r="16" spans="1:15" ht="20" customHeight="1" x14ac:dyDescent="0.2">
      <c r="A16" s="3">
        <v>12</v>
      </c>
      <c r="B16" s="19"/>
      <c r="C16" s="4" t="s">
        <v>4885</v>
      </c>
      <c r="D16" s="4" t="s">
        <v>4874</v>
      </c>
      <c r="E16" s="4"/>
      <c r="F16" s="8"/>
      <c r="G16" s="8"/>
      <c r="H16" s="8"/>
      <c r="I16" s="8"/>
      <c r="J16" s="8"/>
      <c r="K16" s="8">
        <v>1</v>
      </c>
      <c r="L16" s="18">
        <v>200000</v>
      </c>
      <c r="M16" s="7">
        <f t="shared" si="0"/>
        <v>200000</v>
      </c>
      <c r="N16" s="4"/>
      <c r="O16" s="9"/>
    </row>
    <row r="17" spans="1:15" ht="20" customHeight="1" x14ac:dyDescent="0.2">
      <c r="A17" s="3">
        <v>13</v>
      </c>
      <c r="B17" s="19"/>
      <c r="C17" s="4" t="s">
        <v>4886</v>
      </c>
      <c r="D17" s="4" t="s">
        <v>4874</v>
      </c>
      <c r="E17" s="4"/>
      <c r="F17" s="8"/>
      <c r="G17" s="8"/>
      <c r="H17" s="8"/>
      <c r="I17" s="8"/>
      <c r="J17" s="8"/>
      <c r="K17" s="8">
        <v>1</v>
      </c>
      <c r="L17" s="18">
        <v>150000</v>
      </c>
      <c r="M17" s="7">
        <f t="shared" si="0"/>
        <v>150000</v>
      </c>
      <c r="N17" s="4"/>
      <c r="O17" s="9"/>
    </row>
    <row r="18" spans="1:15" ht="20" customHeight="1" x14ac:dyDescent="0.2">
      <c r="A18" s="3">
        <v>14</v>
      </c>
      <c r="B18" s="19"/>
      <c r="C18" s="4" t="s">
        <v>4887</v>
      </c>
      <c r="D18" s="4" t="s">
        <v>4874</v>
      </c>
      <c r="E18" s="4"/>
      <c r="F18" s="8"/>
      <c r="G18" s="8"/>
      <c r="H18" s="8"/>
      <c r="I18" s="8"/>
      <c r="J18" s="8"/>
      <c r="K18" s="8">
        <v>1</v>
      </c>
      <c r="L18" s="18">
        <v>50000</v>
      </c>
      <c r="M18" s="7">
        <f t="shared" si="0"/>
        <v>50000</v>
      </c>
      <c r="N18" s="4"/>
      <c r="O18" s="9"/>
    </row>
    <row r="19" spans="1:15" ht="20" customHeight="1" x14ac:dyDescent="0.2">
      <c r="A19" s="3">
        <v>15</v>
      </c>
      <c r="B19" s="19"/>
      <c r="C19" s="4" t="s">
        <v>4888</v>
      </c>
      <c r="D19" s="4" t="s">
        <v>4874</v>
      </c>
      <c r="E19" s="4"/>
      <c r="F19" s="8"/>
      <c r="G19" s="8"/>
      <c r="H19" s="8"/>
      <c r="I19" s="8"/>
      <c r="J19" s="8"/>
      <c r="K19" s="8">
        <v>1</v>
      </c>
      <c r="L19" s="18">
        <v>200000</v>
      </c>
      <c r="M19" s="7">
        <f t="shared" si="0"/>
        <v>200000</v>
      </c>
      <c r="N19" s="4"/>
      <c r="O19" s="9"/>
    </row>
    <row r="20" spans="1:15" ht="20" customHeight="1" x14ac:dyDescent="0.2">
      <c r="A20" s="3">
        <v>16</v>
      </c>
      <c r="B20" s="19"/>
      <c r="C20" s="4" t="s">
        <v>4889</v>
      </c>
      <c r="D20" s="4" t="s">
        <v>4874</v>
      </c>
      <c r="E20" s="4"/>
      <c r="F20" s="8"/>
      <c r="G20" s="8"/>
      <c r="H20" s="8"/>
      <c r="I20" s="8"/>
      <c r="J20" s="8"/>
      <c r="K20" s="8">
        <v>1</v>
      </c>
      <c r="L20" s="18">
        <v>300000</v>
      </c>
      <c r="M20" s="7">
        <f t="shared" si="0"/>
        <v>300000</v>
      </c>
      <c r="N20" s="4"/>
      <c r="O20" s="9"/>
    </row>
    <row r="21" spans="1:15" ht="20" customHeight="1" x14ac:dyDescent="0.2">
      <c r="A21" s="3">
        <v>17</v>
      </c>
      <c r="B21" s="19"/>
      <c r="C21" s="4" t="s">
        <v>4890</v>
      </c>
      <c r="D21" s="4" t="s">
        <v>4874</v>
      </c>
      <c r="E21" s="4"/>
      <c r="F21" s="8"/>
      <c r="G21" s="8"/>
      <c r="H21" s="8"/>
      <c r="I21" s="8"/>
      <c r="J21" s="8"/>
      <c r="K21" s="8">
        <v>1</v>
      </c>
      <c r="L21" s="18">
        <v>300000</v>
      </c>
      <c r="M21" s="7">
        <f t="shared" si="0"/>
        <v>300000</v>
      </c>
      <c r="N21" s="4"/>
      <c r="O21" s="9"/>
    </row>
    <row r="22" spans="1:15" ht="20" customHeight="1" x14ac:dyDescent="0.2">
      <c r="A22" s="3">
        <v>18</v>
      </c>
      <c r="B22" s="19"/>
      <c r="C22" s="4" t="s">
        <v>4891</v>
      </c>
      <c r="D22" s="4" t="s">
        <v>4874</v>
      </c>
      <c r="E22" s="4"/>
      <c r="F22" s="8"/>
      <c r="G22" s="8"/>
      <c r="H22" s="8"/>
      <c r="I22" s="8"/>
      <c r="J22" s="8"/>
      <c r="K22" s="8">
        <v>1</v>
      </c>
      <c r="L22" s="18">
        <v>60000</v>
      </c>
      <c r="M22" s="7">
        <f t="shared" si="0"/>
        <v>60000</v>
      </c>
      <c r="N22" s="4"/>
      <c r="O22" s="9"/>
    </row>
    <row r="23" spans="1:15" ht="20" customHeight="1" x14ac:dyDescent="0.2">
      <c r="A23" s="3">
        <v>19</v>
      </c>
      <c r="B23" s="19"/>
      <c r="C23" s="4" t="s">
        <v>4892</v>
      </c>
      <c r="D23" s="4" t="s">
        <v>4874</v>
      </c>
      <c r="E23" s="4"/>
      <c r="F23" s="8"/>
      <c r="G23" s="8"/>
      <c r="H23" s="8"/>
      <c r="I23" s="8"/>
      <c r="J23" s="8"/>
      <c r="K23" s="8">
        <v>1</v>
      </c>
      <c r="L23" s="18">
        <v>100000</v>
      </c>
      <c r="M23" s="7">
        <f t="shared" si="0"/>
        <v>100000</v>
      </c>
      <c r="N23" s="4"/>
      <c r="O23" s="9"/>
    </row>
    <row r="24" spans="1:15" ht="20" customHeight="1" x14ac:dyDescent="0.2">
      <c r="A24" s="3">
        <v>20</v>
      </c>
      <c r="B24" s="19"/>
      <c r="C24" s="4" t="s">
        <v>4893</v>
      </c>
      <c r="D24" s="4" t="s">
        <v>4874</v>
      </c>
      <c r="E24" s="4"/>
      <c r="F24" s="8"/>
      <c r="G24" s="8"/>
      <c r="H24" s="8"/>
      <c r="I24" s="8"/>
      <c r="J24" s="8"/>
      <c r="K24" s="8">
        <v>1</v>
      </c>
      <c r="L24" s="18">
        <v>30000</v>
      </c>
      <c r="M24" s="7">
        <f t="shared" si="0"/>
        <v>30000</v>
      </c>
      <c r="N24" s="4"/>
      <c r="O24" s="9"/>
    </row>
    <row r="25" spans="1:15" ht="20" customHeight="1" x14ac:dyDescent="0.2">
      <c r="A25" s="3">
        <v>21</v>
      </c>
      <c r="B25" s="19"/>
      <c r="C25" s="4" t="s">
        <v>4894</v>
      </c>
      <c r="D25" s="4" t="s">
        <v>4874</v>
      </c>
      <c r="E25" s="4"/>
      <c r="F25" s="8"/>
      <c r="G25" s="8"/>
      <c r="H25" s="8"/>
      <c r="I25" s="8"/>
      <c r="J25" s="8"/>
      <c r="K25" s="8">
        <v>1</v>
      </c>
      <c r="L25" s="18">
        <v>1000000</v>
      </c>
      <c r="M25" s="7">
        <f t="shared" si="0"/>
        <v>1000000</v>
      </c>
      <c r="N25" s="4"/>
      <c r="O25" s="9"/>
    </row>
    <row r="26" spans="1:15" ht="20" customHeight="1" x14ac:dyDescent="0.2">
      <c r="A26" s="3">
        <v>22</v>
      </c>
      <c r="B26" s="19"/>
      <c r="C26" s="4" t="s">
        <v>4895</v>
      </c>
      <c r="D26" s="4" t="s">
        <v>4874</v>
      </c>
      <c r="E26" s="4"/>
      <c r="F26" s="8"/>
      <c r="G26" s="8"/>
      <c r="H26" s="8"/>
      <c r="I26" s="8"/>
      <c r="J26" s="8"/>
      <c r="K26" s="8">
        <v>1</v>
      </c>
      <c r="L26" s="18">
        <v>130000</v>
      </c>
      <c r="M26" s="7">
        <f t="shared" si="0"/>
        <v>130000</v>
      </c>
      <c r="N26" s="4"/>
      <c r="O26" s="9"/>
    </row>
    <row r="27" spans="1:15" ht="20" customHeight="1" x14ac:dyDescent="0.2">
      <c r="A27" s="3">
        <v>23</v>
      </c>
      <c r="B27" s="19"/>
      <c r="C27" s="4" t="s">
        <v>4896</v>
      </c>
      <c r="D27" s="4" t="s">
        <v>4874</v>
      </c>
      <c r="E27" s="4"/>
      <c r="F27" s="8"/>
      <c r="G27" s="8"/>
      <c r="H27" s="8"/>
      <c r="I27" s="8"/>
      <c r="J27" s="8"/>
      <c r="K27" s="8">
        <v>1</v>
      </c>
      <c r="L27" s="18">
        <v>300000</v>
      </c>
      <c r="M27" s="7">
        <f t="shared" si="0"/>
        <v>300000</v>
      </c>
      <c r="N27" s="4"/>
      <c r="O27" s="9"/>
    </row>
    <row r="28" spans="1:15" ht="20" customHeight="1" x14ac:dyDescent="0.2">
      <c r="A28" s="3">
        <v>24</v>
      </c>
      <c r="B28" s="19"/>
      <c r="C28" s="4" t="s">
        <v>4897</v>
      </c>
      <c r="D28" s="4" t="s">
        <v>4874</v>
      </c>
      <c r="E28" s="4"/>
      <c r="F28" s="8"/>
      <c r="G28" s="8"/>
      <c r="H28" s="8"/>
      <c r="I28" s="8"/>
      <c r="J28" s="8"/>
      <c r="K28" s="8">
        <v>1</v>
      </c>
      <c r="L28" s="18">
        <v>300000</v>
      </c>
      <c r="M28" s="7">
        <f t="shared" si="0"/>
        <v>300000</v>
      </c>
      <c r="N28" s="4"/>
      <c r="O28" s="9"/>
    </row>
    <row r="29" spans="1:15" ht="20" customHeight="1" x14ac:dyDescent="0.2">
      <c r="A29" s="3">
        <v>25</v>
      </c>
      <c r="B29" s="19"/>
      <c r="C29" s="4" t="s">
        <v>4898</v>
      </c>
      <c r="D29" s="4" t="s">
        <v>4874</v>
      </c>
      <c r="E29" s="4"/>
      <c r="F29" s="8"/>
      <c r="G29" s="8"/>
      <c r="H29" s="8"/>
      <c r="I29" s="8"/>
      <c r="J29" s="8"/>
      <c r="K29" s="8">
        <v>1</v>
      </c>
      <c r="L29" s="18">
        <v>50000</v>
      </c>
      <c r="M29" s="7">
        <f t="shared" si="0"/>
        <v>50000</v>
      </c>
      <c r="N29" s="4"/>
      <c r="O29" s="9"/>
    </row>
    <row r="30" spans="1:15" ht="20" customHeight="1" x14ac:dyDescent="0.2">
      <c r="A30" s="3">
        <v>26</v>
      </c>
      <c r="B30" s="19"/>
      <c r="C30" s="4" t="s">
        <v>4899</v>
      </c>
      <c r="D30" s="4" t="s">
        <v>4874</v>
      </c>
      <c r="E30" s="4"/>
      <c r="F30" s="8"/>
      <c r="G30" s="8"/>
      <c r="H30" s="8"/>
      <c r="I30" s="8"/>
      <c r="J30" s="8"/>
      <c r="K30" s="8">
        <v>1</v>
      </c>
      <c r="L30" s="18">
        <v>50000</v>
      </c>
      <c r="M30" s="7">
        <f t="shared" si="0"/>
        <v>50000</v>
      </c>
      <c r="N30" s="4"/>
      <c r="O30" s="9"/>
    </row>
    <row r="31" spans="1:15" ht="20" customHeight="1" x14ac:dyDescent="0.2">
      <c r="A31" s="3">
        <v>27</v>
      </c>
      <c r="B31" s="19"/>
      <c r="C31" s="4" t="s">
        <v>4900</v>
      </c>
      <c r="D31" s="4" t="s">
        <v>4874</v>
      </c>
      <c r="E31" s="4"/>
      <c r="F31" s="8"/>
      <c r="G31" s="8"/>
      <c r="H31" s="8"/>
      <c r="I31" s="8"/>
      <c r="J31" s="8"/>
      <c r="K31" s="8">
        <v>1</v>
      </c>
      <c r="L31" s="18">
        <v>30000</v>
      </c>
      <c r="M31" s="7">
        <f t="shared" si="0"/>
        <v>30000</v>
      </c>
      <c r="N31" s="4"/>
      <c r="O31" s="9"/>
    </row>
    <row r="32" spans="1:15" ht="20" customHeight="1" x14ac:dyDescent="0.2">
      <c r="A32" s="3">
        <v>28</v>
      </c>
      <c r="B32" s="19"/>
      <c r="C32" s="4" t="s">
        <v>4901</v>
      </c>
      <c r="D32" s="4" t="s">
        <v>4874</v>
      </c>
      <c r="E32" s="4"/>
      <c r="F32" s="8"/>
      <c r="G32" s="8"/>
      <c r="H32" s="8"/>
      <c r="I32" s="8"/>
      <c r="J32" s="8"/>
      <c r="K32" s="8">
        <v>1</v>
      </c>
      <c r="L32" s="18">
        <v>20000</v>
      </c>
      <c r="M32" s="7">
        <f t="shared" si="0"/>
        <v>20000</v>
      </c>
      <c r="N32" s="4"/>
      <c r="O32" s="9"/>
    </row>
    <row r="33" spans="1:15" ht="20" customHeight="1" x14ac:dyDescent="0.2">
      <c r="A33" s="3">
        <v>29</v>
      </c>
      <c r="B33" s="19"/>
      <c r="C33" s="4" t="s">
        <v>4902</v>
      </c>
      <c r="D33" s="4" t="s">
        <v>4874</v>
      </c>
      <c r="E33" s="4"/>
      <c r="F33" s="8"/>
      <c r="G33" s="8"/>
      <c r="H33" s="8"/>
      <c r="I33" s="8"/>
      <c r="J33" s="8"/>
      <c r="K33" s="8">
        <v>0</v>
      </c>
      <c r="L33" s="18">
        <v>0</v>
      </c>
      <c r="M33" s="7">
        <f t="shared" si="0"/>
        <v>0</v>
      </c>
      <c r="N33" s="4"/>
      <c r="O33" s="9"/>
    </row>
    <row r="34" spans="1:15" ht="20" customHeight="1" x14ac:dyDescent="0.2">
      <c r="A34" s="3">
        <v>30</v>
      </c>
      <c r="B34" s="19"/>
      <c r="C34" s="4" t="s">
        <v>4903</v>
      </c>
      <c r="D34" s="4" t="s">
        <v>4874</v>
      </c>
      <c r="E34" s="4"/>
      <c r="F34" s="8"/>
      <c r="G34" s="8"/>
      <c r="H34" s="8"/>
      <c r="I34" s="8"/>
      <c r="J34" s="8"/>
      <c r="K34" s="8">
        <v>0</v>
      </c>
      <c r="L34" s="18">
        <v>0</v>
      </c>
      <c r="M34" s="7">
        <f t="shared" si="0"/>
        <v>0</v>
      </c>
      <c r="N34" s="4"/>
      <c r="O34" s="9"/>
    </row>
    <row r="35" spans="1:15" ht="20" customHeight="1" x14ac:dyDescent="0.2">
      <c r="A35" s="3">
        <v>31</v>
      </c>
      <c r="B35" s="19"/>
      <c r="C35" s="4" t="s">
        <v>4904</v>
      </c>
      <c r="D35" s="4" t="s">
        <v>4874</v>
      </c>
      <c r="E35" s="4"/>
      <c r="F35" s="8"/>
      <c r="G35" s="8"/>
      <c r="H35" s="8"/>
      <c r="I35" s="8"/>
      <c r="J35" s="8"/>
      <c r="K35" s="8">
        <v>0</v>
      </c>
      <c r="L35" s="18">
        <v>0</v>
      </c>
      <c r="M35" s="7">
        <f t="shared" si="0"/>
        <v>0</v>
      </c>
      <c r="N35" s="4"/>
      <c r="O35" s="9"/>
    </row>
    <row r="36" spans="1:15" ht="20" customHeight="1" x14ac:dyDescent="0.2">
      <c r="A36" s="3">
        <v>32</v>
      </c>
      <c r="B36" s="19"/>
      <c r="C36" s="4" t="s">
        <v>4905</v>
      </c>
      <c r="D36" s="4" t="s">
        <v>4874</v>
      </c>
      <c r="E36" s="4"/>
      <c r="F36" s="8"/>
      <c r="G36" s="8"/>
      <c r="H36" s="8"/>
      <c r="I36" s="8"/>
      <c r="J36" s="8"/>
      <c r="K36" s="8">
        <v>1</v>
      </c>
      <c r="L36" s="18">
        <v>1000000</v>
      </c>
      <c r="M36" s="7">
        <f t="shared" si="0"/>
        <v>1000000</v>
      </c>
      <c r="N36" s="4"/>
      <c r="O36" s="9"/>
    </row>
    <row r="37" spans="1:15" ht="22" customHeight="1" x14ac:dyDescent="0.35">
      <c r="A37" s="10" t="s">
        <v>86</v>
      </c>
      <c r="B37" s="20"/>
      <c r="C37" s="11"/>
      <c r="D37" s="11"/>
      <c r="E37" s="11"/>
      <c r="F37" s="11"/>
      <c r="G37" s="11"/>
      <c r="H37" s="11"/>
      <c r="I37" s="11"/>
      <c r="J37" s="11"/>
      <c r="K37" s="13">
        <f>SUM(K5:K36)</f>
        <v>29</v>
      </c>
      <c r="L37" s="11"/>
      <c r="M37" s="13">
        <f>SUM(M5:M36)</f>
        <v>10970000</v>
      </c>
      <c r="N37" s="11"/>
      <c r="O37" s="11"/>
    </row>
    <row r="38" spans="1:15" ht="32" customHeight="1" x14ac:dyDescent="0.2">
      <c r="A38" s="23" t="s">
        <v>4906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</row>
  </sheetData>
  <autoFilter ref="A4:O36" xr:uid="{00000000-0009-0000-0000-00000F000000}"/>
  <mergeCells count="5">
    <mergeCell ref="E2:G2"/>
    <mergeCell ref="A38:O38"/>
    <mergeCell ref="I2:J2"/>
    <mergeCell ref="A1:O1"/>
    <mergeCell ref="F3:O3"/>
  </mergeCells>
  <conditionalFormatting sqref="E3">
    <cfRule type="cellIs" dxfId="27" priority="1" operator="greaterThan">
      <formula>0.009</formula>
    </cfRule>
    <cfRule type="cellIs" dxfId="26" priority="2" operator="lessThan">
      <formula>-0.009</formula>
    </cfRule>
  </conditionalFormatting>
  <dataValidations count="1">
    <dataValidation type="list" allowBlank="1" sqref="O5:O36" xr:uid="{00000000-0002-0000-0F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ซ่อมเครื่องมือแพทย์ · DBR/2570/0018</oddHeader>
    <oddFooter>&amp;Lส่งออกจากฐาน VPK-S1 วันที่ 12 ต.ค. 2569&amp;Rหน้า &amp;P / &amp;N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B6848"/>
    <pageSetUpPr fitToPage="1"/>
  </sheetPr>
  <dimension ref="A1:O880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4907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52</v>
      </c>
      <c r="D2" s="14" t="s">
        <v>7</v>
      </c>
      <c r="E2" s="24" t="s">
        <v>54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362919412.95999998</v>
      </c>
      <c r="D3" s="15" t="s">
        <v>94</v>
      </c>
      <c r="E3" s="17">
        <f>M879-C3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4908</v>
      </c>
      <c r="D5" s="4" t="s">
        <v>4909</v>
      </c>
      <c r="E5" s="4" t="s">
        <v>110</v>
      </c>
      <c r="F5" s="8">
        <v>20</v>
      </c>
      <c r="G5" s="8">
        <v>35</v>
      </c>
      <c r="H5" s="8">
        <v>40</v>
      </c>
      <c r="I5" s="8"/>
      <c r="J5" s="8"/>
      <c r="K5" s="8">
        <v>70</v>
      </c>
      <c r="L5" s="18">
        <v>2311.1999999999998</v>
      </c>
      <c r="M5" s="7">
        <f t="shared" ref="M5:M68" si="0">IF(OR(K5="",L5=""),"",K5*L5)</f>
        <v>161784</v>
      </c>
      <c r="N5" s="4"/>
      <c r="O5" s="9"/>
    </row>
    <row r="6" spans="1:15" ht="20" customHeight="1" x14ac:dyDescent="0.2">
      <c r="A6" s="3">
        <v>2</v>
      </c>
      <c r="B6" s="19"/>
      <c r="C6" s="4" t="s">
        <v>4910</v>
      </c>
      <c r="D6" s="4" t="s">
        <v>4909</v>
      </c>
      <c r="E6" s="4" t="s">
        <v>110</v>
      </c>
      <c r="F6" s="8">
        <v>4</v>
      </c>
      <c r="G6" s="8">
        <v>6</v>
      </c>
      <c r="H6" s="8">
        <v>22</v>
      </c>
      <c r="I6" s="8"/>
      <c r="J6" s="8"/>
      <c r="K6" s="8">
        <v>50</v>
      </c>
      <c r="L6" s="18">
        <v>8025</v>
      </c>
      <c r="M6" s="7">
        <f t="shared" si="0"/>
        <v>401250</v>
      </c>
      <c r="N6" s="4"/>
      <c r="O6" s="9"/>
    </row>
    <row r="7" spans="1:15" ht="20" customHeight="1" x14ac:dyDescent="0.2">
      <c r="A7" s="3">
        <v>3</v>
      </c>
      <c r="B7" s="19"/>
      <c r="C7" s="4" t="s">
        <v>4911</v>
      </c>
      <c r="D7" s="4" t="s">
        <v>4909</v>
      </c>
      <c r="E7" s="4" t="s">
        <v>110</v>
      </c>
      <c r="F7" s="8">
        <v>120</v>
      </c>
      <c r="G7" s="8">
        <v>89</v>
      </c>
      <c r="H7" s="8">
        <v>116</v>
      </c>
      <c r="I7" s="8">
        <v>10</v>
      </c>
      <c r="J7" s="8"/>
      <c r="K7" s="8">
        <v>200</v>
      </c>
      <c r="L7" s="18">
        <v>2051.19</v>
      </c>
      <c r="M7" s="7">
        <f t="shared" si="0"/>
        <v>410238</v>
      </c>
      <c r="N7" s="4"/>
      <c r="O7" s="9"/>
    </row>
    <row r="8" spans="1:15" ht="20" customHeight="1" x14ac:dyDescent="0.2">
      <c r="A8" s="3">
        <v>4</v>
      </c>
      <c r="B8" s="19"/>
      <c r="C8" s="4" t="s">
        <v>4912</v>
      </c>
      <c r="D8" s="4" t="s">
        <v>4909</v>
      </c>
      <c r="E8" s="4" t="s">
        <v>110</v>
      </c>
      <c r="F8" s="8">
        <v>3</v>
      </c>
      <c r="G8" s="8">
        <v>5</v>
      </c>
      <c r="H8" s="8">
        <v>5</v>
      </c>
      <c r="I8" s="8"/>
      <c r="J8" s="8"/>
      <c r="K8" s="8">
        <v>10</v>
      </c>
      <c r="L8" s="18">
        <v>5350</v>
      </c>
      <c r="M8" s="7">
        <f t="shared" si="0"/>
        <v>53500</v>
      </c>
      <c r="N8" s="4"/>
      <c r="O8" s="9"/>
    </row>
    <row r="9" spans="1:15" ht="20" customHeight="1" x14ac:dyDescent="0.2">
      <c r="A9" s="3">
        <v>5</v>
      </c>
      <c r="B9" s="19"/>
      <c r="C9" s="4" t="s">
        <v>4913</v>
      </c>
      <c r="D9" s="4" t="s">
        <v>4909</v>
      </c>
      <c r="E9" s="4" t="s">
        <v>110</v>
      </c>
      <c r="F9" s="8">
        <v>28</v>
      </c>
      <c r="G9" s="8">
        <v>40</v>
      </c>
      <c r="H9" s="8">
        <v>30</v>
      </c>
      <c r="I9" s="8"/>
      <c r="J9" s="8"/>
      <c r="K9" s="8">
        <v>50</v>
      </c>
      <c r="L9" s="18">
        <v>4280</v>
      </c>
      <c r="M9" s="7">
        <f t="shared" si="0"/>
        <v>214000</v>
      </c>
      <c r="N9" s="4"/>
      <c r="O9" s="9"/>
    </row>
    <row r="10" spans="1:15" ht="20" customHeight="1" x14ac:dyDescent="0.2">
      <c r="A10" s="3">
        <v>6</v>
      </c>
      <c r="B10" s="19"/>
      <c r="C10" s="4" t="s">
        <v>4914</v>
      </c>
      <c r="D10" s="4" t="s">
        <v>4909</v>
      </c>
      <c r="E10" s="4" t="s">
        <v>110</v>
      </c>
      <c r="F10" s="8">
        <v>45</v>
      </c>
      <c r="G10" s="8">
        <v>50</v>
      </c>
      <c r="H10" s="8">
        <v>90</v>
      </c>
      <c r="I10" s="8"/>
      <c r="J10" s="8"/>
      <c r="K10" s="8">
        <v>150</v>
      </c>
      <c r="L10" s="18">
        <v>2140</v>
      </c>
      <c r="M10" s="7">
        <f t="shared" si="0"/>
        <v>321000</v>
      </c>
      <c r="N10" s="4"/>
      <c r="O10" s="9"/>
    </row>
    <row r="11" spans="1:15" ht="20" customHeight="1" x14ac:dyDescent="0.2">
      <c r="A11" s="3">
        <v>7</v>
      </c>
      <c r="B11" s="19"/>
      <c r="C11" s="4" t="s">
        <v>4915</v>
      </c>
      <c r="D11" s="4" t="s">
        <v>4909</v>
      </c>
      <c r="E11" s="4" t="s">
        <v>110</v>
      </c>
      <c r="F11" s="8">
        <v>10</v>
      </c>
      <c r="G11" s="8">
        <v>10</v>
      </c>
      <c r="H11" s="8">
        <v>10</v>
      </c>
      <c r="I11" s="8">
        <v>5</v>
      </c>
      <c r="J11" s="8"/>
      <c r="K11" s="8">
        <v>30</v>
      </c>
      <c r="L11" s="18">
        <v>2051.19</v>
      </c>
      <c r="M11" s="7">
        <f t="shared" si="0"/>
        <v>61535.700000000004</v>
      </c>
      <c r="N11" s="4"/>
      <c r="O11" s="9"/>
    </row>
    <row r="12" spans="1:15" ht="20" customHeight="1" x14ac:dyDescent="0.2">
      <c r="A12" s="3">
        <v>8</v>
      </c>
      <c r="B12" s="19"/>
      <c r="C12" s="4" t="s">
        <v>4916</v>
      </c>
      <c r="D12" s="4" t="s">
        <v>4909</v>
      </c>
      <c r="E12" s="4" t="s">
        <v>110</v>
      </c>
      <c r="F12" s="8">
        <v>25</v>
      </c>
      <c r="G12" s="8">
        <v>50</v>
      </c>
      <c r="H12" s="8">
        <v>40</v>
      </c>
      <c r="I12" s="8"/>
      <c r="J12" s="8"/>
      <c r="K12" s="8">
        <v>60</v>
      </c>
      <c r="L12" s="18">
        <v>2086.5</v>
      </c>
      <c r="M12" s="7">
        <f t="shared" si="0"/>
        <v>125190</v>
      </c>
      <c r="N12" s="4"/>
      <c r="O12" s="9"/>
    </row>
    <row r="13" spans="1:15" ht="20" customHeight="1" x14ac:dyDescent="0.2">
      <c r="A13" s="3">
        <v>9</v>
      </c>
      <c r="B13" s="19"/>
      <c r="C13" s="4" t="s">
        <v>4917</v>
      </c>
      <c r="D13" s="4" t="s">
        <v>4909</v>
      </c>
      <c r="E13" s="4" t="s">
        <v>110</v>
      </c>
      <c r="F13" s="8">
        <v>20</v>
      </c>
      <c r="G13" s="8">
        <v>40</v>
      </c>
      <c r="H13" s="8">
        <v>40</v>
      </c>
      <c r="I13" s="8"/>
      <c r="J13" s="8"/>
      <c r="K13" s="8">
        <v>60</v>
      </c>
      <c r="L13" s="18">
        <v>2086.5</v>
      </c>
      <c r="M13" s="7">
        <f t="shared" si="0"/>
        <v>125190</v>
      </c>
      <c r="N13" s="4"/>
      <c r="O13" s="9"/>
    </row>
    <row r="14" spans="1:15" ht="20" customHeight="1" x14ac:dyDescent="0.2">
      <c r="A14" s="3">
        <v>10</v>
      </c>
      <c r="B14" s="19"/>
      <c r="C14" s="4" t="s">
        <v>4918</v>
      </c>
      <c r="D14" s="4" t="s">
        <v>4909</v>
      </c>
      <c r="E14" s="4" t="s">
        <v>110</v>
      </c>
      <c r="F14" s="8">
        <v>10</v>
      </c>
      <c r="G14" s="8"/>
      <c r="H14" s="8">
        <v>20</v>
      </c>
      <c r="I14" s="8"/>
      <c r="J14" s="8"/>
      <c r="K14" s="8">
        <v>30</v>
      </c>
      <c r="L14" s="18">
        <v>2086.5</v>
      </c>
      <c r="M14" s="7">
        <f t="shared" si="0"/>
        <v>62595</v>
      </c>
      <c r="N14" s="4"/>
      <c r="O14" s="9"/>
    </row>
    <row r="15" spans="1:15" ht="20" customHeight="1" x14ac:dyDescent="0.2">
      <c r="A15" s="3">
        <v>11</v>
      </c>
      <c r="B15" s="19"/>
      <c r="C15" s="4" t="s">
        <v>4919</v>
      </c>
      <c r="D15" s="4" t="s">
        <v>4909</v>
      </c>
      <c r="E15" s="4" t="s">
        <v>110</v>
      </c>
      <c r="F15" s="8">
        <v>40</v>
      </c>
      <c r="G15" s="8">
        <v>40</v>
      </c>
      <c r="H15" s="8">
        <v>40</v>
      </c>
      <c r="I15" s="8"/>
      <c r="J15" s="8"/>
      <c r="K15" s="8">
        <v>60</v>
      </c>
      <c r="L15" s="18">
        <v>2086.5</v>
      </c>
      <c r="M15" s="7">
        <f t="shared" si="0"/>
        <v>125190</v>
      </c>
      <c r="N15" s="4"/>
      <c r="O15" s="9"/>
    </row>
    <row r="16" spans="1:15" ht="20" customHeight="1" x14ac:dyDescent="0.2">
      <c r="A16" s="3">
        <v>12</v>
      </c>
      <c r="B16" s="19"/>
      <c r="C16" s="4" t="s">
        <v>4920</v>
      </c>
      <c r="D16" s="4" t="s">
        <v>4909</v>
      </c>
      <c r="E16" s="4" t="s">
        <v>110</v>
      </c>
      <c r="F16" s="8"/>
      <c r="G16" s="8"/>
      <c r="H16" s="8">
        <v>40</v>
      </c>
      <c r="I16" s="8"/>
      <c r="J16" s="8"/>
      <c r="K16" s="8">
        <v>80</v>
      </c>
      <c r="L16" s="18">
        <v>2086.5</v>
      </c>
      <c r="M16" s="7">
        <f t="shared" si="0"/>
        <v>166920</v>
      </c>
      <c r="N16" s="4"/>
      <c r="O16" s="9"/>
    </row>
    <row r="17" spans="1:15" ht="20" customHeight="1" x14ac:dyDescent="0.2">
      <c r="A17" s="3">
        <v>13</v>
      </c>
      <c r="B17" s="19"/>
      <c r="C17" s="4" t="s">
        <v>4921</v>
      </c>
      <c r="D17" s="4" t="s">
        <v>4909</v>
      </c>
      <c r="E17" s="4" t="s">
        <v>110</v>
      </c>
      <c r="F17" s="8">
        <v>50</v>
      </c>
      <c r="G17" s="8">
        <v>45</v>
      </c>
      <c r="H17" s="8">
        <v>120</v>
      </c>
      <c r="I17" s="8"/>
      <c r="J17" s="8"/>
      <c r="K17" s="8">
        <v>150</v>
      </c>
      <c r="L17" s="18">
        <v>1391</v>
      </c>
      <c r="M17" s="7">
        <f t="shared" si="0"/>
        <v>208650</v>
      </c>
      <c r="N17" s="4"/>
      <c r="O17" s="9"/>
    </row>
    <row r="18" spans="1:15" ht="20" customHeight="1" x14ac:dyDescent="0.2">
      <c r="A18" s="3">
        <v>14</v>
      </c>
      <c r="B18" s="19"/>
      <c r="C18" s="4" t="s">
        <v>4922</v>
      </c>
      <c r="D18" s="4" t="s">
        <v>4909</v>
      </c>
      <c r="E18" s="4" t="s">
        <v>110</v>
      </c>
      <c r="F18" s="8">
        <v>30</v>
      </c>
      <c r="G18" s="8">
        <v>60</v>
      </c>
      <c r="H18" s="8">
        <v>60</v>
      </c>
      <c r="I18" s="8"/>
      <c r="J18" s="8"/>
      <c r="K18" s="8">
        <v>100</v>
      </c>
      <c r="L18" s="18">
        <v>1391</v>
      </c>
      <c r="M18" s="7">
        <f t="shared" si="0"/>
        <v>139100</v>
      </c>
      <c r="N18" s="4"/>
      <c r="O18" s="9"/>
    </row>
    <row r="19" spans="1:15" ht="20" customHeight="1" x14ac:dyDescent="0.2">
      <c r="A19" s="3">
        <v>15</v>
      </c>
      <c r="B19" s="19"/>
      <c r="C19" s="4" t="s">
        <v>4923</v>
      </c>
      <c r="D19" s="4" t="s">
        <v>4909</v>
      </c>
      <c r="E19" s="4" t="s">
        <v>110</v>
      </c>
      <c r="F19" s="8">
        <v>76</v>
      </c>
      <c r="G19" s="8">
        <v>60</v>
      </c>
      <c r="H19" s="8">
        <v>80</v>
      </c>
      <c r="I19" s="8"/>
      <c r="J19" s="8"/>
      <c r="K19" s="8">
        <v>150</v>
      </c>
      <c r="L19" s="18">
        <v>4815</v>
      </c>
      <c r="M19" s="7">
        <f t="shared" si="0"/>
        <v>722250</v>
      </c>
      <c r="N19" s="4"/>
      <c r="O19" s="9"/>
    </row>
    <row r="20" spans="1:15" ht="20" customHeight="1" x14ac:dyDescent="0.2">
      <c r="A20" s="3">
        <v>16</v>
      </c>
      <c r="B20" s="19"/>
      <c r="C20" s="4" t="s">
        <v>4924</v>
      </c>
      <c r="D20" s="4" t="s">
        <v>4909</v>
      </c>
      <c r="E20" s="4" t="s">
        <v>110</v>
      </c>
      <c r="F20" s="8">
        <v>150</v>
      </c>
      <c r="G20" s="8">
        <v>165</v>
      </c>
      <c r="H20" s="8">
        <v>170</v>
      </c>
      <c r="I20" s="8">
        <v>20</v>
      </c>
      <c r="J20" s="8"/>
      <c r="K20" s="8">
        <v>500</v>
      </c>
      <c r="L20" s="18">
        <v>2568</v>
      </c>
      <c r="M20" s="7">
        <f t="shared" si="0"/>
        <v>1284000</v>
      </c>
      <c r="N20" s="4"/>
      <c r="O20" s="9"/>
    </row>
    <row r="21" spans="1:15" ht="20" customHeight="1" x14ac:dyDescent="0.2">
      <c r="A21" s="3">
        <v>17</v>
      </c>
      <c r="B21" s="19"/>
      <c r="C21" s="4" t="s">
        <v>4925</v>
      </c>
      <c r="D21" s="4" t="s">
        <v>4909</v>
      </c>
      <c r="E21" s="4" t="s">
        <v>110</v>
      </c>
      <c r="F21" s="8">
        <v>105</v>
      </c>
      <c r="G21" s="8">
        <v>60</v>
      </c>
      <c r="H21" s="8">
        <v>105</v>
      </c>
      <c r="I21" s="8"/>
      <c r="J21" s="8"/>
      <c r="K21" s="8">
        <v>120</v>
      </c>
      <c r="L21" s="18">
        <v>3852</v>
      </c>
      <c r="M21" s="7">
        <f t="shared" si="0"/>
        <v>462240</v>
      </c>
      <c r="N21" s="4"/>
      <c r="O21" s="9"/>
    </row>
    <row r="22" spans="1:15" ht="20" customHeight="1" x14ac:dyDescent="0.2">
      <c r="A22" s="3">
        <v>18</v>
      </c>
      <c r="B22" s="19"/>
      <c r="C22" s="4" t="s">
        <v>4926</v>
      </c>
      <c r="D22" s="4" t="s">
        <v>4909</v>
      </c>
      <c r="E22" s="4" t="s">
        <v>110</v>
      </c>
      <c r="F22" s="8">
        <v>85</v>
      </c>
      <c r="G22" s="8">
        <v>60</v>
      </c>
      <c r="H22" s="8">
        <v>55</v>
      </c>
      <c r="I22" s="8"/>
      <c r="J22" s="8"/>
      <c r="K22" s="8">
        <v>80</v>
      </c>
      <c r="L22" s="18">
        <v>3852</v>
      </c>
      <c r="M22" s="7">
        <f t="shared" si="0"/>
        <v>308160</v>
      </c>
      <c r="N22" s="4"/>
      <c r="O22" s="9"/>
    </row>
    <row r="23" spans="1:15" ht="20" customHeight="1" x14ac:dyDescent="0.2">
      <c r="A23" s="3">
        <v>19</v>
      </c>
      <c r="B23" s="19"/>
      <c r="C23" s="4" t="s">
        <v>4927</v>
      </c>
      <c r="D23" s="4" t="s">
        <v>4909</v>
      </c>
      <c r="E23" s="4" t="s">
        <v>110</v>
      </c>
      <c r="F23" s="8">
        <v>20</v>
      </c>
      <c r="G23" s="8">
        <v>30</v>
      </c>
      <c r="H23" s="8">
        <v>35</v>
      </c>
      <c r="I23" s="8"/>
      <c r="J23" s="8"/>
      <c r="K23" s="8">
        <v>50</v>
      </c>
      <c r="L23" s="18">
        <v>4173</v>
      </c>
      <c r="M23" s="7">
        <f t="shared" si="0"/>
        <v>208650</v>
      </c>
      <c r="N23" s="4"/>
      <c r="O23" s="9"/>
    </row>
    <row r="24" spans="1:15" ht="20" customHeight="1" x14ac:dyDescent="0.2">
      <c r="A24" s="3">
        <v>20</v>
      </c>
      <c r="B24" s="19"/>
      <c r="C24" s="4" t="s">
        <v>4928</v>
      </c>
      <c r="D24" s="4" t="s">
        <v>4909</v>
      </c>
      <c r="E24" s="4" t="s">
        <v>110</v>
      </c>
      <c r="F24" s="8">
        <v>45</v>
      </c>
      <c r="G24" s="8">
        <v>40</v>
      </c>
      <c r="H24" s="8">
        <v>40</v>
      </c>
      <c r="I24" s="8"/>
      <c r="J24" s="8"/>
      <c r="K24" s="8">
        <v>60</v>
      </c>
      <c r="L24" s="18">
        <v>3852</v>
      </c>
      <c r="M24" s="7">
        <f t="shared" si="0"/>
        <v>231120</v>
      </c>
      <c r="N24" s="4"/>
      <c r="O24" s="9"/>
    </row>
    <row r="25" spans="1:15" ht="20" customHeight="1" x14ac:dyDescent="0.2">
      <c r="A25" s="3">
        <v>21</v>
      </c>
      <c r="B25" s="19"/>
      <c r="C25" s="4" t="s">
        <v>4929</v>
      </c>
      <c r="D25" s="4" t="s">
        <v>4909</v>
      </c>
      <c r="E25" s="4" t="s">
        <v>110</v>
      </c>
      <c r="F25" s="8">
        <v>30</v>
      </c>
      <c r="G25" s="8">
        <v>20</v>
      </c>
      <c r="H25" s="8">
        <v>65</v>
      </c>
      <c r="I25" s="8"/>
      <c r="J25" s="8"/>
      <c r="K25" s="8">
        <v>80</v>
      </c>
      <c r="L25" s="18">
        <v>3852</v>
      </c>
      <c r="M25" s="7">
        <f t="shared" si="0"/>
        <v>308160</v>
      </c>
      <c r="N25" s="4"/>
      <c r="O25" s="9"/>
    </row>
    <row r="26" spans="1:15" ht="20" customHeight="1" x14ac:dyDescent="0.2">
      <c r="A26" s="3">
        <v>22</v>
      </c>
      <c r="B26" s="19"/>
      <c r="C26" s="4" t="s">
        <v>4930</v>
      </c>
      <c r="D26" s="4" t="s">
        <v>4909</v>
      </c>
      <c r="E26" s="4" t="s">
        <v>110</v>
      </c>
      <c r="F26" s="8">
        <v>40</v>
      </c>
      <c r="G26" s="8">
        <v>60</v>
      </c>
      <c r="H26" s="8">
        <v>70</v>
      </c>
      <c r="I26" s="8"/>
      <c r="J26" s="8"/>
      <c r="K26" s="8">
        <v>80</v>
      </c>
      <c r="L26" s="18">
        <v>3852</v>
      </c>
      <c r="M26" s="7">
        <f t="shared" si="0"/>
        <v>308160</v>
      </c>
      <c r="N26" s="4"/>
      <c r="O26" s="9"/>
    </row>
    <row r="27" spans="1:15" ht="20" customHeight="1" x14ac:dyDescent="0.2">
      <c r="A27" s="3">
        <v>23</v>
      </c>
      <c r="B27" s="19"/>
      <c r="C27" s="4" t="s">
        <v>4931</v>
      </c>
      <c r="D27" s="4" t="s">
        <v>4909</v>
      </c>
      <c r="E27" s="4" t="s">
        <v>110</v>
      </c>
      <c r="F27" s="8">
        <v>35</v>
      </c>
      <c r="G27" s="8">
        <v>45</v>
      </c>
      <c r="H27" s="8">
        <v>60</v>
      </c>
      <c r="I27" s="8"/>
      <c r="J27" s="8"/>
      <c r="K27" s="8">
        <v>200</v>
      </c>
      <c r="L27" s="18">
        <v>2568</v>
      </c>
      <c r="M27" s="7">
        <f t="shared" si="0"/>
        <v>513600</v>
      </c>
      <c r="N27" s="4"/>
      <c r="O27" s="9"/>
    </row>
    <row r="28" spans="1:15" ht="20" customHeight="1" x14ac:dyDescent="0.2">
      <c r="A28" s="3">
        <v>24</v>
      </c>
      <c r="B28" s="19"/>
      <c r="C28" s="4" t="s">
        <v>4932</v>
      </c>
      <c r="D28" s="4" t="s">
        <v>4909</v>
      </c>
      <c r="E28" s="4" t="s">
        <v>110</v>
      </c>
      <c r="F28" s="8"/>
      <c r="G28" s="8"/>
      <c r="H28" s="8">
        <v>20</v>
      </c>
      <c r="I28" s="8">
        <v>5</v>
      </c>
      <c r="J28" s="8"/>
      <c r="K28" s="8">
        <v>30</v>
      </c>
      <c r="L28" s="18">
        <v>4494</v>
      </c>
      <c r="M28" s="7">
        <f t="shared" si="0"/>
        <v>134820</v>
      </c>
      <c r="N28" s="4"/>
      <c r="O28" s="9"/>
    </row>
    <row r="29" spans="1:15" ht="20" customHeight="1" x14ac:dyDescent="0.2">
      <c r="A29" s="3">
        <v>25</v>
      </c>
      <c r="B29" s="19"/>
      <c r="C29" s="4" t="s">
        <v>4933</v>
      </c>
      <c r="D29" s="4" t="s">
        <v>4909</v>
      </c>
      <c r="E29" s="4" t="s">
        <v>110</v>
      </c>
      <c r="F29" s="8">
        <v>60</v>
      </c>
      <c r="G29" s="8">
        <v>60</v>
      </c>
      <c r="H29" s="8">
        <v>80</v>
      </c>
      <c r="I29" s="8"/>
      <c r="J29" s="8"/>
      <c r="K29" s="8">
        <v>80</v>
      </c>
      <c r="L29" s="18">
        <v>535</v>
      </c>
      <c r="M29" s="7">
        <f t="shared" si="0"/>
        <v>42800</v>
      </c>
      <c r="N29" s="4"/>
      <c r="O29" s="9"/>
    </row>
    <row r="30" spans="1:15" ht="20" customHeight="1" x14ac:dyDescent="0.2">
      <c r="A30" s="3">
        <v>26</v>
      </c>
      <c r="B30" s="19"/>
      <c r="C30" s="4" t="s">
        <v>4934</v>
      </c>
      <c r="D30" s="4" t="s">
        <v>4909</v>
      </c>
      <c r="E30" s="4" t="s">
        <v>110</v>
      </c>
      <c r="F30" s="8">
        <v>80</v>
      </c>
      <c r="G30" s="8">
        <v>80</v>
      </c>
      <c r="H30" s="8">
        <v>40</v>
      </c>
      <c r="I30" s="8"/>
      <c r="J30" s="8"/>
      <c r="K30" s="8">
        <v>80</v>
      </c>
      <c r="L30" s="18">
        <v>535</v>
      </c>
      <c r="M30" s="7">
        <f t="shared" si="0"/>
        <v>42800</v>
      </c>
      <c r="N30" s="4"/>
      <c r="O30" s="9"/>
    </row>
    <row r="31" spans="1:15" ht="20" customHeight="1" x14ac:dyDescent="0.2">
      <c r="A31" s="3">
        <v>27</v>
      </c>
      <c r="B31" s="19"/>
      <c r="C31" s="4" t="s">
        <v>4935</v>
      </c>
      <c r="D31" s="4" t="s">
        <v>4909</v>
      </c>
      <c r="E31" s="4" t="s">
        <v>110</v>
      </c>
      <c r="F31" s="8"/>
      <c r="G31" s="8"/>
      <c r="H31" s="8">
        <v>55</v>
      </c>
      <c r="I31" s="8"/>
      <c r="J31" s="8"/>
      <c r="K31" s="8">
        <v>60</v>
      </c>
      <c r="L31" s="18">
        <v>802.5</v>
      </c>
      <c r="M31" s="7">
        <f t="shared" si="0"/>
        <v>48150</v>
      </c>
      <c r="N31" s="4"/>
      <c r="O31" s="9"/>
    </row>
    <row r="32" spans="1:15" ht="20" customHeight="1" x14ac:dyDescent="0.2">
      <c r="A32" s="3">
        <v>28</v>
      </c>
      <c r="B32" s="19"/>
      <c r="C32" s="4" t="s">
        <v>4936</v>
      </c>
      <c r="D32" s="4" t="s">
        <v>4909</v>
      </c>
      <c r="E32" s="4" t="s">
        <v>110</v>
      </c>
      <c r="F32" s="8"/>
      <c r="G32" s="8"/>
      <c r="H32" s="8">
        <v>30</v>
      </c>
      <c r="I32" s="8"/>
      <c r="J32" s="8"/>
      <c r="K32" s="8">
        <v>50</v>
      </c>
      <c r="L32" s="18">
        <v>642</v>
      </c>
      <c r="M32" s="7">
        <f t="shared" si="0"/>
        <v>32100</v>
      </c>
      <c r="N32" s="4"/>
      <c r="O32" s="9"/>
    </row>
    <row r="33" spans="1:15" ht="20" customHeight="1" x14ac:dyDescent="0.2">
      <c r="A33" s="3">
        <v>29</v>
      </c>
      <c r="B33" s="19"/>
      <c r="C33" s="4" t="s">
        <v>4937</v>
      </c>
      <c r="D33" s="4" t="s">
        <v>4909</v>
      </c>
      <c r="E33" s="4" t="s">
        <v>110</v>
      </c>
      <c r="F33" s="8">
        <v>30</v>
      </c>
      <c r="G33" s="8">
        <v>30</v>
      </c>
      <c r="H33" s="8">
        <v>30</v>
      </c>
      <c r="I33" s="8"/>
      <c r="J33" s="8"/>
      <c r="K33" s="8">
        <v>50</v>
      </c>
      <c r="L33" s="18">
        <v>4654.5</v>
      </c>
      <c r="M33" s="7">
        <f t="shared" si="0"/>
        <v>232725</v>
      </c>
      <c r="N33" s="4"/>
      <c r="O33" s="9"/>
    </row>
    <row r="34" spans="1:15" ht="20" customHeight="1" x14ac:dyDescent="0.2">
      <c r="A34" s="3">
        <v>30</v>
      </c>
      <c r="B34" s="19"/>
      <c r="C34" s="4" t="s">
        <v>4938</v>
      </c>
      <c r="D34" s="4" t="s">
        <v>4909</v>
      </c>
      <c r="E34" s="4" t="s">
        <v>110</v>
      </c>
      <c r="F34" s="8"/>
      <c r="G34" s="8">
        <v>30</v>
      </c>
      <c r="H34" s="8">
        <v>10</v>
      </c>
      <c r="I34" s="8"/>
      <c r="J34" s="8"/>
      <c r="K34" s="8">
        <v>20</v>
      </c>
      <c r="L34" s="18">
        <v>1070</v>
      </c>
      <c r="M34" s="7">
        <f t="shared" si="0"/>
        <v>21400</v>
      </c>
      <c r="N34" s="4"/>
      <c r="O34" s="9"/>
    </row>
    <row r="35" spans="1:15" ht="20" customHeight="1" x14ac:dyDescent="0.2">
      <c r="A35" s="3">
        <v>31</v>
      </c>
      <c r="B35" s="19"/>
      <c r="C35" s="4" t="s">
        <v>4939</v>
      </c>
      <c r="D35" s="4" t="s">
        <v>4909</v>
      </c>
      <c r="E35" s="4" t="s">
        <v>110</v>
      </c>
      <c r="F35" s="8">
        <v>550</v>
      </c>
      <c r="G35" s="8">
        <v>480</v>
      </c>
      <c r="H35" s="8">
        <v>580</v>
      </c>
      <c r="I35" s="8"/>
      <c r="J35" s="8"/>
      <c r="K35" s="8">
        <v>600</v>
      </c>
      <c r="L35" s="18">
        <v>535</v>
      </c>
      <c r="M35" s="7">
        <f t="shared" si="0"/>
        <v>321000</v>
      </c>
      <c r="N35" s="4"/>
      <c r="O35" s="9"/>
    </row>
    <row r="36" spans="1:15" ht="20" customHeight="1" x14ac:dyDescent="0.2">
      <c r="A36" s="3">
        <v>32</v>
      </c>
      <c r="B36" s="19"/>
      <c r="C36" s="4" t="s">
        <v>4940</v>
      </c>
      <c r="D36" s="4" t="s">
        <v>4909</v>
      </c>
      <c r="E36" s="4" t="s">
        <v>110</v>
      </c>
      <c r="F36" s="8"/>
      <c r="G36" s="8"/>
      <c r="H36" s="8">
        <v>15</v>
      </c>
      <c r="I36" s="8"/>
      <c r="J36" s="8"/>
      <c r="K36" s="8">
        <v>20</v>
      </c>
      <c r="L36" s="18">
        <v>1284</v>
      </c>
      <c r="M36" s="7">
        <f t="shared" si="0"/>
        <v>25680</v>
      </c>
      <c r="N36" s="4"/>
      <c r="O36" s="9"/>
    </row>
    <row r="37" spans="1:15" ht="20" customHeight="1" x14ac:dyDescent="0.2">
      <c r="A37" s="3">
        <v>33</v>
      </c>
      <c r="B37" s="19"/>
      <c r="C37" s="4" t="s">
        <v>4941</v>
      </c>
      <c r="D37" s="4" t="s">
        <v>4909</v>
      </c>
      <c r="E37" s="4" t="s">
        <v>110</v>
      </c>
      <c r="F37" s="8">
        <v>20</v>
      </c>
      <c r="G37" s="8">
        <v>20</v>
      </c>
      <c r="H37" s="8">
        <v>20</v>
      </c>
      <c r="I37" s="8"/>
      <c r="J37" s="8"/>
      <c r="K37" s="8">
        <v>20</v>
      </c>
      <c r="L37" s="18">
        <v>3959</v>
      </c>
      <c r="M37" s="7">
        <f t="shared" si="0"/>
        <v>79180</v>
      </c>
      <c r="N37" s="4"/>
      <c r="O37" s="9"/>
    </row>
    <row r="38" spans="1:15" ht="20" customHeight="1" x14ac:dyDescent="0.2">
      <c r="A38" s="3">
        <v>34</v>
      </c>
      <c r="B38" s="19"/>
      <c r="C38" s="4" t="s">
        <v>4942</v>
      </c>
      <c r="D38" s="4" t="s">
        <v>4909</v>
      </c>
      <c r="E38" s="4" t="s">
        <v>110</v>
      </c>
      <c r="F38" s="8">
        <v>20</v>
      </c>
      <c r="G38" s="8">
        <v>20</v>
      </c>
      <c r="H38" s="8">
        <v>20</v>
      </c>
      <c r="I38" s="8"/>
      <c r="J38" s="8"/>
      <c r="K38" s="8">
        <v>20</v>
      </c>
      <c r="L38" s="18">
        <v>3959</v>
      </c>
      <c r="M38" s="7">
        <f t="shared" si="0"/>
        <v>79180</v>
      </c>
      <c r="N38" s="4"/>
      <c r="O38" s="9"/>
    </row>
    <row r="39" spans="1:15" ht="20" customHeight="1" x14ac:dyDescent="0.2">
      <c r="A39" s="3">
        <v>35</v>
      </c>
      <c r="B39" s="19"/>
      <c r="C39" s="4" t="s">
        <v>4943</v>
      </c>
      <c r="D39" s="4" t="s">
        <v>4909</v>
      </c>
      <c r="E39" s="4" t="s">
        <v>110</v>
      </c>
      <c r="F39" s="8">
        <v>25</v>
      </c>
      <c r="G39" s="8">
        <v>25</v>
      </c>
      <c r="H39" s="8">
        <v>30</v>
      </c>
      <c r="I39" s="8"/>
      <c r="J39" s="8"/>
      <c r="K39" s="8">
        <v>30</v>
      </c>
      <c r="L39" s="18">
        <v>6270.2</v>
      </c>
      <c r="M39" s="7">
        <f t="shared" si="0"/>
        <v>188106</v>
      </c>
      <c r="N39" s="4"/>
      <c r="O39" s="9"/>
    </row>
    <row r="40" spans="1:15" ht="20" customHeight="1" x14ac:dyDescent="0.2">
      <c r="A40" s="3">
        <v>36</v>
      </c>
      <c r="B40" s="19"/>
      <c r="C40" s="4" t="s">
        <v>4944</v>
      </c>
      <c r="D40" s="4" t="s">
        <v>4909</v>
      </c>
      <c r="E40" s="4" t="s">
        <v>110</v>
      </c>
      <c r="F40" s="8"/>
      <c r="G40" s="8"/>
      <c r="H40" s="8">
        <v>15</v>
      </c>
      <c r="I40" s="8"/>
      <c r="J40" s="8"/>
      <c r="K40" s="8">
        <v>30</v>
      </c>
      <c r="L40" s="18">
        <v>5311.29</v>
      </c>
      <c r="M40" s="7">
        <f t="shared" si="0"/>
        <v>159338.70000000001</v>
      </c>
      <c r="N40" s="4"/>
      <c r="O40" s="9"/>
    </row>
    <row r="41" spans="1:15" ht="20" customHeight="1" x14ac:dyDescent="0.2">
      <c r="A41" s="3">
        <v>37</v>
      </c>
      <c r="B41" s="19"/>
      <c r="C41" s="4" t="s">
        <v>4945</v>
      </c>
      <c r="D41" s="4" t="s">
        <v>4909</v>
      </c>
      <c r="E41" s="4" t="s">
        <v>110</v>
      </c>
      <c r="F41" s="8">
        <v>10</v>
      </c>
      <c r="G41" s="8">
        <v>10</v>
      </c>
      <c r="H41" s="8">
        <v>17</v>
      </c>
      <c r="I41" s="8"/>
      <c r="J41" s="8"/>
      <c r="K41" s="8">
        <v>20</v>
      </c>
      <c r="L41" s="18">
        <v>5680</v>
      </c>
      <c r="M41" s="7">
        <f t="shared" si="0"/>
        <v>113600</v>
      </c>
      <c r="N41" s="4"/>
      <c r="O41" s="9"/>
    </row>
    <row r="42" spans="1:15" ht="20" customHeight="1" x14ac:dyDescent="0.2">
      <c r="A42" s="3">
        <v>38</v>
      </c>
      <c r="B42" s="19"/>
      <c r="C42" s="4" t="s">
        <v>4946</v>
      </c>
      <c r="D42" s="4" t="s">
        <v>4909</v>
      </c>
      <c r="E42" s="4" t="s">
        <v>110</v>
      </c>
      <c r="F42" s="8">
        <v>33</v>
      </c>
      <c r="G42" s="8">
        <v>15</v>
      </c>
      <c r="H42" s="8">
        <v>40</v>
      </c>
      <c r="I42" s="8"/>
      <c r="J42" s="8"/>
      <c r="K42" s="8">
        <v>80</v>
      </c>
      <c r="L42" s="18">
        <v>4500</v>
      </c>
      <c r="M42" s="7">
        <f t="shared" si="0"/>
        <v>360000</v>
      </c>
      <c r="N42" s="4"/>
      <c r="O42" s="9"/>
    </row>
    <row r="43" spans="1:15" ht="20" customHeight="1" x14ac:dyDescent="0.2">
      <c r="A43" s="3">
        <v>39</v>
      </c>
      <c r="B43" s="19"/>
      <c r="C43" s="4" t="s">
        <v>4947</v>
      </c>
      <c r="D43" s="4" t="s">
        <v>4909</v>
      </c>
      <c r="E43" s="4" t="s">
        <v>110</v>
      </c>
      <c r="F43" s="8">
        <v>70</v>
      </c>
      <c r="G43" s="8">
        <v>100</v>
      </c>
      <c r="H43" s="8">
        <v>150</v>
      </c>
      <c r="I43" s="8"/>
      <c r="J43" s="8"/>
      <c r="K43" s="8">
        <v>200</v>
      </c>
      <c r="L43" s="18">
        <v>7768.2</v>
      </c>
      <c r="M43" s="7">
        <f t="shared" si="0"/>
        <v>1553640</v>
      </c>
      <c r="N43" s="4"/>
      <c r="O43" s="9"/>
    </row>
    <row r="44" spans="1:15" ht="20" customHeight="1" x14ac:dyDescent="0.2">
      <c r="A44" s="3">
        <v>40</v>
      </c>
      <c r="B44" s="19"/>
      <c r="C44" s="4" t="s">
        <v>4948</v>
      </c>
      <c r="D44" s="4" t="s">
        <v>4909</v>
      </c>
      <c r="E44" s="4" t="s">
        <v>110</v>
      </c>
      <c r="F44" s="8">
        <v>50</v>
      </c>
      <c r="G44" s="8">
        <v>80</v>
      </c>
      <c r="H44" s="8">
        <v>100</v>
      </c>
      <c r="I44" s="8"/>
      <c r="J44" s="8"/>
      <c r="K44" s="8">
        <v>160</v>
      </c>
      <c r="L44" s="18">
        <v>11770</v>
      </c>
      <c r="M44" s="7">
        <f t="shared" si="0"/>
        <v>1883200</v>
      </c>
      <c r="N44" s="4"/>
      <c r="O44" s="9"/>
    </row>
    <row r="45" spans="1:15" ht="20" customHeight="1" x14ac:dyDescent="0.2">
      <c r="A45" s="3">
        <v>41</v>
      </c>
      <c r="B45" s="19"/>
      <c r="C45" s="4" t="s">
        <v>4949</v>
      </c>
      <c r="D45" s="4" t="s">
        <v>4909</v>
      </c>
      <c r="E45" s="4" t="s">
        <v>110</v>
      </c>
      <c r="F45" s="8">
        <v>50</v>
      </c>
      <c r="G45" s="8">
        <v>80</v>
      </c>
      <c r="H45" s="8">
        <v>100</v>
      </c>
      <c r="I45" s="8"/>
      <c r="J45" s="8"/>
      <c r="K45" s="8">
        <v>160</v>
      </c>
      <c r="L45" s="18">
        <v>22470</v>
      </c>
      <c r="M45" s="7">
        <f t="shared" si="0"/>
        <v>3595200</v>
      </c>
      <c r="N45" s="4"/>
      <c r="O45" s="9"/>
    </row>
    <row r="46" spans="1:15" ht="20" customHeight="1" x14ac:dyDescent="0.2">
      <c r="A46" s="3">
        <v>42</v>
      </c>
      <c r="B46" s="19"/>
      <c r="C46" s="4" t="s">
        <v>4950</v>
      </c>
      <c r="D46" s="4" t="s">
        <v>4909</v>
      </c>
      <c r="E46" s="4" t="s">
        <v>110</v>
      </c>
      <c r="F46" s="8">
        <v>10</v>
      </c>
      <c r="G46" s="8">
        <v>15</v>
      </c>
      <c r="H46" s="8">
        <v>15</v>
      </c>
      <c r="I46" s="8"/>
      <c r="J46" s="8"/>
      <c r="K46" s="8">
        <v>40</v>
      </c>
      <c r="L46" s="18">
        <v>16050</v>
      </c>
      <c r="M46" s="7">
        <f t="shared" si="0"/>
        <v>642000</v>
      </c>
      <c r="N46" s="4"/>
      <c r="O46" s="9"/>
    </row>
    <row r="47" spans="1:15" ht="20" customHeight="1" x14ac:dyDescent="0.2">
      <c r="A47" s="3">
        <v>43</v>
      </c>
      <c r="B47" s="19"/>
      <c r="C47" s="4" t="s">
        <v>4951</v>
      </c>
      <c r="D47" s="4" t="s">
        <v>4909</v>
      </c>
      <c r="E47" s="4" t="s">
        <v>110</v>
      </c>
      <c r="F47" s="8">
        <v>10</v>
      </c>
      <c r="G47" s="8">
        <v>15</v>
      </c>
      <c r="H47" s="8">
        <v>15</v>
      </c>
      <c r="I47" s="8"/>
      <c r="J47" s="8"/>
      <c r="K47" s="8">
        <v>40</v>
      </c>
      <c r="L47" s="18">
        <v>22470</v>
      </c>
      <c r="M47" s="7">
        <f t="shared" si="0"/>
        <v>898800</v>
      </c>
      <c r="N47" s="4"/>
      <c r="O47" s="9"/>
    </row>
    <row r="48" spans="1:15" ht="20" customHeight="1" x14ac:dyDescent="0.2">
      <c r="A48" s="3">
        <v>44</v>
      </c>
      <c r="B48" s="19"/>
      <c r="C48" s="4" t="s">
        <v>4952</v>
      </c>
      <c r="D48" s="4" t="s">
        <v>4909</v>
      </c>
      <c r="E48" s="4" t="s">
        <v>110</v>
      </c>
      <c r="F48" s="8">
        <v>150</v>
      </c>
      <c r="G48" s="8">
        <v>150</v>
      </c>
      <c r="H48" s="8">
        <v>150</v>
      </c>
      <c r="I48" s="8"/>
      <c r="J48" s="8"/>
      <c r="K48" s="8">
        <v>200</v>
      </c>
      <c r="L48" s="18">
        <v>2803.4</v>
      </c>
      <c r="M48" s="7">
        <f t="shared" si="0"/>
        <v>560680</v>
      </c>
      <c r="N48" s="4"/>
      <c r="O48" s="9"/>
    </row>
    <row r="49" spans="1:15" ht="20" customHeight="1" x14ac:dyDescent="0.2">
      <c r="A49" s="3">
        <v>45</v>
      </c>
      <c r="B49" s="19"/>
      <c r="C49" s="4" t="s">
        <v>4953</v>
      </c>
      <c r="D49" s="4" t="s">
        <v>4909</v>
      </c>
      <c r="E49" s="4" t="s">
        <v>110</v>
      </c>
      <c r="F49" s="8">
        <v>20</v>
      </c>
      <c r="G49" s="8">
        <v>20</v>
      </c>
      <c r="H49" s="8">
        <v>20</v>
      </c>
      <c r="I49" s="8"/>
      <c r="J49" s="8"/>
      <c r="K49" s="8">
        <v>40</v>
      </c>
      <c r="L49" s="18">
        <v>2824.8</v>
      </c>
      <c r="M49" s="7">
        <f t="shared" si="0"/>
        <v>112992</v>
      </c>
      <c r="N49" s="4"/>
      <c r="O49" s="9"/>
    </row>
    <row r="50" spans="1:15" ht="20" customHeight="1" x14ac:dyDescent="0.2">
      <c r="A50" s="3">
        <v>46</v>
      </c>
      <c r="B50" s="19"/>
      <c r="C50" s="4" t="s">
        <v>4954</v>
      </c>
      <c r="D50" s="4" t="s">
        <v>4909</v>
      </c>
      <c r="E50" s="4" t="s">
        <v>110</v>
      </c>
      <c r="F50" s="8">
        <v>10</v>
      </c>
      <c r="G50" s="8">
        <v>10</v>
      </c>
      <c r="H50" s="8">
        <v>10</v>
      </c>
      <c r="I50" s="8"/>
      <c r="J50" s="8"/>
      <c r="K50" s="8">
        <v>10</v>
      </c>
      <c r="L50" s="18">
        <v>6056.2</v>
      </c>
      <c r="M50" s="7">
        <f t="shared" si="0"/>
        <v>60562</v>
      </c>
      <c r="N50" s="4"/>
      <c r="O50" s="9"/>
    </row>
    <row r="51" spans="1:15" ht="20" customHeight="1" x14ac:dyDescent="0.2">
      <c r="A51" s="3">
        <v>47</v>
      </c>
      <c r="B51" s="19"/>
      <c r="C51" s="4" t="s">
        <v>4955</v>
      </c>
      <c r="D51" s="4" t="s">
        <v>4909</v>
      </c>
      <c r="E51" s="4" t="s">
        <v>110</v>
      </c>
      <c r="F51" s="8">
        <v>10</v>
      </c>
      <c r="G51" s="8">
        <v>10</v>
      </c>
      <c r="H51" s="8">
        <v>10</v>
      </c>
      <c r="I51" s="8"/>
      <c r="J51" s="8"/>
      <c r="K51" s="8">
        <v>10</v>
      </c>
      <c r="L51" s="18">
        <v>12947</v>
      </c>
      <c r="M51" s="7">
        <f t="shared" si="0"/>
        <v>129470</v>
      </c>
      <c r="N51" s="4"/>
      <c r="O51" s="9"/>
    </row>
    <row r="52" spans="1:15" ht="20" customHeight="1" x14ac:dyDescent="0.2">
      <c r="A52" s="3">
        <v>48</v>
      </c>
      <c r="B52" s="19"/>
      <c r="C52" s="4" t="s">
        <v>4956</v>
      </c>
      <c r="D52" s="4" t="s">
        <v>4909</v>
      </c>
      <c r="E52" s="4" t="s">
        <v>110</v>
      </c>
      <c r="F52" s="8">
        <v>30</v>
      </c>
      <c r="G52" s="8">
        <v>30</v>
      </c>
      <c r="H52" s="8">
        <v>30</v>
      </c>
      <c r="I52" s="8"/>
      <c r="J52" s="8"/>
      <c r="K52" s="8">
        <v>40</v>
      </c>
      <c r="L52" s="18">
        <v>9707.0400000000009</v>
      </c>
      <c r="M52" s="7">
        <f t="shared" si="0"/>
        <v>388281.60000000003</v>
      </c>
      <c r="N52" s="4"/>
      <c r="O52" s="9"/>
    </row>
    <row r="53" spans="1:15" ht="20" customHeight="1" x14ac:dyDescent="0.2">
      <c r="A53" s="3">
        <v>49</v>
      </c>
      <c r="B53" s="19"/>
      <c r="C53" s="4" t="s">
        <v>4957</v>
      </c>
      <c r="D53" s="4" t="s">
        <v>4909</v>
      </c>
      <c r="E53" s="4" t="s">
        <v>110</v>
      </c>
      <c r="F53" s="8">
        <v>60</v>
      </c>
      <c r="G53" s="8">
        <v>60</v>
      </c>
      <c r="H53" s="8">
        <v>60</v>
      </c>
      <c r="I53" s="8"/>
      <c r="J53" s="8"/>
      <c r="K53" s="8">
        <v>100</v>
      </c>
      <c r="L53" s="18">
        <v>3581.72</v>
      </c>
      <c r="M53" s="7">
        <f t="shared" si="0"/>
        <v>358172</v>
      </c>
      <c r="N53" s="4"/>
      <c r="O53" s="9"/>
    </row>
    <row r="54" spans="1:15" ht="20" customHeight="1" x14ac:dyDescent="0.2">
      <c r="A54" s="3">
        <v>50</v>
      </c>
      <c r="B54" s="19"/>
      <c r="C54" s="4" t="s">
        <v>4958</v>
      </c>
      <c r="D54" s="4" t="s">
        <v>4909</v>
      </c>
      <c r="E54" s="4" t="s">
        <v>110</v>
      </c>
      <c r="F54" s="8">
        <v>10</v>
      </c>
      <c r="G54" s="8">
        <v>10</v>
      </c>
      <c r="H54" s="8">
        <v>10</v>
      </c>
      <c r="I54" s="8"/>
      <c r="J54" s="8"/>
      <c r="K54" s="8">
        <v>20</v>
      </c>
      <c r="L54" s="18">
        <v>17976</v>
      </c>
      <c r="M54" s="7">
        <f t="shared" si="0"/>
        <v>359520</v>
      </c>
      <c r="N54" s="4"/>
      <c r="O54" s="9"/>
    </row>
    <row r="55" spans="1:15" ht="20" customHeight="1" x14ac:dyDescent="0.2">
      <c r="A55" s="3">
        <v>51</v>
      </c>
      <c r="B55" s="19"/>
      <c r="C55" s="4" t="s">
        <v>4959</v>
      </c>
      <c r="D55" s="4" t="s">
        <v>4909</v>
      </c>
      <c r="E55" s="4" t="s">
        <v>110</v>
      </c>
      <c r="F55" s="8">
        <v>10</v>
      </c>
      <c r="G55" s="8">
        <v>10</v>
      </c>
      <c r="H55" s="8">
        <v>10</v>
      </c>
      <c r="I55" s="8"/>
      <c r="J55" s="8"/>
      <c r="K55" s="8">
        <v>20</v>
      </c>
      <c r="L55" s="18">
        <v>11770</v>
      </c>
      <c r="M55" s="7">
        <f t="shared" si="0"/>
        <v>235400</v>
      </c>
      <c r="N55" s="4"/>
      <c r="O55" s="9"/>
    </row>
    <row r="56" spans="1:15" ht="20" customHeight="1" x14ac:dyDescent="0.2">
      <c r="A56" s="3">
        <v>52</v>
      </c>
      <c r="B56" s="19"/>
      <c r="C56" s="4" t="s">
        <v>4960</v>
      </c>
      <c r="D56" s="4" t="s">
        <v>4909</v>
      </c>
      <c r="E56" s="4" t="s">
        <v>110</v>
      </c>
      <c r="F56" s="8">
        <v>10</v>
      </c>
      <c r="G56" s="8">
        <v>10</v>
      </c>
      <c r="H56" s="8">
        <v>10</v>
      </c>
      <c r="I56" s="8"/>
      <c r="J56" s="8"/>
      <c r="K56" s="8">
        <v>20</v>
      </c>
      <c r="L56" s="18">
        <v>8025</v>
      </c>
      <c r="M56" s="7">
        <f t="shared" si="0"/>
        <v>160500</v>
      </c>
      <c r="N56" s="4"/>
      <c r="O56" s="9"/>
    </row>
    <row r="57" spans="1:15" ht="20" customHeight="1" x14ac:dyDescent="0.2">
      <c r="A57" s="3">
        <v>53</v>
      </c>
      <c r="B57" s="19"/>
      <c r="C57" s="4" t="s">
        <v>4961</v>
      </c>
      <c r="D57" s="4" t="s">
        <v>4909</v>
      </c>
      <c r="E57" s="4" t="s">
        <v>110</v>
      </c>
      <c r="F57" s="8">
        <v>15</v>
      </c>
      <c r="G57" s="8">
        <v>15</v>
      </c>
      <c r="H57" s="8">
        <v>15</v>
      </c>
      <c r="I57" s="8"/>
      <c r="J57" s="8"/>
      <c r="K57" s="8">
        <v>30</v>
      </c>
      <c r="L57" s="18">
        <v>4494</v>
      </c>
      <c r="M57" s="7">
        <f t="shared" si="0"/>
        <v>134820</v>
      </c>
      <c r="N57" s="4"/>
      <c r="O57" s="9"/>
    </row>
    <row r="58" spans="1:15" ht="20" customHeight="1" x14ac:dyDescent="0.2">
      <c r="A58" s="3">
        <v>54</v>
      </c>
      <c r="B58" s="19"/>
      <c r="C58" s="4" t="s">
        <v>4962</v>
      </c>
      <c r="D58" s="4" t="s">
        <v>4909</v>
      </c>
      <c r="E58" s="4" t="s">
        <v>110</v>
      </c>
      <c r="F58" s="8">
        <v>60</v>
      </c>
      <c r="G58" s="8">
        <v>60</v>
      </c>
      <c r="H58" s="8">
        <v>60</v>
      </c>
      <c r="I58" s="8"/>
      <c r="J58" s="8"/>
      <c r="K58" s="8">
        <v>100</v>
      </c>
      <c r="L58" s="18">
        <v>3100.86</v>
      </c>
      <c r="M58" s="7">
        <f t="shared" si="0"/>
        <v>310086</v>
      </c>
      <c r="N58" s="4"/>
      <c r="O58" s="9"/>
    </row>
    <row r="59" spans="1:15" ht="20" customHeight="1" x14ac:dyDescent="0.2">
      <c r="A59" s="3">
        <v>55</v>
      </c>
      <c r="B59" s="19"/>
      <c r="C59" s="4" t="s">
        <v>4963</v>
      </c>
      <c r="D59" s="4" t="s">
        <v>4909</v>
      </c>
      <c r="E59" s="4" t="s">
        <v>110</v>
      </c>
      <c r="F59" s="8">
        <v>5</v>
      </c>
      <c r="G59" s="8">
        <v>5</v>
      </c>
      <c r="H59" s="8">
        <v>5</v>
      </c>
      <c r="I59" s="8"/>
      <c r="J59" s="8"/>
      <c r="K59" s="8">
        <v>20</v>
      </c>
      <c r="L59" s="18">
        <v>7490</v>
      </c>
      <c r="M59" s="7">
        <f t="shared" si="0"/>
        <v>149800</v>
      </c>
      <c r="N59" s="4"/>
      <c r="O59" s="9"/>
    </row>
    <row r="60" spans="1:15" ht="20" customHeight="1" x14ac:dyDescent="0.2">
      <c r="A60" s="3">
        <v>56</v>
      </c>
      <c r="B60" s="19"/>
      <c r="C60" s="4" t="s">
        <v>4964</v>
      </c>
      <c r="D60" s="4" t="s">
        <v>4909</v>
      </c>
      <c r="E60" s="4" t="s">
        <v>110</v>
      </c>
      <c r="F60" s="8">
        <v>20</v>
      </c>
      <c r="G60" s="8">
        <v>20</v>
      </c>
      <c r="H60" s="8">
        <v>20</v>
      </c>
      <c r="I60" s="8"/>
      <c r="J60" s="8"/>
      <c r="K60" s="8">
        <v>40</v>
      </c>
      <c r="L60" s="18">
        <v>8474.4</v>
      </c>
      <c r="M60" s="7">
        <f t="shared" si="0"/>
        <v>338976</v>
      </c>
      <c r="N60" s="4"/>
      <c r="O60" s="9"/>
    </row>
    <row r="61" spans="1:15" ht="20" customHeight="1" x14ac:dyDescent="0.2">
      <c r="A61" s="3">
        <v>57</v>
      </c>
      <c r="B61" s="19"/>
      <c r="C61" s="4" t="s">
        <v>4965</v>
      </c>
      <c r="D61" s="4" t="s">
        <v>4909</v>
      </c>
      <c r="E61" s="4" t="s">
        <v>110</v>
      </c>
      <c r="F61" s="8">
        <v>20</v>
      </c>
      <c r="G61" s="8">
        <v>20</v>
      </c>
      <c r="H61" s="8">
        <v>20</v>
      </c>
      <c r="I61" s="8"/>
      <c r="J61" s="8"/>
      <c r="K61" s="8">
        <v>40</v>
      </c>
      <c r="L61" s="18">
        <v>2696.4</v>
      </c>
      <c r="M61" s="7">
        <f t="shared" si="0"/>
        <v>107856</v>
      </c>
      <c r="N61" s="4"/>
      <c r="O61" s="9"/>
    </row>
    <row r="62" spans="1:15" ht="20" customHeight="1" x14ac:dyDescent="0.2">
      <c r="A62" s="3">
        <v>58</v>
      </c>
      <c r="B62" s="19"/>
      <c r="C62" s="4" t="s">
        <v>4966</v>
      </c>
      <c r="D62" s="4" t="s">
        <v>4909</v>
      </c>
      <c r="E62" s="4" t="s">
        <v>110</v>
      </c>
      <c r="F62" s="8">
        <v>150</v>
      </c>
      <c r="G62" s="8">
        <v>150</v>
      </c>
      <c r="H62" s="8">
        <v>150</v>
      </c>
      <c r="I62" s="8"/>
      <c r="J62" s="8"/>
      <c r="K62" s="8">
        <v>200</v>
      </c>
      <c r="L62" s="18">
        <v>3627.3</v>
      </c>
      <c r="M62" s="7">
        <f t="shared" si="0"/>
        <v>725460</v>
      </c>
      <c r="N62" s="4"/>
      <c r="O62" s="9"/>
    </row>
    <row r="63" spans="1:15" ht="20" customHeight="1" x14ac:dyDescent="0.2">
      <c r="A63" s="3">
        <v>59</v>
      </c>
      <c r="B63" s="19"/>
      <c r="C63" s="4" t="s">
        <v>4967</v>
      </c>
      <c r="D63" s="4" t="s">
        <v>4909</v>
      </c>
      <c r="E63" s="4" t="s">
        <v>110</v>
      </c>
      <c r="F63" s="8">
        <v>10</v>
      </c>
      <c r="G63" s="8">
        <v>10</v>
      </c>
      <c r="H63" s="8">
        <v>10</v>
      </c>
      <c r="I63" s="8"/>
      <c r="J63" s="8"/>
      <c r="K63" s="8">
        <v>20</v>
      </c>
      <c r="L63" s="18">
        <v>2996</v>
      </c>
      <c r="M63" s="7">
        <f t="shared" si="0"/>
        <v>59920</v>
      </c>
      <c r="N63" s="4"/>
      <c r="O63" s="9"/>
    </row>
    <row r="64" spans="1:15" ht="20" customHeight="1" x14ac:dyDescent="0.2">
      <c r="A64" s="3">
        <v>60</v>
      </c>
      <c r="B64" s="19"/>
      <c r="C64" s="4" t="s">
        <v>4968</v>
      </c>
      <c r="D64" s="4" t="s">
        <v>4909</v>
      </c>
      <c r="E64" s="4" t="s">
        <v>110</v>
      </c>
      <c r="F64" s="8">
        <v>10</v>
      </c>
      <c r="G64" s="8">
        <v>10</v>
      </c>
      <c r="H64" s="8">
        <v>10</v>
      </c>
      <c r="I64" s="8"/>
      <c r="J64" s="8"/>
      <c r="K64" s="8">
        <v>20</v>
      </c>
      <c r="L64" s="18">
        <v>11523.9</v>
      </c>
      <c r="M64" s="7">
        <f t="shared" si="0"/>
        <v>230478</v>
      </c>
      <c r="N64" s="4"/>
      <c r="O64" s="9"/>
    </row>
    <row r="65" spans="1:15" ht="20" customHeight="1" x14ac:dyDescent="0.2">
      <c r="A65" s="3">
        <v>61</v>
      </c>
      <c r="B65" s="19"/>
      <c r="C65" s="4" t="s">
        <v>4969</v>
      </c>
      <c r="D65" s="4" t="s">
        <v>4909</v>
      </c>
      <c r="E65" s="4" t="s">
        <v>110</v>
      </c>
      <c r="F65" s="8">
        <v>10</v>
      </c>
      <c r="G65" s="8">
        <v>10</v>
      </c>
      <c r="H65" s="8">
        <v>10</v>
      </c>
      <c r="I65" s="8"/>
      <c r="J65" s="8"/>
      <c r="K65" s="8">
        <v>20</v>
      </c>
      <c r="L65" s="18">
        <v>3745</v>
      </c>
      <c r="M65" s="7">
        <f t="shared" si="0"/>
        <v>74900</v>
      </c>
      <c r="N65" s="4"/>
      <c r="O65" s="9"/>
    </row>
    <row r="66" spans="1:15" ht="20" customHeight="1" x14ac:dyDescent="0.2">
      <c r="A66" s="3">
        <v>62</v>
      </c>
      <c r="B66" s="19"/>
      <c r="C66" s="4" t="s">
        <v>4970</v>
      </c>
      <c r="D66" s="4" t="s">
        <v>4909</v>
      </c>
      <c r="E66" s="4" t="s">
        <v>110</v>
      </c>
      <c r="F66" s="8">
        <v>30</v>
      </c>
      <c r="G66" s="8">
        <v>30</v>
      </c>
      <c r="H66" s="8">
        <v>30</v>
      </c>
      <c r="I66" s="8"/>
      <c r="J66" s="8"/>
      <c r="K66" s="8">
        <v>40</v>
      </c>
      <c r="L66" s="18">
        <v>3595.2</v>
      </c>
      <c r="M66" s="7">
        <f t="shared" si="0"/>
        <v>143808</v>
      </c>
      <c r="N66" s="4"/>
      <c r="O66" s="9"/>
    </row>
    <row r="67" spans="1:15" ht="20" customHeight="1" x14ac:dyDescent="0.2">
      <c r="A67" s="3">
        <v>63</v>
      </c>
      <c r="B67" s="19"/>
      <c r="C67" s="4" t="s">
        <v>4971</v>
      </c>
      <c r="D67" s="4" t="s">
        <v>4909</v>
      </c>
      <c r="E67" s="4" t="s">
        <v>110</v>
      </c>
      <c r="F67" s="8">
        <v>30</v>
      </c>
      <c r="G67" s="8">
        <v>30</v>
      </c>
      <c r="H67" s="8">
        <v>30</v>
      </c>
      <c r="I67" s="8"/>
      <c r="J67" s="8"/>
      <c r="K67" s="8">
        <v>40</v>
      </c>
      <c r="L67" s="18">
        <v>15536.4</v>
      </c>
      <c r="M67" s="7">
        <f t="shared" si="0"/>
        <v>621456</v>
      </c>
      <c r="N67" s="4"/>
      <c r="O67" s="9"/>
    </row>
    <row r="68" spans="1:15" ht="20" customHeight="1" x14ac:dyDescent="0.2">
      <c r="A68" s="3">
        <v>64</v>
      </c>
      <c r="B68" s="19"/>
      <c r="C68" s="4" t="s">
        <v>4972</v>
      </c>
      <c r="D68" s="4" t="s">
        <v>4909</v>
      </c>
      <c r="E68" s="4" t="s">
        <v>110</v>
      </c>
      <c r="F68" s="8">
        <v>30</v>
      </c>
      <c r="G68" s="8">
        <v>30</v>
      </c>
      <c r="H68" s="8">
        <v>30</v>
      </c>
      <c r="I68" s="8"/>
      <c r="J68" s="8"/>
      <c r="K68" s="8">
        <v>40</v>
      </c>
      <c r="L68" s="18">
        <v>15536.4</v>
      </c>
      <c r="M68" s="7">
        <f t="shared" si="0"/>
        <v>621456</v>
      </c>
      <c r="N68" s="4"/>
      <c r="O68" s="9"/>
    </row>
    <row r="69" spans="1:15" ht="20" customHeight="1" x14ac:dyDescent="0.2">
      <c r="A69" s="3">
        <v>65</v>
      </c>
      <c r="B69" s="19"/>
      <c r="C69" s="4" t="s">
        <v>4973</v>
      </c>
      <c r="D69" s="4" t="s">
        <v>4909</v>
      </c>
      <c r="E69" s="4" t="s">
        <v>110</v>
      </c>
      <c r="F69" s="8">
        <v>10</v>
      </c>
      <c r="G69" s="8">
        <v>10</v>
      </c>
      <c r="H69" s="8">
        <v>10</v>
      </c>
      <c r="I69" s="8"/>
      <c r="J69" s="8"/>
      <c r="K69" s="8">
        <v>10</v>
      </c>
      <c r="L69" s="18">
        <v>8057.1</v>
      </c>
      <c r="M69" s="7">
        <f t="shared" ref="M69:M132" si="1">IF(OR(K69="",L69=""),"",K69*L69)</f>
        <v>80571</v>
      </c>
      <c r="N69" s="4"/>
      <c r="O69" s="9"/>
    </row>
    <row r="70" spans="1:15" ht="20" customHeight="1" x14ac:dyDescent="0.2">
      <c r="A70" s="3">
        <v>66</v>
      </c>
      <c r="B70" s="19"/>
      <c r="C70" s="4" t="s">
        <v>4974</v>
      </c>
      <c r="D70" s="4" t="s">
        <v>4909</v>
      </c>
      <c r="E70" s="4" t="s">
        <v>110</v>
      </c>
      <c r="F70" s="8">
        <v>20</v>
      </c>
      <c r="G70" s="8">
        <v>20</v>
      </c>
      <c r="H70" s="8">
        <v>20</v>
      </c>
      <c r="I70" s="8"/>
      <c r="J70" s="8"/>
      <c r="K70" s="8">
        <v>30</v>
      </c>
      <c r="L70" s="18">
        <v>2054.4</v>
      </c>
      <c r="M70" s="7">
        <f t="shared" si="1"/>
        <v>61632</v>
      </c>
      <c r="N70" s="4"/>
      <c r="O70" s="9"/>
    </row>
    <row r="71" spans="1:15" ht="20" customHeight="1" x14ac:dyDescent="0.2">
      <c r="A71" s="3">
        <v>67</v>
      </c>
      <c r="B71" s="19"/>
      <c r="C71" s="4" t="s">
        <v>4975</v>
      </c>
      <c r="D71" s="4" t="s">
        <v>4909</v>
      </c>
      <c r="E71" s="4" t="s">
        <v>110</v>
      </c>
      <c r="F71" s="8">
        <v>10</v>
      </c>
      <c r="G71" s="8">
        <v>10</v>
      </c>
      <c r="H71" s="8">
        <v>10</v>
      </c>
      <c r="I71" s="8"/>
      <c r="J71" s="8"/>
      <c r="K71" s="8">
        <v>20</v>
      </c>
      <c r="L71" s="18">
        <v>11170.8</v>
      </c>
      <c r="M71" s="7">
        <f t="shared" si="1"/>
        <v>223416</v>
      </c>
      <c r="N71" s="4"/>
      <c r="O71" s="9"/>
    </row>
    <row r="72" spans="1:15" ht="20" customHeight="1" x14ac:dyDescent="0.2">
      <c r="A72" s="3">
        <v>68</v>
      </c>
      <c r="B72" s="19"/>
      <c r="C72" s="4" t="s">
        <v>4976</v>
      </c>
      <c r="D72" s="4" t="s">
        <v>4909</v>
      </c>
      <c r="E72" s="4" t="s">
        <v>110</v>
      </c>
      <c r="F72" s="8">
        <v>70</v>
      </c>
      <c r="G72" s="8">
        <v>70</v>
      </c>
      <c r="H72" s="8">
        <v>70</v>
      </c>
      <c r="I72" s="8"/>
      <c r="J72" s="8"/>
      <c r="K72" s="8">
        <v>120</v>
      </c>
      <c r="L72" s="18">
        <v>2439.6</v>
      </c>
      <c r="M72" s="7">
        <f t="shared" si="1"/>
        <v>292752</v>
      </c>
      <c r="N72" s="4"/>
      <c r="O72" s="9"/>
    </row>
    <row r="73" spans="1:15" ht="20" customHeight="1" x14ac:dyDescent="0.2">
      <c r="A73" s="3">
        <v>69</v>
      </c>
      <c r="B73" s="19"/>
      <c r="C73" s="4" t="s">
        <v>4977</v>
      </c>
      <c r="D73" s="4" t="s">
        <v>4909</v>
      </c>
      <c r="E73" s="4" t="s">
        <v>110</v>
      </c>
      <c r="F73" s="8">
        <v>40</v>
      </c>
      <c r="G73" s="8">
        <v>40</v>
      </c>
      <c r="H73" s="8">
        <v>40</v>
      </c>
      <c r="I73" s="8"/>
      <c r="J73" s="8"/>
      <c r="K73" s="8">
        <v>50</v>
      </c>
      <c r="L73" s="18">
        <v>1358.9</v>
      </c>
      <c r="M73" s="7">
        <f t="shared" si="1"/>
        <v>67945</v>
      </c>
      <c r="N73" s="4"/>
      <c r="O73" s="9"/>
    </row>
    <row r="74" spans="1:15" ht="20" customHeight="1" x14ac:dyDescent="0.2">
      <c r="A74" s="3">
        <v>70</v>
      </c>
      <c r="B74" s="19"/>
      <c r="C74" s="4" t="s">
        <v>4978</v>
      </c>
      <c r="D74" s="4" t="s">
        <v>4909</v>
      </c>
      <c r="E74" s="4" t="s">
        <v>110</v>
      </c>
      <c r="F74" s="8">
        <v>20</v>
      </c>
      <c r="G74" s="8">
        <v>20</v>
      </c>
      <c r="H74" s="8">
        <v>20</v>
      </c>
      <c r="I74" s="8"/>
      <c r="J74" s="8"/>
      <c r="K74" s="8">
        <v>30</v>
      </c>
      <c r="L74" s="18">
        <v>18832</v>
      </c>
      <c r="M74" s="7">
        <f t="shared" si="1"/>
        <v>564960</v>
      </c>
      <c r="N74" s="4"/>
      <c r="O74" s="9"/>
    </row>
    <row r="75" spans="1:15" ht="20" customHeight="1" x14ac:dyDescent="0.2">
      <c r="A75" s="3">
        <v>71</v>
      </c>
      <c r="B75" s="19"/>
      <c r="C75" s="4" t="s">
        <v>4979</v>
      </c>
      <c r="D75" s="4" t="s">
        <v>4909</v>
      </c>
      <c r="E75" s="4" t="s">
        <v>110</v>
      </c>
      <c r="F75" s="8">
        <v>20</v>
      </c>
      <c r="G75" s="8">
        <v>20</v>
      </c>
      <c r="H75" s="8">
        <v>20</v>
      </c>
      <c r="I75" s="8"/>
      <c r="J75" s="8"/>
      <c r="K75" s="8">
        <v>30</v>
      </c>
      <c r="L75" s="18">
        <v>16948.8</v>
      </c>
      <c r="M75" s="7">
        <f t="shared" si="1"/>
        <v>508464</v>
      </c>
      <c r="N75" s="4"/>
      <c r="O75" s="9"/>
    </row>
    <row r="76" spans="1:15" ht="20" customHeight="1" x14ac:dyDescent="0.2">
      <c r="A76" s="3">
        <v>72</v>
      </c>
      <c r="B76" s="19"/>
      <c r="C76" s="4" t="s">
        <v>4980</v>
      </c>
      <c r="D76" s="4" t="s">
        <v>4909</v>
      </c>
      <c r="E76" s="4" t="s">
        <v>110</v>
      </c>
      <c r="F76" s="8">
        <v>40</v>
      </c>
      <c r="G76" s="8">
        <v>40</v>
      </c>
      <c r="H76" s="8">
        <v>40</v>
      </c>
      <c r="I76" s="8"/>
      <c r="J76" s="8"/>
      <c r="K76" s="8">
        <v>60</v>
      </c>
      <c r="L76" s="18">
        <v>10272</v>
      </c>
      <c r="M76" s="7">
        <f t="shared" si="1"/>
        <v>616320</v>
      </c>
      <c r="N76" s="4"/>
      <c r="O76" s="9"/>
    </row>
    <row r="77" spans="1:15" ht="20" customHeight="1" x14ac:dyDescent="0.2">
      <c r="A77" s="3">
        <v>73</v>
      </c>
      <c r="B77" s="19"/>
      <c r="C77" s="4" t="s">
        <v>4981</v>
      </c>
      <c r="D77" s="4" t="s">
        <v>4909</v>
      </c>
      <c r="E77" s="4" t="s">
        <v>110</v>
      </c>
      <c r="F77" s="8">
        <v>15</v>
      </c>
      <c r="G77" s="8">
        <v>15</v>
      </c>
      <c r="H77" s="8">
        <v>15</v>
      </c>
      <c r="I77" s="8"/>
      <c r="J77" s="8"/>
      <c r="K77" s="8">
        <v>30</v>
      </c>
      <c r="L77" s="18">
        <v>5114.6000000000004</v>
      </c>
      <c r="M77" s="7">
        <f t="shared" si="1"/>
        <v>153438</v>
      </c>
      <c r="N77" s="4"/>
      <c r="O77" s="9"/>
    </row>
    <row r="78" spans="1:15" ht="20" customHeight="1" x14ac:dyDescent="0.2">
      <c r="A78" s="3">
        <v>74</v>
      </c>
      <c r="B78" s="19"/>
      <c r="C78" s="4" t="s">
        <v>4982</v>
      </c>
      <c r="D78" s="4" t="s">
        <v>4909</v>
      </c>
      <c r="E78" s="4" t="s">
        <v>110</v>
      </c>
      <c r="F78" s="8">
        <v>10</v>
      </c>
      <c r="G78" s="8">
        <v>10</v>
      </c>
      <c r="H78" s="8">
        <v>10</v>
      </c>
      <c r="I78" s="8"/>
      <c r="J78" s="8"/>
      <c r="K78" s="8">
        <v>10</v>
      </c>
      <c r="L78" s="18">
        <v>7179.7</v>
      </c>
      <c r="M78" s="7">
        <f t="shared" si="1"/>
        <v>71797</v>
      </c>
      <c r="N78" s="4"/>
      <c r="O78" s="9"/>
    </row>
    <row r="79" spans="1:15" ht="20" customHeight="1" x14ac:dyDescent="0.2">
      <c r="A79" s="3">
        <v>75</v>
      </c>
      <c r="B79" s="19"/>
      <c r="C79" s="4" t="s">
        <v>4983</v>
      </c>
      <c r="D79" s="4" t="s">
        <v>4909</v>
      </c>
      <c r="E79" s="4" t="s">
        <v>110</v>
      </c>
      <c r="F79" s="8">
        <v>10</v>
      </c>
      <c r="G79" s="8">
        <v>10</v>
      </c>
      <c r="H79" s="8">
        <v>10</v>
      </c>
      <c r="I79" s="8"/>
      <c r="J79" s="8"/>
      <c r="K79" s="8">
        <v>10</v>
      </c>
      <c r="L79" s="18">
        <v>9309</v>
      </c>
      <c r="M79" s="7">
        <f t="shared" si="1"/>
        <v>93090</v>
      </c>
      <c r="N79" s="4"/>
      <c r="O79" s="9"/>
    </row>
    <row r="80" spans="1:15" ht="20" customHeight="1" x14ac:dyDescent="0.2">
      <c r="A80" s="3">
        <v>76</v>
      </c>
      <c r="B80" s="19"/>
      <c r="C80" s="4" t="s">
        <v>4984</v>
      </c>
      <c r="D80" s="4" t="s">
        <v>4909</v>
      </c>
      <c r="E80" s="4" t="s">
        <v>110</v>
      </c>
      <c r="F80" s="8">
        <v>20</v>
      </c>
      <c r="G80" s="8">
        <v>20</v>
      </c>
      <c r="H80" s="8">
        <v>30</v>
      </c>
      <c r="I80" s="8"/>
      <c r="J80" s="8"/>
      <c r="K80" s="8">
        <v>30</v>
      </c>
      <c r="L80" s="18">
        <v>5136</v>
      </c>
      <c r="M80" s="7">
        <f t="shared" si="1"/>
        <v>154080</v>
      </c>
      <c r="N80" s="4"/>
      <c r="O80" s="9"/>
    </row>
    <row r="81" spans="1:15" ht="20" customHeight="1" x14ac:dyDescent="0.2">
      <c r="A81" s="3">
        <v>77</v>
      </c>
      <c r="B81" s="19"/>
      <c r="C81" s="4" t="s">
        <v>4985</v>
      </c>
      <c r="D81" s="4" t="s">
        <v>4909</v>
      </c>
      <c r="E81" s="4" t="s">
        <v>110</v>
      </c>
      <c r="F81" s="8">
        <v>30</v>
      </c>
      <c r="G81" s="8">
        <v>40</v>
      </c>
      <c r="H81" s="8">
        <v>40</v>
      </c>
      <c r="I81" s="8"/>
      <c r="J81" s="8"/>
      <c r="K81" s="8">
        <v>50</v>
      </c>
      <c r="L81" s="18">
        <v>12840</v>
      </c>
      <c r="M81" s="7">
        <f t="shared" si="1"/>
        <v>642000</v>
      </c>
      <c r="N81" s="4"/>
      <c r="O81" s="9"/>
    </row>
    <row r="82" spans="1:15" ht="20" customHeight="1" x14ac:dyDescent="0.2">
      <c r="A82" s="3">
        <v>78</v>
      </c>
      <c r="B82" s="19"/>
      <c r="C82" s="4" t="s">
        <v>4986</v>
      </c>
      <c r="D82" s="4" t="s">
        <v>4909</v>
      </c>
      <c r="E82" s="4" t="s">
        <v>110</v>
      </c>
      <c r="F82" s="8">
        <v>10</v>
      </c>
      <c r="G82" s="8">
        <v>10</v>
      </c>
      <c r="H82" s="8">
        <v>10</v>
      </c>
      <c r="I82" s="8"/>
      <c r="J82" s="8"/>
      <c r="K82" s="8">
        <v>40</v>
      </c>
      <c r="L82" s="18">
        <v>32000</v>
      </c>
      <c r="M82" s="7">
        <f t="shared" si="1"/>
        <v>1280000</v>
      </c>
      <c r="N82" s="4"/>
      <c r="O82" s="9"/>
    </row>
    <row r="83" spans="1:15" ht="20" customHeight="1" x14ac:dyDescent="0.2">
      <c r="A83" s="3">
        <v>79</v>
      </c>
      <c r="B83" s="19"/>
      <c r="C83" s="4" t="s">
        <v>4987</v>
      </c>
      <c r="D83" s="4" t="s">
        <v>4909</v>
      </c>
      <c r="E83" s="4" t="s">
        <v>110</v>
      </c>
      <c r="F83" s="8">
        <v>25</v>
      </c>
      <c r="G83" s="8">
        <v>25</v>
      </c>
      <c r="H83" s="8">
        <v>25</v>
      </c>
      <c r="I83" s="8"/>
      <c r="J83" s="8"/>
      <c r="K83" s="8">
        <v>40</v>
      </c>
      <c r="L83" s="18">
        <v>24000</v>
      </c>
      <c r="M83" s="7">
        <f t="shared" si="1"/>
        <v>960000</v>
      </c>
      <c r="N83" s="4"/>
      <c r="O83" s="9"/>
    </row>
    <row r="84" spans="1:15" ht="20" customHeight="1" x14ac:dyDescent="0.2">
      <c r="A84" s="3">
        <v>80</v>
      </c>
      <c r="B84" s="19"/>
      <c r="C84" s="4" t="s">
        <v>4988</v>
      </c>
      <c r="D84" s="4" t="s">
        <v>4909</v>
      </c>
      <c r="E84" s="4" t="s">
        <v>110</v>
      </c>
      <c r="F84" s="8">
        <v>30</v>
      </c>
      <c r="G84" s="8">
        <v>30</v>
      </c>
      <c r="H84" s="8">
        <v>30</v>
      </c>
      <c r="I84" s="8"/>
      <c r="J84" s="8"/>
      <c r="K84" s="8">
        <v>40</v>
      </c>
      <c r="L84" s="18">
        <v>13000</v>
      </c>
      <c r="M84" s="7">
        <f t="shared" si="1"/>
        <v>520000</v>
      </c>
      <c r="N84" s="4"/>
      <c r="O84" s="9"/>
    </row>
    <row r="85" spans="1:15" ht="20" customHeight="1" x14ac:dyDescent="0.2">
      <c r="A85" s="3">
        <v>81</v>
      </c>
      <c r="B85" s="19"/>
      <c r="C85" s="4" t="s">
        <v>4989</v>
      </c>
      <c r="D85" s="4" t="s">
        <v>4909</v>
      </c>
      <c r="E85" s="4" t="s">
        <v>110</v>
      </c>
      <c r="F85" s="8">
        <v>40</v>
      </c>
      <c r="G85" s="8">
        <v>40</v>
      </c>
      <c r="H85" s="8">
        <v>40</v>
      </c>
      <c r="I85" s="8"/>
      <c r="J85" s="8"/>
      <c r="K85" s="8">
        <v>50</v>
      </c>
      <c r="L85" s="18">
        <v>10000</v>
      </c>
      <c r="M85" s="7">
        <f t="shared" si="1"/>
        <v>500000</v>
      </c>
      <c r="N85" s="4"/>
      <c r="O85" s="9"/>
    </row>
    <row r="86" spans="1:15" ht="20" customHeight="1" x14ac:dyDescent="0.2">
      <c r="A86" s="3">
        <v>82</v>
      </c>
      <c r="B86" s="19"/>
      <c r="C86" s="4" t="s">
        <v>4990</v>
      </c>
      <c r="D86" s="4" t="s">
        <v>4909</v>
      </c>
      <c r="E86" s="4" t="s">
        <v>110</v>
      </c>
      <c r="F86" s="8">
        <v>20</v>
      </c>
      <c r="G86" s="8">
        <v>20</v>
      </c>
      <c r="H86" s="8">
        <v>20</v>
      </c>
      <c r="I86" s="8"/>
      <c r="J86" s="8"/>
      <c r="K86" s="8">
        <v>30</v>
      </c>
      <c r="L86" s="18">
        <v>9300</v>
      </c>
      <c r="M86" s="7">
        <f t="shared" si="1"/>
        <v>279000</v>
      </c>
      <c r="N86" s="4"/>
      <c r="O86" s="9"/>
    </row>
    <row r="87" spans="1:15" ht="20" customHeight="1" x14ac:dyDescent="0.2">
      <c r="A87" s="3">
        <v>83</v>
      </c>
      <c r="B87" s="19"/>
      <c r="C87" s="4" t="s">
        <v>4991</v>
      </c>
      <c r="D87" s="4" t="s">
        <v>4909</v>
      </c>
      <c r="E87" s="4" t="s">
        <v>110</v>
      </c>
      <c r="F87" s="8">
        <v>5</v>
      </c>
      <c r="G87" s="8">
        <v>5</v>
      </c>
      <c r="H87" s="8">
        <v>5</v>
      </c>
      <c r="I87" s="8"/>
      <c r="J87" s="8"/>
      <c r="K87" s="8">
        <v>10</v>
      </c>
      <c r="L87" s="18">
        <v>8900</v>
      </c>
      <c r="M87" s="7">
        <f t="shared" si="1"/>
        <v>89000</v>
      </c>
      <c r="N87" s="4"/>
      <c r="O87" s="9"/>
    </row>
    <row r="88" spans="1:15" ht="20" customHeight="1" x14ac:dyDescent="0.2">
      <c r="A88" s="3">
        <v>84</v>
      </c>
      <c r="B88" s="19"/>
      <c r="C88" s="4" t="s">
        <v>4992</v>
      </c>
      <c r="D88" s="4" t="s">
        <v>4909</v>
      </c>
      <c r="E88" s="4" t="s">
        <v>110</v>
      </c>
      <c r="F88" s="8">
        <v>10</v>
      </c>
      <c r="G88" s="8">
        <v>10</v>
      </c>
      <c r="H88" s="8">
        <v>10</v>
      </c>
      <c r="I88" s="8"/>
      <c r="J88" s="8"/>
      <c r="K88" s="8">
        <v>20</v>
      </c>
      <c r="L88" s="18">
        <v>14000</v>
      </c>
      <c r="M88" s="7">
        <f t="shared" si="1"/>
        <v>280000</v>
      </c>
      <c r="N88" s="4"/>
      <c r="O88" s="9"/>
    </row>
    <row r="89" spans="1:15" ht="20" customHeight="1" x14ac:dyDescent="0.2">
      <c r="A89" s="3">
        <v>85</v>
      </c>
      <c r="B89" s="19"/>
      <c r="C89" s="4" t="s">
        <v>4993</v>
      </c>
      <c r="D89" s="4" t="s">
        <v>4909</v>
      </c>
      <c r="E89" s="4" t="s">
        <v>110</v>
      </c>
      <c r="F89" s="8">
        <v>50</v>
      </c>
      <c r="G89" s="8">
        <v>50</v>
      </c>
      <c r="H89" s="8">
        <v>50</v>
      </c>
      <c r="I89" s="8"/>
      <c r="J89" s="8"/>
      <c r="K89" s="8">
        <v>60</v>
      </c>
      <c r="L89" s="18">
        <v>13268</v>
      </c>
      <c r="M89" s="7">
        <f t="shared" si="1"/>
        <v>796080</v>
      </c>
      <c r="N89" s="4"/>
      <c r="O89" s="9"/>
    </row>
    <row r="90" spans="1:15" ht="20" customHeight="1" x14ac:dyDescent="0.2">
      <c r="A90" s="3">
        <v>86</v>
      </c>
      <c r="B90" s="19"/>
      <c r="C90" s="4" t="s">
        <v>4994</v>
      </c>
      <c r="D90" s="4" t="s">
        <v>4909</v>
      </c>
      <c r="E90" s="4" t="s">
        <v>110</v>
      </c>
      <c r="F90" s="8">
        <v>30</v>
      </c>
      <c r="G90" s="8">
        <v>30</v>
      </c>
      <c r="H90" s="8">
        <v>30</v>
      </c>
      <c r="I90" s="8"/>
      <c r="J90" s="8"/>
      <c r="K90" s="8">
        <v>40</v>
      </c>
      <c r="L90" s="18">
        <v>14720</v>
      </c>
      <c r="M90" s="7">
        <f t="shared" si="1"/>
        <v>588800</v>
      </c>
      <c r="N90" s="4"/>
      <c r="O90" s="9"/>
    </row>
    <row r="91" spans="1:15" ht="20" customHeight="1" x14ac:dyDescent="0.2">
      <c r="A91" s="3">
        <v>87</v>
      </c>
      <c r="B91" s="19"/>
      <c r="C91" s="4" t="s">
        <v>4995</v>
      </c>
      <c r="D91" s="4" t="s">
        <v>4909</v>
      </c>
      <c r="E91" s="4" t="s">
        <v>110</v>
      </c>
      <c r="F91" s="8">
        <v>20</v>
      </c>
      <c r="G91" s="8">
        <v>20</v>
      </c>
      <c r="H91" s="8">
        <v>20</v>
      </c>
      <c r="I91" s="8"/>
      <c r="J91" s="8"/>
      <c r="K91" s="8">
        <v>30</v>
      </c>
      <c r="L91" s="18">
        <v>17000</v>
      </c>
      <c r="M91" s="7">
        <f t="shared" si="1"/>
        <v>510000</v>
      </c>
      <c r="N91" s="4"/>
      <c r="O91" s="9"/>
    </row>
    <row r="92" spans="1:15" ht="20" customHeight="1" x14ac:dyDescent="0.2">
      <c r="A92" s="3">
        <v>88</v>
      </c>
      <c r="B92" s="19"/>
      <c r="C92" s="4" t="s">
        <v>4996</v>
      </c>
      <c r="D92" s="4" t="s">
        <v>4909</v>
      </c>
      <c r="E92" s="4" t="s">
        <v>110</v>
      </c>
      <c r="F92" s="8">
        <v>5</v>
      </c>
      <c r="G92" s="8">
        <v>5</v>
      </c>
      <c r="H92" s="8">
        <v>5</v>
      </c>
      <c r="I92" s="8"/>
      <c r="J92" s="8"/>
      <c r="K92" s="8">
        <v>10</v>
      </c>
      <c r="L92" s="18">
        <v>25894</v>
      </c>
      <c r="M92" s="7">
        <f t="shared" si="1"/>
        <v>258940</v>
      </c>
      <c r="N92" s="4"/>
      <c r="O92" s="9"/>
    </row>
    <row r="93" spans="1:15" ht="20" customHeight="1" x14ac:dyDescent="0.2">
      <c r="A93" s="3">
        <v>89</v>
      </c>
      <c r="B93" s="19"/>
      <c r="C93" s="4" t="s">
        <v>4997</v>
      </c>
      <c r="D93" s="4" t="s">
        <v>4909</v>
      </c>
      <c r="E93" s="4" t="s">
        <v>110</v>
      </c>
      <c r="F93" s="8">
        <v>5</v>
      </c>
      <c r="G93" s="8">
        <v>5</v>
      </c>
      <c r="H93" s="8">
        <v>5</v>
      </c>
      <c r="I93" s="8"/>
      <c r="J93" s="8"/>
      <c r="K93" s="8">
        <v>10</v>
      </c>
      <c r="L93" s="18">
        <v>25423.200000000001</v>
      </c>
      <c r="M93" s="7">
        <f t="shared" si="1"/>
        <v>254232</v>
      </c>
      <c r="N93" s="4"/>
      <c r="O93" s="9"/>
    </row>
    <row r="94" spans="1:15" ht="20" customHeight="1" x14ac:dyDescent="0.2">
      <c r="A94" s="3">
        <v>90</v>
      </c>
      <c r="B94" s="19"/>
      <c r="C94" s="4" t="s">
        <v>4998</v>
      </c>
      <c r="D94" s="4" t="s">
        <v>4909</v>
      </c>
      <c r="E94" s="4" t="s">
        <v>110</v>
      </c>
      <c r="F94" s="8">
        <v>5</v>
      </c>
      <c r="G94" s="8">
        <v>5</v>
      </c>
      <c r="H94" s="8">
        <v>5</v>
      </c>
      <c r="I94" s="8"/>
      <c r="J94" s="8"/>
      <c r="K94" s="8">
        <v>10</v>
      </c>
      <c r="L94" s="18">
        <v>28815.1</v>
      </c>
      <c r="M94" s="7">
        <f t="shared" si="1"/>
        <v>288151</v>
      </c>
      <c r="N94" s="4"/>
      <c r="O94" s="9"/>
    </row>
    <row r="95" spans="1:15" ht="20" customHeight="1" x14ac:dyDescent="0.2">
      <c r="A95" s="3">
        <v>91</v>
      </c>
      <c r="B95" s="19"/>
      <c r="C95" s="4" t="s">
        <v>4999</v>
      </c>
      <c r="D95" s="4" t="s">
        <v>4909</v>
      </c>
      <c r="E95" s="4" t="s">
        <v>110</v>
      </c>
      <c r="F95" s="8">
        <v>5</v>
      </c>
      <c r="G95" s="8">
        <v>5</v>
      </c>
      <c r="H95" s="8">
        <v>5</v>
      </c>
      <c r="I95" s="8"/>
      <c r="J95" s="8"/>
      <c r="K95" s="8">
        <v>10</v>
      </c>
      <c r="L95" s="18">
        <v>42725.1</v>
      </c>
      <c r="M95" s="7">
        <f t="shared" si="1"/>
        <v>427251</v>
      </c>
      <c r="N95" s="4"/>
      <c r="O95" s="9"/>
    </row>
    <row r="96" spans="1:15" ht="20" customHeight="1" x14ac:dyDescent="0.2">
      <c r="A96" s="3">
        <v>92</v>
      </c>
      <c r="B96" s="19"/>
      <c r="C96" s="4" t="s">
        <v>5000</v>
      </c>
      <c r="D96" s="4" t="s">
        <v>4909</v>
      </c>
      <c r="E96" s="4" t="s">
        <v>271</v>
      </c>
      <c r="F96" s="8">
        <v>60</v>
      </c>
      <c r="G96" s="8">
        <v>60</v>
      </c>
      <c r="H96" s="8">
        <v>60</v>
      </c>
      <c r="I96" s="8"/>
      <c r="J96" s="8"/>
      <c r="K96" s="8">
        <v>180</v>
      </c>
      <c r="L96" s="18">
        <v>1070</v>
      </c>
      <c r="M96" s="7">
        <f t="shared" si="1"/>
        <v>192600</v>
      </c>
      <c r="N96" s="4"/>
      <c r="O96" s="9"/>
    </row>
    <row r="97" spans="1:15" ht="20" customHeight="1" x14ac:dyDescent="0.2">
      <c r="A97" s="3">
        <v>93</v>
      </c>
      <c r="B97" s="19"/>
      <c r="C97" s="4" t="s">
        <v>5001</v>
      </c>
      <c r="D97" s="4" t="s">
        <v>4909</v>
      </c>
      <c r="E97" s="4" t="s">
        <v>110</v>
      </c>
      <c r="F97" s="8">
        <v>1</v>
      </c>
      <c r="G97" s="8">
        <v>1</v>
      </c>
      <c r="H97" s="8">
        <v>1</v>
      </c>
      <c r="I97" s="8"/>
      <c r="J97" s="8"/>
      <c r="K97" s="8">
        <v>2</v>
      </c>
      <c r="L97" s="18">
        <v>6184.6</v>
      </c>
      <c r="M97" s="7">
        <f t="shared" si="1"/>
        <v>12369.2</v>
      </c>
      <c r="N97" s="4"/>
      <c r="O97" s="9"/>
    </row>
    <row r="98" spans="1:15" ht="20" customHeight="1" x14ac:dyDescent="0.2">
      <c r="A98" s="3">
        <v>94</v>
      </c>
      <c r="B98" s="19"/>
      <c r="C98" s="4" t="s">
        <v>5002</v>
      </c>
      <c r="D98" s="4" t="s">
        <v>4909</v>
      </c>
      <c r="E98" s="4" t="s">
        <v>110</v>
      </c>
      <c r="F98" s="8"/>
      <c r="G98" s="8"/>
      <c r="H98" s="8">
        <v>1</v>
      </c>
      <c r="I98" s="8"/>
      <c r="J98" s="8"/>
      <c r="K98" s="8">
        <v>3</v>
      </c>
      <c r="L98" s="18">
        <v>20629.599999999999</v>
      </c>
      <c r="M98" s="7">
        <f t="shared" si="1"/>
        <v>61888.799999999996</v>
      </c>
      <c r="N98" s="4"/>
      <c r="O98" s="9"/>
    </row>
    <row r="99" spans="1:15" ht="20" customHeight="1" x14ac:dyDescent="0.2">
      <c r="A99" s="3">
        <v>95</v>
      </c>
      <c r="B99" s="19"/>
      <c r="C99" s="4" t="s">
        <v>5003</v>
      </c>
      <c r="D99" s="4" t="s">
        <v>4909</v>
      </c>
      <c r="E99" s="4" t="s">
        <v>110</v>
      </c>
      <c r="F99" s="8"/>
      <c r="G99" s="8"/>
      <c r="H99" s="8">
        <v>1</v>
      </c>
      <c r="I99" s="8"/>
      <c r="J99" s="8"/>
      <c r="K99" s="8">
        <v>2</v>
      </c>
      <c r="L99" s="18">
        <v>18189.96</v>
      </c>
      <c r="M99" s="7">
        <f t="shared" si="1"/>
        <v>36379.919999999998</v>
      </c>
      <c r="N99" s="4"/>
      <c r="O99" s="9"/>
    </row>
    <row r="100" spans="1:15" ht="20" customHeight="1" x14ac:dyDescent="0.2">
      <c r="A100" s="3">
        <v>96</v>
      </c>
      <c r="B100" s="19"/>
      <c r="C100" s="4" t="s">
        <v>5004</v>
      </c>
      <c r="D100" s="4" t="s">
        <v>4909</v>
      </c>
      <c r="E100" s="4" t="s">
        <v>110</v>
      </c>
      <c r="F100" s="8">
        <v>130</v>
      </c>
      <c r="G100" s="8">
        <v>130</v>
      </c>
      <c r="H100" s="8">
        <v>130</v>
      </c>
      <c r="I100" s="8"/>
      <c r="J100" s="8"/>
      <c r="K100" s="8">
        <v>200</v>
      </c>
      <c r="L100" s="18">
        <v>2140</v>
      </c>
      <c r="M100" s="7">
        <f t="shared" si="1"/>
        <v>428000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5005</v>
      </c>
      <c r="D101" s="4" t="s">
        <v>4909</v>
      </c>
      <c r="E101" s="4" t="s">
        <v>110</v>
      </c>
      <c r="F101" s="8">
        <v>530</v>
      </c>
      <c r="G101" s="8">
        <v>530</v>
      </c>
      <c r="H101" s="8">
        <v>530</v>
      </c>
      <c r="I101" s="8"/>
      <c r="J101" s="8"/>
      <c r="K101" s="8">
        <v>800</v>
      </c>
      <c r="L101" s="18">
        <v>4280</v>
      </c>
      <c r="M101" s="7">
        <f t="shared" si="1"/>
        <v>3424000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5006</v>
      </c>
      <c r="D102" s="4" t="s">
        <v>4909</v>
      </c>
      <c r="E102" s="4" t="s">
        <v>110</v>
      </c>
      <c r="F102" s="8">
        <v>300</v>
      </c>
      <c r="G102" s="8">
        <v>300</v>
      </c>
      <c r="H102" s="8">
        <v>300</v>
      </c>
      <c r="I102" s="8"/>
      <c r="J102" s="8"/>
      <c r="K102" s="8">
        <v>500</v>
      </c>
      <c r="L102" s="18">
        <v>6420</v>
      </c>
      <c r="M102" s="7">
        <f t="shared" si="1"/>
        <v>3210000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5007</v>
      </c>
      <c r="D103" s="4" t="s">
        <v>4909</v>
      </c>
      <c r="E103" s="4" t="s">
        <v>110</v>
      </c>
      <c r="F103" s="8">
        <v>500</v>
      </c>
      <c r="G103" s="8">
        <v>500</v>
      </c>
      <c r="H103" s="8">
        <v>500</v>
      </c>
      <c r="I103" s="8"/>
      <c r="J103" s="8"/>
      <c r="K103" s="8">
        <v>1000</v>
      </c>
      <c r="L103" s="18">
        <v>4066</v>
      </c>
      <c r="M103" s="7">
        <f t="shared" si="1"/>
        <v>4066000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5008</v>
      </c>
      <c r="D104" s="4" t="s">
        <v>4909</v>
      </c>
      <c r="E104" s="4" t="s">
        <v>196</v>
      </c>
      <c r="F104" s="8">
        <v>1000</v>
      </c>
      <c r="G104" s="8">
        <v>800</v>
      </c>
      <c r="H104" s="8">
        <v>800</v>
      </c>
      <c r="I104" s="8"/>
      <c r="J104" s="8"/>
      <c r="K104" s="8">
        <v>2000</v>
      </c>
      <c r="L104" s="18">
        <v>1881.06</v>
      </c>
      <c r="M104" s="7">
        <f t="shared" si="1"/>
        <v>3762120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5009</v>
      </c>
      <c r="D105" s="4" t="s">
        <v>4909</v>
      </c>
      <c r="E105" s="4" t="s">
        <v>196</v>
      </c>
      <c r="F105" s="8">
        <v>1500</v>
      </c>
      <c r="G105" s="8">
        <v>1500</v>
      </c>
      <c r="H105" s="8">
        <v>1100</v>
      </c>
      <c r="I105" s="8"/>
      <c r="J105" s="8"/>
      <c r="K105" s="8">
        <v>2000</v>
      </c>
      <c r="L105" s="18">
        <v>1712</v>
      </c>
      <c r="M105" s="7">
        <f t="shared" si="1"/>
        <v>3424000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5010</v>
      </c>
      <c r="D106" s="4" t="s">
        <v>4909</v>
      </c>
      <c r="E106" s="4" t="s">
        <v>265</v>
      </c>
      <c r="F106" s="8">
        <v>1000</v>
      </c>
      <c r="G106" s="8">
        <v>1000</v>
      </c>
      <c r="H106" s="8">
        <v>700</v>
      </c>
      <c r="I106" s="8"/>
      <c r="J106" s="8"/>
      <c r="K106" s="8">
        <v>1500</v>
      </c>
      <c r="L106" s="18">
        <v>1765.5</v>
      </c>
      <c r="M106" s="7">
        <f t="shared" si="1"/>
        <v>2648250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5011</v>
      </c>
      <c r="D107" s="4" t="s">
        <v>4909</v>
      </c>
      <c r="E107" s="4" t="s">
        <v>265</v>
      </c>
      <c r="F107" s="8">
        <v>1500</v>
      </c>
      <c r="G107" s="8">
        <v>2000</v>
      </c>
      <c r="H107" s="8">
        <v>800</v>
      </c>
      <c r="I107" s="8"/>
      <c r="J107" s="8"/>
      <c r="K107" s="8">
        <v>2000</v>
      </c>
      <c r="L107" s="18">
        <v>1500</v>
      </c>
      <c r="M107" s="7">
        <f t="shared" si="1"/>
        <v>3000000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5012</v>
      </c>
      <c r="D108" s="4" t="s">
        <v>4909</v>
      </c>
      <c r="E108" s="4" t="s">
        <v>110</v>
      </c>
      <c r="F108" s="8">
        <v>200</v>
      </c>
      <c r="G108" s="8">
        <v>200</v>
      </c>
      <c r="H108" s="8">
        <v>250</v>
      </c>
      <c r="I108" s="8"/>
      <c r="J108" s="8"/>
      <c r="K108" s="8">
        <v>400</v>
      </c>
      <c r="L108" s="18">
        <v>1200.54</v>
      </c>
      <c r="M108" s="7">
        <f t="shared" si="1"/>
        <v>480216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5013</v>
      </c>
      <c r="D109" s="4" t="s">
        <v>4909</v>
      </c>
      <c r="E109" s="4" t="s">
        <v>110</v>
      </c>
      <c r="F109" s="8">
        <v>10</v>
      </c>
      <c r="G109" s="8">
        <v>10</v>
      </c>
      <c r="H109" s="8">
        <v>20</v>
      </c>
      <c r="I109" s="8"/>
      <c r="J109" s="8"/>
      <c r="K109" s="8">
        <v>30</v>
      </c>
      <c r="L109" s="18">
        <v>3210</v>
      </c>
      <c r="M109" s="7">
        <f t="shared" si="1"/>
        <v>96300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5014</v>
      </c>
      <c r="D110" s="4" t="s">
        <v>4909</v>
      </c>
      <c r="E110" s="4" t="s">
        <v>110</v>
      </c>
      <c r="F110" s="8">
        <v>100</v>
      </c>
      <c r="G110" s="8">
        <v>100</v>
      </c>
      <c r="H110" s="8">
        <v>95</v>
      </c>
      <c r="I110" s="8"/>
      <c r="J110" s="8"/>
      <c r="K110" s="8">
        <v>200</v>
      </c>
      <c r="L110" s="18">
        <v>5350</v>
      </c>
      <c r="M110" s="7">
        <f t="shared" si="1"/>
        <v>1070000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5015</v>
      </c>
      <c r="D111" s="4" t="s">
        <v>4909</v>
      </c>
      <c r="E111" s="4" t="s">
        <v>110</v>
      </c>
      <c r="F111" s="8">
        <v>200</v>
      </c>
      <c r="G111" s="8">
        <v>150</v>
      </c>
      <c r="H111" s="8">
        <v>150</v>
      </c>
      <c r="I111" s="8"/>
      <c r="J111" s="8"/>
      <c r="K111" s="8">
        <v>300</v>
      </c>
      <c r="L111" s="18">
        <v>1200</v>
      </c>
      <c r="M111" s="7">
        <f t="shared" si="1"/>
        <v>360000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5016</v>
      </c>
      <c r="D112" s="4" t="s">
        <v>4909</v>
      </c>
      <c r="E112" s="4" t="s">
        <v>110</v>
      </c>
      <c r="F112" s="8">
        <v>1000</v>
      </c>
      <c r="G112" s="8">
        <v>1000</v>
      </c>
      <c r="H112" s="8">
        <v>800</v>
      </c>
      <c r="I112" s="8"/>
      <c r="J112" s="8"/>
      <c r="K112" s="8">
        <v>1000</v>
      </c>
      <c r="L112" s="18">
        <v>1500</v>
      </c>
      <c r="M112" s="7">
        <f t="shared" si="1"/>
        <v>1500000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5017</v>
      </c>
      <c r="D113" s="4" t="s">
        <v>4909</v>
      </c>
      <c r="E113" s="4" t="s">
        <v>196</v>
      </c>
      <c r="F113" s="8">
        <v>100</v>
      </c>
      <c r="G113" s="8">
        <v>100</v>
      </c>
      <c r="H113" s="8">
        <v>100</v>
      </c>
      <c r="I113" s="8"/>
      <c r="J113" s="8"/>
      <c r="K113" s="8">
        <v>200</v>
      </c>
      <c r="L113" s="18">
        <v>10000</v>
      </c>
      <c r="M113" s="7">
        <f t="shared" si="1"/>
        <v>2000000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5018</v>
      </c>
      <c r="D114" s="4" t="s">
        <v>4909</v>
      </c>
      <c r="E114" s="4" t="s">
        <v>196</v>
      </c>
      <c r="F114" s="8">
        <v>150</v>
      </c>
      <c r="G114" s="8">
        <v>150</v>
      </c>
      <c r="H114" s="8">
        <v>102</v>
      </c>
      <c r="I114" s="8"/>
      <c r="J114" s="8"/>
      <c r="K114" s="8">
        <v>200</v>
      </c>
      <c r="L114" s="18">
        <v>10700</v>
      </c>
      <c r="M114" s="7">
        <f t="shared" si="1"/>
        <v>2140000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5019</v>
      </c>
      <c r="D115" s="4" t="s">
        <v>4909</v>
      </c>
      <c r="E115" s="4" t="s">
        <v>196</v>
      </c>
      <c r="F115" s="8">
        <v>30</v>
      </c>
      <c r="G115" s="8">
        <v>30</v>
      </c>
      <c r="H115" s="8">
        <v>30</v>
      </c>
      <c r="I115" s="8"/>
      <c r="J115" s="8"/>
      <c r="K115" s="8">
        <v>50</v>
      </c>
      <c r="L115" s="18">
        <v>10700</v>
      </c>
      <c r="M115" s="7">
        <f t="shared" si="1"/>
        <v>535000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5020</v>
      </c>
      <c r="D116" s="4" t="s">
        <v>4909</v>
      </c>
      <c r="E116" s="4" t="s">
        <v>271</v>
      </c>
      <c r="F116" s="8">
        <v>20000</v>
      </c>
      <c r="G116" s="8">
        <v>20000</v>
      </c>
      <c r="H116" s="8">
        <v>20000</v>
      </c>
      <c r="I116" s="8"/>
      <c r="J116" s="8"/>
      <c r="K116" s="8">
        <v>30000</v>
      </c>
      <c r="L116" s="18">
        <v>45</v>
      </c>
      <c r="M116" s="7">
        <f t="shared" si="1"/>
        <v>1350000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5021</v>
      </c>
      <c r="D117" s="4" t="s">
        <v>4909</v>
      </c>
      <c r="E117" s="4" t="s">
        <v>271</v>
      </c>
      <c r="F117" s="8">
        <v>10000</v>
      </c>
      <c r="G117" s="8">
        <v>15000</v>
      </c>
      <c r="H117" s="8">
        <v>15000</v>
      </c>
      <c r="I117" s="8"/>
      <c r="J117" s="8"/>
      <c r="K117" s="8">
        <v>20000</v>
      </c>
      <c r="L117" s="18">
        <v>60</v>
      </c>
      <c r="M117" s="7">
        <f t="shared" si="1"/>
        <v>1200000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5022</v>
      </c>
      <c r="D118" s="4" t="s">
        <v>4909</v>
      </c>
      <c r="E118" s="4" t="s">
        <v>271</v>
      </c>
      <c r="F118" s="8">
        <v>10000</v>
      </c>
      <c r="G118" s="8">
        <v>10000</v>
      </c>
      <c r="H118" s="8">
        <v>10000</v>
      </c>
      <c r="I118" s="8"/>
      <c r="J118" s="8"/>
      <c r="K118" s="8">
        <v>20000</v>
      </c>
      <c r="L118" s="18">
        <v>45</v>
      </c>
      <c r="M118" s="7">
        <f t="shared" si="1"/>
        <v>900000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5023</v>
      </c>
      <c r="D119" s="4" t="s">
        <v>4909</v>
      </c>
      <c r="E119" s="4" t="s">
        <v>271</v>
      </c>
      <c r="F119" s="8">
        <v>300</v>
      </c>
      <c r="G119" s="8">
        <v>300</v>
      </c>
      <c r="H119" s="8">
        <v>500</v>
      </c>
      <c r="I119" s="8"/>
      <c r="J119" s="8"/>
      <c r="K119" s="8">
        <v>1000</v>
      </c>
      <c r="L119" s="18">
        <v>450</v>
      </c>
      <c r="M119" s="7">
        <f t="shared" si="1"/>
        <v>450000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5024</v>
      </c>
      <c r="D120" s="4" t="s">
        <v>4909</v>
      </c>
      <c r="E120" s="4" t="s">
        <v>271</v>
      </c>
      <c r="F120" s="8">
        <v>300</v>
      </c>
      <c r="G120" s="8">
        <v>300</v>
      </c>
      <c r="H120" s="8">
        <v>300</v>
      </c>
      <c r="I120" s="8"/>
      <c r="J120" s="8"/>
      <c r="K120" s="8">
        <v>1000</v>
      </c>
      <c r="L120" s="18">
        <v>200</v>
      </c>
      <c r="M120" s="7">
        <f t="shared" si="1"/>
        <v>200000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5025</v>
      </c>
      <c r="D121" s="4" t="s">
        <v>4909</v>
      </c>
      <c r="E121" s="4" t="s">
        <v>271</v>
      </c>
      <c r="F121" s="8">
        <v>200</v>
      </c>
      <c r="G121" s="8">
        <v>200</v>
      </c>
      <c r="H121" s="8">
        <v>300</v>
      </c>
      <c r="I121" s="8"/>
      <c r="J121" s="8"/>
      <c r="K121" s="8">
        <v>500</v>
      </c>
      <c r="L121" s="18">
        <v>470</v>
      </c>
      <c r="M121" s="7">
        <f t="shared" si="1"/>
        <v>235000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5026</v>
      </c>
      <c r="D122" s="4" t="s">
        <v>4909</v>
      </c>
      <c r="E122" s="4" t="s">
        <v>271</v>
      </c>
      <c r="F122" s="8">
        <v>10000</v>
      </c>
      <c r="G122" s="8">
        <v>10000</v>
      </c>
      <c r="H122" s="8"/>
      <c r="I122" s="8"/>
      <c r="J122" s="8"/>
      <c r="K122" s="8">
        <v>2000</v>
      </c>
      <c r="L122" s="18">
        <v>75</v>
      </c>
      <c r="M122" s="7">
        <f t="shared" si="1"/>
        <v>150000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5027</v>
      </c>
      <c r="D123" s="4" t="s">
        <v>4909</v>
      </c>
      <c r="E123" s="4" t="s">
        <v>271</v>
      </c>
      <c r="F123" s="8">
        <v>10000</v>
      </c>
      <c r="G123" s="8">
        <v>10000</v>
      </c>
      <c r="H123" s="8"/>
      <c r="I123" s="8"/>
      <c r="J123" s="8"/>
      <c r="K123" s="8">
        <v>2000</v>
      </c>
      <c r="L123" s="18">
        <v>25</v>
      </c>
      <c r="M123" s="7">
        <f t="shared" si="1"/>
        <v>50000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5028</v>
      </c>
      <c r="D124" s="4" t="s">
        <v>4909</v>
      </c>
      <c r="E124" s="4" t="s">
        <v>110</v>
      </c>
      <c r="F124" s="8">
        <v>150</v>
      </c>
      <c r="G124" s="8">
        <v>150</v>
      </c>
      <c r="H124" s="8">
        <v>130</v>
      </c>
      <c r="I124" s="8"/>
      <c r="J124" s="8"/>
      <c r="K124" s="8">
        <v>195</v>
      </c>
      <c r="L124" s="18">
        <v>2500</v>
      </c>
      <c r="M124" s="7">
        <f t="shared" si="1"/>
        <v>487500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5029</v>
      </c>
      <c r="D125" s="4" t="s">
        <v>4909</v>
      </c>
      <c r="E125" s="4" t="s">
        <v>110</v>
      </c>
      <c r="F125" s="8">
        <v>100</v>
      </c>
      <c r="G125" s="8">
        <v>100</v>
      </c>
      <c r="H125" s="8">
        <v>90</v>
      </c>
      <c r="I125" s="8"/>
      <c r="J125" s="8"/>
      <c r="K125" s="8">
        <v>130</v>
      </c>
      <c r="L125" s="18">
        <v>3800</v>
      </c>
      <c r="M125" s="7">
        <f t="shared" si="1"/>
        <v>494000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5030</v>
      </c>
      <c r="D126" s="4" t="s">
        <v>4909</v>
      </c>
      <c r="E126" s="4" t="s">
        <v>276</v>
      </c>
      <c r="F126" s="8">
        <v>25000</v>
      </c>
      <c r="G126" s="8">
        <v>25000</v>
      </c>
      <c r="H126" s="8">
        <v>25000</v>
      </c>
      <c r="I126" s="8"/>
      <c r="J126" s="8"/>
      <c r="K126" s="8">
        <v>25000</v>
      </c>
      <c r="L126" s="18">
        <v>12</v>
      </c>
      <c r="M126" s="7">
        <f t="shared" si="1"/>
        <v>300000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5031</v>
      </c>
      <c r="D127" s="4" t="s">
        <v>4909</v>
      </c>
      <c r="E127" s="4" t="s">
        <v>276</v>
      </c>
      <c r="F127" s="8">
        <v>12480</v>
      </c>
      <c r="G127" s="8">
        <v>12480</v>
      </c>
      <c r="H127" s="8">
        <v>12480</v>
      </c>
      <c r="I127" s="8"/>
      <c r="J127" s="8"/>
      <c r="K127" s="8">
        <v>12480</v>
      </c>
      <c r="L127" s="18">
        <v>16</v>
      </c>
      <c r="M127" s="7">
        <f t="shared" si="1"/>
        <v>199680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5032</v>
      </c>
      <c r="D128" s="4" t="s">
        <v>4909</v>
      </c>
      <c r="E128" s="4" t="s">
        <v>267</v>
      </c>
      <c r="F128" s="8">
        <v>1500</v>
      </c>
      <c r="G128" s="8">
        <v>3300</v>
      </c>
      <c r="H128" s="8">
        <v>3000</v>
      </c>
      <c r="I128" s="8"/>
      <c r="J128" s="8"/>
      <c r="K128" s="8">
        <v>3300</v>
      </c>
      <c r="L128" s="18">
        <v>150</v>
      </c>
      <c r="M128" s="7">
        <f t="shared" si="1"/>
        <v>495000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5033</v>
      </c>
      <c r="D129" s="4" t="s">
        <v>4909</v>
      </c>
      <c r="E129" s="4" t="s">
        <v>499</v>
      </c>
      <c r="F129" s="8">
        <v>2000</v>
      </c>
      <c r="G129" s="8">
        <v>2000</v>
      </c>
      <c r="H129" s="8">
        <v>1000</v>
      </c>
      <c r="I129" s="8"/>
      <c r="J129" s="8"/>
      <c r="K129" s="8">
        <v>7000</v>
      </c>
      <c r="L129" s="18">
        <v>27</v>
      </c>
      <c r="M129" s="7">
        <f t="shared" si="1"/>
        <v>189000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5034</v>
      </c>
      <c r="D130" s="4" t="s">
        <v>4909</v>
      </c>
      <c r="E130" s="4" t="s">
        <v>110</v>
      </c>
      <c r="F130" s="8">
        <v>300</v>
      </c>
      <c r="G130" s="8">
        <v>400</v>
      </c>
      <c r="H130" s="8">
        <v>175</v>
      </c>
      <c r="I130" s="8"/>
      <c r="J130" s="8"/>
      <c r="K130" s="8">
        <v>430</v>
      </c>
      <c r="L130" s="18">
        <v>715</v>
      </c>
      <c r="M130" s="7">
        <f t="shared" si="1"/>
        <v>307450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5035</v>
      </c>
      <c r="D131" s="4" t="s">
        <v>4909</v>
      </c>
      <c r="E131" s="4" t="s">
        <v>271</v>
      </c>
      <c r="F131" s="8">
        <v>135</v>
      </c>
      <c r="G131" s="8">
        <v>135</v>
      </c>
      <c r="H131" s="8">
        <v>50</v>
      </c>
      <c r="I131" s="8"/>
      <c r="J131" s="8"/>
      <c r="K131" s="8">
        <v>135</v>
      </c>
      <c r="L131" s="18">
        <v>3700</v>
      </c>
      <c r="M131" s="7">
        <f t="shared" si="1"/>
        <v>499500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5036</v>
      </c>
      <c r="D132" s="4" t="s">
        <v>4909</v>
      </c>
      <c r="E132" s="4" t="s">
        <v>271</v>
      </c>
      <c r="F132" s="8">
        <v>150</v>
      </c>
      <c r="G132" s="8">
        <v>250</v>
      </c>
      <c r="H132" s="8">
        <v>200</v>
      </c>
      <c r="I132" s="8"/>
      <c r="J132" s="8"/>
      <c r="K132" s="8">
        <v>370</v>
      </c>
      <c r="L132" s="18">
        <v>1337.5</v>
      </c>
      <c r="M132" s="7">
        <f t="shared" si="1"/>
        <v>494875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5037</v>
      </c>
      <c r="D133" s="4" t="s">
        <v>4909</v>
      </c>
      <c r="E133" s="4" t="s">
        <v>271</v>
      </c>
      <c r="F133" s="8">
        <v>300</v>
      </c>
      <c r="G133" s="8">
        <v>300</v>
      </c>
      <c r="H133" s="8">
        <v>200</v>
      </c>
      <c r="I133" s="8"/>
      <c r="J133" s="8"/>
      <c r="K133" s="8">
        <v>450</v>
      </c>
      <c r="L133" s="18">
        <v>1100</v>
      </c>
      <c r="M133" s="7">
        <f t="shared" ref="M133:M196" si="2">IF(OR(K133="",L133=""),"",K133*L133)</f>
        <v>495000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5038</v>
      </c>
      <c r="D134" s="4" t="s">
        <v>4909</v>
      </c>
      <c r="E134" s="4" t="s">
        <v>271</v>
      </c>
      <c r="F134" s="8">
        <v>150</v>
      </c>
      <c r="G134" s="8">
        <v>150</v>
      </c>
      <c r="H134" s="8">
        <v>110</v>
      </c>
      <c r="I134" s="8"/>
      <c r="J134" s="8"/>
      <c r="K134" s="8">
        <v>240</v>
      </c>
      <c r="L134" s="18">
        <v>2080</v>
      </c>
      <c r="M134" s="7">
        <f t="shared" si="2"/>
        <v>499200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5039</v>
      </c>
      <c r="D135" s="4" t="s">
        <v>4909</v>
      </c>
      <c r="E135" s="4" t="s">
        <v>271</v>
      </c>
      <c r="F135" s="8">
        <v>50</v>
      </c>
      <c r="G135" s="8">
        <v>50</v>
      </c>
      <c r="H135" s="8">
        <v>50</v>
      </c>
      <c r="I135" s="8"/>
      <c r="J135" s="8"/>
      <c r="K135" s="8">
        <v>50</v>
      </c>
      <c r="L135" s="18">
        <v>8239</v>
      </c>
      <c r="M135" s="7">
        <f t="shared" si="2"/>
        <v>411950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5040</v>
      </c>
      <c r="D136" s="4" t="s">
        <v>4909</v>
      </c>
      <c r="E136" s="4" t="s">
        <v>271</v>
      </c>
      <c r="F136" s="8">
        <v>8</v>
      </c>
      <c r="G136" s="8">
        <v>8</v>
      </c>
      <c r="H136" s="8">
        <v>8</v>
      </c>
      <c r="I136" s="8"/>
      <c r="J136" s="8"/>
      <c r="K136" s="8">
        <v>8</v>
      </c>
      <c r="L136" s="18">
        <v>10486</v>
      </c>
      <c r="M136" s="7">
        <f t="shared" si="2"/>
        <v>83888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5041</v>
      </c>
      <c r="D137" s="4" t="s">
        <v>4909</v>
      </c>
      <c r="E137" s="4" t="s">
        <v>271</v>
      </c>
      <c r="F137" s="8">
        <v>80</v>
      </c>
      <c r="G137" s="8">
        <v>100</v>
      </c>
      <c r="H137" s="8">
        <v>80</v>
      </c>
      <c r="I137" s="8"/>
      <c r="J137" s="8"/>
      <c r="K137" s="8">
        <v>240</v>
      </c>
      <c r="L137" s="18">
        <v>2000</v>
      </c>
      <c r="M137" s="7">
        <f t="shared" si="2"/>
        <v>480000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5042</v>
      </c>
      <c r="D138" s="4" t="s">
        <v>4909</v>
      </c>
      <c r="E138" s="4" t="s">
        <v>271</v>
      </c>
      <c r="F138" s="8">
        <v>2000</v>
      </c>
      <c r="G138" s="8">
        <v>2000</v>
      </c>
      <c r="H138" s="8">
        <v>1300</v>
      </c>
      <c r="I138" s="8"/>
      <c r="J138" s="8"/>
      <c r="K138" s="8">
        <v>1000</v>
      </c>
      <c r="L138" s="18">
        <v>6848</v>
      </c>
      <c r="M138" s="7">
        <f t="shared" si="2"/>
        <v>6848000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5043</v>
      </c>
      <c r="D139" s="4" t="s">
        <v>4909</v>
      </c>
      <c r="E139" s="4" t="s">
        <v>271</v>
      </c>
      <c r="F139" s="8">
        <v>300</v>
      </c>
      <c r="G139" s="8">
        <v>300</v>
      </c>
      <c r="H139" s="8">
        <v>400</v>
      </c>
      <c r="I139" s="8"/>
      <c r="J139" s="8"/>
      <c r="K139" s="8">
        <v>500</v>
      </c>
      <c r="L139" s="18">
        <v>3424</v>
      </c>
      <c r="M139" s="7">
        <f t="shared" si="2"/>
        <v>1712000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5044</v>
      </c>
      <c r="D140" s="4" t="s">
        <v>4909</v>
      </c>
      <c r="E140" s="4" t="s">
        <v>196</v>
      </c>
      <c r="F140" s="8">
        <v>150</v>
      </c>
      <c r="G140" s="8">
        <v>150</v>
      </c>
      <c r="H140" s="8">
        <v>80</v>
      </c>
      <c r="I140" s="8"/>
      <c r="J140" s="8"/>
      <c r="K140" s="8">
        <v>100</v>
      </c>
      <c r="L140" s="18">
        <v>99510</v>
      </c>
      <c r="M140" s="7">
        <f t="shared" si="2"/>
        <v>9951000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5045</v>
      </c>
      <c r="D141" s="4" t="s">
        <v>4909</v>
      </c>
      <c r="E141" s="4" t="s">
        <v>271</v>
      </c>
      <c r="F141" s="8">
        <v>100</v>
      </c>
      <c r="G141" s="8">
        <v>100</v>
      </c>
      <c r="H141" s="8">
        <v>100</v>
      </c>
      <c r="I141" s="8"/>
      <c r="J141" s="8"/>
      <c r="K141" s="8">
        <v>200</v>
      </c>
      <c r="L141" s="18">
        <v>3400</v>
      </c>
      <c r="M141" s="7">
        <f t="shared" si="2"/>
        <v>680000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5046</v>
      </c>
      <c r="D142" s="4" t="s">
        <v>4909</v>
      </c>
      <c r="E142" s="4" t="s">
        <v>271</v>
      </c>
      <c r="F142" s="8">
        <v>100</v>
      </c>
      <c r="G142" s="8">
        <v>100</v>
      </c>
      <c r="H142" s="8">
        <v>100</v>
      </c>
      <c r="I142" s="8"/>
      <c r="J142" s="8"/>
      <c r="K142" s="8">
        <v>200</v>
      </c>
      <c r="L142" s="18">
        <v>3000</v>
      </c>
      <c r="M142" s="7">
        <f t="shared" si="2"/>
        <v>600000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5047</v>
      </c>
      <c r="D143" s="4" t="s">
        <v>4909</v>
      </c>
      <c r="E143" s="4" t="s">
        <v>271</v>
      </c>
      <c r="F143" s="8">
        <v>100</v>
      </c>
      <c r="G143" s="8">
        <v>100</v>
      </c>
      <c r="H143" s="8">
        <v>100</v>
      </c>
      <c r="I143" s="8"/>
      <c r="J143" s="8"/>
      <c r="K143" s="8">
        <v>200</v>
      </c>
      <c r="L143" s="18">
        <v>3000</v>
      </c>
      <c r="M143" s="7">
        <f t="shared" si="2"/>
        <v>600000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5048</v>
      </c>
      <c r="D144" s="4" t="s">
        <v>4909</v>
      </c>
      <c r="E144" s="4" t="s">
        <v>271</v>
      </c>
      <c r="F144" s="8">
        <v>100</v>
      </c>
      <c r="G144" s="8">
        <v>100</v>
      </c>
      <c r="H144" s="8">
        <v>100</v>
      </c>
      <c r="I144" s="8"/>
      <c r="J144" s="8"/>
      <c r="K144" s="8">
        <v>200</v>
      </c>
      <c r="L144" s="18">
        <v>3400</v>
      </c>
      <c r="M144" s="7">
        <f t="shared" si="2"/>
        <v>680000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5049</v>
      </c>
      <c r="D145" s="4" t="s">
        <v>4909</v>
      </c>
      <c r="E145" s="4" t="s">
        <v>271</v>
      </c>
      <c r="F145" s="8">
        <v>100</v>
      </c>
      <c r="G145" s="8">
        <v>100</v>
      </c>
      <c r="H145" s="8">
        <v>100</v>
      </c>
      <c r="I145" s="8"/>
      <c r="J145" s="8"/>
      <c r="K145" s="8">
        <v>200</v>
      </c>
      <c r="L145" s="18">
        <v>3400</v>
      </c>
      <c r="M145" s="7">
        <f t="shared" si="2"/>
        <v>680000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5050</v>
      </c>
      <c r="D146" s="4" t="s">
        <v>4909</v>
      </c>
      <c r="E146" s="4" t="s">
        <v>271</v>
      </c>
      <c r="F146" s="8">
        <v>30</v>
      </c>
      <c r="G146" s="8">
        <v>30</v>
      </c>
      <c r="H146" s="8">
        <v>30</v>
      </c>
      <c r="I146" s="8"/>
      <c r="J146" s="8"/>
      <c r="K146" s="8">
        <v>100</v>
      </c>
      <c r="L146" s="18">
        <v>5000</v>
      </c>
      <c r="M146" s="7">
        <f t="shared" si="2"/>
        <v>500000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5051</v>
      </c>
      <c r="D147" s="4" t="s">
        <v>4909</v>
      </c>
      <c r="E147" s="4" t="s">
        <v>3823</v>
      </c>
      <c r="F147" s="8">
        <v>220</v>
      </c>
      <c r="G147" s="8">
        <v>220</v>
      </c>
      <c r="H147" s="8">
        <v>200</v>
      </c>
      <c r="I147" s="8"/>
      <c r="J147" s="8"/>
      <c r="K147" s="8">
        <v>500</v>
      </c>
      <c r="L147" s="18">
        <v>4400</v>
      </c>
      <c r="M147" s="7">
        <f t="shared" si="2"/>
        <v>2200000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5052</v>
      </c>
      <c r="D148" s="4" t="s">
        <v>4909</v>
      </c>
      <c r="E148" s="4" t="s">
        <v>271</v>
      </c>
      <c r="F148" s="8">
        <v>100</v>
      </c>
      <c r="G148" s="8">
        <v>100</v>
      </c>
      <c r="H148" s="8">
        <v>100</v>
      </c>
      <c r="I148" s="8"/>
      <c r="J148" s="8"/>
      <c r="K148" s="8">
        <v>100</v>
      </c>
      <c r="L148" s="18">
        <v>5499.8</v>
      </c>
      <c r="M148" s="7">
        <f t="shared" si="2"/>
        <v>549980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5053</v>
      </c>
      <c r="D149" s="4" t="s">
        <v>4909</v>
      </c>
      <c r="E149" s="4" t="s">
        <v>271</v>
      </c>
      <c r="F149" s="8">
        <v>200</v>
      </c>
      <c r="G149" s="8">
        <v>200</v>
      </c>
      <c r="H149" s="8">
        <v>200</v>
      </c>
      <c r="I149" s="8"/>
      <c r="J149" s="8"/>
      <c r="K149" s="8">
        <v>200</v>
      </c>
      <c r="L149" s="18">
        <v>4899.53</v>
      </c>
      <c r="M149" s="7">
        <f t="shared" si="2"/>
        <v>979906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5054</v>
      </c>
      <c r="D150" s="4" t="s">
        <v>4909</v>
      </c>
      <c r="E150" s="4" t="s">
        <v>271</v>
      </c>
      <c r="F150" s="8">
        <v>70</v>
      </c>
      <c r="G150" s="8">
        <v>70</v>
      </c>
      <c r="H150" s="8">
        <v>70</v>
      </c>
      <c r="I150" s="8"/>
      <c r="J150" s="8"/>
      <c r="K150" s="8">
        <v>70</v>
      </c>
      <c r="L150" s="18">
        <v>5243</v>
      </c>
      <c r="M150" s="7">
        <f t="shared" si="2"/>
        <v>367010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5055</v>
      </c>
      <c r="D151" s="4" t="s">
        <v>4909</v>
      </c>
      <c r="E151" s="4" t="s">
        <v>271</v>
      </c>
      <c r="F151" s="8">
        <v>150</v>
      </c>
      <c r="G151" s="8">
        <v>150</v>
      </c>
      <c r="H151" s="8">
        <v>150</v>
      </c>
      <c r="I151" s="8"/>
      <c r="J151" s="8"/>
      <c r="K151" s="8">
        <v>150</v>
      </c>
      <c r="L151" s="18">
        <v>7499.63</v>
      </c>
      <c r="M151" s="7">
        <f t="shared" si="2"/>
        <v>1124944.5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5056</v>
      </c>
      <c r="D152" s="4" t="s">
        <v>4909</v>
      </c>
      <c r="E152" s="4" t="s">
        <v>271</v>
      </c>
      <c r="F152" s="8">
        <v>15</v>
      </c>
      <c r="G152" s="8">
        <v>15</v>
      </c>
      <c r="H152" s="8">
        <v>15</v>
      </c>
      <c r="I152" s="8"/>
      <c r="J152" s="8"/>
      <c r="K152" s="8">
        <v>15</v>
      </c>
      <c r="L152" s="18">
        <v>5499.8</v>
      </c>
      <c r="M152" s="7">
        <f t="shared" si="2"/>
        <v>82497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5057</v>
      </c>
      <c r="D153" s="4" t="s">
        <v>4909</v>
      </c>
      <c r="E153" s="4" t="s">
        <v>271</v>
      </c>
      <c r="F153" s="8">
        <v>30</v>
      </c>
      <c r="G153" s="8">
        <v>30</v>
      </c>
      <c r="H153" s="8">
        <v>30</v>
      </c>
      <c r="I153" s="8"/>
      <c r="J153" s="8"/>
      <c r="K153" s="8">
        <v>30</v>
      </c>
      <c r="L153" s="18">
        <v>9095</v>
      </c>
      <c r="M153" s="7">
        <f t="shared" si="2"/>
        <v>272850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5058</v>
      </c>
      <c r="D154" s="4" t="s">
        <v>4909</v>
      </c>
      <c r="E154" s="4" t="s">
        <v>271</v>
      </c>
      <c r="F154" s="8">
        <v>40</v>
      </c>
      <c r="G154" s="8">
        <v>40</v>
      </c>
      <c r="H154" s="8">
        <v>40</v>
      </c>
      <c r="I154" s="8"/>
      <c r="J154" s="8"/>
      <c r="K154" s="8">
        <v>40</v>
      </c>
      <c r="L154" s="18">
        <v>19260</v>
      </c>
      <c r="M154" s="7">
        <f t="shared" si="2"/>
        <v>770400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5059</v>
      </c>
      <c r="D155" s="4" t="s">
        <v>4909</v>
      </c>
      <c r="E155" s="4" t="s">
        <v>271</v>
      </c>
      <c r="F155" s="8">
        <v>5</v>
      </c>
      <c r="G155" s="8">
        <v>5</v>
      </c>
      <c r="H155" s="8">
        <v>5</v>
      </c>
      <c r="I155" s="8"/>
      <c r="J155" s="8"/>
      <c r="K155" s="8">
        <v>5</v>
      </c>
      <c r="L155" s="18">
        <v>24610</v>
      </c>
      <c r="M155" s="7">
        <f t="shared" si="2"/>
        <v>123050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5060</v>
      </c>
      <c r="D156" s="4" t="s">
        <v>4909</v>
      </c>
      <c r="E156" s="4" t="s">
        <v>271</v>
      </c>
      <c r="F156" s="8">
        <v>5</v>
      </c>
      <c r="G156" s="8">
        <v>5</v>
      </c>
      <c r="H156" s="8">
        <v>5</v>
      </c>
      <c r="I156" s="8"/>
      <c r="J156" s="8"/>
      <c r="K156" s="8">
        <v>5</v>
      </c>
      <c r="L156" s="18">
        <v>31030</v>
      </c>
      <c r="M156" s="7">
        <f t="shared" si="2"/>
        <v>155150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5061</v>
      </c>
      <c r="D157" s="4" t="s">
        <v>4909</v>
      </c>
      <c r="E157" s="4" t="s">
        <v>271</v>
      </c>
      <c r="F157" s="8">
        <v>20</v>
      </c>
      <c r="G157" s="8">
        <v>20</v>
      </c>
      <c r="H157" s="8">
        <v>20</v>
      </c>
      <c r="I157" s="8"/>
      <c r="J157" s="8"/>
      <c r="K157" s="8">
        <v>20</v>
      </c>
      <c r="L157" s="18">
        <v>8560</v>
      </c>
      <c r="M157" s="7">
        <f t="shared" si="2"/>
        <v>171200</v>
      </c>
      <c r="N157" s="4"/>
      <c r="O157" s="9"/>
    </row>
    <row r="158" spans="1:15" ht="20" customHeight="1" x14ac:dyDescent="0.2">
      <c r="A158" s="3">
        <v>154</v>
      </c>
      <c r="B158" s="19"/>
      <c r="C158" s="4" t="s">
        <v>5062</v>
      </c>
      <c r="D158" s="4" t="s">
        <v>4909</v>
      </c>
      <c r="E158" s="4" t="s">
        <v>271</v>
      </c>
      <c r="F158" s="8">
        <v>30</v>
      </c>
      <c r="G158" s="8">
        <v>30</v>
      </c>
      <c r="H158" s="8">
        <v>30</v>
      </c>
      <c r="I158" s="8"/>
      <c r="J158" s="8"/>
      <c r="K158" s="8">
        <v>30</v>
      </c>
      <c r="L158" s="18">
        <v>10700</v>
      </c>
      <c r="M158" s="7">
        <f t="shared" si="2"/>
        <v>321000</v>
      </c>
      <c r="N158" s="4"/>
      <c r="O158" s="9"/>
    </row>
    <row r="159" spans="1:15" ht="20" customHeight="1" x14ac:dyDescent="0.2">
      <c r="A159" s="3">
        <v>155</v>
      </c>
      <c r="B159" s="19"/>
      <c r="C159" s="4" t="s">
        <v>5063</v>
      </c>
      <c r="D159" s="4" t="s">
        <v>4909</v>
      </c>
      <c r="E159" s="4" t="s">
        <v>271</v>
      </c>
      <c r="F159" s="8">
        <v>150</v>
      </c>
      <c r="G159" s="8">
        <v>200</v>
      </c>
      <c r="H159" s="8">
        <v>200</v>
      </c>
      <c r="I159" s="8"/>
      <c r="J159" s="8"/>
      <c r="K159" s="8">
        <v>400</v>
      </c>
      <c r="L159" s="18">
        <v>4280</v>
      </c>
      <c r="M159" s="7">
        <f t="shared" si="2"/>
        <v>1712000</v>
      </c>
      <c r="N159" s="4"/>
      <c r="O159" s="9"/>
    </row>
    <row r="160" spans="1:15" ht="20" customHeight="1" x14ac:dyDescent="0.2">
      <c r="A160" s="3">
        <v>156</v>
      </c>
      <c r="B160" s="19"/>
      <c r="C160" s="4" t="s">
        <v>5064</v>
      </c>
      <c r="D160" s="4" t="s">
        <v>4909</v>
      </c>
      <c r="E160" s="4" t="s">
        <v>271</v>
      </c>
      <c r="F160" s="8">
        <v>75</v>
      </c>
      <c r="G160" s="8">
        <v>75</v>
      </c>
      <c r="H160" s="8">
        <v>75</v>
      </c>
      <c r="I160" s="8"/>
      <c r="J160" s="8"/>
      <c r="K160" s="8">
        <v>75</v>
      </c>
      <c r="L160" s="18">
        <v>4500</v>
      </c>
      <c r="M160" s="7">
        <f t="shared" si="2"/>
        <v>337500</v>
      </c>
      <c r="N160" s="4"/>
      <c r="O160" s="9"/>
    </row>
    <row r="161" spans="1:15" ht="20" customHeight="1" x14ac:dyDescent="0.2">
      <c r="A161" s="3">
        <v>157</v>
      </c>
      <c r="B161" s="19"/>
      <c r="C161" s="4" t="s">
        <v>5065</v>
      </c>
      <c r="D161" s="4" t="s">
        <v>4909</v>
      </c>
      <c r="E161" s="4" t="s">
        <v>271</v>
      </c>
      <c r="F161" s="8">
        <v>225</v>
      </c>
      <c r="G161" s="8">
        <v>225</v>
      </c>
      <c r="H161" s="8">
        <v>225</v>
      </c>
      <c r="I161" s="8"/>
      <c r="J161" s="8"/>
      <c r="K161" s="8">
        <v>225</v>
      </c>
      <c r="L161" s="18">
        <v>4000</v>
      </c>
      <c r="M161" s="7">
        <f t="shared" si="2"/>
        <v>900000</v>
      </c>
      <c r="N161" s="4"/>
      <c r="O161" s="9"/>
    </row>
    <row r="162" spans="1:15" ht="20" customHeight="1" x14ac:dyDescent="0.2">
      <c r="A162" s="3">
        <v>158</v>
      </c>
      <c r="B162" s="19"/>
      <c r="C162" s="4" t="s">
        <v>5066</v>
      </c>
      <c r="D162" s="4" t="s">
        <v>4909</v>
      </c>
      <c r="E162" s="4" t="s">
        <v>271</v>
      </c>
      <c r="F162" s="8">
        <v>600</v>
      </c>
      <c r="G162" s="8">
        <v>600</v>
      </c>
      <c r="H162" s="8">
        <v>600</v>
      </c>
      <c r="I162" s="8"/>
      <c r="J162" s="8"/>
      <c r="K162" s="8">
        <v>600</v>
      </c>
      <c r="L162" s="18">
        <v>1000</v>
      </c>
      <c r="M162" s="7">
        <f t="shared" si="2"/>
        <v>600000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5067</v>
      </c>
      <c r="D163" s="4" t="s">
        <v>4909</v>
      </c>
      <c r="E163" s="4" t="s">
        <v>271</v>
      </c>
      <c r="F163" s="8">
        <v>225</v>
      </c>
      <c r="G163" s="8">
        <v>225</v>
      </c>
      <c r="H163" s="8">
        <v>225</v>
      </c>
      <c r="I163" s="8"/>
      <c r="J163" s="8"/>
      <c r="K163" s="8">
        <v>225</v>
      </c>
      <c r="L163" s="18">
        <v>4100</v>
      </c>
      <c r="M163" s="7">
        <f t="shared" si="2"/>
        <v>922500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5068</v>
      </c>
      <c r="D164" s="4" t="s">
        <v>4909</v>
      </c>
      <c r="E164" s="4" t="s">
        <v>121</v>
      </c>
      <c r="F164" s="8">
        <v>5600</v>
      </c>
      <c r="G164" s="8">
        <v>5600</v>
      </c>
      <c r="H164" s="8">
        <v>5600</v>
      </c>
      <c r="I164" s="8"/>
      <c r="J164" s="8"/>
      <c r="K164" s="8">
        <v>5600</v>
      </c>
      <c r="L164" s="18">
        <v>185</v>
      </c>
      <c r="M164" s="7">
        <f t="shared" si="2"/>
        <v>1036000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5069</v>
      </c>
      <c r="D165" s="4" t="s">
        <v>4909</v>
      </c>
      <c r="E165" s="4" t="s">
        <v>121</v>
      </c>
      <c r="F165" s="8">
        <v>13000</v>
      </c>
      <c r="G165" s="8">
        <v>13000</v>
      </c>
      <c r="H165" s="8">
        <v>13000</v>
      </c>
      <c r="I165" s="8"/>
      <c r="J165" s="8"/>
      <c r="K165" s="8">
        <v>13000</v>
      </c>
      <c r="L165" s="18">
        <v>85</v>
      </c>
      <c r="M165" s="7">
        <f t="shared" si="2"/>
        <v>1105000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5070</v>
      </c>
      <c r="D166" s="4" t="s">
        <v>4909</v>
      </c>
      <c r="E166" s="4" t="s">
        <v>121</v>
      </c>
      <c r="F166" s="8">
        <v>300</v>
      </c>
      <c r="G166" s="8">
        <v>300</v>
      </c>
      <c r="H166" s="8">
        <v>300</v>
      </c>
      <c r="I166" s="8"/>
      <c r="J166" s="8"/>
      <c r="K166" s="8">
        <v>550</v>
      </c>
      <c r="L166" s="18">
        <v>180</v>
      </c>
      <c r="M166" s="7">
        <f t="shared" si="2"/>
        <v>99000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5071</v>
      </c>
      <c r="D167" s="4" t="s">
        <v>4909</v>
      </c>
      <c r="E167" s="4" t="s">
        <v>121</v>
      </c>
      <c r="F167" s="8">
        <v>300</v>
      </c>
      <c r="G167" s="8">
        <v>300</v>
      </c>
      <c r="H167" s="8">
        <v>300</v>
      </c>
      <c r="I167" s="8"/>
      <c r="J167" s="8"/>
      <c r="K167" s="8">
        <v>550</v>
      </c>
      <c r="L167" s="18">
        <v>180</v>
      </c>
      <c r="M167" s="7">
        <f t="shared" si="2"/>
        <v>99000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5072</v>
      </c>
      <c r="D168" s="4" t="s">
        <v>4909</v>
      </c>
      <c r="E168" s="4" t="s">
        <v>304</v>
      </c>
      <c r="F168" s="8">
        <v>150</v>
      </c>
      <c r="G168" s="8">
        <v>150</v>
      </c>
      <c r="H168" s="8">
        <v>100</v>
      </c>
      <c r="I168" s="8"/>
      <c r="J168" s="8"/>
      <c r="K168" s="8">
        <v>150</v>
      </c>
      <c r="L168" s="18">
        <v>300</v>
      </c>
      <c r="M168" s="7">
        <f t="shared" si="2"/>
        <v>45000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5073</v>
      </c>
      <c r="D169" s="4" t="s">
        <v>4909</v>
      </c>
      <c r="E169" s="4" t="s">
        <v>271</v>
      </c>
      <c r="F169" s="8">
        <v>7000</v>
      </c>
      <c r="G169" s="8">
        <v>7000</v>
      </c>
      <c r="H169" s="8">
        <v>7000</v>
      </c>
      <c r="I169" s="8"/>
      <c r="J169" s="8"/>
      <c r="K169" s="8">
        <v>14850</v>
      </c>
      <c r="L169" s="18">
        <v>145</v>
      </c>
      <c r="M169" s="7">
        <f t="shared" si="2"/>
        <v>2153250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5074</v>
      </c>
      <c r="D170" s="4" t="s">
        <v>4909</v>
      </c>
      <c r="E170" s="4" t="s">
        <v>110</v>
      </c>
      <c r="F170" s="8">
        <v>30</v>
      </c>
      <c r="G170" s="8">
        <v>30</v>
      </c>
      <c r="H170" s="8">
        <v>20</v>
      </c>
      <c r="I170" s="8"/>
      <c r="J170" s="8"/>
      <c r="K170" s="8">
        <v>50</v>
      </c>
      <c r="L170" s="18">
        <v>5000</v>
      </c>
      <c r="M170" s="7">
        <f t="shared" si="2"/>
        <v>250000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5075</v>
      </c>
      <c r="D171" s="4" t="s">
        <v>4909</v>
      </c>
      <c r="E171" s="4" t="s">
        <v>110</v>
      </c>
      <c r="F171" s="8">
        <v>150</v>
      </c>
      <c r="G171" s="8">
        <v>150</v>
      </c>
      <c r="H171" s="8">
        <v>150</v>
      </c>
      <c r="I171" s="8"/>
      <c r="J171" s="8"/>
      <c r="K171" s="8">
        <v>200</v>
      </c>
      <c r="L171" s="18">
        <v>6800</v>
      </c>
      <c r="M171" s="7">
        <f t="shared" si="2"/>
        <v>1360000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5076</v>
      </c>
      <c r="D172" s="4" t="s">
        <v>4909</v>
      </c>
      <c r="E172" s="4" t="s">
        <v>137</v>
      </c>
      <c r="F172" s="8">
        <v>50</v>
      </c>
      <c r="G172" s="8">
        <v>100</v>
      </c>
      <c r="H172" s="8">
        <v>70</v>
      </c>
      <c r="I172" s="8"/>
      <c r="J172" s="8"/>
      <c r="K172" s="8">
        <v>100</v>
      </c>
      <c r="L172" s="18">
        <v>430</v>
      </c>
      <c r="M172" s="7">
        <f t="shared" si="2"/>
        <v>43000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5077</v>
      </c>
      <c r="D173" s="4" t="s">
        <v>4909</v>
      </c>
      <c r="E173" s="4" t="s">
        <v>4723</v>
      </c>
      <c r="F173" s="8">
        <v>33</v>
      </c>
      <c r="G173" s="8">
        <v>33</v>
      </c>
      <c r="H173" s="8">
        <v>33</v>
      </c>
      <c r="I173" s="8"/>
      <c r="J173" s="8"/>
      <c r="K173" s="8">
        <v>35</v>
      </c>
      <c r="L173" s="18">
        <v>3500</v>
      </c>
      <c r="M173" s="7">
        <f t="shared" si="2"/>
        <v>122500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5078</v>
      </c>
      <c r="D174" s="4" t="s">
        <v>4909</v>
      </c>
      <c r="E174" s="4" t="s">
        <v>684</v>
      </c>
      <c r="F174" s="8">
        <v>150</v>
      </c>
      <c r="G174" s="8">
        <v>150</v>
      </c>
      <c r="H174" s="8">
        <v>150</v>
      </c>
      <c r="I174" s="8"/>
      <c r="J174" s="8"/>
      <c r="K174" s="8">
        <v>150</v>
      </c>
      <c r="L174" s="18">
        <v>3000</v>
      </c>
      <c r="M174" s="7">
        <f t="shared" si="2"/>
        <v>450000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5079</v>
      </c>
      <c r="D175" s="4" t="s">
        <v>4909</v>
      </c>
      <c r="E175" s="4" t="s">
        <v>267</v>
      </c>
      <c r="F175" s="8">
        <v>220</v>
      </c>
      <c r="G175" s="8">
        <v>220</v>
      </c>
      <c r="H175" s="8">
        <v>220</v>
      </c>
      <c r="I175" s="8"/>
      <c r="J175" s="8"/>
      <c r="K175" s="8">
        <v>300</v>
      </c>
      <c r="L175" s="18">
        <v>900</v>
      </c>
      <c r="M175" s="7">
        <f t="shared" si="2"/>
        <v>270000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5080</v>
      </c>
      <c r="D176" s="4" t="s">
        <v>4909</v>
      </c>
      <c r="E176" s="4" t="s">
        <v>271</v>
      </c>
      <c r="F176" s="8">
        <v>100</v>
      </c>
      <c r="G176" s="8">
        <v>100</v>
      </c>
      <c r="H176" s="8">
        <v>100</v>
      </c>
      <c r="I176" s="8"/>
      <c r="J176" s="8"/>
      <c r="K176" s="8">
        <v>100</v>
      </c>
      <c r="L176" s="18">
        <v>100</v>
      </c>
      <c r="M176" s="7">
        <f t="shared" si="2"/>
        <v>10000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5081</v>
      </c>
      <c r="D177" s="4" t="s">
        <v>4909</v>
      </c>
      <c r="E177" s="4" t="s">
        <v>304</v>
      </c>
      <c r="F177" s="8">
        <v>1800</v>
      </c>
      <c r="G177" s="8">
        <v>1800</v>
      </c>
      <c r="H177" s="8">
        <v>1800</v>
      </c>
      <c r="I177" s="8"/>
      <c r="J177" s="8"/>
      <c r="K177" s="8">
        <v>1800</v>
      </c>
      <c r="L177" s="18">
        <v>55</v>
      </c>
      <c r="M177" s="7">
        <f t="shared" si="2"/>
        <v>99000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5082</v>
      </c>
      <c r="D178" s="4" t="s">
        <v>4909</v>
      </c>
      <c r="E178" s="4" t="s">
        <v>110</v>
      </c>
      <c r="F178" s="8">
        <v>25</v>
      </c>
      <c r="G178" s="8">
        <v>25</v>
      </c>
      <c r="H178" s="8">
        <v>20</v>
      </c>
      <c r="I178" s="8"/>
      <c r="J178" s="8"/>
      <c r="K178" s="8">
        <v>30</v>
      </c>
      <c r="L178" s="18">
        <v>4167</v>
      </c>
      <c r="M178" s="7">
        <f t="shared" si="2"/>
        <v>125010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5083</v>
      </c>
      <c r="D179" s="4" t="s">
        <v>4909</v>
      </c>
      <c r="E179" s="4" t="s">
        <v>110</v>
      </c>
      <c r="F179" s="8">
        <v>25</v>
      </c>
      <c r="G179" s="8">
        <v>25</v>
      </c>
      <c r="H179" s="8">
        <v>25</v>
      </c>
      <c r="I179" s="8"/>
      <c r="J179" s="8"/>
      <c r="K179" s="8">
        <v>50</v>
      </c>
      <c r="L179" s="18">
        <v>1300</v>
      </c>
      <c r="M179" s="7">
        <f t="shared" si="2"/>
        <v>65000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5084</v>
      </c>
      <c r="D180" s="4" t="s">
        <v>4909</v>
      </c>
      <c r="E180" s="4" t="s">
        <v>271</v>
      </c>
      <c r="F180" s="8">
        <v>3400</v>
      </c>
      <c r="G180" s="8">
        <v>3400</v>
      </c>
      <c r="H180" s="8">
        <v>3400</v>
      </c>
      <c r="I180" s="8"/>
      <c r="J180" s="8"/>
      <c r="K180" s="8">
        <v>3400</v>
      </c>
      <c r="L180" s="18">
        <v>61</v>
      </c>
      <c r="M180" s="7">
        <f t="shared" si="2"/>
        <v>207400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5085</v>
      </c>
      <c r="D181" s="4" t="s">
        <v>4909</v>
      </c>
      <c r="E181" s="4" t="s">
        <v>271</v>
      </c>
      <c r="F181" s="8">
        <v>2000</v>
      </c>
      <c r="G181" s="8">
        <v>2000</v>
      </c>
      <c r="H181" s="8">
        <v>2000</v>
      </c>
      <c r="I181" s="8"/>
      <c r="J181" s="8"/>
      <c r="K181" s="8">
        <v>2000</v>
      </c>
      <c r="L181" s="18">
        <v>40</v>
      </c>
      <c r="M181" s="7">
        <f t="shared" si="2"/>
        <v>80000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5086</v>
      </c>
      <c r="D182" s="4" t="s">
        <v>4909</v>
      </c>
      <c r="E182" s="4" t="s">
        <v>271</v>
      </c>
      <c r="F182" s="8">
        <v>500</v>
      </c>
      <c r="G182" s="8">
        <v>700</v>
      </c>
      <c r="H182" s="8">
        <v>700</v>
      </c>
      <c r="I182" s="8"/>
      <c r="J182" s="8"/>
      <c r="K182" s="8">
        <v>700</v>
      </c>
      <c r="L182" s="18">
        <v>128.4</v>
      </c>
      <c r="M182" s="7">
        <f t="shared" si="2"/>
        <v>89880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5087</v>
      </c>
      <c r="D183" s="4" t="s">
        <v>4909</v>
      </c>
      <c r="E183" s="4" t="s">
        <v>190</v>
      </c>
      <c r="F183" s="8">
        <v>1200</v>
      </c>
      <c r="G183" s="8">
        <v>1200</v>
      </c>
      <c r="H183" s="8">
        <v>1200</v>
      </c>
      <c r="I183" s="8"/>
      <c r="J183" s="8"/>
      <c r="K183" s="8">
        <v>1200</v>
      </c>
      <c r="L183" s="18">
        <v>80</v>
      </c>
      <c r="M183" s="7">
        <f t="shared" si="2"/>
        <v>96000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5088</v>
      </c>
      <c r="D184" s="4" t="s">
        <v>4909</v>
      </c>
      <c r="E184" s="4" t="s">
        <v>190</v>
      </c>
      <c r="F184" s="8">
        <v>600</v>
      </c>
      <c r="G184" s="8">
        <v>600</v>
      </c>
      <c r="H184" s="8">
        <v>600</v>
      </c>
      <c r="I184" s="8"/>
      <c r="J184" s="8"/>
      <c r="K184" s="8">
        <v>600</v>
      </c>
      <c r="L184" s="18">
        <v>155</v>
      </c>
      <c r="M184" s="7">
        <f t="shared" si="2"/>
        <v>93000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5089</v>
      </c>
      <c r="D185" s="4" t="s">
        <v>4909</v>
      </c>
      <c r="E185" s="4" t="s">
        <v>133</v>
      </c>
      <c r="F185" s="8">
        <v>1000</v>
      </c>
      <c r="G185" s="8">
        <v>500</v>
      </c>
      <c r="H185" s="8">
        <v>500</v>
      </c>
      <c r="I185" s="8"/>
      <c r="J185" s="8"/>
      <c r="K185" s="8">
        <v>1000</v>
      </c>
      <c r="L185" s="18">
        <v>25</v>
      </c>
      <c r="M185" s="7">
        <f t="shared" si="2"/>
        <v>25000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5090</v>
      </c>
      <c r="D186" s="4" t="s">
        <v>4909</v>
      </c>
      <c r="E186" s="4" t="s">
        <v>133</v>
      </c>
      <c r="F186" s="8">
        <v>1000</v>
      </c>
      <c r="G186" s="8">
        <v>500</v>
      </c>
      <c r="H186" s="8">
        <v>500</v>
      </c>
      <c r="I186" s="8"/>
      <c r="J186" s="8"/>
      <c r="K186" s="8">
        <v>1000</v>
      </c>
      <c r="L186" s="18">
        <v>25</v>
      </c>
      <c r="M186" s="7">
        <f t="shared" si="2"/>
        <v>25000</v>
      </c>
      <c r="N186" s="4"/>
      <c r="O186" s="9"/>
    </row>
    <row r="187" spans="1:15" ht="20" customHeight="1" x14ac:dyDescent="0.2">
      <c r="A187" s="3">
        <v>183</v>
      </c>
      <c r="B187" s="19"/>
      <c r="C187" s="4" t="s">
        <v>5091</v>
      </c>
      <c r="D187" s="4" t="s">
        <v>4909</v>
      </c>
      <c r="E187" s="4" t="s">
        <v>133</v>
      </c>
      <c r="F187" s="8">
        <v>1000</v>
      </c>
      <c r="G187" s="8">
        <v>500</v>
      </c>
      <c r="H187" s="8">
        <v>1000</v>
      </c>
      <c r="I187" s="8"/>
      <c r="J187" s="8"/>
      <c r="K187" s="8">
        <v>1000</v>
      </c>
      <c r="L187" s="18">
        <v>30</v>
      </c>
      <c r="M187" s="7">
        <f t="shared" si="2"/>
        <v>30000</v>
      </c>
      <c r="N187" s="4"/>
      <c r="O187" s="9"/>
    </row>
    <row r="188" spans="1:15" ht="20" customHeight="1" x14ac:dyDescent="0.2">
      <c r="A188" s="3">
        <v>184</v>
      </c>
      <c r="B188" s="19"/>
      <c r="C188" s="4" t="s">
        <v>5092</v>
      </c>
      <c r="D188" s="4" t="s">
        <v>4909</v>
      </c>
      <c r="E188" s="4" t="s">
        <v>110</v>
      </c>
      <c r="F188" s="8">
        <v>80</v>
      </c>
      <c r="G188" s="8">
        <v>80</v>
      </c>
      <c r="H188" s="8">
        <v>80</v>
      </c>
      <c r="I188" s="8"/>
      <c r="J188" s="8"/>
      <c r="K188" s="8">
        <v>80</v>
      </c>
      <c r="L188" s="18">
        <v>1000</v>
      </c>
      <c r="M188" s="7">
        <f t="shared" si="2"/>
        <v>80000</v>
      </c>
      <c r="N188" s="4"/>
      <c r="O188" s="9"/>
    </row>
    <row r="189" spans="1:15" ht="20" customHeight="1" x14ac:dyDescent="0.2">
      <c r="A189" s="3">
        <v>185</v>
      </c>
      <c r="B189" s="19"/>
      <c r="C189" s="4" t="s">
        <v>5093</v>
      </c>
      <c r="D189" s="4" t="s">
        <v>4909</v>
      </c>
      <c r="E189" s="4" t="s">
        <v>499</v>
      </c>
      <c r="F189" s="8">
        <v>60</v>
      </c>
      <c r="G189" s="8">
        <v>60</v>
      </c>
      <c r="H189" s="8">
        <v>80</v>
      </c>
      <c r="I189" s="8"/>
      <c r="J189" s="8"/>
      <c r="K189" s="8">
        <v>120</v>
      </c>
      <c r="L189" s="18">
        <v>390</v>
      </c>
      <c r="M189" s="7">
        <f t="shared" si="2"/>
        <v>46800</v>
      </c>
      <c r="N189" s="4"/>
      <c r="O189" s="9"/>
    </row>
    <row r="190" spans="1:15" ht="20" customHeight="1" x14ac:dyDescent="0.2">
      <c r="A190" s="3">
        <v>186</v>
      </c>
      <c r="B190" s="19"/>
      <c r="C190" s="4" t="s">
        <v>5094</v>
      </c>
      <c r="D190" s="4" t="s">
        <v>4909</v>
      </c>
      <c r="E190" s="4" t="s">
        <v>499</v>
      </c>
      <c r="F190" s="8">
        <v>430</v>
      </c>
      <c r="G190" s="8">
        <v>450</v>
      </c>
      <c r="H190" s="8">
        <v>440</v>
      </c>
      <c r="I190" s="8"/>
      <c r="J190" s="8"/>
      <c r="K190" s="8">
        <v>500</v>
      </c>
      <c r="L190" s="18">
        <v>140</v>
      </c>
      <c r="M190" s="7">
        <f t="shared" si="2"/>
        <v>70000</v>
      </c>
      <c r="N190" s="4"/>
      <c r="O190" s="9"/>
    </row>
    <row r="191" spans="1:15" ht="20" customHeight="1" x14ac:dyDescent="0.2">
      <c r="A191" s="3">
        <v>187</v>
      </c>
      <c r="B191" s="19"/>
      <c r="C191" s="4" t="s">
        <v>5095</v>
      </c>
      <c r="D191" s="4" t="s">
        <v>4909</v>
      </c>
      <c r="E191" s="4" t="s">
        <v>359</v>
      </c>
      <c r="F191" s="8">
        <v>100</v>
      </c>
      <c r="G191" s="8"/>
      <c r="H191" s="8">
        <v>100</v>
      </c>
      <c r="I191" s="8"/>
      <c r="J191" s="8"/>
      <c r="K191" s="8">
        <v>100</v>
      </c>
      <c r="L191" s="18">
        <v>450</v>
      </c>
      <c r="M191" s="7">
        <f t="shared" si="2"/>
        <v>45000</v>
      </c>
      <c r="N191" s="4"/>
      <c r="O191" s="9"/>
    </row>
    <row r="192" spans="1:15" ht="20" customHeight="1" x14ac:dyDescent="0.2">
      <c r="A192" s="3">
        <v>188</v>
      </c>
      <c r="B192" s="19"/>
      <c r="C192" s="4" t="s">
        <v>5096</v>
      </c>
      <c r="D192" s="4" t="s">
        <v>4909</v>
      </c>
      <c r="E192" s="4" t="s">
        <v>359</v>
      </c>
      <c r="F192" s="8"/>
      <c r="G192" s="8"/>
      <c r="H192" s="8">
        <v>30</v>
      </c>
      <c r="I192" s="8"/>
      <c r="J192" s="8"/>
      <c r="K192" s="8">
        <v>100</v>
      </c>
      <c r="L192" s="18">
        <v>450</v>
      </c>
      <c r="M192" s="7">
        <f t="shared" si="2"/>
        <v>45000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5097</v>
      </c>
      <c r="D193" s="4" t="s">
        <v>4909</v>
      </c>
      <c r="E193" s="4" t="s">
        <v>359</v>
      </c>
      <c r="F193" s="8"/>
      <c r="G193" s="8"/>
      <c r="H193" s="8">
        <v>30</v>
      </c>
      <c r="I193" s="8"/>
      <c r="J193" s="8"/>
      <c r="K193" s="8">
        <v>50</v>
      </c>
      <c r="L193" s="18">
        <v>450</v>
      </c>
      <c r="M193" s="7">
        <f t="shared" si="2"/>
        <v>22500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5098</v>
      </c>
      <c r="D194" s="4" t="s">
        <v>4909</v>
      </c>
      <c r="E194" s="4" t="s">
        <v>359</v>
      </c>
      <c r="F194" s="8"/>
      <c r="G194" s="8">
        <v>200</v>
      </c>
      <c r="H194" s="8"/>
      <c r="I194" s="8"/>
      <c r="J194" s="8"/>
      <c r="K194" s="8">
        <v>100</v>
      </c>
      <c r="L194" s="18">
        <v>450</v>
      </c>
      <c r="M194" s="7">
        <f t="shared" si="2"/>
        <v>45000</v>
      </c>
      <c r="N194" s="4"/>
      <c r="O194" s="9"/>
    </row>
    <row r="195" spans="1:15" ht="20" customHeight="1" x14ac:dyDescent="0.2">
      <c r="A195" s="3">
        <v>191</v>
      </c>
      <c r="B195" s="19"/>
      <c r="C195" s="4" t="s">
        <v>5099</v>
      </c>
      <c r="D195" s="4" t="s">
        <v>4909</v>
      </c>
      <c r="E195" s="4" t="s">
        <v>359</v>
      </c>
      <c r="F195" s="8">
        <v>100</v>
      </c>
      <c r="G195" s="8"/>
      <c r="H195" s="8"/>
      <c r="I195" s="8"/>
      <c r="J195" s="8"/>
      <c r="K195" s="8">
        <v>100</v>
      </c>
      <c r="L195" s="18">
        <v>450</v>
      </c>
      <c r="M195" s="7">
        <f t="shared" si="2"/>
        <v>45000</v>
      </c>
      <c r="N195" s="4"/>
      <c r="O195" s="9"/>
    </row>
    <row r="196" spans="1:15" ht="20" customHeight="1" x14ac:dyDescent="0.2">
      <c r="A196" s="3">
        <v>192</v>
      </c>
      <c r="B196" s="19"/>
      <c r="C196" s="4" t="s">
        <v>5100</v>
      </c>
      <c r="D196" s="4" t="s">
        <v>4909</v>
      </c>
      <c r="E196" s="4" t="s">
        <v>359</v>
      </c>
      <c r="F196" s="8">
        <v>30</v>
      </c>
      <c r="G196" s="8"/>
      <c r="H196" s="8"/>
      <c r="I196" s="8"/>
      <c r="J196" s="8"/>
      <c r="K196" s="8">
        <v>50</v>
      </c>
      <c r="L196" s="18">
        <v>650</v>
      </c>
      <c r="M196" s="7">
        <f t="shared" si="2"/>
        <v>32500</v>
      </c>
      <c r="N196" s="4"/>
      <c r="O196" s="9"/>
    </row>
    <row r="197" spans="1:15" ht="20" customHeight="1" x14ac:dyDescent="0.2">
      <c r="A197" s="3">
        <v>193</v>
      </c>
      <c r="B197" s="19"/>
      <c r="C197" s="4" t="s">
        <v>5101</v>
      </c>
      <c r="D197" s="4" t="s">
        <v>4909</v>
      </c>
      <c r="E197" s="4" t="s">
        <v>359</v>
      </c>
      <c r="F197" s="8">
        <v>60</v>
      </c>
      <c r="G197" s="8"/>
      <c r="H197" s="8"/>
      <c r="I197" s="8"/>
      <c r="J197" s="8"/>
      <c r="K197" s="8">
        <v>50</v>
      </c>
      <c r="L197" s="18">
        <v>450</v>
      </c>
      <c r="M197" s="7">
        <f t="shared" ref="M197:M260" si="3">IF(OR(K197="",L197=""),"",K197*L197)</f>
        <v>22500</v>
      </c>
      <c r="N197" s="4"/>
      <c r="O197" s="9"/>
    </row>
    <row r="198" spans="1:15" ht="20" customHeight="1" x14ac:dyDescent="0.2">
      <c r="A198" s="3">
        <v>194</v>
      </c>
      <c r="B198" s="19"/>
      <c r="C198" s="4" t="s">
        <v>5102</v>
      </c>
      <c r="D198" s="4" t="s">
        <v>4909</v>
      </c>
      <c r="E198" s="4" t="s">
        <v>110</v>
      </c>
      <c r="F198" s="8">
        <v>20</v>
      </c>
      <c r="G198" s="8">
        <v>20</v>
      </c>
      <c r="H198" s="8">
        <v>20</v>
      </c>
      <c r="I198" s="8"/>
      <c r="J198" s="8"/>
      <c r="K198" s="8">
        <v>20</v>
      </c>
      <c r="L198" s="18">
        <v>3210</v>
      </c>
      <c r="M198" s="7">
        <f t="shared" si="3"/>
        <v>64200</v>
      </c>
      <c r="N198" s="4"/>
      <c r="O198" s="9"/>
    </row>
    <row r="199" spans="1:15" ht="20" customHeight="1" x14ac:dyDescent="0.2">
      <c r="A199" s="3">
        <v>195</v>
      </c>
      <c r="B199" s="19"/>
      <c r="C199" s="4" t="s">
        <v>5103</v>
      </c>
      <c r="D199" s="4" t="s">
        <v>4909</v>
      </c>
      <c r="E199" s="4" t="s">
        <v>110</v>
      </c>
      <c r="F199" s="8">
        <v>2</v>
      </c>
      <c r="G199" s="8">
        <v>1</v>
      </c>
      <c r="H199" s="8">
        <v>3</v>
      </c>
      <c r="I199" s="8"/>
      <c r="J199" s="8"/>
      <c r="K199" s="8">
        <v>3</v>
      </c>
      <c r="L199" s="18">
        <v>15500</v>
      </c>
      <c r="M199" s="7">
        <f t="shared" si="3"/>
        <v>46500</v>
      </c>
      <c r="N199" s="4"/>
      <c r="O199" s="9"/>
    </row>
    <row r="200" spans="1:15" ht="20" customHeight="1" x14ac:dyDescent="0.2">
      <c r="A200" s="3">
        <v>196</v>
      </c>
      <c r="B200" s="19"/>
      <c r="C200" s="4" t="s">
        <v>5104</v>
      </c>
      <c r="D200" s="4" t="s">
        <v>4909</v>
      </c>
      <c r="E200" s="4" t="s">
        <v>271</v>
      </c>
      <c r="F200" s="8">
        <v>480</v>
      </c>
      <c r="G200" s="8">
        <v>480</v>
      </c>
      <c r="H200" s="8">
        <v>480</v>
      </c>
      <c r="I200" s="8"/>
      <c r="J200" s="8"/>
      <c r="K200" s="8">
        <v>480</v>
      </c>
      <c r="L200" s="18">
        <v>181.9</v>
      </c>
      <c r="M200" s="7">
        <f t="shared" si="3"/>
        <v>87312</v>
      </c>
      <c r="N200" s="4"/>
      <c r="O200" s="9"/>
    </row>
    <row r="201" spans="1:15" ht="20" customHeight="1" x14ac:dyDescent="0.2">
      <c r="A201" s="3">
        <v>197</v>
      </c>
      <c r="B201" s="19"/>
      <c r="C201" s="4" t="s">
        <v>5105</v>
      </c>
      <c r="D201" s="4" t="s">
        <v>4909</v>
      </c>
      <c r="E201" s="4" t="s">
        <v>271</v>
      </c>
      <c r="F201" s="8">
        <v>216</v>
      </c>
      <c r="G201" s="8">
        <v>216</v>
      </c>
      <c r="H201" s="8">
        <v>216</v>
      </c>
      <c r="I201" s="8"/>
      <c r="J201" s="8"/>
      <c r="K201" s="8">
        <v>216</v>
      </c>
      <c r="L201" s="18">
        <v>374.5</v>
      </c>
      <c r="M201" s="7">
        <f t="shared" si="3"/>
        <v>80892</v>
      </c>
      <c r="N201" s="4"/>
      <c r="O201" s="9"/>
    </row>
    <row r="202" spans="1:15" ht="20" customHeight="1" x14ac:dyDescent="0.2">
      <c r="A202" s="3">
        <v>198</v>
      </c>
      <c r="B202" s="19"/>
      <c r="C202" s="4" t="s">
        <v>5106</v>
      </c>
      <c r="D202" s="4" t="s">
        <v>4909</v>
      </c>
      <c r="E202" s="4" t="s">
        <v>271</v>
      </c>
      <c r="F202" s="8">
        <v>40</v>
      </c>
      <c r="G202" s="8">
        <v>40</v>
      </c>
      <c r="H202" s="8">
        <v>50</v>
      </c>
      <c r="I202" s="8"/>
      <c r="J202" s="8"/>
      <c r="K202" s="8">
        <v>50</v>
      </c>
      <c r="L202" s="18">
        <v>7400</v>
      </c>
      <c r="M202" s="7">
        <f t="shared" si="3"/>
        <v>370000</v>
      </c>
      <c r="N202" s="4"/>
      <c r="O202" s="9"/>
    </row>
    <row r="203" spans="1:15" ht="20" customHeight="1" x14ac:dyDescent="0.2">
      <c r="A203" s="3">
        <v>199</v>
      </c>
      <c r="B203" s="19"/>
      <c r="C203" s="4" t="s">
        <v>5107</v>
      </c>
      <c r="D203" s="4" t="s">
        <v>4909</v>
      </c>
      <c r="E203" s="4" t="s">
        <v>271</v>
      </c>
      <c r="F203" s="8">
        <v>30</v>
      </c>
      <c r="G203" s="8">
        <v>30</v>
      </c>
      <c r="H203" s="8">
        <v>30</v>
      </c>
      <c r="I203" s="8"/>
      <c r="J203" s="8"/>
      <c r="K203" s="8">
        <v>30</v>
      </c>
      <c r="L203" s="18">
        <v>3800</v>
      </c>
      <c r="M203" s="7">
        <f t="shared" si="3"/>
        <v>114000</v>
      </c>
      <c r="N203" s="4"/>
      <c r="O203" s="9"/>
    </row>
    <row r="204" spans="1:15" ht="20" customHeight="1" x14ac:dyDescent="0.2">
      <c r="A204" s="3">
        <v>200</v>
      </c>
      <c r="B204" s="19"/>
      <c r="C204" s="4" t="s">
        <v>5108</v>
      </c>
      <c r="D204" s="4" t="s">
        <v>4909</v>
      </c>
      <c r="E204" s="4" t="s">
        <v>271</v>
      </c>
      <c r="F204" s="8">
        <v>30</v>
      </c>
      <c r="G204" s="8">
        <v>30</v>
      </c>
      <c r="H204" s="8"/>
      <c r="I204" s="8"/>
      <c r="J204" s="8"/>
      <c r="K204" s="8">
        <v>50</v>
      </c>
      <c r="L204" s="18">
        <v>5500</v>
      </c>
      <c r="M204" s="7">
        <f t="shared" si="3"/>
        <v>275000</v>
      </c>
      <c r="N204" s="4"/>
      <c r="O204" s="9"/>
    </row>
    <row r="205" spans="1:15" ht="20" customHeight="1" x14ac:dyDescent="0.2">
      <c r="A205" s="3">
        <v>201</v>
      </c>
      <c r="B205" s="19"/>
      <c r="C205" s="4" t="s">
        <v>5109</v>
      </c>
      <c r="D205" s="4" t="s">
        <v>4909</v>
      </c>
      <c r="E205" s="4" t="s">
        <v>271</v>
      </c>
      <c r="F205" s="8">
        <v>30</v>
      </c>
      <c r="G205" s="8">
        <v>30</v>
      </c>
      <c r="H205" s="8"/>
      <c r="I205" s="8"/>
      <c r="J205" s="8"/>
      <c r="K205" s="8">
        <v>50</v>
      </c>
      <c r="L205" s="18">
        <v>6600</v>
      </c>
      <c r="M205" s="7">
        <f t="shared" si="3"/>
        <v>330000</v>
      </c>
      <c r="N205" s="4"/>
      <c r="O205" s="9"/>
    </row>
    <row r="206" spans="1:15" ht="20" customHeight="1" x14ac:dyDescent="0.2">
      <c r="A206" s="3">
        <v>202</v>
      </c>
      <c r="B206" s="19"/>
      <c r="C206" s="4" t="s">
        <v>5110</v>
      </c>
      <c r="D206" s="4" t="s">
        <v>4909</v>
      </c>
      <c r="E206" s="4" t="s">
        <v>271</v>
      </c>
      <c r="F206" s="8">
        <v>10</v>
      </c>
      <c r="G206" s="8">
        <v>16</v>
      </c>
      <c r="H206" s="8"/>
      <c r="I206" s="8"/>
      <c r="J206" s="8"/>
      <c r="K206" s="8">
        <v>20</v>
      </c>
      <c r="L206" s="18">
        <v>6000</v>
      </c>
      <c r="M206" s="7">
        <f t="shared" si="3"/>
        <v>120000</v>
      </c>
      <c r="N206" s="4"/>
      <c r="O206" s="9"/>
    </row>
    <row r="207" spans="1:15" ht="20" customHeight="1" x14ac:dyDescent="0.2">
      <c r="A207" s="3">
        <v>203</v>
      </c>
      <c r="B207" s="19"/>
      <c r="C207" s="4" t="s">
        <v>5111</v>
      </c>
      <c r="D207" s="4" t="s">
        <v>4909</v>
      </c>
      <c r="E207" s="4" t="s">
        <v>267</v>
      </c>
      <c r="F207" s="8">
        <v>50</v>
      </c>
      <c r="G207" s="8">
        <v>50</v>
      </c>
      <c r="H207" s="8">
        <v>50</v>
      </c>
      <c r="I207" s="8"/>
      <c r="J207" s="8"/>
      <c r="K207" s="8">
        <v>50</v>
      </c>
      <c r="L207" s="18">
        <v>1000</v>
      </c>
      <c r="M207" s="7">
        <f t="shared" si="3"/>
        <v>50000</v>
      </c>
      <c r="N207" s="4"/>
      <c r="O207" s="9"/>
    </row>
    <row r="208" spans="1:15" ht="20" customHeight="1" x14ac:dyDescent="0.2">
      <c r="A208" s="3">
        <v>204</v>
      </c>
      <c r="B208" s="19"/>
      <c r="C208" s="4" t="s">
        <v>5112</v>
      </c>
      <c r="D208" s="4" t="s">
        <v>4909</v>
      </c>
      <c r="E208" s="4" t="s">
        <v>499</v>
      </c>
      <c r="F208" s="8">
        <v>100</v>
      </c>
      <c r="G208" s="8">
        <v>100</v>
      </c>
      <c r="H208" s="8">
        <v>150</v>
      </c>
      <c r="I208" s="8"/>
      <c r="J208" s="8"/>
      <c r="K208" s="8">
        <v>300</v>
      </c>
      <c r="L208" s="18">
        <v>1700</v>
      </c>
      <c r="M208" s="7">
        <f t="shared" si="3"/>
        <v>510000</v>
      </c>
      <c r="N208" s="4"/>
      <c r="O208" s="9"/>
    </row>
    <row r="209" spans="1:15" ht="20" customHeight="1" x14ac:dyDescent="0.2">
      <c r="A209" s="3">
        <v>205</v>
      </c>
      <c r="B209" s="19"/>
      <c r="C209" s="4" t="s">
        <v>5113</v>
      </c>
      <c r="D209" s="4" t="s">
        <v>4909</v>
      </c>
      <c r="E209" s="4" t="s">
        <v>110</v>
      </c>
      <c r="F209" s="8">
        <v>2</v>
      </c>
      <c r="G209" s="8">
        <v>2</v>
      </c>
      <c r="H209" s="8">
        <v>2</v>
      </c>
      <c r="I209" s="8"/>
      <c r="J209" s="8"/>
      <c r="K209" s="8">
        <v>3</v>
      </c>
      <c r="L209" s="18">
        <v>7500</v>
      </c>
      <c r="M209" s="7">
        <f t="shared" si="3"/>
        <v>22500</v>
      </c>
      <c r="N209" s="4"/>
      <c r="O209" s="9"/>
    </row>
    <row r="210" spans="1:15" ht="20" customHeight="1" x14ac:dyDescent="0.2">
      <c r="A210" s="3">
        <v>206</v>
      </c>
      <c r="B210" s="19"/>
      <c r="C210" s="4" t="s">
        <v>5114</v>
      </c>
      <c r="D210" s="4" t="s">
        <v>4909</v>
      </c>
      <c r="E210" s="4" t="s">
        <v>110</v>
      </c>
      <c r="F210" s="8">
        <v>13</v>
      </c>
      <c r="G210" s="8">
        <v>13</v>
      </c>
      <c r="H210" s="8">
        <v>15</v>
      </c>
      <c r="I210" s="8"/>
      <c r="J210" s="8"/>
      <c r="K210" s="8">
        <v>20</v>
      </c>
      <c r="L210" s="18">
        <v>7500</v>
      </c>
      <c r="M210" s="7">
        <f t="shared" si="3"/>
        <v>150000</v>
      </c>
      <c r="N210" s="4"/>
      <c r="O210" s="9"/>
    </row>
    <row r="211" spans="1:15" ht="20" customHeight="1" x14ac:dyDescent="0.2">
      <c r="A211" s="3">
        <v>207</v>
      </c>
      <c r="B211" s="19"/>
      <c r="C211" s="4" t="s">
        <v>5115</v>
      </c>
      <c r="D211" s="4" t="s">
        <v>4909</v>
      </c>
      <c r="E211" s="4" t="s">
        <v>499</v>
      </c>
      <c r="F211" s="8">
        <v>160</v>
      </c>
      <c r="G211" s="8">
        <v>160</v>
      </c>
      <c r="H211" s="8">
        <v>160</v>
      </c>
      <c r="I211" s="8"/>
      <c r="J211" s="8"/>
      <c r="K211" s="8">
        <v>200</v>
      </c>
      <c r="L211" s="18">
        <v>580</v>
      </c>
      <c r="M211" s="7">
        <f t="shared" si="3"/>
        <v>116000</v>
      </c>
      <c r="N211" s="4"/>
      <c r="O211" s="9"/>
    </row>
    <row r="212" spans="1:15" ht="20" customHeight="1" x14ac:dyDescent="0.2">
      <c r="A212" s="3">
        <v>208</v>
      </c>
      <c r="B212" s="19"/>
      <c r="C212" s="4" t="s">
        <v>5116</v>
      </c>
      <c r="D212" s="4" t="s">
        <v>4909</v>
      </c>
      <c r="E212" s="4" t="s">
        <v>499</v>
      </c>
      <c r="F212" s="8">
        <v>160</v>
      </c>
      <c r="G212" s="8">
        <v>160</v>
      </c>
      <c r="H212" s="8">
        <v>160</v>
      </c>
      <c r="I212" s="8"/>
      <c r="J212" s="8"/>
      <c r="K212" s="8">
        <v>200</v>
      </c>
      <c r="L212" s="18">
        <v>600</v>
      </c>
      <c r="M212" s="7">
        <f t="shared" si="3"/>
        <v>120000</v>
      </c>
      <c r="N212" s="4"/>
      <c r="O212" s="9"/>
    </row>
    <row r="213" spans="1:15" ht="20" customHeight="1" x14ac:dyDescent="0.2">
      <c r="A213" s="3">
        <v>209</v>
      </c>
      <c r="B213" s="19"/>
      <c r="C213" s="4" t="s">
        <v>5117</v>
      </c>
      <c r="D213" s="4" t="s">
        <v>4909</v>
      </c>
      <c r="E213" s="4" t="s">
        <v>110</v>
      </c>
      <c r="F213" s="8">
        <v>18</v>
      </c>
      <c r="G213" s="8">
        <v>20</v>
      </c>
      <c r="H213" s="8">
        <v>18</v>
      </c>
      <c r="I213" s="8"/>
      <c r="J213" s="8"/>
      <c r="K213" s="8">
        <v>30</v>
      </c>
      <c r="L213" s="18">
        <v>15800</v>
      </c>
      <c r="M213" s="7">
        <f t="shared" si="3"/>
        <v>474000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5118</v>
      </c>
      <c r="D214" s="4" t="s">
        <v>4909</v>
      </c>
      <c r="E214" s="4" t="s">
        <v>110</v>
      </c>
      <c r="F214" s="8">
        <v>10</v>
      </c>
      <c r="G214" s="8">
        <v>15</v>
      </c>
      <c r="H214" s="8">
        <v>30</v>
      </c>
      <c r="I214" s="8"/>
      <c r="J214" s="8"/>
      <c r="K214" s="8">
        <v>30</v>
      </c>
      <c r="L214" s="18">
        <v>2000</v>
      </c>
      <c r="M214" s="7">
        <f t="shared" si="3"/>
        <v>60000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5119</v>
      </c>
      <c r="D215" s="4" t="s">
        <v>4909</v>
      </c>
      <c r="E215" s="4" t="s">
        <v>271</v>
      </c>
      <c r="F215" s="8">
        <v>150</v>
      </c>
      <c r="G215" s="8">
        <v>120</v>
      </c>
      <c r="H215" s="8">
        <v>140</v>
      </c>
      <c r="I215" s="8"/>
      <c r="J215" s="8"/>
      <c r="K215" s="8">
        <v>150</v>
      </c>
      <c r="L215" s="18">
        <v>374.5</v>
      </c>
      <c r="M215" s="7">
        <f t="shared" si="3"/>
        <v>56175</v>
      </c>
      <c r="N215" s="4"/>
      <c r="O215" s="9"/>
    </row>
    <row r="216" spans="1:15" ht="20" customHeight="1" x14ac:dyDescent="0.2">
      <c r="A216" s="3">
        <v>212</v>
      </c>
      <c r="B216" s="19"/>
      <c r="C216" s="4" t="s">
        <v>5120</v>
      </c>
      <c r="D216" s="4" t="s">
        <v>4909</v>
      </c>
      <c r="E216" s="4" t="s">
        <v>271</v>
      </c>
      <c r="F216" s="8">
        <v>150</v>
      </c>
      <c r="G216" s="8">
        <v>100</v>
      </c>
      <c r="H216" s="8">
        <v>150</v>
      </c>
      <c r="I216" s="8"/>
      <c r="J216" s="8"/>
      <c r="K216" s="8">
        <v>150</v>
      </c>
      <c r="L216" s="18">
        <v>481.5</v>
      </c>
      <c r="M216" s="7">
        <f t="shared" si="3"/>
        <v>72225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5121</v>
      </c>
      <c r="D217" s="4" t="s">
        <v>4909</v>
      </c>
      <c r="E217" s="4" t="s">
        <v>271</v>
      </c>
      <c r="F217" s="8">
        <v>180</v>
      </c>
      <c r="G217" s="8">
        <v>150</v>
      </c>
      <c r="H217" s="8">
        <v>180</v>
      </c>
      <c r="I217" s="8"/>
      <c r="J217" s="8"/>
      <c r="K217" s="8">
        <v>200</v>
      </c>
      <c r="L217" s="18">
        <v>481.5</v>
      </c>
      <c r="M217" s="7">
        <f t="shared" si="3"/>
        <v>96300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5122</v>
      </c>
      <c r="D218" s="4" t="s">
        <v>4909</v>
      </c>
      <c r="E218" s="4" t="s">
        <v>271</v>
      </c>
      <c r="F218" s="8">
        <v>30</v>
      </c>
      <c r="G218" s="8">
        <v>30</v>
      </c>
      <c r="H218" s="8">
        <v>30</v>
      </c>
      <c r="I218" s="8"/>
      <c r="J218" s="8"/>
      <c r="K218" s="8">
        <v>50</v>
      </c>
      <c r="L218" s="18">
        <v>588.5</v>
      </c>
      <c r="M218" s="7">
        <f t="shared" si="3"/>
        <v>29425</v>
      </c>
      <c r="N218" s="4"/>
      <c r="O218" s="9"/>
    </row>
    <row r="219" spans="1:15" ht="20" customHeight="1" x14ac:dyDescent="0.2">
      <c r="A219" s="3">
        <v>215</v>
      </c>
      <c r="B219" s="19"/>
      <c r="C219" s="4" t="s">
        <v>5123</v>
      </c>
      <c r="D219" s="4" t="s">
        <v>4909</v>
      </c>
      <c r="E219" s="4" t="s">
        <v>271</v>
      </c>
      <c r="F219" s="8">
        <v>60</v>
      </c>
      <c r="G219" s="8">
        <v>60</v>
      </c>
      <c r="H219" s="8">
        <v>80</v>
      </c>
      <c r="I219" s="8"/>
      <c r="J219" s="8"/>
      <c r="K219" s="8">
        <v>100</v>
      </c>
      <c r="L219" s="18">
        <v>620.6</v>
      </c>
      <c r="M219" s="7">
        <f t="shared" si="3"/>
        <v>62060</v>
      </c>
      <c r="N219" s="4"/>
      <c r="O219" s="9"/>
    </row>
    <row r="220" spans="1:15" ht="20" customHeight="1" x14ac:dyDescent="0.2">
      <c r="A220" s="3">
        <v>216</v>
      </c>
      <c r="B220" s="19"/>
      <c r="C220" s="4" t="s">
        <v>5124</v>
      </c>
      <c r="D220" s="4" t="s">
        <v>4909</v>
      </c>
      <c r="E220" s="4" t="s">
        <v>271</v>
      </c>
      <c r="F220" s="8">
        <v>40</v>
      </c>
      <c r="G220" s="8">
        <v>40</v>
      </c>
      <c r="H220" s="8">
        <v>40</v>
      </c>
      <c r="I220" s="8"/>
      <c r="J220" s="8"/>
      <c r="K220" s="8">
        <v>50</v>
      </c>
      <c r="L220" s="18">
        <v>2365</v>
      </c>
      <c r="M220" s="7">
        <f t="shared" si="3"/>
        <v>118250</v>
      </c>
      <c r="N220" s="4"/>
      <c r="O220" s="9"/>
    </row>
    <row r="221" spans="1:15" ht="20" customHeight="1" x14ac:dyDescent="0.2">
      <c r="A221" s="3">
        <v>217</v>
      </c>
      <c r="B221" s="19"/>
      <c r="C221" s="4" t="s">
        <v>5125</v>
      </c>
      <c r="D221" s="4" t="s">
        <v>4909</v>
      </c>
      <c r="E221" s="4" t="s">
        <v>684</v>
      </c>
      <c r="F221" s="8">
        <v>20</v>
      </c>
      <c r="G221" s="8">
        <v>30</v>
      </c>
      <c r="H221" s="8">
        <v>30</v>
      </c>
      <c r="I221" s="8"/>
      <c r="J221" s="8"/>
      <c r="K221" s="8">
        <v>50</v>
      </c>
      <c r="L221" s="18">
        <v>2800</v>
      </c>
      <c r="M221" s="7">
        <f t="shared" si="3"/>
        <v>140000</v>
      </c>
      <c r="N221" s="4"/>
      <c r="O221" s="9"/>
    </row>
    <row r="222" spans="1:15" ht="20" customHeight="1" x14ac:dyDescent="0.2">
      <c r="A222" s="3">
        <v>218</v>
      </c>
      <c r="B222" s="19"/>
      <c r="C222" s="4" t="s">
        <v>5126</v>
      </c>
      <c r="D222" s="4" t="s">
        <v>4909</v>
      </c>
      <c r="E222" s="4" t="s">
        <v>110</v>
      </c>
      <c r="F222" s="8">
        <v>38</v>
      </c>
      <c r="G222" s="8">
        <v>76</v>
      </c>
      <c r="H222" s="8">
        <v>30</v>
      </c>
      <c r="I222" s="8"/>
      <c r="J222" s="8"/>
      <c r="K222" s="8">
        <v>50</v>
      </c>
      <c r="L222" s="18">
        <v>9360</v>
      </c>
      <c r="M222" s="7">
        <f t="shared" si="3"/>
        <v>468000</v>
      </c>
      <c r="N222" s="4"/>
      <c r="O222" s="9"/>
    </row>
    <row r="223" spans="1:15" ht="20" customHeight="1" x14ac:dyDescent="0.2">
      <c r="A223" s="3">
        <v>219</v>
      </c>
      <c r="B223" s="19"/>
      <c r="C223" s="4" t="s">
        <v>5127</v>
      </c>
      <c r="D223" s="4" t="s">
        <v>4909</v>
      </c>
      <c r="E223" s="4" t="s">
        <v>110</v>
      </c>
      <c r="F223" s="8">
        <v>60</v>
      </c>
      <c r="G223" s="8">
        <v>106</v>
      </c>
      <c r="H223" s="8">
        <v>50</v>
      </c>
      <c r="I223" s="8"/>
      <c r="J223" s="8"/>
      <c r="K223" s="8">
        <v>70</v>
      </c>
      <c r="L223" s="18">
        <v>2240</v>
      </c>
      <c r="M223" s="7">
        <f t="shared" si="3"/>
        <v>156800</v>
      </c>
      <c r="N223" s="4"/>
      <c r="O223" s="9"/>
    </row>
    <row r="224" spans="1:15" ht="20" customHeight="1" x14ac:dyDescent="0.2">
      <c r="A224" s="3">
        <v>220</v>
      </c>
      <c r="B224" s="19"/>
      <c r="C224" s="4" t="s">
        <v>5128</v>
      </c>
      <c r="D224" s="4" t="s">
        <v>4909</v>
      </c>
      <c r="E224" s="4" t="s">
        <v>110</v>
      </c>
      <c r="F224" s="8">
        <v>22</v>
      </c>
      <c r="G224" s="8">
        <v>50</v>
      </c>
      <c r="H224" s="8">
        <v>16</v>
      </c>
      <c r="I224" s="8"/>
      <c r="J224" s="8"/>
      <c r="K224" s="8">
        <v>15</v>
      </c>
      <c r="L224" s="18">
        <v>11120</v>
      </c>
      <c r="M224" s="7">
        <f t="shared" si="3"/>
        <v>166800</v>
      </c>
      <c r="N224" s="4"/>
      <c r="O224" s="9"/>
    </row>
    <row r="225" spans="1:15" ht="20" customHeight="1" x14ac:dyDescent="0.2">
      <c r="A225" s="3">
        <v>221</v>
      </c>
      <c r="B225" s="19"/>
      <c r="C225" s="4" t="s">
        <v>5129</v>
      </c>
      <c r="D225" s="4" t="s">
        <v>4909</v>
      </c>
      <c r="E225" s="4" t="s">
        <v>110</v>
      </c>
      <c r="F225" s="8">
        <v>15</v>
      </c>
      <c r="G225" s="8">
        <v>43</v>
      </c>
      <c r="H225" s="8">
        <v>20</v>
      </c>
      <c r="I225" s="8"/>
      <c r="J225" s="8"/>
      <c r="K225" s="8">
        <v>20</v>
      </c>
      <c r="L225" s="18">
        <v>7600</v>
      </c>
      <c r="M225" s="7">
        <f t="shared" si="3"/>
        <v>152000</v>
      </c>
      <c r="N225" s="4"/>
      <c r="O225" s="9"/>
    </row>
    <row r="226" spans="1:15" ht="20" customHeight="1" x14ac:dyDescent="0.2">
      <c r="A226" s="3">
        <v>222</v>
      </c>
      <c r="B226" s="19"/>
      <c r="C226" s="4" t="s">
        <v>5130</v>
      </c>
      <c r="D226" s="4" t="s">
        <v>4909</v>
      </c>
      <c r="E226" s="4" t="s">
        <v>110</v>
      </c>
      <c r="F226" s="8">
        <v>29</v>
      </c>
      <c r="G226" s="8">
        <v>56</v>
      </c>
      <c r="H226" s="8">
        <v>20</v>
      </c>
      <c r="I226" s="8"/>
      <c r="J226" s="8"/>
      <c r="K226" s="8">
        <v>20</v>
      </c>
      <c r="L226" s="18">
        <v>7320</v>
      </c>
      <c r="M226" s="7">
        <f t="shared" si="3"/>
        <v>146400</v>
      </c>
      <c r="N226" s="4"/>
      <c r="O226" s="9"/>
    </row>
    <row r="227" spans="1:15" ht="20" customHeight="1" x14ac:dyDescent="0.2">
      <c r="A227" s="3">
        <v>223</v>
      </c>
      <c r="B227" s="19"/>
      <c r="C227" s="4" t="s">
        <v>5131</v>
      </c>
      <c r="D227" s="4" t="s">
        <v>4909</v>
      </c>
      <c r="E227" s="4" t="s">
        <v>110</v>
      </c>
      <c r="F227" s="8">
        <v>27</v>
      </c>
      <c r="G227" s="8">
        <v>63</v>
      </c>
      <c r="H227" s="8">
        <v>34</v>
      </c>
      <c r="I227" s="8"/>
      <c r="J227" s="8"/>
      <c r="K227" s="8">
        <v>30</v>
      </c>
      <c r="L227" s="18">
        <v>7650</v>
      </c>
      <c r="M227" s="7">
        <f t="shared" si="3"/>
        <v>229500</v>
      </c>
      <c r="N227" s="4"/>
      <c r="O227" s="9"/>
    </row>
    <row r="228" spans="1:15" ht="20" customHeight="1" x14ac:dyDescent="0.2">
      <c r="A228" s="3">
        <v>224</v>
      </c>
      <c r="B228" s="19"/>
      <c r="C228" s="4" t="s">
        <v>5132</v>
      </c>
      <c r="D228" s="4" t="s">
        <v>4909</v>
      </c>
      <c r="E228" s="4" t="s">
        <v>110</v>
      </c>
      <c r="F228" s="8">
        <v>28</v>
      </c>
      <c r="G228" s="8">
        <v>74</v>
      </c>
      <c r="H228" s="8">
        <v>36</v>
      </c>
      <c r="I228" s="8"/>
      <c r="J228" s="8"/>
      <c r="K228" s="8">
        <v>30</v>
      </c>
      <c r="L228" s="18">
        <v>8000</v>
      </c>
      <c r="M228" s="7">
        <f t="shared" si="3"/>
        <v>240000</v>
      </c>
      <c r="N228" s="4"/>
      <c r="O228" s="9"/>
    </row>
    <row r="229" spans="1:15" ht="20" customHeight="1" x14ac:dyDescent="0.2">
      <c r="A229" s="3">
        <v>225</v>
      </c>
      <c r="B229" s="19"/>
      <c r="C229" s="4" t="s">
        <v>5133</v>
      </c>
      <c r="D229" s="4" t="s">
        <v>4909</v>
      </c>
      <c r="E229" s="4" t="s">
        <v>110</v>
      </c>
      <c r="F229" s="8">
        <v>2</v>
      </c>
      <c r="G229" s="8">
        <v>13</v>
      </c>
      <c r="H229" s="8">
        <v>3</v>
      </c>
      <c r="I229" s="8"/>
      <c r="J229" s="8"/>
      <c r="K229" s="8">
        <v>5</v>
      </c>
      <c r="L229" s="18">
        <v>7200</v>
      </c>
      <c r="M229" s="7">
        <f t="shared" si="3"/>
        <v>36000</v>
      </c>
      <c r="N229" s="4"/>
      <c r="O229" s="9"/>
    </row>
    <row r="230" spans="1:15" ht="20" customHeight="1" x14ac:dyDescent="0.2">
      <c r="A230" s="3">
        <v>226</v>
      </c>
      <c r="B230" s="19"/>
      <c r="C230" s="4" t="s">
        <v>5134</v>
      </c>
      <c r="D230" s="4" t="s">
        <v>4909</v>
      </c>
      <c r="E230" s="4" t="s">
        <v>110</v>
      </c>
      <c r="F230" s="8">
        <v>5</v>
      </c>
      <c r="G230" s="8">
        <v>17</v>
      </c>
      <c r="H230" s="8">
        <v>5</v>
      </c>
      <c r="I230" s="8"/>
      <c r="J230" s="8"/>
      <c r="K230" s="8">
        <v>5</v>
      </c>
      <c r="L230" s="18">
        <v>8260</v>
      </c>
      <c r="M230" s="7">
        <f t="shared" si="3"/>
        <v>41300</v>
      </c>
      <c r="N230" s="4"/>
      <c r="O230" s="9"/>
    </row>
    <row r="231" spans="1:15" ht="20" customHeight="1" x14ac:dyDescent="0.2">
      <c r="A231" s="3">
        <v>227</v>
      </c>
      <c r="B231" s="19"/>
      <c r="C231" s="4" t="s">
        <v>5135</v>
      </c>
      <c r="D231" s="4" t="s">
        <v>4909</v>
      </c>
      <c r="E231" s="4" t="s">
        <v>110</v>
      </c>
      <c r="F231" s="8">
        <v>4</v>
      </c>
      <c r="G231" s="8">
        <v>10</v>
      </c>
      <c r="H231" s="8">
        <v>4</v>
      </c>
      <c r="I231" s="8"/>
      <c r="J231" s="8"/>
      <c r="K231" s="8">
        <v>5</v>
      </c>
      <c r="L231" s="18">
        <v>8970</v>
      </c>
      <c r="M231" s="7">
        <f t="shared" si="3"/>
        <v>44850</v>
      </c>
      <c r="N231" s="4"/>
      <c r="O231" s="9"/>
    </row>
    <row r="232" spans="1:15" ht="20" customHeight="1" x14ac:dyDescent="0.2">
      <c r="A232" s="3">
        <v>228</v>
      </c>
      <c r="B232" s="19"/>
      <c r="C232" s="4" t="s">
        <v>5136</v>
      </c>
      <c r="D232" s="4" t="s">
        <v>4909</v>
      </c>
      <c r="E232" s="4" t="s">
        <v>110</v>
      </c>
      <c r="F232" s="8">
        <v>17</v>
      </c>
      <c r="G232" s="8">
        <v>16</v>
      </c>
      <c r="H232" s="8">
        <v>9</v>
      </c>
      <c r="I232" s="8"/>
      <c r="J232" s="8"/>
      <c r="K232" s="8">
        <v>5</v>
      </c>
      <c r="L232" s="18">
        <v>10360</v>
      </c>
      <c r="M232" s="7">
        <f t="shared" si="3"/>
        <v>51800</v>
      </c>
      <c r="N232" s="4"/>
      <c r="O232" s="9"/>
    </row>
    <row r="233" spans="1:15" ht="20" customHeight="1" x14ac:dyDescent="0.2">
      <c r="A233" s="3">
        <v>229</v>
      </c>
      <c r="B233" s="19"/>
      <c r="C233" s="4" t="s">
        <v>5137</v>
      </c>
      <c r="D233" s="4" t="s">
        <v>4909</v>
      </c>
      <c r="E233" s="4" t="s">
        <v>110</v>
      </c>
      <c r="F233" s="8">
        <v>525</v>
      </c>
      <c r="G233" s="8">
        <v>364</v>
      </c>
      <c r="H233" s="8">
        <v>400</v>
      </c>
      <c r="I233" s="8"/>
      <c r="J233" s="8"/>
      <c r="K233" s="8">
        <v>500</v>
      </c>
      <c r="L233" s="18">
        <v>5802</v>
      </c>
      <c r="M233" s="7">
        <f t="shared" si="3"/>
        <v>2901000</v>
      </c>
      <c r="N233" s="4"/>
      <c r="O233" s="9"/>
    </row>
    <row r="234" spans="1:15" ht="20" customHeight="1" x14ac:dyDescent="0.2">
      <c r="A234" s="3">
        <v>230</v>
      </c>
      <c r="B234" s="19"/>
      <c r="C234" s="4" t="s">
        <v>5138</v>
      </c>
      <c r="D234" s="4" t="s">
        <v>4909</v>
      </c>
      <c r="E234" s="4" t="s">
        <v>110</v>
      </c>
      <c r="F234" s="8">
        <v>270</v>
      </c>
      <c r="G234" s="8">
        <v>185</v>
      </c>
      <c r="H234" s="8">
        <v>210</v>
      </c>
      <c r="I234" s="8"/>
      <c r="J234" s="8"/>
      <c r="K234" s="8">
        <v>240</v>
      </c>
      <c r="L234" s="18">
        <v>5320</v>
      </c>
      <c r="M234" s="7">
        <f t="shared" si="3"/>
        <v>1276800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5139</v>
      </c>
      <c r="D235" s="4" t="s">
        <v>4909</v>
      </c>
      <c r="E235" s="4" t="s">
        <v>110</v>
      </c>
      <c r="F235" s="8">
        <v>536</v>
      </c>
      <c r="G235" s="8">
        <v>339</v>
      </c>
      <c r="H235" s="8">
        <v>400</v>
      </c>
      <c r="I235" s="8"/>
      <c r="J235" s="8"/>
      <c r="K235" s="8">
        <v>500</v>
      </c>
      <c r="L235" s="18">
        <v>3724</v>
      </c>
      <c r="M235" s="7">
        <f t="shared" si="3"/>
        <v>1862000</v>
      </c>
      <c r="N235" s="4"/>
      <c r="O235" s="9"/>
    </row>
    <row r="236" spans="1:15" ht="20" customHeight="1" x14ac:dyDescent="0.2">
      <c r="A236" s="3">
        <v>232</v>
      </c>
      <c r="B236" s="19"/>
      <c r="C236" s="4" t="s">
        <v>5140</v>
      </c>
      <c r="D236" s="4" t="s">
        <v>4909</v>
      </c>
      <c r="E236" s="4" t="s">
        <v>110</v>
      </c>
      <c r="F236" s="8">
        <v>239</v>
      </c>
      <c r="G236" s="8">
        <v>152</v>
      </c>
      <c r="H236" s="8">
        <v>190</v>
      </c>
      <c r="I236" s="8"/>
      <c r="J236" s="8"/>
      <c r="K236" s="8">
        <v>230</v>
      </c>
      <c r="L236" s="18">
        <v>5750</v>
      </c>
      <c r="M236" s="7">
        <f t="shared" si="3"/>
        <v>1322500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5141</v>
      </c>
      <c r="D237" s="4" t="s">
        <v>4909</v>
      </c>
      <c r="E237" s="4" t="s">
        <v>110</v>
      </c>
      <c r="F237" s="8">
        <v>260</v>
      </c>
      <c r="G237" s="8">
        <v>147</v>
      </c>
      <c r="H237" s="8">
        <v>200</v>
      </c>
      <c r="I237" s="8"/>
      <c r="J237" s="8"/>
      <c r="K237" s="8">
        <v>260</v>
      </c>
      <c r="L237" s="18">
        <v>7150</v>
      </c>
      <c r="M237" s="7">
        <f t="shared" si="3"/>
        <v>1859000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5142</v>
      </c>
      <c r="D238" s="4" t="s">
        <v>4909</v>
      </c>
      <c r="E238" s="4" t="s">
        <v>271</v>
      </c>
      <c r="F238" s="8">
        <v>10</v>
      </c>
      <c r="G238" s="8">
        <v>10</v>
      </c>
      <c r="H238" s="8">
        <v>7</v>
      </c>
      <c r="I238" s="8"/>
      <c r="J238" s="8"/>
      <c r="K238" s="8">
        <v>18</v>
      </c>
      <c r="L238" s="18">
        <v>26750</v>
      </c>
      <c r="M238" s="7">
        <f t="shared" si="3"/>
        <v>481500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5143</v>
      </c>
      <c r="D239" s="4" t="s">
        <v>4909</v>
      </c>
      <c r="E239" s="4" t="s">
        <v>271</v>
      </c>
      <c r="F239" s="8">
        <v>10</v>
      </c>
      <c r="G239" s="8">
        <v>10</v>
      </c>
      <c r="H239" s="8">
        <v>7</v>
      </c>
      <c r="I239" s="8"/>
      <c r="J239" s="8"/>
      <c r="K239" s="8">
        <v>18</v>
      </c>
      <c r="L239" s="18">
        <v>25680</v>
      </c>
      <c r="M239" s="7">
        <f t="shared" si="3"/>
        <v>462240</v>
      </c>
      <c r="N239" s="4"/>
      <c r="O239" s="9"/>
    </row>
    <row r="240" spans="1:15" ht="20" customHeight="1" x14ac:dyDescent="0.2">
      <c r="A240" s="3">
        <v>236</v>
      </c>
      <c r="B240" s="19"/>
      <c r="C240" s="4" t="s">
        <v>5144</v>
      </c>
      <c r="D240" s="4" t="s">
        <v>4909</v>
      </c>
      <c r="E240" s="4" t="s">
        <v>271</v>
      </c>
      <c r="F240" s="8">
        <v>10</v>
      </c>
      <c r="G240" s="8">
        <v>10</v>
      </c>
      <c r="H240" s="8">
        <v>5</v>
      </c>
      <c r="I240" s="8"/>
      <c r="J240" s="8"/>
      <c r="K240" s="8">
        <v>30</v>
      </c>
      <c r="L240" s="18">
        <v>16050</v>
      </c>
      <c r="M240" s="7">
        <f t="shared" si="3"/>
        <v>481500</v>
      </c>
      <c r="N240" s="4"/>
      <c r="O240" s="9"/>
    </row>
    <row r="241" spans="1:15" ht="20" customHeight="1" x14ac:dyDescent="0.2">
      <c r="A241" s="3">
        <v>237</v>
      </c>
      <c r="B241" s="19"/>
      <c r="C241" s="4" t="s">
        <v>5145</v>
      </c>
      <c r="D241" s="4" t="s">
        <v>4909</v>
      </c>
      <c r="E241" s="4" t="s">
        <v>271</v>
      </c>
      <c r="F241" s="8">
        <v>10</v>
      </c>
      <c r="G241" s="8">
        <v>10</v>
      </c>
      <c r="H241" s="8">
        <v>7</v>
      </c>
      <c r="I241" s="8"/>
      <c r="J241" s="8"/>
      <c r="K241" s="8">
        <v>20</v>
      </c>
      <c r="L241" s="18">
        <v>21400</v>
      </c>
      <c r="M241" s="7">
        <f t="shared" si="3"/>
        <v>428000</v>
      </c>
      <c r="N241" s="4"/>
      <c r="O241" s="9"/>
    </row>
    <row r="242" spans="1:15" ht="20" customHeight="1" x14ac:dyDescent="0.2">
      <c r="A242" s="3">
        <v>238</v>
      </c>
      <c r="B242" s="19"/>
      <c r="C242" s="4" t="s">
        <v>5146</v>
      </c>
      <c r="D242" s="4" t="s">
        <v>4909</v>
      </c>
      <c r="E242" s="4" t="s">
        <v>271</v>
      </c>
      <c r="F242" s="8">
        <v>10</v>
      </c>
      <c r="G242" s="8">
        <v>10</v>
      </c>
      <c r="H242" s="8">
        <v>7</v>
      </c>
      <c r="I242" s="8"/>
      <c r="J242" s="8"/>
      <c r="K242" s="8">
        <v>20</v>
      </c>
      <c r="L242" s="18">
        <v>21400</v>
      </c>
      <c r="M242" s="7">
        <f t="shared" si="3"/>
        <v>428000</v>
      </c>
      <c r="N242" s="4"/>
      <c r="O242" s="9"/>
    </row>
    <row r="243" spans="1:15" ht="20" customHeight="1" x14ac:dyDescent="0.2">
      <c r="A243" s="3">
        <v>239</v>
      </c>
      <c r="B243" s="19"/>
      <c r="C243" s="4" t="s">
        <v>5147</v>
      </c>
      <c r="D243" s="4" t="s">
        <v>4909</v>
      </c>
      <c r="E243" s="4" t="s">
        <v>271</v>
      </c>
      <c r="F243" s="8">
        <v>5</v>
      </c>
      <c r="G243" s="8">
        <v>5</v>
      </c>
      <c r="H243" s="8">
        <v>7</v>
      </c>
      <c r="I243" s="8"/>
      <c r="J243" s="8"/>
      <c r="K243" s="8">
        <v>15</v>
      </c>
      <c r="L243" s="18">
        <v>21400</v>
      </c>
      <c r="M243" s="7">
        <f t="shared" si="3"/>
        <v>321000</v>
      </c>
      <c r="N243" s="4"/>
      <c r="O243" s="9"/>
    </row>
    <row r="244" spans="1:15" ht="20" customHeight="1" x14ac:dyDescent="0.2">
      <c r="A244" s="3">
        <v>240</v>
      </c>
      <c r="B244" s="19"/>
      <c r="C244" s="4" t="s">
        <v>5148</v>
      </c>
      <c r="D244" s="4" t="s">
        <v>4909</v>
      </c>
      <c r="E244" s="4" t="s">
        <v>271</v>
      </c>
      <c r="F244" s="8">
        <v>5</v>
      </c>
      <c r="G244" s="8">
        <v>5</v>
      </c>
      <c r="H244" s="8">
        <v>7</v>
      </c>
      <c r="I244" s="8"/>
      <c r="J244" s="8"/>
      <c r="K244" s="8">
        <v>15</v>
      </c>
      <c r="L244" s="18">
        <v>21400</v>
      </c>
      <c r="M244" s="7">
        <f t="shared" si="3"/>
        <v>321000</v>
      </c>
      <c r="N244" s="4"/>
      <c r="O244" s="9"/>
    </row>
    <row r="245" spans="1:15" ht="20" customHeight="1" x14ac:dyDescent="0.2">
      <c r="A245" s="3">
        <v>241</v>
      </c>
      <c r="B245" s="19"/>
      <c r="C245" s="4" t="s">
        <v>5149</v>
      </c>
      <c r="D245" s="4" t="s">
        <v>4909</v>
      </c>
      <c r="E245" s="4" t="s">
        <v>271</v>
      </c>
      <c r="F245" s="8">
        <v>5</v>
      </c>
      <c r="G245" s="8">
        <v>5</v>
      </c>
      <c r="H245" s="8">
        <v>7</v>
      </c>
      <c r="I245" s="8"/>
      <c r="J245" s="8"/>
      <c r="K245" s="8">
        <v>15</v>
      </c>
      <c r="L245" s="18">
        <v>21400</v>
      </c>
      <c r="M245" s="7">
        <f t="shared" si="3"/>
        <v>321000</v>
      </c>
      <c r="N245" s="4"/>
      <c r="O245" s="9"/>
    </row>
    <row r="246" spans="1:15" ht="20" customHeight="1" x14ac:dyDescent="0.2">
      <c r="A246" s="3">
        <v>242</v>
      </c>
      <c r="B246" s="19"/>
      <c r="C246" s="4" t="s">
        <v>5150</v>
      </c>
      <c r="D246" s="4" t="s">
        <v>4909</v>
      </c>
      <c r="E246" s="4" t="s">
        <v>271</v>
      </c>
      <c r="F246" s="8">
        <v>5</v>
      </c>
      <c r="G246" s="8">
        <v>5</v>
      </c>
      <c r="H246" s="8">
        <v>7</v>
      </c>
      <c r="I246" s="8"/>
      <c r="J246" s="8"/>
      <c r="K246" s="8">
        <v>18</v>
      </c>
      <c r="L246" s="18">
        <v>27270</v>
      </c>
      <c r="M246" s="7">
        <f t="shared" si="3"/>
        <v>490860</v>
      </c>
      <c r="N246" s="4"/>
      <c r="O246" s="9"/>
    </row>
    <row r="247" spans="1:15" ht="20" customHeight="1" x14ac:dyDescent="0.2">
      <c r="A247" s="3">
        <v>243</v>
      </c>
      <c r="B247" s="19"/>
      <c r="C247" s="4" t="s">
        <v>5151</v>
      </c>
      <c r="D247" s="4" t="s">
        <v>4909</v>
      </c>
      <c r="E247" s="4" t="s">
        <v>271</v>
      </c>
      <c r="F247" s="8">
        <v>5</v>
      </c>
      <c r="G247" s="8">
        <v>5</v>
      </c>
      <c r="H247" s="8">
        <v>5</v>
      </c>
      <c r="I247" s="8"/>
      <c r="J247" s="8"/>
      <c r="K247" s="8">
        <v>16</v>
      </c>
      <c r="L247" s="18">
        <v>28360</v>
      </c>
      <c r="M247" s="7">
        <f t="shared" si="3"/>
        <v>453760</v>
      </c>
      <c r="N247" s="4"/>
      <c r="O247" s="9"/>
    </row>
    <row r="248" spans="1:15" ht="20" customHeight="1" x14ac:dyDescent="0.2">
      <c r="A248" s="3">
        <v>244</v>
      </c>
      <c r="B248" s="19"/>
      <c r="C248" s="4" t="s">
        <v>5152</v>
      </c>
      <c r="D248" s="4" t="s">
        <v>4909</v>
      </c>
      <c r="E248" s="4" t="s">
        <v>271</v>
      </c>
      <c r="F248" s="8">
        <v>8</v>
      </c>
      <c r="G248" s="8">
        <v>16</v>
      </c>
      <c r="H248" s="8"/>
      <c r="I248" s="8"/>
      <c r="J248" s="8"/>
      <c r="K248" s="8">
        <v>15</v>
      </c>
      <c r="L248" s="18">
        <v>11770</v>
      </c>
      <c r="M248" s="7">
        <f t="shared" si="3"/>
        <v>176550</v>
      </c>
      <c r="N248" s="4"/>
      <c r="O248" s="9"/>
    </row>
    <row r="249" spans="1:15" ht="20" customHeight="1" x14ac:dyDescent="0.2">
      <c r="A249" s="3">
        <v>245</v>
      </c>
      <c r="B249" s="19"/>
      <c r="C249" s="4" t="s">
        <v>5153</v>
      </c>
      <c r="D249" s="4" t="s">
        <v>4909</v>
      </c>
      <c r="E249" s="4" t="s">
        <v>271</v>
      </c>
      <c r="F249" s="8">
        <v>18</v>
      </c>
      <c r="G249" s="8">
        <v>27</v>
      </c>
      <c r="H249" s="8">
        <v>9</v>
      </c>
      <c r="I249" s="8"/>
      <c r="J249" s="8"/>
      <c r="K249" s="8">
        <v>15</v>
      </c>
      <c r="L249" s="18">
        <v>10700</v>
      </c>
      <c r="M249" s="7">
        <f t="shared" si="3"/>
        <v>160500</v>
      </c>
      <c r="N249" s="4"/>
      <c r="O249" s="9"/>
    </row>
    <row r="250" spans="1:15" ht="20" customHeight="1" x14ac:dyDescent="0.2">
      <c r="A250" s="3">
        <v>246</v>
      </c>
      <c r="B250" s="19"/>
      <c r="C250" s="4" t="s">
        <v>5154</v>
      </c>
      <c r="D250" s="4" t="s">
        <v>4909</v>
      </c>
      <c r="E250" s="4" t="s">
        <v>271</v>
      </c>
      <c r="F250" s="8">
        <v>12</v>
      </c>
      <c r="G250" s="8">
        <v>12</v>
      </c>
      <c r="H250" s="8">
        <v>12</v>
      </c>
      <c r="I250" s="8"/>
      <c r="J250" s="8"/>
      <c r="K250" s="8">
        <v>15</v>
      </c>
      <c r="L250" s="18">
        <v>7490</v>
      </c>
      <c r="M250" s="7">
        <f t="shared" si="3"/>
        <v>112350</v>
      </c>
      <c r="N250" s="4"/>
      <c r="O250" s="9"/>
    </row>
    <row r="251" spans="1:15" ht="20" customHeight="1" x14ac:dyDescent="0.2">
      <c r="A251" s="3">
        <v>247</v>
      </c>
      <c r="B251" s="19"/>
      <c r="C251" s="4" t="s">
        <v>5155</v>
      </c>
      <c r="D251" s="4" t="s">
        <v>4909</v>
      </c>
      <c r="E251" s="4" t="s">
        <v>271</v>
      </c>
      <c r="F251" s="8"/>
      <c r="G251" s="8"/>
      <c r="H251" s="8">
        <v>1</v>
      </c>
      <c r="I251" s="8"/>
      <c r="J251" s="8"/>
      <c r="K251" s="8">
        <v>2</v>
      </c>
      <c r="L251" s="18">
        <v>12500</v>
      </c>
      <c r="M251" s="7">
        <f t="shared" si="3"/>
        <v>25000</v>
      </c>
      <c r="N251" s="4"/>
      <c r="O251" s="9"/>
    </row>
    <row r="252" spans="1:15" ht="20" customHeight="1" x14ac:dyDescent="0.2">
      <c r="A252" s="3">
        <v>248</v>
      </c>
      <c r="B252" s="19"/>
      <c r="C252" s="4" t="s">
        <v>5156</v>
      </c>
      <c r="D252" s="4" t="s">
        <v>4909</v>
      </c>
      <c r="E252" s="4" t="s">
        <v>133</v>
      </c>
      <c r="F252" s="8"/>
      <c r="G252" s="8"/>
      <c r="H252" s="8">
        <v>1</v>
      </c>
      <c r="I252" s="8"/>
      <c r="J252" s="8"/>
      <c r="K252" s="8">
        <v>1</v>
      </c>
      <c r="L252" s="18">
        <v>5000</v>
      </c>
      <c r="M252" s="7">
        <f t="shared" si="3"/>
        <v>5000</v>
      </c>
      <c r="N252" s="4"/>
      <c r="O252" s="9"/>
    </row>
    <row r="253" spans="1:15" ht="20" customHeight="1" x14ac:dyDescent="0.2">
      <c r="A253" s="3">
        <v>249</v>
      </c>
      <c r="B253" s="19"/>
      <c r="C253" s="4" t="s">
        <v>5157</v>
      </c>
      <c r="D253" s="4" t="s">
        <v>4909</v>
      </c>
      <c r="E253" s="4" t="s">
        <v>271</v>
      </c>
      <c r="F253" s="8"/>
      <c r="G253" s="8"/>
      <c r="H253" s="8">
        <v>20</v>
      </c>
      <c r="I253" s="8"/>
      <c r="J253" s="8"/>
      <c r="K253" s="8">
        <v>20</v>
      </c>
      <c r="L253" s="18">
        <v>85</v>
      </c>
      <c r="M253" s="7">
        <f t="shared" si="3"/>
        <v>1700</v>
      </c>
      <c r="N253" s="4"/>
      <c r="O253" s="9"/>
    </row>
    <row r="254" spans="1:15" ht="20" customHeight="1" x14ac:dyDescent="0.2">
      <c r="A254" s="3">
        <v>250</v>
      </c>
      <c r="B254" s="19"/>
      <c r="C254" s="4" t="s">
        <v>5158</v>
      </c>
      <c r="D254" s="4" t="s">
        <v>4909</v>
      </c>
      <c r="E254" s="4" t="s">
        <v>271</v>
      </c>
      <c r="F254" s="8"/>
      <c r="G254" s="8"/>
      <c r="H254" s="8">
        <v>20</v>
      </c>
      <c r="I254" s="8"/>
      <c r="J254" s="8"/>
      <c r="K254" s="8">
        <v>20</v>
      </c>
      <c r="L254" s="18">
        <v>220</v>
      </c>
      <c r="M254" s="7">
        <f t="shared" si="3"/>
        <v>4400</v>
      </c>
      <c r="N254" s="4"/>
      <c r="O254" s="9"/>
    </row>
    <row r="255" spans="1:15" ht="20" customHeight="1" x14ac:dyDescent="0.2">
      <c r="A255" s="3">
        <v>251</v>
      </c>
      <c r="B255" s="19"/>
      <c r="C255" s="4" t="s">
        <v>5159</v>
      </c>
      <c r="D255" s="4" t="s">
        <v>4909</v>
      </c>
      <c r="E255" s="4" t="s">
        <v>271</v>
      </c>
      <c r="F255" s="8"/>
      <c r="G255" s="8"/>
      <c r="H255" s="8">
        <v>40</v>
      </c>
      <c r="I255" s="8"/>
      <c r="J255" s="8"/>
      <c r="K255" s="8">
        <v>40</v>
      </c>
      <c r="L255" s="18">
        <v>350</v>
      </c>
      <c r="M255" s="7">
        <f t="shared" si="3"/>
        <v>14000</v>
      </c>
      <c r="N255" s="4"/>
      <c r="O255" s="9"/>
    </row>
    <row r="256" spans="1:15" ht="20" customHeight="1" x14ac:dyDescent="0.2">
      <c r="A256" s="3">
        <v>252</v>
      </c>
      <c r="B256" s="19"/>
      <c r="C256" s="4" t="s">
        <v>5160</v>
      </c>
      <c r="D256" s="4" t="s">
        <v>4909</v>
      </c>
      <c r="E256" s="4" t="s">
        <v>196</v>
      </c>
      <c r="F256" s="8"/>
      <c r="G256" s="8"/>
      <c r="H256" s="8">
        <v>1</v>
      </c>
      <c r="I256" s="8"/>
      <c r="J256" s="8"/>
      <c r="K256" s="8">
        <v>1</v>
      </c>
      <c r="L256" s="18">
        <v>35000</v>
      </c>
      <c r="M256" s="7">
        <f t="shared" si="3"/>
        <v>35000</v>
      </c>
      <c r="N256" s="4"/>
      <c r="O256" s="9"/>
    </row>
    <row r="257" spans="1:15" ht="20" customHeight="1" x14ac:dyDescent="0.2">
      <c r="A257" s="3">
        <v>253</v>
      </c>
      <c r="B257" s="19"/>
      <c r="C257" s="4" t="s">
        <v>5161</v>
      </c>
      <c r="D257" s="4" t="s">
        <v>4909</v>
      </c>
      <c r="E257" s="4" t="s">
        <v>271</v>
      </c>
      <c r="F257" s="8"/>
      <c r="G257" s="8"/>
      <c r="H257" s="8">
        <v>4</v>
      </c>
      <c r="I257" s="8"/>
      <c r="J257" s="8"/>
      <c r="K257" s="8">
        <v>5</v>
      </c>
      <c r="L257" s="18">
        <v>13150</v>
      </c>
      <c r="M257" s="7">
        <f t="shared" si="3"/>
        <v>65750</v>
      </c>
      <c r="N257" s="4"/>
      <c r="O257" s="9"/>
    </row>
    <row r="258" spans="1:15" ht="20" customHeight="1" x14ac:dyDescent="0.2">
      <c r="A258" s="3">
        <v>254</v>
      </c>
      <c r="B258" s="19"/>
      <c r="C258" s="4" t="s">
        <v>5162</v>
      </c>
      <c r="D258" s="4" t="s">
        <v>4909</v>
      </c>
      <c r="E258" s="4" t="s">
        <v>196</v>
      </c>
      <c r="F258" s="8"/>
      <c r="G258" s="8"/>
      <c r="H258" s="8">
        <v>1</v>
      </c>
      <c r="I258" s="8"/>
      <c r="J258" s="8"/>
      <c r="K258" s="8">
        <v>0</v>
      </c>
      <c r="L258" s="18">
        <v>470000</v>
      </c>
      <c r="M258" s="7">
        <f t="shared" si="3"/>
        <v>0</v>
      </c>
      <c r="N258" s="4"/>
      <c r="O258" s="9"/>
    </row>
    <row r="259" spans="1:15" ht="20" customHeight="1" x14ac:dyDescent="0.2">
      <c r="A259" s="3">
        <v>255</v>
      </c>
      <c r="B259" s="19"/>
      <c r="C259" s="4" t="s">
        <v>5163</v>
      </c>
      <c r="D259" s="4" t="s">
        <v>4909</v>
      </c>
      <c r="E259" s="4" t="s">
        <v>196</v>
      </c>
      <c r="F259" s="8"/>
      <c r="G259" s="8"/>
      <c r="H259" s="8">
        <v>1</v>
      </c>
      <c r="I259" s="8"/>
      <c r="J259" s="8"/>
      <c r="K259" s="8">
        <v>0</v>
      </c>
      <c r="L259" s="18">
        <v>450000</v>
      </c>
      <c r="M259" s="7">
        <f t="shared" si="3"/>
        <v>0</v>
      </c>
      <c r="N259" s="4"/>
      <c r="O259" s="9"/>
    </row>
    <row r="260" spans="1:15" ht="20" customHeight="1" x14ac:dyDescent="0.2">
      <c r="A260" s="3">
        <v>256</v>
      </c>
      <c r="B260" s="19"/>
      <c r="C260" s="4" t="s">
        <v>5164</v>
      </c>
      <c r="D260" s="4" t="s">
        <v>4909</v>
      </c>
      <c r="E260" s="4" t="s">
        <v>196</v>
      </c>
      <c r="F260" s="8"/>
      <c r="G260" s="8"/>
      <c r="H260" s="8">
        <v>1</v>
      </c>
      <c r="I260" s="8"/>
      <c r="J260" s="8"/>
      <c r="K260" s="8">
        <v>0</v>
      </c>
      <c r="L260" s="18">
        <v>499000</v>
      </c>
      <c r="M260" s="7">
        <f t="shared" si="3"/>
        <v>0</v>
      </c>
      <c r="N260" s="4"/>
      <c r="O260" s="9"/>
    </row>
    <row r="261" spans="1:15" ht="20" customHeight="1" x14ac:dyDescent="0.2">
      <c r="A261" s="3">
        <v>257</v>
      </c>
      <c r="B261" s="19"/>
      <c r="C261" s="4" t="s">
        <v>5165</v>
      </c>
      <c r="D261" s="4" t="s">
        <v>4909</v>
      </c>
      <c r="E261" s="4" t="s">
        <v>271</v>
      </c>
      <c r="F261" s="8"/>
      <c r="G261" s="8"/>
      <c r="H261" s="8">
        <v>5</v>
      </c>
      <c r="I261" s="8"/>
      <c r="J261" s="8"/>
      <c r="K261" s="8">
        <v>5</v>
      </c>
      <c r="L261" s="18">
        <v>6500</v>
      </c>
      <c r="M261" s="7">
        <f t="shared" ref="M261:M324" si="4">IF(OR(K261="",L261=""),"",K261*L261)</f>
        <v>32500</v>
      </c>
      <c r="N261" s="4"/>
      <c r="O261" s="9"/>
    </row>
    <row r="262" spans="1:15" ht="20" customHeight="1" x14ac:dyDescent="0.2">
      <c r="A262" s="3">
        <v>258</v>
      </c>
      <c r="B262" s="19"/>
      <c r="C262" s="4" t="s">
        <v>5166</v>
      </c>
      <c r="D262" s="4" t="s">
        <v>4909</v>
      </c>
      <c r="E262" s="4" t="s">
        <v>271</v>
      </c>
      <c r="F262" s="8"/>
      <c r="G262" s="8"/>
      <c r="H262" s="8">
        <v>10</v>
      </c>
      <c r="I262" s="8"/>
      <c r="J262" s="8"/>
      <c r="K262" s="8">
        <v>20</v>
      </c>
      <c r="L262" s="18">
        <v>1500</v>
      </c>
      <c r="M262" s="7">
        <f t="shared" si="4"/>
        <v>30000</v>
      </c>
      <c r="N262" s="4"/>
      <c r="O262" s="9"/>
    </row>
    <row r="263" spans="1:15" ht="20" customHeight="1" x14ac:dyDescent="0.2">
      <c r="A263" s="3">
        <v>259</v>
      </c>
      <c r="B263" s="19"/>
      <c r="C263" s="4" t="s">
        <v>5167</v>
      </c>
      <c r="D263" s="4" t="s">
        <v>4909</v>
      </c>
      <c r="E263" s="4" t="s">
        <v>110</v>
      </c>
      <c r="F263" s="8">
        <v>30</v>
      </c>
      <c r="G263" s="8">
        <v>30</v>
      </c>
      <c r="H263" s="8">
        <v>30</v>
      </c>
      <c r="I263" s="8"/>
      <c r="J263" s="8"/>
      <c r="K263" s="8">
        <v>30</v>
      </c>
      <c r="L263" s="18">
        <v>6600</v>
      </c>
      <c r="M263" s="7">
        <f t="shared" si="4"/>
        <v>198000</v>
      </c>
      <c r="N263" s="4"/>
      <c r="O263" s="9"/>
    </row>
    <row r="264" spans="1:15" ht="20" customHeight="1" x14ac:dyDescent="0.2">
      <c r="A264" s="3">
        <v>260</v>
      </c>
      <c r="B264" s="19"/>
      <c r="C264" s="4" t="s">
        <v>5168</v>
      </c>
      <c r="D264" s="4" t="s">
        <v>4909</v>
      </c>
      <c r="E264" s="4" t="s">
        <v>271</v>
      </c>
      <c r="F264" s="8">
        <v>20</v>
      </c>
      <c r="G264" s="8">
        <v>20</v>
      </c>
      <c r="H264" s="8">
        <v>20</v>
      </c>
      <c r="I264" s="8"/>
      <c r="J264" s="8"/>
      <c r="K264" s="8">
        <v>20</v>
      </c>
      <c r="L264" s="18">
        <v>3500</v>
      </c>
      <c r="M264" s="7">
        <f t="shared" si="4"/>
        <v>70000</v>
      </c>
      <c r="N264" s="4"/>
      <c r="O264" s="9"/>
    </row>
    <row r="265" spans="1:15" ht="20" customHeight="1" x14ac:dyDescent="0.2">
      <c r="A265" s="3">
        <v>261</v>
      </c>
      <c r="B265" s="19"/>
      <c r="C265" s="4" t="s">
        <v>5169</v>
      </c>
      <c r="D265" s="4" t="s">
        <v>4909</v>
      </c>
      <c r="E265" s="4" t="s">
        <v>110</v>
      </c>
      <c r="F265" s="8">
        <v>2</v>
      </c>
      <c r="G265" s="8">
        <v>2</v>
      </c>
      <c r="H265" s="8">
        <v>2</v>
      </c>
      <c r="I265" s="8"/>
      <c r="J265" s="8"/>
      <c r="K265" s="8">
        <v>2</v>
      </c>
      <c r="L265" s="18">
        <v>26750</v>
      </c>
      <c r="M265" s="7">
        <f t="shared" si="4"/>
        <v>53500</v>
      </c>
      <c r="N265" s="4"/>
      <c r="O265" s="9"/>
    </row>
    <row r="266" spans="1:15" ht="20" customHeight="1" x14ac:dyDescent="0.2">
      <c r="A266" s="3">
        <v>262</v>
      </c>
      <c r="B266" s="19"/>
      <c r="C266" s="4" t="s">
        <v>5170</v>
      </c>
      <c r="D266" s="4" t="s">
        <v>4909</v>
      </c>
      <c r="E266" s="4" t="s">
        <v>196</v>
      </c>
      <c r="F266" s="8">
        <v>144</v>
      </c>
      <c r="G266" s="8">
        <v>144</v>
      </c>
      <c r="H266" s="8">
        <v>144</v>
      </c>
      <c r="I266" s="8"/>
      <c r="J266" s="8"/>
      <c r="K266" s="8">
        <v>144</v>
      </c>
      <c r="L266" s="18">
        <v>70</v>
      </c>
      <c r="M266" s="7">
        <f t="shared" si="4"/>
        <v>10080</v>
      </c>
      <c r="N266" s="4"/>
      <c r="O266" s="9"/>
    </row>
    <row r="267" spans="1:15" ht="20" customHeight="1" x14ac:dyDescent="0.2">
      <c r="A267" s="3">
        <v>263</v>
      </c>
      <c r="B267" s="19"/>
      <c r="C267" s="4" t="s">
        <v>5171</v>
      </c>
      <c r="D267" s="4" t="s">
        <v>4909</v>
      </c>
      <c r="E267" s="4" t="s">
        <v>196</v>
      </c>
      <c r="F267" s="8">
        <v>6</v>
      </c>
      <c r="G267" s="8">
        <v>6</v>
      </c>
      <c r="H267" s="8">
        <v>6</v>
      </c>
      <c r="I267" s="8"/>
      <c r="J267" s="8"/>
      <c r="K267" s="8">
        <v>6</v>
      </c>
      <c r="L267" s="18">
        <v>50000</v>
      </c>
      <c r="M267" s="7">
        <f t="shared" si="4"/>
        <v>300000</v>
      </c>
      <c r="N267" s="4"/>
      <c r="O267" s="9"/>
    </row>
    <row r="268" spans="1:15" ht="20" customHeight="1" x14ac:dyDescent="0.2">
      <c r="A268" s="3">
        <v>264</v>
      </c>
      <c r="B268" s="19"/>
      <c r="C268" s="4" t="s">
        <v>5172</v>
      </c>
      <c r="D268" s="4" t="s">
        <v>4909</v>
      </c>
      <c r="E268" s="4" t="s">
        <v>196</v>
      </c>
      <c r="F268" s="8">
        <v>3</v>
      </c>
      <c r="G268" s="8">
        <v>3</v>
      </c>
      <c r="H268" s="8">
        <v>3</v>
      </c>
      <c r="I268" s="8"/>
      <c r="J268" s="8"/>
      <c r="K268" s="8">
        <v>3</v>
      </c>
      <c r="L268" s="18">
        <v>100000</v>
      </c>
      <c r="M268" s="7">
        <f t="shared" si="4"/>
        <v>300000</v>
      </c>
      <c r="N268" s="4"/>
      <c r="O268" s="9"/>
    </row>
    <row r="269" spans="1:15" ht="20" customHeight="1" x14ac:dyDescent="0.2">
      <c r="A269" s="3">
        <v>265</v>
      </c>
      <c r="B269" s="19"/>
      <c r="C269" s="4" t="s">
        <v>5173</v>
      </c>
      <c r="D269" s="4" t="s">
        <v>4909</v>
      </c>
      <c r="E269" s="4" t="s">
        <v>196</v>
      </c>
      <c r="F269" s="8">
        <v>1</v>
      </c>
      <c r="G269" s="8">
        <v>1</v>
      </c>
      <c r="H269" s="8">
        <v>1</v>
      </c>
      <c r="I269" s="8"/>
      <c r="J269" s="8"/>
      <c r="K269" s="8">
        <v>1</v>
      </c>
      <c r="L269" s="18">
        <v>150000</v>
      </c>
      <c r="M269" s="7">
        <f t="shared" si="4"/>
        <v>150000</v>
      </c>
      <c r="N269" s="4"/>
      <c r="O269" s="9"/>
    </row>
    <row r="270" spans="1:15" ht="20" customHeight="1" x14ac:dyDescent="0.2">
      <c r="A270" s="3">
        <v>266</v>
      </c>
      <c r="B270" s="19"/>
      <c r="C270" s="4" t="s">
        <v>5174</v>
      </c>
      <c r="D270" s="4" t="s">
        <v>4909</v>
      </c>
      <c r="E270" s="4" t="s">
        <v>196</v>
      </c>
      <c r="F270" s="8">
        <v>3</v>
      </c>
      <c r="G270" s="8">
        <v>5</v>
      </c>
      <c r="H270" s="8">
        <v>8</v>
      </c>
      <c r="I270" s="8"/>
      <c r="J270" s="8"/>
      <c r="K270" s="8">
        <v>15</v>
      </c>
      <c r="L270" s="18">
        <v>80000</v>
      </c>
      <c r="M270" s="7">
        <f t="shared" si="4"/>
        <v>1200000</v>
      </c>
      <c r="N270" s="4"/>
      <c r="O270" s="9"/>
    </row>
    <row r="271" spans="1:15" ht="20" customHeight="1" x14ac:dyDescent="0.2">
      <c r="A271" s="3">
        <v>267</v>
      </c>
      <c r="B271" s="19"/>
      <c r="C271" s="4" t="s">
        <v>5175</v>
      </c>
      <c r="D271" s="4" t="s">
        <v>4909</v>
      </c>
      <c r="E271" s="4" t="s">
        <v>196</v>
      </c>
      <c r="F271" s="8">
        <v>8</v>
      </c>
      <c r="G271" s="8">
        <v>8</v>
      </c>
      <c r="H271" s="8">
        <v>8</v>
      </c>
      <c r="I271" s="8"/>
      <c r="J271" s="8"/>
      <c r="K271" s="8">
        <v>10</v>
      </c>
      <c r="L271" s="18">
        <v>16500</v>
      </c>
      <c r="M271" s="7">
        <f t="shared" si="4"/>
        <v>165000</v>
      </c>
      <c r="N271" s="4"/>
      <c r="O271" s="9"/>
    </row>
    <row r="272" spans="1:15" ht="20" customHeight="1" x14ac:dyDescent="0.2">
      <c r="A272" s="3">
        <v>268</v>
      </c>
      <c r="B272" s="19"/>
      <c r="C272" s="4" t="s">
        <v>5176</v>
      </c>
      <c r="D272" s="4" t="s">
        <v>4909</v>
      </c>
      <c r="E272" s="4" t="s">
        <v>196</v>
      </c>
      <c r="F272" s="8">
        <v>7</v>
      </c>
      <c r="G272" s="8">
        <v>7</v>
      </c>
      <c r="H272" s="8">
        <v>7</v>
      </c>
      <c r="I272" s="8"/>
      <c r="J272" s="8"/>
      <c r="K272" s="8">
        <v>10</v>
      </c>
      <c r="L272" s="18">
        <v>16500</v>
      </c>
      <c r="M272" s="7">
        <f t="shared" si="4"/>
        <v>165000</v>
      </c>
      <c r="N272" s="4"/>
      <c r="O272" s="9"/>
    </row>
    <row r="273" spans="1:15" ht="20" customHeight="1" x14ac:dyDescent="0.2">
      <c r="A273" s="3">
        <v>269</v>
      </c>
      <c r="B273" s="19"/>
      <c r="C273" s="4" t="s">
        <v>5177</v>
      </c>
      <c r="D273" s="4" t="s">
        <v>4909</v>
      </c>
      <c r="E273" s="4" t="s">
        <v>196</v>
      </c>
      <c r="F273" s="8">
        <v>2</v>
      </c>
      <c r="G273" s="8">
        <v>2</v>
      </c>
      <c r="H273" s="8">
        <v>2</v>
      </c>
      <c r="I273" s="8"/>
      <c r="J273" s="8"/>
      <c r="K273" s="8">
        <v>10</v>
      </c>
      <c r="L273" s="18">
        <v>16500</v>
      </c>
      <c r="M273" s="7">
        <f t="shared" si="4"/>
        <v>165000</v>
      </c>
      <c r="N273" s="4"/>
      <c r="O273" s="9"/>
    </row>
    <row r="274" spans="1:15" ht="20" customHeight="1" x14ac:dyDescent="0.2">
      <c r="A274" s="3">
        <v>270</v>
      </c>
      <c r="B274" s="19"/>
      <c r="C274" s="4" t="s">
        <v>5178</v>
      </c>
      <c r="D274" s="4" t="s">
        <v>4909</v>
      </c>
      <c r="E274" s="4" t="s">
        <v>196</v>
      </c>
      <c r="F274" s="8">
        <v>5</v>
      </c>
      <c r="G274" s="8">
        <v>5</v>
      </c>
      <c r="H274" s="8">
        <v>5</v>
      </c>
      <c r="I274" s="8"/>
      <c r="J274" s="8"/>
      <c r="K274" s="8">
        <v>10</v>
      </c>
      <c r="L274" s="18">
        <v>4200</v>
      </c>
      <c r="M274" s="7">
        <f t="shared" si="4"/>
        <v>42000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5179</v>
      </c>
      <c r="D275" s="4" t="s">
        <v>4909</v>
      </c>
      <c r="E275" s="4" t="s">
        <v>110</v>
      </c>
      <c r="F275" s="8"/>
      <c r="G275" s="8"/>
      <c r="H275" s="8">
        <v>1</v>
      </c>
      <c r="I275" s="8"/>
      <c r="J275" s="8"/>
      <c r="K275" s="8">
        <v>1</v>
      </c>
      <c r="L275" s="18">
        <v>60000</v>
      </c>
      <c r="M275" s="7">
        <f t="shared" si="4"/>
        <v>60000</v>
      </c>
      <c r="N275" s="4"/>
      <c r="O275" s="9"/>
    </row>
    <row r="276" spans="1:15" ht="20" customHeight="1" x14ac:dyDescent="0.2">
      <c r="A276" s="3">
        <v>272</v>
      </c>
      <c r="B276" s="19"/>
      <c r="C276" s="4" t="s">
        <v>5180</v>
      </c>
      <c r="D276" s="4" t="s">
        <v>4909</v>
      </c>
      <c r="E276" s="4" t="s">
        <v>110</v>
      </c>
      <c r="F276" s="8">
        <v>1</v>
      </c>
      <c r="G276" s="8">
        <v>1</v>
      </c>
      <c r="H276" s="8">
        <v>1</v>
      </c>
      <c r="I276" s="8"/>
      <c r="J276" s="8"/>
      <c r="K276" s="8">
        <v>1</v>
      </c>
      <c r="L276" s="18">
        <v>10000</v>
      </c>
      <c r="M276" s="7">
        <f t="shared" si="4"/>
        <v>10000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5181</v>
      </c>
      <c r="D277" s="4" t="s">
        <v>4909</v>
      </c>
      <c r="E277" s="4" t="s">
        <v>271</v>
      </c>
      <c r="F277" s="8">
        <v>40</v>
      </c>
      <c r="G277" s="8">
        <v>40</v>
      </c>
      <c r="H277" s="8">
        <v>40</v>
      </c>
      <c r="I277" s="8"/>
      <c r="J277" s="8"/>
      <c r="K277" s="8">
        <v>40</v>
      </c>
      <c r="L277" s="18">
        <v>1860</v>
      </c>
      <c r="M277" s="7">
        <f t="shared" si="4"/>
        <v>74400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5182</v>
      </c>
      <c r="D278" s="4" t="s">
        <v>4909</v>
      </c>
      <c r="E278" s="4" t="s">
        <v>271</v>
      </c>
      <c r="F278" s="8"/>
      <c r="G278" s="8"/>
      <c r="H278" s="8">
        <v>2</v>
      </c>
      <c r="I278" s="8"/>
      <c r="J278" s="8"/>
      <c r="K278" s="8">
        <v>2</v>
      </c>
      <c r="L278" s="18">
        <v>15000</v>
      </c>
      <c r="M278" s="7">
        <f t="shared" si="4"/>
        <v>30000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5183</v>
      </c>
      <c r="D279" s="4" t="s">
        <v>4909</v>
      </c>
      <c r="E279" s="4" t="s">
        <v>196</v>
      </c>
      <c r="F279" s="8"/>
      <c r="G279" s="8"/>
      <c r="H279" s="8">
        <v>2</v>
      </c>
      <c r="I279" s="8"/>
      <c r="J279" s="8"/>
      <c r="K279" s="8">
        <v>2</v>
      </c>
      <c r="L279" s="18">
        <v>8560</v>
      </c>
      <c r="M279" s="7">
        <f t="shared" si="4"/>
        <v>17120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5184</v>
      </c>
      <c r="D280" s="4" t="s">
        <v>4909</v>
      </c>
      <c r="E280" s="4" t="s">
        <v>110</v>
      </c>
      <c r="F280" s="8"/>
      <c r="G280" s="8"/>
      <c r="H280" s="8">
        <v>1</v>
      </c>
      <c r="I280" s="8"/>
      <c r="J280" s="8"/>
      <c r="K280" s="8">
        <v>1</v>
      </c>
      <c r="L280" s="18">
        <v>26750</v>
      </c>
      <c r="M280" s="7">
        <f t="shared" si="4"/>
        <v>26750</v>
      </c>
      <c r="N280" s="4"/>
      <c r="O280" s="9"/>
    </row>
    <row r="281" spans="1:15" ht="20" customHeight="1" x14ac:dyDescent="0.2">
      <c r="A281" s="3">
        <v>277</v>
      </c>
      <c r="B281" s="19"/>
      <c r="C281" s="4" t="s">
        <v>5185</v>
      </c>
      <c r="D281" s="4" t="s">
        <v>4909</v>
      </c>
      <c r="E281" s="4" t="s">
        <v>271</v>
      </c>
      <c r="F281" s="8">
        <v>450</v>
      </c>
      <c r="G281" s="8">
        <v>500</v>
      </c>
      <c r="H281" s="8">
        <v>450</v>
      </c>
      <c r="I281" s="8"/>
      <c r="J281" s="8"/>
      <c r="K281" s="8">
        <v>600</v>
      </c>
      <c r="L281" s="18">
        <v>214</v>
      </c>
      <c r="M281" s="7">
        <f t="shared" si="4"/>
        <v>128400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5186</v>
      </c>
      <c r="D282" s="4" t="s">
        <v>4909</v>
      </c>
      <c r="E282" s="4" t="s">
        <v>271</v>
      </c>
      <c r="F282" s="8">
        <v>6</v>
      </c>
      <c r="G282" s="8">
        <v>6</v>
      </c>
      <c r="H282" s="8">
        <v>6</v>
      </c>
      <c r="I282" s="8"/>
      <c r="J282" s="8"/>
      <c r="K282" s="8">
        <v>10</v>
      </c>
      <c r="L282" s="18">
        <v>1070</v>
      </c>
      <c r="M282" s="7">
        <f t="shared" si="4"/>
        <v>10700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5187</v>
      </c>
      <c r="D283" s="4" t="s">
        <v>4909</v>
      </c>
      <c r="E283" s="4" t="s">
        <v>271</v>
      </c>
      <c r="F283" s="8">
        <v>4</v>
      </c>
      <c r="G283" s="8">
        <v>4</v>
      </c>
      <c r="H283" s="8">
        <v>4</v>
      </c>
      <c r="I283" s="8"/>
      <c r="J283" s="8"/>
      <c r="K283" s="8">
        <v>5</v>
      </c>
      <c r="L283" s="18">
        <v>3210</v>
      </c>
      <c r="M283" s="7">
        <f t="shared" si="4"/>
        <v>16050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5188</v>
      </c>
      <c r="D284" s="4" t="s">
        <v>4909</v>
      </c>
      <c r="E284" s="4" t="s">
        <v>271</v>
      </c>
      <c r="F284" s="8">
        <v>10</v>
      </c>
      <c r="G284" s="8">
        <v>10</v>
      </c>
      <c r="H284" s="8">
        <v>10</v>
      </c>
      <c r="I284" s="8"/>
      <c r="J284" s="8"/>
      <c r="K284" s="8">
        <v>10</v>
      </c>
      <c r="L284" s="18">
        <v>1819</v>
      </c>
      <c r="M284" s="7">
        <f t="shared" si="4"/>
        <v>18190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5189</v>
      </c>
      <c r="D285" s="4" t="s">
        <v>4909</v>
      </c>
      <c r="E285" s="4" t="s">
        <v>271</v>
      </c>
      <c r="F285" s="8">
        <v>10</v>
      </c>
      <c r="G285" s="8">
        <v>10</v>
      </c>
      <c r="H285" s="8">
        <v>10</v>
      </c>
      <c r="I285" s="8"/>
      <c r="J285" s="8"/>
      <c r="K285" s="8">
        <v>10</v>
      </c>
      <c r="L285" s="18">
        <v>2675</v>
      </c>
      <c r="M285" s="7">
        <f t="shared" si="4"/>
        <v>26750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5190</v>
      </c>
      <c r="D286" s="4" t="s">
        <v>4909</v>
      </c>
      <c r="E286" s="4" t="s">
        <v>196</v>
      </c>
      <c r="F286" s="8">
        <v>50</v>
      </c>
      <c r="G286" s="8">
        <v>50</v>
      </c>
      <c r="H286" s="8">
        <v>50</v>
      </c>
      <c r="I286" s="8"/>
      <c r="J286" s="8"/>
      <c r="K286" s="8">
        <v>50</v>
      </c>
      <c r="L286" s="18">
        <v>50</v>
      </c>
      <c r="M286" s="7">
        <f t="shared" si="4"/>
        <v>2500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5191</v>
      </c>
      <c r="D287" s="4" t="s">
        <v>4909</v>
      </c>
      <c r="E287" s="4" t="s">
        <v>271</v>
      </c>
      <c r="F287" s="8">
        <v>288</v>
      </c>
      <c r="G287" s="8">
        <v>288</v>
      </c>
      <c r="H287" s="8">
        <v>288</v>
      </c>
      <c r="I287" s="8"/>
      <c r="J287" s="8"/>
      <c r="K287" s="8">
        <v>288</v>
      </c>
      <c r="L287" s="18">
        <v>650</v>
      </c>
      <c r="M287" s="7">
        <f t="shared" si="4"/>
        <v>187200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5192</v>
      </c>
      <c r="D288" s="4" t="s">
        <v>4909</v>
      </c>
      <c r="E288" s="4" t="s">
        <v>271</v>
      </c>
      <c r="F288" s="8">
        <v>6</v>
      </c>
      <c r="G288" s="8">
        <v>6</v>
      </c>
      <c r="H288" s="8">
        <v>6</v>
      </c>
      <c r="I288" s="8"/>
      <c r="J288" s="8"/>
      <c r="K288" s="8">
        <v>6</v>
      </c>
      <c r="L288" s="18">
        <v>2675</v>
      </c>
      <c r="M288" s="7">
        <f t="shared" si="4"/>
        <v>16050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5193</v>
      </c>
      <c r="D289" s="4" t="s">
        <v>4909</v>
      </c>
      <c r="E289" s="4" t="s">
        <v>271</v>
      </c>
      <c r="F289" s="8">
        <v>12</v>
      </c>
      <c r="G289" s="8">
        <v>12</v>
      </c>
      <c r="H289" s="8">
        <v>12</v>
      </c>
      <c r="I289" s="8"/>
      <c r="J289" s="8"/>
      <c r="K289" s="8">
        <v>12</v>
      </c>
      <c r="L289" s="18">
        <v>749</v>
      </c>
      <c r="M289" s="7">
        <f t="shared" si="4"/>
        <v>8988</v>
      </c>
      <c r="N289" s="4"/>
      <c r="O289" s="9"/>
    </row>
    <row r="290" spans="1:15" ht="20" customHeight="1" x14ac:dyDescent="0.2">
      <c r="A290" s="3">
        <v>286</v>
      </c>
      <c r="B290" s="19"/>
      <c r="C290" s="4" t="s">
        <v>5194</v>
      </c>
      <c r="D290" s="4" t="s">
        <v>4909</v>
      </c>
      <c r="E290" s="4" t="s">
        <v>271</v>
      </c>
      <c r="F290" s="8">
        <v>8</v>
      </c>
      <c r="G290" s="8">
        <v>8</v>
      </c>
      <c r="H290" s="8">
        <v>8</v>
      </c>
      <c r="I290" s="8"/>
      <c r="J290" s="8"/>
      <c r="K290" s="8">
        <v>8</v>
      </c>
      <c r="L290" s="18">
        <v>749</v>
      </c>
      <c r="M290" s="7">
        <f t="shared" si="4"/>
        <v>5992</v>
      </c>
      <c r="N290" s="4"/>
      <c r="O290" s="9"/>
    </row>
    <row r="291" spans="1:15" ht="20" customHeight="1" x14ac:dyDescent="0.2">
      <c r="A291" s="3">
        <v>287</v>
      </c>
      <c r="B291" s="19"/>
      <c r="C291" s="4" t="s">
        <v>5195</v>
      </c>
      <c r="D291" s="4" t="s">
        <v>4909</v>
      </c>
      <c r="E291" s="4" t="s">
        <v>271</v>
      </c>
      <c r="F291" s="8">
        <v>10</v>
      </c>
      <c r="G291" s="8">
        <v>10</v>
      </c>
      <c r="H291" s="8">
        <v>10</v>
      </c>
      <c r="I291" s="8"/>
      <c r="J291" s="8"/>
      <c r="K291" s="8">
        <v>0</v>
      </c>
      <c r="L291" s="18">
        <v>963</v>
      </c>
      <c r="M291" s="7">
        <f t="shared" si="4"/>
        <v>0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5196</v>
      </c>
      <c r="D292" s="4" t="s">
        <v>4909</v>
      </c>
      <c r="E292" s="4" t="s">
        <v>110</v>
      </c>
      <c r="F292" s="8"/>
      <c r="G292" s="8"/>
      <c r="H292" s="8">
        <v>1</v>
      </c>
      <c r="I292" s="8"/>
      <c r="J292" s="8"/>
      <c r="K292" s="8">
        <v>1</v>
      </c>
      <c r="L292" s="18">
        <v>5400</v>
      </c>
      <c r="M292" s="7">
        <f t="shared" si="4"/>
        <v>5400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5197</v>
      </c>
      <c r="D293" s="4" t="s">
        <v>4909</v>
      </c>
      <c r="E293" s="4" t="s">
        <v>271</v>
      </c>
      <c r="F293" s="8">
        <v>30</v>
      </c>
      <c r="G293" s="8">
        <v>30</v>
      </c>
      <c r="H293" s="8">
        <v>30</v>
      </c>
      <c r="I293" s="8"/>
      <c r="J293" s="8"/>
      <c r="K293" s="8">
        <v>30</v>
      </c>
      <c r="L293" s="18">
        <v>560</v>
      </c>
      <c r="M293" s="7">
        <f t="shared" si="4"/>
        <v>16800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5198</v>
      </c>
      <c r="D294" s="4" t="s">
        <v>4909</v>
      </c>
      <c r="E294" s="4" t="s">
        <v>271</v>
      </c>
      <c r="F294" s="8">
        <v>10</v>
      </c>
      <c r="G294" s="8">
        <v>10</v>
      </c>
      <c r="H294" s="8">
        <v>10</v>
      </c>
      <c r="I294" s="8"/>
      <c r="J294" s="8"/>
      <c r="K294" s="8">
        <v>10</v>
      </c>
      <c r="L294" s="18">
        <v>5000</v>
      </c>
      <c r="M294" s="7">
        <f t="shared" si="4"/>
        <v>50000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5199</v>
      </c>
      <c r="D295" s="4" t="s">
        <v>4909</v>
      </c>
      <c r="E295" s="4" t="s">
        <v>271</v>
      </c>
      <c r="F295" s="8">
        <v>30</v>
      </c>
      <c r="G295" s="8">
        <v>30</v>
      </c>
      <c r="H295" s="8">
        <v>30</v>
      </c>
      <c r="I295" s="8"/>
      <c r="J295" s="8"/>
      <c r="K295" s="8">
        <v>30</v>
      </c>
      <c r="L295" s="18">
        <v>1500</v>
      </c>
      <c r="M295" s="7">
        <f t="shared" si="4"/>
        <v>45000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5200</v>
      </c>
      <c r="D296" s="4" t="s">
        <v>4909</v>
      </c>
      <c r="E296" s="4" t="s">
        <v>271</v>
      </c>
      <c r="F296" s="8">
        <v>50</v>
      </c>
      <c r="G296" s="8">
        <v>50</v>
      </c>
      <c r="H296" s="8">
        <v>50</v>
      </c>
      <c r="I296" s="8"/>
      <c r="J296" s="8"/>
      <c r="K296" s="8">
        <v>50</v>
      </c>
      <c r="L296" s="18">
        <v>1900</v>
      </c>
      <c r="M296" s="7">
        <f t="shared" si="4"/>
        <v>95000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5201</v>
      </c>
      <c r="D297" s="4" t="s">
        <v>4909</v>
      </c>
      <c r="E297" s="4" t="s">
        <v>271</v>
      </c>
      <c r="F297" s="8">
        <v>6</v>
      </c>
      <c r="G297" s="8">
        <v>6</v>
      </c>
      <c r="H297" s="8">
        <v>6</v>
      </c>
      <c r="I297" s="8"/>
      <c r="J297" s="8"/>
      <c r="K297" s="8">
        <v>10</v>
      </c>
      <c r="L297" s="18">
        <v>1500</v>
      </c>
      <c r="M297" s="7">
        <f t="shared" si="4"/>
        <v>15000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5202</v>
      </c>
      <c r="D298" s="4" t="s">
        <v>4909</v>
      </c>
      <c r="E298" s="4" t="s">
        <v>271</v>
      </c>
      <c r="F298" s="8">
        <v>6</v>
      </c>
      <c r="G298" s="8">
        <v>6</v>
      </c>
      <c r="H298" s="8">
        <v>3</v>
      </c>
      <c r="I298" s="8"/>
      <c r="J298" s="8"/>
      <c r="K298" s="8">
        <v>5</v>
      </c>
      <c r="L298" s="18">
        <v>1900</v>
      </c>
      <c r="M298" s="7">
        <f t="shared" si="4"/>
        <v>9500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5203</v>
      </c>
      <c r="D299" s="4" t="s">
        <v>4909</v>
      </c>
      <c r="E299" s="4" t="s">
        <v>271</v>
      </c>
      <c r="F299" s="8">
        <v>5</v>
      </c>
      <c r="G299" s="8">
        <v>5</v>
      </c>
      <c r="H299" s="8">
        <v>5</v>
      </c>
      <c r="I299" s="8"/>
      <c r="J299" s="8"/>
      <c r="K299" s="8">
        <v>5</v>
      </c>
      <c r="L299" s="18">
        <v>1100</v>
      </c>
      <c r="M299" s="7">
        <f t="shared" si="4"/>
        <v>5500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5204</v>
      </c>
      <c r="D300" s="4" t="s">
        <v>4909</v>
      </c>
      <c r="E300" s="4" t="s">
        <v>271</v>
      </c>
      <c r="F300" s="8">
        <v>15</v>
      </c>
      <c r="G300" s="8">
        <v>15</v>
      </c>
      <c r="H300" s="8">
        <v>15</v>
      </c>
      <c r="I300" s="8"/>
      <c r="J300" s="8"/>
      <c r="K300" s="8">
        <v>15</v>
      </c>
      <c r="L300" s="18">
        <v>3500</v>
      </c>
      <c r="M300" s="7">
        <f t="shared" si="4"/>
        <v>52500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5205</v>
      </c>
      <c r="D301" s="4" t="s">
        <v>4909</v>
      </c>
      <c r="E301" s="4" t="s">
        <v>271</v>
      </c>
      <c r="F301" s="8">
        <v>30</v>
      </c>
      <c r="G301" s="8">
        <v>30</v>
      </c>
      <c r="H301" s="8">
        <v>30</v>
      </c>
      <c r="I301" s="8"/>
      <c r="J301" s="8"/>
      <c r="K301" s="8">
        <v>30</v>
      </c>
      <c r="L301" s="18">
        <v>1500</v>
      </c>
      <c r="M301" s="7">
        <f t="shared" si="4"/>
        <v>45000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5206</v>
      </c>
      <c r="D302" s="4" t="s">
        <v>4909</v>
      </c>
      <c r="E302" s="4" t="s">
        <v>110</v>
      </c>
      <c r="F302" s="8">
        <v>10</v>
      </c>
      <c r="G302" s="8">
        <v>10</v>
      </c>
      <c r="H302" s="8">
        <v>8</v>
      </c>
      <c r="I302" s="8"/>
      <c r="J302" s="8"/>
      <c r="K302" s="8">
        <v>10</v>
      </c>
      <c r="L302" s="18">
        <v>6000</v>
      </c>
      <c r="M302" s="7">
        <f t="shared" si="4"/>
        <v>60000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5207</v>
      </c>
      <c r="D303" s="4" t="s">
        <v>4909</v>
      </c>
      <c r="E303" s="4" t="s">
        <v>271</v>
      </c>
      <c r="F303" s="8">
        <v>60</v>
      </c>
      <c r="G303" s="8">
        <v>60</v>
      </c>
      <c r="H303" s="8">
        <v>60</v>
      </c>
      <c r="I303" s="8"/>
      <c r="J303" s="8"/>
      <c r="K303" s="8">
        <v>60</v>
      </c>
      <c r="L303" s="18">
        <v>1900</v>
      </c>
      <c r="M303" s="7">
        <f t="shared" si="4"/>
        <v>114000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5208</v>
      </c>
      <c r="D304" s="4" t="s">
        <v>4909</v>
      </c>
      <c r="E304" s="4" t="s">
        <v>271</v>
      </c>
      <c r="F304" s="8">
        <v>10</v>
      </c>
      <c r="G304" s="8">
        <v>10</v>
      </c>
      <c r="H304" s="8">
        <v>10</v>
      </c>
      <c r="I304" s="8"/>
      <c r="J304" s="8"/>
      <c r="K304" s="8">
        <v>10</v>
      </c>
      <c r="L304" s="18">
        <v>1100</v>
      </c>
      <c r="M304" s="7">
        <f t="shared" si="4"/>
        <v>11000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5209</v>
      </c>
      <c r="D305" s="4" t="s">
        <v>4909</v>
      </c>
      <c r="E305" s="4" t="s">
        <v>271</v>
      </c>
      <c r="F305" s="8">
        <v>30</v>
      </c>
      <c r="G305" s="8">
        <v>30</v>
      </c>
      <c r="H305" s="8">
        <v>36</v>
      </c>
      <c r="I305" s="8"/>
      <c r="J305" s="8"/>
      <c r="K305" s="8">
        <v>40</v>
      </c>
      <c r="L305" s="18">
        <v>1900</v>
      </c>
      <c r="M305" s="7">
        <f t="shared" si="4"/>
        <v>76000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5210</v>
      </c>
      <c r="D306" s="4" t="s">
        <v>4909</v>
      </c>
      <c r="E306" s="4" t="s">
        <v>271</v>
      </c>
      <c r="F306" s="8">
        <v>10</v>
      </c>
      <c r="G306" s="8">
        <v>10</v>
      </c>
      <c r="H306" s="8">
        <v>10</v>
      </c>
      <c r="I306" s="8"/>
      <c r="J306" s="8"/>
      <c r="K306" s="8">
        <v>10</v>
      </c>
      <c r="L306" s="18">
        <v>1498</v>
      </c>
      <c r="M306" s="7">
        <f t="shared" si="4"/>
        <v>14980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5211</v>
      </c>
      <c r="D307" s="4" t="s">
        <v>4909</v>
      </c>
      <c r="E307" s="4" t="s">
        <v>271</v>
      </c>
      <c r="F307" s="8">
        <v>80</v>
      </c>
      <c r="G307" s="8">
        <v>80</v>
      </c>
      <c r="H307" s="8">
        <v>90</v>
      </c>
      <c r="I307" s="8"/>
      <c r="J307" s="8"/>
      <c r="K307" s="8">
        <v>100</v>
      </c>
      <c r="L307" s="18">
        <v>200</v>
      </c>
      <c r="M307" s="7">
        <f t="shared" si="4"/>
        <v>20000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5212</v>
      </c>
      <c r="D308" s="4" t="s">
        <v>4909</v>
      </c>
      <c r="E308" s="4" t="s">
        <v>271</v>
      </c>
      <c r="F308" s="8">
        <v>100</v>
      </c>
      <c r="G308" s="8">
        <v>120</v>
      </c>
      <c r="H308" s="8">
        <v>140</v>
      </c>
      <c r="I308" s="8"/>
      <c r="J308" s="8"/>
      <c r="K308" s="8">
        <v>200</v>
      </c>
      <c r="L308" s="18">
        <v>1658.5</v>
      </c>
      <c r="M308" s="7">
        <f t="shared" si="4"/>
        <v>331700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5213</v>
      </c>
      <c r="D309" s="4" t="s">
        <v>4909</v>
      </c>
      <c r="E309" s="4" t="s">
        <v>110</v>
      </c>
      <c r="F309" s="8">
        <v>5</v>
      </c>
      <c r="G309" s="8">
        <v>5</v>
      </c>
      <c r="H309" s="8">
        <v>5</v>
      </c>
      <c r="I309" s="8"/>
      <c r="J309" s="8"/>
      <c r="K309" s="8">
        <v>5</v>
      </c>
      <c r="L309" s="18">
        <v>1500</v>
      </c>
      <c r="M309" s="7">
        <f t="shared" si="4"/>
        <v>7500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5214</v>
      </c>
      <c r="D310" s="4" t="s">
        <v>4909</v>
      </c>
      <c r="E310" s="4" t="s">
        <v>110</v>
      </c>
      <c r="F310" s="8">
        <v>10</v>
      </c>
      <c r="G310" s="8">
        <v>10</v>
      </c>
      <c r="H310" s="8">
        <v>10</v>
      </c>
      <c r="I310" s="8"/>
      <c r="J310" s="8"/>
      <c r="K310" s="8">
        <v>10</v>
      </c>
      <c r="L310" s="18">
        <v>3745</v>
      </c>
      <c r="M310" s="7">
        <f t="shared" si="4"/>
        <v>37450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5215</v>
      </c>
      <c r="D311" s="4" t="s">
        <v>4909</v>
      </c>
      <c r="E311" s="4" t="s">
        <v>110</v>
      </c>
      <c r="F311" s="8">
        <v>2</v>
      </c>
      <c r="G311" s="8">
        <v>2</v>
      </c>
      <c r="H311" s="8">
        <v>2</v>
      </c>
      <c r="I311" s="8"/>
      <c r="J311" s="8"/>
      <c r="K311" s="8">
        <v>2</v>
      </c>
      <c r="L311" s="18">
        <v>32100</v>
      </c>
      <c r="M311" s="7">
        <f t="shared" si="4"/>
        <v>64200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5216</v>
      </c>
      <c r="D312" s="4" t="s">
        <v>4909</v>
      </c>
      <c r="E312" s="4" t="s">
        <v>271</v>
      </c>
      <c r="F312" s="8"/>
      <c r="G312" s="8"/>
      <c r="H312" s="8">
        <v>2</v>
      </c>
      <c r="I312" s="8"/>
      <c r="J312" s="8"/>
      <c r="K312" s="8">
        <v>2</v>
      </c>
      <c r="L312" s="18">
        <v>12840</v>
      </c>
      <c r="M312" s="7">
        <f t="shared" si="4"/>
        <v>25680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5217</v>
      </c>
      <c r="D313" s="4" t="s">
        <v>4909</v>
      </c>
      <c r="E313" s="4" t="s">
        <v>271</v>
      </c>
      <c r="F313" s="8">
        <v>5</v>
      </c>
      <c r="G313" s="8">
        <v>5</v>
      </c>
      <c r="H313" s="8">
        <v>5</v>
      </c>
      <c r="I313" s="8"/>
      <c r="J313" s="8"/>
      <c r="K313" s="8">
        <v>5</v>
      </c>
      <c r="L313" s="18">
        <v>13500</v>
      </c>
      <c r="M313" s="7">
        <f t="shared" si="4"/>
        <v>67500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5218</v>
      </c>
      <c r="D314" s="4" t="s">
        <v>4909</v>
      </c>
      <c r="E314" s="4" t="s">
        <v>271</v>
      </c>
      <c r="F314" s="8">
        <v>5</v>
      </c>
      <c r="G314" s="8">
        <v>5</v>
      </c>
      <c r="H314" s="8">
        <v>5</v>
      </c>
      <c r="I314" s="8"/>
      <c r="J314" s="8"/>
      <c r="K314" s="8">
        <v>5</v>
      </c>
      <c r="L314" s="18">
        <v>9500</v>
      </c>
      <c r="M314" s="7">
        <f t="shared" si="4"/>
        <v>47500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5219</v>
      </c>
      <c r="D315" s="4" t="s">
        <v>4909</v>
      </c>
      <c r="E315" s="4" t="s">
        <v>271</v>
      </c>
      <c r="F315" s="8">
        <v>8</v>
      </c>
      <c r="G315" s="8">
        <v>8</v>
      </c>
      <c r="H315" s="8">
        <v>8</v>
      </c>
      <c r="I315" s="8"/>
      <c r="J315" s="8"/>
      <c r="K315" s="8">
        <v>8</v>
      </c>
      <c r="L315" s="18">
        <v>6000</v>
      </c>
      <c r="M315" s="7">
        <f t="shared" si="4"/>
        <v>48000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5220</v>
      </c>
      <c r="D316" s="4" t="s">
        <v>4909</v>
      </c>
      <c r="E316" s="4" t="s">
        <v>271</v>
      </c>
      <c r="F316" s="8">
        <v>5</v>
      </c>
      <c r="G316" s="8">
        <v>5</v>
      </c>
      <c r="H316" s="8">
        <v>5</v>
      </c>
      <c r="I316" s="8"/>
      <c r="J316" s="8"/>
      <c r="K316" s="8">
        <v>5</v>
      </c>
      <c r="L316" s="18">
        <v>3850</v>
      </c>
      <c r="M316" s="7">
        <f t="shared" si="4"/>
        <v>19250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5221</v>
      </c>
      <c r="D317" s="4" t="s">
        <v>4909</v>
      </c>
      <c r="E317" s="4" t="s">
        <v>271</v>
      </c>
      <c r="F317" s="8"/>
      <c r="G317" s="8"/>
      <c r="H317" s="8">
        <v>1</v>
      </c>
      <c r="I317" s="8"/>
      <c r="J317" s="8"/>
      <c r="K317" s="8">
        <v>1</v>
      </c>
      <c r="L317" s="18">
        <v>18500</v>
      </c>
      <c r="M317" s="7">
        <f t="shared" si="4"/>
        <v>18500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5222</v>
      </c>
      <c r="D318" s="4" t="s">
        <v>4909</v>
      </c>
      <c r="E318" s="4" t="s">
        <v>271</v>
      </c>
      <c r="F318" s="8"/>
      <c r="G318" s="8"/>
      <c r="H318" s="8">
        <v>6</v>
      </c>
      <c r="I318" s="8"/>
      <c r="J318" s="8"/>
      <c r="K318" s="8">
        <v>10</v>
      </c>
      <c r="L318" s="18">
        <v>15000</v>
      </c>
      <c r="M318" s="7">
        <f t="shared" si="4"/>
        <v>150000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5223</v>
      </c>
      <c r="D319" s="4" t="s">
        <v>4909</v>
      </c>
      <c r="E319" s="4" t="s">
        <v>271</v>
      </c>
      <c r="F319" s="8">
        <v>5</v>
      </c>
      <c r="G319" s="8">
        <v>5</v>
      </c>
      <c r="H319" s="8">
        <v>5</v>
      </c>
      <c r="I319" s="8"/>
      <c r="J319" s="8"/>
      <c r="K319" s="8">
        <v>5</v>
      </c>
      <c r="L319" s="18">
        <v>19440</v>
      </c>
      <c r="M319" s="7">
        <f t="shared" si="4"/>
        <v>97200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5224</v>
      </c>
      <c r="D320" s="4" t="s">
        <v>4909</v>
      </c>
      <c r="E320" s="4" t="s">
        <v>152</v>
      </c>
      <c r="F320" s="8">
        <v>2</v>
      </c>
      <c r="G320" s="8">
        <v>2</v>
      </c>
      <c r="H320" s="8">
        <v>3</v>
      </c>
      <c r="I320" s="8"/>
      <c r="J320" s="8"/>
      <c r="K320" s="8">
        <v>3</v>
      </c>
      <c r="L320" s="18">
        <v>17834</v>
      </c>
      <c r="M320" s="7">
        <f t="shared" si="4"/>
        <v>53502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5225</v>
      </c>
      <c r="D321" s="4" t="s">
        <v>4909</v>
      </c>
      <c r="E321" s="4" t="s">
        <v>152</v>
      </c>
      <c r="F321" s="8">
        <v>1</v>
      </c>
      <c r="G321" s="8">
        <v>1</v>
      </c>
      <c r="H321" s="8">
        <v>2</v>
      </c>
      <c r="I321" s="8"/>
      <c r="J321" s="8"/>
      <c r="K321" s="8">
        <v>2</v>
      </c>
      <c r="L321" s="18">
        <v>4587</v>
      </c>
      <c r="M321" s="7">
        <f t="shared" si="4"/>
        <v>9174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5226</v>
      </c>
      <c r="D322" s="4" t="s">
        <v>4909</v>
      </c>
      <c r="E322" s="4" t="s">
        <v>152</v>
      </c>
      <c r="F322" s="8">
        <v>1</v>
      </c>
      <c r="G322" s="8">
        <v>1</v>
      </c>
      <c r="H322" s="8">
        <v>2</v>
      </c>
      <c r="I322" s="8"/>
      <c r="J322" s="8"/>
      <c r="K322" s="8">
        <v>2</v>
      </c>
      <c r="L322" s="18">
        <v>16165</v>
      </c>
      <c r="M322" s="7">
        <f t="shared" si="4"/>
        <v>32330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5227</v>
      </c>
      <c r="D323" s="4" t="s">
        <v>4909</v>
      </c>
      <c r="E323" s="4" t="s">
        <v>152</v>
      </c>
      <c r="F323" s="8">
        <v>1</v>
      </c>
      <c r="G323" s="8">
        <v>1</v>
      </c>
      <c r="H323" s="8">
        <v>2</v>
      </c>
      <c r="I323" s="8"/>
      <c r="J323" s="8"/>
      <c r="K323" s="8">
        <v>2</v>
      </c>
      <c r="L323" s="18">
        <v>10449</v>
      </c>
      <c r="M323" s="7">
        <f t="shared" si="4"/>
        <v>20898</v>
      </c>
      <c r="N323" s="4"/>
      <c r="O323" s="9"/>
    </row>
    <row r="324" spans="1:15" ht="20" customHeight="1" x14ac:dyDescent="0.2">
      <c r="A324" s="3">
        <v>320</v>
      </c>
      <c r="B324" s="19"/>
      <c r="C324" s="4" t="s">
        <v>5228</v>
      </c>
      <c r="D324" s="4" t="s">
        <v>4909</v>
      </c>
      <c r="E324" s="4" t="s">
        <v>152</v>
      </c>
      <c r="F324" s="8">
        <v>1</v>
      </c>
      <c r="G324" s="8">
        <v>1</v>
      </c>
      <c r="H324" s="8">
        <v>4</v>
      </c>
      <c r="I324" s="8"/>
      <c r="J324" s="8"/>
      <c r="K324" s="8">
        <v>4</v>
      </c>
      <c r="L324" s="18">
        <v>22091</v>
      </c>
      <c r="M324" s="7">
        <f t="shared" si="4"/>
        <v>88364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5229</v>
      </c>
      <c r="D325" s="4" t="s">
        <v>4909</v>
      </c>
      <c r="E325" s="4" t="s">
        <v>152</v>
      </c>
      <c r="F325" s="8">
        <v>1</v>
      </c>
      <c r="G325" s="8">
        <v>1</v>
      </c>
      <c r="H325" s="8">
        <v>2</v>
      </c>
      <c r="I325" s="8"/>
      <c r="J325" s="8"/>
      <c r="K325" s="8">
        <v>2</v>
      </c>
      <c r="L325" s="18">
        <v>10040</v>
      </c>
      <c r="M325" s="7">
        <f t="shared" ref="M325:M388" si="5">IF(OR(K325="",L325=""),"",K325*L325)</f>
        <v>20080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5230</v>
      </c>
      <c r="D326" s="4" t="s">
        <v>4909</v>
      </c>
      <c r="E326" s="4" t="s">
        <v>152</v>
      </c>
      <c r="F326" s="8">
        <v>1</v>
      </c>
      <c r="G326" s="8">
        <v>1</v>
      </c>
      <c r="H326" s="8">
        <v>1</v>
      </c>
      <c r="I326" s="8"/>
      <c r="J326" s="8"/>
      <c r="K326" s="8">
        <v>1</v>
      </c>
      <c r="L326" s="18">
        <v>3733</v>
      </c>
      <c r="M326" s="7">
        <f t="shared" si="5"/>
        <v>3733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5231</v>
      </c>
      <c r="D327" s="4" t="s">
        <v>4909</v>
      </c>
      <c r="E327" s="4" t="s">
        <v>152</v>
      </c>
      <c r="F327" s="8"/>
      <c r="G327" s="8"/>
      <c r="H327" s="8">
        <v>9</v>
      </c>
      <c r="I327" s="8"/>
      <c r="J327" s="8"/>
      <c r="K327" s="8">
        <v>9</v>
      </c>
      <c r="L327" s="18">
        <v>10800</v>
      </c>
      <c r="M327" s="7">
        <f t="shared" si="5"/>
        <v>97200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5232</v>
      </c>
      <c r="D328" s="4" t="s">
        <v>4909</v>
      </c>
      <c r="E328" s="4" t="s">
        <v>110</v>
      </c>
      <c r="F328" s="8">
        <v>2</v>
      </c>
      <c r="G328" s="8">
        <v>2</v>
      </c>
      <c r="H328" s="8">
        <v>2</v>
      </c>
      <c r="I328" s="8"/>
      <c r="J328" s="8"/>
      <c r="K328" s="8">
        <v>2</v>
      </c>
      <c r="L328" s="18">
        <v>12500</v>
      </c>
      <c r="M328" s="7">
        <f t="shared" si="5"/>
        <v>25000</v>
      </c>
      <c r="N328" s="4"/>
      <c r="O328" s="9"/>
    </row>
    <row r="329" spans="1:15" ht="20" customHeight="1" x14ac:dyDescent="0.2">
      <c r="A329" s="3">
        <v>325</v>
      </c>
      <c r="B329" s="19"/>
      <c r="C329" s="4" t="s">
        <v>5233</v>
      </c>
      <c r="D329" s="4" t="s">
        <v>4909</v>
      </c>
      <c r="E329" s="4" t="s">
        <v>196</v>
      </c>
      <c r="F329" s="8">
        <v>2</v>
      </c>
      <c r="G329" s="8">
        <v>2</v>
      </c>
      <c r="H329" s="8">
        <v>2</v>
      </c>
      <c r="I329" s="8"/>
      <c r="J329" s="8"/>
      <c r="K329" s="8">
        <v>1</v>
      </c>
      <c r="L329" s="18">
        <v>249000</v>
      </c>
      <c r="M329" s="7">
        <f t="shared" si="5"/>
        <v>249000</v>
      </c>
      <c r="N329" s="4"/>
      <c r="O329" s="9"/>
    </row>
    <row r="330" spans="1:15" ht="20" customHeight="1" x14ac:dyDescent="0.2">
      <c r="A330" s="3">
        <v>326</v>
      </c>
      <c r="B330" s="19"/>
      <c r="C330" s="4" t="s">
        <v>5234</v>
      </c>
      <c r="D330" s="4" t="s">
        <v>4909</v>
      </c>
      <c r="E330" s="4" t="s">
        <v>271</v>
      </c>
      <c r="F330" s="8">
        <v>3</v>
      </c>
      <c r="G330" s="8">
        <v>3</v>
      </c>
      <c r="H330" s="8">
        <v>3</v>
      </c>
      <c r="I330" s="8"/>
      <c r="J330" s="8"/>
      <c r="K330" s="8">
        <v>3</v>
      </c>
      <c r="L330" s="18">
        <v>33250</v>
      </c>
      <c r="M330" s="7">
        <f t="shared" si="5"/>
        <v>99750</v>
      </c>
      <c r="N330" s="4"/>
      <c r="O330" s="9"/>
    </row>
    <row r="331" spans="1:15" ht="20" customHeight="1" x14ac:dyDescent="0.2">
      <c r="A331" s="3">
        <v>327</v>
      </c>
      <c r="B331" s="19"/>
      <c r="C331" s="4" t="s">
        <v>5235</v>
      </c>
      <c r="D331" s="4" t="s">
        <v>4909</v>
      </c>
      <c r="E331" s="4" t="s">
        <v>110</v>
      </c>
      <c r="F331" s="8">
        <v>2</v>
      </c>
      <c r="G331" s="8">
        <v>2</v>
      </c>
      <c r="H331" s="8">
        <v>2</v>
      </c>
      <c r="I331" s="8"/>
      <c r="J331" s="8"/>
      <c r="K331" s="8">
        <v>2</v>
      </c>
      <c r="L331" s="18">
        <v>16800</v>
      </c>
      <c r="M331" s="7">
        <f t="shared" si="5"/>
        <v>33600</v>
      </c>
      <c r="N331" s="4"/>
      <c r="O331" s="9"/>
    </row>
    <row r="332" spans="1:15" ht="20" customHeight="1" x14ac:dyDescent="0.2">
      <c r="A332" s="3">
        <v>328</v>
      </c>
      <c r="B332" s="19"/>
      <c r="C332" s="4" t="s">
        <v>5236</v>
      </c>
      <c r="D332" s="4" t="s">
        <v>4909</v>
      </c>
      <c r="E332" s="4" t="s">
        <v>271</v>
      </c>
      <c r="F332" s="8">
        <v>30</v>
      </c>
      <c r="G332" s="8">
        <v>30</v>
      </c>
      <c r="H332" s="8">
        <v>30</v>
      </c>
      <c r="I332" s="8"/>
      <c r="J332" s="8"/>
      <c r="K332" s="8">
        <v>30</v>
      </c>
      <c r="L332" s="18">
        <v>909.5</v>
      </c>
      <c r="M332" s="7">
        <f t="shared" si="5"/>
        <v>27285</v>
      </c>
      <c r="N332" s="4"/>
      <c r="O332" s="9"/>
    </row>
    <row r="333" spans="1:15" ht="20" customHeight="1" x14ac:dyDescent="0.2">
      <c r="A333" s="3">
        <v>329</v>
      </c>
      <c r="B333" s="19"/>
      <c r="C333" s="4" t="s">
        <v>5237</v>
      </c>
      <c r="D333" s="4" t="s">
        <v>4909</v>
      </c>
      <c r="E333" s="4" t="s">
        <v>271</v>
      </c>
      <c r="F333" s="8">
        <v>6</v>
      </c>
      <c r="G333" s="8">
        <v>6</v>
      </c>
      <c r="H333" s="8">
        <v>6</v>
      </c>
      <c r="I333" s="8"/>
      <c r="J333" s="8"/>
      <c r="K333" s="8">
        <v>10</v>
      </c>
      <c r="L333" s="18">
        <v>3397.25</v>
      </c>
      <c r="M333" s="7">
        <f t="shared" si="5"/>
        <v>33972.5</v>
      </c>
      <c r="N333" s="4"/>
      <c r="O333" s="9"/>
    </row>
    <row r="334" spans="1:15" ht="20" customHeight="1" x14ac:dyDescent="0.2">
      <c r="A334" s="3">
        <v>330</v>
      </c>
      <c r="B334" s="19"/>
      <c r="C334" s="4" t="s">
        <v>5238</v>
      </c>
      <c r="D334" s="4" t="s">
        <v>4909</v>
      </c>
      <c r="E334" s="4" t="s">
        <v>271</v>
      </c>
      <c r="F334" s="8">
        <v>2</v>
      </c>
      <c r="G334" s="8">
        <v>2</v>
      </c>
      <c r="H334" s="8">
        <v>2</v>
      </c>
      <c r="I334" s="8"/>
      <c r="J334" s="8"/>
      <c r="K334" s="8">
        <v>2</v>
      </c>
      <c r="L334" s="18">
        <v>3210</v>
      </c>
      <c r="M334" s="7">
        <f t="shared" si="5"/>
        <v>6420</v>
      </c>
      <c r="N334" s="4"/>
      <c r="O334" s="9"/>
    </row>
    <row r="335" spans="1:15" ht="20" customHeight="1" x14ac:dyDescent="0.2">
      <c r="A335" s="3">
        <v>331</v>
      </c>
      <c r="B335" s="19"/>
      <c r="C335" s="4" t="s">
        <v>5239</v>
      </c>
      <c r="D335" s="4" t="s">
        <v>4909</v>
      </c>
      <c r="E335" s="4" t="s">
        <v>271</v>
      </c>
      <c r="F335" s="8">
        <v>24</v>
      </c>
      <c r="G335" s="8">
        <v>24</v>
      </c>
      <c r="H335" s="8">
        <v>24</v>
      </c>
      <c r="I335" s="8"/>
      <c r="J335" s="8"/>
      <c r="K335" s="8">
        <v>24</v>
      </c>
      <c r="L335" s="18">
        <v>4092.75</v>
      </c>
      <c r="M335" s="7">
        <f t="shared" si="5"/>
        <v>98226</v>
      </c>
      <c r="N335" s="4"/>
      <c r="O335" s="9"/>
    </row>
    <row r="336" spans="1:15" ht="20" customHeight="1" x14ac:dyDescent="0.2">
      <c r="A336" s="3">
        <v>332</v>
      </c>
      <c r="B336" s="19"/>
      <c r="C336" s="4" t="s">
        <v>5240</v>
      </c>
      <c r="D336" s="4" t="s">
        <v>4909</v>
      </c>
      <c r="E336" s="4" t="s">
        <v>271</v>
      </c>
      <c r="F336" s="8">
        <v>20</v>
      </c>
      <c r="G336" s="8">
        <v>20</v>
      </c>
      <c r="H336" s="8">
        <v>20</v>
      </c>
      <c r="I336" s="8"/>
      <c r="J336" s="8"/>
      <c r="K336" s="8">
        <v>20</v>
      </c>
      <c r="L336" s="18">
        <v>1500</v>
      </c>
      <c r="M336" s="7">
        <f t="shared" si="5"/>
        <v>30000</v>
      </c>
      <c r="N336" s="4"/>
      <c r="O336" s="9"/>
    </row>
    <row r="337" spans="1:15" ht="20" customHeight="1" x14ac:dyDescent="0.2">
      <c r="A337" s="3">
        <v>333</v>
      </c>
      <c r="B337" s="19"/>
      <c r="C337" s="4" t="s">
        <v>5241</v>
      </c>
      <c r="D337" s="4" t="s">
        <v>4909</v>
      </c>
      <c r="E337" s="4" t="s">
        <v>152</v>
      </c>
      <c r="F337" s="8"/>
      <c r="G337" s="8"/>
      <c r="H337" s="8"/>
      <c r="I337" s="8"/>
      <c r="J337" s="8"/>
      <c r="K337" s="8">
        <v>20</v>
      </c>
      <c r="L337" s="18">
        <v>9000</v>
      </c>
      <c r="M337" s="7">
        <f t="shared" si="5"/>
        <v>180000</v>
      </c>
      <c r="N337" s="4"/>
      <c r="O337" s="9"/>
    </row>
    <row r="338" spans="1:15" ht="20" customHeight="1" x14ac:dyDescent="0.2">
      <c r="A338" s="3">
        <v>334</v>
      </c>
      <c r="B338" s="19"/>
      <c r="C338" s="4" t="s">
        <v>5242</v>
      </c>
      <c r="D338" s="4" t="s">
        <v>4909</v>
      </c>
      <c r="E338" s="4" t="s">
        <v>271</v>
      </c>
      <c r="F338" s="8"/>
      <c r="G338" s="8"/>
      <c r="H338" s="8"/>
      <c r="I338" s="8"/>
      <c r="J338" s="8"/>
      <c r="K338" s="8">
        <v>3</v>
      </c>
      <c r="L338" s="18">
        <v>9400</v>
      </c>
      <c r="M338" s="7">
        <f t="shared" si="5"/>
        <v>28200</v>
      </c>
      <c r="N338" s="4"/>
      <c r="O338" s="9"/>
    </row>
    <row r="339" spans="1:15" ht="20" customHeight="1" x14ac:dyDescent="0.2">
      <c r="A339" s="3">
        <v>335</v>
      </c>
      <c r="B339" s="19"/>
      <c r="C339" s="4" t="s">
        <v>5243</v>
      </c>
      <c r="D339" s="4" t="s">
        <v>4909</v>
      </c>
      <c r="E339" s="4" t="s">
        <v>271</v>
      </c>
      <c r="F339" s="8"/>
      <c r="G339" s="8"/>
      <c r="H339" s="8"/>
      <c r="I339" s="8"/>
      <c r="J339" s="8"/>
      <c r="K339" s="8">
        <v>3</v>
      </c>
      <c r="L339" s="18">
        <v>9400</v>
      </c>
      <c r="M339" s="7">
        <f t="shared" si="5"/>
        <v>28200</v>
      </c>
      <c r="N339" s="4"/>
      <c r="O339" s="9"/>
    </row>
    <row r="340" spans="1:15" ht="20" customHeight="1" x14ac:dyDescent="0.2">
      <c r="A340" s="3">
        <v>336</v>
      </c>
      <c r="B340" s="19"/>
      <c r="C340" s="4" t="s">
        <v>5244</v>
      </c>
      <c r="D340" s="4" t="s">
        <v>4909</v>
      </c>
      <c r="E340" s="4" t="s">
        <v>271</v>
      </c>
      <c r="F340" s="8"/>
      <c r="G340" s="8"/>
      <c r="H340" s="8"/>
      <c r="I340" s="8"/>
      <c r="J340" s="8"/>
      <c r="K340" s="8">
        <v>3</v>
      </c>
      <c r="L340" s="18">
        <v>9400</v>
      </c>
      <c r="M340" s="7">
        <f t="shared" si="5"/>
        <v>28200</v>
      </c>
      <c r="N340" s="4"/>
      <c r="O340" s="9"/>
    </row>
    <row r="341" spans="1:15" ht="20" customHeight="1" x14ac:dyDescent="0.2">
      <c r="A341" s="3">
        <v>337</v>
      </c>
      <c r="B341" s="19"/>
      <c r="C341" s="4" t="s">
        <v>5245</v>
      </c>
      <c r="D341" s="4" t="s">
        <v>4909</v>
      </c>
      <c r="E341" s="4" t="s">
        <v>271</v>
      </c>
      <c r="F341" s="8"/>
      <c r="G341" s="8"/>
      <c r="H341" s="8"/>
      <c r="I341" s="8"/>
      <c r="J341" s="8"/>
      <c r="K341" s="8">
        <v>3</v>
      </c>
      <c r="L341" s="18">
        <v>11800</v>
      </c>
      <c r="M341" s="7">
        <f t="shared" si="5"/>
        <v>35400</v>
      </c>
      <c r="N341" s="4"/>
      <c r="O341" s="9"/>
    </row>
    <row r="342" spans="1:15" ht="20" customHeight="1" x14ac:dyDescent="0.2">
      <c r="A342" s="3">
        <v>338</v>
      </c>
      <c r="B342" s="19"/>
      <c r="C342" s="4" t="s">
        <v>5246</v>
      </c>
      <c r="D342" s="4" t="s">
        <v>4909</v>
      </c>
      <c r="E342" s="4" t="s">
        <v>271</v>
      </c>
      <c r="F342" s="8"/>
      <c r="G342" s="8"/>
      <c r="H342" s="8"/>
      <c r="I342" s="8"/>
      <c r="J342" s="8"/>
      <c r="K342" s="8">
        <v>3</v>
      </c>
      <c r="L342" s="18">
        <v>13000</v>
      </c>
      <c r="M342" s="7">
        <f t="shared" si="5"/>
        <v>39000</v>
      </c>
      <c r="N342" s="4"/>
      <c r="O342" s="9"/>
    </row>
    <row r="343" spans="1:15" ht="20" customHeight="1" x14ac:dyDescent="0.2">
      <c r="A343" s="3">
        <v>339</v>
      </c>
      <c r="B343" s="19"/>
      <c r="C343" s="4" t="s">
        <v>5247</v>
      </c>
      <c r="D343" s="4" t="s">
        <v>4909</v>
      </c>
      <c r="E343" s="4" t="s">
        <v>271</v>
      </c>
      <c r="F343" s="8"/>
      <c r="G343" s="8"/>
      <c r="H343" s="8"/>
      <c r="I343" s="8"/>
      <c r="J343" s="8"/>
      <c r="K343" s="8">
        <v>3</v>
      </c>
      <c r="L343" s="18">
        <v>10400</v>
      </c>
      <c r="M343" s="7">
        <f t="shared" si="5"/>
        <v>31200</v>
      </c>
      <c r="N343" s="4"/>
      <c r="O343" s="9"/>
    </row>
    <row r="344" spans="1:15" ht="20" customHeight="1" x14ac:dyDescent="0.2">
      <c r="A344" s="3">
        <v>340</v>
      </c>
      <c r="B344" s="19"/>
      <c r="C344" s="4" t="s">
        <v>5248</v>
      </c>
      <c r="D344" s="4" t="s">
        <v>4909</v>
      </c>
      <c r="E344" s="4" t="s">
        <v>271</v>
      </c>
      <c r="F344" s="8"/>
      <c r="G344" s="8"/>
      <c r="H344" s="8"/>
      <c r="I344" s="8"/>
      <c r="J344" s="8"/>
      <c r="K344" s="8">
        <v>3</v>
      </c>
      <c r="L344" s="18">
        <v>10400</v>
      </c>
      <c r="M344" s="7">
        <f t="shared" si="5"/>
        <v>31200</v>
      </c>
      <c r="N344" s="4"/>
      <c r="O344" s="9"/>
    </row>
    <row r="345" spans="1:15" ht="20" customHeight="1" x14ac:dyDescent="0.2">
      <c r="A345" s="3">
        <v>341</v>
      </c>
      <c r="B345" s="19"/>
      <c r="C345" s="4" t="s">
        <v>5249</v>
      </c>
      <c r="D345" s="4" t="s">
        <v>4909</v>
      </c>
      <c r="E345" s="4" t="s">
        <v>271</v>
      </c>
      <c r="F345" s="8"/>
      <c r="G345" s="8"/>
      <c r="H345" s="8"/>
      <c r="I345" s="8"/>
      <c r="J345" s="8"/>
      <c r="K345" s="8">
        <v>3</v>
      </c>
      <c r="L345" s="18">
        <v>10100</v>
      </c>
      <c r="M345" s="7">
        <f t="shared" si="5"/>
        <v>30300</v>
      </c>
      <c r="N345" s="4"/>
      <c r="O345" s="9"/>
    </row>
    <row r="346" spans="1:15" ht="20" customHeight="1" x14ac:dyDescent="0.2">
      <c r="A346" s="3">
        <v>342</v>
      </c>
      <c r="B346" s="19"/>
      <c r="C346" s="4" t="s">
        <v>5250</v>
      </c>
      <c r="D346" s="4" t="s">
        <v>4909</v>
      </c>
      <c r="E346" s="4" t="s">
        <v>271</v>
      </c>
      <c r="F346" s="8"/>
      <c r="G346" s="8"/>
      <c r="H346" s="8"/>
      <c r="I346" s="8"/>
      <c r="J346" s="8"/>
      <c r="K346" s="8">
        <v>1</v>
      </c>
      <c r="L346" s="18">
        <v>10400</v>
      </c>
      <c r="M346" s="7">
        <f t="shared" si="5"/>
        <v>10400</v>
      </c>
      <c r="N346" s="4"/>
      <c r="O346" s="9"/>
    </row>
    <row r="347" spans="1:15" ht="20" customHeight="1" x14ac:dyDescent="0.2">
      <c r="A347" s="3">
        <v>343</v>
      </c>
      <c r="B347" s="19"/>
      <c r="C347" s="4" t="s">
        <v>5251</v>
      </c>
      <c r="D347" s="4" t="s">
        <v>4909</v>
      </c>
      <c r="E347" s="4" t="s">
        <v>271</v>
      </c>
      <c r="F347" s="8"/>
      <c r="G347" s="8"/>
      <c r="H347" s="8"/>
      <c r="I347" s="8"/>
      <c r="J347" s="8"/>
      <c r="K347" s="8">
        <v>1</v>
      </c>
      <c r="L347" s="18">
        <v>9800</v>
      </c>
      <c r="M347" s="7">
        <f t="shared" si="5"/>
        <v>9800</v>
      </c>
      <c r="N347" s="4"/>
      <c r="O347" s="9"/>
    </row>
    <row r="348" spans="1:15" ht="20" customHeight="1" x14ac:dyDescent="0.2">
      <c r="A348" s="3">
        <v>344</v>
      </c>
      <c r="B348" s="19"/>
      <c r="C348" s="4" t="s">
        <v>5252</v>
      </c>
      <c r="D348" s="4" t="s">
        <v>4909</v>
      </c>
      <c r="E348" s="4" t="s">
        <v>271</v>
      </c>
      <c r="F348" s="8"/>
      <c r="G348" s="8"/>
      <c r="H348" s="8"/>
      <c r="I348" s="8"/>
      <c r="J348" s="8"/>
      <c r="K348" s="8">
        <v>1</v>
      </c>
      <c r="L348" s="18">
        <v>9800</v>
      </c>
      <c r="M348" s="7">
        <f t="shared" si="5"/>
        <v>9800</v>
      </c>
      <c r="N348" s="4"/>
      <c r="O348" s="9"/>
    </row>
    <row r="349" spans="1:15" ht="20" customHeight="1" x14ac:dyDescent="0.2">
      <c r="A349" s="3">
        <v>345</v>
      </c>
      <c r="B349" s="19"/>
      <c r="C349" s="4" t="s">
        <v>5253</v>
      </c>
      <c r="D349" s="4" t="s">
        <v>4909</v>
      </c>
      <c r="E349" s="4" t="s">
        <v>271</v>
      </c>
      <c r="F349" s="8"/>
      <c r="G349" s="8"/>
      <c r="H349" s="8"/>
      <c r="I349" s="8"/>
      <c r="J349" s="8"/>
      <c r="K349" s="8">
        <v>1</v>
      </c>
      <c r="L349" s="18">
        <v>10000</v>
      </c>
      <c r="M349" s="7">
        <f t="shared" si="5"/>
        <v>10000</v>
      </c>
      <c r="N349" s="4"/>
      <c r="O349" s="9"/>
    </row>
    <row r="350" spans="1:15" ht="20" customHeight="1" x14ac:dyDescent="0.2">
      <c r="A350" s="3">
        <v>346</v>
      </c>
      <c r="B350" s="19"/>
      <c r="C350" s="4" t="s">
        <v>5254</v>
      </c>
      <c r="D350" s="4" t="s">
        <v>4909</v>
      </c>
      <c r="E350" s="4" t="s">
        <v>271</v>
      </c>
      <c r="F350" s="8"/>
      <c r="G350" s="8"/>
      <c r="H350" s="8"/>
      <c r="I350" s="8"/>
      <c r="J350" s="8"/>
      <c r="K350" s="8">
        <v>2</v>
      </c>
      <c r="L350" s="18">
        <v>12500</v>
      </c>
      <c r="M350" s="7">
        <f t="shared" si="5"/>
        <v>25000</v>
      </c>
      <c r="N350" s="4"/>
      <c r="O350" s="9"/>
    </row>
    <row r="351" spans="1:15" ht="20" customHeight="1" x14ac:dyDescent="0.2">
      <c r="A351" s="3">
        <v>347</v>
      </c>
      <c r="B351" s="19"/>
      <c r="C351" s="4" t="s">
        <v>5255</v>
      </c>
      <c r="D351" s="4" t="s">
        <v>4909</v>
      </c>
      <c r="E351" s="4" t="s">
        <v>271</v>
      </c>
      <c r="F351" s="8"/>
      <c r="G351" s="8"/>
      <c r="H351" s="8"/>
      <c r="I351" s="8"/>
      <c r="J351" s="8"/>
      <c r="K351" s="8">
        <v>2</v>
      </c>
      <c r="L351" s="18">
        <v>9814</v>
      </c>
      <c r="M351" s="7">
        <f t="shared" si="5"/>
        <v>19628</v>
      </c>
      <c r="N351" s="4"/>
      <c r="O351" s="9"/>
    </row>
    <row r="352" spans="1:15" ht="20" customHeight="1" x14ac:dyDescent="0.2">
      <c r="A352" s="3">
        <v>348</v>
      </c>
      <c r="B352" s="19"/>
      <c r="C352" s="4" t="s">
        <v>5256</v>
      </c>
      <c r="D352" s="4" t="s">
        <v>4909</v>
      </c>
      <c r="E352" s="4" t="s">
        <v>271</v>
      </c>
      <c r="F352" s="8"/>
      <c r="G352" s="8"/>
      <c r="H352" s="8"/>
      <c r="I352" s="8"/>
      <c r="J352" s="8"/>
      <c r="K352" s="8">
        <v>3</v>
      </c>
      <c r="L352" s="18">
        <v>9800</v>
      </c>
      <c r="M352" s="7">
        <f t="shared" si="5"/>
        <v>29400</v>
      </c>
      <c r="N352" s="4"/>
      <c r="O352" s="9"/>
    </row>
    <row r="353" spans="1:15" ht="20" customHeight="1" x14ac:dyDescent="0.2">
      <c r="A353" s="3">
        <v>349</v>
      </c>
      <c r="B353" s="19"/>
      <c r="C353" s="4" t="s">
        <v>5257</v>
      </c>
      <c r="D353" s="4" t="s">
        <v>4909</v>
      </c>
      <c r="E353" s="4" t="s">
        <v>271</v>
      </c>
      <c r="F353" s="8"/>
      <c r="G353" s="8"/>
      <c r="H353" s="8"/>
      <c r="I353" s="8"/>
      <c r="J353" s="8"/>
      <c r="K353" s="8">
        <v>3</v>
      </c>
      <c r="L353" s="18">
        <v>9300</v>
      </c>
      <c r="M353" s="7">
        <f t="shared" si="5"/>
        <v>27900</v>
      </c>
      <c r="N353" s="4"/>
      <c r="O353" s="9"/>
    </row>
    <row r="354" spans="1:15" ht="20" customHeight="1" x14ac:dyDescent="0.2">
      <c r="A354" s="3">
        <v>350</v>
      </c>
      <c r="B354" s="19"/>
      <c r="C354" s="4" t="s">
        <v>5258</v>
      </c>
      <c r="D354" s="4" t="s">
        <v>4909</v>
      </c>
      <c r="E354" s="4" t="s">
        <v>271</v>
      </c>
      <c r="F354" s="8"/>
      <c r="G354" s="8"/>
      <c r="H354" s="8"/>
      <c r="I354" s="8"/>
      <c r="J354" s="8"/>
      <c r="K354" s="8">
        <v>1</v>
      </c>
      <c r="L354" s="18">
        <v>12500</v>
      </c>
      <c r="M354" s="7">
        <f t="shared" si="5"/>
        <v>12500</v>
      </c>
      <c r="N354" s="4"/>
      <c r="O354" s="9"/>
    </row>
    <row r="355" spans="1:15" ht="20" customHeight="1" x14ac:dyDescent="0.2">
      <c r="A355" s="3">
        <v>351</v>
      </c>
      <c r="B355" s="19"/>
      <c r="C355" s="4" t="s">
        <v>5259</v>
      </c>
      <c r="D355" s="4" t="s">
        <v>4909</v>
      </c>
      <c r="E355" s="4" t="s">
        <v>271</v>
      </c>
      <c r="F355" s="8"/>
      <c r="G355" s="8"/>
      <c r="H355" s="8"/>
      <c r="I355" s="8"/>
      <c r="J355" s="8"/>
      <c r="K355" s="8">
        <v>1</v>
      </c>
      <c r="L355" s="18">
        <v>59000</v>
      </c>
      <c r="M355" s="7">
        <f t="shared" si="5"/>
        <v>59000</v>
      </c>
      <c r="N355" s="4"/>
      <c r="O355" s="9"/>
    </row>
    <row r="356" spans="1:15" ht="20" customHeight="1" x14ac:dyDescent="0.2">
      <c r="A356" s="3">
        <v>352</v>
      </c>
      <c r="B356" s="19"/>
      <c r="C356" s="4" t="s">
        <v>5260</v>
      </c>
      <c r="D356" s="4" t="s">
        <v>4909</v>
      </c>
      <c r="E356" s="4" t="s">
        <v>271</v>
      </c>
      <c r="F356" s="8"/>
      <c r="G356" s="8"/>
      <c r="H356" s="8"/>
      <c r="I356" s="8"/>
      <c r="J356" s="8"/>
      <c r="K356" s="8">
        <v>1</v>
      </c>
      <c r="L356" s="18">
        <v>59000</v>
      </c>
      <c r="M356" s="7">
        <f t="shared" si="5"/>
        <v>59000</v>
      </c>
      <c r="N356" s="4"/>
      <c r="O356" s="9"/>
    </row>
    <row r="357" spans="1:15" ht="20" customHeight="1" x14ac:dyDescent="0.2">
      <c r="A357" s="3">
        <v>353</v>
      </c>
      <c r="B357" s="19"/>
      <c r="C357" s="4" t="s">
        <v>5261</v>
      </c>
      <c r="D357" s="4" t="s">
        <v>4909</v>
      </c>
      <c r="E357" s="4" t="s">
        <v>271</v>
      </c>
      <c r="F357" s="8"/>
      <c r="G357" s="8"/>
      <c r="H357" s="8"/>
      <c r="I357" s="8"/>
      <c r="J357" s="8"/>
      <c r="K357" s="8">
        <v>1</v>
      </c>
      <c r="L357" s="18">
        <v>53000</v>
      </c>
      <c r="M357" s="7">
        <f t="shared" si="5"/>
        <v>53000</v>
      </c>
      <c r="N357" s="4"/>
      <c r="O357" s="9"/>
    </row>
    <row r="358" spans="1:15" ht="20" customHeight="1" x14ac:dyDescent="0.2">
      <c r="A358" s="3">
        <v>354</v>
      </c>
      <c r="B358" s="19"/>
      <c r="C358" s="4" t="s">
        <v>5262</v>
      </c>
      <c r="D358" s="4" t="s">
        <v>4909</v>
      </c>
      <c r="E358" s="4" t="s">
        <v>271</v>
      </c>
      <c r="F358" s="8"/>
      <c r="G358" s="8"/>
      <c r="H358" s="8"/>
      <c r="I358" s="8"/>
      <c r="J358" s="8"/>
      <c r="K358" s="8">
        <v>1</v>
      </c>
      <c r="L358" s="18">
        <v>54000</v>
      </c>
      <c r="M358" s="7">
        <f t="shared" si="5"/>
        <v>54000</v>
      </c>
      <c r="N358" s="4"/>
      <c r="O358" s="9"/>
    </row>
    <row r="359" spans="1:15" ht="20" customHeight="1" x14ac:dyDescent="0.2">
      <c r="A359" s="3">
        <v>355</v>
      </c>
      <c r="B359" s="19"/>
      <c r="C359" s="4" t="s">
        <v>5263</v>
      </c>
      <c r="D359" s="4" t="s">
        <v>4909</v>
      </c>
      <c r="E359" s="4" t="s">
        <v>271</v>
      </c>
      <c r="F359" s="8"/>
      <c r="G359" s="8"/>
      <c r="H359" s="8"/>
      <c r="I359" s="8"/>
      <c r="J359" s="8"/>
      <c r="K359" s="8">
        <v>1</v>
      </c>
      <c r="L359" s="18">
        <v>56000</v>
      </c>
      <c r="M359" s="7">
        <f t="shared" si="5"/>
        <v>56000</v>
      </c>
      <c r="N359" s="4"/>
      <c r="O359" s="9"/>
    </row>
    <row r="360" spans="1:15" ht="20" customHeight="1" x14ac:dyDescent="0.2">
      <c r="A360" s="3">
        <v>356</v>
      </c>
      <c r="B360" s="19"/>
      <c r="C360" s="4" t="s">
        <v>5264</v>
      </c>
      <c r="D360" s="4" t="s">
        <v>4909</v>
      </c>
      <c r="E360" s="4" t="s">
        <v>271</v>
      </c>
      <c r="F360" s="8"/>
      <c r="G360" s="8"/>
      <c r="H360" s="8">
        <v>1</v>
      </c>
      <c r="I360" s="8"/>
      <c r="J360" s="8"/>
      <c r="K360" s="8">
        <v>1</v>
      </c>
      <c r="L360" s="18">
        <v>33210</v>
      </c>
      <c r="M360" s="7">
        <f t="shared" si="5"/>
        <v>33210</v>
      </c>
      <c r="N360" s="4"/>
      <c r="O360" s="9"/>
    </row>
    <row r="361" spans="1:15" ht="20" customHeight="1" x14ac:dyDescent="0.2">
      <c r="A361" s="3">
        <v>357</v>
      </c>
      <c r="B361" s="19"/>
      <c r="C361" s="4" t="s">
        <v>5265</v>
      </c>
      <c r="D361" s="4" t="s">
        <v>4909</v>
      </c>
      <c r="E361" s="4" t="s">
        <v>271</v>
      </c>
      <c r="F361" s="8"/>
      <c r="G361" s="8"/>
      <c r="H361" s="8">
        <v>1</v>
      </c>
      <c r="I361" s="8"/>
      <c r="J361" s="8"/>
      <c r="K361" s="8">
        <v>1</v>
      </c>
      <c r="L361" s="18">
        <v>32130</v>
      </c>
      <c r="M361" s="7">
        <f t="shared" si="5"/>
        <v>32130</v>
      </c>
      <c r="N361" s="4"/>
      <c r="O361" s="9"/>
    </row>
    <row r="362" spans="1:15" ht="20" customHeight="1" x14ac:dyDescent="0.2">
      <c r="A362" s="3">
        <v>358</v>
      </c>
      <c r="B362" s="19"/>
      <c r="C362" s="4" t="s">
        <v>5266</v>
      </c>
      <c r="D362" s="4" t="s">
        <v>4909</v>
      </c>
      <c r="E362" s="4" t="s">
        <v>271</v>
      </c>
      <c r="F362" s="8"/>
      <c r="G362" s="8"/>
      <c r="H362" s="8">
        <v>1</v>
      </c>
      <c r="I362" s="8"/>
      <c r="J362" s="8"/>
      <c r="K362" s="8">
        <v>1</v>
      </c>
      <c r="L362" s="18">
        <v>32130</v>
      </c>
      <c r="M362" s="7">
        <f t="shared" si="5"/>
        <v>32130</v>
      </c>
      <c r="N362" s="4"/>
      <c r="O362" s="9"/>
    </row>
    <row r="363" spans="1:15" ht="20" customHeight="1" x14ac:dyDescent="0.2">
      <c r="A363" s="3">
        <v>359</v>
      </c>
      <c r="B363" s="19"/>
      <c r="C363" s="4" t="s">
        <v>5267</v>
      </c>
      <c r="D363" s="4" t="s">
        <v>4909</v>
      </c>
      <c r="E363" s="4" t="s">
        <v>271</v>
      </c>
      <c r="F363" s="8"/>
      <c r="G363" s="8"/>
      <c r="H363" s="8">
        <v>1</v>
      </c>
      <c r="I363" s="8"/>
      <c r="J363" s="8"/>
      <c r="K363" s="8">
        <v>1</v>
      </c>
      <c r="L363" s="18">
        <v>32130</v>
      </c>
      <c r="M363" s="7">
        <f t="shared" si="5"/>
        <v>32130</v>
      </c>
      <c r="N363" s="4"/>
      <c r="O363" s="9"/>
    </row>
    <row r="364" spans="1:15" ht="20" customHeight="1" x14ac:dyDescent="0.2">
      <c r="A364" s="3">
        <v>360</v>
      </c>
      <c r="B364" s="19"/>
      <c r="C364" s="4" t="s">
        <v>5268</v>
      </c>
      <c r="D364" s="4" t="s">
        <v>4909</v>
      </c>
      <c r="E364" s="4" t="s">
        <v>271</v>
      </c>
      <c r="F364" s="8"/>
      <c r="G364" s="8"/>
      <c r="H364" s="8">
        <v>1</v>
      </c>
      <c r="I364" s="8"/>
      <c r="J364" s="8"/>
      <c r="K364" s="8">
        <v>1</v>
      </c>
      <c r="L364" s="18">
        <v>32130</v>
      </c>
      <c r="M364" s="7">
        <f t="shared" si="5"/>
        <v>32130</v>
      </c>
      <c r="N364" s="4"/>
      <c r="O364" s="9"/>
    </row>
    <row r="365" spans="1:15" ht="20" customHeight="1" x14ac:dyDescent="0.2">
      <c r="A365" s="3">
        <v>361</v>
      </c>
      <c r="B365" s="19"/>
      <c r="C365" s="4" t="s">
        <v>5269</v>
      </c>
      <c r="D365" s="4" t="s">
        <v>4909</v>
      </c>
      <c r="E365" s="4" t="s">
        <v>271</v>
      </c>
      <c r="F365" s="8"/>
      <c r="G365" s="8"/>
      <c r="H365" s="8">
        <v>10</v>
      </c>
      <c r="I365" s="8"/>
      <c r="J365" s="8"/>
      <c r="K365" s="8">
        <v>10</v>
      </c>
      <c r="L365" s="18">
        <v>1600</v>
      </c>
      <c r="M365" s="7">
        <f t="shared" si="5"/>
        <v>16000</v>
      </c>
      <c r="N365" s="4"/>
      <c r="O365" s="9"/>
    </row>
    <row r="366" spans="1:15" ht="20" customHeight="1" x14ac:dyDescent="0.2">
      <c r="A366" s="3">
        <v>362</v>
      </c>
      <c r="B366" s="19"/>
      <c r="C366" s="4" t="s">
        <v>5270</v>
      </c>
      <c r="D366" s="4" t="s">
        <v>4909</v>
      </c>
      <c r="E366" s="4" t="s">
        <v>271</v>
      </c>
      <c r="F366" s="8">
        <v>5</v>
      </c>
      <c r="G366" s="8">
        <v>5</v>
      </c>
      <c r="H366" s="8">
        <v>5</v>
      </c>
      <c r="I366" s="8"/>
      <c r="J366" s="8"/>
      <c r="K366" s="8">
        <v>5</v>
      </c>
      <c r="L366" s="18">
        <v>3500</v>
      </c>
      <c r="M366" s="7">
        <f t="shared" si="5"/>
        <v>17500</v>
      </c>
      <c r="N366" s="4"/>
      <c r="O366" s="9"/>
    </row>
    <row r="367" spans="1:15" ht="20" customHeight="1" x14ac:dyDescent="0.2">
      <c r="A367" s="3">
        <v>363</v>
      </c>
      <c r="B367" s="19"/>
      <c r="C367" s="4" t="s">
        <v>5271</v>
      </c>
      <c r="D367" s="4" t="s">
        <v>4909</v>
      </c>
      <c r="E367" s="4" t="s">
        <v>271</v>
      </c>
      <c r="F367" s="8"/>
      <c r="G367" s="8">
        <v>2</v>
      </c>
      <c r="H367" s="8">
        <v>2</v>
      </c>
      <c r="I367" s="8"/>
      <c r="J367" s="8"/>
      <c r="K367" s="8">
        <v>2</v>
      </c>
      <c r="L367" s="18">
        <v>17000</v>
      </c>
      <c r="M367" s="7">
        <f t="shared" si="5"/>
        <v>34000</v>
      </c>
      <c r="N367" s="4"/>
      <c r="O367" s="9"/>
    </row>
    <row r="368" spans="1:15" ht="20" customHeight="1" x14ac:dyDescent="0.2">
      <c r="A368" s="3">
        <v>364</v>
      </c>
      <c r="B368" s="19"/>
      <c r="C368" s="4" t="s">
        <v>5272</v>
      </c>
      <c r="D368" s="4" t="s">
        <v>4909</v>
      </c>
      <c r="E368" s="4" t="s">
        <v>271</v>
      </c>
      <c r="F368" s="8"/>
      <c r="G368" s="8">
        <v>2</v>
      </c>
      <c r="H368" s="8">
        <v>2</v>
      </c>
      <c r="I368" s="8"/>
      <c r="J368" s="8"/>
      <c r="K368" s="8">
        <v>2</v>
      </c>
      <c r="L368" s="18">
        <v>17000</v>
      </c>
      <c r="M368" s="7">
        <f t="shared" si="5"/>
        <v>34000</v>
      </c>
      <c r="N368" s="4"/>
      <c r="O368" s="9"/>
    </row>
    <row r="369" spans="1:15" ht="20" customHeight="1" x14ac:dyDescent="0.2">
      <c r="A369" s="3">
        <v>365</v>
      </c>
      <c r="B369" s="19"/>
      <c r="C369" s="4" t="s">
        <v>5273</v>
      </c>
      <c r="D369" s="4" t="s">
        <v>4909</v>
      </c>
      <c r="E369" s="4" t="s">
        <v>133</v>
      </c>
      <c r="F369" s="8">
        <v>1</v>
      </c>
      <c r="G369" s="8">
        <v>2</v>
      </c>
      <c r="H369" s="8">
        <v>2</v>
      </c>
      <c r="I369" s="8"/>
      <c r="J369" s="8"/>
      <c r="K369" s="8">
        <v>2</v>
      </c>
      <c r="L369" s="18">
        <v>5500</v>
      </c>
      <c r="M369" s="7">
        <f t="shared" si="5"/>
        <v>11000</v>
      </c>
      <c r="N369" s="4"/>
      <c r="O369" s="9"/>
    </row>
    <row r="370" spans="1:15" ht="20" customHeight="1" x14ac:dyDescent="0.2">
      <c r="A370" s="3">
        <v>366</v>
      </c>
      <c r="B370" s="19"/>
      <c r="C370" s="4" t="s">
        <v>5274</v>
      </c>
      <c r="D370" s="4" t="s">
        <v>4909</v>
      </c>
      <c r="E370" s="4" t="s">
        <v>152</v>
      </c>
      <c r="F370" s="8"/>
      <c r="G370" s="8"/>
      <c r="H370" s="8">
        <v>2</v>
      </c>
      <c r="I370" s="8"/>
      <c r="J370" s="8"/>
      <c r="K370" s="8">
        <v>2</v>
      </c>
      <c r="L370" s="18">
        <v>2100</v>
      </c>
      <c r="M370" s="7">
        <f t="shared" si="5"/>
        <v>4200</v>
      </c>
      <c r="N370" s="4"/>
      <c r="O370" s="9"/>
    </row>
    <row r="371" spans="1:15" ht="20" customHeight="1" x14ac:dyDescent="0.2">
      <c r="A371" s="3">
        <v>367</v>
      </c>
      <c r="B371" s="19"/>
      <c r="C371" s="4" t="s">
        <v>5275</v>
      </c>
      <c r="D371" s="4" t="s">
        <v>4909</v>
      </c>
      <c r="E371" s="4" t="s">
        <v>152</v>
      </c>
      <c r="F371" s="8"/>
      <c r="G371" s="8"/>
      <c r="H371" s="8">
        <v>1</v>
      </c>
      <c r="I371" s="8"/>
      <c r="J371" s="8"/>
      <c r="K371" s="8">
        <v>1</v>
      </c>
      <c r="L371" s="18">
        <v>2100</v>
      </c>
      <c r="M371" s="7">
        <f t="shared" si="5"/>
        <v>2100</v>
      </c>
      <c r="N371" s="4"/>
      <c r="O371" s="9"/>
    </row>
    <row r="372" spans="1:15" ht="20" customHeight="1" x14ac:dyDescent="0.2">
      <c r="A372" s="3">
        <v>368</v>
      </c>
      <c r="B372" s="19"/>
      <c r="C372" s="4" t="s">
        <v>5276</v>
      </c>
      <c r="D372" s="4" t="s">
        <v>4909</v>
      </c>
      <c r="E372" s="4" t="s">
        <v>271</v>
      </c>
      <c r="F372" s="8">
        <v>1</v>
      </c>
      <c r="G372" s="8">
        <v>1</v>
      </c>
      <c r="H372" s="8">
        <v>1</v>
      </c>
      <c r="I372" s="8"/>
      <c r="J372" s="8"/>
      <c r="K372" s="8">
        <v>1</v>
      </c>
      <c r="L372" s="18">
        <v>47800</v>
      </c>
      <c r="M372" s="7">
        <f t="shared" si="5"/>
        <v>47800</v>
      </c>
      <c r="N372" s="4"/>
      <c r="O372" s="9"/>
    </row>
    <row r="373" spans="1:15" ht="20" customHeight="1" x14ac:dyDescent="0.2">
      <c r="A373" s="3">
        <v>369</v>
      </c>
      <c r="B373" s="19"/>
      <c r="C373" s="4" t="s">
        <v>5277</v>
      </c>
      <c r="D373" s="4" t="s">
        <v>4909</v>
      </c>
      <c r="E373" s="4" t="s">
        <v>271</v>
      </c>
      <c r="F373" s="8"/>
      <c r="G373" s="8"/>
      <c r="H373" s="8">
        <v>1</v>
      </c>
      <c r="I373" s="8"/>
      <c r="J373" s="8"/>
      <c r="K373" s="8">
        <v>1</v>
      </c>
      <c r="L373" s="18">
        <v>48300</v>
      </c>
      <c r="M373" s="7">
        <f t="shared" si="5"/>
        <v>48300</v>
      </c>
      <c r="N373" s="4"/>
      <c r="O373" s="9"/>
    </row>
    <row r="374" spans="1:15" ht="20" customHeight="1" x14ac:dyDescent="0.2">
      <c r="A374" s="3">
        <v>370</v>
      </c>
      <c r="B374" s="19"/>
      <c r="C374" s="4" t="s">
        <v>5278</v>
      </c>
      <c r="D374" s="4" t="s">
        <v>4909</v>
      </c>
      <c r="E374" s="4" t="s">
        <v>271</v>
      </c>
      <c r="F374" s="8"/>
      <c r="G374" s="8"/>
      <c r="H374" s="8">
        <v>1</v>
      </c>
      <c r="I374" s="8"/>
      <c r="J374" s="8"/>
      <c r="K374" s="8">
        <v>1</v>
      </c>
      <c r="L374" s="18">
        <v>19570</v>
      </c>
      <c r="M374" s="7">
        <f t="shared" si="5"/>
        <v>19570</v>
      </c>
      <c r="N374" s="4"/>
      <c r="O374" s="9"/>
    </row>
    <row r="375" spans="1:15" ht="20" customHeight="1" x14ac:dyDescent="0.2">
      <c r="A375" s="3">
        <v>371</v>
      </c>
      <c r="B375" s="19"/>
      <c r="C375" s="4" t="s">
        <v>5279</v>
      </c>
      <c r="D375" s="4" t="s">
        <v>4909</v>
      </c>
      <c r="E375" s="4" t="s">
        <v>271</v>
      </c>
      <c r="F375" s="8"/>
      <c r="G375" s="8"/>
      <c r="H375" s="8">
        <v>1</v>
      </c>
      <c r="I375" s="8"/>
      <c r="J375" s="8"/>
      <c r="K375" s="8">
        <v>1</v>
      </c>
      <c r="L375" s="18">
        <v>19570</v>
      </c>
      <c r="M375" s="7">
        <f t="shared" si="5"/>
        <v>19570</v>
      </c>
      <c r="N375" s="4"/>
      <c r="O375" s="9"/>
    </row>
    <row r="376" spans="1:15" ht="20" customHeight="1" x14ac:dyDescent="0.2">
      <c r="A376" s="3">
        <v>372</v>
      </c>
      <c r="B376" s="19"/>
      <c r="C376" s="4" t="s">
        <v>5280</v>
      </c>
      <c r="D376" s="4" t="s">
        <v>4909</v>
      </c>
      <c r="E376" s="4" t="s">
        <v>271</v>
      </c>
      <c r="F376" s="8"/>
      <c r="G376" s="8"/>
      <c r="H376" s="8">
        <v>1</v>
      </c>
      <c r="I376" s="8"/>
      <c r="J376" s="8"/>
      <c r="K376" s="8">
        <v>1</v>
      </c>
      <c r="L376" s="18">
        <v>19570</v>
      </c>
      <c r="M376" s="7">
        <f t="shared" si="5"/>
        <v>19570</v>
      </c>
      <c r="N376" s="4"/>
      <c r="O376" s="9"/>
    </row>
    <row r="377" spans="1:15" ht="20" customHeight="1" x14ac:dyDescent="0.2">
      <c r="A377" s="3">
        <v>373</v>
      </c>
      <c r="B377" s="19"/>
      <c r="C377" s="4" t="s">
        <v>5281</v>
      </c>
      <c r="D377" s="4" t="s">
        <v>4909</v>
      </c>
      <c r="E377" s="4" t="s">
        <v>271</v>
      </c>
      <c r="F377" s="8"/>
      <c r="G377" s="8"/>
      <c r="H377" s="8">
        <v>10</v>
      </c>
      <c r="I377" s="8"/>
      <c r="J377" s="8"/>
      <c r="K377" s="8">
        <v>10</v>
      </c>
      <c r="L377" s="18">
        <v>3500</v>
      </c>
      <c r="M377" s="7">
        <f t="shared" si="5"/>
        <v>35000</v>
      </c>
      <c r="N377" s="4"/>
      <c r="O377" s="9"/>
    </row>
    <row r="378" spans="1:15" ht="20" customHeight="1" x14ac:dyDescent="0.2">
      <c r="A378" s="3">
        <v>374</v>
      </c>
      <c r="B378" s="19"/>
      <c r="C378" s="4" t="s">
        <v>5282</v>
      </c>
      <c r="D378" s="4" t="s">
        <v>4909</v>
      </c>
      <c r="E378" s="4" t="s">
        <v>271</v>
      </c>
      <c r="F378" s="8"/>
      <c r="G378" s="8"/>
      <c r="H378" s="8">
        <v>10</v>
      </c>
      <c r="I378" s="8"/>
      <c r="J378" s="8"/>
      <c r="K378" s="8">
        <v>10</v>
      </c>
      <c r="L378" s="18">
        <v>3500</v>
      </c>
      <c r="M378" s="7">
        <f t="shared" si="5"/>
        <v>35000</v>
      </c>
      <c r="N378" s="4"/>
      <c r="O378" s="9"/>
    </row>
    <row r="379" spans="1:15" ht="20" customHeight="1" x14ac:dyDescent="0.2">
      <c r="A379" s="3">
        <v>375</v>
      </c>
      <c r="B379" s="19"/>
      <c r="C379" s="4" t="s">
        <v>5283</v>
      </c>
      <c r="D379" s="4" t="s">
        <v>4909</v>
      </c>
      <c r="E379" s="4" t="s">
        <v>271</v>
      </c>
      <c r="F379" s="8"/>
      <c r="G379" s="8"/>
      <c r="H379" s="8">
        <v>1</v>
      </c>
      <c r="I379" s="8"/>
      <c r="J379" s="8"/>
      <c r="K379" s="8">
        <v>1</v>
      </c>
      <c r="L379" s="18">
        <v>19800</v>
      </c>
      <c r="M379" s="7">
        <f t="shared" si="5"/>
        <v>19800</v>
      </c>
      <c r="N379" s="4"/>
      <c r="O379" s="9"/>
    </row>
    <row r="380" spans="1:15" ht="20" customHeight="1" x14ac:dyDescent="0.2">
      <c r="A380" s="3">
        <v>376</v>
      </c>
      <c r="B380" s="19"/>
      <c r="C380" s="4" t="s">
        <v>5284</v>
      </c>
      <c r="D380" s="4" t="s">
        <v>4909</v>
      </c>
      <c r="E380" s="4" t="s">
        <v>271</v>
      </c>
      <c r="F380" s="8"/>
      <c r="G380" s="8"/>
      <c r="H380" s="8">
        <v>1</v>
      </c>
      <c r="I380" s="8"/>
      <c r="J380" s="8"/>
      <c r="K380" s="8">
        <v>1</v>
      </c>
      <c r="L380" s="18">
        <v>19200</v>
      </c>
      <c r="M380" s="7">
        <f t="shared" si="5"/>
        <v>19200</v>
      </c>
      <c r="N380" s="4"/>
      <c r="O380" s="9"/>
    </row>
    <row r="381" spans="1:15" ht="20" customHeight="1" x14ac:dyDescent="0.2">
      <c r="A381" s="3">
        <v>377</v>
      </c>
      <c r="B381" s="19"/>
      <c r="C381" s="4" t="s">
        <v>5285</v>
      </c>
      <c r="D381" s="4" t="s">
        <v>4909</v>
      </c>
      <c r="E381" s="4" t="s">
        <v>271</v>
      </c>
      <c r="F381" s="8">
        <v>3</v>
      </c>
      <c r="G381" s="8">
        <v>3</v>
      </c>
      <c r="H381" s="8">
        <v>3</v>
      </c>
      <c r="I381" s="8"/>
      <c r="J381" s="8"/>
      <c r="K381" s="8">
        <v>3</v>
      </c>
      <c r="L381" s="18">
        <v>22000</v>
      </c>
      <c r="M381" s="7">
        <f t="shared" si="5"/>
        <v>66000</v>
      </c>
      <c r="N381" s="4"/>
      <c r="O381" s="9"/>
    </row>
    <row r="382" spans="1:15" ht="20" customHeight="1" x14ac:dyDescent="0.2">
      <c r="A382" s="3">
        <v>378</v>
      </c>
      <c r="B382" s="19"/>
      <c r="C382" s="4" t="s">
        <v>5286</v>
      </c>
      <c r="D382" s="4" t="s">
        <v>4909</v>
      </c>
      <c r="E382" s="4" t="s">
        <v>110</v>
      </c>
      <c r="F382" s="8">
        <v>2</v>
      </c>
      <c r="G382" s="8">
        <v>2</v>
      </c>
      <c r="H382" s="8">
        <v>2</v>
      </c>
      <c r="I382" s="8"/>
      <c r="J382" s="8"/>
      <c r="K382" s="8">
        <v>2</v>
      </c>
      <c r="L382" s="18">
        <v>12590</v>
      </c>
      <c r="M382" s="7">
        <f t="shared" si="5"/>
        <v>25180</v>
      </c>
      <c r="N382" s="4"/>
      <c r="O382" s="9"/>
    </row>
    <row r="383" spans="1:15" ht="20" customHeight="1" x14ac:dyDescent="0.2">
      <c r="A383" s="3">
        <v>379</v>
      </c>
      <c r="B383" s="19"/>
      <c r="C383" s="4" t="s">
        <v>5287</v>
      </c>
      <c r="D383" s="4" t="s">
        <v>4909</v>
      </c>
      <c r="E383" s="4" t="s">
        <v>110</v>
      </c>
      <c r="F383" s="8">
        <v>1</v>
      </c>
      <c r="G383" s="8">
        <v>1</v>
      </c>
      <c r="H383" s="8">
        <v>1</v>
      </c>
      <c r="I383" s="8"/>
      <c r="J383" s="8"/>
      <c r="K383" s="8">
        <v>1</v>
      </c>
      <c r="L383" s="18">
        <v>25000</v>
      </c>
      <c r="M383" s="7">
        <f t="shared" si="5"/>
        <v>25000</v>
      </c>
      <c r="N383" s="4"/>
      <c r="O383" s="9"/>
    </row>
    <row r="384" spans="1:15" ht="20" customHeight="1" x14ac:dyDescent="0.2">
      <c r="A384" s="3">
        <v>380</v>
      </c>
      <c r="B384" s="19"/>
      <c r="C384" s="4" t="s">
        <v>5288</v>
      </c>
      <c r="D384" s="4" t="s">
        <v>4909</v>
      </c>
      <c r="E384" s="4" t="s">
        <v>271</v>
      </c>
      <c r="F384" s="8">
        <v>3</v>
      </c>
      <c r="G384" s="8">
        <v>3</v>
      </c>
      <c r="H384" s="8">
        <v>3</v>
      </c>
      <c r="I384" s="8"/>
      <c r="J384" s="8"/>
      <c r="K384" s="8">
        <v>3</v>
      </c>
      <c r="L384" s="18">
        <v>8590</v>
      </c>
      <c r="M384" s="7">
        <f t="shared" si="5"/>
        <v>25770</v>
      </c>
      <c r="N384" s="4"/>
      <c r="O384" s="9"/>
    </row>
    <row r="385" spans="1:15" ht="20" customHeight="1" x14ac:dyDescent="0.2">
      <c r="A385" s="3">
        <v>381</v>
      </c>
      <c r="B385" s="19"/>
      <c r="C385" s="4" t="s">
        <v>5289</v>
      </c>
      <c r="D385" s="4" t="s">
        <v>4909</v>
      </c>
      <c r="E385" s="4" t="s">
        <v>271</v>
      </c>
      <c r="F385" s="8">
        <v>5</v>
      </c>
      <c r="G385" s="8">
        <v>5</v>
      </c>
      <c r="H385" s="8">
        <v>5</v>
      </c>
      <c r="I385" s="8"/>
      <c r="J385" s="8"/>
      <c r="K385" s="8">
        <v>5</v>
      </c>
      <c r="L385" s="18">
        <v>7500</v>
      </c>
      <c r="M385" s="7">
        <f t="shared" si="5"/>
        <v>37500</v>
      </c>
      <c r="N385" s="4"/>
      <c r="O385" s="9"/>
    </row>
    <row r="386" spans="1:15" ht="20" customHeight="1" x14ac:dyDescent="0.2">
      <c r="A386" s="3">
        <v>382</v>
      </c>
      <c r="B386" s="19"/>
      <c r="C386" s="4" t="s">
        <v>5290</v>
      </c>
      <c r="D386" s="4" t="s">
        <v>4909</v>
      </c>
      <c r="E386" s="4" t="s">
        <v>110</v>
      </c>
      <c r="F386" s="8"/>
      <c r="G386" s="8"/>
      <c r="H386" s="8">
        <v>2</v>
      </c>
      <c r="I386" s="8"/>
      <c r="J386" s="8"/>
      <c r="K386" s="8">
        <v>1</v>
      </c>
      <c r="L386" s="18">
        <v>8500</v>
      </c>
      <c r="M386" s="7">
        <f t="shared" si="5"/>
        <v>8500</v>
      </c>
      <c r="N386" s="4"/>
      <c r="O386" s="9"/>
    </row>
    <row r="387" spans="1:15" ht="20" customHeight="1" x14ac:dyDescent="0.2">
      <c r="A387" s="3">
        <v>383</v>
      </c>
      <c r="B387" s="19"/>
      <c r="C387" s="4" t="s">
        <v>5291</v>
      </c>
      <c r="D387" s="4" t="s">
        <v>4909</v>
      </c>
      <c r="E387" s="4" t="s">
        <v>271</v>
      </c>
      <c r="F387" s="8">
        <v>3</v>
      </c>
      <c r="G387" s="8">
        <v>3</v>
      </c>
      <c r="H387" s="8">
        <v>5</v>
      </c>
      <c r="I387" s="8"/>
      <c r="J387" s="8"/>
      <c r="K387" s="8">
        <v>5</v>
      </c>
      <c r="L387" s="18">
        <v>4000</v>
      </c>
      <c r="M387" s="7">
        <f t="shared" si="5"/>
        <v>20000</v>
      </c>
      <c r="N387" s="4"/>
      <c r="O387" s="9"/>
    </row>
    <row r="388" spans="1:15" ht="20" customHeight="1" x14ac:dyDescent="0.2">
      <c r="A388" s="3">
        <v>384</v>
      </c>
      <c r="B388" s="19"/>
      <c r="C388" s="4" t="s">
        <v>5292</v>
      </c>
      <c r="D388" s="4" t="s">
        <v>4909</v>
      </c>
      <c r="E388" s="4" t="s">
        <v>110</v>
      </c>
      <c r="F388" s="8">
        <v>2</v>
      </c>
      <c r="G388" s="8">
        <v>2</v>
      </c>
      <c r="H388" s="8">
        <v>2</v>
      </c>
      <c r="I388" s="8"/>
      <c r="J388" s="8"/>
      <c r="K388" s="8">
        <v>2</v>
      </c>
      <c r="L388" s="18">
        <v>12000</v>
      </c>
      <c r="M388" s="7">
        <f t="shared" si="5"/>
        <v>24000</v>
      </c>
      <c r="N388" s="4"/>
      <c r="O388" s="9"/>
    </row>
    <row r="389" spans="1:15" ht="20" customHeight="1" x14ac:dyDescent="0.2">
      <c r="A389" s="3">
        <v>385</v>
      </c>
      <c r="B389" s="19"/>
      <c r="C389" s="4" t="s">
        <v>5293</v>
      </c>
      <c r="D389" s="4" t="s">
        <v>4909</v>
      </c>
      <c r="E389" s="4" t="s">
        <v>684</v>
      </c>
      <c r="F389" s="8">
        <v>80</v>
      </c>
      <c r="G389" s="8">
        <v>80</v>
      </c>
      <c r="H389" s="8">
        <v>80</v>
      </c>
      <c r="I389" s="8"/>
      <c r="J389" s="8"/>
      <c r="K389" s="8">
        <v>100</v>
      </c>
      <c r="L389" s="18">
        <v>4800</v>
      </c>
      <c r="M389" s="7">
        <f t="shared" ref="M389:M452" si="6">IF(OR(K389="",L389=""),"",K389*L389)</f>
        <v>480000</v>
      </c>
      <c r="N389" s="4"/>
      <c r="O389" s="9"/>
    </row>
    <row r="390" spans="1:15" ht="20" customHeight="1" x14ac:dyDescent="0.2">
      <c r="A390" s="3">
        <v>386</v>
      </c>
      <c r="B390" s="19"/>
      <c r="C390" s="4" t="s">
        <v>5294</v>
      </c>
      <c r="D390" s="4" t="s">
        <v>4909</v>
      </c>
      <c r="E390" s="4" t="s">
        <v>152</v>
      </c>
      <c r="F390" s="8"/>
      <c r="G390" s="8"/>
      <c r="H390" s="8">
        <v>5</v>
      </c>
      <c r="I390" s="8"/>
      <c r="J390" s="8"/>
      <c r="K390" s="8">
        <v>0</v>
      </c>
      <c r="L390" s="18">
        <v>20570.55</v>
      </c>
      <c r="M390" s="7">
        <f t="shared" si="6"/>
        <v>0</v>
      </c>
      <c r="N390" s="4"/>
      <c r="O390" s="9"/>
    </row>
    <row r="391" spans="1:15" ht="20" customHeight="1" x14ac:dyDescent="0.2">
      <c r="A391" s="3">
        <v>387</v>
      </c>
      <c r="B391" s="19"/>
      <c r="C391" s="4" t="s">
        <v>5295</v>
      </c>
      <c r="D391" s="4" t="s">
        <v>4909</v>
      </c>
      <c r="E391" s="4" t="s">
        <v>152</v>
      </c>
      <c r="F391" s="8"/>
      <c r="G391" s="8"/>
      <c r="H391" s="8">
        <v>1</v>
      </c>
      <c r="I391" s="8"/>
      <c r="J391" s="8"/>
      <c r="K391" s="8">
        <v>0</v>
      </c>
      <c r="L391" s="18">
        <v>20570.55</v>
      </c>
      <c r="M391" s="7">
        <f t="shared" si="6"/>
        <v>0</v>
      </c>
      <c r="N391" s="4"/>
      <c r="O391" s="9"/>
    </row>
    <row r="392" spans="1:15" ht="20" customHeight="1" x14ac:dyDescent="0.2">
      <c r="A392" s="3">
        <v>388</v>
      </c>
      <c r="B392" s="19"/>
      <c r="C392" s="4" t="s">
        <v>5296</v>
      </c>
      <c r="D392" s="4" t="s">
        <v>4909</v>
      </c>
      <c r="E392" s="4" t="s">
        <v>152</v>
      </c>
      <c r="F392" s="8"/>
      <c r="G392" s="8"/>
      <c r="H392" s="8">
        <v>1</v>
      </c>
      <c r="I392" s="8"/>
      <c r="J392" s="8"/>
      <c r="K392" s="8">
        <v>0</v>
      </c>
      <c r="L392" s="18">
        <v>20570.55</v>
      </c>
      <c r="M392" s="7">
        <f t="shared" si="6"/>
        <v>0</v>
      </c>
      <c r="N392" s="4"/>
      <c r="O392" s="9"/>
    </row>
    <row r="393" spans="1:15" ht="20" customHeight="1" x14ac:dyDescent="0.2">
      <c r="A393" s="3">
        <v>389</v>
      </c>
      <c r="B393" s="19"/>
      <c r="C393" s="4" t="s">
        <v>5297</v>
      </c>
      <c r="D393" s="4" t="s">
        <v>4909</v>
      </c>
      <c r="E393" s="4" t="s">
        <v>152</v>
      </c>
      <c r="F393" s="8"/>
      <c r="G393" s="8"/>
      <c r="H393" s="8">
        <v>1</v>
      </c>
      <c r="I393" s="8"/>
      <c r="J393" s="8"/>
      <c r="K393" s="8">
        <v>0</v>
      </c>
      <c r="L393" s="18">
        <v>20570.55</v>
      </c>
      <c r="M393" s="7">
        <f t="shared" si="6"/>
        <v>0</v>
      </c>
      <c r="N393" s="4"/>
      <c r="O393" s="9"/>
    </row>
    <row r="394" spans="1:15" ht="20" customHeight="1" x14ac:dyDescent="0.2">
      <c r="A394" s="3">
        <v>390</v>
      </c>
      <c r="B394" s="19"/>
      <c r="C394" s="4" t="s">
        <v>5298</v>
      </c>
      <c r="D394" s="4" t="s">
        <v>4909</v>
      </c>
      <c r="E394" s="4" t="s">
        <v>152</v>
      </c>
      <c r="F394" s="8"/>
      <c r="G394" s="8"/>
      <c r="H394" s="8">
        <v>1</v>
      </c>
      <c r="I394" s="8"/>
      <c r="J394" s="8"/>
      <c r="K394" s="8">
        <v>0</v>
      </c>
      <c r="L394" s="18">
        <v>20570.55</v>
      </c>
      <c r="M394" s="7">
        <f t="shared" si="6"/>
        <v>0</v>
      </c>
      <c r="N394" s="4"/>
      <c r="O394" s="9"/>
    </row>
    <row r="395" spans="1:15" ht="20" customHeight="1" x14ac:dyDescent="0.2">
      <c r="A395" s="3">
        <v>391</v>
      </c>
      <c r="B395" s="19"/>
      <c r="C395" s="4" t="s">
        <v>5299</v>
      </c>
      <c r="D395" s="4" t="s">
        <v>4909</v>
      </c>
      <c r="E395" s="4" t="s">
        <v>152</v>
      </c>
      <c r="F395" s="8"/>
      <c r="G395" s="8"/>
      <c r="H395" s="8">
        <v>9</v>
      </c>
      <c r="I395" s="8"/>
      <c r="J395" s="8"/>
      <c r="K395" s="8">
        <v>0</v>
      </c>
      <c r="L395" s="18">
        <v>12047.75</v>
      </c>
      <c r="M395" s="7">
        <f t="shared" si="6"/>
        <v>0</v>
      </c>
      <c r="N395" s="4"/>
      <c r="O395" s="9"/>
    </row>
    <row r="396" spans="1:15" ht="20" customHeight="1" x14ac:dyDescent="0.2">
      <c r="A396" s="3">
        <v>392</v>
      </c>
      <c r="B396" s="19"/>
      <c r="C396" s="4" t="s">
        <v>5300</v>
      </c>
      <c r="D396" s="4" t="s">
        <v>4909</v>
      </c>
      <c r="E396" s="4" t="s">
        <v>152</v>
      </c>
      <c r="F396" s="8"/>
      <c r="G396" s="8"/>
      <c r="H396" s="8">
        <v>5</v>
      </c>
      <c r="I396" s="8"/>
      <c r="J396" s="8"/>
      <c r="K396" s="8">
        <v>0</v>
      </c>
      <c r="L396" s="18">
        <v>18547.75</v>
      </c>
      <c r="M396" s="7">
        <f t="shared" si="6"/>
        <v>0</v>
      </c>
      <c r="N396" s="4"/>
      <c r="O396" s="9"/>
    </row>
    <row r="397" spans="1:15" ht="20" customHeight="1" x14ac:dyDescent="0.2">
      <c r="A397" s="3">
        <v>393</v>
      </c>
      <c r="B397" s="19"/>
      <c r="C397" s="4" t="s">
        <v>5301</v>
      </c>
      <c r="D397" s="4" t="s">
        <v>4909</v>
      </c>
      <c r="E397" s="4" t="s">
        <v>152</v>
      </c>
      <c r="F397" s="8"/>
      <c r="G397" s="8"/>
      <c r="H397" s="8">
        <v>4</v>
      </c>
      <c r="I397" s="8"/>
      <c r="J397" s="8"/>
      <c r="K397" s="8">
        <v>0</v>
      </c>
      <c r="L397" s="18">
        <v>12047.75</v>
      </c>
      <c r="M397" s="7">
        <f t="shared" si="6"/>
        <v>0</v>
      </c>
      <c r="N397" s="4"/>
      <c r="O397" s="9"/>
    </row>
    <row r="398" spans="1:15" ht="20" customHeight="1" x14ac:dyDescent="0.2">
      <c r="A398" s="3">
        <v>394</v>
      </c>
      <c r="B398" s="19"/>
      <c r="C398" s="4" t="s">
        <v>5302</v>
      </c>
      <c r="D398" s="4" t="s">
        <v>4909</v>
      </c>
      <c r="E398" s="4" t="s">
        <v>152</v>
      </c>
      <c r="F398" s="8"/>
      <c r="G398" s="8"/>
      <c r="H398" s="8">
        <v>1</v>
      </c>
      <c r="I398" s="8"/>
      <c r="J398" s="8"/>
      <c r="K398" s="8">
        <v>0</v>
      </c>
      <c r="L398" s="18">
        <v>37531.85</v>
      </c>
      <c r="M398" s="7">
        <f t="shared" si="6"/>
        <v>0</v>
      </c>
      <c r="N398" s="4"/>
      <c r="O398" s="9"/>
    </row>
    <row r="399" spans="1:15" ht="20" customHeight="1" x14ac:dyDescent="0.2">
      <c r="A399" s="3">
        <v>395</v>
      </c>
      <c r="B399" s="19"/>
      <c r="C399" s="4" t="s">
        <v>5303</v>
      </c>
      <c r="D399" s="4" t="s">
        <v>4909</v>
      </c>
      <c r="E399" s="4" t="s">
        <v>110</v>
      </c>
      <c r="F399" s="8"/>
      <c r="G399" s="8"/>
      <c r="H399" s="8">
        <v>1</v>
      </c>
      <c r="I399" s="8"/>
      <c r="J399" s="8"/>
      <c r="K399" s="8">
        <v>0</v>
      </c>
      <c r="L399" s="18">
        <v>26976.95</v>
      </c>
      <c r="M399" s="7">
        <f t="shared" si="6"/>
        <v>0</v>
      </c>
      <c r="N399" s="4"/>
      <c r="O399" s="9"/>
    </row>
    <row r="400" spans="1:15" ht="20" customHeight="1" x14ac:dyDescent="0.2">
      <c r="A400" s="3">
        <v>396</v>
      </c>
      <c r="B400" s="19"/>
      <c r="C400" s="4" t="s">
        <v>5304</v>
      </c>
      <c r="D400" s="4" t="s">
        <v>4909</v>
      </c>
      <c r="E400" s="4" t="s">
        <v>152</v>
      </c>
      <c r="F400" s="8"/>
      <c r="G400" s="8"/>
      <c r="H400" s="8">
        <v>5</v>
      </c>
      <c r="I400" s="8"/>
      <c r="J400" s="8"/>
      <c r="K400" s="8">
        <v>0</v>
      </c>
      <c r="L400" s="18">
        <v>21577.5</v>
      </c>
      <c r="M400" s="7">
        <f t="shared" si="6"/>
        <v>0</v>
      </c>
      <c r="N400" s="4"/>
      <c r="O400" s="9"/>
    </row>
    <row r="401" spans="1:15" ht="20" customHeight="1" x14ac:dyDescent="0.2">
      <c r="A401" s="3">
        <v>397</v>
      </c>
      <c r="B401" s="19"/>
      <c r="C401" s="4" t="s">
        <v>5305</v>
      </c>
      <c r="D401" s="4" t="s">
        <v>4909</v>
      </c>
      <c r="E401" s="4" t="s">
        <v>152</v>
      </c>
      <c r="F401" s="8"/>
      <c r="G401" s="8"/>
      <c r="H401" s="8">
        <v>5</v>
      </c>
      <c r="I401" s="8"/>
      <c r="J401" s="8"/>
      <c r="K401" s="8">
        <v>0</v>
      </c>
      <c r="L401" s="18">
        <v>19455</v>
      </c>
      <c r="M401" s="7">
        <f t="shared" si="6"/>
        <v>0</v>
      </c>
      <c r="N401" s="4"/>
      <c r="O401" s="9"/>
    </row>
    <row r="402" spans="1:15" ht="20" customHeight="1" x14ac:dyDescent="0.2">
      <c r="A402" s="3">
        <v>398</v>
      </c>
      <c r="B402" s="19"/>
      <c r="C402" s="4" t="s">
        <v>5306</v>
      </c>
      <c r="D402" s="4" t="s">
        <v>4909</v>
      </c>
      <c r="E402" s="4" t="s">
        <v>152</v>
      </c>
      <c r="F402" s="8"/>
      <c r="G402" s="8"/>
      <c r="H402" s="8">
        <v>5</v>
      </c>
      <c r="I402" s="8"/>
      <c r="J402" s="8"/>
      <c r="K402" s="8">
        <v>0</v>
      </c>
      <c r="L402" s="18">
        <v>12637.5</v>
      </c>
      <c r="M402" s="7">
        <f t="shared" si="6"/>
        <v>0</v>
      </c>
      <c r="N402" s="4"/>
      <c r="O402" s="9"/>
    </row>
    <row r="403" spans="1:15" ht="20" customHeight="1" x14ac:dyDescent="0.2">
      <c r="A403" s="3">
        <v>399</v>
      </c>
      <c r="B403" s="19"/>
      <c r="C403" s="4" t="s">
        <v>5307</v>
      </c>
      <c r="D403" s="4" t="s">
        <v>4909</v>
      </c>
      <c r="E403" s="4" t="s">
        <v>271</v>
      </c>
      <c r="F403" s="8">
        <v>12</v>
      </c>
      <c r="G403" s="8">
        <v>12</v>
      </c>
      <c r="H403" s="8">
        <v>12</v>
      </c>
      <c r="I403" s="8"/>
      <c r="J403" s="8"/>
      <c r="K403" s="8">
        <v>12</v>
      </c>
      <c r="L403" s="18">
        <v>3210</v>
      </c>
      <c r="M403" s="7">
        <f t="shared" si="6"/>
        <v>38520</v>
      </c>
      <c r="N403" s="4"/>
      <c r="O403" s="9"/>
    </row>
    <row r="404" spans="1:15" ht="20" customHeight="1" x14ac:dyDescent="0.2">
      <c r="A404" s="3">
        <v>400</v>
      </c>
      <c r="B404" s="19"/>
      <c r="C404" s="4" t="s">
        <v>5308</v>
      </c>
      <c r="D404" s="4" t="s">
        <v>4909</v>
      </c>
      <c r="E404" s="4" t="s">
        <v>271</v>
      </c>
      <c r="F404" s="8">
        <v>12</v>
      </c>
      <c r="G404" s="8">
        <v>12</v>
      </c>
      <c r="H404" s="8">
        <v>12</v>
      </c>
      <c r="I404" s="8"/>
      <c r="J404" s="8"/>
      <c r="K404" s="8">
        <v>12</v>
      </c>
      <c r="L404" s="18">
        <v>3138.67</v>
      </c>
      <c r="M404" s="7">
        <f t="shared" si="6"/>
        <v>37664.04</v>
      </c>
      <c r="N404" s="4"/>
      <c r="O404" s="9"/>
    </row>
    <row r="405" spans="1:15" ht="20" customHeight="1" x14ac:dyDescent="0.2">
      <c r="A405" s="3">
        <v>401</v>
      </c>
      <c r="B405" s="19"/>
      <c r="C405" s="4" t="s">
        <v>5309</v>
      </c>
      <c r="D405" s="4" t="s">
        <v>4909</v>
      </c>
      <c r="E405" s="4" t="s">
        <v>196</v>
      </c>
      <c r="F405" s="8">
        <v>1</v>
      </c>
      <c r="G405" s="8">
        <v>1</v>
      </c>
      <c r="H405" s="8">
        <v>1</v>
      </c>
      <c r="I405" s="8"/>
      <c r="J405" s="8"/>
      <c r="K405" s="8">
        <v>1</v>
      </c>
      <c r="L405" s="18">
        <v>61525</v>
      </c>
      <c r="M405" s="7">
        <f t="shared" si="6"/>
        <v>61525</v>
      </c>
      <c r="N405" s="4"/>
      <c r="O405" s="9"/>
    </row>
    <row r="406" spans="1:15" ht="20" customHeight="1" x14ac:dyDescent="0.2">
      <c r="A406" s="3">
        <v>402</v>
      </c>
      <c r="B406" s="19"/>
      <c r="C406" s="4" t="s">
        <v>5310</v>
      </c>
      <c r="D406" s="4" t="s">
        <v>4909</v>
      </c>
      <c r="E406" s="4" t="s">
        <v>271</v>
      </c>
      <c r="F406" s="8">
        <v>5</v>
      </c>
      <c r="G406" s="8">
        <v>5</v>
      </c>
      <c r="H406" s="8">
        <v>5</v>
      </c>
      <c r="I406" s="8"/>
      <c r="J406" s="8"/>
      <c r="K406" s="8">
        <v>5</v>
      </c>
      <c r="L406" s="18">
        <v>749</v>
      </c>
      <c r="M406" s="7">
        <f t="shared" si="6"/>
        <v>3745</v>
      </c>
      <c r="N406" s="4"/>
      <c r="O406" s="9"/>
    </row>
    <row r="407" spans="1:15" ht="20" customHeight="1" x14ac:dyDescent="0.2">
      <c r="A407" s="3">
        <v>403</v>
      </c>
      <c r="B407" s="19"/>
      <c r="C407" s="4" t="s">
        <v>5311</v>
      </c>
      <c r="D407" s="4" t="s">
        <v>4909</v>
      </c>
      <c r="E407" s="4" t="s">
        <v>271</v>
      </c>
      <c r="F407" s="8"/>
      <c r="G407" s="8"/>
      <c r="H407" s="8">
        <v>4</v>
      </c>
      <c r="I407" s="8"/>
      <c r="J407" s="8"/>
      <c r="K407" s="8">
        <v>0</v>
      </c>
      <c r="L407" s="18">
        <v>14124</v>
      </c>
      <c r="M407" s="7">
        <f t="shared" si="6"/>
        <v>0</v>
      </c>
      <c r="N407" s="4"/>
      <c r="O407" s="9"/>
    </row>
    <row r="408" spans="1:15" ht="20" customHeight="1" x14ac:dyDescent="0.2">
      <c r="A408" s="3">
        <v>404</v>
      </c>
      <c r="B408" s="19"/>
      <c r="C408" s="4" t="s">
        <v>5312</v>
      </c>
      <c r="D408" s="4" t="s">
        <v>4909</v>
      </c>
      <c r="E408" s="4" t="s">
        <v>271</v>
      </c>
      <c r="F408" s="8"/>
      <c r="G408" s="8"/>
      <c r="H408" s="8">
        <v>1</v>
      </c>
      <c r="I408" s="8"/>
      <c r="J408" s="8"/>
      <c r="K408" s="8">
        <v>0</v>
      </c>
      <c r="L408" s="18">
        <v>8560</v>
      </c>
      <c r="M408" s="7">
        <f t="shared" si="6"/>
        <v>0</v>
      </c>
      <c r="N408" s="4"/>
      <c r="O408" s="9"/>
    </row>
    <row r="409" spans="1:15" ht="20" customHeight="1" x14ac:dyDescent="0.2">
      <c r="A409" s="3">
        <v>405</v>
      </c>
      <c r="B409" s="19"/>
      <c r="C409" s="4" t="s">
        <v>5313</v>
      </c>
      <c r="D409" s="4" t="s">
        <v>4909</v>
      </c>
      <c r="E409" s="4" t="s">
        <v>271</v>
      </c>
      <c r="F409" s="8"/>
      <c r="G409" s="8"/>
      <c r="H409" s="8">
        <v>3</v>
      </c>
      <c r="I409" s="8"/>
      <c r="J409" s="8"/>
      <c r="K409" s="8">
        <v>0</v>
      </c>
      <c r="L409" s="18">
        <v>12840</v>
      </c>
      <c r="M409" s="7">
        <f t="shared" si="6"/>
        <v>0</v>
      </c>
      <c r="N409" s="4"/>
      <c r="O409" s="9"/>
    </row>
    <row r="410" spans="1:15" ht="20" customHeight="1" x14ac:dyDescent="0.2">
      <c r="A410" s="3">
        <v>406</v>
      </c>
      <c r="B410" s="19"/>
      <c r="C410" s="4" t="s">
        <v>5314</v>
      </c>
      <c r="D410" s="4" t="s">
        <v>4909</v>
      </c>
      <c r="E410" s="4" t="s">
        <v>271</v>
      </c>
      <c r="F410" s="8"/>
      <c r="G410" s="8"/>
      <c r="H410" s="8">
        <v>1</v>
      </c>
      <c r="I410" s="8"/>
      <c r="J410" s="8"/>
      <c r="K410" s="8">
        <v>0</v>
      </c>
      <c r="L410" s="18">
        <v>7000</v>
      </c>
      <c r="M410" s="7">
        <f t="shared" si="6"/>
        <v>0</v>
      </c>
      <c r="N410" s="4"/>
      <c r="O410" s="9"/>
    </row>
    <row r="411" spans="1:15" ht="20" customHeight="1" x14ac:dyDescent="0.2">
      <c r="A411" s="3">
        <v>407</v>
      </c>
      <c r="B411" s="19"/>
      <c r="C411" s="4" t="s">
        <v>5315</v>
      </c>
      <c r="D411" s="4" t="s">
        <v>4909</v>
      </c>
      <c r="E411" s="4" t="s">
        <v>271</v>
      </c>
      <c r="F411" s="8"/>
      <c r="G411" s="8"/>
      <c r="H411" s="8">
        <v>1</v>
      </c>
      <c r="I411" s="8"/>
      <c r="J411" s="8"/>
      <c r="K411" s="8">
        <v>0</v>
      </c>
      <c r="L411" s="18">
        <v>8000</v>
      </c>
      <c r="M411" s="7">
        <f t="shared" si="6"/>
        <v>0</v>
      </c>
      <c r="N411" s="4"/>
      <c r="O411" s="9"/>
    </row>
    <row r="412" spans="1:15" ht="20" customHeight="1" x14ac:dyDescent="0.2">
      <c r="A412" s="3">
        <v>408</v>
      </c>
      <c r="B412" s="19"/>
      <c r="C412" s="4" t="s">
        <v>5316</v>
      </c>
      <c r="D412" s="4" t="s">
        <v>4909</v>
      </c>
      <c r="E412" s="4" t="s">
        <v>271</v>
      </c>
      <c r="F412" s="8"/>
      <c r="G412" s="8"/>
      <c r="H412" s="8">
        <v>1</v>
      </c>
      <c r="I412" s="8"/>
      <c r="J412" s="8"/>
      <c r="K412" s="8">
        <v>0</v>
      </c>
      <c r="L412" s="18">
        <v>8000</v>
      </c>
      <c r="M412" s="7">
        <f t="shared" si="6"/>
        <v>0</v>
      </c>
      <c r="N412" s="4"/>
      <c r="O412" s="9"/>
    </row>
    <row r="413" spans="1:15" ht="20" customHeight="1" x14ac:dyDescent="0.2">
      <c r="A413" s="3">
        <v>409</v>
      </c>
      <c r="B413" s="19"/>
      <c r="C413" s="4" t="s">
        <v>5317</v>
      </c>
      <c r="D413" s="4" t="s">
        <v>4909</v>
      </c>
      <c r="E413" s="4" t="s">
        <v>271</v>
      </c>
      <c r="F413" s="8"/>
      <c r="G413" s="8"/>
      <c r="H413" s="8">
        <v>1</v>
      </c>
      <c r="I413" s="8"/>
      <c r="J413" s="8"/>
      <c r="K413" s="8">
        <v>0</v>
      </c>
      <c r="L413" s="18">
        <v>8000</v>
      </c>
      <c r="M413" s="7">
        <f t="shared" si="6"/>
        <v>0</v>
      </c>
      <c r="N413" s="4"/>
      <c r="O413" s="9"/>
    </row>
    <row r="414" spans="1:15" ht="20" customHeight="1" x14ac:dyDescent="0.2">
      <c r="A414" s="3">
        <v>410</v>
      </c>
      <c r="B414" s="19"/>
      <c r="C414" s="4" t="s">
        <v>5318</v>
      </c>
      <c r="D414" s="4" t="s">
        <v>4909</v>
      </c>
      <c r="E414" s="4" t="s">
        <v>271</v>
      </c>
      <c r="F414" s="8"/>
      <c r="G414" s="8"/>
      <c r="H414" s="8">
        <v>4</v>
      </c>
      <c r="I414" s="8"/>
      <c r="J414" s="8"/>
      <c r="K414" s="8">
        <v>0</v>
      </c>
      <c r="L414" s="18">
        <v>20000</v>
      </c>
      <c r="M414" s="7">
        <f t="shared" si="6"/>
        <v>0</v>
      </c>
      <c r="N414" s="4"/>
      <c r="O414" s="9"/>
    </row>
    <row r="415" spans="1:15" ht="20" customHeight="1" x14ac:dyDescent="0.2">
      <c r="A415" s="3">
        <v>411</v>
      </c>
      <c r="B415" s="19"/>
      <c r="C415" s="4" t="s">
        <v>5319</v>
      </c>
      <c r="D415" s="4" t="s">
        <v>4909</v>
      </c>
      <c r="E415" s="4" t="s">
        <v>271</v>
      </c>
      <c r="F415" s="8"/>
      <c r="G415" s="8"/>
      <c r="H415" s="8">
        <v>2</v>
      </c>
      <c r="I415" s="8"/>
      <c r="J415" s="8"/>
      <c r="K415" s="8">
        <v>0</v>
      </c>
      <c r="L415" s="18">
        <v>32100</v>
      </c>
      <c r="M415" s="7">
        <f t="shared" si="6"/>
        <v>0</v>
      </c>
      <c r="N415" s="4"/>
      <c r="O415" s="9"/>
    </row>
    <row r="416" spans="1:15" ht="20" customHeight="1" x14ac:dyDescent="0.2">
      <c r="A416" s="3">
        <v>412</v>
      </c>
      <c r="B416" s="19"/>
      <c r="C416" s="4" t="s">
        <v>5320</v>
      </c>
      <c r="D416" s="4" t="s">
        <v>4909</v>
      </c>
      <c r="E416" s="4" t="s">
        <v>271</v>
      </c>
      <c r="F416" s="8"/>
      <c r="G416" s="8"/>
      <c r="H416" s="8">
        <v>3</v>
      </c>
      <c r="I416" s="8"/>
      <c r="J416" s="8"/>
      <c r="K416" s="8">
        <v>3</v>
      </c>
      <c r="L416" s="18">
        <v>12840</v>
      </c>
      <c r="M416" s="7">
        <f t="shared" si="6"/>
        <v>38520</v>
      </c>
      <c r="N416" s="4"/>
      <c r="O416" s="9"/>
    </row>
    <row r="417" spans="1:15" ht="20" customHeight="1" x14ac:dyDescent="0.2">
      <c r="A417" s="3">
        <v>413</v>
      </c>
      <c r="B417" s="19"/>
      <c r="C417" s="4" t="s">
        <v>5321</v>
      </c>
      <c r="D417" s="4" t="s">
        <v>4909</v>
      </c>
      <c r="E417" s="4" t="s">
        <v>271</v>
      </c>
      <c r="F417" s="8"/>
      <c r="G417" s="8"/>
      <c r="H417" s="8">
        <v>5</v>
      </c>
      <c r="I417" s="8"/>
      <c r="J417" s="8"/>
      <c r="K417" s="8">
        <v>5</v>
      </c>
      <c r="L417" s="18">
        <v>11700</v>
      </c>
      <c r="M417" s="7">
        <f t="shared" si="6"/>
        <v>58500</v>
      </c>
      <c r="N417" s="4"/>
      <c r="O417" s="9"/>
    </row>
    <row r="418" spans="1:15" ht="20" customHeight="1" x14ac:dyDescent="0.2">
      <c r="A418" s="3">
        <v>414</v>
      </c>
      <c r="B418" s="19"/>
      <c r="C418" s="4" t="s">
        <v>5322</v>
      </c>
      <c r="D418" s="4" t="s">
        <v>4909</v>
      </c>
      <c r="E418" s="4" t="s">
        <v>271</v>
      </c>
      <c r="F418" s="8"/>
      <c r="G418" s="8">
        <v>3</v>
      </c>
      <c r="H418" s="8">
        <v>3</v>
      </c>
      <c r="I418" s="8"/>
      <c r="J418" s="8"/>
      <c r="K418" s="8">
        <v>3</v>
      </c>
      <c r="L418" s="18">
        <v>10700</v>
      </c>
      <c r="M418" s="7">
        <f t="shared" si="6"/>
        <v>32100</v>
      </c>
      <c r="N418" s="4"/>
      <c r="O418" s="9"/>
    </row>
    <row r="419" spans="1:15" ht="20" customHeight="1" x14ac:dyDescent="0.2">
      <c r="A419" s="3">
        <v>415</v>
      </c>
      <c r="B419" s="19"/>
      <c r="C419" s="4" t="s">
        <v>5323</v>
      </c>
      <c r="D419" s="4" t="s">
        <v>4909</v>
      </c>
      <c r="E419" s="4" t="s">
        <v>271</v>
      </c>
      <c r="F419" s="8"/>
      <c r="G419" s="8">
        <v>3</v>
      </c>
      <c r="H419" s="8">
        <v>3</v>
      </c>
      <c r="I419" s="8"/>
      <c r="J419" s="8"/>
      <c r="K419" s="8">
        <v>3</v>
      </c>
      <c r="L419" s="18">
        <v>11770</v>
      </c>
      <c r="M419" s="7">
        <f t="shared" si="6"/>
        <v>35310</v>
      </c>
      <c r="N419" s="4"/>
      <c r="O419" s="9"/>
    </row>
    <row r="420" spans="1:15" ht="20" customHeight="1" x14ac:dyDescent="0.2">
      <c r="A420" s="3">
        <v>416</v>
      </c>
      <c r="B420" s="19"/>
      <c r="C420" s="4" t="s">
        <v>5324</v>
      </c>
      <c r="D420" s="4" t="s">
        <v>4909</v>
      </c>
      <c r="E420" s="4" t="s">
        <v>271</v>
      </c>
      <c r="F420" s="8">
        <v>3</v>
      </c>
      <c r="G420" s="8">
        <v>3</v>
      </c>
      <c r="H420" s="8">
        <v>3</v>
      </c>
      <c r="I420" s="8"/>
      <c r="J420" s="8"/>
      <c r="K420" s="8">
        <v>3</v>
      </c>
      <c r="L420" s="18">
        <v>16050</v>
      </c>
      <c r="M420" s="7">
        <f t="shared" si="6"/>
        <v>48150</v>
      </c>
      <c r="N420" s="4"/>
      <c r="O420" s="9"/>
    </row>
    <row r="421" spans="1:15" ht="20" customHeight="1" x14ac:dyDescent="0.2">
      <c r="A421" s="3">
        <v>417</v>
      </c>
      <c r="B421" s="19"/>
      <c r="C421" s="4" t="s">
        <v>5325</v>
      </c>
      <c r="D421" s="4" t="s">
        <v>4909</v>
      </c>
      <c r="E421" s="4" t="s">
        <v>271</v>
      </c>
      <c r="F421" s="8"/>
      <c r="G421" s="8"/>
      <c r="H421" s="8">
        <v>3</v>
      </c>
      <c r="I421" s="8"/>
      <c r="J421" s="8"/>
      <c r="K421" s="8">
        <v>3</v>
      </c>
      <c r="L421" s="18">
        <v>3500</v>
      </c>
      <c r="M421" s="7">
        <f t="shared" si="6"/>
        <v>10500</v>
      </c>
      <c r="N421" s="4"/>
      <c r="O421" s="9"/>
    </row>
    <row r="422" spans="1:15" ht="20" customHeight="1" x14ac:dyDescent="0.2">
      <c r="A422" s="3">
        <v>418</v>
      </c>
      <c r="B422" s="19"/>
      <c r="C422" s="4" t="s">
        <v>5326</v>
      </c>
      <c r="D422" s="4" t="s">
        <v>4909</v>
      </c>
      <c r="E422" s="4" t="s">
        <v>271</v>
      </c>
      <c r="F422" s="8"/>
      <c r="G422" s="8"/>
      <c r="H422" s="8">
        <v>1</v>
      </c>
      <c r="I422" s="8"/>
      <c r="J422" s="8"/>
      <c r="K422" s="8">
        <v>1</v>
      </c>
      <c r="L422" s="18">
        <v>7910</v>
      </c>
      <c r="M422" s="7">
        <f t="shared" si="6"/>
        <v>7910</v>
      </c>
      <c r="N422" s="4"/>
      <c r="O422" s="9"/>
    </row>
    <row r="423" spans="1:15" ht="20" customHeight="1" x14ac:dyDescent="0.2">
      <c r="A423" s="3">
        <v>419</v>
      </c>
      <c r="B423" s="19"/>
      <c r="C423" s="4" t="s">
        <v>5327</v>
      </c>
      <c r="D423" s="4" t="s">
        <v>4909</v>
      </c>
      <c r="E423" s="4" t="s">
        <v>271</v>
      </c>
      <c r="F423" s="8"/>
      <c r="G423" s="8"/>
      <c r="H423" s="8">
        <v>1</v>
      </c>
      <c r="I423" s="8"/>
      <c r="J423" s="8"/>
      <c r="K423" s="8">
        <v>1</v>
      </c>
      <c r="L423" s="18">
        <v>6600</v>
      </c>
      <c r="M423" s="7">
        <f t="shared" si="6"/>
        <v>6600</v>
      </c>
      <c r="N423" s="4"/>
      <c r="O423" s="9"/>
    </row>
    <row r="424" spans="1:15" ht="20" customHeight="1" x14ac:dyDescent="0.2">
      <c r="A424" s="3">
        <v>420</v>
      </c>
      <c r="B424" s="19"/>
      <c r="C424" s="4" t="s">
        <v>5328</v>
      </c>
      <c r="D424" s="4" t="s">
        <v>4909</v>
      </c>
      <c r="E424" s="4" t="s">
        <v>271</v>
      </c>
      <c r="F424" s="8"/>
      <c r="G424" s="8"/>
      <c r="H424" s="8">
        <v>1</v>
      </c>
      <c r="I424" s="8"/>
      <c r="J424" s="8"/>
      <c r="K424" s="8">
        <v>1</v>
      </c>
      <c r="L424" s="18">
        <v>6900</v>
      </c>
      <c r="M424" s="7">
        <f t="shared" si="6"/>
        <v>6900</v>
      </c>
      <c r="N424" s="4"/>
      <c r="O424" s="9"/>
    </row>
    <row r="425" spans="1:15" ht="20" customHeight="1" x14ac:dyDescent="0.2">
      <c r="A425" s="3">
        <v>421</v>
      </c>
      <c r="B425" s="19"/>
      <c r="C425" s="4" t="s">
        <v>5329</v>
      </c>
      <c r="D425" s="4" t="s">
        <v>4909</v>
      </c>
      <c r="E425" s="4" t="s">
        <v>271</v>
      </c>
      <c r="F425" s="8"/>
      <c r="G425" s="8"/>
      <c r="H425" s="8">
        <v>1</v>
      </c>
      <c r="I425" s="8"/>
      <c r="J425" s="8"/>
      <c r="K425" s="8">
        <v>1</v>
      </c>
      <c r="L425" s="18">
        <v>1800</v>
      </c>
      <c r="M425" s="7">
        <f t="shared" si="6"/>
        <v>1800</v>
      </c>
      <c r="N425" s="4"/>
      <c r="O425" s="9"/>
    </row>
    <row r="426" spans="1:15" ht="20" customHeight="1" x14ac:dyDescent="0.2">
      <c r="A426" s="3">
        <v>422</v>
      </c>
      <c r="B426" s="19"/>
      <c r="C426" s="4" t="s">
        <v>5330</v>
      </c>
      <c r="D426" s="4" t="s">
        <v>4909</v>
      </c>
      <c r="E426" s="4" t="s">
        <v>271</v>
      </c>
      <c r="F426" s="8"/>
      <c r="G426" s="8"/>
      <c r="H426" s="8">
        <v>10</v>
      </c>
      <c r="I426" s="8"/>
      <c r="J426" s="8"/>
      <c r="K426" s="8">
        <v>10</v>
      </c>
      <c r="L426" s="18">
        <v>2675</v>
      </c>
      <c r="M426" s="7">
        <f t="shared" si="6"/>
        <v>26750</v>
      </c>
      <c r="N426" s="4"/>
      <c r="O426" s="9"/>
    </row>
    <row r="427" spans="1:15" ht="20" customHeight="1" x14ac:dyDescent="0.2">
      <c r="A427" s="3">
        <v>423</v>
      </c>
      <c r="B427" s="19"/>
      <c r="C427" s="4" t="s">
        <v>5331</v>
      </c>
      <c r="D427" s="4" t="s">
        <v>4909</v>
      </c>
      <c r="E427" s="4" t="s">
        <v>271</v>
      </c>
      <c r="F427" s="8"/>
      <c r="G427" s="8"/>
      <c r="H427" s="8">
        <v>20</v>
      </c>
      <c r="I427" s="8"/>
      <c r="J427" s="8"/>
      <c r="K427" s="8">
        <v>20</v>
      </c>
      <c r="L427" s="18">
        <v>4996.8999999999996</v>
      </c>
      <c r="M427" s="7">
        <f t="shared" si="6"/>
        <v>99938</v>
      </c>
      <c r="N427" s="4"/>
      <c r="O427" s="9"/>
    </row>
    <row r="428" spans="1:15" ht="20" customHeight="1" x14ac:dyDescent="0.2">
      <c r="A428" s="3">
        <v>424</v>
      </c>
      <c r="B428" s="19"/>
      <c r="C428" s="4" t="s">
        <v>5332</v>
      </c>
      <c r="D428" s="4" t="s">
        <v>4909</v>
      </c>
      <c r="E428" s="4" t="s">
        <v>271</v>
      </c>
      <c r="F428" s="8"/>
      <c r="G428" s="8"/>
      <c r="H428" s="8">
        <v>1</v>
      </c>
      <c r="I428" s="8"/>
      <c r="J428" s="8"/>
      <c r="K428" s="8">
        <v>0</v>
      </c>
      <c r="L428" s="18">
        <v>85600</v>
      </c>
      <c r="M428" s="7">
        <f t="shared" si="6"/>
        <v>0</v>
      </c>
      <c r="N428" s="4"/>
      <c r="O428" s="9"/>
    </row>
    <row r="429" spans="1:15" ht="20" customHeight="1" x14ac:dyDescent="0.2">
      <c r="A429" s="3">
        <v>425</v>
      </c>
      <c r="B429" s="19"/>
      <c r="C429" s="4" t="s">
        <v>5333</v>
      </c>
      <c r="D429" s="4" t="s">
        <v>4909</v>
      </c>
      <c r="E429" s="4" t="s">
        <v>271</v>
      </c>
      <c r="F429" s="8">
        <v>5</v>
      </c>
      <c r="G429" s="8">
        <v>5</v>
      </c>
      <c r="H429" s="8">
        <v>5</v>
      </c>
      <c r="I429" s="8"/>
      <c r="J429" s="8"/>
      <c r="K429" s="8">
        <v>5</v>
      </c>
      <c r="L429" s="18">
        <v>19260</v>
      </c>
      <c r="M429" s="7">
        <f t="shared" si="6"/>
        <v>96300</v>
      </c>
      <c r="N429" s="4"/>
      <c r="O429" s="9"/>
    </row>
    <row r="430" spans="1:15" ht="20" customHeight="1" x14ac:dyDescent="0.2">
      <c r="A430" s="3">
        <v>426</v>
      </c>
      <c r="B430" s="19"/>
      <c r="C430" s="4" t="s">
        <v>5334</v>
      </c>
      <c r="D430" s="4" t="s">
        <v>4909</v>
      </c>
      <c r="E430" s="4" t="s">
        <v>271</v>
      </c>
      <c r="F430" s="8"/>
      <c r="G430" s="8"/>
      <c r="H430" s="8">
        <v>5</v>
      </c>
      <c r="I430" s="8"/>
      <c r="J430" s="8"/>
      <c r="K430" s="8">
        <v>0</v>
      </c>
      <c r="L430" s="18">
        <v>10700</v>
      </c>
      <c r="M430" s="7">
        <f t="shared" si="6"/>
        <v>0</v>
      </c>
      <c r="N430" s="4"/>
      <c r="O430" s="9"/>
    </row>
    <row r="431" spans="1:15" ht="20" customHeight="1" x14ac:dyDescent="0.2">
      <c r="A431" s="3">
        <v>427</v>
      </c>
      <c r="B431" s="19"/>
      <c r="C431" s="4" t="s">
        <v>5335</v>
      </c>
      <c r="D431" s="4" t="s">
        <v>4909</v>
      </c>
      <c r="E431" s="4" t="s">
        <v>271</v>
      </c>
      <c r="F431" s="8">
        <v>5</v>
      </c>
      <c r="G431" s="8">
        <v>5</v>
      </c>
      <c r="H431" s="8">
        <v>15</v>
      </c>
      <c r="I431" s="8"/>
      <c r="J431" s="8"/>
      <c r="K431" s="8">
        <v>30</v>
      </c>
      <c r="L431" s="18">
        <v>5000</v>
      </c>
      <c r="M431" s="7">
        <f t="shared" si="6"/>
        <v>150000</v>
      </c>
      <c r="N431" s="4"/>
      <c r="O431" s="9"/>
    </row>
    <row r="432" spans="1:15" ht="20" customHeight="1" x14ac:dyDescent="0.2">
      <c r="A432" s="3">
        <v>428</v>
      </c>
      <c r="B432" s="19"/>
      <c r="C432" s="4" t="s">
        <v>5336</v>
      </c>
      <c r="D432" s="4" t="s">
        <v>4909</v>
      </c>
      <c r="E432" s="4" t="s">
        <v>271</v>
      </c>
      <c r="F432" s="8">
        <v>5</v>
      </c>
      <c r="G432" s="8">
        <v>5</v>
      </c>
      <c r="H432" s="8">
        <v>5</v>
      </c>
      <c r="I432" s="8"/>
      <c r="J432" s="8"/>
      <c r="K432" s="8">
        <v>5</v>
      </c>
      <c r="L432" s="18">
        <v>19260</v>
      </c>
      <c r="M432" s="7">
        <f t="shared" si="6"/>
        <v>96300</v>
      </c>
      <c r="N432" s="4"/>
      <c r="O432" s="9"/>
    </row>
    <row r="433" spans="1:15" ht="20" customHeight="1" x14ac:dyDescent="0.2">
      <c r="A433" s="3">
        <v>429</v>
      </c>
      <c r="B433" s="19"/>
      <c r="C433" s="4" t="s">
        <v>5337</v>
      </c>
      <c r="D433" s="4" t="s">
        <v>4909</v>
      </c>
      <c r="E433" s="4" t="s">
        <v>271</v>
      </c>
      <c r="F433" s="8"/>
      <c r="G433" s="8"/>
      <c r="H433" s="8">
        <v>3</v>
      </c>
      <c r="I433" s="8"/>
      <c r="J433" s="8"/>
      <c r="K433" s="8">
        <v>0</v>
      </c>
      <c r="L433" s="18">
        <v>16050</v>
      </c>
      <c r="M433" s="7">
        <f t="shared" si="6"/>
        <v>0</v>
      </c>
      <c r="N433" s="4"/>
      <c r="O433" s="9"/>
    </row>
    <row r="434" spans="1:15" ht="20" customHeight="1" x14ac:dyDescent="0.2">
      <c r="A434" s="3">
        <v>430</v>
      </c>
      <c r="B434" s="19"/>
      <c r="C434" s="4" t="s">
        <v>5338</v>
      </c>
      <c r="D434" s="4" t="s">
        <v>4909</v>
      </c>
      <c r="E434" s="4" t="s">
        <v>271</v>
      </c>
      <c r="F434" s="8"/>
      <c r="G434" s="8"/>
      <c r="H434" s="8">
        <v>3</v>
      </c>
      <c r="I434" s="8"/>
      <c r="J434" s="8"/>
      <c r="K434" s="8">
        <v>0</v>
      </c>
      <c r="L434" s="18">
        <v>20000</v>
      </c>
      <c r="M434" s="7">
        <f t="shared" si="6"/>
        <v>0</v>
      </c>
      <c r="N434" s="4"/>
      <c r="O434" s="9"/>
    </row>
    <row r="435" spans="1:15" ht="20" customHeight="1" x14ac:dyDescent="0.2">
      <c r="A435" s="3">
        <v>431</v>
      </c>
      <c r="B435" s="19"/>
      <c r="C435" s="4" t="s">
        <v>5339</v>
      </c>
      <c r="D435" s="4" t="s">
        <v>4909</v>
      </c>
      <c r="E435" s="4" t="s">
        <v>271</v>
      </c>
      <c r="F435" s="8"/>
      <c r="G435" s="8"/>
      <c r="H435" s="8">
        <v>3</v>
      </c>
      <c r="I435" s="8"/>
      <c r="J435" s="8"/>
      <c r="K435" s="8">
        <v>0</v>
      </c>
      <c r="L435" s="18">
        <v>23000</v>
      </c>
      <c r="M435" s="7">
        <f t="shared" si="6"/>
        <v>0</v>
      </c>
      <c r="N435" s="4"/>
      <c r="O435" s="9"/>
    </row>
    <row r="436" spans="1:15" ht="20" customHeight="1" x14ac:dyDescent="0.2">
      <c r="A436" s="3">
        <v>432</v>
      </c>
      <c r="B436" s="19"/>
      <c r="C436" s="4" t="s">
        <v>5340</v>
      </c>
      <c r="D436" s="4" t="s">
        <v>4909</v>
      </c>
      <c r="E436" s="4" t="s">
        <v>271</v>
      </c>
      <c r="F436" s="8"/>
      <c r="G436" s="8"/>
      <c r="H436" s="8">
        <v>3</v>
      </c>
      <c r="I436" s="8"/>
      <c r="J436" s="8"/>
      <c r="K436" s="8">
        <v>0</v>
      </c>
      <c r="L436" s="18">
        <v>25000</v>
      </c>
      <c r="M436" s="7">
        <f t="shared" si="6"/>
        <v>0</v>
      </c>
      <c r="N436" s="4"/>
      <c r="O436" s="9"/>
    </row>
    <row r="437" spans="1:15" ht="20" customHeight="1" x14ac:dyDescent="0.2">
      <c r="A437" s="3">
        <v>433</v>
      </c>
      <c r="B437" s="19"/>
      <c r="C437" s="4" t="s">
        <v>5341</v>
      </c>
      <c r="D437" s="4" t="s">
        <v>4909</v>
      </c>
      <c r="E437" s="4" t="s">
        <v>271</v>
      </c>
      <c r="F437" s="8">
        <v>10</v>
      </c>
      <c r="G437" s="8">
        <v>10</v>
      </c>
      <c r="H437" s="8">
        <v>10</v>
      </c>
      <c r="I437" s="8"/>
      <c r="J437" s="8"/>
      <c r="K437" s="8">
        <v>10</v>
      </c>
      <c r="L437" s="18">
        <v>535</v>
      </c>
      <c r="M437" s="7">
        <f t="shared" si="6"/>
        <v>5350</v>
      </c>
      <c r="N437" s="4"/>
      <c r="O437" s="9"/>
    </row>
    <row r="438" spans="1:15" ht="20" customHeight="1" x14ac:dyDescent="0.2">
      <c r="A438" s="3">
        <v>434</v>
      </c>
      <c r="B438" s="19"/>
      <c r="C438" s="4" t="s">
        <v>5342</v>
      </c>
      <c r="D438" s="4" t="s">
        <v>4909</v>
      </c>
      <c r="E438" s="4" t="s">
        <v>271</v>
      </c>
      <c r="F438" s="8">
        <v>10</v>
      </c>
      <c r="G438" s="8">
        <v>10</v>
      </c>
      <c r="H438" s="8">
        <v>10</v>
      </c>
      <c r="I438" s="8"/>
      <c r="J438" s="8"/>
      <c r="K438" s="8">
        <v>10</v>
      </c>
      <c r="L438" s="18">
        <v>2140</v>
      </c>
      <c r="M438" s="7">
        <f t="shared" si="6"/>
        <v>21400</v>
      </c>
      <c r="N438" s="4"/>
      <c r="O438" s="9"/>
    </row>
    <row r="439" spans="1:15" ht="20" customHeight="1" x14ac:dyDescent="0.2">
      <c r="A439" s="3">
        <v>435</v>
      </c>
      <c r="B439" s="19"/>
      <c r="C439" s="4" t="s">
        <v>5343</v>
      </c>
      <c r="D439" s="4" t="s">
        <v>4909</v>
      </c>
      <c r="E439" s="4" t="s">
        <v>271</v>
      </c>
      <c r="F439" s="8">
        <v>2</v>
      </c>
      <c r="G439" s="8">
        <v>2</v>
      </c>
      <c r="H439" s="8">
        <v>2</v>
      </c>
      <c r="I439" s="8"/>
      <c r="J439" s="8"/>
      <c r="K439" s="8">
        <v>2</v>
      </c>
      <c r="L439" s="18">
        <v>4815</v>
      </c>
      <c r="M439" s="7">
        <f t="shared" si="6"/>
        <v>9630</v>
      </c>
      <c r="N439" s="4"/>
      <c r="O439" s="9"/>
    </row>
    <row r="440" spans="1:15" ht="20" customHeight="1" x14ac:dyDescent="0.2">
      <c r="A440" s="3">
        <v>436</v>
      </c>
      <c r="B440" s="19"/>
      <c r="C440" s="4" t="s">
        <v>5344</v>
      </c>
      <c r="D440" s="4" t="s">
        <v>4909</v>
      </c>
      <c r="E440" s="4" t="s">
        <v>271</v>
      </c>
      <c r="F440" s="8">
        <v>4</v>
      </c>
      <c r="G440" s="8">
        <v>4</v>
      </c>
      <c r="H440" s="8">
        <v>4</v>
      </c>
      <c r="I440" s="8"/>
      <c r="J440" s="8"/>
      <c r="K440" s="8">
        <v>4</v>
      </c>
      <c r="L440" s="18">
        <v>1070</v>
      </c>
      <c r="M440" s="7">
        <f t="shared" si="6"/>
        <v>4280</v>
      </c>
      <c r="N440" s="4"/>
      <c r="O440" s="9"/>
    </row>
    <row r="441" spans="1:15" ht="20" customHeight="1" x14ac:dyDescent="0.2">
      <c r="A441" s="3">
        <v>437</v>
      </c>
      <c r="B441" s="19"/>
      <c r="C441" s="4" t="s">
        <v>5345</v>
      </c>
      <c r="D441" s="4" t="s">
        <v>4909</v>
      </c>
      <c r="E441" s="4" t="s">
        <v>133</v>
      </c>
      <c r="F441" s="8">
        <v>2</v>
      </c>
      <c r="G441" s="8">
        <v>2</v>
      </c>
      <c r="H441" s="8">
        <v>3</v>
      </c>
      <c r="I441" s="8"/>
      <c r="J441" s="8"/>
      <c r="K441" s="8">
        <v>5</v>
      </c>
      <c r="L441" s="18">
        <v>18725</v>
      </c>
      <c r="M441" s="7">
        <f t="shared" si="6"/>
        <v>93625</v>
      </c>
      <c r="N441" s="4"/>
      <c r="O441" s="9"/>
    </row>
    <row r="442" spans="1:15" ht="20" customHeight="1" x14ac:dyDescent="0.2">
      <c r="A442" s="3">
        <v>438</v>
      </c>
      <c r="B442" s="19"/>
      <c r="C442" s="4" t="s">
        <v>5346</v>
      </c>
      <c r="D442" s="4" t="s">
        <v>4909</v>
      </c>
      <c r="E442" s="4" t="s">
        <v>271</v>
      </c>
      <c r="F442" s="8"/>
      <c r="G442" s="8"/>
      <c r="H442" s="8">
        <v>4</v>
      </c>
      <c r="I442" s="8"/>
      <c r="J442" s="8"/>
      <c r="K442" s="8">
        <v>4</v>
      </c>
      <c r="L442" s="18">
        <v>1800</v>
      </c>
      <c r="M442" s="7">
        <f t="shared" si="6"/>
        <v>7200</v>
      </c>
      <c r="N442" s="4"/>
      <c r="O442" s="9"/>
    </row>
    <row r="443" spans="1:15" ht="20" customHeight="1" x14ac:dyDescent="0.2">
      <c r="A443" s="3">
        <v>439</v>
      </c>
      <c r="B443" s="19"/>
      <c r="C443" s="4" t="s">
        <v>5347</v>
      </c>
      <c r="D443" s="4" t="s">
        <v>4909</v>
      </c>
      <c r="E443" s="4" t="s">
        <v>271</v>
      </c>
      <c r="F443" s="8"/>
      <c r="G443" s="8"/>
      <c r="H443" s="8">
        <v>1</v>
      </c>
      <c r="I443" s="8"/>
      <c r="J443" s="8"/>
      <c r="K443" s="8">
        <v>1</v>
      </c>
      <c r="L443" s="18">
        <v>4000</v>
      </c>
      <c r="M443" s="7">
        <f t="shared" si="6"/>
        <v>4000</v>
      </c>
      <c r="N443" s="4"/>
      <c r="O443" s="9"/>
    </row>
    <row r="444" spans="1:15" ht="20" customHeight="1" x14ac:dyDescent="0.2">
      <c r="A444" s="3">
        <v>440</v>
      </c>
      <c r="B444" s="19"/>
      <c r="C444" s="4" t="s">
        <v>5348</v>
      </c>
      <c r="D444" s="4" t="s">
        <v>4909</v>
      </c>
      <c r="E444" s="4" t="s">
        <v>271</v>
      </c>
      <c r="F444" s="8"/>
      <c r="G444" s="8"/>
      <c r="H444" s="8">
        <v>1</v>
      </c>
      <c r="I444" s="8"/>
      <c r="J444" s="8"/>
      <c r="K444" s="8">
        <v>1</v>
      </c>
      <c r="L444" s="18">
        <v>2400</v>
      </c>
      <c r="M444" s="7">
        <f t="shared" si="6"/>
        <v>2400</v>
      </c>
      <c r="N444" s="4"/>
      <c r="O444" s="9"/>
    </row>
    <row r="445" spans="1:15" ht="20" customHeight="1" x14ac:dyDescent="0.2">
      <c r="A445" s="3">
        <v>441</v>
      </c>
      <c r="B445" s="19"/>
      <c r="C445" s="4" t="s">
        <v>5349</v>
      </c>
      <c r="D445" s="4" t="s">
        <v>4909</v>
      </c>
      <c r="E445" s="4" t="s">
        <v>271</v>
      </c>
      <c r="F445" s="8"/>
      <c r="G445" s="8"/>
      <c r="H445" s="8">
        <v>12</v>
      </c>
      <c r="I445" s="8"/>
      <c r="J445" s="8"/>
      <c r="K445" s="8">
        <v>12</v>
      </c>
      <c r="L445" s="18">
        <v>3000</v>
      </c>
      <c r="M445" s="7">
        <f t="shared" si="6"/>
        <v>36000</v>
      </c>
      <c r="N445" s="4"/>
      <c r="O445" s="9"/>
    </row>
    <row r="446" spans="1:15" ht="20" customHeight="1" x14ac:dyDescent="0.2">
      <c r="A446" s="3">
        <v>442</v>
      </c>
      <c r="B446" s="19"/>
      <c r="C446" s="4" t="s">
        <v>5350</v>
      </c>
      <c r="D446" s="4" t="s">
        <v>4909</v>
      </c>
      <c r="E446" s="4" t="s">
        <v>271</v>
      </c>
      <c r="F446" s="8"/>
      <c r="G446" s="8"/>
      <c r="H446" s="8">
        <v>10</v>
      </c>
      <c r="I446" s="8"/>
      <c r="J446" s="8"/>
      <c r="K446" s="8">
        <v>10</v>
      </c>
      <c r="L446" s="18">
        <v>5500</v>
      </c>
      <c r="M446" s="7">
        <f t="shared" si="6"/>
        <v>55000</v>
      </c>
      <c r="N446" s="4"/>
      <c r="O446" s="9"/>
    </row>
    <row r="447" spans="1:15" ht="20" customHeight="1" x14ac:dyDescent="0.2">
      <c r="A447" s="3">
        <v>443</v>
      </c>
      <c r="B447" s="19"/>
      <c r="C447" s="4" t="s">
        <v>5351</v>
      </c>
      <c r="D447" s="4" t="s">
        <v>4909</v>
      </c>
      <c r="E447" s="4" t="s">
        <v>271</v>
      </c>
      <c r="F447" s="8">
        <v>150</v>
      </c>
      <c r="G447" s="8"/>
      <c r="H447" s="8">
        <v>150</v>
      </c>
      <c r="I447" s="8"/>
      <c r="J447" s="8"/>
      <c r="K447" s="8">
        <v>150</v>
      </c>
      <c r="L447" s="18">
        <v>150</v>
      </c>
      <c r="M447" s="7">
        <f t="shared" si="6"/>
        <v>22500</v>
      </c>
      <c r="N447" s="4"/>
      <c r="O447" s="9"/>
    </row>
    <row r="448" spans="1:15" ht="20" customHeight="1" x14ac:dyDescent="0.2">
      <c r="A448" s="3">
        <v>444</v>
      </c>
      <c r="B448" s="19"/>
      <c r="C448" s="4" t="s">
        <v>5352</v>
      </c>
      <c r="D448" s="4" t="s">
        <v>4909</v>
      </c>
      <c r="E448" s="4" t="s">
        <v>196</v>
      </c>
      <c r="F448" s="8">
        <v>5</v>
      </c>
      <c r="G448" s="8">
        <v>5</v>
      </c>
      <c r="H448" s="8">
        <v>10</v>
      </c>
      <c r="I448" s="8"/>
      <c r="J448" s="8"/>
      <c r="K448" s="8">
        <v>20</v>
      </c>
      <c r="L448" s="18">
        <v>3500</v>
      </c>
      <c r="M448" s="7">
        <f t="shared" si="6"/>
        <v>70000</v>
      </c>
      <c r="N448" s="4"/>
      <c r="O448" s="9"/>
    </row>
    <row r="449" spans="1:15" ht="20" customHeight="1" x14ac:dyDescent="0.2">
      <c r="A449" s="3">
        <v>445</v>
      </c>
      <c r="B449" s="19"/>
      <c r="C449" s="4" t="s">
        <v>5353</v>
      </c>
      <c r="D449" s="4" t="s">
        <v>4909</v>
      </c>
      <c r="E449" s="4" t="s">
        <v>271</v>
      </c>
      <c r="F449" s="8">
        <v>2</v>
      </c>
      <c r="G449" s="8">
        <v>2</v>
      </c>
      <c r="H449" s="8">
        <v>2</v>
      </c>
      <c r="I449" s="8"/>
      <c r="J449" s="8"/>
      <c r="K449" s="8">
        <v>2</v>
      </c>
      <c r="L449" s="18">
        <v>5900</v>
      </c>
      <c r="M449" s="7">
        <f t="shared" si="6"/>
        <v>11800</v>
      </c>
      <c r="N449" s="4"/>
      <c r="O449" s="9"/>
    </row>
    <row r="450" spans="1:15" ht="20" customHeight="1" x14ac:dyDescent="0.2">
      <c r="A450" s="3">
        <v>446</v>
      </c>
      <c r="B450" s="19"/>
      <c r="C450" s="4" t="s">
        <v>5354</v>
      </c>
      <c r="D450" s="4" t="s">
        <v>4909</v>
      </c>
      <c r="E450" s="4" t="s">
        <v>271</v>
      </c>
      <c r="F450" s="8"/>
      <c r="G450" s="8"/>
      <c r="H450" s="8">
        <v>1</v>
      </c>
      <c r="I450" s="8"/>
      <c r="J450" s="8"/>
      <c r="K450" s="8">
        <v>1</v>
      </c>
      <c r="L450" s="18">
        <v>36440</v>
      </c>
      <c r="M450" s="7">
        <f t="shared" si="6"/>
        <v>36440</v>
      </c>
      <c r="N450" s="4"/>
      <c r="O450" s="9"/>
    </row>
    <row r="451" spans="1:15" ht="20" customHeight="1" x14ac:dyDescent="0.2">
      <c r="A451" s="3">
        <v>447</v>
      </c>
      <c r="B451" s="19"/>
      <c r="C451" s="4" t="s">
        <v>5355</v>
      </c>
      <c r="D451" s="4" t="s">
        <v>4909</v>
      </c>
      <c r="E451" s="4" t="s">
        <v>271</v>
      </c>
      <c r="F451" s="8"/>
      <c r="G451" s="8"/>
      <c r="H451" s="8">
        <v>1</v>
      </c>
      <c r="I451" s="8"/>
      <c r="J451" s="8"/>
      <c r="K451" s="8">
        <v>1</v>
      </c>
      <c r="L451" s="18">
        <v>26560</v>
      </c>
      <c r="M451" s="7">
        <f t="shared" si="6"/>
        <v>26560</v>
      </c>
      <c r="N451" s="4"/>
      <c r="O451" s="9"/>
    </row>
    <row r="452" spans="1:15" ht="20" customHeight="1" x14ac:dyDescent="0.2">
      <c r="A452" s="3">
        <v>448</v>
      </c>
      <c r="B452" s="19"/>
      <c r="C452" s="4" t="s">
        <v>5356</v>
      </c>
      <c r="D452" s="4" t="s">
        <v>4909</v>
      </c>
      <c r="E452" s="4" t="s">
        <v>110</v>
      </c>
      <c r="F452" s="8">
        <v>5</v>
      </c>
      <c r="G452" s="8">
        <v>5</v>
      </c>
      <c r="H452" s="8"/>
      <c r="I452" s="8"/>
      <c r="J452" s="8"/>
      <c r="K452" s="8">
        <v>10</v>
      </c>
      <c r="L452" s="18">
        <v>10400</v>
      </c>
      <c r="M452" s="7">
        <f t="shared" si="6"/>
        <v>104000</v>
      </c>
      <c r="N452" s="4"/>
      <c r="O452" s="9"/>
    </row>
    <row r="453" spans="1:15" ht="20" customHeight="1" x14ac:dyDescent="0.2">
      <c r="A453" s="3">
        <v>449</v>
      </c>
      <c r="B453" s="19"/>
      <c r="C453" s="4" t="s">
        <v>5357</v>
      </c>
      <c r="D453" s="4" t="s">
        <v>4909</v>
      </c>
      <c r="E453" s="4" t="s">
        <v>110</v>
      </c>
      <c r="F453" s="8">
        <v>5</v>
      </c>
      <c r="G453" s="8">
        <v>5</v>
      </c>
      <c r="H453" s="8">
        <v>8</v>
      </c>
      <c r="I453" s="8"/>
      <c r="J453" s="8"/>
      <c r="K453" s="8">
        <v>10</v>
      </c>
      <c r="L453" s="18">
        <v>17200</v>
      </c>
      <c r="M453" s="7">
        <f t="shared" ref="M453:M516" si="7">IF(OR(K453="",L453=""),"",K453*L453)</f>
        <v>172000</v>
      </c>
      <c r="N453" s="4"/>
      <c r="O453" s="9"/>
    </row>
    <row r="454" spans="1:15" ht="20" customHeight="1" x14ac:dyDescent="0.2">
      <c r="A454" s="3">
        <v>450</v>
      </c>
      <c r="B454" s="19"/>
      <c r="C454" s="4" t="s">
        <v>5358</v>
      </c>
      <c r="D454" s="4" t="s">
        <v>4909</v>
      </c>
      <c r="E454" s="4" t="s">
        <v>110</v>
      </c>
      <c r="F454" s="8">
        <v>5</v>
      </c>
      <c r="G454" s="8">
        <v>5</v>
      </c>
      <c r="H454" s="8"/>
      <c r="I454" s="8"/>
      <c r="J454" s="8"/>
      <c r="K454" s="8">
        <v>10</v>
      </c>
      <c r="L454" s="18">
        <v>19000</v>
      </c>
      <c r="M454" s="7">
        <f t="shared" si="7"/>
        <v>190000</v>
      </c>
      <c r="N454" s="4"/>
      <c r="O454" s="9"/>
    </row>
    <row r="455" spans="1:15" ht="20" customHeight="1" x14ac:dyDescent="0.2">
      <c r="A455" s="3">
        <v>451</v>
      </c>
      <c r="B455" s="19"/>
      <c r="C455" s="4" t="s">
        <v>5359</v>
      </c>
      <c r="D455" s="4" t="s">
        <v>4909</v>
      </c>
      <c r="E455" s="4" t="s">
        <v>271</v>
      </c>
      <c r="F455" s="8"/>
      <c r="G455" s="8"/>
      <c r="H455" s="8">
        <v>1</v>
      </c>
      <c r="I455" s="8"/>
      <c r="J455" s="8"/>
      <c r="K455" s="8">
        <v>1</v>
      </c>
      <c r="L455" s="18">
        <v>9500</v>
      </c>
      <c r="M455" s="7">
        <f t="shared" si="7"/>
        <v>9500</v>
      </c>
      <c r="N455" s="4"/>
      <c r="O455" s="9"/>
    </row>
    <row r="456" spans="1:15" ht="20" customHeight="1" x14ac:dyDescent="0.2">
      <c r="A456" s="3">
        <v>452</v>
      </c>
      <c r="B456" s="19"/>
      <c r="C456" s="4" t="s">
        <v>5360</v>
      </c>
      <c r="D456" s="4" t="s">
        <v>4909</v>
      </c>
      <c r="E456" s="4" t="s">
        <v>271</v>
      </c>
      <c r="F456" s="8">
        <v>1</v>
      </c>
      <c r="G456" s="8">
        <v>1</v>
      </c>
      <c r="H456" s="8">
        <v>1</v>
      </c>
      <c r="I456" s="8"/>
      <c r="J456" s="8"/>
      <c r="K456" s="8">
        <v>1</v>
      </c>
      <c r="L456" s="18">
        <v>18000</v>
      </c>
      <c r="M456" s="7">
        <f t="shared" si="7"/>
        <v>18000</v>
      </c>
      <c r="N456" s="4"/>
      <c r="O456" s="9"/>
    </row>
    <row r="457" spans="1:15" ht="20" customHeight="1" x14ac:dyDescent="0.2">
      <c r="A457" s="3">
        <v>453</v>
      </c>
      <c r="B457" s="19"/>
      <c r="C457" s="4" t="s">
        <v>5361</v>
      </c>
      <c r="D457" s="4" t="s">
        <v>4909</v>
      </c>
      <c r="E457" s="4" t="s">
        <v>110</v>
      </c>
      <c r="F457" s="8">
        <v>1</v>
      </c>
      <c r="G457" s="8">
        <v>1</v>
      </c>
      <c r="H457" s="8">
        <v>1</v>
      </c>
      <c r="I457" s="8"/>
      <c r="J457" s="8"/>
      <c r="K457" s="8">
        <v>1</v>
      </c>
      <c r="L457" s="18">
        <v>33420</v>
      </c>
      <c r="M457" s="7">
        <f t="shared" si="7"/>
        <v>33420</v>
      </c>
      <c r="N457" s="4"/>
      <c r="O457" s="9"/>
    </row>
    <row r="458" spans="1:15" ht="20" customHeight="1" x14ac:dyDescent="0.2">
      <c r="A458" s="3">
        <v>454</v>
      </c>
      <c r="B458" s="19"/>
      <c r="C458" s="4" t="s">
        <v>5362</v>
      </c>
      <c r="D458" s="4" t="s">
        <v>4909</v>
      </c>
      <c r="E458" s="4" t="s">
        <v>271</v>
      </c>
      <c r="F458" s="8">
        <v>2</v>
      </c>
      <c r="G458" s="8">
        <v>2</v>
      </c>
      <c r="H458" s="8">
        <v>2</v>
      </c>
      <c r="I458" s="8"/>
      <c r="J458" s="8"/>
      <c r="K458" s="8">
        <v>2</v>
      </c>
      <c r="L458" s="18">
        <v>16500</v>
      </c>
      <c r="M458" s="7">
        <f t="shared" si="7"/>
        <v>33000</v>
      </c>
      <c r="N458" s="4"/>
      <c r="O458" s="9"/>
    </row>
    <row r="459" spans="1:15" ht="20" customHeight="1" x14ac:dyDescent="0.2">
      <c r="A459" s="3">
        <v>455</v>
      </c>
      <c r="B459" s="19"/>
      <c r="C459" s="4" t="s">
        <v>5363</v>
      </c>
      <c r="D459" s="4" t="s">
        <v>4909</v>
      </c>
      <c r="E459" s="4" t="s">
        <v>271</v>
      </c>
      <c r="F459" s="8">
        <v>2</v>
      </c>
      <c r="G459" s="8">
        <v>2</v>
      </c>
      <c r="H459" s="8">
        <v>2</v>
      </c>
      <c r="I459" s="8"/>
      <c r="J459" s="8"/>
      <c r="K459" s="8">
        <v>2</v>
      </c>
      <c r="L459" s="18">
        <v>13500</v>
      </c>
      <c r="M459" s="7">
        <f t="shared" si="7"/>
        <v>27000</v>
      </c>
      <c r="N459" s="4"/>
      <c r="O459" s="9"/>
    </row>
    <row r="460" spans="1:15" ht="20" customHeight="1" x14ac:dyDescent="0.2">
      <c r="A460" s="3">
        <v>456</v>
      </c>
      <c r="B460" s="19"/>
      <c r="C460" s="4" t="s">
        <v>5364</v>
      </c>
      <c r="D460" s="4" t="s">
        <v>4909</v>
      </c>
      <c r="E460" s="4" t="s">
        <v>271</v>
      </c>
      <c r="F460" s="8">
        <v>3</v>
      </c>
      <c r="G460" s="8">
        <v>3</v>
      </c>
      <c r="H460" s="8">
        <v>3</v>
      </c>
      <c r="I460" s="8"/>
      <c r="J460" s="8"/>
      <c r="K460" s="8">
        <v>3</v>
      </c>
      <c r="L460" s="18">
        <v>6500</v>
      </c>
      <c r="M460" s="7">
        <f t="shared" si="7"/>
        <v>19500</v>
      </c>
      <c r="N460" s="4"/>
      <c r="O460" s="9"/>
    </row>
    <row r="461" spans="1:15" ht="20" customHeight="1" x14ac:dyDescent="0.2">
      <c r="A461" s="3">
        <v>457</v>
      </c>
      <c r="B461" s="19"/>
      <c r="C461" s="4" t="s">
        <v>5365</v>
      </c>
      <c r="D461" s="4" t="s">
        <v>4909</v>
      </c>
      <c r="E461" s="4" t="s">
        <v>271</v>
      </c>
      <c r="F461" s="8">
        <v>1</v>
      </c>
      <c r="G461" s="8">
        <v>1</v>
      </c>
      <c r="H461" s="8">
        <v>1</v>
      </c>
      <c r="I461" s="8"/>
      <c r="J461" s="8"/>
      <c r="K461" s="8">
        <v>1</v>
      </c>
      <c r="L461" s="18">
        <v>34060</v>
      </c>
      <c r="M461" s="7">
        <f t="shared" si="7"/>
        <v>34060</v>
      </c>
      <c r="N461" s="4"/>
      <c r="O461" s="9"/>
    </row>
    <row r="462" spans="1:15" ht="20" customHeight="1" x14ac:dyDescent="0.2">
      <c r="A462" s="3">
        <v>458</v>
      </c>
      <c r="B462" s="19"/>
      <c r="C462" s="4" t="s">
        <v>5366</v>
      </c>
      <c r="D462" s="4" t="s">
        <v>4909</v>
      </c>
      <c r="E462" s="4" t="s">
        <v>110</v>
      </c>
      <c r="F462" s="8">
        <v>1</v>
      </c>
      <c r="G462" s="8">
        <v>1</v>
      </c>
      <c r="H462" s="8">
        <v>1</v>
      </c>
      <c r="I462" s="8"/>
      <c r="J462" s="8"/>
      <c r="K462" s="8">
        <v>1</v>
      </c>
      <c r="L462" s="18">
        <v>88630</v>
      </c>
      <c r="M462" s="7">
        <f t="shared" si="7"/>
        <v>88630</v>
      </c>
      <c r="N462" s="4"/>
      <c r="O462" s="9"/>
    </row>
    <row r="463" spans="1:15" ht="20" customHeight="1" x14ac:dyDescent="0.2">
      <c r="A463" s="3">
        <v>459</v>
      </c>
      <c r="B463" s="19"/>
      <c r="C463" s="4" t="s">
        <v>5367</v>
      </c>
      <c r="D463" s="4" t="s">
        <v>4909</v>
      </c>
      <c r="E463" s="4" t="s">
        <v>110</v>
      </c>
      <c r="F463" s="8">
        <v>1</v>
      </c>
      <c r="G463" s="8">
        <v>1</v>
      </c>
      <c r="H463" s="8">
        <v>1</v>
      </c>
      <c r="I463" s="8"/>
      <c r="J463" s="8"/>
      <c r="K463" s="8">
        <v>1</v>
      </c>
      <c r="L463" s="18">
        <v>83560</v>
      </c>
      <c r="M463" s="7">
        <f t="shared" si="7"/>
        <v>83560</v>
      </c>
      <c r="N463" s="4"/>
      <c r="O463" s="9"/>
    </row>
    <row r="464" spans="1:15" ht="20" customHeight="1" x14ac:dyDescent="0.2">
      <c r="A464" s="3">
        <v>460</v>
      </c>
      <c r="B464" s="19"/>
      <c r="C464" s="4" t="s">
        <v>5368</v>
      </c>
      <c r="D464" s="4" t="s">
        <v>4909</v>
      </c>
      <c r="E464" s="4" t="s">
        <v>271</v>
      </c>
      <c r="F464" s="8">
        <v>2</v>
      </c>
      <c r="G464" s="8">
        <v>2</v>
      </c>
      <c r="H464" s="8">
        <v>2</v>
      </c>
      <c r="I464" s="8"/>
      <c r="J464" s="8"/>
      <c r="K464" s="8">
        <v>2</v>
      </c>
      <c r="L464" s="18">
        <v>19000</v>
      </c>
      <c r="M464" s="7">
        <f t="shared" si="7"/>
        <v>38000</v>
      </c>
      <c r="N464" s="4"/>
      <c r="O464" s="9"/>
    </row>
    <row r="465" spans="1:15" ht="20" customHeight="1" x14ac:dyDescent="0.2">
      <c r="A465" s="3">
        <v>461</v>
      </c>
      <c r="B465" s="19"/>
      <c r="C465" s="4" t="s">
        <v>5369</v>
      </c>
      <c r="D465" s="4" t="s">
        <v>4909</v>
      </c>
      <c r="E465" s="4" t="s">
        <v>133</v>
      </c>
      <c r="F465" s="8">
        <v>2</v>
      </c>
      <c r="G465" s="8">
        <v>2</v>
      </c>
      <c r="H465" s="8">
        <v>2</v>
      </c>
      <c r="I465" s="8"/>
      <c r="J465" s="8"/>
      <c r="K465" s="8">
        <v>2</v>
      </c>
      <c r="L465" s="18">
        <v>900</v>
      </c>
      <c r="M465" s="7">
        <f t="shared" si="7"/>
        <v>1800</v>
      </c>
      <c r="N465" s="4"/>
      <c r="O465" s="9"/>
    </row>
    <row r="466" spans="1:15" ht="20" customHeight="1" x14ac:dyDescent="0.2">
      <c r="A466" s="3">
        <v>462</v>
      </c>
      <c r="B466" s="19"/>
      <c r="C466" s="4" t="s">
        <v>5370</v>
      </c>
      <c r="D466" s="4" t="s">
        <v>4909</v>
      </c>
      <c r="E466" s="4" t="s">
        <v>133</v>
      </c>
      <c r="F466" s="8">
        <v>1</v>
      </c>
      <c r="G466" s="8">
        <v>1</v>
      </c>
      <c r="H466" s="8">
        <v>1</v>
      </c>
      <c r="I466" s="8"/>
      <c r="J466" s="8"/>
      <c r="K466" s="8">
        <v>1</v>
      </c>
      <c r="L466" s="18">
        <v>26000</v>
      </c>
      <c r="M466" s="7">
        <f t="shared" si="7"/>
        <v>26000</v>
      </c>
      <c r="N466" s="4"/>
      <c r="O466" s="9"/>
    </row>
    <row r="467" spans="1:15" ht="20" customHeight="1" x14ac:dyDescent="0.2">
      <c r="A467" s="3">
        <v>463</v>
      </c>
      <c r="B467" s="19"/>
      <c r="C467" s="4" t="s">
        <v>5371</v>
      </c>
      <c r="D467" s="4" t="s">
        <v>4909</v>
      </c>
      <c r="E467" s="4" t="s">
        <v>133</v>
      </c>
      <c r="F467" s="8">
        <v>1</v>
      </c>
      <c r="G467" s="8">
        <v>1</v>
      </c>
      <c r="H467" s="8">
        <v>1</v>
      </c>
      <c r="I467" s="8"/>
      <c r="J467" s="8"/>
      <c r="K467" s="8">
        <v>1</v>
      </c>
      <c r="L467" s="18">
        <v>26000</v>
      </c>
      <c r="M467" s="7">
        <f t="shared" si="7"/>
        <v>26000</v>
      </c>
      <c r="N467" s="4"/>
      <c r="O467" s="9"/>
    </row>
    <row r="468" spans="1:15" ht="20" customHeight="1" x14ac:dyDescent="0.2">
      <c r="A468" s="3">
        <v>464</v>
      </c>
      <c r="B468" s="19"/>
      <c r="C468" s="4" t="s">
        <v>5372</v>
      </c>
      <c r="D468" s="4" t="s">
        <v>4909</v>
      </c>
      <c r="E468" s="4" t="s">
        <v>196</v>
      </c>
      <c r="F468" s="8">
        <v>2</v>
      </c>
      <c r="G468" s="8">
        <v>2</v>
      </c>
      <c r="H468" s="8">
        <v>2</v>
      </c>
      <c r="I468" s="8"/>
      <c r="J468" s="8"/>
      <c r="K468" s="8">
        <v>2</v>
      </c>
      <c r="L468" s="18">
        <v>40000</v>
      </c>
      <c r="M468" s="7">
        <f t="shared" si="7"/>
        <v>80000</v>
      </c>
      <c r="N468" s="4"/>
      <c r="O468" s="9"/>
    </row>
    <row r="469" spans="1:15" ht="20" customHeight="1" x14ac:dyDescent="0.2">
      <c r="A469" s="3">
        <v>465</v>
      </c>
      <c r="B469" s="19"/>
      <c r="C469" s="4" t="s">
        <v>5373</v>
      </c>
      <c r="D469" s="4" t="s">
        <v>4909</v>
      </c>
      <c r="E469" s="4" t="s">
        <v>271</v>
      </c>
      <c r="F469" s="8">
        <v>5</v>
      </c>
      <c r="G469" s="8">
        <v>5</v>
      </c>
      <c r="H469" s="8">
        <v>5</v>
      </c>
      <c r="I469" s="8"/>
      <c r="J469" s="8"/>
      <c r="K469" s="8">
        <v>5</v>
      </c>
      <c r="L469" s="18">
        <v>18200</v>
      </c>
      <c r="M469" s="7">
        <f t="shared" si="7"/>
        <v>91000</v>
      </c>
      <c r="N469" s="4"/>
      <c r="O469" s="9"/>
    </row>
    <row r="470" spans="1:15" ht="20" customHeight="1" x14ac:dyDescent="0.2">
      <c r="A470" s="3">
        <v>466</v>
      </c>
      <c r="B470" s="19"/>
      <c r="C470" s="4" t="s">
        <v>5374</v>
      </c>
      <c r="D470" s="4" t="s">
        <v>4909</v>
      </c>
      <c r="E470" s="4" t="s">
        <v>196</v>
      </c>
      <c r="F470" s="8">
        <v>2</v>
      </c>
      <c r="G470" s="8">
        <v>2</v>
      </c>
      <c r="H470" s="8">
        <v>2</v>
      </c>
      <c r="I470" s="8"/>
      <c r="J470" s="8"/>
      <c r="K470" s="8">
        <v>2</v>
      </c>
      <c r="L470" s="18">
        <v>40000</v>
      </c>
      <c r="M470" s="7">
        <f t="shared" si="7"/>
        <v>80000</v>
      </c>
      <c r="N470" s="4"/>
      <c r="O470" s="9"/>
    </row>
    <row r="471" spans="1:15" ht="20" customHeight="1" x14ac:dyDescent="0.2">
      <c r="A471" s="3">
        <v>467</v>
      </c>
      <c r="B471" s="19"/>
      <c r="C471" s="4" t="s">
        <v>5375</v>
      </c>
      <c r="D471" s="4" t="s">
        <v>4909</v>
      </c>
      <c r="E471" s="4" t="s">
        <v>110</v>
      </c>
      <c r="F471" s="8">
        <v>1</v>
      </c>
      <c r="G471" s="8">
        <v>1</v>
      </c>
      <c r="H471" s="8">
        <v>1</v>
      </c>
      <c r="I471" s="8"/>
      <c r="J471" s="8"/>
      <c r="K471" s="8">
        <v>1</v>
      </c>
      <c r="L471" s="18">
        <v>30000</v>
      </c>
      <c r="M471" s="7">
        <f t="shared" si="7"/>
        <v>30000</v>
      </c>
      <c r="N471" s="4"/>
      <c r="O471" s="9"/>
    </row>
    <row r="472" spans="1:15" ht="20" customHeight="1" x14ac:dyDescent="0.2">
      <c r="A472" s="3">
        <v>468</v>
      </c>
      <c r="B472" s="19"/>
      <c r="C472" s="4" t="s">
        <v>5376</v>
      </c>
      <c r="D472" s="4" t="s">
        <v>4909</v>
      </c>
      <c r="E472" s="4" t="s">
        <v>271</v>
      </c>
      <c r="F472" s="8">
        <v>1</v>
      </c>
      <c r="G472" s="8">
        <v>1</v>
      </c>
      <c r="H472" s="8">
        <v>1</v>
      </c>
      <c r="I472" s="8"/>
      <c r="J472" s="8"/>
      <c r="K472" s="8">
        <v>1</v>
      </c>
      <c r="L472" s="18">
        <v>95000</v>
      </c>
      <c r="M472" s="7">
        <f t="shared" si="7"/>
        <v>95000</v>
      </c>
      <c r="N472" s="4"/>
      <c r="O472" s="9"/>
    </row>
    <row r="473" spans="1:15" ht="20" customHeight="1" x14ac:dyDescent="0.2">
      <c r="A473" s="3">
        <v>469</v>
      </c>
      <c r="B473" s="19"/>
      <c r="C473" s="4" t="s">
        <v>5377</v>
      </c>
      <c r="D473" s="4" t="s">
        <v>4909</v>
      </c>
      <c r="E473" s="4" t="s">
        <v>271</v>
      </c>
      <c r="F473" s="8">
        <v>4</v>
      </c>
      <c r="G473" s="8">
        <v>4</v>
      </c>
      <c r="H473" s="8">
        <v>4</v>
      </c>
      <c r="I473" s="8"/>
      <c r="J473" s="8"/>
      <c r="K473" s="8">
        <v>4</v>
      </c>
      <c r="L473" s="18">
        <v>68000</v>
      </c>
      <c r="M473" s="7">
        <f t="shared" si="7"/>
        <v>272000</v>
      </c>
      <c r="N473" s="4"/>
      <c r="O473" s="9"/>
    </row>
    <row r="474" spans="1:15" ht="20" customHeight="1" x14ac:dyDescent="0.2">
      <c r="A474" s="3">
        <v>470</v>
      </c>
      <c r="B474" s="19"/>
      <c r="C474" s="4" t="s">
        <v>5378</v>
      </c>
      <c r="D474" s="4" t="s">
        <v>4909</v>
      </c>
      <c r="E474" s="4" t="s">
        <v>271</v>
      </c>
      <c r="F474" s="8">
        <v>1</v>
      </c>
      <c r="G474" s="8">
        <v>1</v>
      </c>
      <c r="H474" s="8">
        <v>1</v>
      </c>
      <c r="I474" s="8"/>
      <c r="J474" s="8"/>
      <c r="K474" s="8">
        <v>1</v>
      </c>
      <c r="L474" s="18">
        <v>99000</v>
      </c>
      <c r="M474" s="7">
        <f t="shared" si="7"/>
        <v>99000</v>
      </c>
      <c r="N474" s="4"/>
      <c r="O474" s="9"/>
    </row>
    <row r="475" spans="1:15" ht="20" customHeight="1" x14ac:dyDescent="0.2">
      <c r="A475" s="3">
        <v>471</v>
      </c>
      <c r="B475" s="19"/>
      <c r="C475" s="4" t="s">
        <v>5379</v>
      </c>
      <c r="D475" s="4" t="s">
        <v>4909</v>
      </c>
      <c r="E475" s="4" t="s">
        <v>271</v>
      </c>
      <c r="F475" s="8">
        <v>12</v>
      </c>
      <c r="G475" s="8">
        <v>12</v>
      </c>
      <c r="H475" s="8">
        <v>12</v>
      </c>
      <c r="I475" s="8"/>
      <c r="J475" s="8"/>
      <c r="K475" s="8">
        <v>12</v>
      </c>
      <c r="L475" s="18">
        <v>1000</v>
      </c>
      <c r="M475" s="7">
        <f t="shared" si="7"/>
        <v>12000</v>
      </c>
      <c r="N475" s="4"/>
      <c r="O475" s="9"/>
    </row>
    <row r="476" spans="1:15" ht="20" customHeight="1" x14ac:dyDescent="0.2">
      <c r="A476" s="3">
        <v>472</v>
      </c>
      <c r="B476" s="19"/>
      <c r="C476" s="4" t="s">
        <v>5380</v>
      </c>
      <c r="D476" s="4" t="s">
        <v>4909</v>
      </c>
      <c r="E476" s="4" t="s">
        <v>271</v>
      </c>
      <c r="F476" s="8">
        <v>1</v>
      </c>
      <c r="G476" s="8">
        <v>1</v>
      </c>
      <c r="H476" s="8">
        <v>1</v>
      </c>
      <c r="I476" s="8"/>
      <c r="J476" s="8"/>
      <c r="K476" s="8">
        <v>1</v>
      </c>
      <c r="L476" s="18">
        <v>6500</v>
      </c>
      <c r="M476" s="7">
        <f t="shared" si="7"/>
        <v>6500</v>
      </c>
      <c r="N476" s="4"/>
      <c r="O476" s="9"/>
    </row>
    <row r="477" spans="1:15" ht="20" customHeight="1" x14ac:dyDescent="0.2">
      <c r="A477" s="3">
        <v>473</v>
      </c>
      <c r="B477" s="19"/>
      <c r="C477" s="4" t="s">
        <v>5381</v>
      </c>
      <c r="D477" s="4" t="s">
        <v>4909</v>
      </c>
      <c r="E477" s="4" t="s">
        <v>271</v>
      </c>
      <c r="F477" s="8">
        <v>1</v>
      </c>
      <c r="G477" s="8">
        <v>1</v>
      </c>
      <c r="H477" s="8">
        <v>1</v>
      </c>
      <c r="I477" s="8"/>
      <c r="J477" s="8"/>
      <c r="K477" s="8">
        <v>1</v>
      </c>
      <c r="L477" s="18">
        <v>7000</v>
      </c>
      <c r="M477" s="7">
        <f t="shared" si="7"/>
        <v>7000</v>
      </c>
      <c r="N477" s="4"/>
      <c r="O477" s="9"/>
    </row>
    <row r="478" spans="1:15" ht="20" customHeight="1" x14ac:dyDescent="0.2">
      <c r="A478" s="3">
        <v>474</v>
      </c>
      <c r="B478" s="19"/>
      <c r="C478" s="4" t="s">
        <v>5382</v>
      </c>
      <c r="D478" s="4" t="s">
        <v>4909</v>
      </c>
      <c r="E478" s="4" t="s">
        <v>271</v>
      </c>
      <c r="F478" s="8">
        <v>1</v>
      </c>
      <c r="G478" s="8">
        <v>1</v>
      </c>
      <c r="H478" s="8">
        <v>1</v>
      </c>
      <c r="I478" s="8"/>
      <c r="J478" s="8"/>
      <c r="K478" s="8">
        <v>1</v>
      </c>
      <c r="L478" s="18">
        <v>20000</v>
      </c>
      <c r="M478" s="7">
        <f t="shared" si="7"/>
        <v>20000</v>
      </c>
      <c r="N478" s="4"/>
      <c r="O478" s="9"/>
    </row>
    <row r="479" spans="1:15" ht="20" customHeight="1" x14ac:dyDescent="0.2">
      <c r="A479" s="3">
        <v>475</v>
      </c>
      <c r="B479" s="19"/>
      <c r="C479" s="4" t="s">
        <v>5383</v>
      </c>
      <c r="D479" s="4" t="s">
        <v>4909</v>
      </c>
      <c r="E479" s="4" t="s">
        <v>271</v>
      </c>
      <c r="F479" s="8">
        <v>2</v>
      </c>
      <c r="G479" s="8">
        <v>2</v>
      </c>
      <c r="H479" s="8">
        <v>2</v>
      </c>
      <c r="I479" s="8"/>
      <c r="J479" s="8"/>
      <c r="K479" s="8">
        <v>2</v>
      </c>
      <c r="L479" s="18">
        <v>12000</v>
      </c>
      <c r="M479" s="7">
        <f t="shared" si="7"/>
        <v>24000</v>
      </c>
      <c r="N479" s="4"/>
      <c r="O479" s="9"/>
    </row>
    <row r="480" spans="1:15" ht="20" customHeight="1" x14ac:dyDescent="0.2">
      <c r="A480" s="3">
        <v>476</v>
      </c>
      <c r="B480" s="19"/>
      <c r="C480" s="4" t="s">
        <v>5384</v>
      </c>
      <c r="D480" s="4" t="s">
        <v>4909</v>
      </c>
      <c r="E480" s="4" t="s">
        <v>271</v>
      </c>
      <c r="F480" s="8">
        <v>1</v>
      </c>
      <c r="G480" s="8">
        <v>1</v>
      </c>
      <c r="H480" s="8">
        <v>1</v>
      </c>
      <c r="I480" s="8"/>
      <c r="J480" s="8"/>
      <c r="K480" s="8">
        <v>1</v>
      </c>
      <c r="L480" s="18">
        <v>30000</v>
      </c>
      <c r="M480" s="7">
        <f t="shared" si="7"/>
        <v>30000</v>
      </c>
      <c r="N480" s="4"/>
      <c r="O480" s="9"/>
    </row>
    <row r="481" spans="1:15" ht="20" customHeight="1" x14ac:dyDescent="0.2">
      <c r="A481" s="3">
        <v>477</v>
      </c>
      <c r="B481" s="19"/>
      <c r="C481" s="4" t="s">
        <v>5385</v>
      </c>
      <c r="D481" s="4" t="s">
        <v>4909</v>
      </c>
      <c r="E481" s="4" t="s">
        <v>271</v>
      </c>
      <c r="F481" s="8">
        <v>40</v>
      </c>
      <c r="G481" s="8">
        <v>40</v>
      </c>
      <c r="H481" s="8">
        <v>40</v>
      </c>
      <c r="I481" s="8"/>
      <c r="J481" s="8"/>
      <c r="K481" s="8">
        <v>40</v>
      </c>
      <c r="L481" s="18">
        <v>4800</v>
      </c>
      <c r="M481" s="7">
        <f t="shared" si="7"/>
        <v>192000</v>
      </c>
      <c r="N481" s="4"/>
      <c r="O481" s="9"/>
    </row>
    <row r="482" spans="1:15" ht="20" customHeight="1" x14ac:dyDescent="0.2">
      <c r="A482" s="3">
        <v>478</v>
      </c>
      <c r="B482" s="19"/>
      <c r="C482" s="4" t="s">
        <v>5386</v>
      </c>
      <c r="D482" s="4" t="s">
        <v>4909</v>
      </c>
      <c r="E482" s="4" t="s">
        <v>271</v>
      </c>
      <c r="F482" s="8">
        <v>100</v>
      </c>
      <c r="G482" s="8">
        <v>100</v>
      </c>
      <c r="H482" s="8">
        <v>100</v>
      </c>
      <c r="I482" s="8"/>
      <c r="J482" s="8"/>
      <c r="K482" s="8">
        <v>100</v>
      </c>
      <c r="L482" s="18">
        <v>3000</v>
      </c>
      <c r="M482" s="7">
        <f t="shared" si="7"/>
        <v>300000</v>
      </c>
      <c r="N482" s="4"/>
      <c r="O482" s="9"/>
    </row>
    <row r="483" spans="1:15" ht="20" customHeight="1" x14ac:dyDescent="0.2">
      <c r="A483" s="3">
        <v>479</v>
      </c>
      <c r="B483" s="19"/>
      <c r="C483" s="4" t="s">
        <v>5387</v>
      </c>
      <c r="D483" s="4" t="s">
        <v>4909</v>
      </c>
      <c r="E483" s="4" t="s">
        <v>271</v>
      </c>
      <c r="F483" s="8">
        <v>2000</v>
      </c>
      <c r="G483" s="8">
        <v>2000</v>
      </c>
      <c r="H483" s="8">
        <v>2000</v>
      </c>
      <c r="I483" s="8"/>
      <c r="J483" s="8"/>
      <c r="K483" s="8">
        <v>2000</v>
      </c>
      <c r="L483" s="18">
        <v>249</v>
      </c>
      <c r="M483" s="7">
        <f t="shared" si="7"/>
        <v>498000</v>
      </c>
      <c r="N483" s="4"/>
      <c r="O483" s="9"/>
    </row>
    <row r="484" spans="1:15" ht="20" customHeight="1" x14ac:dyDescent="0.2">
      <c r="A484" s="3">
        <v>480</v>
      </c>
      <c r="B484" s="19"/>
      <c r="C484" s="4" t="s">
        <v>5388</v>
      </c>
      <c r="D484" s="4" t="s">
        <v>4909</v>
      </c>
      <c r="E484" s="4" t="s">
        <v>196</v>
      </c>
      <c r="F484" s="8">
        <v>2</v>
      </c>
      <c r="G484" s="8">
        <v>2</v>
      </c>
      <c r="H484" s="8">
        <v>2</v>
      </c>
      <c r="I484" s="8"/>
      <c r="J484" s="8"/>
      <c r="K484" s="8">
        <v>2</v>
      </c>
      <c r="L484" s="18">
        <v>25680</v>
      </c>
      <c r="M484" s="7">
        <f t="shared" si="7"/>
        <v>51360</v>
      </c>
      <c r="N484" s="4"/>
      <c r="O484" s="9"/>
    </row>
    <row r="485" spans="1:15" ht="20" customHeight="1" x14ac:dyDescent="0.2">
      <c r="A485" s="3">
        <v>481</v>
      </c>
      <c r="B485" s="19"/>
      <c r="C485" s="4" t="s">
        <v>5389</v>
      </c>
      <c r="D485" s="4" t="s">
        <v>4909</v>
      </c>
      <c r="E485" s="4" t="s">
        <v>196</v>
      </c>
      <c r="F485" s="8">
        <v>2</v>
      </c>
      <c r="G485" s="8">
        <v>2</v>
      </c>
      <c r="H485" s="8">
        <v>2</v>
      </c>
      <c r="I485" s="8"/>
      <c r="J485" s="8"/>
      <c r="K485" s="8">
        <v>2</v>
      </c>
      <c r="L485" s="18">
        <v>37450</v>
      </c>
      <c r="M485" s="7">
        <f t="shared" si="7"/>
        <v>74900</v>
      </c>
      <c r="N485" s="4"/>
      <c r="O485" s="9"/>
    </row>
    <row r="486" spans="1:15" ht="20" customHeight="1" x14ac:dyDescent="0.2">
      <c r="A486" s="3">
        <v>482</v>
      </c>
      <c r="B486" s="19"/>
      <c r="C486" s="4" t="s">
        <v>5390</v>
      </c>
      <c r="D486" s="4" t="s">
        <v>4909</v>
      </c>
      <c r="E486" s="4" t="s">
        <v>196</v>
      </c>
      <c r="F486" s="8">
        <v>2</v>
      </c>
      <c r="G486" s="8">
        <v>2</v>
      </c>
      <c r="H486" s="8">
        <v>2</v>
      </c>
      <c r="I486" s="8"/>
      <c r="J486" s="8"/>
      <c r="K486" s="8">
        <v>2</v>
      </c>
      <c r="L486" s="18">
        <v>34800</v>
      </c>
      <c r="M486" s="7">
        <f t="shared" si="7"/>
        <v>69600</v>
      </c>
      <c r="N486" s="4"/>
      <c r="O486" s="9"/>
    </row>
    <row r="487" spans="1:15" ht="20" customHeight="1" x14ac:dyDescent="0.2">
      <c r="A487" s="3">
        <v>483</v>
      </c>
      <c r="B487" s="19"/>
      <c r="C487" s="4" t="s">
        <v>5391</v>
      </c>
      <c r="D487" s="4" t="s">
        <v>4909</v>
      </c>
      <c r="E487" s="4" t="s">
        <v>271</v>
      </c>
      <c r="F487" s="8">
        <v>2</v>
      </c>
      <c r="G487" s="8">
        <v>2</v>
      </c>
      <c r="H487" s="8">
        <v>2</v>
      </c>
      <c r="I487" s="8"/>
      <c r="J487" s="8"/>
      <c r="K487" s="8">
        <v>2</v>
      </c>
      <c r="L487" s="18">
        <v>64200</v>
      </c>
      <c r="M487" s="7">
        <f t="shared" si="7"/>
        <v>128400</v>
      </c>
      <c r="N487" s="4"/>
      <c r="O487" s="9"/>
    </row>
    <row r="488" spans="1:15" ht="20" customHeight="1" x14ac:dyDescent="0.2">
      <c r="A488" s="3">
        <v>484</v>
      </c>
      <c r="B488" s="19"/>
      <c r="C488" s="4" t="s">
        <v>5392</v>
      </c>
      <c r="D488" s="4" t="s">
        <v>4909</v>
      </c>
      <c r="E488" s="4" t="s">
        <v>196</v>
      </c>
      <c r="F488" s="8">
        <v>1</v>
      </c>
      <c r="G488" s="8">
        <v>1</v>
      </c>
      <c r="H488" s="8">
        <v>1</v>
      </c>
      <c r="I488" s="8"/>
      <c r="J488" s="8"/>
      <c r="K488" s="8">
        <v>1</v>
      </c>
      <c r="L488" s="18">
        <v>18800</v>
      </c>
      <c r="M488" s="7">
        <f t="shared" si="7"/>
        <v>18800</v>
      </c>
      <c r="N488" s="4"/>
      <c r="O488" s="9"/>
    </row>
    <row r="489" spans="1:15" ht="20" customHeight="1" x14ac:dyDescent="0.2">
      <c r="A489" s="3">
        <v>485</v>
      </c>
      <c r="B489" s="19"/>
      <c r="C489" s="4" t="s">
        <v>5393</v>
      </c>
      <c r="D489" s="4" t="s">
        <v>4909</v>
      </c>
      <c r="E489" s="4" t="s">
        <v>196</v>
      </c>
      <c r="F489" s="8">
        <v>1</v>
      </c>
      <c r="G489" s="8">
        <v>1</v>
      </c>
      <c r="H489" s="8">
        <v>1</v>
      </c>
      <c r="I489" s="8"/>
      <c r="J489" s="8"/>
      <c r="K489" s="8">
        <v>1</v>
      </c>
      <c r="L489" s="18">
        <v>18800</v>
      </c>
      <c r="M489" s="7">
        <f t="shared" si="7"/>
        <v>18800</v>
      </c>
      <c r="N489" s="4"/>
      <c r="O489" s="9"/>
    </row>
    <row r="490" spans="1:15" ht="20" customHeight="1" x14ac:dyDescent="0.2">
      <c r="A490" s="3">
        <v>486</v>
      </c>
      <c r="B490" s="19"/>
      <c r="C490" s="4" t="s">
        <v>5394</v>
      </c>
      <c r="D490" s="4" t="s">
        <v>4909</v>
      </c>
      <c r="E490" s="4" t="s">
        <v>196</v>
      </c>
      <c r="F490" s="8">
        <v>1</v>
      </c>
      <c r="G490" s="8">
        <v>1</v>
      </c>
      <c r="H490" s="8">
        <v>1</v>
      </c>
      <c r="I490" s="8"/>
      <c r="J490" s="8"/>
      <c r="K490" s="8">
        <v>1</v>
      </c>
      <c r="L490" s="18">
        <v>32100</v>
      </c>
      <c r="M490" s="7">
        <f t="shared" si="7"/>
        <v>32100</v>
      </c>
      <c r="N490" s="4"/>
      <c r="O490" s="9"/>
    </row>
    <row r="491" spans="1:15" ht="20" customHeight="1" x14ac:dyDescent="0.2">
      <c r="A491" s="3">
        <v>487</v>
      </c>
      <c r="B491" s="19"/>
      <c r="C491" s="4" t="s">
        <v>5395</v>
      </c>
      <c r="D491" s="4" t="s">
        <v>4909</v>
      </c>
      <c r="E491" s="4"/>
      <c r="F491" s="8">
        <v>200</v>
      </c>
      <c r="G491" s="8">
        <v>200</v>
      </c>
      <c r="H491" s="8">
        <v>200</v>
      </c>
      <c r="I491" s="8"/>
      <c r="J491" s="8"/>
      <c r="K491" s="8">
        <v>200</v>
      </c>
      <c r="L491" s="18">
        <v>28000</v>
      </c>
      <c r="M491" s="7">
        <f t="shared" si="7"/>
        <v>5600000</v>
      </c>
      <c r="N491" s="4"/>
      <c r="O491" s="9"/>
    </row>
    <row r="492" spans="1:15" ht="20" customHeight="1" x14ac:dyDescent="0.2">
      <c r="A492" s="3">
        <v>488</v>
      </c>
      <c r="B492" s="19"/>
      <c r="C492" s="4" t="s">
        <v>5396</v>
      </c>
      <c r="D492" s="4" t="s">
        <v>4909</v>
      </c>
      <c r="E492" s="4"/>
      <c r="F492" s="8">
        <v>15</v>
      </c>
      <c r="G492" s="8">
        <v>15</v>
      </c>
      <c r="H492" s="8">
        <v>15</v>
      </c>
      <c r="I492" s="8"/>
      <c r="J492" s="8"/>
      <c r="K492" s="8">
        <v>15</v>
      </c>
      <c r="L492" s="18">
        <v>57000</v>
      </c>
      <c r="M492" s="7">
        <f t="shared" si="7"/>
        <v>855000</v>
      </c>
      <c r="N492" s="4"/>
      <c r="O492" s="9"/>
    </row>
    <row r="493" spans="1:15" ht="20" customHeight="1" x14ac:dyDescent="0.2">
      <c r="A493" s="3">
        <v>489</v>
      </c>
      <c r="B493" s="19"/>
      <c r="C493" s="4" t="s">
        <v>5397</v>
      </c>
      <c r="D493" s="4" t="s">
        <v>4909</v>
      </c>
      <c r="E493" s="4" t="s">
        <v>271</v>
      </c>
      <c r="F493" s="8">
        <v>100</v>
      </c>
      <c r="G493" s="8">
        <v>100</v>
      </c>
      <c r="H493" s="8">
        <v>100</v>
      </c>
      <c r="I493" s="8"/>
      <c r="J493" s="8"/>
      <c r="K493" s="8">
        <v>100</v>
      </c>
      <c r="L493" s="18">
        <v>64600</v>
      </c>
      <c r="M493" s="7">
        <f t="shared" si="7"/>
        <v>6460000</v>
      </c>
      <c r="N493" s="4"/>
      <c r="O493" s="9"/>
    </row>
    <row r="494" spans="1:15" ht="20" customHeight="1" x14ac:dyDescent="0.2">
      <c r="A494" s="3">
        <v>490</v>
      </c>
      <c r="B494" s="19"/>
      <c r="C494" s="4" t="s">
        <v>5398</v>
      </c>
      <c r="D494" s="4" t="s">
        <v>4909</v>
      </c>
      <c r="E494" s="4" t="s">
        <v>271</v>
      </c>
      <c r="F494" s="8">
        <v>20</v>
      </c>
      <c r="G494" s="8">
        <v>20</v>
      </c>
      <c r="H494" s="8">
        <v>20</v>
      </c>
      <c r="I494" s="8"/>
      <c r="J494" s="8"/>
      <c r="K494" s="8">
        <v>20</v>
      </c>
      <c r="L494" s="18">
        <v>200000</v>
      </c>
      <c r="M494" s="7">
        <f t="shared" si="7"/>
        <v>4000000</v>
      </c>
      <c r="N494" s="4"/>
      <c r="O494" s="9"/>
    </row>
    <row r="495" spans="1:15" ht="20" customHeight="1" x14ac:dyDescent="0.2">
      <c r="A495" s="3">
        <v>491</v>
      </c>
      <c r="B495" s="19"/>
      <c r="C495" s="4" t="s">
        <v>5399</v>
      </c>
      <c r="D495" s="4" t="s">
        <v>4909</v>
      </c>
      <c r="E495" s="4" t="s">
        <v>271</v>
      </c>
      <c r="F495" s="8">
        <v>5</v>
      </c>
      <c r="G495" s="8">
        <v>5</v>
      </c>
      <c r="H495" s="8">
        <v>5</v>
      </c>
      <c r="I495" s="8"/>
      <c r="J495" s="8"/>
      <c r="K495" s="8">
        <v>5</v>
      </c>
      <c r="L495" s="18">
        <v>290000</v>
      </c>
      <c r="M495" s="7">
        <f t="shared" si="7"/>
        <v>1450000</v>
      </c>
      <c r="N495" s="4"/>
      <c r="O495" s="9"/>
    </row>
    <row r="496" spans="1:15" ht="20" customHeight="1" x14ac:dyDescent="0.2">
      <c r="A496" s="3">
        <v>492</v>
      </c>
      <c r="B496" s="19"/>
      <c r="C496" s="4" t="s">
        <v>5400</v>
      </c>
      <c r="D496" s="4" t="s">
        <v>4909</v>
      </c>
      <c r="E496" s="4" t="s">
        <v>271</v>
      </c>
      <c r="F496" s="8">
        <v>30</v>
      </c>
      <c r="G496" s="8">
        <v>30</v>
      </c>
      <c r="H496" s="8">
        <v>30</v>
      </c>
      <c r="I496" s="8"/>
      <c r="J496" s="8"/>
      <c r="K496" s="8">
        <v>30</v>
      </c>
      <c r="L496" s="18">
        <v>18000</v>
      </c>
      <c r="M496" s="7">
        <f t="shared" si="7"/>
        <v>540000</v>
      </c>
      <c r="N496" s="4"/>
      <c r="O496" s="9"/>
    </row>
    <row r="497" spans="1:15" ht="20" customHeight="1" x14ac:dyDescent="0.2">
      <c r="A497" s="3">
        <v>493</v>
      </c>
      <c r="B497" s="19"/>
      <c r="C497" s="4" t="s">
        <v>5401</v>
      </c>
      <c r="D497" s="4" t="s">
        <v>4909</v>
      </c>
      <c r="E497" s="4" t="s">
        <v>271</v>
      </c>
      <c r="F497" s="8">
        <v>5</v>
      </c>
      <c r="G497" s="8">
        <v>5</v>
      </c>
      <c r="H497" s="8">
        <v>5</v>
      </c>
      <c r="I497" s="8"/>
      <c r="J497" s="8"/>
      <c r="K497" s="8">
        <v>5</v>
      </c>
      <c r="L497" s="18">
        <v>14000</v>
      </c>
      <c r="M497" s="7">
        <f t="shared" si="7"/>
        <v>70000</v>
      </c>
      <c r="N497" s="4"/>
      <c r="O497" s="9"/>
    </row>
    <row r="498" spans="1:15" ht="20" customHeight="1" x14ac:dyDescent="0.2">
      <c r="A498" s="3">
        <v>494</v>
      </c>
      <c r="B498" s="19"/>
      <c r="C498" s="4" t="s">
        <v>5402</v>
      </c>
      <c r="D498" s="4" t="s">
        <v>4909</v>
      </c>
      <c r="E498" s="4" t="s">
        <v>110</v>
      </c>
      <c r="F498" s="8">
        <v>400</v>
      </c>
      <c r="G498" s="8">
        <v>400</v>
      </c>
      <c r="H498" s="8">
        <v>400</v>
      </c>
      <c r="I498" s="8"/>
      <c r="J498" s="8"/>
      <c r="K498" s="8">
        <v>400</v>
      </c>
      <c r="L498" s="18">
        <v>10165</v>
      </c>
      <c r="M498" s="7">
        <f t="shared" si="7"/>
        <v>4066000</v>
      </c>
      <c r="N498" s="4"/>
      <c r="O498" s="9"/>
    </row>
    <row r="499" spans="1:15" ht="20" customHeight="1" x14ac:dyDescent="0.2">
      <c r="A499" s="3">
        <v>495</v>
      </c>
      <c r="B499" s="19"/>
      <c r="C499" s="4" t="s">
        <v>5403</v>
      </c>
      <c r="D499" s="4" t="s">
        <v>4909</v>
      </c>
      <c r="E499" s="4" t="s">
        <v>110</v>
      </c>
      <c r="F499" s="8">
        <v>200</v>
      </c>
      <c r="G499" s="8">
        <v>200</v>
      </c>
      <c r="H499" s="8">
        <v>200</v>
      </c>
      <c r="I499" s="8"/>
      <c r="J499" s="8"/>
      <c r="K499" s="8">
        <v>200</v>
      </c>
      <c r="L499" s="18">
        <v>16050</v>
      </c>
      <c r="M499" s="7">
        <f t="shared" si="7"/>
        <v>3210000</v>
      </c>
      <c r="N499" s="4"/>
      <c r="O499" s="9"/>
    </row>
    <row r="500" spans="1:15" ht="20" customHeight="1" x14ac:dyDescent="0.2">
      <c r="A500" s="3">
        <v>496</v>
      </c>
      <c r="B500" s="19"/>
      <c r="C500" s="4" t="s">
        <v>5404</v>
      </c>
      <c r="D500" s="4" t="s">
        <v>4909</v>
      </c>
      <c r="E500" s="4" t="s">
        <v>271</v>
      </c>
      <c r="F500" s="8">
        <v>30</v>
      </c>
      <c r="G500" s="8">
        <v>30</v>
      </c>
      <c r="H500" s="8">
        <v>30</v>
      </c>
      <c r="I500" s="8"/>
      <c r="J500" s="8"/>
      <c r="K500" s="8">
        <v>30</v>
      </c>
      <c r="L500" s="18">
        <v>63000</v>
      </c>
      <c r="M500" s="7">
        <f t="shared" si="7"/>
        <v>1890000</v>
      </c>
      <c r="N500" s="4"/>
      <c r="O500" s="9"/>
    </row>
    <row r="501" spans="1:15" ht="20" customHeight="1" x14ac:dyDescent="0.2">
      <c r="A501" s="3">
        <v>497</v>
      </c>
      <c r="B501" s="19"/>
      <c r="C501" s="4" t="s">
        <v>5405</v>
      </c>
      <c r="D501" s="4" t="s">
        <v>4909</v>
      </c>
      <c r="E501" s="4" t="s">
        <v>271</v>
      </c>
      <c r="F501" s="8">
        <v>50</v>
      </c>
      <c r="G501" s="8">
        <v>50</v>
      </c>
      <c r="H501" s="8">
        <v>50</v>
      </c>
      <c r="I501" s="8"/>
      <c r="J501" s="8"/>
      <c r="K501" s="8">
        <v>50</v>
      </c>
      <c r="L501" s="18">
        <v>29000</v>
      </c>
      <c r="M501" s="7">
        <f t="shared" si="7"/>
        <v>1450000</v>
      </c>
      <c r="N501" s="4"/>
      <c r="O501" s="9"/>
    </row>
    <row r="502" spans="1:15" ht="20" customHeight="1" x14ac:dyDescent="0.2">
      <c r="A502" s="3">
        <v>498</v>
      </c>
      <c r="B502" s="19"/>
      <c r="C502" s="4" t="s">
        <v>5406</v>
      </c>
      <c r="D502" s="4" t="s">
        <v>4909</v>
      </c>
      <c r="E502" s="4" t="s">
        <v>271</v>
      </c>
      <c r="F502" s="8">
        <v>100</v>
      </c>
      <c r="G502" s="8">
        <v>100</v>
      </c>
      <c r="H502" s="8">
        <v>100</v>
      </c>
      <c r="I502" s="8"/>
      <c r="J502" s="8"/>
      <c r="K502" s="8">
        <v>100</v>
      </c>
      <c r="L502" s="18">
        <v>16000</v>
      </c>
      <c r="M502" s="7">
        <f t="shared" si="7"/>
        <v>1600000</v>
      </c>
      <c r="N502" s="4"/>
      <c r="O502" s="9"/>
    </row>
    <row r="503" spans="1:15" ht="20" customHeight="1" x14ac:dyDescent="0.2">
      <c r="A503" s="3">
        <v>499</v>
      </c>
      <c r="B503" s="19"/>
      <c r="C503" s="4" t="s">
        <v>5407</v>
      </c>
      <c r="D503" s="4" t="s">
        <v>4909</v>
      </c>
      <c r="E503" s="4" t="s">
        <v>196</v>
      </c>
      <c r="F503" s="8">
        <v>100</v>
      </c>
      <c r="G503" s="8">
        <v>100</v>
      </c>
      <c r="H503" s="8">
        <v>100</v>
      </c>
      <c r="I503" s="8"/>
      <c r="J503" s="8"/>
      <c r="K503" s="8">
        <v>100</v>
      </c>
      <c r="L503" s="18">
        <v>45000</v>
      </c>
      <c r="M503" s="7">
        <f t="shared" si="7"/>
        <v>4500000</v>
      </c>
      <c r="N503" s="4"/>
      <c r="O503" s="9"/>
    </row>
    <row r="504" spans="1:15" ht="20" customHeight="1" x14ac:dyDescent="0.2">
      <c r="A504" s="3">
        <v>500</v>
      </c>
      <c r="B504" s="19"/>
      <c r="C504" s="4" t="s">
        <v>5408</v>
      </c>
      <c r="D504" s="4" t="s">
        <v>4909</v>
      </c>
      <c r="E504" s="4" t="s">
        <v>196</v>
      </c>
      <c r="F504" s="8">
        <v>100</v>
      </c>
      <c r="G504" s="8">
        <v>100</v>
      </c>
      <c r="H504" s="8">
        <v>100</v>
      </c>
      <c r="I504" s="8"/>
      <c r="J504" s="8"/>
      <c r="K504" s="8">
        <v>100</v>
      </c>
      <c r="L504" s="18">
        <v>65000</v>
      </c>
      <c r="M504" s="7">
        <f t="shared" si="7"/>
        <v>6500000</v>
      </c>
      <c r="N504" s="4"/>
      <c r="O504" s="9"/>
    </row>
    <row r="505" spans="1:15" ht="20" customHeight="1" x14ac:dyDescent="0.2">
      <c r="A505" s="3">
        <v>501</v>
      </c>
      <c r="B505" s="19"/>
      <c r="C505" s="4" t="s">
        <v>5409</v>
      </c>
      <c r="D505" s="4" t="s">
        <v>4909</v>
      </c>
      <c r="E505" s="4" t="s">
        <v>196</v>
      </c>
      <c r="F505" s="8">
        <v>200</v>
      </c>
      <c r="G505" s="8">
        <v>200</v>
      </c>
      <c r="H505" s="8">
        <v>200</v>
      </c>
      <c r="I505" s="8"/>
      <c r="J505" s="8"/>
      <c r="K505" s="8">
        <v>200</v>
      </c>
      <c r="L505" s="18">
        <v>15000</v>
      </c>
      <c r="M505" s="7">
        <f t="shared" si="7"/>
        <v>3000000</v>
      </c>
      <c r="N505" s="4"/>
      <c r="O505" s="9"/>
    </row>
    <row r="506" spans="1:15" ht="20" customHeight="1" x14ac:dyDescent="0.2">
      <c r="A506" s="3">
        <v>502</v>
      </c>
      <c r="B506" s="19"/>
      <c r="C506" s="4" t="s">
        <v>5410</v>
      </c>
      <c r="D506" s="4" t="s">
        <v>4909</v>
      </c>
      <c r="E506" s="4" t="s">
        <v>196</v>
      </c>
      <c r="F506" s="8">
        <v>60</v>
      </c>
      <c r="G506" s="8">
        <v>60</v>
      </c>
      <c r="H506" s="8">
        <v>60</v>
      </c>
      <c r="I506" s="8"/>
      <c r="J506" s="8"/>
      <c r="K506" s="8">
        <v>60</v>
      </c>
      <c r="L506" s="18">
        <v>45000</v>
      </c>
      <c r="M506" s="7">
        <f t="shared" si="7"/>
        <v>2700000</v>
      </c>
      <c r="N506" s="4"/>
      <c r="O506" s="9"/>
    </row>
    <row r="507" spans="1:15" ht="20" customHeight="1" x14ac:dyDescent="0.2">
      <c r="A507" s="3">
        <v>503</v>
      </c>
      <c r="B507" s="19"/>
      <c r="C507" s="4" t="s">
        <v>5411</v>
      </c>
      <c r="D507" s="4" t="s">
        <v>4909</v>
      </c>
      <c r="E507" s="4" t="s">
        <v>196</v>
      </c>
      <c r="F507" s="8">
        <v>30</v>
      </c>
      <c r="G507" s="8">
        <v>30</v>
      </c>
      <c r="H507" s="8">
        <v>30</v>
      </c>
      <c r="I507" s="8"/>
      <c r="J507" s="8"/>
      <c r="K507" s="8">
        <v>30</v>
      </c>
      <c r="L507" s="18">
        <v>75000</v>
      </c>
      <c r="M507" s="7">
        <f t="shared" si="7"/>
        <v>2250000</v>
      </c>
      <c r="N507" s="4"/>
      <c r="O507" s="9"/>
    </row>
    <row r="508" spans="1:15" ht="20" customHeight="1" x14ac:dyDescent="0.2">
      <c r="A508" s="3">
        <v>504</v>
      </c>
      <c r="B508" s="19"/>
      <c r="C508" s="4" t="s">
        <v>5412</v>
      </c>
      <c r="D508" s="4" t="s">
        <v>4909</v>
      </c>
      <c r="E508" s="4" t="s">
        <v>196</v>
      </c>
      <c r="F508" s="8">
        <v>50</v>
      </c>
      <c r="G508" s="8">
        <v>50</v>
      </c>
      <c r="H508" s="8">
        <v>50</v>
      </c>
      <c r="I508" s="8"/>
      <c r="J508" s="8"/>
      <c r="K508" s="8">
        <v>50</v>
      </c>
      <c r="L508" s="18">
        <v>15000</v>
      </c>
      <c r="M508" s="7">
        <f t="shared" si="7"/>
        <v>750000</v>
      </c>
      <c r="N508" s="4"/>
      <c r="O508" s="9"/>
    </row>
    <row r="509" spans="1:15" ht="20" customHeight="1" x14ac:dyDescent="0.2">
      <c r="A509" s="3">
        <v>505</v>
      </c>
      <c r="B509" s="19"/>
      <c r="C509" s="4" t="s">
        <v>5413</v>
      </c>
      <c r="D509" s="4" t="s">
        <v>4909</v>
      </c>
      <c r="E509" s="4" t="s">
        <v>196</v>
      </c>
      <c r="F509" s="8">
        <v>100</v>
      </c>
      <c r="G509" s="8">
        <v>100</v>
      </c>
      <c r="H509" s="8">
        <v>100</v>
      </c>
      <c r="I509" s="8"/>
      <c r="J509" s="8"/>
      <c r="K509" s="8">
        <v>100</v>
      </c>
      <c r="L509" s="18">
        <v>42000</v>
      </c>
      <c r="M509" s="7">
        <f t="shared" si="7"/>
        <v>4200000</v>
      </c>
      <c r="N509" s="4"/>
      <c r="O509" s="9"/>
    </row>
    <row r="510" spans="1:15" ht="20" customHeight="1" x14ac:dyDescent="0.2">
      <c r="A510" s="3">
        <v>506</v>
      </c>
      <c r="B510" s="19"/>
      <c r="C510" s="4" t="s">
        <v>5414</v>
      </c>
      <c r="D510" s="4" t="s">
        <v>4909</v>
      </c>
      <c r="E510" s="4" t="s">
        <v>271</v>
      </c>
      <c r="F510" s="8">
        <v>90</v>
      </c>
      <c r="G510" s="8">
        <v>90</v>
      </c>
      <c r="H510" s="8">
        <v>90</v>
      </c>
      <c r="I510" s="8"/>
      <c r="J510" s="8"/>
      <c r="K510" s="8">
        <v>90</v>
      </c>
      <c r="L510" s="18">
        <v>7000</v>
      </c>
      <c r="M510" s="7">
        <f t="shared" si="7"/>
        <v>630000</v>
      </c>
      <c r="N510" s="4"/>
      <c r="O510" s="9"/>
    </row>
    <row r="511" spans="1:15" ht="20" customHeight="1" x14ac:dyDescent="0.2">
      <c r="A511" s="3">
        <v>507</v>
      </c>
      <c r="B511" s="19"/>
      <c r="C511" s="4" t="s">
        <v>5415</v>
      </c>
      <c r="D511" s="4" t="s">
        <v>4909</v>
      </c>
      <c r="E511" s="4" t="s">
        <v>271</v>
      </c>
      <c r="F511" s="8">
        <v>15</v>
      </c>
      <c r="G511" s="8">
        <v>15</v>
      </c>
      <c r="H511" s="8">
        <v>15</v>
      </c>
      <c r="I511" s="8"/>
      <c r="J511" s="8"/>
      <c r="K511" s="8">
        <v>15</v>
      </c>
      <c r="L511" s="18">
        <v>8500</v>
      </c>
      <c r="M511" s="7">
        <f t="shared" si="7"/>
        <v>127500</v>
      </c>
      <c r="N511" s="4"/>
      <c r="O511" s="9"/>
    </row>
    <row r="512" spans="1:15" ht="20" customHeight="1" x14ac:dyDescent="0.2">
      <c r="A512" s="3">
        <v>508</v>
      </c>
      <c r="B512" s="19"/>
      <c r="C512" s="4" t="s">
        <v>5416</v>
      </c>
      <c r="D512" s="4" t="s">
        <v>4909</v>
      </c>
      <c r="E512" s="4" t="s">
        <v>271</v>
      </c>
      <c r="F512" s="8">
        <v>15</v>
      </c>
      <c r="G512" s="8">
        <v>15</v>
      </c>
      <c r="H512" s="8">
        <v>15</v>
      </c>
      <c r="I512" s="8"/>
      <c r="J512" s="8"/>
      <c r="K512" s="8">
        <v>15</v>
      </c>
      <c r="L512" s="18">
        <v>9900</v>
      </c>
      <c r="M512" s="7">
        <f t="shared" si="7"/>
        <v>148500</v>
      </c>
      <c r="N512" s="4"/>
      <c r="O512" s="9"/>
    </row>
    <row r="513" spans="1:15" ht="20" customHeight="1" x14ac:dyDescent="0.2">
      <c r="A513" s="3">
        <v>509</v>
      </c>
      <c r="B513" s="19"/>
      <c r="C513" s="4" t="s">
        <v>5417</v>
      </c>
      <c r="D513" s="4" t="s">
        <v>4909</v>
      </c>
      <c r="E513" s="4" t="s">
        <v>271</v>
      </c>
      <c r="F513" s="8">
        <v>150</v>
      </c>
      <c r="G513" s="8">
        <v>150</v>
      </c>
      <c r="H513" s="8">
        <v>150</v>
      </c>
      <c r="I513" s="8"/>
      <c r="J513" s="8"/>
      <c r="K513" s="8">
        <v>150</v>
      </c>
      <c r="L513" s="18">
        <v>4500</v>
      </c>
      <c r="M513" s="7">
        <f t="shared" si="7"/>
        <v>675000</v>
      </c>
      <c r="N513" s="4"/>
      <c r="O513" s="9"/>
    </row>
    <row r="514" spans="1:15" ht="20" customHeight="1" x14ac:dyDescent="0.2">
      <c r="A514" s="3">
        <v>510</v>
      </c>
      <c r="B514" s="19"/>
      <c r="C514" s="4" t="s">
        <v>5418</v>
      </c>
      <c r="D514" s="4" t="s">
        <v>4909</v>
      </c>
      <c r="E514" s="4" t="s">
        <v>271</v>
      </c>
      <c r="F514" s="8">
        <v>100</v>
      </c>
      <c r="G514" s="8">
        <v>100</v>
      </c>
      <c r="H514" s="8">
        <v>100</v>
      </c>
      <c r="I514" s="8"/>
      <c r="J514" s="8"/>
      <c r="K514" s="8">
        <v>100</v>
      </c>
      <c r="L514" s="18">
        <v>2675</v>
      </c>
      <c r="M514" s="7">
        <f t="shared" si="7"/>
        <v>267500</v>
      </c>
      <c r="N514" s="4"/>
      <c r="O514" s="9"/>
    </row>
    <row r="515" spans="1:15" ht="20" customHeight="1" x14ac:dyDescent="0.2">
      <c r="A515" s="3">
        <v>511</v>
      </c>
      <c r="B515" s="19"/>
      <c r="C515" s="4" t="s">
        <v>5419</v>
      </c>
      <c r="D515" s="4" t="s">
        <v>4909</v>
      </c>
      <c r="E515" s="4" t="s">
        <v>271</v>
      </c>
      <c r="F515" s="8">
        <v>30</v>
      </c>
      <c r="G515" s="8">
        <v>30</v>
      </c>
      <c r="H515" s="8">
        <v>30</v>
      </c>
      <c r="I515" s="8"/>
      <c r="J515" s="8"/>
      <c r="K515" s="8">
        <v>30</v>
      </c>
      <c r="L515" s="18">
        <v>2500</v>
      </c>
      <c r="M515" s="7">
        <f t="shared" si="7"/>
        <v>75000</v>
      </c>
      <c r="N515" s="4"/>
      <c r="O515" s="9"/>
    </row>
    <row r="516" spans="1:15" ht="20" customHeight="1" x14ac:dyDescent="0.2">
      <c r="A516" s="3">
        <v>512</v>
      </c>
      <c r="B516" s="19"/>
      <c r="C516" s="4" t="s">
        <v>5420</v>
      </c>
      <c r="D516" s="4" t="s">
        <v>4909</v>
      </c>
      <c r="E516" s="4" t="s">
        <v>271</v>
      </c>
      <c r="F516" s="8">
        <v>175</v>
      </c>
      <c r="G516" s="8">
        <v>175</v>
      </c>
      <c r="H516" s="8">
        <v>175</v>
      </c>
      <c r="I516" s="8"/>
      <c r="J516" s="8"/>
      <c r="K516" s="8">
        <v>175</v>
      </c>
      <c r="L516" s="18">
        <v>2500</v>
      </c>
      <c r="M516" s="7">
        <f t="shared" si="7"/>
        <v>437500</v>
      </c>
      <c r="N516" s="4"/>
      <c r="O516" s="9"/>
    </row>
    <row r="517" spans="1:15" ht="20" customHeight="1" x14ac:dyDescent="0.2">
      <c r="A517" s="3">
        <v>513</v>
      </c>
      <c r="B517" s="19"/>
      <c r="C517" s="4" t="s">
        <v>5421</v>
      </c>
      <c r="D517" s="4" t="s">
        <v>4909</v>
      </c>
      <c r="E517" s="4" t="s">
        <v>271</v>
      </c>
      <c r="F517" s="8">
        <v>25</v>
      </c>
      <c r="G517" s="8">
        <v>25</v>
      </c>
      <c r="H517" s="8">
        <v>25</v>
      </c>
      <c r="I517" s="8"/>
      <c r="J517" s="8"/>
      <c r="K517" s="8">
        <v>25</v>
      </c>
      <c r="L517" s="18">
        <v>15000</v>
      </c>
      <c r="M517" s="7">
        <f t="shared" ref="M517:M580" si="8">IF(OR(K517="",L517=""),"",K517*L517)</f>
        <v>375000</v>
      </c>
      <c r="N517" s="4"/>
      <c r="O517" s="9"/>
    </row>
    <row r="518" spans="1:15" ht="20" customHeight="1" x14ac:dyDescent="0.2">
      <c r="A518" s="3">
        <v>514</v>
      </c>
      <c r="B518" s="19"/>
      <c r="C518" s="4" t="s">
        <v>5422</v>
      </c>
      <c r="D518" s="4" t="s">
        <v>4909</v>
      </c>
      <c r="E518" s="4" t="s">
        <v>271</v>
      </c>
      <c r="F518" s="8">
        <v>80</v>
      </c>
      <c r="G518" s="8">
        <v>80</v>
      </c>
      <c r="H518" s="8">
        <v>80</v>
      </c>
      <c r="I518" s="8"/>
      <c r="J518" s="8"/>
      <c r="K518" s="8">
        <v>80</v>
      </c>
      <c r="L518" s="18">
        <v>9000</v>
      </c>
      <c r="M518" s="7">
        <f t="shared" si="8"/>
        <v>720000</v>
      </c>
      <c r="N518" s="4"/>
      <c r="O518" s="9"/>
    </row>
    <row r="519" spans="1:15" ht="20" customHeight="1" x14ac:dyDescent="0.2">
      <c r="A519" s="3">
        <v>515</v>
      </c>
      <c r="B519" s="19"/>
      <c r="C519" s="4" t="s">
        <v>5423</v>
      </c>
      <c r="D519" s="4" t="s">
        <v>4909</v>
      </c>
      <c r="E519" s="4" t="s">
        <v>271</v>
      </c>
      <c r="F519" s="8">
        <v>15</v>
      </c>
      <c r="G519" s="8">
        <v>15</v>
      </c>
      <c r="H519" s="8">
        <v>15</v>
      </c>
      <c r="I519" s="8"/>
      <c r="J519" s="8"/>
      <c r="K519" s="8">
        <v>15</v>
      </c>
      <c r="L519" s="18">
        <v>6500</v>
      </c>
      <c r="M519" s="7">
        <f t="shared" si="8"/>
        <v>97500</v>
      </c>
      <c r="N519" s="4"/>
      <c r="O519" s="9"/>
    </row>
    <row r="520" spans="1:15" ht="20" customHeight="1" x14ac:dyDescent="0.2">
      <c r="A520" s="3">
        <v>516</v>
      </c>
      <c r="B520" s="19"/>
      <c r="C520" s="4" t="s">
        <v>5424</v>
      </c>
      <c r="D520" s="4" t="s">
        <v>4909</v>
      </c>
      <c r="E520" s="4" t="s">
        <v>271</v>
      </c>
      <c r="F520" s="8">
        <v>15</v>
      </c>
      <c r="G520" s="8">
        <v>15</v>
      </c>
      <c r="H520" s="8">
        <v>15</v>
      </c>
      <c r="I520" s="8"/>
      <c r="J520" s="8"/>
      <c r="K520" s="8">
        <v>15</v>
      </c>
      <c r="L520" s="18">
        <v>6000</v>
      </c>
      <c r="M520" s="7">
        <f t="shared" si="8"/>
        <v>90000</v>
      </c>
      <c r="N520" s="4"/>
      <c r="O520" s="9"/>
    </row>
    <row r="521" spans="1:15" ht="20" customHeight="1" x14ac:dyDescent="0.2">
      <c r="A521" s="3">
        <v>517</v>
      </c>
      <c r="B521" s="19"/>
      <c r="C521" s="4" t="s">
        <v>5425</v>
      </c>
      <c r="D521" s="4" t="s">
        <v>4909</v>
      </c>
      <c r="E521" s="4" t="s">
        <v>271</v>
      </c>
      <c r="F521" s="8">
        <v>20</v>
      </c>
      <c r="G521" s="8">
        <v>20</v>
      </c>
      <c r="H521" s="8">
        <v>20</v>
      </c>
      <c r="I521" s="8"/>
      <c r="J521" s="8"/>
      <c r="K521" s="8">
        <v>20</v>
      </c>
      <c r="L521" s="18">
        <v>8900</v>
      </c>
      <c r="M521" s="7">
        <f t="shared" si="8"/>
        <v>178000</v>
      </c>
      <c r="N521" s="4"/>
      <c r="O521" s="9"/>
    </row>
    <row r="522" spans="1:15" ht="20" customHeight="1" x14ac:dyDescent="0.2">
      <c r="A522" s="3">
        <v>518</v>
      </c>
      <c r="B522" s="19"/>
      <c r="C522" s="4" t="s">
        <v>5426</v>
      </c>
      <c r="D522" s="4" t="s">
        <v>4909</v>
      </c>
      <c r="E522" s="4" t="s">
        <v>271</v>
      </c>
      <c r="F522" s="8">
        <v>30</v>
      </c>
      <c r="G522" s="8">
        <v>30</v>
      </c>
      <c r="H522" s="8">
        <v>30</v>
      </c>
      <c r="I522" s="8"/>
      <c r="J522" s="8"/>
      <c r="K522" s="8">
        <v>30</v>
      </c>
      <c r="L522" s="18">
        <v>8900</v>
      </c>
      <c r="M522" s="7">
        <f t="shared" si="8"/>
        <v>267000</v>
      </c>
      <c r="N522" s="4"/>
      <c r="O522" s="9"/>
    </row>
    <row r="523" spans="1:15" ht="20" customHeight="1" x14ac:dyDescent="0.2">
      <c r="A523" s="3">
        <v>519</v>
      </c>
      <c r="B523" s="19"/>
      <c r="C523" s="4" t="s">
        <v>5427</v>
      </c>
      <c r="D523" s="4" t="s">
        <v>4909</v>
      </c>
      <c r="E523" s="4" t="s">
        <v>271</v>
      </c>
      <c r="F523" s="8">
        <v>30</v>
      </c>
      <c r="G523" s="8">
        <v>30</v>
      </c>
      <c r="H523" s="8">
        <v>30</v>
      </c>
      <c r="I523" s="8"/>
      <c r="J523" s="8"/>
      <c r="K523" s="8">
        <v>30</v>
      </c>
      <c r="L523" s="18">
        <v>8900</v>
      </c>
      <c r="M523" s="7">
        <f t="shared" si="8"/>
        <v>267000</v>
      </c>
      <c r="N523" s="4"/>
      <c r="O523" s="9"/>
    </row>
    <row r="524" spans="1:15" ht="20" customHeight="1" x14ac:dyDescent="0.2">
      <c r="A524" s="3">
        <v>520</v>
      </c>
      <c r="B524" s="19"/>
      <c r="C524" s="4" t="s">
        <v>5428</v>
      </c>
      <c r="D524" s="4" t="s">
        <v>4909</v>
      </c>
      <c r="E524" s="4" t="s">
        <v>271</v>
      </c>
      <c r="F524" s="8">
        <v>30</v>
      </c>
      <c r="G524" s="8">
        <v>30</v>
      </c>
      <c r="H524" s="8">
        <v>30</v>
      </c>
      <c r="I524" s="8"/>
      <c r="J524" s="8"/>
      <c r="K524" s="8">
        <v>30</v>
      </c>
      <c r="L524" s="18">
        <v>12000</v>
      </c>
      <c r="M524" s="7">
        <f t="shared" si="8"/>
        <v>360000</v>
      </c>
      <c r="N524" s="4"/>
      <c r="O524" s="9"/>
    </row>
    <row r="525" spans="1:15" ht="20" customHeight="1" x14ac:dyDescent="0.2">
      <c r="A525" s="3">
        <v>521</v>
      </c>
      <c r="B525" s="19"/>
      <c r="C525" s="4" t="s">
        <v>5429</v>
      </c>
      <c r="D525" s="4" t="s">
        <v>4909</v>
      </c>
      <c r="E525" s="4" t="s">
        <v>271</v>
      </c>
      <c r="F525" s="8">
        <v>15</v>
      </c>
      <c r="G525" s="8">
        <v>15</v>
      </c>
      <c r="H525" s="8">
        <v>15</v>
      </c>
      <c r="I525" s="8"/>
      <c r="J525" s="8"/>
      <c r="K525" s="8">
        <v>15</v>
      </c>
      <c r="L525" s="18">
        <v>6500</v>
      </c>
      <c r="M525" s="7">
        <f t="shared" si="8"/>
        <v>97500</v>
      </c>
      <c r="N525" s="4"/>
      <c r="O525" s="9"/>
    </row>
    <row r="526" spans="1:15" ht="20" customHeight="1" x14ac:dyDescent="0.2">
      <c r="A526" s="3">
        <v>522</v>
      </c>
      <c r="B526" s="19"/>
      <c r="C526" s="4" t="s">
        <v>5430</v>
      </c>
      <c r="D526" s="4" t="s">
        <v>4909</v>
      </c>
      <c r="E526" s="4" t="s">
        <v>271</v>
      </c>
      <c r="F526" s="8">
        <v>15</v>
      </c>
      <c r="G526" s="8">
        <v>15</v>
      </c>
      <c r="H526" s="8">
        <v>15</v>
      </c>
      <c r="I526" s="8"/>
      <c r="J526" s="8"/>
      <c r="K526" s="8">
        <v>15</v>
      </c>
      <c r="L526" s="18">
        <v>5000</v>
      </c>
      <c r="M526" s="7">
        <f t="shared" si="8"/>
        <v>75000</v>
      </c>
      <c r="N526" s="4"/>
      <c r="O526" s="9"/>
    </row>
    <row r="527" spans="1:15" ht="20" customHeight="1" x14ac:dyDescent="0.2">
      <c r="A527" s="3">
        <v>523</v>
      </c>
      <c r="B527" s="19"/>
      <c r="C527" s="4" t="s">
        <v>5431</v>
      </c>
      <c r="D527" s="4" t="s">
        <v>4909</v>
      </c>
      <c r="E527" s="4" t="s">
        <v>271</v>
      </c>
      <c r="F527" s="8">
        <v>15</v>
      </c>
      <c r="G527" s="8">
        <v>15</v>
      </c>
      <c r="H527" s="8">
        <v>15</v>
      </c>
      <c r="I527" s="8"/>
      <c r="J527" s="8"/>
      <c r="K527" s="8">
        <v>15</v>
      </c>
      <c r="L527" s="18">
        <v>10700</v>
      </c>
      <c r="M527" s="7">
        <f t="shared" si="8"/>
        <v>160500</v>
      </c>
      <c r="N527" s="4"/>
      <c r="O527" s="9"/>
    </row>
    <row r="528" spans="1:15" ht="20" customHeight="1" x14ac:dyDescent="0.2">
      <c r="A528" s="3">
        <v>524</v>
      </c>
      <c r="B528" s="19"/>
      <c r="C528" s="4" t="s">
        <v>5432</v>
      </c>
      <c r="D528" s="4" t="s">
        <v>4909</v>
      </c>
      <c r="E528" s="4" t="s">
        <v>271</v>
      </c>
      <c r="F528" s="8">
        <v>150</v>
      </c>
      <c r="G528" s="8">
        <v>150</v>
      </c>
      <c r="H528" s="8">
        <v>150</v>
      </c>
      <c r="I528" s="8"/>
      <c r="J528" s="8"/>
      <c r="K528" s="8">
        <v>150</v>
      </c>
      <c r="L528" s="18">
        <v>15300</v>
      </c>
      <c r="M528" s="7">
        <f t="shared" si="8"/>
        <v>2295000</v>
      </c>
      <c r="N528" s="4"/>
      <c r="O528" s="9"/>
    </row>
    <row r="529" spans="1:15" ht="20" customHeight="1" x14ac:dyDescent="0.2">
      <c r="A529" s="3">
        <v>525</v>
      </c>
      <c r="B529" s="19"/>
      <c r="C529" s="4" t="s">
        <v>5433</v>
      </c>
      <c r="D529" s="4" t="s">
        <v>4909</v>
      </c>
      <c r="E529" s="4" t="s">
        <v>271</v>
      </c>
      <c r="F529" s="8">
        <v>150</v>
      </c>
      <c r="G529" s="8">
        <v>150</v>
      </c>
      <c r="H529" s="8">
        <v>150</v>
      </c>
      <c r="I529" s="8"/>
      <c r="J529" s="8"/>
      <c r="K529" s="8">
        <v>150</v>
      </c>
      <c r="L529" s="18">
        <v>13970</v>
      </c>
      <c r="M529" s="7">
        <f t="shared" si="8"/>
        <v>2095500</v>
      </c>
      <c r="N529" s="4"/>
      <c r="O529" s="9"/>
    </row>
    <row r="530" spans="1:15" ht="20" customHeight="1" x14ac:dyDescent="0.2">
      <c r="A530" s="3">
        <v>526</v>
      </c>
      <c r="B530" s="19"/>
      <c r="C530" s="4" t="s">
        <v>5434</v>
      </c>
      <c r="D530" s="4" t="s">
        <v>4909</v>
      </c>
      <c r="E530" s="4" t="s">
        <v>271</v>
      </c>
      <c r="F530" s="8">
        <v>1100</v>
      </c>
      <c r="G530" s="8">
        <v>1100</v>
      </c>
      <c r="H530" s="8">
        <v>1100</v>
      </c>
      <c r="I530" s="8"/>
      <c r="J530" s="8"/>
      <c r="K530" s="8">
        <v>1100</v>
      </c>
      <c r="L530" s="18">
        <v>1400</v>
      </c>
      <c r="M530" s="7">
        <f t="shared" si="8"/>
        <v>1540000</v>
      </c>
      <c r="N530" s="4"/>
      <c r="O530" s="9"/>
    </row>
    <row r="531" spans="1:15" ht="20" customHeight="1" x14ac:dyDescent="0.2">
      <c r="A531" s="3">
        <v>527</v>
      </c>
      <c r="B531" s="19"/>
      <c r="C531" s="4" t="s">
        <v>5435</v>
      </c>
      <c r="D531" s="4" t="s">
        <v>4909</v>
      </c>
      <c r="E531" s="4" t="s">
        <v>271</v>
      </c>
      <c r="F531" s="8">
        <v>55</v>
      </c>
      <c r="G531" s="8">
        <v>55</v>
      </c>
      <c r="H531" s="8">
        <v>55</v>
      </c>
      <c r="I531" s="8"/>
      <c r="J531" s="8"/>
      <c r="K531" s="8">
        <v>55</v>
      </c>
      <c r="L531" s="18">
        <v>300</v>
      </c>
      <c r="M531" s="7">
        <f t="shared" si="8"/>
        <v>16500</v>
      </c>
      <c r="N531" s="4"/>
      <c r="O531" s="9"/>
    </row>
    <row r="532" spans="1:15" ht="20" customHeight="1" x14ac:dyDescent="0.2">
      <c r="A532" s="3">
        <v>528</v>
      </c>
      <c r="B532" s="19"/>
      <c r="C532" s="4" t="s">
        <v>5436</v>
      </c>
      <c r="D532" s="4" t="s">
        <v>4909</v>
      </c>
      <c r="E532" s="4" t="s">
        <v>271</v>
      </c>
      <c r="F532" s="8">
        <v>50</v>
      </c>
      <c r="G532" s="8">
        <v>50</v>
      </c>
      <c r="H532" s="8">
        <v>50</v>
      </c>
      <c r="I532" s="8"/>
      <c r="J532" s="8"/>
      <c r="K532" s="8">
        <v>50</v>
      </c>
      <c r="L532" s="18">
        <v>3000</v>
      </c>
      <c r="M532" s="7">
        <f t="shared" si="8"/>
        <v>150000</v>
      </c>
      <c r="N532" s="4"/>
      <c r="O532" s="9"/>
    </row>
    <row r="533" spans="1:15" ht="20" customHeight="1" x14ac:dyDescent="0.2">
      <c r="A533" s="3">
        <v>529</v>
      </c>
      <c r="B533" s="19"/>
      <c r="C533" s="4" t="s">
        <v>5437</v>
      </c>
      <c r="D533" s="4" t="s">
        <v>4909</v>
      </c>
      <c r="E533" s="4" t="s">
        <v>271</v>
      </c>
      <c r="F533" s="8">
        <v>200</v>
      </c>
      <c r="G533" s="8">
        <v>200</v>
      </c>
      <c r="H533" s="8">
        <v>200</v>
      </c>
      <c r="I533" s="8"/>
      <c r="J533" s="8"/>
      <c r="K533" s="8">
        <v>200</v>
      </c>
      <c r="L533" s="18">
        <v>3000</v>
      </c>
      <c r="M533" s="7">
        <f t="shared" si="8"/>
        <v>600000</v>
      </c>
      <c r="N533" s="4"/>
      <c r="O533" s="9"/>
    </row>
    <row r="534" spans="1:15" ht="20" customHeight="1" x14ac:dyDescent="0.2">
      <c r="A534" s="3">
        <v>530</v>
      </c>
      <c r="B534" s="19"/>
      <c r="C534" s="4" t="s">
        <v>5438</v>
      </c>
      <c r="D534" s="4" t="s">
        <v>4909</v>
      </c>
      <c r="E534" s="4" t="s">
        <v>271</v>
      </c>
      <c r="F534" s="8">
        <v>200</v>
      </c>
      <c r="G534" s="8">
        <v>200</v>
      </c>
      <c r="H534" s="8">
        <v>200</v>
      </c>
      <c r="I534" s="8"/>
      <c r="J534" s="8"/>
      <c r="K534" s="8">
        <v>200</v>
      </c>
      <c r="L534" s="18">
        <v>2500</v>
      </c>
      <c r="M534" s="7">
        <f t="shared" si="8"/>
        <v>500000</v>
      </c>
      <c r="N534" s="4"/>
      <c r="O534" s="9"/>
    </row>
    <row r="535" spans="1:15" ht="20" customHeight="1" x14ac:dyDescent="0.2">
      <c r="A535" s="3">
        <v>531</v>
      </c>
      <c r="B535" s="19"/>
      <c r="C535" s="4" t="s">
        <v>5439</v>
      </c>
      <c r="D535" s="4" t="s">
        <v>4909</v>
      </c>
      <c r="E535" s="4" t="s">
        <v>271</v>
      </c>
      <c r="F535" s="8">
        <v>40</v>
      </c>
      <c r="G535" s="8">
        <v>40</v>
      </c>
      <c r="H535" s="8">
        <v>40</v>
      </c>
      <c r="I535" s="8"/>
      <c r="J535" s="8"/>
      <c r="K535" s="8">
        <v>40</v>
      </c>
      <c r="L535" s="18">
        <v>500</v>
      </c>
      <c r="M535" s="7">
        <f t="shared" si="8"/>
        <v>20000</v>
      </c>
      <c r="N535" s="4"/>
      <c r="O535" s="9"/>
    </row>
    <row r="536" spans="1:15" ht="20" customHeight="1" x14ac:dyDescent="0.2">
      <c r="A536" s="3">
        <v>532</v>
      </c>
      <c r="B536" s="19"/>
      <c r="C536" s="4" t="s">
        <v>5440</v>
      </c>
      <c r="D536" s="4" t="s">
        <v>4909</v>
      </c>
      <c r="E536" s="4" t="s">
        <v>271</v>
      </c>
      <c r="F536" s="8">
        <v>50</v>
      </c>
      <c r="G536" s="8">
        <v>50</v>
      </c>
      <c r="H536" s="8">
        <v>50</v>
      </c>
      <c r="I536" s="8"/>
      <c r="J536" s="8"/>
      <c r="K536" s="8">
        <v>50</v>
      </c>
      <c r="L536" s="18">
        <v>1000</v>
      </c>
      <c r="M536" s="7">
        <f t="shared" si="8"/>
        <v>50000</v>
      </c>
      <c r="N536" s="4"/>
      <c r="O536" s="9"/>
    </row>
    <row r="537" spans="1:15" ht="20" customHeight="1" x14ac:dyDescent="0.2">
      <c r="A537" s="3">
        <v>533</v>
      </c>
      <c r="B537" s="19"/>
      <c r="C537" s="4" t="s">
        <v>5441</v>
      </c>
      <c r="D537" s="4" t="s">
        <v>4909</v>
      </c>
      <c r="E537" s="4" t="s">
        <v>271</v>
      </c>
      <c r="F537" s="8">
        <v>50</v>
      </c>
      <c r="G537" s="8">
        <v>50</v>
      </c>
      <c r="H537" s="8">
        <v>50</v>
      </c>
      <c r="I537" s="8"/>
      <c r="J537" s="8"/>
      <c r="K537" s="8">
        <v>50</v>
      </c>
      <c r="L537" s="18">
        <v>2000</v>
      </c>
      <c r="M537" s="7">
        <f t="shared" si="8"/>
        <v>100000</v>
      </c>
      <c r="N537" s="4"/>
      <c r="O537" s="9"/>
    </row>
    <row r="538" spans="1:15" ht="20" customHeight="1" x14ac:dyDescent="0.2">
      <c r="A538" s="3">
        <v>534</v>
      </c>
      <c r="B538" s="19"/>
      <c r="C538" s="4" t="s">
        <v>5442</v>
      </c>
      <c r="D538" s="4" t="s">
        <v>4909</v>
      </c>
      <c r="E538" s="4" t="s">
        <v>110</v>
      </c>
      <c r="F538" s="8">
        <v>25</v>
      </c>
      <c r="G538" s="8">
        <v>25</v>
      </c>
      <c r="H538" s="8">
        <v>25</v>
      </c>
      <c r="I538" s="8"/>
      <c r="J538" s="8"/>
      <c r="K538" s="8">
        <v>25</v>
      </c>
      <c r="L538" s="18">
        <v>10000</v>
      </c>
      <c r="M538" s="7">
        <f t="shared" si="8"/>
        <v>250000</v>
      </c>
      <c r="N538" s="4"/>
      <c r="O538" s="9"/>
    </row>
    <row r="539" spans="1:15" ht="20" customHeight="1" x14ac:dyDescent="0.2">
      <c r="A539" s="3">
        <v>535</v>
      </c>
      <c r="B539" s="19"/>
      <c r="C539" s="4" t="s">
        <v>5443</v>
      </c>
      <c r="D539" s="4" t="s">
        <v>4909</v>
      </c>
      <c r="E539" s="4" t="s">
        <v>265</v>
      </c>
      <c r="F539" s="8">
        <v>15</v>
      </c>
      <c r="G539" s="8">
        <v>15</v>
      </c>
      <c r="H539" s="8">
        <v>15</v>
      </c>
      <c r="I539" s="8"/>
      <c r="J539" s="8"/>
      <c r="K539" s="8">
        <v>15</v>
      </c>
      <c r="L539" s="18">
        <v>12000</v>
      </c>
      <c r="M539" s="7">
        <f t="shared" si="8"/>
        <v>180000</v>
      </c>
      <c r="N539" s="4"/>
      <c r="O539" s="9"/>
    </row>
    <row r="540" spans="1:15" ht="20" customHeight="1" x14ac:dyDescent="0.2">
      <c r="A540" s="3">
        <v>536</v>
      </c>
      <c r="B540" s="19"/>
      <c r="C540" s="4" t="s">
        <v>5444</v>
      </c>
      <c r="D540" s="4" t="s">
        <v>4909</v>
      </c>
      <c r="E540" s="4" t="s">
        <v>271</v>
      </c>
      <c r="F540" s="8">
        <v>15</v>
      </c>
      <c r="G540" s="8">
        <v>15</v>
      </c>
      <c r="H540" s="8">
        <v>15</v>
      </c>
      <c r="I540" s="8"/>
      <c r="J540" s="8"/>
      <c r="K540" s="8">
        <v>15</v>
      </c>
      <c r="L540" s="18">
        <v>5000</v>
      </c>
      <c r="M540" s="7">
        <f t="shared" si="8"/>
        <v>75000</v>
      </c>
      <c r="N540" s="4"/>
      <c r="O540" s="9"/>
    </row>
    <row r="541" spans="1:15" ht="20" customHeight="1" x14ac:dyDescent="0.2">
      <c r="A541" s="3">
        <v>537</v>
      </c>
      <c r="B541" s="19"/>
      <c r="C541" s="4" t="s">
        <v>5445</v>
      </c>
      <c r="D541" s="4" t="s">
        <v>4909</v>
      </c>
      <c r="E541" s="4" t="s">
        <v>271</v>
      </c>
      <c r="F541" s="8">
        <v>80</v>
      </c>
      <c r="G541" s="8">
        <v>80</v>
      </c>
      <c r="H541" s="8">
        <v>80</v>
      </c>
      <c r="I541" s="8"/>
      <c r="J541" s="8"/>
      <c r="K541" s="8">
        <v>80</v>
      </c>
      <c r="L541" s="18">
        <v>3000</v>
      </c>
      <c r="M541" s="7">
        <f t="shared" si="8"/>
        <v>240000</v>
      </c>
      <c r="N541" s="4"/>
      <c r="O541" s="9"/>
    </row>
    <row r="542" spans="1:15" ht="20" customHeight="1" x14ac:dyDescent="0.2">
      <c r="A542" s="3">
        <v>538</v>
      </c>
      <c r="B542" s="19"/>
      <c r="C542" s="4" t="s">
        <v>5446</v>
      </c>
      <c r="D542" s="4" t="s">
        <v>4909</v>
      </c>
      <c r="E542" s="4" t="s">
        <v>271</v>
      </c>
      <c r="F542" s="8">
        <v>80</v>
      </c>
      <c r="G542" s="8">
        <v>80</v>
      </c>
      <c r="H542" s="8">
        <v>80</v>
      </c>
      <c r="I542" s="8"/>
      <c r="J542" s="8"/>
      <c r="K542" s="8">
        <v>80</v>
      </c>
      <c r="L542" s="18">
        <v>2500</v>
      </c>
      <c r="M542" s="7">
        <f t="shared" si="8"/>
        <v>200000</v>
      </c>
      <c r="N542" s="4"/>
      <c r="O542" s="9"/>
    </row>
    <row r="543" spans="1:15" ht="20" customHeight="1" x14ac:dyDescent="0.2">
      <c r="A543" s="3">
        <v>539</v>
      </c>
      <c r="B543" s="19"/>
      <c r="C543" s="4" t="s">
        <v>5447</v>
      </c>
      <c r="D543" s="4" t="s">
        <v>4909</v>
      </c>
      <c r="E543" s="4" t="s">
        <v>271</v>
      </c>
      <c r="F543" s="8">
        <v>5</v>
      </c>
      <c r="G543" s="8">
        <v>5</v>
      </c>
      <c r="H543" s="8">
        <v>5</v>
      </c>
      <c r="I543" s="8"/>
      <c r="J543" s="8"/>
      <c r="K543" s="8">
        <v>5</v>
      </c>
      <c r="L543" s="18">
        <v>4000</v>
      </c>
      <c r="M543" s="7">
        <f t="shared" si="8"/>
        <v>20000</v>
      </c>
      <c r="N543" s="4"/>
      <c r="O543" s="9"/>
    </row>
    <row r="544" spans="1:15" ht="20" customHeight="1" x14ac:dyDescent="0.2">
      <c r="A544" s="3">
        <v>540</v>
      </c>
      <c r="B544" s="19"/>
      <c r="C544" s="4" t="s">
        <v>5448</v>
      </c>
      <c r="D544" s="4" t="s">
        <v>4909</v>
      </c>
      <c r="E544" s="4" t="s">
        <v>271</v>
      </c>
      <c r="F544" s="8">
        <v>20</v>
      </c>
      <c r="G544" s="8">
        <v>20</v>
      </c>
      <c r="H544" s="8">
        <v>20</v>
      </c>
      <c r="I544" s="8"/>
      <c r="J544" s="8"/>
      <c r="K544" s="8">
        <v>20</v>
      </c>
      <c r="L544" s="18">
        <v>6000</v>
      </c>
      <c r="M544" s="7">
        <f t="shared" si="8"/>
        <v>120000</v>
      </c>
      <c r="N544" s="4"/>
      <c r="O544" s="9"/>
    </row>
    <row r="545" spans="1:15" ht="20" customHeight="1" x14ac:dyDescent="0.2">
      <c r="A545" s="3">
        <v>541</v>
      </c>
      <c r="B545" s="19"/>
      <c r="C545" s="4" t="s">
        <v>5449</v>
      </c>
      <c r="D545" s="4" t="s">
        <v>4909</v>
      </c>
      <c r="E545" s="4" t="s">
        <v>271</v>
      </c>
      <c r="F545" s="8">
        <v>20</v>
      </c>
      <c r="G545" s="8">
        <v>20</v>
      </c>
      <c r="H545" s="8">
        <v>20</v>
      </c>
      <c r="I545" s="8"/>
      <c r="J545" s="8"/>
      <c r="K545" s="8">
        <v>20</v>
      </c>
      <c r="L545" s="18">
        <v>8000</v>
      </c>
      <c r="M545" s="7">
        <f t="shared" si="8"/>
        <v>160000</v>
      </c>
      <c r="N545" s="4"/>
      <c r="O545" s="9"/>
    </row>
    <row r="546" spans="1:15" ht="20" customHeight="1" x14ac:dyDescent="0.2">
      <c r="A546" s="3">
        <v>542</v>
      </c>
      <c r="B546" s="19"/>
      <c r="C546" s="4" t="s">
        <v>5450</v>
      </c>
      <c r="D546" s="4" t="s">
        <v>4909</v>
      </c>
      <c r="E546" s="4" t="s">
        <v>271</v>
      </c>
      <c r="F546" s="8">
        <v>20</v>
      </c>
      <c r="G546" s="8">
        <v>20</v>
      </c>
      <c r="H546" s="8">
        <v>20</v>
      </c>
      <c r="I546" s="8"/>
      <c r="J546" s="8"/>
      <c r="K546" s="8">
        <v>20</v>
      </c>
      <c r="L546" s="18">
        <v>10000</v>
      </c>
      <c r="M546" s="7">
        <f t="shared" si="8"/>
        <v>200000</v>
      </c>
      <c r="N546" s="4"/>
      <c r="O546" s="9"/>
    </row>
    <row r="547" spans="1:15" ht="20" customHeight="1" x14ac:dyDescent="0.2">
      <c r="A547" s="3">
        <v>543</v>
      </c>
      <c r="B547" s="19"/>
      <c r="C547" s="4" t="s">
        <v>5451</v>
      </c>
      <c r="D547" s="4" t="s">
        <v>4909</v>
      </c>
      <c r="E547" s="4" t="s">
        <v>271</v>
      </c>
      <c r="F547" s="8">
        <v>5</v>
      </c>
      <c r="G547" s="8">
        <v>5</v>
      </c>
      <c r="H547" s="8">
        <v>5</v>
      </c>
      <c r="I547" s="8"/>
      <c r="J547" s="8"/>
      <c r="K547" s="8">
        <v>5</v>
      </c>
      <c r="L547" s="18">
        <v>12000</v>
      </c>
      <c r="M547" s="7">
        <f t="shared" si="8"/>
        <v>60000</v>
      </c>
      <c r="N547" s="4"/>
      <c r="O547" s="9"/>
    </row>
    <row r="548" spans="1:15" ht="20" customHeight="1" x14ac:dyDescent="0.2">
      <c r="A548" s="3">
        <v>544</v>
      </c>
      <c r="B548" s="19"/>
      <c r="C548" s="4" t="s">
        <v>5452</v>
      </c>
      <c r="D548" s="4" t="s">
        <v>4909</v>
      </c>
      <c r="E548" s="4" t="s">
        <v>271</v>
      </c>
      <c r="F548" s="8">
        <v>5</v>
      </c>
      <c r="G548" s="8">
        <v>5</v>
      </c>
      <c r="H548" s="8">
        <v>5</v>
      </c>
      <c r="I548" s="8"/>
      <c r="J548" s="8"/>
      <c r="K548" s="8">
        <v>5</v>
      </c>
      <c r="L548" s="18">
        <v>14000</v>
      </c>
      <c r="M548" s="7">
        <f t="shared" si="8"/>
        <v>70000</v>
      </c>
      <c r="N548" s="4"/>
      <c r="O548" s="9"/>
    </row>
    <row r="549" spans="1:15" ht="20" customHeight="1" x14ac:dyDescent="0.2">
      <c r="A549" s="3">
        <v>545</v>
      </c>
      <c r="B549" s="19"/>
      <c r="C549" s="4" t="s">
        <v>5453</v>
      </c>
      <c r="D549" s="4" t="s">
        <v>4909</v>
      </c>
      <c r="E549" s="4" t="s">
        <v>271</v>
      </c>
      <c r="F549" s="8">
        <v>5</v>
      </c>
      <c r="G549" s="8">
        <v>5</v>
      </c>
      <c r="H549" s="8">
        <v>5</v>
      </c>
      <c r="I549" s="8"/>
      <c r="J549" s="8"/>
      <c r="K549" s="8">
        <v>5</v>
      </c>
      <c r="L549" s="18">
        <v>16000</v>
      </c>
      <c r="M549" s="7">
        <f t="shared" si="8"/>
        <v>80000</v>
      </c>
      <c r="N549" s="4"/>
      <c r="O549" s="9"/>
    </row>
    <row r="550" spans="1:15" ht="20" customHeight="1" x14ac:dyDescent="0.2">
      <c r="A550" s="3">
        <v>546</v>
      </c>
      <c r="B550" s="19"/>
      <c r="C550" s="4" t="s">
        <v>5454</v>
      </c>
      <c r="D550" s="4" t="s">
        <v>4909</v>
      </c>
      <c r="E550" s="4" t="s">
        <v>271</v>
      </c>
      <c r="F550" s="8">
        <v>5</v>
      </c>
      <c r="G550" s="8">
        <v>5</v>
      </c>
      <c r="H550" s="8">
        <v>5</v>
      </c>
      <c r="I550" s="8"/>
      <c r="J550" s="8"/>
      <c r="K550" s="8">
        <v>5</v>
      </c>
      <c r="L550" s="18">
        <v>15000</v>
      </c>
      <c r="M550" s="7">
        <f t="shared" si="8"/>
        <v>75000</v>
      </c>
      <c r="N550" s="4"/>
      <c r="O550" s="9"/>
    </row>
    <row r="551" spans="1:15" ht="20" customHeight="1" x14ac:dyDescent="0.2">
      <c r="A551" s="3">
        <v>547</v>
      </c>
      <c r="B551" s="19"/>
      <c r="C551" s="4" t="s">
        <v>5455</v>
      </c>
      <c r="D551" s="4" t="s">
        <v>4909</v>
      </c>
      <c r="E551" s="4" t="s">
        <v>271</v>
      </c>
      <c r="F551" s="8">
        <v>5</v>
      </c>
      <c r="G551" s="8">
        <v>5</v>
      </c>
      <c r="H551" s="8">
        <v>5</v>
      </c>
      <c r="I551" s="8"/>
      <c r="J551" s="8"/>
      <c r="K551" s="8">
        <v>5</v>
      </c>
      <c r="L551" s="18">
        <v>15000</v>
      </c>
      <c r="M551" s="7">
        <f t="shared" si="8"/>
        <v>75000</v>
      </c>
      <c r="N551" s="4"/>
      <c r="O551" s="9"/>
    </row>
    <row r="552" spans="1:15" ht="20" customHeight="1" x14ac:dyDescent="0.2">
      <c r="A552" s="3">
        <v>548</v>
      </c>
      <c r="B552" s="19"/>
      <c r="C552" s="4" t="s">
        <v>5456</v>
      </c>
      <c r="D552" s="4" t="s">
        <v>4909</v>
      </c>
      <c r="E552" s="4" t="s">
        <v>271</v>
      </c>
      <c r="F552" s="8">
        <v>5</v>
      </c>
      <c r="G552" s="8">
        <v>5</v>
      </c>
      <c r="H552" s="8">
        <v>5</v>
      </c>
      <c r="I552" s="8"/>
      <c r="J552" s="8"/>
      <c r="K552" s="8">
        <v>5</v>
      </c>
      <c r="L552" s="18">
        <v>23000</v>
      </c>
      <c r="M552" s="7">
        <f t="shared" si="8"/>
        <v>115000</v>
      </c>
      <c r="N552" s="4"/>
      <c r="O552" s="9"/>
    </row>
    <row r="553" spans="1:15" ht="20" customHeight="1" x14ac:dyDescent="0.2">
      <c r="A553" s="3">
        <v>549</v>
      </c>
      <c r="B553" s="19"/>
      <c r="C553" s="4" t="s">
        <v>5457</v>
      </c>
      <c r="D553" s="4" t="s">
        <v>4909</v>
      </c>
      <c r="E553" s="4" t="s">
        <v>271</v>
      </c>
      <c r="F553" s="8">
        <v>5</v>
      </c>
      <c r="G553" s="8">
        <v>5</v>
      </c>
      <c r="H553" s="8">
        <v>5</v>
      </c>
      <c r="I553" s="8"/>
      <c r="J553" s="8"/>
      <c r="K553" s="8">
        <v>5</v>
      </c>
      <c r="L553" s="18">
        <v>30000</v>
      </c>
      <c r="M553" s="7">
        <f t="shared" si="8"/>
        <v>150000</v>
      </c>
      <c r="N553" s="4"/>
      <c r="O553" s="9"/>
    </row>
    <row r="554" spans="1:15" ht="20" customHeight="1" x14ac:dyDescent="0.2">
      <c r="A554" s="3">
        <v>550</v>
      </c>
      <c r="B554" s="19"/>
      <c r="C554" s="4" t="s">
        <v>5458</v>
      </c>
      <c r="D554" s="4" t="s">
        <v>4909</v>
      </c>
      <c r="E554" s="4" t="s">
        <v>110</v>
      </c>
      <c r="F554" s="8">
        <v>5</v>
      </c>
      <c r="G554" s="8">
        <v>5</v>
      </c>
      <c r="H554" s="8">
        <v>5</v>
      </c>
      <c r="I554" s="8"/>
      <c r="J554" s="8"/>
      <c r="K554" s="8">
        <v>5</v>
      </c>
      <c r="L554" s="18">
        <v>38000</v>
      </c>
      <c r="M554" s="7">
        <f t="shared" si="8"/>
        <v>190000</v>
      </c>
      <c r="N554" s="4"/>
      <c r="O554" s="9"/>
    </row>
    <row r="555" spans="1:15" ht="20" customHeight="1" x14ac:dyDescent="0.2">
      <c r="A555" s="3">
        <v>551</v>
      </c>
      <c r="B555" s="19"/>
      <c r="C555" s="4" t="s">
        <v>5459</v>
      </c>
      <c r="D555" s="4" t="s">
        <v>4909</v>
      </c>
      <c r="E555" s="4" t="s">
        <v>265</v>
      </c>
      <c r="F555" s="8">
        <v>15</v>
      </c>
      <c r="G555" s="8">
        <v>15</v>
      </c>
      <c r="H555" s="8">
        <v>15</v>
      </c>
      <c r="I555" s="8"/>
      <c r="J555" s="8"/>
      <c r="K555" s="8">
        <v>15</v>
      </c>
      <c r="L555" s="18">
        <v>2000</v>
      </c>
      <c r="M555" s="7">
        <f t="shared" si="8"/>
        <v>30000</v>
      </c>
      <c r="N555" s="4"/>
      <c r="O555" s="9"/>
    </row>
    <row r="556" spans="1:15" ht="20" customHeight="1" x14ac:dyDescent="0.2">
      <c r="A556" s="3">
        <v>552</v>
      </c>
      <c r="B556" s="19"/>
      <c r="C556" s="4" t="s">
        <v>5460</v>
      </c>
      <c r="D556" s="4" t="s">
        <v>4909</v>
      </c>
      <c r="E556" s="4" t="s">
        <v>271</v>
      </c>
      <c r="F556" s="8">
        <v>10</v>
      </c>
      <c r="G556" s="8">
        <v>10</v>
      </c>
      <c r="H556" s="8">
        <v>10</v>
      </c>
      <c r="I556" s="8"/>
      <c r="J556" s="8"/>
      <c r="K556" s="8">
        <v>10</v>
      </c>
      <c r="L556" s="18">
        <v>12000</v>
      </c>
      <c r="M556" s="7">
        <f t="shared" si="8"/>
        <v>120000</v>
      </c>
      <c r="N556" s="4"/>
      <c r="O556" s="9"/>
    </row>
    <row r="557" spans="1:15" ht="20" customHeight="1" x14ac:dyDescent="0.2">
      <c r="A557" s="3">
        <v>553</v>
      </c>
      <c r="B557" s="19"/>
      <c r="C557" s="4" t="s">
        <v>5461</v>
      </c>
      <c r="D557" s="4" t="s">
        <v>4909</v>
      </c>
      <c r="E557" s="4" t="s">
        <v>271</v>
      </c>
      <c r="F557" s="8">
        <v>15</v>
      </c>
      <c r="G557" s="8">
        <v>15</v>
      </c>
      <c r="H557" s="8">
        <v>15</v>
      </c>
      <c r="I557" s="8"/>
      <c r="J557" s="8"/>
      <c r="K557" s="8">
        <v>15</v>
      </c>
      <c r="L557" s="18">
        <v>24000</v>
      </c>
      <c r="M557" s="7">
        <f t="shared" si="8"/>
        <v>360000</v>
      </c>
      <c r="N557" s="4"/>
      <c r="O557" s="9"/>
    </row>
    <row r="558" spans="1:15" ht="20" customHeight="1" x14ac:dyDescent="0.2">
      <c r="A558" s="3">
        <v>554</v>
      </c>
      <c r="B558" s="19"/>
      <c r="C558" s="4" t="s">
        <v>5462</v>
      </c>
      <c r="D558" s="4" t="s">
        <v>4909</v>
      </c>
      <c r="E558" s="4" t="s">
        <v>271</v>
      </c>
      <c r="F558" s="8">
        <v>25</v>
      </c>
      <c r="G558" s="8">
        <v>25</v>
      </c>
      <c r="H558" s="8">
        <v>25</v>
      </c>
      <c r="I558" s="8"/>
      <c r="J558" s="8"/>
      <c r="K558" s="8">
        <v>25</v>
      </c>
      <c r="L558" s="18">
        <v>3000</v>
      </c>
      <c r="M558" s="7">
        <f t="shared" si="8"/>
        <v>75000</v>
      </c>
      <c r="N558" s="4"/>
      <c r="O558" s="9"/>
    </row>
    <row r="559" spans="1:15" ht="20" customHeight="1" x14ac:dyDescent="0.2">
      <c r="A559" s="3">
        <v>555</v>
      </c>
      <c r="B559" s="19"/>
      <c r="C559" s="4" t="s">
        <v>5463</v>
      </c>
      <c r="D559" s="4" t="s">
        <v>4909</v>
      </c>
      <c r="E559" s="4" t="s">
        <v>271</v>
      </c>
      <c r="F559" s="8">
        <v>25</v>
      </c>
      <c r="G559" s="8">
        <v>25</v>
      </c>
      <c r="H559" s="8">
        <v>25</v>
      </c>
      <c r="I559" s="8"/>
      <c r="J559" s="8"/>
      <c r="K559" s="8">
        <v>25</v>
      </c>
      <c r="L559" s="18">
        <v>2500</v>
      </c>
      <c r="M559" s="7">
        <f t="shared" si="8"/>
        <v>62500</v>
      </c>
      <c r="N559" s="4"/>
      <c r="O559" s="9"/>
    </row>
    <row r="560" spans="1:15" ht="20" customHeight="1" x14ac:dyDescent="0.2">
      <c r="A560" s="3">
        <v>556</v>
      </c>
      <c r="B560" s="19"/>
      <c r="C560" s="4" t="s">
        <v>5464</v>
      </c>
      <c r="D560" s="4" t="s">
        <v>4909</v>
      </c>
      <c r="E560" s="4" t="s">
        <v>271</v>
      </c>
      <c r="F560" s="8">
        <v>20</v>
      </c>
      <c r="G560" s="8">
        <v>20</v>
      </c>
      <c r="H560" s="8">
        <v>20</v>
      </c>
      <c r="I560" s="8"/>
      <c r="J560" s="8"/>
      <c r="K560" s="8">
        <v>20</v>
      </c>
      <c r="L560" s="18">
        <v>1000</v>
      </c>
      <c r="M560" s="7">
        <f t="shared" si="8"/>
        <v>20000</v>
      </c>
      <c r="N560" s="4"/>
      <c r="O560" s="9"/>
    </row>
    <row r="561" spans="1:15" ht="20" customHeight="1" x14ac:dyDescent="0.2">
      <c r="A561" s="3">
        <v>557</v>
      </c>
      <c r="B561" s="19"/>
      <c r="C561" s="4" t="s">
        <v>5465</v>
      </c>
      <c r="D561" s="4" t="s">
        <v>4909</v>
      </c>
      <c r="E561" s="4" t="s">
        <v>271</v>
      </c>
      <c r="F561" s="8">
        <v>5</v>
      </c>
      <c r="G561" s="8">
        <v>5</v>
      </c>
      <c r="H561" s="8">
        <v>5</v>
      </c>
      <c r="I561" s="8"/>
      <c r="J561" s="8"/>
      <c r="K561" s="8">
        <v>5</v>
      </c>
      <c r="L561" s="18">
        <v>8000</v>
      </c>
      <c r="M561" s="7">
        <f t="shared" si="8"/>
        <v>40000</v>
      </c>
      <c r="N561" s="4"/>
      <c r="O561" s="9"/>
    </row>
    <row r="562" spans="1:15" ht="20" customHeight="1" x14ac:dyDescent="0.2">
      <c r="A562" s="3">
        <v>558</v>
      </c>
      <c r="B562" s="19"/>
      <c r="C562" s="4" t="s">
        <v>5466</v>
      </c>
      <c r="D562" s="4" t="s">
        <v>4909</v>
      </c>
      <c r="E562" s="4" t="s">
        <v>271</v>
      </c>
      <c r="F562" s="8">
        <v>5</v>
      </c>
      <c r="G562" s="8">
        <v>5</v>
      </c>
      <c r="H562" s="8">
        <v>5</v>
      </c>
      <c r="I562" s="8"/>
      <c r="J562" s="8"/>
      <c r="K562" s="8">
        <v>5</v>
      </c>
      <c r="L562" s="18">
        <v>4000</v>
      </c>
      <c r="M562" s="7">
        <f t="shared" si="8"/>
        <v>20000</v>
      </c>
      <c r="N562" s="4"/>
      <c r="O562" s="9"/>
    </row>
    <row r="563" spans="1:15" ht="20" customHeight="1" x14ac:dyDescent="0.2">
      <c r="A563" s="3">
        <v>559</v>
      </c>
      <c r="B563" s="19"/>
      <c r="C563" s="4" t="s">
        <v>5467</v>
      </c>
      <c r="D563" s="4" t="s">
        <v>4909</v>
      </c>
      <c r="E563" s="4" t="s">
        <v>271</v>
      </c>
      <c r="F563" s="8">
        <v>5</v>
      </c>
      <c r="G563" s="8">
        <v>5</v>
      </c>
      <c r="H563" s="8">
        <v>5</v>
      </c>
      <c r="I563" s="8"/>
      <c r="J563" s="8"/>
      <c r="K563" s="8">
        <v>5</v>
      </c>
      <c r="L563" s="18">
        <v>4000</v>
      </c>
      <c r="M563" s="7">
        <f t="shared" si="8"/>
        <v>20000</v>
      </c>
      <c r="N563" s="4"/>
      <c r="O563" s="9"/>
    </row>
    <row r="564" spans="1:15" ht="20" customHeight="1" x14ac:dyDescent="0.2">
      <c r="A564" s="3">
        <v>560</v>
      </c>
      <c r="B564" s="19"/>
      <c r="C564" s="4" t="s">
        <v>5468</v>
      </c>
      <c r="D564" s="4" t="s">
        <v>4909</v>
      </c>
      <c r="E564" s="4" t="s">
        <v>271</v>
      </c>
      <c r="F564" s="8">
        <v>5</v>
      </c>
      <c r="G564" s="8">
        <v>5</v>
      </c>
      <c r="H564" s="8">
        <v>5</v>
      </c>
      <c r="I564" s="8"/>
      <c r="J564" s="8"/>
      <c r="K564" s="8">
        <v>5</v>
      </c>
      <c r="L564" s="18">
        <v>1000</v>
      </c>
      <c r="M564" s="7">
        <f t="shared" si="8"/>
        <v>5000</v>
      </c>
      <c r="N564" s="4"/>
      <c r="O564" s="9"/>
    </row>
    <row r="565" spans="1:15" ht="20" customHeight="1" x14ac:dyDescent="0.2">
      <c r="A565" s="3">
        <v>561</v>
      </c>
      <c r="B565" s="19"/>
      <c r="C565" s="4" t="s">
        <v>5469</v>
      </c>
      <c r="D565" s="4" t="s">
        <v>4909</v>
      </c>
      <c r="E565" s="4" t="s">
        <v>271</v>
      </c>
      <c r="F565" s="8">
        <v>10</v>
      </c>
      <c r="G565" s="8">
        <v>10</v>
      </c>
      <c r="H565" s="8">
        <v>10</v>
      </c>
      <c r="I565" s="8"/>
      <c r="J565" s="8"/>
      <c r="K565" s="8">
        <v>10</v>
      </c>
      <c r="L565" s="18">
        <v>4000</v>
      </c>
      <c r="M565" s="7">
        <f t="shared" si="8"/>
        <v>40000</v>
      </c>
      <c r="N565" s="4"/>
      <c r="O565" s="9"/>
    </row>
    <row r="566" spans="1:15" ht="20" customHeight="1" x14ac:dyDescent="0.2">
      <c r="A566" s="3">
        <v>562</v>
      </c>
      <c r="B566" s="19"/>
      <c r="C566" s="4" t="s">
        <v>5470</v>
      </c>
      <c r="D566" s="4" t="s">
        <v>4909</v>
      </c>
      <c r="E566" s="4" t="s">
        <v>271</v>
      </c>
      <c r="F566" s="8">
        <v>10</v>
      </c>
      <c r="G566" s="8">
        <v>10</v>
      </c>
      <c r="H566" s="8">
        <v>10</v>
      </c>
      <c r="I566" s="8"/>
      <c r="J566" s="8"/>
      <c r="K566" s="8">
        <v>10</v>
      </c>
      <c r="L566" s="18">
        <v>4000</v>
      </c>
      <c r="M566" s="7">
        <f t="shared" si="8"/>
        <v>40000</v>
      </c>
      <c r="N566" s="4"/>
      <c r="O566" s="9"/>
    </row>
    <row r="567" spans="1:15" ht="20" customHeight="1" x14ac:dyDescent="0.2">
      <c r="A567" s="3">
        <v>563</v>
      </c>
      <c r="B567" s="19"/>
      <c r="C567" s="4" t="s">
        <v>5471</v>
      </c>
      <c r="D567" s="4" t="s">
        <v>4909</v>
      </c>
      <c r="E567" s="4" t="s">
        <v>499</v>
      </c>
      <c r="F567" s="8">
        <v>150</v>
      </c>
      <c r="G567" s="8">
        <v>150</v>
      </c>
      <c r="H567" s="8">
        <v>150</v>
      </c>
      <c r="I567" s="8"/>
      <c r="J567" s="8"/>
      <c r="K567" s="8">
        <v>150</v>
      </c>
      <c r="L567" s="18">
        <v>2800</v>
      </c>
      <c r="M567" s="7">
        <f t="shared" si="8"/>
        <v>420000</v>
      </c>
      <c r="N567" s="4"/>
      <c r="O567" s="9"/>
    </row>
    <row r="568" spans="1:15" ht="20" customHeight="1" x14ac:dyDescent="0.2">
      <c r="A568" s="3">
        <v>564</v>
      </c>
      <c r="B568" s="19"/>
      <c r="C568" s="4" t="s">
        <v>5472</v>
      </c>
      <c r="D568" s="4" t="s">
        <v>4909</v>
      </c>
      <c r="E568" s="4" t="s">
        <v>271</v>
      </c>
      <c r="F568" s="8">
        <v>300</v>
      </c>
      <c r="G568" s="8">
        <v>300</v>
      </c>
      <c r="H568" s="8">
        <v>300</v>
      </c>
      <c r="I568" s="8"/>
      <c r="J568" s="8"/>
      <c r="K568" s="8">
        <v>300</v>
      </c>
      <c r="L568" s="18">
        <v>4000</v>
      </c>
      <c r="M568" s="7">
        <f t="shared" si="8"/>
        <v>1200000</v>
      </c>
      <c r="N568" s="4"/>
      <c r="O568" s="9"/>
    </row>
    <row r="569" spans="1:15" ht="20" customHeight="1" x14ac:dyDescent="0.2">
      <c r="A569" s="3">
        <v>565</v>
      </c>
      <c r="B569" s="19"/>
      <c r="C569" s="4" t="s">
        <v>5473</v>
      </c>
      <c r="D569" s="4" t="s">
        <v>4909</v>
      </c>
      <c r="E569" s="4" t="s">
        <v>271</v>
      </c>
      <c r="F569" s="8">
        <v>200</v>
      </c>
      <c r="G569" s="8">
        <v>200</v>
      </c>
      <c r="H569" s="8">
        <v>200</v>
      </c>
      <c r="I569" s="8"/>
      <c r="J569" s="8"/>
      <c r="K569" s="8">
        <v>200</v>
      </c>
      <c r="L569" s="18">
        <v>5000</v>
      </c>
      <c r="M569" s="7">
        <f t="shared" si="8"/>
        <v>1000000</v>
      </c>
      <c r="N569" s="4"/>
      <c r="O569" s="9"/>
    </row>
    <row r="570" spans="1:15" ht="20" customHeight="1" x14ac:dyDescent="0.2">
      <c r="A570" s="3">
        <v>566</v>
      </c>
      <c r="B570" s="19"/>
      <c r="C570" s="4" t="s">
        <v>5474</v>
      </c>
      <c r="D570" s="4" t="s">
        <v>4909</v>
      </c>
      <c r="E570" s="4" t="s">
        <v>271</v>
      </c>
      <c r="F570" s="8">
        <v>20</v>
      </c>
      <c r="G570" s="8">
        <v>20</v>
      </c>
      <c r="H570" s="8">
        <v>20</v>
      </c>
      <c r="I570" s="8"/>
      <c r="J570" s="8"/>
      <c r="K570" s="8">
        <v>20</v>
      </c>
      <c r="L570" s="18">
        <v>4750</v>
      </c>
      <c r="M570" s="7">
        <f t="shared" si="8"/>
        <v>95000</v>
      </c>
      <c r="N570" s="4"/>
      <c r="O570" s="9"/>
    </row>
    <row r="571" spans="1:15" ht="20" customHeight="1" x14ac:dyDescent="0.2">
      <c r="A571" s="3">
        <v>567</v>
      </c>
      <c r="B571" s="19"/>
      <c r="C571" s="4" t="s">
        <v>5475</v>
      </c>
      <c r="D571" s="4" t="s">
        <v>4909</v>
      </c>
      <c r="E571" s="4" t="s">
        <v>271</v>
      </c>
      <c r="F571" s="8">
        <v>500</v>
      </c>
      <c r="G571" s="8">
        <v>500</v>
      </c>
      <c r="H571" s="8">
        <v>500</v>
      </c>
      <c r="I571" s="8"/>
      <c r="J571" s="8"/>
      <c r="K571" s="8">
        <v>500</v>
      </c>
      <c r="L571" s="18">
        <v>1000</v>
      </c>
      <c r="M571" s="7">
        <f t="shared" si="8"/>
        <v>500000</v>
      </c>
      <c r="N571" s="4"/>
      <c r="O571" s="9"/>
    </row>
    <row r="572" spans="1:15" ht="20" customHeight="1" x14ac:dyDescent="0.2">
      <c r="A572" s="3">
        <v>568</v>
      </c>
      <c r="B572" s="19"/>
      <c r="C572" s="4" t="s">
        <v>5476</v>
      </c>
      <c r="D572" s="4" t="s">
        <v>4909</v>
      </c>
      <c r="E572" s="4" t="s">
        <v>271</v>
      </c>
      <c r="F572" s="8">
        <v>150</v>
      </c>
      <c r="G572" s="8">
        <v>150</v>
      </c>
      <c r="H572" s="8">
        <v>150</v>
      </c>
      <c r="I572" s="8"/>
      <c r="J572" s="8"/>
      <c r="K572" s="8">
        <v>150</v>
      </c>
      <c r="L572" s="18">
        <v>1000</v>
      </c>
      <c r="M572" s="7">
        <f t="shared" si="8"/>
        <v>150000</v>
      </c>
      <c r="N572" s="4"/>
      <c r="O572" s="9"/>
    </row>
    <row r="573" spans="1:15" ht="20" customHeight="1" x14ac:dyDescent="0.2">
      <c r="A573" s="3">
        <v>569</v>
      </c>
      <c r="B573" s="19"/>
      <c r="C573" s="4" t="s">
        <v>5477</v>
      </c>
      <c r="D573" s="4" t="s">
        <v>4909</v>
      </c>
      <c r="E573" s="4" t="s">
        <v>271</v>
      </c>
      <c r="F573" s="8">
        <v>50</v>
      </c>
      <c r="G573" s="8">
        <v>50</v>
      </c>
      <c r="H573" s="8">
        <v>50</v>
      </c>
      <c r="I573" s="8"/>
      <c r="J573" s="8"/>
      <c r="K573" s="8">
        <v>50</v>
      </c>
      <c r="L573" s="18">
        <v>2000</v>
      </c>
      <c r="M573" s="7">
        <f t="shared" si="8"/>
        <v>100000</v>
      </c>
      <c r="N573" s="4"/>
      <c r="O573" s="9"/>
    </row>
    <row r="574" spans="1:15" ht="20" customHeight="1" x14ac:dyDescent="0.2">
      <c r="A574" s="3">
        <v>570</v>
      </c>
      <c r="B574" s="19"/>
      <c r="C574" s="4" t="s">
        <v>5478</v>
      </c>
      <c r="D574" s="4" t="s">
        <v>4909</v>
      </c>
      <c r="E574" s="4" t="s">
        <v>271</v>
      </c>
      <c r="F574" s="8">
        <v>20</v>
      </c>
      <c r="G574" s="8">
        <v>20</v>
      </c>
      <c r="H574" s="8">
        <v>20</v>
      </c>
      <c r="I574" s="8"/>
      <c r="J574" s="8"/>
      <c r="K574" s="8">
        <v>20</v>
      </c>
      <c r="L574" s="18">
        <v>7500</v>
      </c>
      <c r="M574" s="7">
        <f t="shared" si="8"/>
        <v>150000</v>
      </c>
      <c r="N574" s="4"/>
      <c r="O574" s="9"/>
    </row>
    <row r="575" spans="1:15" ht="20" customHeight="1" x14ac:dyDescent="0.2">
      <c r="A575" s="3">
        <v>571</v>
      </c>
      <c r="B575" s="19"/>
      <c r="C575" s="4" t="s">
        <v>5479</v>
      </c>
      <c r="D575" s="4" t="s">
        <v>4909</v>
      </c>
      <c r="E575" s="4" t="s">
        <v>271</v>
      </c>
      <c r="F575" s="8">
        <v>25</v>
      </c>
      <c r="G575" s="8">
        <v>25</v>
      </c>
      <c r="H575" s="8">
        <v>25</v>
      </c>
      <c r="I575" s="8"/>
      <c r="J575" s="8"/>
      <c r="K575" s="8">
        <v>25</v>
      </c>
      <c r="L575" s="18">
        <v>8000</v>
      </c>
      <c r="M575" s="7">
        <f t="shared" si="8"/>
        <v>200000</v>
      </c>
      <c r="N575" s="4"/>
      <c r="O575" s="9"/>
    </row>
    <row r="576" spans="1:15" ht="20" customHeight="1" x14ac:dyDescent="0.2">
      <c r="A576" s="3">
        <v>572</v>
      </c>
      <c r="B576" s="19"/>
      <c r="C576" s="4" t="s">
        <v>5480</v>
      </c>
      <c r="D576" s="4" t="s">
        <v>4909</v>
      </c>
      <c r="E576" s="4" t="s">
        <v>271</v>
      </c>
      <c r="F576" s="8">
        <v>30</v>
      </c>
      <c r="G576" s="8">
        <v>30</v>
      </c>
      <c r="H576" s="8">
        <v>30</v>
      </c>
      <c r="I576" s="8"/>
      <c r="J576" s="8"/>
      <c r="K576" s="8">
        <v>30</v>
      </c>
      <c r="L576" s="18">
        <v>4000</v>
      </c>
      <c r="M576" s="7">
        <f t="shared" si="8"/>
        <v>120000</v>
      </c>
      <c r="N576" s="4"/>
      <c r="O576" s="9"/>
    </row>
    <row r="577" spans="1:15" ht="20" customHeight="1" x14ac:dyDescent="0.2">
      <c r="A577" s="3">
        <v>573</v>
      </c>
      <c r="B577" s="19"/>
      <c r="C577" s="4" t="s">
        <v>5481</v>
      </c>
      <c r="D577" s="4" t="s">
        <v>4909</v>
      </c>
      <c r="E577" s="4" t="s">
        <v>271</v>
      </c>
      <c r="F577" s="8">
        <v>30</v>
      </c>
      <c r="G577" s="8">
        <v>30</v>
      </c>
      <c r="H577" s="8">
        <v>30</v>
      </c>
      <c r="I577" s="8"/>
      <c r="J577" s="8"/>
      <c r="K577" s="8">
        <v>30</v>
      </c>
      <c r="L577" s="18">
        <v>6500</v>
      </c>
      <c r="M577" s="7">
        <f t="shared" si="8"/>
        <v>195000</v>
      </c>
      <c r="N577" s="4"/>
      <c r="O577" s="9"/>
    </row>
    <row r="578" spans="1:15" ht="20" customHeight="1" x14ac:dyDescent="0.2">
      <c r="A578" s="3">
        <v>574</v>
      </c>
      <c r="B578" s="19"/>
      <c r="C578" s="4" t="s">
        <v>5482</v>
      </c>
      <c r="D578" s="4" t="s">
        <v>4909</v>
      </c>
      <c r="E578" s="4" t="s">
        <v>271</v>
      </c>
      <c r="F578" s="8">
        <v>15</v>
      </c>
      <c r="G578" s="8">
        <v>15</v>
      </c>
      <c r="H578" s="8">
        <v>15</v>
      </c>
      <c r="I578" s="8"/>
      <c r="J578" s="8"/>
      <c r="K578" s="8">
        <v>15</v>
      </c>
      <c r="L578" s="18">
        <v>9000</v>
      </c>
      <c r="M578" s="7">
        <f t="shared" si="8"/>
        <v>135000</v>
      </c>
      <c r="N578" s="4"/>
      <c r="O578" s="9"/>
    </row>
    <row r="579" spans="1:15" ht="20" customHeight="1" x14ac:dyDescent="0.2">
      <c r="A579" s="3">
        <v>575</v>
      </c>
      <c r="B579" s="19"/>
      <c r="C579" s="4" t="s">
        <v>5483</v>
      </c>
      <c r="D579" s="4" t="s">
        <v>4909</v>
      </c>
      <c r="E579" s="4" t="s">
        <v>271</v>
      </c>
      <c r="F579" s="8">
        <v>15</v>
      </c>
      <c r="G579" s="8">
        <v>15</v>
      </c>
      <c r="H579" s="8">
        <v>15</v>
      </c>
      <c r="I579" s="8"/>
      <c r="J579" s="8"/>
      <c r="K579" s="8">
        <v>15</v>
      </c>
      <c r="L579" s="18">
        <v>11500</v>
      </c>
      <c r="M579" s="7">
        <f t="shared" si="8"/>
        <v>172500</v>
      </c>
      <c r="N579" s="4"/>
      <c r="O579" s="9"/>
    </row>
    <row r="580" spans="1:15" ht="20" customHeight="1" x14ac:dyDescent="0.2">
      <c r="A580" s="3">
        <v>576</v>
      </c>
      <c r="B580" s="19"/>
      <c r="C580" s="4" t="s">
        <v>5484</v>
      </c>
      <c r="D580" s="4" t="s">
        <v>4909</v>
      </c>
      <c r="E580" s="4" t="s">
        <v>271</v>
      </c>
      <c r="F580" s="8">
        <v>300</v>
      </c>
      <c r="G580" s="8">
        <v>300</v>
      </c>
      <c r="H580" s="8">
        <v>300</v>
      </c>
      <c r="I580" s="8"/>
      <c r="J580" s="8"/>
      <c r="K580" s="8">
        <v>300</v>
      </c>
      <c r="L580" s="18">
        <v>4000</v>
      </c>
      <c r="M580" s="7">
        <f t="shared" si="8"/>
        <v>1200000</v>
      </c>
      <c r="N580" s="4"/>
      <c r="O580" s="9"/>
    </row>
    <row r="581" spans="1:15" ht="20" customHeight="1" x14ac:dyDescent="0.2">
      <c r="A581" s="3">
        <v>577</v>
      </c>
      <c r="B581" s="19"/>
      <c r="C581" s="4" t="s">
        <v>5485</v>
      </c>
      <c r="D581" s="4" t="s">
        <v>4909</v>
      </c>
      <c r="E581" s="4" t="s">
        <v>271</v>
      </c>
      <c r="F581" s="8">
        <v>50</v>
      </c>
      <c r="G581" s="8">
        <v>50</v>
      </c>
      <c r="H581" s="8">
        <v>50</v>
      </c>
      <c r="I581" s="8"/>
      <c r="J581" s="8"/>
      <c r="K581" s="8">
        <v>50</v>
      </c>
      <c r="L581" s="18">
        <v>8000</v>
      </c>
      <c r="M581" s="7">
        <f t="shared" ref="M581:M644" si="9">IF(OR(K581="",L581=""),"",K581*L581)</f>
        <v>400000</v>
      </c>
      <c r="N581" s="4"/>
      <c r="O581" s="9"/>
    </row>
    <row r="582" spans="1:15" ht="20" customHeight="1" x14ac:dyDescent="0.2">
      <c r="A582" s="3">
        <v>578</v>
      </c>
      <c r="B582" s="19"/>
      <c r="C582" s="4" t="s">
        <v>5486</v>
      </c>
      <c r="D582" s="4" t="s">
        <v>4909</v>
      </c>
      <c r="E582" s="4" t="s">
        <v>271</v>
      </c>
      <c r="F582" s="8">
        <v>120</v>
      </c>
      <c r="G582" s="8">
        <v>120</v>
      </c>
      <c r="H582" s="8">
        <v>120</v>
      </c>
      <c r="I582" s="8"/>
      <c r="J582" s="8"/>
      <c r="K582" s="8">
        <v>120</v>
      </c>
      <c r="L582" s="18">
        <v>6000</v>
      </c>
      <c r="M582" s="7">
        <f t="shared" si="9"/>
        <v>720000</v>
      </c>
      <c r="N582" s="4"/>
      <c r="O582" s="9"/>
    </row>
    <row r="583" spans="1:15" ht="20" customHeight="1" x14ac:dyDescent="0.2">
      <c r="A583" s="3">
        <v>579</v>
      </c>
      <c r="B583" s="19"/>
      <c r="C583" s="4" t="s">
        <v>5487</v>
      </c>
      <c r="D583" s="4" t="s">
        <v>4909</v>
      </c>
      <c r="E583" s="4" t="s">
        <v>499</v>
      </c>
      <c r="F583" s="8">
        <v>120</v>
      </c>
      <c r="G583" s="8">
        <v>120</v>
      </c>
      <c r="H583" s="8">
        <v>120</v>
      </c>
      <c r="I583" s="8"/>
      <c r="J583" s="8"/>
      <c r="K583" s="8">
        <v>120</v>
      </c>
      <c r="L583" s="18">
        <v>1500</v>
      </c>
      <c r="M583" s="7">
        <f t="shared" si="9"/>
        <v>180000</v>
      </c>
      <c r="N583" s="4"/>
      <c r="O583" s="9"/>
    </row>
    <row r="584" spans="1:15" ht="20" customHeight="1" x14ac:dyDescent="0.2">
      <c r="A584" s="3">
        <v>580</v>
      </c>
      <c r="B584" s="19"/>
      <c r="C584" s="4" t="s">
        <v>5488</v>
      </c>
      <c r="D584" s="4" t="s">
        <v>4909</v>
      </c>
      <c r="E584" s="4" t="s">
        <v>271</v>
      </c>
      <c r="F584" s="8">
        <v>5</v>
      </c>
      <c r="G584" s="8">
        <v>5</v>
      </c>
      <c r="H584" s="8">
        <v>5</v>
      </c>
      <c r="I584" s="8"/>
      <c r="J584" s="8"/>
      <c r="K584" s="8">
        <v>5</v>
      </c>
      <c r="L584" s="18">
        <v>11000</v>
      </c>
      <c r="M584" s="7">
        <f t="shared" si="9"/>
        <v>55000</v>
      </c>
      <c r="N584" s="4"/>
      <c r="O584" s="9"/>
    </row>
    <row r="585" spans="1:15" ht="20" customHeight="1" x14ac:dyDescent="0.2">
      <c r="A585" s="3">
        <v>581</v>
      </c>
      <c r="B585" s="19"/>
      <c r="C585" s="4" t="s">
        <v>5489</v>
      </c>
      <c r="D585" s="4" t="s">
        <v>4909</v>
      </c>
      <c r="E585" s="4" t="s">
        <v>271</v>
      </c>
      <c r="F585" s="8">
        <v>15</v>
      </c>
      <c r="G585" s="8">
        <v>15</v>
      </c>
      <c r="H585" s="8">
        <v>15</v>
      </c>
      <c r="I585" s="8"/>
      <c r="J585" s="8"/>
      <c r="K585" s="8">
        <v>15</v>
      </c>
      <c r="L585" s="18">
        <v>2000</v>
      </c>
      <c r="M585" s="7">
        <f t="shared" si="9"/>
        <v>30000</v>
      </c>
      <c r="N585" s="4"/>
      <c r="O585" s="9"/>
    </row>
    <row r="586" spans="1:15" ht="20" customHeight="1" x14ac:dyDescent="0.2">
      <c r="A586" s="3">
        <v>582</v>
      </c>
      <c r="B586" s="19"/>
      <c r="C586" s="4" t="s">
        <v>5490</v>
      </c>
      <c r="D586" s="4" t="s">
        <v>4909</v>
      </c>
      <c r="E586" s="4" t="s">
        <v>271</v>
      </c>
      <c r="F586" s="8">
        <v>25</v>
      </c>
      <c r="G586" s="8">
        <v>25</v>
      </c>
      <c r="H586" s="8">
        <v>25</v>
      </c>
      <c r="I586" s="8"/>
      <c r="J586" s="8"/>
      <c r="K586" s="8">
        <v>25</v>
      </c>
      <c r="L586" s="18">
        <v>8000</v>
      </c>
      <c r="M586" s="7">
        <f t="shared" si="9"/>
        <v>200000</v>
      </c>
      <c r="N586" s="4"/>
      <c r="O586" s="9"/>
    </row>
    <row r="587" spans="1:15" ht="20" customHeight="1" x14ac:dyDescent="0.2">
      <c r="A587" s="3">
        <v>583</v>
      </c>
      <c r="B587" s="19"/>
      <c r="C587" s="4" t="s">
        <v>5491</v>
      </c>
      <c r="D587" s="4" t="s">
        <v>4909</v>
      </c>
      <c r="E587" s="4" t="s">
        <v>271</v>
      </c>
      <c r="F587" s="8">
        <v>40</v>
      </c>
      <c r="G587" s="8">
        <v>40</v>
      </c>
      <c r="H587" s="8">
        <v>40</v>
      </c>
      <c r="I587" s="8"/>
      <c r="J587" s="8"/>
      <c r="K587" s="8">
        <v>40</v>
      </c>
      <c r="L587" s="18">
        <v>5500</v>
      </c>
      <c r="M587" s="7">
        <f t="shared" si="9"/>
        <v>220000</v>
      </c>
      <c r="N587" s="4"/>
      <c r="O587" s="9"/>
    </row>
    <row r="588" spans="1:15" ht="20" customHeight="1" x14ac:dyDescent="0.2">
      <c r="A588" s="3">
        <v>584</v>
      </c>
      <c r="B588" s="19"/>
      <c r="C588" s="4" t="s">
        <v>5492</v>
      </c>
      <c r="D588" s="4" t="s">
        <v>4909</v>
      </c>
      <c r="E588" s="4" t="s">
        <v>271</v>
      </c>
      <c r="F588" s="8">
        <v>5</v>
      </c>
      <c r="G588" s="8">
        <v>5</v>
      </c>
      <c r="H588" s="8">
        <v>5</v>
      </c>
      <c r="I588" s="8"/>
      <c r="J588" s="8"/>
      <c r="K588" s="8">
        <v>5</v>
      </c>
      <c r="L588" s="18">
        <v>5500</v>
      </c>
      <c r="M588" s="7">
        <f t="shared" si="9"/>
        <v>27500</v>
      </c>
      <c r="N588" s="4"/>
      <c r="O588" s="9"/>
    </row>
    <row r="589" spans="1:15" ht="20" customHeight="1" x14ac:dyDescent="0.2">
      <c r="A589" s="3">
        <v>585</v>
      </c>
      <c r="B589" s="19"/>
      <c r="C589" s="4" t="s">
        <v>5493</v>
      </c>
      <c r="D589" s="4" t="s">
        <v>4909</v>
      </c>
      <c r="E589" s="4" t="s">
        <v>271</v>
      </c>
      <c r="F589" s="8">
        <v>80</v>
      </c>
      <c r="G589" s="8">
        <v>80</v>
      </c>
      <c r="H589" s="8">
        <v>80</v>
      </c>
      <c r="I589" s="8"/>
      <c r="J589" s="8"/>
      <c r="K589" s="8">
        <v>80</v>
      </c>
      <c r="L589" s="18">
        <v>5500</v>
      </c>
      <c r="M589" s="7">
        <f t="shared" si="9"/>
        <v>440000</v>
      </c>
      <c r="N589" s="4"/>
      <c r="O589" s="9"/>
    </row>
    <row r="590" spans="1:15" ht="20" customHeight="1" x14ac:dyDescent="0.2">
      <c r="A590" s="3">
        <v>586</v>
      </c>
      <c r="B590" s="19"/>
      <c r="C590" s="4" t="s">
        <v>5494</v>
      </c>
      <c r="D590" s="4" t="s">
        <v>4909</v>
      </c>
      <c r="E590" s="4" t="s">
        <v>271</v>
      </c>
      <c r="F590" s="8">
        <v>10</v>
      </c>
      <c r="G590" s="8">
        <v>10</v>
      </c>
      <c r="H590" s="8">
        <v>10</v>
      </c>
      <c r="I590" s="8"/>
      <c r="J590" s="8"/>
      <c r="K590" s="8">
        <v>10</v>
      </c>
      <c r="L590" s="18">
        <v>5500</v>
      </c>
      <c r="M590" s="7">
        <f t="shared" si="9"/>
        <v>55000</v>
      </c>
      <c r="N590" s="4"/>
      <c r="O590" s="9"/>
    </row>
    <row r="591" spans="1:15" ht="20" customHeight="1" x14ac:dyDescent="0.2">
      <c r="A591" s="3">
        <v>587</v>
      </c>
      <c r="B591" s="19"/>
      <c r="C591" s="4" t="s">
        <v>5495</v>
      </c>
      <c r="D591" s="4" t="s">
        <v>4909</v>
      </c>
      <c r="E591" s="4" t="s">
        <v>271</v>
      </c>
      <c r="F591" s="8">
        <v>70</v>
      </c>
      <c r="G591" s="8">
        <v>70</v>
      </c>
      <c r="H591" s="8">
        <v>70</v>
      </c>
      <c r="I591" s="8"/>
      <c r="J591" s="8"/>
      <c r="K591" s="8">
        <v>70</v>
      </c>
      <c r="L591" s="18">
        <v>22000</v>
      </c>
      <c r="M591" s="7">
        <f t="shared" si="9"/>
        <v>1540000</v>
      </c>
      <c r="N591" s="4"/>
      <c r="O591" s="9"/>
    </row>
    <row r="592" spans="1:15" ht="20" customHeight="1" x14ac:dyDescent="0.2">
      <c r="A592" s="3">
        <v>588</v>
      </c>
      <c r="B592" s="19"/>
      <c r="C592" s="4" t="s">
        <v>5496</v>
      </c>
      <c r="D592" s="4" t="s">
        <v>4909</v>
      </c>
      <c r="E592" s="4" t="s">
        <v>271</v>
      </c>
      <c r="F592" s="8">
        <v>40</v>
      </c>
      <c r="G592" s="8">
        <v>40</v>
      </c>
      <c r="H592" s="8">
        <v>40</v>
      </c>
      <c r="I592" s="8"/>
      <c r="J592" s="8"/>
      <c r="K592" s="8">
        <v>40</v>
      </c>
      <c r="L592" s="18">
        <v>13500</v>
      </c>
      <c r="M592" s="7">
        <f t="shared" si="9"/>
        <v>540000</v>
      </c>
      <c r="N592" s="4"/>
      <c r="O592" s="9"/>
    </row>
    <row r="593" spans="1:15" ht="20" customHeight="1" x14ac:dyDescent="0.2">
      <c r="A593" s="3">
        <v>589</v>
      </c>
      <c r="B593" s="19"/>
      <c r="C593" s="4" t="s">
        <v>5497</v>
      </c>
      <c r="D593" s="4" t="s">
        <v>4909</v>
      </c>
      <c r="E593" s="4" t="s">
        <v>271</v>
      </c>
      <c r="F593" s="8">
        <v>40</v>
      </c>
      <c r="G593" s="8">
        <v>40</v>
      </c>
      <c r="H593" s="8">
        <v>40</v>
      </c>
      <c r="I593" s="8"/>
      <c r="J593" s="8"/>
      <c r="K593" s="8">
        <v>40</v>
      </c>
      <c r="L593" s="18">
        <v>13500</v>
      </c>
      <c r="M593" s="7">
        <f t="shared" si="9"/>
        <v>540000</v>
      </c>
      <c r="N593" s="4"/>
      <c r="O593" s="9"/>
    </row>
    <row r="594" spans="1:15" ht="20" customHeight="1" x14ac:dyDescent="0.2">
      <c r="A594" s="3">
        <v>590</v>
      </c>
      <c r="B594" s="19"/>
      <c r="C594" s="4" t="s">
        <v>5498</v>
      </c>
      <c r="D594" s="4" t="s">
        <v>4909</v>
      </c>
      <c r="E594" s="4" t="s">
        <v>271</v>
      </c>
      <c r="F594" s="8">
        <v>20</v>
      </c>
      <c r="G594" s="8">
        <v>20</v>
      </c>
      <c r="H594" s="8">
        <v>20</v>
      </c>
      <c r="I594" s="8"/>
      <c r="J594" s="8"/>
      <c r="K594" s="8">
        <v>20</v>
      </c>
      <c r="L594" s="18">
        <v>15000</v>
      </c>
      <c r="M594" s="7">
        <f t="shared" si="9"/>
        <v>300000</v>
      </c>
      <c r="N594" s="4"/>
      <c r="O594" s="9"/>
    </row>
    <row r="595" spans="1:15" ht="20" customHeight="1" x14ac:dyDescent="0.2">
      <c r="A595" s="3">
        <v>591</v>
      </c>
      <c r="B595" s="19"/>
      <c r="C595" s="4" t="s">
        <v>5499</v>
      </c>
      <c r="D595" s="4" t="s">
        <v>4909</v>
      </c>
      <c r="E595" s="4" t="s">
        <v>271</v>
      </c>
      <c r="F595" s="8">
        <v>250</v>
      </c>
      <c r="G595" s="8">
        <v>250</v>
      </c>
      <c r="H595" s="8">
        <v>250</v>
      </c>
      <c r="I595" s="8"/>
      <c r="J595" s="8"/>
      <c r="K595" s="8">
        <v>250</v>
      </c>
      <c r="L595" s="18">
        <v>13970</v>
      </c>
      <c r="M595" s="7">
        <f t="shared" si="9"/>
        <v>3492500</v>
      </c>
      <c r="N595" s="4"/>
      <c r="O595" s="9"/>
    </row>
    <row r="596" spans="1:15" ht="20" customHeight="1" x14ac:dyDescent="0.2">
      <c r="A596" s="3">
        <v>592</v>
      </c>
      <c r="B596" s="19"/>
      <c r="C596" s="4" t="s">
        <v>5500</v>
      </c>
      <c r="D596" s="4" t="s">
        <v>4909</v>
      </c>
      <c r="E596" s="4" t="s">
        <v>271</v>
      </c>
      <c r="F596" s="8">
        <v>2300</v>
      </c>
      <c r="G596" s="8">
        <v>2300</v>
      </c>
      <c r="H596" s="8">
        <v>2300</v>
      </c>
      <c r="I596" s="8"/>
      <c r="J596" s="8"/>
      <c r="K596" s="8">
        <v>2300</v>
      </c>
      <c r="L596" s="18">
        <v>1400</v>
      </c>
      <c r="M596" s="7">
        <f t="shared" si="9"/>
        <v>3220000</v>
      </c>
      <c r="N596" s="4"/>
      <c r="O596" s="9"/>
    </row>
    <row r="597" spans="1:15" ht="20" customHeight="1" x14ac:dyDescent="0.2">
      <c r="A597" s="3">
        <v>593</v>
      </c>
      <c r="B597" s="19"/>
      <c r="C597" s="4" t="s">
        <v>5501</v>
      </c>
      <c r="D597" s="4" t="s">
        <v>4909</v>
      </c>
      <c r="E597" s="4" t="s">
        <v>271</v>
      </c>
      <c r="F597" s="8">
        <v>200</v>
      </c>
      <c r="G597" s="8">
        <v>200</v>
      </c>
      <c r="H597" s="8">
        <v>200</v>
      </c>
      <c r="I597" s="8"/>
      <c r="J597" s="8"/>
      <c r="K597" s="8">
        <v>200</v>
      </c>
      <c r="L597" s="18">
        <v>300</v>
      </c>
      <c r="M597" s="7">
        <f t="shared" si="9"/>
        <v>60000</v>
      </c>
      <c r="N597" s="4"/>
      <c r="O597" s="9"/>
    </row>
    <row r="598" spans="1:15" ht="20" customHeight="1" x14ac:dyDescent="0.2">
      <c r="A598" s="3">
        <v>594</v>
      </c>
      <c r="B598" s="19"/>
      <c r="C598" s="4" t="s">
        <v>5502</v>
      </c>
      <c r="D598" s="4" t="s">
        <v>4909</v>
      </c>
      <c r="E598" s="4" t="s">
        <v>271</v>
      </c>
      <c r="F598" s="8">
        <v>10</v>
      </c>
      <c r="G598" s="8">
        <v>10</v>
      </c>
      <c r="H598" s="8">
        <v>10</v>
      </c>
      <c r="I598" s="8"/>
      <c r="J598" s="8"/>
      <c r="K598" s="8">
        <v>10</v>
      </c>
      <c r="L598" s="18">
        <v>13970</v>
      </c>
      <c r="M598" s="7">
        <f t="shared" si="9"/>
        <v>139700</v>
      </c>
      <c r="N598" s="4"/>
      <c r="O598" s="9"/>
    </row>
    <row r="599" spans="1:15" ht="20" customHeight="1" x14ac:dyDescent="0.2">
      <c r="A599" s="3">
        <v>595</v>
      </c>
      <c r="B599" s="19"/>
      <c r="C599" s="4" t="s">
        <v>5503</v>
      </c>
      <c r="D599" s="4" t="s">
        <v>4909</v>
      </c>
      <c r="E599" s="4" t="s">
        <v>271</v>
      </c>
      <c r="F599" s="8">
        <v>30</v>
      </c>
      <c r="G599" s="8">
        <v>30</v>
      </c>
      <c r="H599" s="8">
        <v>30</v>
      </c>
      <c r="I599" s="8"/>
      <c r="J599" s="8"/>
      <c r="K599" s="8">
        <v>30</v>
      </c>
      <c r="L599" s="18">
        <v>13970</v>
      </c>
      <c r="M599" s="7">
        <f t="shared" si="9"/>
        <v>419100</v>
      </c>
      <c r="N599" s="4"/>
      <c r="O599" s="9"/>
    </row>
    <row r="600" spans="1:15" ht="20" customHeight="1" x14ac:dyDescent="0.2">
      <c r="A600" s="3">
        <v>596</v>
      </c>
      <c r="B600" s="19"/>
      <c r="C600" s="4" t="s">
        <v>5504</v>
      </c>
      <c r="D600" s="4" t="s">
        <v>4909</v>
      </c>
      <c r="E600" s="4" t="s">
        <v>271</v>
      </c>
      <c r="F600" s="8">
        <v>20</v>
      </c>
      <c r="G600" s="8">
        <v>20</v>
      </c>
      <c r="H600" s="8">
        <v>20</v>
      </c>
      <c r="I600" s="8"/>
      <c r="J600" s="8"/>
      <c r="K600" s="8">
        <v>20</v>
      </c>
      <c r="L600" s="18">
        <v>13970</v>
      </c>
      <c r="M600" s="7">
        <f t="shared" si="9"/>
        <v>279400</v>
      </c>
      <c r="N600" s="4"/>
      <c r="O600" s="9"/>
    </row>
    <row r="601" spans="1:15" ht="20" customHeight="1" x14ac:dyDescent="0.2">
      <c r="A601" s="3">
        <v>597</v>
      </c>
      <c r="B601" s="19"/>
      <c r="C601" s="4" t="s">
        <v>5505</v>
      </c>
      <c r="D601" s="4" t="s">
        <v>4909</v>
      </c>
      <c r="E601" s="4" t="s">
        <v>271</v>
      </c>
      <c r="F601" s="8">
        <v>60</v>
      </c>
      <c r="G601" s="8">
        <v>60</v>
      </c>
      <c r="H601" s="8">
        <v>60</v>
      </c>
      <c r="I601" s="8"/>
      <c r="J601" s="8"/>
      <c r="K601" s="8">
        <v>60</v>
      </c>
      <c r="L601" s="18">
        <v>13970</v>
      </c>
      <c r="M601" s="7">
        <f t="shared" si="9"/>
        <v>838200</v>
      </c>
      <c r="N601" s="4"/>
      <c r="O601" s="9"/>
    </row>
    <row r="602" spans="1:15" ht="20" customHeight="1" x14ac:dyDescent="0.2">
      <c r="A602" s="3">
        <v>598</v>
      </c>
      <c r="B602" s="19"/>
      <c r="C602" s="4" t="s">
        <v>5506</v>
      </c>
      <c r="D602" s="4" t="s">
        <v>4909</v>
      </c>
      <c r="E602" s="4" t="s">
        <v>271</v>
      </c>
      <c r="F602" s="8">
        <v>60</v>
      </c>
      <c r="G602" s="8">
        <v>60</v>
      </c>
      <c r="H602" s="8">
        <v>60</v>
      </c>
      <c r="I602" s="8"/>
      <c r="J602" s="8"/>
      <c r="K602" s="8">
        <v>60</v>
      </c>
      <c r="L602" s="18">
        <v>13970</v>
      </c>
      <c r="M602" s="7">
        <f t="shared" si="9"/>
        <v>838200</v>
      </c>
      <c r="N602" s="4"/>
      <c r="O602" s="9"/>
    </row>
    <row r="603" spans="1:15" ht="20" customHeight="1" x14ac:dyDescent="0.2">
      <c r="A603" s="3">
        <v>599</v>
      </c>
      <c r="B603" s="19"/>
      <c r="C603" s="4" t="s">
        <v>5507</v>
      </c>
      <c r="D603" s="4" t="s">
        <v>4909</v>
      </c>
      <c r="E603" s="4" t="s">
        <v>271</v>
      </c>
      <c r="F603" s="8">
        <v>10</v>
      </c>
      <c r="G603" s="8">
        <v>10</v>
      </c>
      <c r="H603" s="8">
        <v>10</v>
      </c>
      <c r="I603" s="8"/>
      <c r="J603" s="8"/>
      <c r="K603" s="8">
        <v>10</v>
      </c>
      <c r="L603" s="18">
        <v>13500</v>
      </c>
      <c r="M603" s="7">
        <f t="shared" si="9"/>
        <v>135000</v>
      </c>
      <c r="N603" s="4"/>
      <c r="O603" s="9"/>
    </row>
    <row r="604" spans="1:15" ht="20" customHeight="1" x14ac:dyDescent="0.2">
      <c r="A604" s="3">
        <v>600</v>
      </c>
      <c r="B604" s="19"/>
      <c r="C604" s="4" t="s">
        <v>5508</v>
      </c>
      <c r="D604" s="4" t="s">
        <v>4909</v>
      </c>
      <c r="E604" s="4" t="s">
        <v>271</v>
      </c>
      <c r="F604" s="8">
        <v>40</v>
      </c>
      <c r="G604" s="8">
        <v>40</v>
      </c>
      <c r="H604" s="8">
        <v>40</v>
      </c>
      <c r="I604" s="8"/>
      <c r="J604" s="8"/>
      <c r="K604" s="8">
        <v>40</v>
      </c>
      <c r="L604" s="18">
        <v>13970</v>
      </c>
      <c r="M604" s="7">
        <f t="shared" si="9"/>
        <v>558800</v>
      </c>
      <c r="N604" s="4"/>
      <c r="O604" s="9"/>
    </row>
    <row r="605" spans="1:15" ht="20" customHeight="1" x14ac:dyDescent="0.2">
      <c r="A605" s="3">
        <v>601</v>
      </c>
      <c r="B605" s="19"/>
      <c r="C605" s="4" t="s">
        <v>5509</v>
      </c>
      <c r="D605" s="4" t="s">
        <v>4909</v>
      </c>
      <c r="E605" s="4" t="s">
        <v>271</v>
      </c>
      <c r="F605" s="8">
        <v>10</v>
      </c>
      <c r="G605" s="8">
        <v>10</v>
      </c>
      <c r="H605" s="8">
        <v>10</v>
      </c>
      <c r="I605" s="8"/>
      <c r="J605" s="8"/>
      <c r="K605" s="8">
        <v>10</v>
      </c>
      <c r="L605" s="18">
        <v>13500</v>
      </c>
      <c r="M605" s="7">
        <f t="shared" si="9"/>
        <v>135000</v>
      </c>
      <c r="N605" s="4"/>
      <c r="O605" s="9"/>
    </row>
    <row r="606" spans="1:15" ht="20" customHeight="1" x14ac:dyDescent="0.2">
      <c r="A606" s="3">
        <v>602</v>
      </c>
      <c r="B606" s="19"/>
      <c r="C606" s="4" t="s">
        <v>5510</v>
      </c>
      <c r="D606" s="4" t="s">
        <v>4909</v>
      </c>
      <c r="E606" s="4" t="s">
        <v>271</v>
      </c>
      <c r="F606" s="8">
        <v>10</v>
      </c>
      <c r="G606" s="8">
        <v>10</v>
      </c>
      <c r="H606" s="8">
        <v>10</v>
      </c>
      <c r="I606" s="8"/>
      <c r="J606" s="8"/>
      <c r="K606" s="8">
        <v>10</v>
      </c>
      <c r="L606" s="18">
        <v>13500</v>
      </c>
      <c r="M606" s="7">
        <f t="shared" si="9"/>
        <v>135000</v>
      </c>
      <c r="N606" s="4"/>
      <c r="O606" s="9"/>
    </row>
    <row r="607" spans="1:15" ht="20" customHeight="1" x14ac:dyDescent="0.2">
      <c r="A607" s="3">
        <v>603</v>
      </c>
      <c r="B607" s="19"/>
      <c r="C607" s="4" t="s">
        <v>5511</v>
      </c>
      <c r="D607" s="4" t="s">
        <v>4909</v>
      </c>
      <c r="E607" s="4" t="s">
        <v>271</v>
      </c>
      <c r="F607" s="8">
        <v>15</v>
      </c>
      <c r="G607" s="8">
        <v>15</v>
      </c>
      <c r="H607" s="8">
        <v>15</v>
      </c>
      <c r="I607" s="8"/>
      <c r="J607" s="8"/>
      <c r="K607" s="8">
        <v>15</v>
      </c>
      <c r="L607" s="18">
        <v>13970</v>
      </c>
      <c r="M607" s="7">
        <f t="shared" si="9"/>
        <v>209550</v>
      </c>
      <c r="N607" s="4"/>
      <c r="O607" s="9"/>
    </row>
    <row r="608" spans="1:15" ht="20" customHeight="1" x14ac:dyDescent="0.2">
      <c r="A608" s="3">
        <v>604</v>
      </c>
      <c r="B608" s="19"/>
      <c r="C608" s="4" t="s">
        <v>5512</v>
      </c>
      <c r="D608" s="4" t="s">
        <v>4909</v>
      </c>
      <c r="E608" s="4" t="s">
        <v>271</v>
      </c>
      <c r="F608" s="8">
        <v>2000</v>
      </c>
      <c r="G608" s="8">
        <v>2000</v>
      </c>
      <c r="H608" s="8">
        <v>2000</v>
      </c>
      <c r="I608" s="8"/>
      <c r="J608" s="8"/>
      <c r="K608" s="8">
        <v>2000</v>
      </c>
      <c r="L608" s="18">
        <v>1400</v>
      </c>
      <c r="M608" s="7">
        <f t="shared" si="9"/>
        <v>2800000</v>
      </c>
      <c r="N608" s="4"/>
      <c r="O608" s="9"/>
    </row>
    <row r="609" spans="1:15" ht="20" customHeight="1" x14ac:dyDescent="0.2">
      <c r="A609" s="3">
        <v>605</v>
      </c>
      <c r="B609" s="19"/>
      <c r="C609" s="4" t="s">
        <v>5513</v>
      </c>
      <c r="D609" s="4" t="s">
        <v>4909</v>
      </c>
      <c r="E609" s="4" t="s">
        <v>271</v>
      </c>
      <c r="F609" s="8">
        <v>150</v>
      </c>
      <c r="G609" s="8">
        <v>150</v>
      </c>
      <c r="H609" s="8">
        <v>150</v>
      </c>
      <c r="I609" s="8"/>
      <c r="J609" s="8"/>
      <c r="K609" s="8">
        <v>150</v>
      </c>
      <c r="L609" s="18">
        <v>1400</v>
      </c>
      <c r="M609" s="7">
        <f t="shared" si="9"/>
        <v>210000</v>
      </c>
      <c r="N609" s="4"/>
      <c r="O609" s="9"/>
    </row>
    <row r="610" spans="1:15" ht="20" customHeight="1" x14ac:dyDescent="0.2">
      <c r="A610" s="3">
        <v>606</v>
      </c>
      <c r="B610" s="19"/>
      <c r="C610" s="4" t="s">
        <v>5514</v>
      </c>
      <c r="D610" s="4" t="s">
        <v>4909</v>
      </c>
      <c r="E610" s="4" t="s">
        <v>271</v>
      </c>
      <c r="F610" s="8">
        <v>150</v>
      </c>
      <c r="G610" s="8">
        <v>150</v>
      </c>
      <c r="H610" s="8">
        <v>150</v>
      </c>
      <c r="I610" s="8"/>
      <c r="J610" s="8"/>
      <c r="K610" s="8">
        <v>150</v>
      </c>
      <c r="L610" s="18">
        <v>300</v>
      </c>
      <c r="M610" s="7">
        <f t="shared" si="9"/>
        <v>45000</v>
      </c>
      <c r="N610" s="4"/>
      <c r="O610" s="9"/>
    </row>
    <row r="611" spans="1:15" ht="20" customHeight="1" x14ac:dyDescent="0.2">
      <c r="A611" s="3">
        <v>607</v>
      </c>
      <c r="B611" s="19"/>
      <c r="C611" s="4" t="s">
        <v>5515</v>
      </c>
      <c r="D611" s="4" t="s">
        <v>4909</v>
      </c>
      <c r="E611" s="4" t="s">
        <v>271</v>
      </c>
      <c r="F611" s="8">
        <v>75</v>
      </c>
      <c r="G611" s="8">
        <v>75</v>
      </c>
      <c r="H611" s="8">
        <v>75</v>
      </c>
      <c r="I611" s="8"/>
      <c r="J611" s="8"/>
      <c r="K611" s="8">
        <v>75</v>
      </c>
      <c r="L611" s="18">
        <v>1400</v>
      </c>
      <c r="M611" s="7">
        <f t="shared" si="9"/>
        <v>105000</v>
      </c>
      <c r="N611" s="4"/>
      <c r="O611" s="9"/>
    </row>
    <row r="612" spans="1:15" ht="20" customHeight="1" x14ac:dyDescent="0.2">
      <c r="A612" s="3">
        <v>608</v>
      </c>
      <c r="B612" s="19"/>
      <c r="C612" s="4" t="s">
        <v>5516</v>
      </c>
      <c r="D612" s="4" t="s">
        <v>4909</v>
      </c>
      <c r="E612" s="4" t="s">
        <v>271</v>
      </c>
      <c r="F612" s="8">
        <v>75</v>
      </c>
      <c r="G612" s="8">
        <v>75</v>
      </c>
      <c r="H612" s="8">
        <v>75</v>
      </c>
      <c r="I612" s="8"/>
      <c r="J612" s="8"/>
      <c r="K612" s="8">
        <v>75</v>
      </c>
      <c r="L612" s="18">
        <v>1400</v>
      </c>
      <c r="M612" s="7">
        <f t="shared" si="9"/>
        <v>105000</v>
      </c>
      <c r="N612" s="4"/>
      <c r="O612" s="9"/>
    </row>
    <row r="613" spans="1:15" ht="20" customHeight="1" x14ac:dyDescent="0.2">
      <c r="A613" s="3">
        <v>609</v>
      </c>
      <c r="B613" s="19"/>
      <c r="C613" s="4" t="s">
        <v>5517</v>
      </c>
      <c r="D613" s="4" t="s">
        <v>4909</v>
      </c>
      <c r="E613" s="4" t="s">
        <v>271</v>
      </c>
      <c r="F613" s="8">
        <v>30</v>
      </c>
      <c r="G613" s="8">
        <v>30</v>
      </c>
      <c r="H613" s="8">
        <v>30</v>
      </c>
      <c r="I613" s="8"/>
      <c r="J613" s="8"/>
      <c r="K613" s="8">
        <v>30</v>
      </c>
      <c r="L613" s="18">
        <v>300</v>
      </c>
      <c r="M613" s="7">
        <f t="shared" si="9"/>
        <v>9000</v>
      </c>
      <c r="N613" s="4"/>
      <c r="O613" s="9"/>
    </row>
    <row r="614" spans="1:15" ht="20" customHeight="1" x14ac:dyDescent="0.2">
      <c r="A614" s="3">
        <v>610</v>
      </c>
      <c r="B614" s="19"/>
      <c r="C614" s="4" t="s">
        <v>5518</v>
      </c>
      <c r="D614" s="4" t="s">
        <v>4909</v>
      </c>
      <c r="E614" s="4" t="s">
        <v>271</v>
      </c>
      <c r="F614" s="8">
        <v>2</v>
      </c>
      <c r="G614" s="8">
        <v>2</v>
      </c>
      <c r="H614" s="8">
        <v>2</v>
      </c>
      <c r="I614" s="8"/>
      <c r="J614" s="8"/>
      <c r="K614" s="8">
        <v>2</v>
      </c>
      <c r="L614" s="18">
        <v>6420</v>
      </c>
      <c r="M614" s="7">
        <f t="shared" si="9"/>
        <v>12840</v>
      </c>
      <c r="N614" s="4"/>
      <c r="O614" s="9"/>
    </row>
    <row r="615" spans="1:15" ht="20" customHeight="1" x14ac:dyDescent="0.2">
      <c r="A615" s="3">
        <v>611</v>
      </c>
      <c r="B615" s="19"/>
      <c r="C615" s="4" t="s">
        <v>5519</v>
      </c>
      <c r="D615" s="4" t="s">
        <v>4909</v>
      </c>
      <c r="E615" s="4" t="s">
        <v>271</v>
      </c>
      <c r="F615" s="8">
        <v>7</v>
      </c>
      <c r="G615" s="8">
        <v>7</v>
      </c>
      <c r="H615" s="8">
        <v>7</v>
      </c>
      <c r="I615" s="8"/>
      <c r="J615" s="8"/>
      <c r="K615" s="8">
        <v>7</v>
      </c>
      <c r="L615" s="18">
        <v>17300</v>
      </c>
      <c r="M615" s="7">
        <f t="shared" si="9"/>
        <v>121100</v>
      </c>
      <c r="N615" s="4"/>
      <c r="O615" s="9"/>
    </row>
    <row r="616" spans="1:15" ht="20" customHeight="1" x14ac:dyDescent="0.2">
      <c r="A616" s="3">
        <v>612</v>
      </c>
      <c r="B616" s="19"/>
      <c r="C616" s="4" t="s">
        <v>5520</v>
      </c>
      <c r="D616" s="4" t="s">
        <v>4909</v>
      </c>
      <c r="E616" s="4" t="s">
        <v>271</v>
      </c>
      <c r="F616" s="8">
        <v>30</v>
      </c>
      <c r="G616" s="8">
        <v>30</v>
      </c>
      <c r="H616" s="8">
        <v>30</v>
      </c>
      <c r="I616" s="8"/>
      <c r="J616" s="8"/>
      <c r="K616" s="8">
        <v>30</v>
      </c>
      <c r="L616" s="18">
        <v>2140</v>
      </c>
      <c r="M616" s="7">
        <f t="shared" si="9"/>
        <v>64200</v>
      </c>
      <c r="N616" s="4"/>
      <c r="O616" s="9"/>
    </row>
    <row r="617" spans="1:15" ht="20" customHeight="1" x14ac:dyDescent="0.2">
      <c r="A617" s="3">
        <v>613</v>
      </c>
      <c r="B617" s="19"/>
      <c r="C617" s="4" t="s">
        <v>5521</v>
      </c>
      <c r="D617" s="4" t="s">
        <v>4909</v>
      </c>
      <c r="E617" s="4" t="s">
        <v>271</v>
      </c>
      <c r="F617" s="8">
        <v>5</v>
      </c>
      <c r="G617" s="8">
        <v>5</v>
      </c>
      <c r="H617" s="8">
        <v>5</v>
      </c>
      <c r="I617" s="8"/>
      <c r="J617" s="8"/>
      <c r="K617" s="8">
        <v>5</v>
      </c>
      <c r="L617" s="18">
        <v>2140</v>
      </c>
      <c r="M617" s="7">
        <f t="shared" si="9"/>
        <v>10700</v>
      </c>
      <c r="N617" s="4"/>
      <c r="O617" s="9"/>
    </row>
    <row r="618" spans="1:15" ht="20" customHeight="1" x14ac:dyDescent="0.2">
      <c r="A618" s="3">
        <v>614</v>
      </c>
      <c r="B618" s="19"/>
      <c r="C618" s="4" t="s">
        <v>5522</v>
      </c>
      <c r="D618" s="4" t="s">
        <v>4909</v>
      </c>
      <c r="E618" s="4" t="s">
        <v>271</v>
      </c>
      <c r="F618" s="8">
        <v>2</v>
      </c>
      <c r="G618" s="8">
        <v>2</v>
      </c>
      <c r="H618" s="8">
        <v>2</v>
      </c>
      <c r="I618" s="8"/>
      <c r="J618" s="8"/>
      <c r="K618" s="8">
        <v>2</v>
      </c>
      <c r="L618" s="18">
        <v>17300</v>
      </c>
      <c r="M618" s="7">
        <f t="shared" si="9"/>
        <v>34600</v>
      </c>
      <c r="N618" s="4"/>
      <c r="O618" s="9"/>
    </row>
    <row r="619" spans="1:15" ht="20" customHeight="1" x14ac:dyDescent="0.2">
      <c r="A619" s="3">
        <v>615</v>
      </c>
      <c r="B619" s="19"/>
      <c r="C619" s="4" t="s">
        <v>5523</v>
      </c>
      <c r="D619" s="4" t="s">
        <v>4909</v>
      </c>
      <c r="E619" s="4" t="s">
        <v>271</v>
      </c>
      <c r="F619" s="8">
        <v>10</v>
      </c>
      <c r="G619" s="8">
        <v>10</v>
      </c>
      <c r="H619" s="8">
        <v>10</v>
      </c>
      <c r="I619" s="8"/>
      <c r="J619" s="8"/>
      <c r="K619" s="8">
        <v>10</v>
      </c>
      <c r="L619" s="18">
        <v>25680</v>
      </c>
      <c r="M619" s="7">
        <f t="shared" si="9"/>
        <v>256800</v>
      </c>
      <c r="N619" s="4"/>
      <c r="O619" s="9"/>
    </row>
    <row r="620" spans="1:15" ht="20" customHeight="1" x14ac:dyDescent="0.2">
      <c r="A620" s="3">
        <v>616</v>
      </c>
      <c r="B620" s="19"/>
      <c r="C620" s="4" t="s">
        <v>5524</v>
      </c>
      <c r="D620" s="4" t="s">
        <v>4909</v>
      </c>
      <c r="E620" s="4" t="s">
        <v>271</v>
      </c>
      <c r="F620" s="8">
        <v>2</v>
      </c>
      <c r="G620" s="8">
        <v>2</v>
      </c>
      <c r="H620" s="8">
        <v>2</v>
      </c>
      <c r="I620" s="8"/>
      <c r="J620" s="8"/>
      <c r="K620" s="8">
        <v>2</v>
      </c>
      <c r="L620" s="18">
        <v>23540</v>
      </c>
      <c r="M620" s="7">
        <f t="shared" si="9"/>
        <v>47080</v>
      </c>
      <c r="N620" s="4"/>
      <c r="O620" s="9"/>
    </row>
    <row r="621" spans="1:15" ht="20" customHeight="1" x14ac:dyDescent="0.2">
      <c r="A621" s="3">
        <v>617</v>
      </c>
      <c r="B621" s="19"/>
      <c r="C621" s="4" t="s">
        <v>5525</v>
      </c>
      <c r="D621" s="4" t="s">
        <v>4909</v>
      </c>
      <c r="E621" s="4" t="s">
        <v>271</v>
      </c>
      <c r="F621" s="8">
        <v>100</v>
      </c>
      <c r="G621" s="8">
        <v>100</v>
      </c>
      <c r="H621" s="8">
        <v>100</v>
      </c>
      <c r="I621" s="8"/>
      <c r="J621" s="8"/>
      <c r="K621" s="8">
        <v>100</v>
      </c>
      <c r="L621" s="18">
        <v>2140</v>
      </c>
      <c r="M621" s="7">
        <f t="shared" si="9"/>
        <v>214000</v>
      </c>
      <c r="N621" s="4"/>
      <c r="O621" s="9"/>
    </row>
    <row r="622" spans="1:15" ht="20" customHeight="1" x14ac:dyDescent="0.2">
      <c r="A622" s="3">
        <v>618</v>
      </c>
      <c r="B622" s="19"/>
      <c r="C622" s="4" t="s">
        <v>5526</v>
      </c>
      <c r="D622" s="4" t="s">
        <v>4909</v>
      </c>
      <c r="E622" s="4" t="s">
        <v>271</v>
      </c>
      <c r="F622" s="8">
        <v>10</v>
      </c>
      <c r="G622" s="8">
        <v>10</v>
      </c>
      <c r="H622" s="8">
        <v>10</v>
      </c>
      <c r="I622" s="8"/>
      <c r="J622" s="8"/>
      <c r="K622" s="8">
        <v>10</v>
      </c>
      <c r="L622" s="18">
        <v>2140</v>
      </c>
      <c r="M622" s="7">
        <f t="shared" si="9"/>
        <v>21400</v>
      </c>
      <c r="N622" s="4"/>
      <c r="O622" s="9"/>
    </row>
    <row r="623" spans="1:15" ht="20" customHeight="1" x14ac:dyDescent="0.2">
      <c r="A623" s="3">
        <v>619</v>
      </c>
      <c r="B623" s="19"/>
      <c r="C623" s="4" t="s">
        <v>5527</v>
      </c>
      <c r="D623" s="4" t="s">
        <v>4909</v>
      </c>
      <c r="E623" s="4" t="s">
        <v>271</v>
      </c>
      <c r="F623" s="8">
        <v>250</v>
      </c>
      <c r="G623" s="8">
        <v>250</v>
      </c>
      <c r="H623" s="8">
        <v>250</v>
      </c>
      <c r="I623" s="8"/>
      <c r="J623" s="8"/>
      <c r="K623" s="8">
        <v>250</v>
      </c>
      <c r="L623" s="18">
        <v>17300</v>
      </c>
      <c r="M623" s="7">
        <f t="shared" si="9"/>
        <v>4325000</v>
      </c>
      <c r="N623" s="4"/>
      <c r="O623" s="9"/>
    </row>
    <row r="624" spans="1:15" ht="20" customHeight="1" x14ac:dyDescent="0.2">
      <c r="A624" s="3">
        <v>620</v>
      </c>
      <c r="B624" s="19"/>
      <c r="C624" s="4" t="s">
        <v>5528</v>
      </c>
      <c r="D624" s="4" t="s">
        <v>4909</v>
      </c>
      <c r="E624" s="4" t="s">
        <v>271</v>
      </c>
      <c r="F624" s="8">
        <v>5</v>
      </c>
      <c r="G624" s="8">
        <v>5</v>
      </c>
      <c r="H624" s="8">
        <v>5</v>
      </c>
      <c r="I624" s="8"/>
      <c r="J624" s="8"/>
      <c r="K624" s="8">
        <v>5</v>
      </c>
      <c r="L624" s="18">
        <v>25680</v>
      </c>
      <c r="M624" s="7">
        <f t="shared" si="9"/>
        <v>128400</v>
      </c>
      <c r="N624" s="4"/>
      <c r="O624" s="9"/>
    </row>
    <row r="625" spans="1:15" ht="20" customHeight="1" x14ac:dyDescent="0.2">
      <c r="A625" s="3">
        <v>621</v>
      </c>
      <c r="B625" s="19"/>
      <c r="C625" s="4" t="s">
        <v>5529</v>
      </c>
      <c r="D625" s="4" t="s">
        <v>4909</v>
      </c>
      <c r="E625" s="4" t="s">
        <v>271</v>
      </c>
      <c r="F625" s="8">
        <v>10</v>
      </c>
      <c r="G625" s="8">
        <v>10</v>
      </c>
      <c r="H625" s="8">
        <v>10</v>
      </c>
      <c r="I625" s="8"/>
      <c r="J625" s="8"/>
      <c r="K625" s="8">
        <v>10</v>
      </c>
      <c r="L625" s="18">
        <v>17300</v>
      </c>
      <c r="M625" s="7">
        <f t="shared" si="9"/>
        <v>173000</v>
      </c>
      <c r="N625" s="4"/>
      <c r="O625" s="9"/>
    </row>
    <row r="626" spans="1:15" ht="20" customHeight="1" x14ac:dyDescent="0.2">
      <c r="A626" s="3">
        <v>622</v>
      </c>
      <c r="B626" s="19"/>
      <c r="C626" s="4" t="s">
        <v>5530</v>
      </c>
      <c r="D626" s="4" t="s">
        <v>4909</v>
      </c>
      <c r="E626" s="4" t="s">
        <v>271</v>
      </c>
      <c r="F626" s="8">
        <v>1800</v>
      </c>
      <c r="G626" s="8">
        <v>1800</v>
      </c>
      <c r="H626" s="8">
        <v>1800</v>
      </c>
      <c r="I626" s="8"/>
      <c r="J626" s="8"/>
      <c r="K626" s="8">
        <v>1800</v>
      </c>
      <c r="L626" s="18">
        <v>2140</v>
      </c>
      <c r="M626" s="7">
        <f t="shared" si="9"/>
        <v>3852000</v>
      </c>
      <c r="N626" s="4"/>
      <c r="O626" s="9"/>
    </row>
    <row r="627" spans="1:15" ht="20" customHeight="1" x14ac:dyDescent="0.2">
      <c r="A627" s="3">
        <v>623</v>
      </c>
      <c r="B627" s="19"/>
      <c r="C627" s="4" t="s">
        <v>5531</v>
      </c>
      <c r="D627" s="4" t="s">
        <v>4909</v>
      </c>
      <c r="E627" s="4" t="s">
        <v>271</v>
      </c>
      <c r="F627" s="8">
        <v>320</v>
      </c>
      <c r="G627" s="8">
        <v>320</v>
      </c>
      <c r="H627" s="8">
        <v>320</v>
      </c>
      <c r="I627" s="8"/>
      <c r="J627" s="8"/>
      <c r="K627" s="8">
        <v>320</v>
      </c>
      <c r="L627" s="18">
        <v>2140</v>
      </c>
      <c r="M627" s="7">
        <f t="shared" si="9"/>
        <v>684800</v>
      </c>
      <c r="N627" s="4"/>
      <c r="O627" s="9"/>
    </row>
    <row r="628" spans="1:15" ht="20" customHeight="1" x14ac:dyDescent="0.2">
      <c r="A628" s="3">
        <v>624</v>
      </c>
      <c r="B628" s="19"/>
      <c r="C628" s="4" t="s">
        <v>5532</v>
      </c>
      <c r="D628" s="4" t="s">
        <v>4909</v>
      </c>
      <c r="E628" s="4" t="s">
        <v>271</v>
      </c>
      <c r="F628" s="8">
        <v>10</v>
      </c>
      <c r="G628" s="8">
        <v>10</v>
      </c>
      <c r="H628" s="8">
        <v>10</v>
      </c>
      <c r="I628" s="8"/>
      <c r="J628" s="8"/>
      <c r="K628" s="8">
        <v>10</v>
      </c>
      <c r="L628" s="18">
        <v>17300</v>
      </c>
      <c r="M628" s="7">
        <f t="shared" si="9"/>
        <v>173000</v>
      </c>
      <c r="N628" s="4"/>
      <c r="O628" s="9"/>
    </row>
    <row r="629" spans="1:15" ht="20" customHeight="1" x14ac:dyDescent="0.2">
      <c r="A629" s="3">
        <v>625</v>
      </c>
      <c r="B629" s="19"/>
      <c r="C629" s="4" t="s">
        <v>5533</v>
      </c>
      <c r="D629" s="4" t="s">
        <v>4909</v>
      </c>
      <c r="E629" s="4" t="s">
        <v>271</v>
      </c>
      <c r="F629" s="8">
        <v>10</v>
      </c>
      <c r="G629" s="8">
        <v>10</v>
      </c>
      <c r="H629" s="8">
        <v>10</v>
      </c>
      <c r="I629" s="8"/>
      <c r="J629" s="8"/>
      <c r="K629" s="8">
        <v>10</v>
      </c>
      <c r="L629" s="18">
        <v>25680</v>
      </c>
      <c r="M629" s="7">
        <f t="shared" si="9"/>
        <v>256800</v>
      </c>
      <c r="N629" s="4"/>
      <c r="O629" s="9"/>
    </row>
    <row r="630" spans="1:15" ht="20" customHeight="1" x14ac:dyDescent="0.2">
      <c r="A630" s="3">
        <v>626</v>
      </c>
      <c r="B630" s="19"/>
      <c r="C630" s="4" t="s">
        <v>5534</v>
      </c>
      <c r="D630" s="4" t="s">
        <v>4909</v>
      </c>
      <c r="E630" s="4" t="s">
        <v>271</v>
      </c>
      <c r="F630" s="8">
        <v>8</v>
      </c>
      <c r="G630" s="8">
        <v>8</v>
      </c>
      <c r="H630" s="8">
        <v>8</v>
      </c>
      <c r="I630" s="8"/>
      <c r="J630" s="8"/>
      <c r="K630" s="8">
        <v>8</v>
      </c>
      <c r="L630" s="18">
        <v>17300</v>
      </c>
      <c r="M630" s="7">
        <f t="shared" si="9"/>
        <v>138400</v>
      </c>
      <c r="N630" s="4"/>
      <c r="O630" s="9"/>
    </row>
    <row r="631" spans="1:15" ht="20" customHeight="1" x14ac:dyDescent="0.2">
      <c r="A631" s="3">
        <v>627</v>
      </c>
      <c r="B631" s="19"/>
      <c r="C631" s="4" t="s">
        <v>5535</v>
      </c>
      <c r="D631" s="4" t="s">
        <v>4909</v>
      </c>
      <c r="E631" s="4" t="s">
        <v>271</v>
      </c>
      <c r="F631" s="8">
        <v>5</v>
      </c>
      <c r="G631" s="8">
        <v>5</v>
      </c>
      <c r="H631" s="8">
        <v>5</v>
      </c>
      <c r="I631" s="8"/>
      <c r="J631" s="8"/>
      <c r="K631" s="8">
        <v>5</v>
      </c>
      <c r="L631" s="18">
        <v>25680</v>
      </c>
      <c r="M631" s="7">
        <f t="shared" si="9"/>
        <v>128400</v>
      </c>
      <c r="N631" s="4"/>
      <c r="O631" s="9"/>
    </row>
    <row r="632" spans="1:15" ht="20" customHeight="1" x14ac:dyDescent="0.2">
      <c r="A632" s="3">
        <v>628</v>
      </c>
      <c r="B632" s="19"/>
      <c r="C632" s="4" t="s">
        <v>5536</v>
      </c>
      <c r="D632" s="4" t="s">
        <v>4909</v>
      </c>
      <c r="E632" s="4" t="s">
        <v>271</v>
      </c>
      <c r="F632" s="8">
        <v>25</v>
      </c>
      <c r="G632" s="8">
        <v>25</v>
      </c>
      <c r="H632" s="8">
        <v>25</v>
      </c>
      <c r="I632" s="8"/>
      <c r="J632" s="8"/>
      <c r="K632" s="8">
        <v>25</v>
      </c>
      <c r="L632" s="18">
        <v>17300</v>
      </c>
      <c r="M632" s="7">
        <f t="shared" si="9"/>
        <v>432500</v>
      </c>
      <c r="N632" s="4"/>
      <c r="O632" s="9"/>
    </row>
    <row r="633" spans="1:15" ht="20" customHeight="1" x14ac:dyDescent="0.2">
      <c r="A633" s="3">
        <v>629</v>
      </c>
      <c r="B633" s="19"/>
      <c r="C633" s="4" t="s">
        <v>5537</v>
      </c>
      <c r="D633" s="4" t="s">
        <v>4909</v>
      </c>
      <c r="E633" s="4" t="s">
        <v>271</v>
      </c>
      <c r="F633" s="8">
        <v>10</v>
      </c>
      <c r="G633" s="8">
        <v>10</v>
      </c>
      <c r="H633" s="8">
        <v>10</v>
      </c>
      <c r="I633" s="8"/>
      <c r="J633" s="8"/>
      <c r="K633" s="8">
        <v>10</v>
      </c>
      <c r="L633" s="18">
        <v>25680</v>
      </c>
      <c r="M633" s="7">
        <f t="shared" si="9"/>
        <v>256800</v>
      </c>
      <c r="N633" s="4"/>
      <c r="O633" s="9"/>
    </row>
    <row r="634" spans="1:15" ht="20" customHeight="1" x14ac:dyDescent="0.2">
      <c r="A634" s="3">
        <v>630</v>
      </c>
      <c r="B634" s="19"/>
      <c r="C634" s="4" t="s">
        <v>5538</v>
      </c>
      <c r="D634" s="4" t="s">
        <v>4909</v>
      </c>
      <c r="E634" s="4" t="s">
        <v>271</v>
      </c>
      <c r="F634" s="8">
        <v>10</v>
      </c>
      <c r="G634" s="8">
        <v>10</v>
      </c>
      <c r="H634" s="8">
        <v>10</v>
      </c>
      <c r="I634" s="8"/>
      <c r="J634" s="8"/>
      <c r="K634" s="8">
        <v>10</v>
      </c>
      <c r="L634" s="18">
        <v>25680</v>
      </c>
      <c r="M634" s="7">
        <f t="shared" si="9"/>
        <v>256800</v>
      </c>
      <c r="N634" s="4"/>
      <c r="O634" s="9"/>
    </row>
    <row r="635" spans="1:15" ht="20" customHeight="1" x14ac:dyDescent="0.2">
      <c r="A635" s="3">
        <v>631</v>
      </c>
      <c r="B635" s="19"/>
      <c r="C635" s="4" t="s">
        <v>5539</v>
      </c>
      <c r="D635" s="4" t="s">
        <v>4909</v>
      </c>
      <c r="E635" s="4" t="s">
        <v>271</v>
      </c>
      <c r="F635" s="8">
        <v>2</v>
      </c>
      <c r="G635" s="8">
        <v>2</v>
      </c>
      <c r="H635" s="8">
        <v>2</v>
      </c>
      <c r="I635" s="8"/>
      <c r="J635" s="8"/>
      <c r="K635" s="8">
        <v>2</v>
      </c>
      <c r="L635" s="18">
        <v>17300</v>
      </c>
      <c r="M635" s="7">
        <f t="shared" si="9"/>
        <v>34600</v>
      </c>
      <c r="N635" s="4"/>
      <c r="O635" s="9"/>
    </row>
    <row r="636" spans="1:15" ht="20" customHeight="1" x14ac:dyDescent="0.2">
      <c r="A636" s="3">
        <v>632</v>
      </c>
      <c r="B636" s="19"/>
      <c r="C636" s="4" t="s">
        <v>5540</v>
      </c>
      <c r="D636" s="4" t="s">
        <v>4909</v>
      </c>
      <c r="E636" s="4" t="s">
        <v>271</v>
      </c>
      <c r="F636" s="8">
        <v>400</v>
      </c>
      <c r="G636" s="8">
        <v>400</v>
      </c>
      <c r="H636" s="8">
        <v>400</v>
      </c>
      <c r="I636" s="8"/>
      <c r="J636" s="8"/>
      <c r="K636" s="8">
        <v>400</v>
      </c>
      <c r="L636" s="18">
        <v>2140</v>
      </c>
      <c r="M636" s="7">
        <f t="shared" si="9"/>
        <v>856000</v>
      </c>
      <c r="N636" s="4"/>
      <c r="O636" s="9"/>
    </row>
    <row r="637" spans="1:15" ht="20" customHeight="1" x14ac:dyDescent="0.2">
      <c r="A637" s="3">
        <v>633</v>
      </c>
      <c r="B637" s="19"/>
      <c r="C637" s="4" t="s">
        <v>5541</v>
      </c>
      <c r="D637" s="4" t="s">
        <v>4909</v>
      </c>
      <c r="E637" s="4" t="s">
        <v>271</v>
      </c>
      <c r="F637" s="8">
        <v>20</v>
      </c>
      <c r="G637" s="8">
        <v>20</v>
      </c>
      <c r="H637" s="8">
        <v>20</v>
      </c>
      <c r="I637" s="8"/>
      <c r="J637" s="8"/>
      <c r="K637" s="8">
        <v>20</v>
      </c>
      <c r="L637" s="18">
        <v>2140</v>
      </c>
      <c r="M637" s="7">
        <f t="shared" si="9"/>
        <v>42800</v>
      </c>
      <c r="N637" s="4"/>
      <c r="O637" s="9"/>
    </row>
    <row r="638" spans="1:15" ht="20" customHeight="1" x14ac:dyDescent="0.2">
      <c r="A638" s="3">
        <v>634</v>
      </c>
      <c r="B638" s="19"/>
      <c r="C638" s="4" t="s">
        <v>5542</v>
      </c>
      <c r="D638" s="4" t="s">
        <v>4909</v>
      </c>
      <c r="E638" s="4" t="s">
        <v>271</v>
      </c>
      <c r="F638" s="8">
        <v>300</v>
      </c>
      <c r="G638" s="8">
        <v>300</v>
      </c>
      <c r="H638" s="8">
        <v>300</v>
      </c>
      <c r="I638" s="8"/>
      <c r="J638" s="8"/>
      <c r="K638" s="8">
        <v>300</v>
      </c>
      <c r="L638" s="18">
        <v>2140</v>
      </c>
      <c r="M638" s="7">
        <f t="shared" si="9"/>
        <v>642000</v>
      </c>
      <c r="N638" s="4"/>
      <c r="O638" s="9"/>
    </row>
    <row r="639" spans="1:15" ht="20" customHeight="1" x14ac:dyDescent="0.2">
      <c r="A639" s="3">
        <v>635</v>
      </c>
      <c r="B639" s="19"/>
      <c r="C639" s="4" t="s">
        <v>5543</v>
      </c>
      <c r="D639" s="4" t="s">
        <v>4909</v>
      </c>
      <c r="E639" s="4" t="s">
        <v>271</v>
      </c>
      <c r="F639" s="8">
        <v>20</v>
      </c>
      <c r="G639" s="8">
        <v>20</v>
      </c>
      <c r="H639" s="8">
        <v>20</v>
      </c>
      <c r="I639" s="8"/>
      <c r="J639" s="8"/>
      <c r="K639" s="8">
        <v>20</v>
      </c>
      <c r="L639" s="18">
        <v>2140</v>
      </c>
      <c r="M639" s="7">
        <f t="shared" si="9"/>
        <v>42800</v>
      </c>
      <c r="N639" s="4"/>
      <c r="O639" s="9"/>
    </row>
    <row r="640" spans="1:15" ht="20" customHeight="1" x14ac:dyDescent="0.2">
      <c r="A640" s="3">
        <v>636</v>
      </c>
      <c r="B640" s="19"/>
      <c r="C640" s="4" t="s">
        <v>5544</v>
      </c>
      <c r="D640" s="4" t="s">
        <v>4909</v>
      </c>
      <c r="E640" s="4" t="s">
        <v>271</v>
      </c>
      <c r="F640" s="8">
        <v>20</v>
      </c>
      <c r="G640" s="8">
        <v>20</v>
      </c>
      <c r="H640" s="8">
        <v>20</v>
      </c>
      <c r="I640" s="8"/>
      <c r="J640" s="8"/>
      <c r="K640" s="8">
        <v>20</v>
      </c>
      <c r="L640" s="18">
        <v>6420</v>
      </c>
      <c r="M640" s="7">
        <f t="shared" si="9"/>
        <v>128400</v>
      </c>
      <c r="N640" s="4"/>
      <c r="O640" s="9"/>
    </row>
    <row r="641" spans="1:15" ht="20" customHeight="1" x14ac:dyDescent="0.2">
      <c r="A641" s="3">
        <v>637</v>
      </c>
      <c r="B641" s="19"/>
      <c r="C641" s="4" t="s">
        <v>5545</v>
      </c>
      <c r="D641" s="4" t="s">
        <v>4909</v>
      </c>
      <c r="E641" s="4" t="s">
        <v>271</v>
      </c>
      <c r="F641" s="8">
        <v>15</v>
      </c>
      <c r="G641" s="8">
        <v>15</v>
      </c>
      <c r="H641" s="8">
        <v>15</v>
      </c>
      <c r="I641" s="8"/>
      <c r="J641" s="8"/>
      <c r="K641" s="8">
        <v>15</v>
      </c>
      <c r="L641" s="18">
        <v>6420</v>
      </c>
      <c r="M641" s="7">
        <f t="shared" si="9"/>
        <v>96300</v>
      </c>
      <c r="N641" s="4"/>
      <c r="O641" s="9"/>
    </row>
    <row r="642" spans="1:15" ht="20" customHeight="1" x14ac:dyDescent="0.2">
      <c r="A642" s="3">
        <v>638</v>
      </c>
      <c r="B642" s="19"/>
      <c r="C642" s="4" t="s">
        <v>5546</v>
      </c>
      <c r="D642" s="4" t="s">
        <v>4909</v>
      </c>
      <c r="E642" s="4" t="s">
        <v>271</v>
      </c>
      <c r="F642" s="8">
        <v>60</v>
      </c>
      <c r="G642" s="8">
        <v>60</v>
      </c>
      <c r="H642" s="8">
        <v>60</v>
      </c>
      <c r="I642" s="8"/>
      <c r="J642" s="8"/>
      <c r="K642" s="8">
        <v>60</v>
      </c>
      <c r="L642" s="18">
        <v>6420</v>
      </c>
      <c r="M642" s="7">
        <f t="shared" si="9"/>
        <v>385200</v>
      </c>
      <c r="N642" s="4"/>
      <c r="O642" s="9"/>
    </row>
    <row r="643" spans="1:15" ht="20" customHeight="1" x14ac:dyDescent="0.2">
      <c r="A643" s="3">
        <v>639</v>
      </c>
      <c r="B643" s="19"/>
      <c r="C643" s="4" t="s">
        <v>5547</v>
      </c>
      <c r="D643" s="4" t="s">
        <v>4909</v>
      </c>
      <c r="E643" s="4" t="s">
        <v>271</v>
      </c>
      <c r="F643" s="8">
        <v>2</v>
      </c>
      <c r="G643" s="8">
        <v>2</v>
      </c>
      <c r="H643" s="8">
        <v>2</v>
      </c>
      <c r="I643" s="8"/>
      <c r="J643" s="8"/>
      <c r="K643" s="8">
        <v>2</v>
      </c>
      <c r="L643" s="18">
        <v>17300</v>
      </c>
      <c r="M643" s="7">
        <f t="shared" si="9"/>
        <v>34600</v>
      </c>
      <c r="N643" s="4"/>
      <c r="O643" s="9"/>
    </row>
    <row r="644" spans="1:15" ht="20" customHeight="1" x14ac:dyDescent="0.2">
      <c r="A644" s="3">
        <v>640</v>
      </c>
      <c r="B644" s="19"/>
      <c r="C644" s="4" t="s">
        <v>5548</v>
      </c>
      <c r="D644" s="4" t="s">
        <v>4909</v>
      </c>
      <c r="E644" s="4" t="s">
        <v>271</v>
      </c>
      <c r="F644" s="8">
        <v>6</v>
      </c>
      <c r="G644" s="8">
        <v>6</v>
      </c>
      <c r="H644" s="8">
        <v>6</v>
      </c>
      <c r="I644" s="8"/>
      <c r="J644" s="8"/>
      <c r="K644" s="8">
        <v>6</v>
      </c>
      <c r="L644" s="18">
        <v>17300</v>
      </c>
      <c r="M644" s="7">
        <f t="shared" si="9"/>
        <v>103800</v>
      </c>
      <c r="N644" s="4"/>
      <c r="O644" s="9"/>
    </row>
    <row r="645" spans="1:15" ht="20" customHeight="1" x14ac:dyDescent="0.2">
      <c r="A645" s="3">
        <v>641</v>
      </c>
      <c r="B645" s="19"/>
      <c r="C645" s="4" t="s">
        <v>5549</v>
      </c>
      <c r="D645" s="4" t="s">
        <v>4909</v>
      </c>
      <c r="E645" s="4" t="s">
        <v>271</v>
      </c>
      <c r="F645" s="8">
        <v>8</v>
      </c>
      <c r="G645" s="8">
        <v>8</v>
      </c>
      <c r="H645" s="8">
        <v>8</v>
      </c>
      <c r="I645" s="8"/>
      <c r="J645" s="8"/>
      <c r="K645" s="8">
        <v>8</v>
      </c>
      <c r="L645" s="18">
        <v>17300</v>
      </c>
      <c r="M645" s="7">
        <f t="shared" ref="M645:M708" si="10">IF(OR(K645="",L645=""),"",K645*L645)</f>
        <v>138400</v>
      </c>
      <c r="N645" s="4"/>
      <c r="O645" s="9"/>
    </row>
    <row r="646" spans="1:15" ht="20" customHeight="1" x14ac:dyDescent="0.2">
      <c r="A646" s="3">
        <v>642</v>
      </c>
      <c r="B646" s="19"/>
      <c r="C646" s="4" t="s">
        <v>5550</v>
      </c>
      <c r="D646" s="4" t="s">
        <v>4909</v>
      </c>
      <c r="E646" s="4" t="s">
        <v>271</v>
      </c>
      <c r="F646" s="8">
        <v>10</v>
      </c>
      <c r="G646" s="8">
        <v>10</v>
      </c>
      <c r="H646" s="8">
        <v>10</v>
      </c>
      <c r="I646" s="8"/>
      <c r="J646" s="8"/>
      <c r="K646" s="8">
        <v>10</v>
      </c>
      <c r="L646" s="18">
        <v>17300</v>
      </c>
      <c r="M646" s="7">
        <f t="shared" si="10"/>
        <v>173000</v>
      </c>
      <c r="N646" s="4"/>
      <c r="O646" s="9"/>
    </row>
    <row r="647" spans="1:15" ht="20" customHeight="1" x14ac:dyDescent="0.2">
      <c r="A647" s="3">
        <v>643</v>
      </c>
      <c r="B647" s="19"/>
      <c r="C647" s="4" t="s">
        <v>5551</v>
      </c>
      <c r="D647" s="4" t="s">
        <v>4909</v>
      </c>
      <c r="E647" s="4" t="s">
        <v>271</v>
      </c>
      <c r="F647" s="8">
        <v>2</v>
      </c>
      <c r="G647" s="8">
        <v>2</v>
      </c>
      <c r="H647" s="8">
        <v>2</v>
      </c>
      <c r="I647" s="8"/>
      <c r="J647" s="8"/>
      <c r="K647" s="8">
        <v>2</v>
      </c>
      <c r="L647" s="18">
        <v>27400</v>
      </c>
      <c r="M647" s="7">
        <f t="shared" si="10"/>
        <v>54800</v>
      </c>
      <c r="N647" s="4"/>
      <c r="O647" s="9"/>
    </row>
    <row r="648" spans="1:15" ht="20" customHeight="1" x14ac:dyDescent="0.2">
      <c r="A648" s="3">
        <v>644</v>
      </c>
      <c r="B648" s="19"/>
      <c r="C648" s="4" t="s">
        <v>5552</v>
      </c>
      <c r="D648" s="4" t="s">
        <v>4909</v>
      </c>
      <c r="E648" s="4" t="s">
        <v>271</v>
      </c>
      <c r="F648" s="8">
        <v>5</v>
      </c>
      <c r="G648" s="8">
        <v>5</v>
      </c>
      <c r="H648" s="8">
        <v>5</v>
      </c>
      <c r="I648" s="8"/>
      <c r="J648" s="8"/>
      <c r="K648" s="8">
        <v>5</v>
      </c>
      <c r="L648" s="18">
        <v>25680</v>
      </c>
      <c r="M648" s="7">
        <f t="shared" si="10"/>
        <v>128400</v>
      </c>
      <c r="N648" s="4"/>
      <c r="O648" s="9"/>
    </row>
    <row r="649" spans="1:15" ht="20" customHeight="1" x14ac:dyDescent="0.2">
      <c r="A649" s="3">
        <v>645</v>
      </c>
      <c r="B649" s="19"/>
      <c r="C649" s="4" t="s">
        <v>5553</v>
      </c>
      <c r="D649" s="4" t="s">
        <v>4909</v>
      </c>
      <c r="E649" s="4" t="s">
        <v>271</v>
      </c>
      <c r="F649" s="8">
        <v>2</v>
      </c>
      <c r="G649" s="8">
        <v>2</v>
      </c>
      <c r="H649" s="8">
        <v>2</v>
      </c>
      <c r="I649" s="8"/>
      <c r="J649" s="8"/>
      <c r="K649" s="8">
        <v>2</v>
      </c>
      <c r="L649" s="18">
        <v>17300</v>
      </c>
      <c r="M649" s="7">
        <f t="shared" si="10"/>
        <v>34600</v>
      </c>
      <c r="N649" s="4"/>
      <c r="O649" s="9"/>
    </row>
    <row r="650" spans="1:15" ht="20" customHeight="1" x14ac:dyDescent="0.2">
      <c r="A650" s="3">
        <v>646</v>
      </c>
      <c r="B650" s="19"/>
      <c r="C650" s="4" t="s">
        <v>5554</v>
      </c>
      <c r="D650" s="4" t="s">
        <v>4909</v>
      </c>
      <c r="E650" s="4" t="s">
        <v>271</v>
      </c>
      <c r="F650" s="8">
        <v>10</v>
      </c>
      <c r="G650" s="8">
        <v>10</v>
      </c>
      <c r="H650" s="8">
        <v>10</v>
      </c>
      <c r="I650" s="8"/>
      <c r="J650" s="8"/>
      <c r="K650" s="8">
        <v>10</v>
      </c>
      <c r="L650" s="18">
        <v>17300</v>
      </c>
      <c r="M650" s="7">
        <f t="shared" si="10"/>
        <v>173000</v>
      </c>
      <c r="N650" s="4"/>
      <c r="O650" s="9"/>
    </row>
    <row r="651" spans="1:15" ht="20" customHeight="1" x14ac:dyDescent="0.2">
      <c r="A651" s="3">
        <v>647</v>
      </c>
      <c r="B651" s="19"/>
      <c r="C651" s="4" t="s">
        <v>5555</v>
      </c>
      <c r="D651" s="4" t="s">
        <v>4909</v>
      </c>
      <c r="E651" s="4" t="s">
        <v>271</v>
      </c>
      <c r="F651" s="8">
        <v>10</v>
      </c>
      <c r="G651" s="8">
        <v>10</v>
      </c>
      <c r="H651" s="8">
        <v>10</v>
      </c>
      <c r="I651" s="8"/>
      <c r="J651" s="8"/>
      <c r="K651" s="8">
        <v>10</v>
      </c>
      <c r="L651" s="18">
        <v>2140</v>
      </c>
      <c r="M651" s="7">
        <f t="shared" si="10"/>
        <v>21400</v>
      </c>
      <c r="N651" s="4"/>
      <c r="O651" s="9"/>
    </row>
    <row r="652" spans="1:15" ht="20" customHeight="1" x14ac:dyDescent="0.2">
      <c r="A652" s="3">
        <v>648</v>
      </c>
      <c r="B652" s="19"/>
      <c r="C652" s="4" t="s">
        <v>5556</v>
      </c>
      <c r="D652" s="4" t="s">
        <v>4909</v>
      </c>
      <c r="E652" s="4" t="s">
        <v>271</v>
      </c>
      <c r="F652" s="8">
        <v>25</v>
      </c>
      <c r="G652" s="8">
        <v>25</v>
      </c>
      <c r="H652" s="8">
        <v>25</v>
      </c>
      <c r="I652" s="8"/>
      <c r="J652" s="8"/>
      <c r="K652" s="8">
        <v>25</v>
      </c>
      <c r="L652" s="18">
        <v>2140</v>
      </c>
      <c r="M652" s="7">
        <f t="shared" si="10"/>
        <v>53500</v>
      </c>
      <c r="N652" s="4"/>
      <c r="O652" s="9"/>
    </row>
    <row r="653" spans="1:15" ht="20" customHeight="1" x14ac:dyDescent="0.2">
      <c r="A653" s="3">
        <v>649</v>
      </c>
      <c r="B653" s="19"/>
      <c r="C653" s="4" t="s">
        <v>5557</v>
      </c>
      <c r="D653" s="4" t="s">
        <v>4909</v>
      </c>
      <c r="E653" s="4" t="s">
        <v>271</v>
      </c>
      <c r="F653" s="8">
        <v>5</v>
      </c>
      <c r="G653" s="8">
        <v>5</v>
      </c>
      <c r="H653" s="8">
        <v>5</v>
      </c>
      <c r="I653" s="8"/>
      <c r="J653" s="8"/>
      <c r="K653" s="8">
        <v>5</v>
      </c>
      <c r="L653" s="18">
        <v>2140</v>
      </c>
      <c r="M653" s="7">
        <f t="shared" si="10"/>
        <v>10700</v>
      </c>
      <c r="N653" s="4"/>
      <c r="O653" s="9"/>
    </row>
    <row r="654" spans="1:15" ht="20" customHeight="1" x14ac:dyDescent="0.2">
      <c r="A654" s="3">
        <v>650</v>
      </c>
      <c r="B654" s="19"/>
      <c r="C654" s="4" t="s">
        <v>5558</v>
      </c>
      <c r="D654" s="4" t="s">
        <v>4909</v>
      </c>
      <c r="E654" s="4" t="s">
        <v>271</v>
      </c>
      <c r="F654" s="8">
        <v>80</v>
      </c>
      <c r="G654" s="8">
        <v>80</v>
      </c>
      <c r="H654" s="8">
        <v>80</v>
      </c>
      <c r="I654" s="8"/>
      <c r="J654" s="8"/>
      <c r="K654" s="8">
        <v>80</v>
      </c>
      <c r="L654" s="18">
        <v>2140</v>
      </c>
      <c r="M654" s="7">
        <f t="shared" si="10"/>
        <v>171200</v>
      </c>
      <c r="N654" s="4"/>
      <c r="O654" s="9"/>
    </row>
    <row r="655" spans="1:15" ht="20" customHeight="1" x14ac:dyDescent="0.2">
      <c r="A655" s="3">
        <v>651</v>
      </c>
      <c r="B655" s="19"/>
      <c r="C655" s="4" t="s">
        <v>5559</v>
      </c>
      <c r="D655" s="4" t="s">
        <v>4909</v>
      </c>
      <c r="E655" s="4" t="s">
        <v>271</v>
      </c>
      <c r="F655" s="8">
        <v>20</v>
      </c>
      <c r="G655" s="8">
        <v>20</v>
      </c>
      <c r="H655" s="8">
        <v>20</v>
      </c>
      <c r="I655" s="8"/>
      <c r="J655" s="8"/>
      <c r="K655" s="8">
        <v>20</v>
      </c>
      <c r="L655" s="18">
        <v>2140</v>
      </c>
      <c r="M655" s="7">
        <f t="shared" si="10"/>
        <v>42800</v>
      </c>
      <c r="N655" s="4"/>
      <c r="O655" s="9"/>
    </row>
    <row r="656" spans="1:15" ht="20" customHeight="1" x14ac:dyDescent="0.2">
      <c r="A656" s="3">
        <v>652</v>
      </c>
      <c r="B656" s="19"/>
      <c r="C656" s="4" t="s">
        <v>5560</v>
      </c>
      <c r="D656" s="4" t="s">
        <v>4909</v>
      </c>
      <c r="E656" s="4" t="s">
        <v>271</v>
      </c>
      <c r="F656" s="8">
        <v>180</v>
      </c>
      <c r="G656" s="8">
        <v>180</v>
      </c>
      <c r="H656" s="8">
        <v>180</v>
      </c>
      <c r="I656" s="8"/>
      <c r="J656" s="8"/>
      <c r="K656" s="8">
        <v>180</v>
      </c>
      <c r="L656" s="18">
        <v>2140</v>
      </c>
      <c r="M656" s="7">
        <f t="shared" si="10"/>
        <v>385200</v>
      </c>
      <c r="N656" s="4"/>
      <c r="O656" s="9"/>
    </row>
    <row r="657" spans="1:15" ht="20" customHeight="1" x14ac:dyDescent="0.2">
      <c r="A657" s="3">
        <v>653</v>
      </c>
      <c r="B657" s="19"/>
      <c r="C657" s="4" t="s">
        <v>5561</v>
      </c>
      <c r="D657" s="4" t="s">
        <v>4909</v>
      </c>
      <c r="E657" s="4" t="s">
        <v>271</v>
      </c>
      <c r="F657" s="8">
        <v>20</v>
      </c>
      <c r="G657" s="8">
        <v>20</v>
      </c>
      <c r="H657" s="8">
        <v>20</v>
      </c>
      <c r="I657" s="8"/>
      <c r="J657" s="8"/>
      <c r="K657" s="8">
        <v>20</v>
      </c>
      <c r="L657" s="18">
        <v>2140</v>
      </c>
      <c r="M657" s="7">
        <f t="shared" si="10"/>
        <v>42800</v>
      </c>
      <c r="N657" s="4"/>
      <c r="O657" s="9"/>
    </row>
    <row r="658" spans="1:15" ht="20" customHeight="1" x14ac:dyDescent="0.2">
      <c r="A658" s="3">
        <v>654</v>
      </c>
      <c r="B658" s="19"/>
      <c r="C658" s="4" t="s">
        <v>5562</v>
      </c>
      <c r="D658" s="4" t="s">
        <v>4909</v>
      </c>
      <c r="E658" s="4" t="s">
        <v>271</v>
      </c>
      <c r="F658" s="8">
        <v>20</v>
      </c>
      <c r="G658" s="8">
        <v>20</v>
      </c>
      <c r="H658" s="8">
        <v>20</v>
      </c>
      <c r="I658" s="8"/>
      <c r="J658" s="8"/>
      <c r="K658" s="8">
        <v>20</v>
      </c>
      <c r="L658" s="18">
        <v>6420</v>
      </c>
      <c r="M658" s="7">
        <f t="shared" si="10"/>
        <v>128400</v>
      </c>
      <c r="N658" s="4"/>
      <c r="O658" s="9"/>
    </row>
    <row r="659" spans="1:15" ht="20" customHeight="1" x14ac:dyDescent="0.2">
      <c r="A659" s="3">
        <v>655</v>
      </c>
      <c r="B659" s="19"/>
      <c r="C659" s="4" t="s">
        <v>5563</v>
      </c>
      <c r="D659" s="4" t="s">
        <v>4909</v>
      </c>
      <c r="E659" s="4" t="s">
        <v>271</v>
      </c>
      <c r="F659" s="8">
        <v>20</v>
      </c>
      <c r="G659" s="8">
        <v>20</v>
      </c>
      <c r="H659" s="8">
        <v>20</v>
      </c>
      <c r="I659" s="8"/>
      <c r="J659" s="8"/>
      <c r="K659" s="8">
        <v>20</v>
      </c>
      <c r="L659" s="18">
        <v>6420</v>
      </c>
      <c r="M659" s="7">
        <f t="shared" si="10"/>
        <v>128400</v>
      </c>
      <c r="N659" s="4"/>
      <c r="O659" s="9"/>
    </row>
    <row r="660" spans="1:15" ht="20" customHeight="1" x14ac:dyDescent="0.2">
      <c r="A660" s="3">
        <v>656</v>
      </c>
      <c r="B660" s="19"/>
      <c r="C660" s="4" t="s">
        <v>5564</v>
      </c>
      <c r="D660" s="4" t="s">
        <v>4909</v>
      </c>
      <c r="E660" s="4" t="s">
        <v>271</v>
      </c>
      <c r="F660" s="8">
        <v>20</v>
      </c>
      <c r="G660" s="8">
        <v>20</v>
      </c>
      <c r="H660" s="8">
        <v>20</v>
      </c>
      <c r="I660" s="8"/>
      <c r="J660" s="8"/>
      <c r="K660" s="8">
        <v>20</v>
      </c>
      <c r="L660" s="18">
        <v>6420</v>
      </c>
      <c r="M660" s="7">
        <f t="shared" si="10"/>
        <v>128400</v>
      </c>
      <c r="N660" s="4"/>
      <c r="O660" s="9"/>
    </row>
    <row r="661" spans="1:15" ht="20" customHeight="1" x14ac:dyDescent="0.2">
      <c r="A661" s="3">
        <v>657</v>
      </c>
      <c r="B661" s="19"/>
      <c r="C661" s="4" t="s">
        <v>5565</v>
      </c>
      <c r="D661" s="4" t="s">
        <v>4909</v>
      </c>
      <c r="E661" s="4" t="s">
        <v>271</v>
      </c>
      <c r="F661" s="8">
        <v>15</v>
      </c>
      <c r="G661" s="8">
        <v>15</v>
      </c>
      <c r="H661" s="8">
        <v>15</v>
      </c>
      <c r="I661" s="8"/>
      <c r="J661" s="8"/>
      <c r="K661" s="8">
        <v>15</v>
      </c>
      <c r="L661" s="18">
        <v>6420</v>
      </c>
      <c r="M661" s="7">
        <f t="shared" si="10"/>
        <v>96300</v>
      </c>
      <c r="N661" s="4"/>
      <c r="O661" s="9"/>
    </row>
    <row r="662" spans="1:15" ht="20" customHeight="1" x14ac:dyDescent="0.2">
      <c r="A662" s="3">
        <v>658</v>
      </c>
      <c r="B662" s="19"/>
      <c r="C662" s="4" t="s">
        <v>5566</v>
      </c>
      <c r="D662" s="4" t="s">
        <v>4909</v>
      </c>
      <c r="E662" s="4" t="s">
        <v>271</v>
      </c>
      <c r="F662" s="8">
        <v>15</v>
      </c>
      <c r="G662" s="8">
        <v>15</v>
      </c>
      <c r="H662" s="8">
        <v>15</v>
      </c>
      <c r="I662" s="8"/>
      <c r="J662" s="8"/>
      <c r="K662" s="8">
        <v>15</v>
      </c>
      <c r="L662" s="18">
        <v>17800</v>
      </c>
      <c r="M662" s="7">
        <f t="shared" si="10"/>
        <v>267000</v>
      </c>
      <c r="N662" s="4"/>
      <c r="O662" s="9"/>
    </row>
    <row r="663" spans="1:15" ht="20" customHeight="1" x14ac:dyDescent="0.2">
      <c r="A663" s="3">
        <v>659</v>
      </c>
      <c r="B663" s="19"/>
      <c r="C663" s="4" t="s">
        <v>5567</v>
      </c>
      <c r="D663" s="4" t="s">
        <v>4909</v>
      </c>
      <c r="E663" s="4" t="s">
        <v>271</v>
      </c>
      <c r="F663" s="8">
        <v>4</v>
      </c>
      <c r="G663" s="8">
        <v>4</v>
      </c>
      <c r="H663" s="8">
        <v>4</v>
      </c>
      <c r="I663" s="8"/>
      <c r="J663" s="8"/>
      <c r="K663" s="8">
        <v>4</v>
      </c>
      <c r="L663" s="18">
        <v>17800</v>
      </c>
      <c r="M663" s="7">
        <f t="shared" si="10"/>
        <v>71200</v>
      </c>
      <c r="N663" s="4"/>
      <c r="O663" s="9"/>
    </row>
    <row r="664" spans="1:15" ht="20" customHeight="1" x14ac:dyDescent="0.2">
      <c r="A664" s="3">
        <v>660</v>
      </c>
      <c r="B664" s="19"/>
      <c r="C664" s="4" t="s">
        <v>5568</v>
      </c>
      <c r="D664" s="4" t="s">
        <v>4909</v>
      </c>
      <c r="E664" s="4" t="s">
        <v>271</v>
      </c>
      <c r="F664" s="8">
        <v>4</v>
      </c>
      <c r="G664" s="8">
        <v>4</v>
      </c>
      <c r="H664" s="8">
        <v>4</v>
      </c>
      <c r="I664" s="8"/>
      <c r="J664" s="8"/>
      <c r="K664" s="8">
        <v>4</v>
      </c>
      <c r="L664" s="18">
        <v>17800</v>
      </c>
      <c r="M664" s="7">
        <f t="shared" si="10"/>
        <v>71200</v>
      </c>
      <c r="N664" s="4"/>
      <c r="O664" s="9"/>
    </row>
    <row r="665" spans="1:15" ht="20" customHeight="1" x14ac:dyDescent="0.2">
      <c r="A665" s="3">
        <v>661</v>
      </c>
      <c r="B665" s="19"/>
      <c r="C665" s="4" t="s">
        <v>5569</v>
      </c>
      <c r="D665" s="4" t="s">
        <v>4909</v>
      </c>
      <c r="E665" s="4" t="s">
        <v>271</v>
      </c>
      <c r="F665" s="8">
        <v>4</v>
      </c>
      <c r="G665" s="8">
        <v>4</v>
      </c>
      <c r="H665" s="8">
        <v>4</v>
      </c>
      <c r="I665" s="8"/>
      <c r="J665" s="8"/>
      <c r="K665" s="8">
        <v>4</v>
      </c>
      <c r="L665" s="18">
        <v>17800</v>
      </c>
      <c r="M665" s="7">
        <f t="shared" si="10"/>
        <v>71200</v>
      </c>
      <c r="N665" s="4"/>
      <c r="O665" s="9"/>
    </row>
    <row r="666" spans="1:15" ht="20" customHeight="1" x14ac:dyDescent="0.2">
      <c r="A666" s="3">
        <v>662</v>
      </c>
      <c r="B666" s="19"/>
      <c r="C666" s="4" t="s">
        <v>5570</v>
      </c>
      <c r="D666" s="4" t="s">
        <v>4909</v>
      </c>
      <c r="E666" s="4" t="s">
        <v>271</v>
      </c>
      <c r="F666" s="8">
        <v>2</v>
      </c>
      <c r="G666" s="8">
        <v>2</v>
      </c>
      <c r="H666" s="8">
        <v>2</v>
      </c>
      <c r="I666" s="8"/>
      <c r="J666" s="8"/>
      <c r="K666" s="8">
        <v>2</v>
      </c>
      <c r="L666" s="18">
        <v>17800</v>
      </c>
      <c r="M666" s="7">
        <f t="shared" si="10"/>
        <v>35600</v>
      </c>
      <c r="N666" s="4"/>
      <c r="O666" s="9"/>
    </row>
    <row r="667" spans="1:15" ht="20" customHeight="1" x14ac:dyDescent="0.2">
      <c r="A667" s="3">
        <v>663</v>
      </c>
      <c r="B667" s="19"/>
      <c r="C667" s="4" t="s">
        <v>5571</v>
      </c>
      <c r="D667" s="4" t="s">
        <v>4909</v>
      </c>
      <c r="E667" s="4" t="s">
        <v>271</v>
      </c>
      <c r="F667" s="8">
        <v>2</v>
      </c>
      <c r="G667" s="8">
        <v>2</v>
      </c>
      <c r="H667" s="8">
        <v>2</v>
      </c>
      <c r="I667" s="8"/>
      <c r="J667" s="8"/>
      <c r="K667" s="8">
        <v>2</v>
      </c>
      <c r="L667" s="18">
        <v>17800</v>
      </c>
      <c r="M667" s="7">
        <f t="shared" si="10"/>
        <v>35600</v>
      </c>
      <c r="N667" s="4"/>
      <c r="O667" s="9"/>
    </row>
    <row r="668" spans="1:15" ht="20" customHeight="1" x14ac:dyDescent="0.2">
      <c r="A668" s="3">
        <v>664</v>
      </c>
      <c r="B668" s="19"/>
      <c r="C668" s="4" t="s">
        <v>5572</v>
      </c>
      <c r="D668" s="4" t="s">
        <v>4909</v>
      </c>
      <c r="E668" s="4" t="s">
        <v>271</v>
      </c>
      <c r="F668" s="8">
        <v>2</v>
      </c>
      <c r="G668" s="8">
        <v>2</v>
      </c>
      <c r="H668" s="8">
        <v>2</v>
      </c>
      <c r="I668" s="8"/>
      <c r="J668" s="8"/>
      <c r="K668" s="8">
        <v>2</v>
      </c>
      <c r="L668" s="18">
        <v>17800</v>
      </c>
      <c r="M668" s="7">
        <f t="shared" si="10"/>
        <v>35600</v>
      </c>
      <c r="N668" s="4"/>
      <c r="O668" s="9"/>
    </row>
    <row r="669" spans="1:15" ht="20" customHeight="1" x14ac:dyDescent="0.2">
      <c r="A669" s="3">
        <v>665</v>
      </c>
      <c r="B669" s="19"/>
      <c r="C669" s="4" t="s">
        <v>5573</v>
      </c>
      <c r="D669" s="4" t="s">
        <v>4909</v>
      </c>
      <c r="E669" s="4" t="s">
        <v>271</v>
      </c>
      <c r="F669" s="8">
        <v>1</v>
      </c>
      <c r="G669" s="8">
        <v>1</v>
      </c>
      <c r="H669" s="8">
        <v>1</v>
      </c>
      <c r="I669" s="8"/>
      <c r="J669" s="8"/>
      <c r="K669" s="8">
        <v>1</v>
      </c>
      <c r="L669" s="18">
        <v>17800</v>
      </c>
      <c r="M669" s="7">
        <f t="shared" si="10"/>
        <v>17800</v>
      </c>
      <c r="N669" s="4"/>
      <c r="O669" s="9"/>
    </row>
    <row r="670" spans="1:15" ht="20" customHeight="1" x14ac:dyDescent="0.2">
      <c r="A670" s="3">
        <v>666</v>
      </c>
      <c r="B670" s="19"/>
      <c r="C670" s="4" t="s">
        <v>5574</v>
      </c>
      <c r="D670" s="4" t="s">
        <v>4909</v>
      </c>
      <c r="E670" s="4" t="s">
        <v>271</v>
      </c>
      <c r="F670" s="8">
        <v>90</v>
      </c>
      <c r="G670" s="8">
        <v>90</v>
      </c>
      <c r="H670" s="8">
        <v>90</v>
      </c>
      <c r="I670" s="8"/>
      <c r="J670" s="8"/>
      <c r="K670" s="8">
        <v>90</v>
      </c>
      <c r="L670" s="18">
        <v>2140</v>
      </c>
      <c r="M670" s="7">
        <f t="shared" si="10"/>
        <v>192600</v>
      </c>
      <c r="N670" s="4"/>
      <c r="O670" s="9"/>
    </row>
    <row r="671" spans="1:15" ht="20" customHeight="1" x14ac:dyDescent="0.2">
      <c r="A671" s="3">
        <v>667</v>
      </c>
      <c r="B671" s="19"/>
      <c r="C671" s="4" t="s">
        <v>5575</v>
      </c>
      <c r="D671" s="4" t="s">
        <v>4909</v>
      </c>
      <c r="E671" s="4" t="s">
        <v>271</v>
      </c>
      <c r="F671" s="8">
        <v>20</v>
      </c>
      <c r="G671" s="8">
        <v>20</v>
      </c>
      <c r="H671" s="8">
        <v>20</v>
      </c>
      <c r="I671" s="8"/>
      <c r="J671" s="8"/>
      <c r="K671" s="8">
        <v>20</v>
      </c>
      <c r="L671" s="18">
        <v>2140</v>
      </c>
      <c r="M671" s="7">
        <f t="shared" si="10"/>
        <v>42800</v>
      </c>
      <c r="N671" s="4"/>
      <c r="O671" s="9"/>
    </row>
    <row r="672" spans="1:15" ht="20" customHeight="1" x14ac:dyDescent="0.2">
      <c r="A672" s="3">
        <v>668</v>
      </c>
      <c r="B672" s="19"/>
      <c r="C672" s="4" t="s">
        <v>5576</v>
      </c>
      <c r="D672" s="4" t="s">
        <v>4909</v>
      </c>
      <c r="E672" s="4" t="s">
        <v>271</v>
      </c>
      <c r="F672" s="8">
        <v>160</v>
      </c>
      <c r="G672" s="8">
        <v>160</v>
      </c>
      <c r="H672" s="8">
        <v>160</v>
      </c>
      <c r="I672" s="8"/>
      <c r="J672" s="8"/>
      <c r="K672" s="8">
        <v>160</v>
      </c>
      <c r="L672" s="18">
        <v>2140</v>
      </c>
      <c r="M672" s="7">
        <f t="shared" si="10"/>
        <v>342400</v>
      </c>
      <c r="N672" s="4"/>
      <c r="O672" s="9"/>
    </row>
    <row r="673" spans="1:15" ht="20" customHeight="1" x14ac:dyDescent="0.2">
      <c r="A673" s="3">
        <v>669</v>
      </c>
      <c r="B673" s="19"/>
      <c r="C673" s="4" t="s">
        <v>5577</v>
      </c>
      <c r="D673" s="4" t="s">
        <v>4909</v>
      </c>
      <c r="E673" s="4" t="s">
        <v>271</v>
      </c>
      <c r="F673" s="8">
        <v>20</v>
      </c>
      <c r="G673" s="8">
        <v>20</v>
      </c>
      <c r="H673" s="8">
        <v>20</v>
      </c>
      <c r="I673" s="8"/>
      <c r="J673" s="8"/>
      <c r="K673" s="8">
        <v>20</v>
      </c>
      <c r="L673" s="18">
        <v>2140</v>
      </c>
      <c r="M673" s="7">
        <f t="shared" si="10"/>
        <v>42800</v>
      </c>
      <c r="N673" s="4"/>
      <c r="O673" s="9"/>
    </row>
    <row r="674" spans="1:15" ht="20" customHeight="1" x14ac:dyDescent="0.2">
      <c r="A674" s="3">
        <v>670</v>
      </c>
      <c r="B674" s="19"/>
      <c r="C674" s="4" t="s">
        <v>5578</v>
      </c>
      <c r="D674" s="4" t="s">
        <v>4909</v>
      </c>
      <c r="E674" s="4" t="s">
        <v>271</v>
      </c>
      <c r="F674" s="8">
        <v>5</v>
      </c>
      <c r="G674" s="8">
        <v>5</v>
      </c>
      <c r="H674" s="8">
        <v>5</v>
      </c>
      <c r="I674" s="8"/>
      <c r="J674" s="8"/>
      <c r="K674" s="8">
        <v>5</v>
      </c>
      <c r="L674" s="18">
        <v>2140</v>
      </c>
      <c r="M674" s="7">
        <f t="shared" si="10"/>
        <v>10700</v>
      </c>
      <c r="N674" s="4"/>
      <c r="O674" s="9"/>
    </row>
    <row r="675" spans="1:15" ht="20" customHeight="1" x14ac:dyDescent="0.2">
      <c r="A675" s="3">
        <v>671</v>
      </c>
      <c r="B675" s="19"/>
      <c r="C675" s="4" t="s">
        <v>5579</v>
      </c>
      <c r="D675" s="4" t="s">
        <v>4909</v>
      </c>
      <c r="E675" s="4" t="s">
        <v>271</v>
      </c>
      <c r="F675" s="8">
        <v>15</v>
      </c>
      <c r="G675" s="8">
        <v>15</v>
      </c>
      <c r="H675" s="8">
        <v>15</v>
      </c>
      <c r="I675" s="8"/>
      <c r="J675" s="8"/>
      <c r="K675" s="8">
        <v>15</v>
      </c>
      <c r="L675" s="18">
        <v>17300</v>
      </c>
      <c r="M675" s="7">
        <f t="shared" si="10"/>
        <v>259500</v>
      </c>
      <c r="N675" s="4"/>
      <c r="O675" s="9"/>
    </row>
    <row r="676" spans="1:15" ht="20" customHeight="1" x14ac:dyDescent="0.2">
      <c r="A676" s="3">
        <v>672</v>
      </c>
      <c r="B676" s="19"/>
      <c r="C676" s="4" t="s">
        <v>5580</v>
      </c>
      <c r="D676" s="4" t="s">
        <v>4909</v>
      </c>
      <c r="E676" s="4" t="s">
        <v>271</v>
      </c>
      <c r="F676" s="8">
        <v>5</v>
      </c>
      <c r="G676" s="8">
        <v>5</v>
      </c>
      <c r="H676" s="8">
        <v>5</v>
      </c>
      <c r="I676" s="8"/>
      <c r="J676" s="8"/>
      <c r="K676" s="8">
        <v>5</v>
      </c>
      <c r="L676" s="18">
        <v>25680</v>
      </c>
      <c r="M676" s="7">
        <f t="shared" si="10"/>
        <v>128400</v>
      </c>
      <c r="N676" s="4"/>
      <c r="O676" s="9"/>
    </row>
    <row r="677" spans="1:15" ht="20" customHeight="1" x14ac:dyDescent="0.2">
      <c r="A677" s="3">
        <v>673</v>
      </c>
      <c r="B677" s="19"/>
      <c r="C677" s="4" t="s">
        <v>5581</v>
      </c>
      <c r="D677" s="4" t="s">
        <v>4909</v>
      </c>
      <c r="E677" s="4" t="s">
        <v>271</v>
      </c>
      <c r="F677" s="8">
        <v>10</v>
      </c>
      <c r="G677" s="8">
        <v>10</v>
      </c>
      <c r="H677" s="8">
        <v>10</v>
      </c>
      <c r="I677" s="8"/>
      <c r="J677" s="8"/>
      <c r="K677" s="8">
        <v>10</v>
      </c>
      <c r="L677" s="18">
        <v>17300</v>
      </c>
      <c r="M677" s="7">
        <f t="shared" si="10"/>
        <v>173000</v>
      </c>
      <c r="N677" s="4"/>
      <c r="O677" s="9"/>
    </row>
    <row r="678" spans="1:15" ht="20" customHeight="1" x14ac:dyDescent="0.2">
      <c r="A678" s="3">
        <v>674</v>
      </c>
      <c r="B678" s="19"/>
      <c r="C678" s="4" t="s">
        <v>5582</v>
      </c>
      <c r="D678" s="4" t="s">
        <v>4909</v>
      </c>
      <c r="E678" s="4" t="s">
        <v>271</v>
      </c>
      <c r="F678" s="8">
        <v>4</v>
      </c>
      <c r="G678" s="8">
        <v>4</v>
      </c>
      <c r="H678" s="8">
        <v>4</v>
      </c>
      <c r="I678" s="8"/>
      <c r="J678" s="8"/>
      <c r="K678" s="8">
        <v>4</v>
      </c>
      <c r="L678" s="18">
        <v>17300</v>
      </c>
      <c r="M678" s="7">
        <f t="shared" si="10"/>
        <v>69200</v>
      </c>
      <c r="N678" s="4"/>
      <c r="O678" s="9"/>
    </row>
    <row r="679" spans="1:15" ht="20" customHeight="1" x14ac:dyDescent="0.2">
      <c r="A679" s="3">
        <v>675</v>
      </c>
      <c r="B679" s="19"/>
      <c r="C679" s="4" t="s">
        <v>5583</v>
      </c>
      <c r="D679" s="4" t="s">
        <v>4909</v>
      </c>
      <c r="E679" s="4" t="s">
        <v>271</v>
      </c>
      <c r="F679" s="8">
        <v>4</v>
      </c>
      <c r="G679" s="8">
        <v>4</v>
      </c>
      <c r="H679" s="8">
        <v>4</v>
      </c>
      <c r="I679" s="8"/>
      <c r="J679" s="8"/>
      <c r="K679" s="8">
        <v>4</v>
      </c>
      <c r="L679" s="18">
        <v>25680</v>
      </c>
      <c r="M679" s="7">
        <f t="shared" si="10"/>
        <v>102720</v>
      </c>
      <c r="N679" s="4"/>
      <c r="O679" s="9"/>
    </row>
    <row r="680" spans="1:15" ht="20" customHeight="1" x14ac:dyDescent="0.2">
      <c r="A680" s="3">
        <v>676</v>
      </c>
      <c r="B680" s="19"/>
      <c r="C680" s="4" t="s">
        <v>5584</v>
      </c>
      <c r="D680" s="4" t="s">
        <v>4909</v>
      </c>
      <c r="E680" s="4" t="s">
        <v>271</v>
      </c>
      <c r="F680" s="8">
        <v>15</v>
      </c>
      <c r="G680" s="8">
        <v>15</v>
      </c>
      <c r="H680" s="8">
        <v>15</v>
      </c>
      <c r="I680" s="8"/>
      <c r="J680" s="8"/>
      <c r="K680" s="8">
        <v>15</v>
      </c>
      <c r="L680" s="18">
        <v>17300</v>
      </c>
      <c r="M680" s="7">
        <f t="shared" si="10"/>
        <v>259500</v>
      </c>
      <c r="N680" s="4"/>
      <c r="O680" s="9"/>
    </row>
    <row r="681" spans="1:15" ht="20" customHeight="1" x14ac:dyDescent="0.2">
      <c r="A681" s="3">
        <v>677</v>
      </c>
      <c r="B681" s="19"/>
      <c r="C681" s="4" t="s">
        <v>5585</v>
      </c>
      <c r="D681" s="4" t="s">
        <v>4909</v>
      </c>
      <c r="E681" s="4" t="s">
        <v>271</v>
      </c>
      <c r="F681" s="8">
        <v>20</v>
      </c>
      <c r="G681" s="8">
        <v>20</v>
      </c>
      <c r="H681" s="8">
        <v>20</v>
      </c>
      <c r="I681" s="8"/>
      <c r="J681" s="8"/>
      <c r="K681" s="8">
        <v>20</v>
      </c>
      <c r="L681" s="18">
        <v>17300</v>
      </c>
      <c r="M681" s="7">
        <f t="shared" si="10"/>
        <v>346000</v>
      </c>
      <c r="N681" s="4"/>
      <c r="O681" s="9"/>
    </row>
    <row r="682" spans="1:15" ht="20" customHeight="1" x14ac:dyDescent="0.2">
      <c r="A682" s="3">
        <v>678</v>
      </c>
      <c r="B682" s="19"/>
      <c r="C682" s="4" t="s">
        <v>5586</v>
      </c>
      <c r="D682" s="4" t="s">
        <v>4909</v>
      </c>
      <c r="E682" s="4" t="s">
        <v>271</v>
      </c>
      <c r="F682" s="8">
        <v>2</v>
      </c>
      <c r="G682" s="8">
        <v>2</v>
      </c>
      <c r="H682" s="8">
        <v>2</v>
      </c>
      <c r="I682" s="8"/>
      <c r="J682" s="8"/>
      <c r="K682" s="8">
        <v>2</v>
      </c>
      <c r="L682" s="18">
        <v>17300</v>
      </c>
      <c r="M682" s="7">
        <f t="shared" si="10"/>
        <v>34600</v>
      </c>
      <c r="N682" s="4"/>
      <c r="O682" s="9"/>
    </row>
    <row r="683" spans="1:15" ht="20" customHeight="1" x14ac:dyDescent="0.2">
      <c r="A683" s="3">
        <v>679</v>
      </c>
      <c r="B683" s="19"/>
      <c r="C683" s="4" t="s">
        <v>5587</v>
      </c>
      <c r="D683" s="4" t="s">
        <v>4909</v>
      </c>
      <c r="E683" s="4" t="s">
        <v>271</v>
      </c>
      <c r="F683" s="8">
        <v>5</v>
      </c>
      <c r="G683" s="8">
        <v>5</v>
      </c>
      <c r="H683" s="8">
        <v>5</v>
      </c>
      <c r="I683" s="8"/>
      <c r="J683" s="8"/>
      <c r="K683" s="8">
        <v>5</v>
      </c>
      <c r="L683" s="18">
        <v>17300</v>
      </c>
      <c r="M683" s="7">
        <f t="shared" si="10"/>
        <v>86500</v>
      </c>
      <c r="N683" s="4"/>
      <c r="O683" s="9"/>
    </row>
    <row r="684" spans="1:15" ht="20" customHeight="1" x14ac:dyDescent="0.2">
      <c r="A684" s="3">
        <v>680</v>
      </c>
      <c r="B684" s="19"/>
      <c r="C684" s="4" t="s">
        <v>5588</v>
      </c>
      <c r="D684" s="4" t="s">
        <v>4909</v>
      </c>
      <c r="E684" s="4" t="s">
        <v>271</v>
      </c>
      <c r="F684" s="8">
        <v>40</v>
      </c>
      <c r="G684" s="8">
        <v>40</v>
      </c>
      <c r="H684" s="8">
        <v>40</v>
      </c>
      <c r="I684" s="8"/>
      <c r="J684" s="8"/>
      <c r="K684" s="8">
        <v>40</v>
      </c>
      <c r="L684" s="18">
        <v>2140</v>
      </c>
      <c r="M684" s="7">
        <f t="shared" si="10"/>
        <v>85600</v>
      </c>
      <c r="N684" s="4"/>
      <c r="O684" s="9"/>
    </row>
    <row r="685" spans="1:15" ht="20" customHeight="1" x14ac:dyDescent="0.2">
      <c r="A685" s="3">
        <v>681</v>
      </c>
      <c r="B685" s="19"/>
      <c r="C685" s="4" t="s">
        <v>5589</v>
      </c>
      <c r="D685" s="4" t="s">
        <v>4909</v>
      </c>
      <c r="E685" s="4" t="s">
        <v>271</v>
      </c>
      <c r="F685" s="8">
        <v>60</v>
      </c>
      <c r="G685" s="8">
        <v>60</v>
      </c>
      <c r="H685" s="8">
        <v>60</v>
      </c>
      <c r="I685" s="8"/>
      <c r="J685" s="8"/>
      <c r="K685" s="8">
        <v>60</v>
      </c>
      <c r="L685" s="18">
        <v>2140</v>
      </c>
      <c r="M685" s="7">
        <f t="shared" si="10"/>
        <v>128400</v>
      </c>
      <c r="N685" s="4"/>
      <c r="O685" s="9"/>
    </row>
    <row r="686" spans="1:15" ht="20" customHeight="1" x14ac:dyDescent="0.2">
      <c r="A686" s="3">
        <v>682</v>
      </c>
      <c r="B686" s="19"/>
      <c r="C686" s="4" t="s">
        <v>5590</v>
      </c>
      <c r="D686" s="4" t="s">
        <v>4909</v>
      </c>
      <c r="E686" s="4" t="s">
        <v>271</v>
      </c>
      <c r="F686" s="8">
        <v>60</v>
      </c>
      <c r="G686" s="8">
        <v>60</v>
      </c>
      <c r="H686" s="8">
        <v>60</v>
      </c>
      <c r="I686" s="8"/>
      <c r="J686" s="8"/>
      <c r="K686" s="8">
        <v>60</v>
      </c>
      <c r="L686" s="18">
        <v>2140</v>
      </c>
      <c r="M686" s="7">
        <f t="shared" si="10"/>
        <v>128400</v>
      </c>
      <c r="N686" s="4"/>
      <c r="O686" s="9"/>
    </row>
    <row r="687" spans="1:15" ht="20" customHeight="1" x14ac:dyDescent="0.2">
      <c r="A687" s="3">
        <v>683</v>
      </c>
      <c r="B687" s="19"/>
      <c r="C687" s="4" t="s">
        <v>5591</v>
      </c>
      <c r="D687" s="4" t="s">
        <v>4909</v>
      </c>
      <c r="E687" s="4" t="s">
        <v>271</v>
      </c>
      <c r="F687" s="8">
        <v>20</v>
      </c>
      <c r="G687" s="8">
        <v>20</v>
      </c>
      <c r="H687" s="8">
        <v>20</v>
      </c>
      <c r="I687" s="8"/>
      <c r="J687" s="8"/>
      <c r="K687" s="8">
        <v>20</v>
      </c>
      <c r="L687" s="18">
        <v>2140</v>
      </c>
      <c r="M687" s="7">
        <f t="shared" si="10"/>
        <v>42800</v>
      </c>
      <c r="N687" s="4"/>
      <c r="O687" s="9"/>
    </row>
    <row r="688" spans="1:15" ht="20" customHeight="1" x14ac:dyDescent="0.2">
      <c r="A688" s="3">
        <v>684</v>
      </c>
      <c r="B688" s="19"/>
      <c r="C688" s="4" t="s">
        <v>5592</v>
      </c>
      <c r="D688" s="4" t="s">
        <v>4909</v>
      </c>
      <c r="E688" s="4" t="s">
        <v>271</v>
      </c>
      <c r="F688" s="8">
        <v>60</v>
      </c>
      <c r="G688" s="8">
        <v>60</v>
      </c>
      <c r="H688" s="8">
        <v>60</v>
      </c>
      <c r="I688" s="8"/>
      <c r="J688" s="8"/>
      <c r="K688" s="8">
        <v>60</v>
      </c>
      <c r="L688" s="18">
        <v>2140</v>
      </c>
      <c r="M688" s="7">
        <f t="shared" si="10"/>
        <v>128400</v>
      </c>
      <c r="N688" s="4"/>
      <c r="O688" s="9"/>
    </row>
    <row r="689" spans="1:15" ht="20" customHeight="1" x14ac:dyDescent="0.2">
      <c r="A689" s="3">
        <v>685</v>
      </c>
      <c r="B689" s="19"/>
      <c r="C689" s="4" t="s">
        <v>5593</v>
      </c>
      <c r="D689" s="4" t="s">
        <v>4909</v>
      </c>
      <c r="E689" s="4" t="s">
        <v>271</v>
      </c>
      <c r="F689" s="8">
        <v>360</v>
      </c>
      <c r="G689" s="8">
        <v>360</v>
      </c>
      <c r="H689" s="8">
        <v>360</v>
      </c>
      <c r="I689" s="8"/>
      <c r="J689" s="8"/>
      <c r="K689" s="8">
        <v>360</v>
      </c>
      <c r="L689" s="18">
        <v>2140</v>
      </c>
      <c r="M689" s="7">
        <f t="shared" si="10"/>
        <v>770400</v>
      </c>
      <c r="N689" s="4"/>
      <c r="O689" s="9"/>
    </row>
    <row r="690" spans="1:15" ht="20" customHeight="1" x14ac:dyDescent="0.2">
      <c r="A690" s="3">
        <v>686</v>
      </c>
      <c r="B690" s="19"/>
      <c r="C690" s="4" t="s">
        <v>5594</v>
      </c>
      <c r="D690" s="4" t="s">
        <v>4909</v>
      </c>
      <c r="E690" s="4" t="s">
        <v>271</v>
      </c>
      <c r="F690" s="8">
        <v>80</v>
      </c>
      <c r="G690" s="8">
        <v>80</v>
      </c>
      <c r="H690" s="8">
        <v>80</v>
      </c>
      <c r="I690" s="8"/>
      <c r="J690" s="8"/>
      <c r="K690" s="8">
        <v>80</v>
      </c>
      <c r="L690" s="18">
        <v>2140</v>
      </c>
      <c r="M690" s="7">
        <f t="shared" si="10"/>
        <v>171200</v>
      </c>
      <c r="N690" s="4"/>
      <c r="O690" s="9"/>
    </row>
    <row r="691" spans="1:15" ht="20" customHeight="1" x14ac:dyDescent="0.2">
      <c r="A691" s="3">
        <v>687</v>
      </c>
      <c r="B691" s="19"/>
      <c r="C691" s="4" t="s">
        <v>5595</v>
      </c>
      <c r="D691" s="4" t="s">
        <v>4909</v>
      </c>
      <c r="E691" s="4" t="s">
        <v>271</v>
      </c>
      <c r="F691" s="8">
        <v>2</v>
      </c>
      <c r="G691" s="8">
        <v>2</v>
      </c>
      <c r="H691" s="8">
        <v>2</v>
      </c>
      <c r="I691" s="8"/>
      <c r="J691" s="8"/>
      <c r="K691" s="8">
        <v>2</v>
      </c>
      <c r="L691" s="18">
        <v>17300</v>
      </c>
      <c r="M691" s="7">
        <f t="shared" si="10"/>
        <v>34600</v>
      </c>
      <c r="N691" s="4"/>
      <c r="O691" s="9"/>
    </row>
    <row r="692" spans="1:15" ht="20" customHeight="1" x14ac:dyDescent="0.2">
      <c r="A692" s="3">
        <v>688</v>
      </c>
      <c r="B692" s="19"/>
      <c r="C692" s="4" t="s">
        <v>5596</v>
      </c>
      <c r="D692" s="4" t="s">
        <v>4909</v>
      </c>
      <c r="E692" s="4" t="s">
        <v>271</v>
      </c>
      <c r="F692" s="8">
        <v>15</v>
      </c>
      <c r="G692" s="8">
        <v>15</v>
      </c>
      <c r="H692" s="8">
        <v>15</v>
      </c>
      <c r="I692" s="8"/>
      <c r="J692" s="8"/>
      <c r="K692" s="8">
        <v>15</v>
      </c>
      <c r="L692" s="18">
        <v>17300</v>
      </c>
      <c r="M692" s="7">
        <f t="shared" si="10"/>
        <v>259500</v>
      </c>
      <c r="N692" s="4"/>
      <c r="O692" s="9"/>
    </row>
    <row r="693" spans="1:15" ht="20" customHeight="1" x14ac:dyDescent="0.2">
      <c r="A693" s="3">
        <v>689</v>
      </c>
      <c r="B693" s="19"/>
      <c r="C693" s="4" t="s">
        <v>5597</v>
      </c>
      <c r="D693" s="4" t="s">
        <v>4909</v>
      </c>
      <c r="E693" s="4" t="s">
        <v>271</v>
      </c>
      <c r="F693" s="8">
        <v>2</v>
      </c>
      <c r="G693" s="8">
        <v>2</v>
      </c>
      <c r="H693" s="8">
        <v>2</v>
      </c>
      <c r="I693" s="8"/>
      <c r="J693" s="8"/>
      <c r="K693" s="8">
        <v>2</v>
      </c>
      <c r="L693" s="18">
        <v>17300</v>
      </c>
      <c r="M693" s="7">
        <f t="shared" si="10"/>
        <v>34600</v>
      </c>
      <c r="N693" s="4"/>
      <c r="O693" s="9"/>
    </row>
    <row r="694" spans="1:15" ht="20" customHeight="1" x14ac:dyDescent="0.2">
      <c r="A694" s="3">
        <v>690</v>
      </c>
      <c r="B694" s="19"/>
      <c r="C694" s="4" t="s">
        <v>5598</v>
      </c>
      <c r="D694" s="4" t="s">
        <v>4909</v>
      </c>
      <c r="E694" s="4" t="s">
        <v>271</v>
      </c>
      <c r="F694" s="8">
        <v>2</v>
      </c>
      <c r="G694" s="8">
        <v>2</v>
      </c>
      <c r="H694" s="8">
        <v>2</v>
      </c>
      <c r="I694" s="8"/>
      <c r="J694" s="8"/>
      <c r="K694" s="8">
        <v>2</v>
      </c>
      <c r="L694" s="18">
        <v>21400</v>
      </c>
      <c r="M694" s="7">
        <f t="shared" si="10"/>
        <v>42800</v>
      </c>
      <c r="N694" s="4"/>
      <c r="O694" s="9"/>
    </row>
    <row r="695" spans="1:15" ht="20" customHeight="1" x14ac:dyDescent="0.2">
      <c r="A695" s="3">
        <v>691</v>
      </c>
      <c r="B695" s="19"/>
      <c r="C695" s="4" t="s">
        <v>5599</v>
      </c>
      <c r="D695" s="4" t="s">
        <v>4909</v>
      </c>
      <c r="E695" s="4" t="s">
        <v>271</v>
      </c>
      <c r="F695" s="8">
        <v>5</v>
      </c>
      <c r="G695" s="8">
        <v>5</v>
      </c>
      <c r="H695" s="8">
        <v>5</v>
      </c>
      <c r="I695" s="8"/>
      <c r="J695" s="8"/>
      <c r="K695" s="8">
        <v>5</v>
      </c>
      <c r="L695" s="18">
        <v>21400</v>
      </c>
      <c r="M695" s="7">
        <f t="shared" si="10"/>
        <v>107000</v>
      </c>
      <c r="N695" s="4"/>
      <c r="O695" s="9"/>
    </row>
    <row r="696" spans="1:15" ht="20" customHeight="1" x14ac:dyDescent="0.2">
      <c r="A696" s="3">
        <v>692</v>
      </c>
      <c r="B696" s="19"/>
      <c r="C696" s="4" t="s">
        <v>5600</v>
      </c>
      <c r="D696" s="4" t="s">
        <v>4909</v>
      </c>
      <c r="E696" s="4" t="s">
        <v>271</v>
      </c>
      <c r="F696" s="8">
        <v>40</v>
      </c>
      <c r="G696" s="8">
        <v>40</v>
      </c>
      <c r="H696" s="8">
        <v>40</v>
      </c>
      <c r="I696" s="8"/>
      <c r="J696" s="8"/>
      <c r="K696" s="8">
        <v>40</v>
      </c>
      <c r="L696" s="18">
        <v>2140</v>
      </c>
      <c r="M696" s="7">
        <f t="shared" si="10"/>
        <v>85600</v>
      </c>
      <c r="N696" s="4"/>
      <c r="O696" s="9"/>
    </row>
    <row r="697" spans="1:15" ht="20" customHeight="1" x14ac:dyDescent="0.2">
      <c r="A697" s="3">
        <v>693</v>
      </c>
      <c r="B697" s="19"/>
      <c r="C697" s="4" t="s">
        <v>5601</v>
      </c>
      <c r="D697" s="4" t="s">
        <v>4909</v>
      </c>
      <c r="E697" s="4" t="s">
        <v>271</v>
      </c>
      <c r="F697" s="8">
        <v>160</v>
      </c>
      <c r="G697" s="8">
        <v>160</v>
      </c>
      <c r="H697" s="8">
        <v>160</v>
      </c>
      <c r="I697" s="8"/>
      <c r="J697" s="8"/>
      <c r="K697" s="8">
        <v>160</v>
      </c>
      <c r="L697" s="18">
        <v>1600</v>
      </c>
      <c r="M697" s="7">
        <f t="shared" si="10"/>
        <v>256000</v>
      </c>
      <c r="N697" s="4"/>
      <c r="O697" s="9"/>
    </row>
    <row r="698" spans="1:15" ht="20" customHeight="1" x14ac:dyDescent="0.2">
      <c r="A698" s="3">
        <v>694</v>
      </c>
      <c r="B698" s="19"/>
      <c r="C698" s="4" t="s">
        <v>5602</v>
      </c>
      <c r="D698" s="4" t="s">
        <v>4909</v>
      </c>
      <c r="E698" s="4" t="s">
        <v>271</v>
      </c>
      <c r="F698" s="8">
        <v>2</v>
      </c>
      <c r="G698" s="8">
        <v>2</v>
      </c>
      <c r="H698" s="8">
        <v>2</v>
      </c>
      <c r="I698" s="8"/>
      <c r="J698" s="8"/>
      <c r="K698" s="8">
        <v>2</v>
      </c>
      <c r="L698" s="18">
        <v>17300</v>
      </c>
      <c r="M698" s="7">
        <f t="shared" si="10"/>
        <v>34600</v>
      </c>
      <c r="N698" s="4"/>
      <c r="O698" s="9"/>
    </row>
    <row r="699" spans="1:15" ht="20" customHeight="1" x14ac:dyDescent="0.2">
      <c r="A699" s="3">
        <v>695</v>
      </c>
      <c r="B699" s="19"/>
      <c r="C699" s="4" t="s">
        <v>5603</v>
      </c>
      <c r="D699" s="4" t="s">
        <v>4909</v>
      </c>
      <c r="E699" s="4" t="s">
        <v>271</v>
      </c>
      <c r="F699" s="8">
        <v>4</v>
      </c>
      <c r="G699" s="8">
        <v>4</v>
      </c>
      <c r="H699" s="8">
        <v>4</v>
      </c>
      <c r="I699" s="8"/>
      <c r="J699" s="8"/>
      <c r="K699" s="8">
        <v>4</v>
      </c>
      <c r="L699" s="18">
        <v>2140</v>
      </c>
      <c r="M699" s="7">
        <f t="shared" si="10"/>
        <v>8560</v>
      </c>
      <c r="N699" s="4"/>
      <c r="O699" s="9"/>
    </row>
    <row r="700" spans="1:15" ht="20" customHeight="1" x14ac:dyDescent="0.2">
      <c r="A700" s="3">
        <v>696</v>
      </c>
      <c r="B700" s="19"/>
      <c r="C700" s="4" t="s">
        <v>5604</v>
      </c>
      <c r="D700" s="4" t="s">
        <v>4909</v>
      </c>
      <c r="E700" s="4" t="s">
        <v>271</v>
      </c>
      <c r="F700" s="8">
        <v>2</v>
      </c>
      <c r="G700" s="8">
        <v>2</v>
      </c>
      <c r="H700" s="8">
        <v>2</v>
      </c>
      <c r="I700" s="8"/>
      <c r="J700" s="8"/>
      <c r="K700" s="8">
        <v>2</v>
      </c>
      <c r="L700" s="18">
        <v>7400</v>
      </c>
      <c r="M700" s="7">
        <f t="shared" si="10"/>
        <v>14800</v>
      </c>
      <c r="N700" s="4"/>
      <c r="O700" s="9"/>
    </row>
    <row r="701" spans="1:15" ht="20" customHeight="1" x14ac:dyDescent="0.2">
      <c r="A701" s="3">
        <v>697</v>
      </c>
      <c r="B701" s="19"/>
      <c r="C701" s="4" t="s">
        <v>5605</v>
      </c>
      <c r="D701" s="4" t="s">
        <v>4909</v>
      </c>
      <c r="E701" s="4" t="s">
        <v>271</v>
      </c>
      <c r="F701" s="8">
        <v>4</v>
      </c>
      <c r="G701" s="8">
        <v>4</v>
      </c>
      <c r="H701" s="8">
        <v>4</v>
      </c>
      <c r="I701" s="8"/>
      <c r="J701" s="8"/>
      <c r="K701" s="8">
        <v>4</v>
      </c>
      <c r="L701" s="18">
        <v>5350</v>
      </c>
      <c r="M701" s="7">
        <f t="shared" si="10"/>
        <v>21400</v>
      </c>
      <c r="N701" s="4"/>
      <c r="O701" s="9"/>
    </row>
    <row r="702" spans="1:15" ht="20" customHeight="1" x14ac:dyDescent="0.2">
      <c r="A702" s="3">
        <v>698</v>
      </c>
      <c r="B702" s="19"/>
      <c r="C702" s="4" t="s">
        <v>5606</v>
      </c>
      <c r="D702" s="4" t="s">
        <v>4909</v>
      </c>
      <c r="E702" s="4" t="s">
        <v>271</v>
      </c>
      <c r="F702" s="8">
        <v>550</v>
      </c>
      <c r="G702" s="8">
        <v>550</v>
      </c>
      <c r="H702" s="8">
        <v>550</v>
      </c>
      <c r="I702" s="8"/>
      <c r="J702" s="8"/>
      <c r="K702" s="8">
        <v>550</v>
      </c>
      <c r="L702" s="18">
        <v>3275</v>
      </c>
      <c r="M702" s="7">
        <f t="shared" si="10"/>
        <v>1801250</v>
      </c>
      <c r="N702" s="4"/>
      <c r="O702" s="9"/>
    </row>
    <row r="703" spans="1:15" ht="20" customHeight="1" x14ac:dyDescent="0.2">
      <c r="A703" s="3">
        <v>699</v>
      </c>
      <c r="B703" s="19"/>
      <c r="C703" s="4" t="s">
        <v>5607</v>
      </c>
      <c r="D703" s="4" t="s">
        <v>4909</v>
      </c>
      <c r="E703" s="4" t="s">
        <v>271</v>
      </c>
      <c r="F703" s="8">
        <v>1000</v>
      </c>
      <c r="G703" s="8">
        <v>1000</v>
      </c>
      <c r="H703" s="8">
        <v>1000</v>
      </c>
      <c r="I703" s="8"/>
      <c r="J703" s="8"/>
      <c r="K703" s="8">
        <v>1000</v>
      </c>
      <c r="L703" s="18">
        <v>3275</v>
      </c>
      <c r="M703" s="7">
        <f t="shared" si="10"/>
        <v>3275000</v>
      </c>
      <c r="N703" s="4"/>
      <c r="O703" s="9"/>
    </row>
    <row r="704" spans="1:15" ht="20" customHeight="1" x14ac:dyDescent="0.2">
      <c r="A704" s="3">
        <v>700</v>
      </c>
      <c r="B704" s="19"/>
      <c r="C704" s="4" t="s">
        <v>5608</v>
      </c>
      <c r="D704" s="4" t="s">
        <v>4909</v>
      </c>
      <c r="E704" s="4" t="s">
        <v>271</v>
      </c>
      <c r="F704" s="8">
        <v>50</v>
      </c>
      <c r="G704" s="8">
        <v>50</v>
      </c>
      <c r="H704" s="8">
        <v>50</v>
      </c>
      <c r="I704" s="8"/>
      <c r="J704" s="8"/>
      <c r="K704" s="8">
        <v>50</v>
      </c>
      <c r="L704" s="18">
        <v>3275</v>
      </c>
      <c r="M704" s="7">
        <f t="shared" si="10"/>
        <v>163750</v>
      </c>
      <c r="N704" s="4"/>
      <c r="O704" s="9"/>
    </row>
    <row r="705" spans="1:15" ht="20" customHeight="1" x14ac:dyDescent="0.2">
      <c r="A705" s="3">
        <v>701</v>
      </c>
      <c r="B705" s="19"/>
      <c r="C705" s="4" t="s">
        <v>5609</v>
      </c>
      <c r="D705" s="4" t="s">
        <v>4909</v>
      </c>
      <c r="E705" s="4" t="s">
        <v>271</v>
      </c>
      <c r="F705" s="8">
        <v>1600</v>
      </c>
      <c r="G705" s="8">
        <v>1600</v>
      </c>
      <c r="H705" s="8">
        <v>1600</v>
      </c>
      <c r="I705" s="8"/>
      <c r="J705" s="8"/>
      <c r="K705" s="8">
        <v>1600</v>
      </c>
      <c r="L705" s="18">
        <v>2000</v>
      </c>
      <c r="M705" s="7">
        <f t="shared" si="10"/>
        <v>3200000</v>
      </c>
      <c r="N705" s="4"/>
      <c r="O705" s="9"/>
    </row>
    <row r="706" spans="1:15" ht="20" customHeight="1" x14ac:dyDescent="0.2">
      <c r="A706" s="3">
        <v>702</v>
      </c>
      <c r="B706" s="19"/>
      <c r="C706" s="4" t="s">
        <v>5610</v>
      </c>
      <c r="D706" s="4" t="s">
        <v>4909</v>
      </c>
      <c r="E706" s="4" t="s">
        <v>271</v>
      </c>
      <c r="F706" s="8">
        <v>500</v>
      </c>
      <c r="G706" s="8">
        <v>500</v>
      </c>
      <c r="H706" s="8">
        <v>500</v>
      </c>
      <c r="I706" s="8"/>
      <c r="J706" s="8"/>
      <c r="K706" s="8">
        <v>500</v>
      </c>
      <c r="L706" s="18">
        <v>600</v>
      </c>
      <c r="M706" s="7">
        <f t="shared" si="10"/>
        <v>300000</v>
      </c>
      <c r="N706" s="4"/>
      <c r="O706" s="9"/>
    </row>
    <row r="707" spans="1:15" ht="20" customHeight="1" x14ac:dyDescent="0.2">
      <c r="A707" s="3">
        <v>703</v>
      </c>
      <c r="B707" s="19"/>
      <c r="C707" s="4" t="s">
        <v>5611</v>
      </c>
      <c r="D707" s="4" t="s">
        <v>4909</v>
      </c>
      <c r="E707" s="4" t="s">
        <v>271</v>
      </c>
      <c r="F707" s="8">
        <v>50</v>
      </c>
      <c r="G707" s="8">
        <v>50</v>
      </c>
      <c r="H707" s="8">
        <v>50</v>
      </c>
      <c r="I707" s="8"/>
      <c r="J707" s="8"/>
      <c r="K707" s="8">
        <v>50</v>
      </c>
      <c r="L707" s="18">
        <v>5000</v>
      </c>
      <c r="M707" s="7">
        <f t="shared" si="10"/>
        <v>250000</v>
      </c>
      <c r="N707" s="4"/>
      <c r="O707" s="9"/>
    </row>
    <row r="708" spans="1:15" ht="20" customHeight="1" x14ac:dyDescent="0.2">
      <c r="A708" s="3">
        <v>704</v>
      </c>
      <c r="B708" s="19"/>
      <c r="C708" s="4" t="s">
        <v>5612</v>
      </c>
      <c r="D708" s="4" t="s">
        <v>4909</v>
      </c>
      <c r="E708" s="4" t="s">
        <v>271</v>
      </c>
      <c r="F708" s="8">
        <v>10</v>
      </c>
      <c r="G708" s="8">
        <v>10</v>
      </c>
      <c r="H708" s="8">
        <v>10</v>
      </c>
      <c r="I708" s="8"/>
      <c r="J708" s="8"/>
      <c r="K708" s="8">
        <v>10</v>
      </c>
      <c r="L708" s="18">
        <v>5500</v>
      </c>
      <c r="M708" s="7">
        <f t="shared" si="10"/>
        <v>55000</v>
      </c>
      <c r="N708" s="4"/>
      <c r="O708" s="9"/>
    </row>
    <row r="709" spans="1:15" ht="20" customHeight="1" x14ac:dyDescent="0.2">
      <c r="A709" s="3">
        <v>705</v>
      </c>
      <c r="B709" s="19"/>
      <c r="C709" s="4" t="s">
        <v>5613</v>
      </c>
      <c r="D709" s="4" t="s">
        <v>4909</v>
      </c>
      <c r="E709" s="4" t="s">
        <v>271</v>
      </c>
      <c r="F709" s="8">
        <v>20</v>
      </c>
      <c r="G709" s="8">
        <v>20</v>
      </c>
      <c r="H709" s="8">
        <v>20</v>
      </c>
      <c r="I709" s="8"/>
      <c r="J709" s="8"/>
      <c r="K709" s="8">
        <v>20</v>
      </c>
      <c r="L709" s="18">
        <v>7000</v>
      </c>
      <c r="M709" s="7">
        <f t="shared" ref="M709:M772" si="11">IF(OR(K709="",L709=""),"",K709*L709)</f>
        <v>140000</v>
      </c>
      <c r="N709" s="4"/>
      <c r="O709" s="9"/>
    </row>
    <row r="710" spans="1:15" ht="20" customHeight="1" x14ac:dyDescent="0.2">
      <c r="A710" s="3">
        <v>706</v>
      </c>
      <c r="B710" s="19"/>
      <c r="C710" s="4" t="s">
        <v>5614</v>
      </c>
      <c r="D710" s="4" t="s">
        <v>4909</v>
      </c>
      <c r="E710" s="4" t="s">
        <v>271</v>
      </c>
      <c r="F710" s="8">
        <v>150</v>
      </c>
      <c r="G710" s="8">
        <v>150</v>
      </c>
      <c r="H710" s="8">
        <v>150</v>
      </c>
      <c r="I710" s="8"/>
      <c r="J710" s="8"/>
      <c r="K710" s="8">
        <v>150</v>
      </c>
      <c r="L710" s="18">
        <v>12000</v>
      </c>
      <c r="M710" s="7">
        <f t="shared" si="11"/>
        <v>1800000</v>
      </c>
      <c r="N710" s="4"/>
      <c r="O710" s="9"/>
    </row>
    <row r="711" spans="1:15" ht="20" customHeight="1" x14ac:dyDescent="0.2">
      <c r="A711" s="3">
        <v>707</v>
      </c>
      <c r="B711" s="19"/>
      <c r="C711" s="4" t="s">
        <v>5615</v>
      </c>
      <c r="D711" s="4" t="s">
        <v>4909</v>
      </c>
      <c r="E711" s="4" t="s">
        <v>271</v>
      </c>
      <c r="F711" s="8">
        <v>100</v>
      </c>
      <c r="G711" s="8">
        <v>100</v>
      </c>
      <c r="H711" s="8">
        <v>100</v>
      </c>
      <c r="I711" s="8"/>
      <c r="J711" s="8"/>
      <c r="K711" s="8">
        <v>100</v>
      </c>
      <c r="L711" s="18">
        <v>4250</v>
      </c>
      <c r="M711" s="7">
        <f t="shared" si="11"/>
        <v>425000</v>
      </c>
      <c r="N711" s="4"/>
      <c r="O711" s="9"/>
    </row>
    <row r="712" spans="1:15" ht="20" customHeight="1" x14ac:dyDescent="0.2">
      <c r="A712" s="3">
        <v>708</v>
      </c>
      <c r="B712" s="19"/>
      <c r="C712" s="4" t="s">
        <v>5616</v>
      </c>
      <c r="D712" s="4" t="s">
        <v>4909</v>
      </c>
      <c r="E712" s="4" t="s">
        <v>271</v>
      </c>
      <c r="F712" s="8">
        <v>100</v>
      </c>
      <c r="G712" s="8">
        <v>100</v>
      </c>
      <c r="H712" s="8">
        <v>100</v>
      </c>
      <c r="I712" s="8"/>
      <c r="J712" s="8"/>
      <c r="K712" s="8">
        <v>100</v>
      </c>
      <c r="L712" s="18">
        <v>2000</v>
      </c>
      <c r="M712" s="7">
        <f t="shared" si="11"/>
        <v>200000</v>
      </c>
      <c r="N712" s="4"/>
      <c r="O712" s="9"/>
    </row>
    <row r="713" spans="1:15" ht="20" customHeight="1" x14ac:dyDescent="0.2">
      <c r="A713" s="3">
        <v>709</v>
      </c>
      <c r="B713" s="19"/>
      <c r="C713" s="4" t="s">
        <v>5617</v>
      </c>
      <c r="D713" s="4" t="s">
        <v>4909</v>
      </c>
      <c r="E713" s="4" t="s">
        <v>271</v>
      </c>
      <c r="F713" s="8">
        <v>60</v>
      </c>
      <c r="G713" s="8">
        <v>60</v>
      </c>
      <c r="H713" s="8">
        <v>60</v>
      </c>
      <c r="I713" s="8"/>
      <c r="J713" s="8"/>
      <c r="K713" s="8">
        <v>60</v>
      </c>
      <c r="L713" s="18">
        <v>2000</v>
      </c>
      <c r="M713" s="7">
        <f t="shared" si="11"/>
        <v>120000</v>
      </c>
      <c r="N713" s="4"/>
      <c r="O713" s="9"/>
    </row>
    <row r="714" spans="1:15" ht="20" customHeight="1" x14ac:dyDescent="0.2">
      <c r="A714" s="3">
        <v>710</v>
      </c>
      <c r="B714" s="19"/>
      <c r="C714" s="4" t="s">
        <v>5618</v>
      </c>
      <c r="D714" s="4" t="s">
        <v>4909</v>
      </c>
      <c r="E714" s="4" t="s">
        <v>271</v>
      </c>
      <c r="F714" s="8">
        <v>6</v>
      </c>
      <c r="G714" s="8">
        <v>6</v>
      </c>
      <c r="H714" s="8">
        <v>6</v>
      </c>
      <c r="I714" s="8"/>
      <c r="J714" s="8"/>
      <c r="K714" s="8">
        <v>6</v>
      </c>
      <c r="L714" s="18">
        <v>10000</v>
      </c>
      <c r="M714" s="7">
        <f t="shared" si="11"/>
        <v>60000</v>
      </c>
      <c r="N714" s="4"/>
      <c r="O714" s="9"/>
    </row>
    <row r="715" spans="1:15" ht="20" customHeight="1" x14ac:dyDescent="0.2">
      <c r="A715" s="3">
        <v>711</v>
      </c>
      <c r="B715" s="19"/>
      <c r="C715" s="4" t="s">
        <v>5619</v>
      </c>
      <c r="D715" s="4" t="s">
        <v>4909</v>
      </c>
      <c r="E715" s="4" t="s">
        <v>271</v>
      </c>
      <c r="F715" s="8">
        <v>6</v>
      </c>
      <c r="G715" s="8">
        <v>6</v>
      </c>
      <c r="H715" s="8">
        <v>6</v>
      </c>
      <c r="I715" s="8"/>
      <c r="J715" s="8"/>
      <c r="K715" s="8">
        <v>6</v>
      </c>
      <c r="L715" s="18">
        <v>15000</v>
      </c>
      <c r="M715" s="7">
        <f t="shared" si="11"/>
        <v>90000</v>
      </c>
      <c r="N715" s="4"/>
      <c r="O715" s="9"/>
    </row>
    <row r="716" spans="1:15" ht="20" customHeight="1" x14ac:dyDescent="0.2">
      <c r="A716" s="3">
        <v>712</v>
      </c>
      <c r="B716" s="19"/>
      <c r="C716" s="4" t="s">
        <v>5620</v>
      </c>
      <c r="D716" s="4" t="s">
        <v>4909</v>
      </c>
      <c r="E716" s="4" t="s">
        <v>271</v>
      </c>
      <c r="F716" s="8">
        <v>2</v>
      </c>
      <c r="G716" s="8">
        <v>2</v>
      </c>
      <c r="H716" s="8">
        <v>2</v>
      </c>
      <c r="I716" s="8"/>
      <c r="J716" s="8"/>
      <c r="K716" s="8">
        <v>2</v>
      </c>
      <c r="L716" s="18">
        <v>20000</v>
      </c>
      <c r="M716" s="7">
        <f t="shared" si="11"/>
        <v>40000</v>
      </c>
      <c r="N716" s="4"/>
      <c r="O716" s="9"/>
    </row>
    <row r="717" spans="1:15" ht="20" customHeight="1" x14ac:dyDescent="0.2">
      <c r="A717" s="3">
        <v>713</v>
      </c>
      <c r="B717" s="19"/>
      <c r="C717" s="4" t="s">
        <v>5621</v>
      </c>
      <c r="D717" s="4" t="s">
        <v>4909</v>
      </c>
      <c r="E717" s="4" t="s">
        <v>271</v>
      </c>
      <c r="F717" s="8">
        <v>2</v>
      </c>
      <c r="G717" s="8">
        <v>2</v>
      </c>
      <c r="H717" s="8">
        <v>2</v>
      </c>
      <c r="I717" s="8"/>
      <c r="J717" s="8"/>
      <c r="K717" s="8">
        <v>2</v>
      </c>
      <c r="L717" s="18">
        <v>25000</v>
      </c>
      <c r="M717" s="7">
        <f t="shared" si="11"/>
        <v>50000</v>
      </c>
      <c r="N717" s="4"/>
      <c r="O717" s="9"/>
    </row>
    <row r="718" spans="1:15" ht="20" customHeight="1" x14ac:dyDescent="0.2">
      <c r="A718" s="3">
        <v>714</v>
      </c>
      <c r="B718" s="19"/>
      <c r="C718" s="4" t="s">
        <v>5622</v>
      </c>
      <c r="D718" s="4" t="s">
        <v>4909</v>
      </c>
      <c r="E718" s="4" t="s">
        <v>271</v>
      </c>
      <c r="F718" s="8">
        <v>96</v>
      </c>
      <c r="G718" s="8">
        <v>96</v>
      </c>
      <c r="H718" s="8">
        <v>96</v>
      </c>
      <c r="I718" s="8"/>
      <c r="J718" s="8"/>
      <c r="K718" s="8">
        <v>96</v>
      </c>
      <c r="L718" s="18">
        <v>2900</v>
      </c>
      <c r="M718" s="7">
        <f t="shared" si="11"/>
        <v>278400</v>
      </c>
      <c r="N718" s="4"/>
      <c r="O718" s="9"/>
    </row>
    <row r="719" spans="1:15" ht="20" customHeight="1" x14ac:dyDescent="0.2">
      <c r="A719" s="3">
        <v>715</v>
      </c>
      <c r="B719" s="19"/>
      <c r="C719" s="4" t="s">
        <v>5623</v>
      </c>
      <c r="D719" s="4" t="s">
        <v>4909</v>
      </c>
      <c r="E719" s="4" t="s">
        <v>271</v>
      </c>
      <c r="F719" s="8">
        <v>20</v>
      </c>
      <c r="G719" s="8">
        <v>20</v>
      </c>
      <c r="H719" s="8">
        <v>20</v>
      </c>
      <c r="I719" s="8"/>
      <c r="J719" s="8"/>
      <c r="K719" s="8">
        <v>20</v>
      </c>
      <c r="L719" s="18">
        <v>10200</v>
      </c>
      <c r="M719" s="7">
        <f t="shared" si="11"/>
        <v>204000</v>
      </c>
      <c r="N719" s="4"/>
      <c r="O719" s="9"/>
    </row>
    <row r="720" spans="1:15" ht="20" customHeight="1" x14ac:dyDescent="0.2">
      <c r="A720" s="3">
        <v>716</v>
      </c>
      <c r="B720" s="19"/>
      <c r="C720" s="4" t="s">
        <v>5624</v>
      </c>
      <c r="D720" s="4" t="s">
        <v>4909</v>
      </c>
      <c r="E720" s="4" t="s">
        <v>271</v>
      </c>
      <c r="F720" s="8">
        <v>10</v>
      </c>
      <c r="G720" s="8">
        <v>10</v>
      </c>
      <c r="H720" s="8">
        <v>10</v>
      </c>
      <c r="I720" s="8"/>
      <c r="J720" s="8"/>
      <c r="K720" s="8">
        <v>10</v>
      </c>
      <c r="L720" s="18">
        <v>20000</v>
      </c>
      <c r="M720" s="7">
        <f t="shared" si="11"/>
        <v>200000</v>
      </c>
      <c r="N720" s="4"/>
      <c r="O720" s="9"/>
    </row>
    <row r="721" spans="1:15" ht="20" customHeight="1" x14ac:dyDescent="0.2">
      <c r="A721" s="3">
        <v>717</v>
      </c>
      <c r="B721" s="19"/>
      <c r="C721" s="4" t="s">
        <v>5625</v>
      </c>
      <c r="D721" s="4" t="s">
        <v>4909</v>
      </c>
      <c r="E721" s="4" t="s">
        <v>271</v>
      </c>
      <c r="F721" s="8">
        <v>20</v>
      </c>
      <c r="G721" s="8">
        <v>20</v>
      </c>
      <c r="H721" s="8">
        <v>20</v>
      </c>
      <c r="I721" s="8"/>
      <c r="J721" s="8"/>
      <c r="K721" s="8">
        <v>20</v>
      </c>
      <c r="L721" s="18">
        <v>4000</v>
      </c>
      <c r="M721" s="7">
        <f t="shared" si="11"/>
        <v>80000</v>
      </c>
      <c r="N721" s="4"/>
      <c r="O721" s="9"/>
    </row>
    <row r="722" spans="1:15" ht="20" customHeight="1" x14ac:dyDescent="0.2">
      <c r="A722" s="3">
        <v>718</v>
      </c>
      <c r="B722" s="19"/>
      <c r="C722" s="4" t="s">
        <v>5626</v>
      </c>
      <c r="D722" s="4" t="s">
        <v>4909</v>
      </c>
      <c r="E722" s="4" t="s">
        <v>271</v>
      </c>
      <c r="F722" s="8">
        <v>10</v>
      </c>
      <c r="G722" s="8">
        <v>10</v>
      </c>
      <c r="H722" s="8">
        <v>10</v>
      </c>
      <c r="I722" s="8"/>
      <c r="J722" s="8"/>
      <c r="K722" s="8">
        <v>10</v>
      </c>
      <c r="L722" s="18">
        <v>13500</v>
      </c>
      <c r="M722" s="7">
        <f t="shared" si="11"/>
        <v>135000</v>
      </c>
      <c r="N722" s="4"/>
      <c r="O722" s="9"/>
    </row>
    <row r="723" spans="1:15" ht="20" customHeight="1" x14ac:dyDescent="0.2">
      <c r="A723" s="3">
        <v>719</v>
      </c>
      <c r="B723" s="19"/>
      <c r="C723" s="4" t="s">
        <v>5627</v>
      </c>
      <c r="D723" s="4" t="s">
        <v>4909</v>
      </c>
      <c r="E723" s="4" t="s">
        <v>271</v>
      </c>
      <c r="F723" s="8">
        <v>40</v>
      </c>
      <c r="G723" s="8">
        <v>40</v>
      </c>
      <c r="H723" s="8">
        <v>40</v>
      </c>
      <c r="I723" s="8"/>
      <c r="J723" s="8"/>
      <c r="K723" s="8">
        <v>40</v>
      </c>
      <c r="L723" s="18">
        <v>4750</v>
      </c>
      <c r="M723" s="7">
        <f t="shared" si="11"/>
        <v>190000</v>
      </c>
      <c r="N723" s="4"/>
      <c r="O723" s="9"/>
    </row>
    <row r="724" spans="1:15" ht="20" customHeight="1" x14ac:dyDescent="0.2">
      <c r="A724" s="3">
        <v>720</v>
      </c>
      <c r="B724" s="19"/>
      <c r="C724" s="4" t="s">
        <v>5628</v>
      </c>
      <c r="D724" s="4" t="s">
        <v>4909</v>
      </c>
      <c r="E724" s="4" t="s">
        <v>271</v>
      </c>
      <c r="F724" s="8">
        <v>10</v>
      </c>
      <c r="G724" s="8">
        <v>10</v>
      </c>
      <c r="H724" s="8">
        <v>10</v>
      </c>
      <c r="I724" s="8"/>
      <c r="J724" s="8"/>
      <c r="K724" s="8">
        <v>10</v>
      </c>
      <c r="L724" s="18">
        <v>1500</v>
      </c>
      <c r="M724" s="7">
        <f t="shared" si="11"/>
        <v>15000</v>
      </c>
      <c r="N724" s="4"/>
      <c r="O724" s="9"/>
    </row>
    <row r="725" spans="1:15" ht="20" customHeight="1" x14ac:dyDescent="0.2">
      <c r="A725" s="3">
        <v>721</v>
      </c>
      <c r="B725" s="19"/>
      <c r="C725" s="4" t="s">
        <v>5629</v>
      </c>
      <c r="D725" s="4" t="s">
        <v>4909</v>
      </c>
      <c r="E725" s="4" t="s">
        <v>271</v>
      </c>
      <c r="F725" s="8">
        <v>4</v>
      </c>
      <c r="G725" s="8">
        <v>4</v>
      </c>
      <c r="H725" s="8">
        <v>4</v>
      </c>
      <c r="I725" s="8"/>
      <c r="J725" s="8"/>
      <c r="K725" s="8">
        <v>4</v>
      </c>
      <c r="L725" s="18">
        <v>8000</v>
      </c>
      <c r="M725" s="7">
        <f t="shared" si="11"/>
        <v>32000</v>
      </c>
      <c r="N725" s="4"/>
      <c r="O725" s="9"/>
    </row>
    <row r="726" spans="1:15" ht="20" customHeight="1" x14ac:dyDescent="0.2">
      <c r="A726" s="3">
        <v>722</v>
      </c>
      <c r="B726" s="19"/>
      <c r="C726" s="4" t="s">
        <v>5630</v>
      </c>
      <c r="D726" s="4" t="s">
        <v>4909</v>
      </c>
      <c r="E726" s="4" t="s">
        <v>271</v>
      </c>
      <c r="F726" s="8">
        <v>2</v>
      </c>
      <c r="G726" s="8">
        <v>2</v>
      </c>
      <c r="H726" s="8">
        <v>2</v>
      </c>
      <c r="I726" s="8"/>
      <c r="J726" s="8"/>
      <c r="K726" s="8">
        <v>2</v>
      </c>
      <c r="L726" s="18">
        <v>8000</v>
      </c>
      <c r="M726" s="7">
        <f t="shared" si="11"/>
        <v>16000</v>
      </c>
      <c r="N726" s="4"/>
      <c r="O726" s="9"/>
    </row>
    <row r="727" spans="1:15" ht="20" customHeight="1" x14ac:dyDescent="0.2">
      <c r="A727" s="3">
        <v>723</v>
      </c>
      <c r="B727" s="19"/>
      <c r="C727" s="4" t="s">
        <v>5631</v>
      </c>
      <c r="D727" s="4" t="s">
        <v>4909</v>
      </c>
      <c r="E727" s="4" t="s">
        <v>271</v>
      </c>
      <c r="F727" s="8">
        <v>40</v>
      </c>
      <c r="G727" s="8">
        <v>40</v>
      </c>
      <c r="H727" s="8">
        <v>40</v>
      </c>
      <c r="I727" s="8"/>
      <c r="J727" s="8"/>
      <c r="K727" s="8">
        <v>40</v>
      </c>
      <c r="L727" s="18">
        <v>2500</v>
      </c>
      <c r="M727" s="7">
        <f t="shared" si="11"/>
        <v>100000</v>
      </c>
      <c r="N727" s="4"/>
      <c r="O727" s="9"/>
    </row>
    <row r="728" spans="1:15" ht="20" customHeight="1" x14ac:dyDescent="0.2">
      <c r="A728" s="3">
        <v>724</v>
      </c>
      <c r="B728" s="19"/>
      <c r="C728" s="4" t="s">
        <v>5632</v>
      </c>
      <c r="D728" s="4" t="s">
        <v>4909</v>
      </c>
      <c r="E728" s="4" t="s">
        <v>271</v>
      </c>
      <c r="F728" s="8">
        <v>2</v>
      </c>
      <c r="G728" s="8">
        <v>2</v>
      </c>
      <c r="H728" s="8">
        <v>2</v>
      </c>
      <c r="I728" s="8"/>
      <c r="J728" s="8"/>
      <c r="K728" s="8">
        <v>2</v>
      </c>
      <c r="L728" s="18">
        <v>6000</v>
      </c>
      <c r="M728" s="7">
        <f t="shared" si="11"/>
        <v>12000</v>
      </c>
      <c r="N728" s="4"/>
      <c r="O728" s="9"/>
    </row>
    <row r="729" spans="1:15" ht="20" customHeight="1" x14ac:dyDescent="0.2">
      <c r="A729" s="3">
        <v>725</v>
      </c>
      <c r="B729" s="19"/>
      <c r="C729" s="4" t="s">
        <v>5633</v>
      </c>
      <c r="D729" s="4" t="s">
        <v>4909</v>
      </c>
      <c r="E729" s="4" t="s">
        <v>271</v>
      </c>
      <c r="F729" s="8">
        <v>2</v>
      </c>
      <c r="G729" s="8">
        <v>2</v>
      </c>
      <c r="H729" s="8">
        <v>2</v>
      </c>
      <c r="I729" s="8"/>
      <c r="J729" s="8"/>
      <c r="K729" s="8">
        <v>2</v>
      </c>
      <c r="L729" s="18">
        <v>7000</v>
      </c>
      <c r="M729" s="7">
        <f t="shared" si="11"/>
        <v>14000</v>
      </c>
      <c r="N729" s="4"/>
      <c r="O729" s="9"/>
    </row>
    <row r="730" spans="1:15" ht="20" customHeight="1" x14ac:dyDescent="0.2">
      <c r="A730" s="3">
        <v>726</v>
      </c>
      <c r="B730" s="19"/>
      <c r="C730" s="4" t="s">
        <v>5634</v>
      </c>
      <c r="D730" s="4" t="s">
        <v>4909</v>
      </c>
      <c r="E730" s="4" t="s">
        <v>271</v>
      </c>
      <c r="F730" s="8">
        <v>2</v>
      </c>
      <c r="G730" s="8">
        <v>2</v>
      </c>
      <c r="H730" s="8">
        <v>2</v>
      </c>
      <c r="I730" s="8"/>
      <c r="J730" s="8"/>
      <c r="K730" s="8">
        <v>2</v>
      </c>
      <c r="L730" s="18">
        <v>11500</v>
      </c>
      <c r="M730" s="7">
        <f t="shared" si="11"/>
        <v>23000</v>
      </c>
      <c r="N730" s="4"/>
      <c r="O730" s="9"/>
    </row>
    <row r="731" spans="1:15" ht="20" customHeight="1" x14ac:dyDescent="0.2">
      <c r="A731" s="3">
        <v>727</v>
      </c>
      <c r="B731" s="19"/>
      <c r="C731" s="4" t="s">
        <v>5635</v>
      </c>
      <c r="D731" s="4" t="s">
        <v>4909</v>
      </c>
      <c r="E731" s="4" t="s">
        <v>271</v>
      </c>
      <c r="F731" s="8">
        <v>8</v>
      </c>
      <c r="G731" s="8">
        <v>8</v>
      </c>
      <c r="H731" s="8">
        <v>8</v>
      </c>
      <c r="I731" s="8"/>
      <c r="J731" s="8"/>
      <c r="K731" s="8">
        <v>8</v>
      </c>
      <c r="L731" s="18">
        <v>3500</v>
      </c>
      <c r="M731" s="7">
        <f t="shared" si="11"/>
        <v>28000</v>
      </c>
      <c r="N731" s="4"/>
      <c r="O731" s="9"/>
    </row>
    <row r="732" spans="1:15" ht="20" customHeight="1" x14ac:dyDescent="0.2">
      <c r="A732" s="3">
        <v>728</v>
      </c>
      <c r="B732" s="19"/>
      <c r="C732" s="4" t="s">
        <v>5636</v>
      </c>
      <c r="D732" s="4" t="s">
        <v>4909</v>
      </c>
      <c r="E732" s="4" t="s">
        <v>271</v>
      </c>
      <c r="F732" s="8">
        <v>10</v>
      </c>
      <c r="G732" s="8">
        <v>10</v>
      </c>
      <c r="H732" s="8">
        <v>10</v>
      </c>
      <c r="I732" s="8"/>
      <c r="J732" s="8"/>
      <c r="K732" s="8">
        <v>10</v>
      </c>
      <c r="L732" s="18">
        <v>7500</v>
      </c>
      <c r="M732" s="7">
        <f t="shared" si="11"/>
        <v>75000</v>
      </c>
      <c r="N732" s="4"/>
      <c r="O732" s="9"/>
    </row>
    <row r="733" spans="1:15" ht="20" customHeight="1" x14ac:dyDescent="0.2">
      <c r="A733" s="3">
        <v>729</v>
      </c>
      <c r="B733" s="19"/>
      <c r="C733" s="4" t="s">
        <v>5637</v>
      </c>
      <c r="D733" s="4" t="s">
        <v>4909</v>
      </c>
      <c r="E733" s="4" t="s">
        <v>271</v>
      </c>
      <c r="F733" s="8">
        <v>50</v>
      </c>
      <c r="G733" s="8">
        <v>50</v>
      </c>
      <c r="H733" s="8">
        <v>50</v>
      </c>
      <c r="I733" s="8"/>
      <c r="J733" s="8"/>
      <c r="K733" s="8">
        <v>50</v>
      </c>
      <c r="L733" s="18">
        <v>2800</v>
      </c>
      <c r="M733" s="7">
        <f t="shared" si="11"/>
        <v>140000</v>
      </c>
      <c r="N733" s="4"/>
      <c r="O733" s="9"/>
    </row>
    <row r="734" spans="1:15" ht="20" customHeight="1" x14ac:dyDescent="0.2">
      <c r="A734" s="3">
        <v>730</v>
      </c>
      <c r="B734" s="19"/>
      <c r="C734" s="4" t="s">
        <v>5638</v>
      </c>
      <c r="D734" s="4" t="s">
        <v>4909</v>
      </c>
      <c r="E734" s="4" t="s">
        <v>271</v>
      </c>
      <c r="F734" s="8">
        <v>50</v>
      </c>
      <c r="G734" s="8">
        <v>50</v>
      </c>
      <c r="H734" s="8">
        <v>50</v>
      </c>
      <c r="I734" s="8"/>
      <c r="J734" s="8"/>
      <c r="K734" s="8">
        <v>50</v>
      </c>
      <c r="L734" s="18">
        <v>2800</v>
      </c>
      <c r="M734" s="7">
        <f t="shared" si="11"/>
        <v>140000</v>
      </c>
      <c r="N734" s="4"/>
      <c r="O734" s="9"/>
    </row>
    <row r="735" spans="1:15" ht="20" customHeight="1" x14ac:dyDescent="0.2">
      <c r="A735" s="3">
        <v>731</v>
      </c>
      <c r="B735" s="19"/>
      <c r="C735" s="4" t="s">
        <v>5639</v>
      </c>
      <c r="D735" s="4" t="s">
        <v>4909</v>
      </c>
      <c r="E735" s="4" t="s">
        <v>271</v>
      </c>
      <c r="F735" s="8">
        <v>120</v>
      </c>
      <c r="G735" s="8">
        <v>120</v>
      </c>
      <c r="H735" s="8">
        <v>120</v>
      </c>
      <c r="I735" s="8"/>
      <c r="J735" s="8"/>
      <c r="K735" s="8">
        <v>120</v>
      </c>
      <c r="L735" s="18">
        <v>4300</v>
      </c>
      <c r="M735" s="7">
        <f t="shared" si="11"/>
        <v>516000</v>
      </c>
      <c r="N735" s="4"/>
      <c r="O735" s="9"/>
    </row>
    <row r="736" spans="1:15" ht="20" customHeight="1" x14ac:dyDescent="0.2">
      <c r="A736" s="3">
        <v>732</v>
      </c>
      <c r="B736" s="19"/>
      <c r="C736" s="4" t="s">
        <v>5640</v>
      </c>
      <c r="D736" s="4" t="s">
        <v>4909</v>
      </c>
      <c r="E736" s="4" t="s">
        <v>271</v>
      </c>
      <c r="F736" s="8">
        <v>15</v>
      </c>
      <c r="G736" s="8">
        <v>15</v>
      </c>
      <c r="H736" s="8">
        <v>15</v>
      </c>
      <c r="I736" s="8"/>
      <c r="J736" s="8"/>
      <c r="K736" s="8">
        <v>15</v>
      </c>
      <c r="L736" s="18">
        <v>10000</v>
      </c>
      <c r="M736" s="7">
        <f t="shared" si="11"/>
        <v>150000</v>
      </c>
      <c r="N736" s="4"/>
      <c r="O736" s="9"/>
    </row>
    <row r="737" spans="1:15" ht="20" customHeight="1" x14ac:dyDescent="0.2">
      <c r="A737" s="3">
        <v>733</v>
      </c>
      <c r="B737" s="19"/>
      <c r="C737" s="4" t="s">
        <v>5641</v>
      </c>
      <c r="D737" s="4" t="s">
        <v>4909</v>
      </c>
      <c r="E737" s="4" t="s">
        <v>271</v>
      </c>
      <c r="F737" s="8">
        <v>15</v>
      </c>
      <c r="G737" s="8">
        <v>15</v>
      </c>
      <c r="H737" s="8">
        <v>15</v>
      </c>
      <c r="I737" s="8"/>
      <c r="J737" s="8"/>
      <c r="K737" s="8">
        <v>15</v>
      </c>
      <c r="L737" s="18">
        <v>15500</v>
      </c>
      <c r="M737" s="7">
        <f t="shared" si="11"/>
        <v>232500</v>
      </c>
      <c r="N737" s="4"/>
      <c r="O737" s="9"/>
    </row>
    <row r="738" spans="1:15" ht="20" customHeight="1" x14ac:dyDescent="0.2">
      <c r="A738" s="3">
        <v>734</v>
      </c>
      <c r="B738" s="19"/>
      <c r="C738" s="4" t="s">
        <v>5642</v>
      </c>
      <c r="D738" s="4" t="s">
        <v>4909</v>
      </c>
      <c r="E738" s="4" t="s">
        <v>271</v>
      </c>
      <c r="F738" s="8">
        <v>2</v>
      </c>
      <c r="G738" s="8">
        <v>2</v>
      </c>
      <c r="H738" s="8">
        <v>2</v>
      </c>
      <c r="I738" s="8"/>
      <c r="J738" s="8"/>
      <c r="K738" s="8">
        <v>2</v>
      </c>
      <c r="L738" s="18">
        <v>35500</v>
      </c>
      <c r="M738" s="7">
        <f t="shared" si="11"/>
        <v>71000</v>
      </c>
      <c r="N738" s="4"/>
      <c r="O738" s="9"/>
    </row>
    <row r="739" spans="1:15" ht="20" customHeight="1" x14ac:dyDescent="0.2">
      <c r="A739" s="3">
        <v>735</v>
      </c>
      <c r="B739" s="19"/>
      <c r="C739" s="4" t="s">
        <v>5643</v>
      </c>
      <c r="D739" s="4" t="s">
        <v>4909</v>
      </c>
      <c r="E739" s="4" t="s">
        <v>271</v>
      </c>
      <c r="F739" s="8">
        <v>4</v>
      </c>
      <c r="G739" s="8">
        <v>4</v>
      </c>
      <c r="H739" s="8">
        <v>4</v>
      </c>
      <c r="I739" s="8"/>
      <c r="J739" s="8"/>
      <c r="K739" s="8">
        <v>4</v>
      </c>
      <c r="L739" s="18">
        <v>8500</v>
      </c>
      <c r="M739" s="7">
        <f t="shared" si="11"/>
        <v>34000</v>
      </c>
      <c r="N739" s="4"/>
      <c r="O739" s="9"/>
    </row>
    <row r="740" spans="1:15" ht="20" customHeight="1" x14ac:dyDescent="0.2">
      <c r="A740" s="3">
        <v>736</v>
      </c>
      <c r="B740" s="19"/>
      <c r="C740" s="4" t="s">
        <v>5644</v>
      </c>
      <c r="D740" s="4" t="s">
        <v>4909</v>
      </c>
      <c r="E740" s="4" t="s">
        <v>271</v>
      </c>
      <c r="F740" s="8">
        <v>4</v>
      </c>
      <c r="G740" s="8">
        <v>4</v>
      </c>
      <c r="H740" s="8">
        <v>4</v>
      </c>
      <c r="I740" s="8"/>
      <c r="J740" s="8"/>
      <c r="K740" s="8">
        <v>4</v>
      </c>
      <c r="L740" s="18">
        <v>12500</v>
      </c>
      <c r="M740" s="7">
        <f t="shared" si="11"/>
        <v>50000</v>
      </c>
      <c r="N740" s="4"/>
      <c r="O740" s="9"/>
    </row>
    <row r="741" spans="1:15" ht="20" customHeight="1" x14ac:dyDescent="0.2">
      <c r="A741" s="3">
        <v>737</v>
      </c>
      <c r="B741" s="19"/>
      <c r="C741" s="4" t="s">
        <v>5645</v>
      </c>
      <c r="D741" s="4" t="s">
        <v>4909</v>
      </c>
      <c r="E741" s="4" t="s">
        <v>271</v>
      </c>
      <c r="F741" s="8">
        <v>100</v>
      </c>
      <c r="G741" s="8">
        <v>100</v>
      </c>
      <c r="H741" s="8">
        <v>100</v>
      </c>
      <c r="I741" s="8"/>
      <c r="J741" s="8"/>
      <c r="K741" s="8">
        <v>100</v>
      </c>
      <c r="L741" s="18">
        <v>3275</v>
      </c>
      <c r="M741" s="7">
        <f t="shared" si="11"/>
        <v>327500</v>
      </c>
      <c r="N741" s="4"/>
      <c r="O741" s="9"/>
    </row>
    <row r="742" spans="1:15" ht="20" customHeight="1" x14ac:dyDescent="0.2">
      <c r="A742" s="3">
        <v>738</v>
      </c>
      <c r="B742" s="19"/>
      <c r="C742" s="4" t="s">
        <v>5646</v>
      </c>
      <c r="D742" s="4" t="s">
        <v>4909</v>
      </c>
      <c r="E742" s="4" t="s">
        <v>271</v>
      </c>
      <c r="F742" s="8">
        <v>20</v>
      </c>
      <c r="G742" s="8">
        <v>20</v>
      </c>
      <c r="H742" s="8">
        <v>20</v>
      </c>
      <c r="I742" s="8"/>
      <c r="J742" s="8"/>
      <c r="K742" s="8">
        <v>20</v>
      </c>
      <c r="L742" s="18">
        <v>3275</v>
      </c>
      <c r="M742" s="7">
        <f t="shared" si="11"/>
        <v>65500</v>
      </c>
      <c r="N742" s="4"/>
      <c r="O742" s="9"/>
    </row>
    <row r="743" spans="1:15" ht="20" customHeight="1" x14ac:dyDescent="0.2">
      <c r="A743" s="3">
        <v>739</v>
      </c>
      <c r="B743" s="19"/>
      <c r="C743" s="4" t="s">
        <v>5647</v>
      </c>
      <c r="D743" s="4" t="s">
        <v>4909</v>
      </c>
      <c r="E743" s="4" t="s">
        <v>271</v>
      </c>
      <c r="F743" s="8">
        <v>20</v>
      </c>
      <c r="G743" s="8">
        <v>20</v>
      </c>
      <c r="H743" s="8">
        <v>20</v>
      </c>
      <c r="I743" s="8"/>
      <c r="J743" s="8"/>
      <c r="K743" s="8">
        <v>20</v>
      </c>
      <c r="L743" s="18">
        <v>3275</v>
      </c>
      <c r="M743" s="7">
        <f t="shared" si="11"/>
        <v>65500</v>
      </c>
      <c r="N743" s="4"/>
      <c r="O743" s="9"/>
    </row>
    <row r="744" spans="1:15" ht="20" customHeight="1" x14ac:dyDescent="0.2">
      <c r="A744" s="3">
        <v>740</v>
      </c>
      <c r="B744" s="19"/>
      <c r="C744" s="4" t="s">
        <v>5648</v>
      </c>
      <c r="D744" s="4" t="s">
        <v>4909</v>
      </c>
      <c r="E744" s="4" t="s">
        <v>271</v>
      </c>
      <c r="F744" s="8">
        <v>100</v>
      </c>
      <c r="G744" s="8">
        <v>100</v>
      </c>
      <c r="H744" s="8">
        <v>100</v>
      </c>
      <c r="I744" s="8"/>
      <c r="J744" s="8"/>
      <c r="K744" s="8">
        <v>100</v>
      </c>
      <c r="L744" s="18">
        <v>3275</v>
      </c>
      <c r="M744" s="7">
        <f t="shared" si="11"/>
        <v>327500</v>
      </c>
      <c r="N744" s="4"/>
      <c r="O744" s="9"/>
    </row>
    <row r="745" spans="1:15" ht="20" customHeight="1" x14ac:dyDescent="0.2">
      <c r="A745" s="3">
        <v>741</v>
      </c>
      <c r="B745" s="19"/>
      <c r="C745" s="4" t="s">
        <v>5649</v>
      </c>
      <c r="D745" s="4" t="s">
        <v>4909</v>
      </c>
      <c r="E745" s="4" t="s">
        <v>271</v>
      </c>
      <c r="F745" s="8">
        <v>20</v>
      </c>
      <c r="G745" s="8">
        <v>20</v>
      </c>
      <c r="H745" s="8">
        <v>20</v>
      </c>
      <c r="I745" s="8"/>
      <c r="J745" s="8"/>
      <c r="K745" s="8">
        <v>20</v>
      </c>
      <c r="L745" s="18">
        <v>3275</v>
      </c>
      <c r="M745" s="7">
        <f t="shared" si="11"/>
        <v>65500</v>
      </c>
      <c r="N745" s="4"/>
      <c r="O745" s="9"/>
    </row>
    <row r="746" spans="1:15" ht="20" customHeight="1" x14ac:dyDescent="0.2">
      <c r="A746" s="3">
        <v>742</v>
      </c>
      <c r="B746" s="19"/>
      <c r="C746" s="4" t="s">
        <v>5650</v>
      </c>
      <c r="D746" s="4" t="s">
        <v>4909</v>
      </c>
      <c r="E746" s="4" t="s">
        <v>271</v>
      </c>
      <c r="F746" s="8">
        <v>20</v>
      </c>
      <c r="G746" s="8">
        <v>20</v>
      </c>
      <c r="H746" s="8">
        <v>20</v>
      </c>
      <c r="I746" s="8"/>
      <c r="J746" s="8"/>
      <c r="K746" s="8">
        <v>20</v>
      </c>
      <c r="L746" s="18">
        <v>3275</v>
      </c>
      <c r="M746" s="7">
        <f t="shared" si="11"/>
        <v>65500</v>
      </c>
      <c r="N746" s="4"/>
      <c r="O746" s="9"/>
    </row>
    <row r="747" spans="1:15" ht="20" customHeight="1" x14ac:dyDescent="0.2">
      <c r="A747" s="3">
        <v>743</v>
      </c>
      <c r="B747" s="19"/>
      <c r="C747" s="4" t="s">
        <v>5651</v>
      </c>
      <c r="D747" s="4" t="s">
        <v>4909</v>
      </c>
      <c r="E747" s="4" t="s">
        <v>271</v>
      </c>
      <c r="F747" s="8">
        <v>280</v>
      </c>
      <c r="G747" s="8">
        <v>280</v>
      </c>
      <c r="H747" s="8">
        <v>280</v>
      </c>
      <c r="I747" s="8"/>
      <c r="J747" s="8"/>
      <c r="K747" s="8">
        <v>280</v>
      </c>
      <c r="L747" s="18">
        <v>2000</v>
      </c>
      <c r="M747" s="7">
        <f t="shared" si="11"/>
        <v>560000</v>
      </c>
      <c r="N747" s="4"/>
      <c r="O747" s="9"/>
    </row>
    <row r="748" spans="1:15" ht="20" customHeight="1" x14ac:dyDescent="0.2">
      <c r="A748" s="3">
        <v>744</v>
      </c>
      <c r="B748" s="19"/>
      <c r="C748" s="4" t="s">
        <v>5652</v>
      </c>
      <c r="D748" s="4" t="s">
        <v>4909</v>
      </c>
      <c r="E748" s="4" t="s">
        <v>271</v>
      </c>
      <c r="F748" s="8">
        <v>60</v>
      </c>
      <c r="G748" s="8">
        <v>60</v>
      </c>
      <c r="H748" s="8">
        <v>60</v>
      </c>
      <c r="I748" s="8"/>
      <c r="J748" s="8"/>
      <c r="K748" s="8">
        <v>60</v>
      </c>
      <c r="L748" s="18">
        <v>600</v>
      </c>
      <c r="M748" s="7">
        <f t="shared" si="11"/>
        <v>36000</v>
      </c>
      <c r="N748" s="4"/>
      <c r="O748" s="9"/>
    </row>
    <row r="749" spans="1:15" ht="20" customHeight="1" x14ac:dyDescent="0.2">
      <c r="A749" s="3">
        <v>745</v>
      </c>
      <c r="B749" s="19"/>
      <c r="C749" s="4" t="s">
        <v>5653</v>
      </c>
      <c r="D749" s="4" t="s">
        <v>4909</v>
      </c>
      <c r="E749" s="4" t="s">
        <v>271</v>
      </c>
      <c r="F749" s="8">
        <v>10</v>
      </c>
      <c r="G749" s="8">
        <v>10</v>
      </c>
      <c r="H749" s="8">
        <v>10</v>
      </c>
      <c r="I749" s="8"/>
      <c r="J749" s="8"/>
      <c r="K749" s="8">
        <v>10</v>
      </c>
      <c r="L749" s="18">
        <v>5000</v>
      </c>
      <c r="M749" s="7">
        <f t="shared" si="11"/>
        <v>50000</v>
      </c>
      <c r="N749" s="4"/>
      <c r="O749" s="9"/>
    </row>
    <row r="750" spans="1:15" ht="20" customHeight="1" x14ac:dyDescent="0.2">
      <c r="A750" s="3">
        <v>746</v>
      </c>
      <c r="B750" s="19"/>
      <c r="C750" s="4" t="s">
        <v>5654</v>
      </c>
      <c r="D750" s="4" t="s">
        <v>4909</v>
      </c>
      <c r="E750" s="4" t="s">
        <v>271</v>
      </c>
      <c r="F750" s="8">
        <v>10</v>
      </c>
      <c r="G750" s="8">
        <v>10</v>
      </c>
      <c r="H750" s="8">
        <v>10</v>
      </c>
      <c r="I750" s="8"/>
      <c r="J750" s="8"/>
      <c r="K750" s="8">
        <v>10</v>
      </c>
      <c r="L750" s="18">
        <v>20000</v>
      </c>
      <c r="M750" s="7">
        <f t="shared" si="11"/>
        <v>200000</v>
      </c>
      <c r="N750" s="4"/>
      <c r="O750" s="9"/>
    </row>
    <row r="751" spans="1:15" ht="20" customHeight="1" x14ac:dyDescent="0.2">
      <c r="A751" s="3">
        <v>747</v>
      </c>
      <c r="B751" s="19"/>
      <c r="C751" s="4" t="s">
        <v>5655</v>
      </c>
      <c r="D751" s="4" t="s">
        <v>4909</v>
      </c>
      <c r="E751" s="4" t="s">
        <v>271</v>
      </c>
      <c r="F751" s="8">
        <v>30</v>
      </c>
      <c r="G751" s="8">
        <v>30</v>
      </c>
      <c r="H751" s="8">
        <v>30</v>
      </c>
      <c r="I751" s="8"/>
      <c r="J751" s="8"/>
      <c r="K751" s="8">
        <v>30</v>
      </c>
      <c r="L751" s="18">
        <v>2000</v>
      </c>
      <c r="M751" s="7">
        <f t="shared" si="11"/>
        <v>60000</v>
      </c>
      <c r="N751" s="4"/>
      <c r="O751" s="9"/>
    </row>
    <row r="752" spans="1:15" ht="20" customHeight="1" x14ac:dyDescent="0.2">
      <c r="A752" s="3">
        <v>748</v>
      </c>
      <c r="B752" s="19"/>
      <c r="C752" s="4" t="s">
        <v>5656</v>
      </c>
      <c r="D752" s="4" t="s">
        <v>4909</v>
      </c>
      <c r="E752" s="4" t="s">
        <v>271</v>
      </c>
      <c r="F752" s="8">
        <v>20</v>
      </c>
      <c r="G752" s="8">
        <v>20</v>
      </c>
      <c r="H752" s="8">
        <v>20</v>
      </c>
      <c r="I752" s="8"/>
      <c r="J752" s="8"/>
      <c r="K752" s="8">
        <v>20</v>
      </c>
      <c r="L752" s="18">
        <v>14500</v>
      </c>
      <c r="M752" s="7">
        <f t="shared" si="11"/>
        <v>290000</v>
      </c>
      <c r="N752" s="4"/>
      <c r="O752" s="9"/>
    </row>
    <row r="753" spans="1:15" ht="20" customHeight="1" x14ac:dyDescent="0.2">
      <c r="A753" s="3">
        <v>749</v>
      </c>
      <c r="B753" s="19"/>
      <c r="C753" s="4" t="s">
        <v>5657</v>
      </c>
      <c r="D753" s="4" t="s">
        <v>4909</v>
      </c>
      <c r="E753" s="4" t="s">
        <v>271</v>
      </c>
      <c r="F753" s="8">
        <v>10</v>
      </c>
      <c r="G753" s="8">
        <v>10</v>
      </c>
      <c r="H753" s="8">
        <v>10</v>
      </c>
      <c r="I753" s="8"/>
      <c r="J753" s="8"/>
      <c r="K753" s="8">
        <v>10</v>
      </c>
      <c r="L753" s="18">
        <v>14500</v>
      </c>
      <c r="M753" s="7">
        <f t="shared" si="11"/>
        <v>145000</v>
      </c>
      <c r="N753" s="4"/>
      <c r="O753" s="9"/>
    </row>
    <row r="754" spans="1:15" ht="20" customHeight="1" x14ac:dyDescent="0.2">
      <c r="A754" s="3">
        <v>750</v>
      </c>
      <c r="B754" s="19"/>
      <c r="C754" s="4" t="s">
        <v>5658</v>
      </c>
      <c r="D754" s="4" t="s">
        <v>4909</v>
      </c>
      <c r="E754" s="4" t="s">
        <v>271</v>
      </c>
      <c r="F754" s="8">
        <v>10</v>
      </c>
      <c r="G754" s="8">
        <v>10</v>
      </c>
      <c r="H754" s="8">
        <v>10</v>
      </c>
      <c r="I754" s="8"/>
      <c r="J754" s="8"/>
      <c r="K754" s="8">
        <v>10</v>
      </c>
      <c r="L754" s="18">
        <v>14500</v>
      </c>
      <c r="M754" s="7">
        <f t="shared" si="11"/>
        <v>145000</v>
      </c>
      <c r="N754" s="4"/>
      <c r="O754" s="9"/>
    </row>
    <row r="755" spans="1:15" ht="20" customHeight="1" x14ac:dyDescent="0.2">
      <c r="A755" s="3">
        <v>751</v>
      </c>
      <c r="B755" s="19"/>
      <c r="C755" s="4" t="s">
        <v>5659</v>
      </c>
      <c r="D755" s="4" t="s">
        <v>4909</v>
      </c>
      <c r="E755" s="4" t="s">
        <v>271</v>
      </c>
      <c r="F755" s="8">
        <v>10</v>
      </c>
      <c r="G755" s="8">
        <v>10</v>
      </c>
      <c r="H755" s="8">
        <v>10</v>
      </c>
      <c r="I755" s="8"/>
      <c r="J755" s="8"/>
      <c r="K755" s="8">
        <v>10</v>
      </c>
      <c r="L755" s="18">
        <v>14500</v>
      </c>
      <c r="M755" s="7">
        <f t="shared" si="11"/>
        <v>145000</v>
      </c>
      <c r="N755" s="4"/>
      <c r="O755" s="9"/>
    </row>
    <row r="756" spans="1:15" ht="20" customHeight="1" x14ac:dyDescent="0.2">
      <c r="A756" s="3">
        <v>752</v>
      </c>
      <c r="B756" s="19"/>
      <c r="C756" s="4" t="s">
        <v>5660</v>
      </c>
      <c r="D756" s="4" t="s">
        <v>4909</v>
      </c>
      <c r="E756" s="4" t="s">
        <v>271</v>
      </c>
      <c r="F756" s="8">
        <v>70</v>
      </c>
      <c r="G756" s="8">
        <v>70</v>
      </c>
      <c r="H756" s="8">
        <v>70</v>
      </c>
      <c r="I756" s="8"/>
      <c r="J756" s="8"/>
      <c r="K756" s="8">
        <v>70</v>
      </c>
      <c r="L756" s="18">
        <v>14500</v>
      </c>
      <c r="M756" s="7">
        <f t="shared" si="11"/>
        <v>1015000</v>
      </c>
      <c r="N756" s="4"/>
      <c r="O756" s="9"/>
    </row>
    <row r="757" spans="1:15" ht="20" customHeight="1" x14ac:dyDescent="0.2">
      <c r="A757" s="3">
        <v>753</v>
      </c>
      <c r="B757" s="19"/>
      <c r="C757" s="4" t="s">
        <v>5661</v>
      </c>
      <c r="D757" s="4" t="s">
        <v>4909</v>
      </c>
      <c r="E757" s="4" t="s">
        <v>271</v>
      </c>
      <c r="F757" s="8">
        <v>10</v>
      </c>
      <c r="G757" s="8">
        <v>10</v>
      </c>
      <c r="H757" s="8">
        <v>10</v>
      </c>
      <c r="I757" s="8"/>
      <c r="J757" s="8"/>
      <c r="K757" s="8">
        <v>10</v>
      </c>
      <c r="L757" s="18">
        <v>14500</v>
      </c>
      <c r="M757" s="7">
        <f t="shared" si="11"/>
        <v>145000</v>
      </c>
      <c r="N757" s="4"/>
      <c r="O757" s="9"/>
    </row>
    <row r="758" spans="1:15" ht="20" customHeight="1" x14ac:dyDescent="0.2">
      <c r="A758" s="3">
        <v>754</v>
      </c>
      <c r="B758" s="19"/>
      <c r="C758" s="4" t="s">
        <v>5662</v>
      </c>
      <c r="D758" s="4" t="s">
        <v>4909</v>
      </c>
      <c r="E758" s="4" t="s">
        <v>271</v>
      </c>
      <c r="F758" s="8">
        <v>20</v>
      </c>
      <c r="G758" s="8">
        <v>20</v>
      </c>
      <c r="H758" s="8">
        <v>20</v>
      </c>
      <c r="I758" s="8"/>
      <c r="J758" s="8"/>
      <c r="K758" s="8">
        <v>20</v>
      </c>
      <c r="L758" s="18">
        <v>14500</v>
      </c>
      <c r="M758" s="7">
        <f t="shared" si="11"/>
        <v>290000</v>
      </c>
      <c r="N758" s="4"/>
      <c r="O758" s="9"/>
    </row>
    <row r="759" spans="1:15" ht="20" customHeight="1" x14ac:dyDescent="0.2">
      <c r="A759" s="3">
        <v>755</v>
      </c>
      <c r="B759" s="19"/>
      <c r="C759" s="4" t="s">
        <v>5663</v>
      </c>
      <c r="D759" s="4" t="s">
        <v>4909</v>
      </c>
      <c r="E759" s="4" t="s">
        <v>271</v>
      </c>
      <c r="F759" s="8">
        <v>20</v>
      </c>
      <c r="G759" s="8">
        <v>20</v>
      </c>
      <c r="H759" s="8">
        <v>20</v>
      </c>
      <c r="I759" s="8"/>
      <c r="J759" s="8"/>
      <c r="K759" s="8">
        <v>20</v>
      </c>
      <c r="L759" s="18">
        <v>14500</v>
      </c>
      <c r="M759" s="7">
        <f t="shared" si="11"/>
        <v>290000</v>
      </c>
      <c r="N759" s="4"/>
      <c r="O759" s="9"/>
    </row>
    <row r="760" spans="1:15" ht="20" customHeight="1" x14ac:dyDescent="0.2">
      <c r="A760" s="3">
        <v>756</v>
      </c>
      <c r="B760" s="19"/>
      <c r="C760" s="4" t="s">
        <v>5664</v>
      </c>
      <c r="D760" s="4" t="s">
        <v>4909</v>
      </c>
      <c r="E760" s="4" t="s">
        <v>271</v>
      </c>
      <c r="F760" s="8">
        <v>10</v>
      </c>
      <c r="G760" s="8">
        <v>10</v>
      </c>
      <c r="H760" s="8">
        <v>10</v>
      </c>
      <c r="I760" s="8"/>
      <c r="J760" s="8"/>
      <c r="K760" s="8">
        <v>10</v>
      </c>
      <c r="L760" s="18">
        <v>14500</v>
      </c>
      <c r="M760" s="7">
        <f t="shared" si="11"/>
        <v>145000</v>
      </c>
      <c r="N760" s="4"/>
      <c r="O760" s="9"/>
    </row>
    <row r="761" spans="1:15" ht="20" customHeight="1" x14ac:dyDescent="0.2">
      <c r="A761" s="3">
        <v>757</v>
      </c>
      <c r="B761" s="19"/>
      <c r="C761" s="4" t="s">
        <v>5665</v>
      </c>
      <c r="D761" s="4" t="s">
        <v>4909</v>
      </c>
      <c r="E761" s="4" t="s">
        <v>271</v>
      </c>
      <c r="F761" s="8">
        <v>10</v>
      </c>
      <c r="G761" s="8">
        <v>10</v>
      </c>
      <c r="H761" s="8">
        <v>10</v>
      </c>
      <c r="I761" s="8"/>
      <c r="J761" s="8"/>
      <c r="K761" s="8">
        <v>10</v>
      </c>
      <c r="L761" s="18">
        <v>14500</v>
      </c>
      <c r="M761" s="7">
        <f t="shared" si="11"/>
        <v>145000</v>
      </c>
      <c r="N761" s="4"/>
      <c r="O761" s="9"/>
    </row>
    <row r="762" spans="1:15" ht="20" customHeight="1" x14ac:dyDescent="0.2">
      <c r="A762" s="3">
        <v>758</v>
      </c>
      <c r="B762" s="19"/>
      <c r="C762" s="4" t="s">
        <v>5666</v>
      </c>
      <c r="D762" s="4" t="s">
        <v>4909</v>
      </c>
      <c r="E762" s="4" t="s">
        <v>271</v>
      </c>
      <c r="F762" s="8">
        <v>10</v>
      </c>
      <c r="G762" s="8">
        <v>10</v>
      </c>
      <c r="H762" s="8">
        <v>10</v>
      </c>
      <c r="I762" s="8"/>
      <c r="J762" s="8"/>
      <c r="K762" s="8">
        <v>10</v>
      </c>
      <c r="L762" s="18">
        <v>14500</v>
      </c>
      <c r="M762" s="7">
        <f t="shared" si="11"/>
        <v>145000</v>
      </c>
      <c r="N762" s="4"/>
      <c r="O762" s="9"/>
    </row>
    <row r="763" spans="1:15" ht="20" customHeight="1" x14ac:dyDescent="0.2">
      <c r="A763" s="3">
        <v>759</v>
      </c>
      <c r="B763" s="19"/>
      <c r="C763" s="4" t="s">
        <v>5667</v>
      </c>
      <c r="D763" s="4" t="s">
        <v>4909</v>
      </c>
      <c r="E763" s="4" t="s">
        <v>271</v>
      </c>
      <c r="F763" s="8">
        <v>80</v>
      </c>
      <c r="G763" s="8">
        <v>80</v>
      </c>
      <c r="H763" s="8">
        <v>80</v>
      </c>
      <c r="I763" s="8"/>
      <c r="J763" s="8"/>
      <c r="K763" s="8">
        <v>80</v>
      </c>
      <c r="L763" s="18">
        <v>14500</v>
      </c>
      <c r="M763" s="7">
        <f t="shared" si="11"/>
        <v>1160000</v>
      </c>
      <c r="N763" s="4"/>
      <c r="O763" s="9"/>
    </row>
    <row r="764" spans="1:15" ht="20" customHeight="1" x14ac:dyDescent="0.2">
      <c r="A764" s="3">
        <v>760</v>
      </c>
      <c r="B764" s="19"/>
      <c r="C764" s="4" t="s">
        <v>5668</v>
      </c>
      <c r="D764" s="4" t="s">
        <v>4909</v>
      </c>
      <c r="E764" s="4" t="s">
        <v>271</v>
      </c>
      <c r="F764" s="8">
        <v>60</v>
      </c>
      <c r="G764" s="8">
        <v>60</v>
      </c>
      <c r="H764" s="8">
        <v>60</v>
      </c>
      <c r="I764" s="8"/>
      <c r="J764" s="8"/>
      <c r="K764" s="8">
        <v>60</v>
      </c>
      <c r="L764" s="18">
        <v>14500</v>
      </c>
      <c r="M764" s="7">
        <f t="shared" si="11"/>
        <v>870000</v>
      </c>
      <c r="N764" s="4"/>
      <c r="O764" s="9"/>
    </row>
    <row r="765" spans="1:15" ht="20" customHeight="1" x14ac:dyDescent="0.2">
      <c r="A765" s="3">
        <v>761</v>
      </c>
      <c r="B765" s="19"/>
      <c r="C765" s="4" t="s">
        <v>5669</v>
      </c>
      <c r="D765" s="4" t="s">
        <v>4909</v>
      </c>
      <c r="E765" s="4" t="s">
        <v>271</v>
      </c>
      <c r="F765" s="8">
        <v>20</v>
      </c>
      <c r="G765" s="8">
        <v>20</v>
      </c>
      <c r="H765" s="8">
        <v>20</v>
      </c>
      <c r="I765" s="8"/>
      <c r="J765" s="8"/>
      <c r="K765" s="8">
        <v>20</v>
      </c>
      <c r="L765" s="18">
        <v>14500</v>
      </c>
      <c r="M765" s="7">
        <f t="shared" si="11"/>
        <v>290000</v>
      </c>
      <c r="N765" s="4"/>
      <c r="O765" s="9"/>
    </row>
    <row r="766" spans="1:15" ht="20" customHeight="1" x14ac:dyDescent="0.2">
      <c r="A766" s="3">
        <v>762</v>
      </c>
      <c r="B766" s="19"/>
      <c r="C766" s="4" t="s">
        <v>5670</v>
      </c>
      <c r="D766" s="4" t="s">
        <v>4909</v>
      </c>
      <c r="E766" s="4" t="s">
        <v>271</v>
      </c>
      <c r="F766" s="8">
        <v>70</v>
      </c>
      <c r="G766" s="8">
        <v>70</v>
      </c>
      <c r="H766" s="8">
        <v>70</v>
      </c>
      <c r="I766" s="8"/>
      <c r="J766" s="8"/>
      <c r="K766" s="8">
        <v>70</v>
      </c>
      <c r="L766" s="18">
        <v>14500</v>
      </c>
      <c r="M766" s="7">
        <f t="shared" si="11"/>
        <v>1015000</v>
      </c>
      <c r="N766" s="4"/>
      <c r="O766" s="9"/>
    </row>
    <row r="767" spans="1:15" ht="20" customHeight="1" x14ac:dyDescent="0.2">
      <c r="A767" s="3">
        <v>763</v>
      </c>
      <c r="B767" s="19"/>
      <c r="C767" s="4" t="s">
        <v>5671</v>
      </c>
      <c r="D767" s="4" t="s">
        <v>4909</v>
      </c>
      <c r="E767" s="4" t="s">
        <v>271</v>
      </c>
      <c r="F767" s="8">
        <v>40</v>
      </c>
      <c r="G767" s="8">
        <v>40</v>
      </c>
      <c r="H767" s="8">
        <v>40</v>
      </c>
      <c r="I767" s="8"/>
      <c r="J767" s="8"/>
      <c r="K767" s="8">
        <v>40</v>
      </c>
      <c r="L767" s="18">
        <v>14500</v>
      </c>
      <c r="M767" s="7">
        <f t="shared" si="11"/>
        <v>580000</v>
      </c>
      <c r="N767" s="4"/>
      <c r="O767" s="9"/>
    </row>
    <row r="768" spans="1:15" ht="20" customHeight="1" x14ac:dyDescent="0.2">
      <c r="A768" s="3">
        <v>764</v>
      </c>
      <c r="B768" s="19"/>
      <c r="C768" s="4" t="s">
        <v>5672</v>
      </c>
      <c r="D768" s="4" t="s">
        <v>4909</v>
      </c>
      <c r="E768" s="4" t="s">
        <v>271</v>
      </c>
      <c r="F768" s="8">
        <v>30</v>
      </c>
      <c r="G768" s="8">
        <v>30</v>
      </c>
      <c r="H768" s="8">
        <v>30</v>
      </c>
      <c r="I768" s="8"/>
      <c r="J768" s="8"/>
      <c r="K768" s="8">
        <v>30</v>
      </c>
      <c r="L768" s="18">
        <v>14500</v>
      </c>
      <c r="M768" s="7">
        <f t="shared" si="11"/>
        <v>435000</v>
      </c>
      <c r="N768" s="4"/>
      <c r="O768" s="9"/>
    </row>
    <row r="769" spans="1:15" ht="20" customHeight="1" x14ac:dyDescent="0.2">
      <c r="A769" s="3">
        <v>765</v>
      </c>
      <c r="B769" s="19"/>
      <c r="C769" s="4" t="s">
        <v>5673</v>
      </c>
      <c r="D769" s="4" t="s">
        <v>4909</v>
      </c>
      <c r="E769" s="4" t="s">
        <v>271</v>
      </c>
      <c r="F769" s="8">
        <v>30</v>
      </c>
      <c r="G769" s="8">
        <v>30</v>
      </c>
      <c r="H769" s="8">
        <v>30</v>
      </c>
      <c r="I769" s="8"/>
      <c r="J769" s="8"/>
      <c r="K769" s="8">
        <v>30</v>
      </c>
      <c r="L769" s="18">
        <v>14500</v>
      </c>
      <c r="M769" s="7">
        <f t="shared" si="11"/>
        <v>435000</v>
      </c>
      <c r="N769" s="4"/>
      <c r="O769" s="9"/>
    </row>
    <row r="770" spans="1:15" ht="20" customHeight="1" x14ac:dyDescent="0.2">
      <c r="A770" s="3">
        <v>766</v>
      </c>
      <c r="B770" s="19"/>
      <c r="C770" s="4" t="s">
        <v>5674</v>
      </c>
      <c r="D770" s="4" t="s">
        <v>4909</v>
      </c>
      <c r="E770" s="4" t="s">
        <v>271</v>
      </c>
      <c r="F770" s="8">
        <v>30</v>
      </c>
      <c r="G770" s="8">
        <v>30</v>
      </c>
      <c r="H770" s="8">
        <v>30</v>
      </c>
      <c r="I770" s="8"/>
      <c r="J770" s="8"/>
      <c r="K770" s="8">
        <v>30</v>
      </c>
      <c r="L770" s="18">
        <v>14500</v>
      </c>
      <c r="M770" s="7">
        <f t="shared" si="11"/>
        <v>435000</v>
      </c>
      <c r="N770" s="4"/>
      <c r="O770" s="9"/>
    </row>
    <row r="771" spans="1:15" ht="20" customHeight="1" x14ac:dyDescent="0.2">
      <c r="A771" s="3">
        <v>767</v>
      </c>
      <c r="B771" s="19"/>
      <c r="C771" s="4" t="s">
        <v>5675</v>
      </c>
      <c r="D771" s="4" t="s">
        <v>4909</v>
      </c>
      <c r="E771" s="4" t="s">
        <v>271</v>
      </c>
      <c r="F771" s="8">
        <v>60</v>
      </c>
      <c r="G771" s="8">
        <v>60</v>
      </c>
      <c r="H771" s="8">
        <v>60</v>
      </c>
      <c r="I771" s="8"/>
      <c r="J771" s="8"/>
      <c r="K771" s="8">
        <v>60</v>
      </c>
      <c r="L771" s="18">
        <v>14500</v>
      </c>
      <c r="M771" s="7">
        <f t="shared" si="11"/>
        <v>870000</v>
      </c>
      <c r="N771" s="4"/>
      <c r="O771" s="9"/>
    </row>
    <row r="772" spans="1:15" ht="20" customHeight="1" x14ac:dyDescent="0.2">
      <c r="A772" s="3">
        <v>768</v>
      </c>
      <c r="B772" s="19"/>
      <c r="C772" s="4" t="s">
        <v>5676</v>
      </c>
      <c r="D772" s="4" t="s">
        <v>4909</v>
      </c>
      <c r="E772" s="4" t="s">
        <v>271</v>
      </c>
      <c r="F772" s="8">
        <v>100</v>
      </c>
      <c r="G772" s="8">
        <v>100</v>
      </c>
      <c r="H772" s="8">
        <v>100</v>
      </c>
      <c r="I772" s="8"/>
      <c r="J772" s="8"/>
      <c r="K772" s="8">
        <v>100</v>
      </c>
      <c r="L772" s="18">
        <v>14500</v>
      </c>
      <c r="M772" s="7">
        <f t="shared" si="11"/>
        <v>1450000</v>
      </c>
      <c r="N772" s="4"/>
      <c r="O772" s="9"/>
    </row>
    <row r="773" spans="1:15" ht="20" customHeight="1" x14ac:dyDescent="0.2">
      <c r="A773" s="3">
        <v>769</v>
      </c>
      <c r="B773" s="19"/>
      <c r="C773" s="4" t="s">
        <v>5677</v>
      </c>
      <c r="D773" s="4" t="s">
        <v>4909</v>
      </c>
      <c r="E773" s="4" t="s">
        <v>271</v>
      </c>
      <c r="F773" s="8">
        <v>20</v>
      </c>
      <c r="G773" s="8">
        <v>20</v>
      </c>
      <c r="H773" s="8">
        <v>20</v>
      </c>
      <c r="I773" s="8"/>
      <c r="J773" s="8"/>
      <c r="K773" s="8">
        <v>20</v>
      </c>
      <c r="L773" s="18">
        <v>14500</v>
      </c>
      <c r="M773" s="7">
        <f t="shared" ref="M773:M836" si="12">IF(OR(K773="",L773=""),"",K773*L773)</f>
        <v>290000</v>
      </c>
      <c r="N773" s="4"/>
      <c r="O773" s="9"/>
    </row>
    <row r="774" spans="1:15" ht="20" customHeight="1" x14ac:dyDescent="0.2">
      <c r="A774" s="3">
        <v>770</v>
      </c>
      <c r="B774" s="19"/>
      <c r="C774" s="4" t="s">
        <v>5678</v>
      </c>
      <c r="D774" s="4" t="s">
        <v>4909</v>
      </c>
      <c r="E774" s="4" t="s">
        <v>271</v>
      </c>
      <c r="F774" s="8">
        <v>10</v>
      </c>
      <c r="G774" s="8">
        <v>10</v>
      </c>
      <c r="H774" s="8">
        <v>10</v>
      </c>
      <c r="I774" s="8"/>
      <c r="J774" s="8"/>
      <c r="K774" s="8">
        <v>10</v>
      </c>
      <c r="L774" s="18">
        <v>14500</v>
      </c>
      <c r="M774" s="7">
        <f t="shared" si="12"/>
        <v>145000</v>
      </c>
      <c r="N774" s="4"/>
      <c r="O774" s="9"/>
    </row>
    <row r="775" spans="1:15" ht="20" customHeight="1" x14ac:dyDescent="0.2">
      <c r="A775" s="3">
        <v>771</v>
      </c>
      <c r="B775" s="19"/>
      <c r="C775" s="4" t="s">
        <v>5679</v>
      </c>
      <c r="D775" s="4" t="s">
        <v>4909</v>
      </c>
      <c r="E775" s="4" t="s">
        <v>271</v>
      </c>
      <c r="F775" s="8">
        <v>10</v>
      </c>
      <c r="G775" s="8">
        <v>10</v>
      </c>
      <c r="H775" s="8">
        <v>10</v>
      </c>
      <c r="I775" s="8"/>
      <c r="J775" s="8"/>
      <c r="K775" s="8">
        <v>10</v>
      </c>
      <c r="L775" s="18">
        <v>14500</v>
      </c>
      <c r="M775" s="7">
        <f t="shared" si="12"/>
        <v>145000</v>
      </c>
      <c r="N775" s="4"/>
      <c r="O775" s="9"/>
    </row>
    <row r="776" spans="1:15" ht="20" customHeight="1" x14ac:dyDescent="0.2">
      <c r="A776" s="3">
        <v>772</v>
      </c>
      <c r="B776" s="19"/>
      <c r="C776" s="4" t="s">
        <v>5680</v>
      </c>
      <c r="D776" s="4" t="s">
        <v>4909</v>
      </c>
      <c r="E776" s="4" t="s">
        <v>271</v>
      </c>
      <c r="F776" s="8">
        <v>10</v>
      </c>
      <c r="G776" s="8">
        <v>10</v>
      </c>
      <c r="H776" s="8">
        <v>10</v>
      </c>
      <c r="I776" s="8"/>
      <c r="J776" s="8"/>
      <c r="K776" s="8">
        <v>10</v>
      </c>
      <c r="L776" s="18">
        <v>14500</v>
      </c>
      <c r="M776" s="7">
        <f t="shared" si="12"/>
        <v>145000</v>
      </c>
      <c r="N776" s="4"/>
      <c r="O776" s="9"/>
    </row>
    <row r="777" spans="1:15" ht="20" customHeight="1" x14ac:dyDescent="0.2">
      <c r="A777" s="3">
        <v>773</v>
      </c>
      <c r="B777" s="19"/>
      <c r="C777" s="4" t="s">
        <v>5681</v>
      </c>
      <c r="D777" s="4" t="s">
        <v>4909</v>
      </c>
      <c r="E777" s="4" t="s">
        <v>271</v>
      </c>
      <c r="F777" s="8">
        <v>20</v>
      </c>
      <c r="G777" s="8">
        <v>20</v>
      </c>
      <c r="H777" s="8">
        <v>20</v>
      </c>
      <c r="I777" s="8"/>
      <c r="J777" s="8"/>
      <c r="K777" s="8">
        <v>20</v>
      </c>
      <c r="L777" s="18">
        <v>14500</v>
      </c>
      <c r="M777" s="7">
        <f t="shared" si="12"/>
        <v>290000</v>
      </c>
      <c r="N777" s="4"/>
      <c r="O777" s="9"/>
    </row>
    <row r="778" spans="1:15" ht="20" customHeight="1" x14ac:dyDescent="0.2">
      <c r="A778" s="3">
        <v>774</v>
      </c>
      <c r="B778" s="19"/>
      <c r="C778" s="4" t="s">
        <v>5682</v>
      </c>
      <c r="D778" s="4" t="s">
        <v>4909</v>
      </c>
      <c r="E778" s="4" t="s">
        <v>271</v>
      </c>
      <c r="F778" s="8">
        <v>10</v>
      </c>
      <c r="G778" s="8">
        <v>10</v>
      </c>
      <c r="H778" s="8">
        <v>10</v>
      </c>
      <c r="I778" s="8"/>
      <c r="J778" s="8"/>
      <c r="K778" s="8">
        <v>10</v>
      </c>
      <c r="L778" s="18">
        <v>14500</v>
      </c>
      <c r="M778" s="7">
        <f t="shared" si="12"/>
        <v>145000</v>
      </c>
      <c r="N778" s="4"/>
      <c r="O778" s="9"/>
    </row>
    <row r="779" spans="1:15" ht="20" customHeight="1" x14ac:dyDescent="0.2">
      <c r="A779" s="3">
        <v>775</v>
      </c>
      <c r="B779" s="19"/>
      <c r="C779" s="4" t="s">
        <v>5683</v>
      </c>
      <c r="D779" s="4" t="s">
        <v>4909</v>
      </c>
      <c r="E779" s="4" t="s">
        <v>271</v>
      </c>
      <c r="F779" s="8">
        <v>10</v>
      </c>
      <c r="G779" s="8">
        <v>10</v>
      </c>
      <c r="H779" s="8">
        <v>10</v>
      </c>
      <c r="I779" s="8"/>
      <c r="J779" s="8"/>
      <c r="K779" s="8">
        <v>10</v>
      </c>
      <c r="L779" s="18">
        <v>14500</v>
      </c>
      <c r="M779" s="7">
        <f t="shared" si="12"/>
        <v>145000</v>
      </c>
      <c r="N779" s="4"/>
      <c r="O779" s="9"/>
    </row>
    <row r="780" spans="1:15" ht="20" customHeight="1" x14ac:dyDescent="0.2">
      <c r="A780" s="3">
        <v>776</v>
      </c>
      <c r="B780" s="19"/>
      <c r="C780" s="4" t="s">
        <v>5684</v>
      </c>
      <c r="D780" s="4" t="s">
        <v>4909</v>
      </c>
      <c r="E780" s="4" t="s">
        <v>271</v>
      </c>
      <c r="F780" s="8">
        <v>500</v>
      </c>
      <c r="G780" s="8">
        <v>500</v>
      </c>
      <c r="H780" s="8">
        <v>500</v>
      </c>
      <c r="I780" s="8"/>
      <c r="J780" s="8"/>
      <c r="K780" s="8">
        <v>500</v>
      </c>
      <c r="L780" s="18">
        <v>1450</v>
      </c>
      <c r="M780" s="7">
        <f t="shared" si="12"/>
        <v>725000</v>
      </c>
      <c r="N780" s="4"/>
      <c r="O780" s="9"/>
    </row>
    <row r="781" spans="1:15" ht="20" customHeight="1" x14ac:dyDescent="0.2">
      <c r="A781" s="3">
        <v>777</v>
      </c>
      <c r="B781" s="19"/>
      <c r="C781" s="4" t="s">
        <v>5685</v>
      </c>
      <c r="D781" s="4" t="s">
        <v>4909</v>
      </c>
      <c r="E781" s="4" t="s">
        <v>271</v>
      </c>
      <c r="F781" s="8">
        <v>400</v>
      </c>
      <c r="G781" s="8">
        <v>400</v>
      </c>
      <c r="H781" s="8">
        <v>400</v>
      </c>
      <c r="I781" s="8"/>
      <c r="J781" s="8"/>
      <c r="K781" s="8">
        <v>400</v>
      </c>
      <c r="L781" s="18">
        <v>1450</v>
      </c>
      <c r="M781" s="7">
        <f t="shared" si="12"/>
        <v>580000</v>
      </c>
      <c r="N781" s="4"/>
      <c r="O781" s="9"/>
    </row>
    <row r="782" spans="1:15" ht="20" customHeight="1" x14ac:dyDescent="0.2">
      <c r="A782" s="3">
        <v>778</v>
      </c>
      <c r="B782" s="19"/>
      <c r="C782" s="4" t="s">
        <v>5686</v>
      </c>
      <c r="D782" s="4" t="s">
        <v>4909</v>
      </c>
      <c r="E782" s="4" t="s">
        <v>271</v>
      </c>
      <c r="F782" s="8">
        <v>2000</v>
      </c>
      <c r="G782" s="8">
        <v>2000</v>
      </c>
      <c r="H782" s="8">
        <v>2000</v>
      </c>
      <c r="I782" s="8"/>
      <c r="J782" s="8"/>
      <c r="K782" s="8">
        <v>2000</v>
      </c>
      <c r="L782" s="18">
        <v>1450</v>
      </c>
      <c r="M782" s="7">
        <f t="shared" si="12"/>
        <v>2900000</v>
      </c>
      <c r="N782" s="4"/>
      <c r="O782" s="9"/>
    </row>
    <row r="783" spans="1:15" ht="20" customHeight="1" x14ac:dyDescent="0.2">
      <c r="A783" s="3">
        <v>779</v>
      </c>
      <c r="B783" s="19"/>
      <c r="C783" s="4" t="s">
        <v>5687</v>
      </c>
      <c r="D783" s="4" t="s">
        <v>4909</v>
      </c>
      <c r="E783" s="4" t="s">
        <v>271</v>
      </c>
      <c r="F783" s="8">
        <v>1300</v>
      </c>
      <c r="G783" s="8">
        <v>1300</v>
      </c>
      <c r="H783" s="8">
        <v>1300</v>
      </c>
      <c r="I783" s="8"/>
      <c r="J783" s="8"/>
      <c r="K783" s="8">
        <v>1300</v>
      </c>
      <c r="L783" s="18">
        <v>1450</v>
      </c>
      <c r="M783" s="7">
        <f t="shared" si="12"/>
        <v>1885000</v>
      </c>
      <c r="N783" s="4"/>
      <c r="O783" s="9"/>
    </row>
    <row r="784" spans="1:15" ht="20" customHeight="1" x14ac:dyDescent="0.2">
      <c r="A784" s="3">
        <v>780</v>
      </c>
      <c r="B784" s="19"/>
      <c r="C784" s="4" t="s">
        <v>5688</v>
      </c>
      <c r="D784" s="4" t="s">
        <v>4909</v>
      </c>
      <c r="E784" s="4" t="s">
        <v>271</v>
      </c>
      <c r="F784" s="8">
        <v>60</v>
      </c>
      <c r="G784" s="8">
        <v>60</v>
      </c>
      <c r="H784" s="8">
        <v>60</v>
      </c>
      <c r="I784" s="8"/>
      <c r="J784" s="8"/>
      <c r="K784" s="8">
        <v>60</v>
      </c>
      <c r="L784" s="18">
        <v>300</v>
      </c>
      <c r="M784" s="7">
        <f t="shared" si="12"/>
        <v>18000</v>
      </c>
      <c r="N784" s="4"/>
      <c r="O784" s="9"/>
    </row>
    <row r="785" spans="1:15" ht="20" customHeight="1" x14ac:dyDescent="0.2">
      <c r="A785" s="3">
        <v>781</v>
      </c>
      <c r="B785" s="19"/>
      <c r="C785" s="4" t="s">
        <v>5689</v>
      </c>
      <c r="D785" s="4" t="s">
        <v>4909</v>
      </c>
      <c r="E785" s="4" t="s">
        <v>271</v>
      </c>
      <c r="F785" s="8">
        <v>10</v>
      </c>
      <c r="G785" s="8">
        <v>10</v>
      </c>
      <c r="H785" s="8">
        <v>10</v>
      </c>
      <c r="I785" s="8"/>
      <c r="J785" s="8"/>
      <c r="K785" s="8">
        <v>10</v>
      </c>
      <c r="L785" s="18">
        <v>300</v>
      </c>
      <c r="M785" s="7">
        <f t="shared" si="12"/>
        <v>3000</v>
      </c>
      <c r="N785" s="4"/>
      <c r="O785" s="9"/>
    </row>
    <row r="786" spans="1:15" ht="20" customHeight="1" x14ac:dyDescent="0.2">
      <c r="A786" s="3">
        <v>782</v>
      </c>
      <c r="B786" s="19"/>
      <c r="C786" s="4" t="s">
        <v>5690</v>
      </c>
      <c r="D786" s="4" t="s">
        <v>4909</v>
      </c>
      <c r="E786" s="4" t="s">
        <v>271</v>
      </c>
      <c r="F786" s="8">
        <v>200</v>
      </c>
      <c r="G786" s="8">
        <v>200</v>
      </c>
      <c r="H786" s="8">
        <v>200</v>
      </c>
      <c r="I786" s="8"/>
      <c r="J786" s="8"/>
      <c r="K786" s="8">
        <v>200</v>
      </c>
      <c r="L786" s="18">
        <v>300</v>
      </c>
      <c r="M786" s="7">
        <f t="shared" si="12"/>
        <v>60000</v>
      </c>
      <c r="N786" s="4"/>
      <c r="O786" s="9"/>
    </row>
    <row r="787" spans="1:15" ht="20" customHeight="1" x14ac:dyDescent="0.2">
      <c r="A787" s="3">
        <v>783</v>
      </c>
      <c r="B787" s="19"/>
      <c r="C787" s="4" t="s">
        <v>5691</v>
      </c>
      <c r="D787" s="4" t="s">
        <v>4909</v>
      </c>
      <c r="E787" s="4" t="s">
        <v>271</v>
      </c>
      <c r="F787" s="8">
        <v>150</v>
      </c>
      <c r="G787" s="8">
        <v>150</v>
      </c>
      <c r="H787" s="8">
        <v>150</v>
      </c>
      <c r="I787" s="8"/>
      <c r="J787" s="8"/>
      <c r="K787" s="8">
        <v>150</v>
      </c>
      <c r="L787" s="18">
        <v>300</v>
      </c>
      <c r="M787" s="7">
        <f t="shared" si="12"/>
        <v>45000</v>
      </c>
      <c r="N787" s="4"/>
      <c r="O787" s="9"/>
    </row>
    <row r="788" spans="1:15" ht="20" customHeight="1" x14ac:dyDescent="0.2">
      <c r="A788" s="3">
        <v>784</v>
      </c>
      <c r="B788" s="19"/>
      <c r="C788" s="4" t="s">
        <v>5692</v>
      </c>
      <c r="D788" s="4" t="s">
        <v>4909</v>
      </c>
      <c r="E788" s="4" t="s">
        <v>271</v>
      </c>
      <c r="F788" s="8">
        <v>50</v>
      </c>
      <c r="G788" s="8">
        <v>50</v>
      </c>
      <c r="H788" s="8">
        <v>50</v>
      </c>
      <c r="I788" s="8"/>
      <c r="J788" s="8"/>
      <c r="K788" s="8">
        <v>50</v>
      </c>
      <c r="L788" s="18">
        <v>22000</v>
      </c>
      <c r="M788" s="7">
        <f t="shared" si="12"/>
        <v>1100000</v>
      </c>
      <c r="N788" s="4"/>
      <c r="O788" s="9"/>
    </row>
    <row r="789" spans="1:15" ht="20" customHeight="1" x14ac:dyDescent="0.2">
      <c r="A789" s="3">
        <v>785</v>
      </c>
      <c r="B789" s="19"/>
      <c r="C789" s="4" t="s">
        <v>5693</v>
      </c>
      <c r="D789" s="4" t="s">
        <v>4909</v>
      </c>
      <c r="E789" s="4" t="s">
        <v>271</v>
      </c>
      <c r="F789" s="8">
        <v>120</v>
      </c>
      <c r="G789" s="8">
        <v>120</v>
      </c>
      <c r="H789" s="8">
        <v>120</v>
      </c>
      <c r="I789" s="8"/>
      <c r="J789" s="8"/>
      <c r="K789" s="8">
        <v>120</v>
      </c>
      <c r="L789" s="18">
        <v>48000</v>
      </c>
      <c r="M789" s="7">
        <f t="shared" si="12"/>
        <v>5760000</v>
      </c>
      <c r="N789" s="4"/>
      <c r="O789" s="9"/>
    </row>
    <row r="790" spans="1:15" ht="20" customHeight="1" x14ac:dyDescent="0.2">
      <c r="A790" s="3">
        <v>786</v>
      </c>
      <c r="B790" s="19"/>
      <c r="C790" s="4" t="s">
        <v>5694</v>
      </c>
      <c r="D790" s="4" t="s">
        <v>4909</v>
      </c>
      <c r="E790" s="4" t="s">
        <v>271</v>
      </c>
      <c r="F790" s="8">
        <v>5</v>
      </c>
      <c r="G790" s="8">
        <v>5</v>
      </c>
      <c r="H790" s="8">
        <v>5</v>
      </c>
      <c r="I790" s="8"/>
      <c r="J790" s="8"/>
      <c r="K790" s="8">
        <v>5</v>
      </c>
      <c r="L790" s="18">
        <v>69000</v>
      </c>
      <c r="M790" s="7">
        <f t="shared" si="12"/>
        <v>345000</v>
      </c>
      <c r="N790" s="4"/>
      <c r="O790" s="9"/>
    </row>
    <row r="791" spans="1:15" ht="20" customHeight="1" x14ac:dyDescent="0.2">
      <c r="A791" s="3">
        <v>787</v>
      </c>
      <c r="B791" s="19"/>
      <c r="C791" s="4" t="s">
        <v>5695</v>
      </c>
      <c r="D791" s="4" t="s">
        <v>4909</v>
      </c>
      <c r="E791" s="4" t="s">
        <v>271</v>
      </c>
      <c r="F791" s="8">
        <v>5</v>
      </c>
      <c r="G791" s="8">
        <v>5</v>
      </c>
      <c r="H791" s="8">
        <v>5</v>
      </c>
      <c r="I791" s="8"/>
      <c r="J791" s="8"/>
      <c r="K791" s="8">
        <v>5</v>
      </c>
      <c r="L791" s="18">
        <v>39800</v>
      </c>
      <c r="M791" s="7">
        <f t="shared" si="12"/>
        <v>199000</v>
      </c>
      <c r="N791" s="4"/>
      <c r="O791" s="9"/>
    </row>
    <row r="792" spans="1:15" ht="20" customHeight="1" x14ac:dyDescent="0.2">
      <c r="A792" s="3">
        <v>788</v>
      </c>
      <c r="B792" s="19"/>
      <c r="C792" s="4" t="s">
        <v>5696</v>
      </c>
      <c r="D792" s="4" t="s">
        <v>4909</v>
      </c>
      <c r="E792" s="4" t="s">
        <v>271</v>
      </c>
      <c r="F792" s="8">
        <v>20</v>
      </c>
      <c r="G792" s="8">
        <v>20</v>
      </c>
      <c r="H792" s="8">
        <v>20</v>
      </c>
      <c r="I792" s="8"/>
      <c r="J792" s="8"/>
      <c r="K792" s="8">
        <v>20</v>
      </c>
      <c r="L792" s="18">
        <v>39800</v>
      </c>
      <c r="M792" s="7">
        <f t="shared" si="12"/>
        <v>796000</v>
      </c>
      <c r="N792" s="4"/>
      <c r="O792" s="9"/>
    </row>
    <row r="793" spans="1:15" ht="20" customHeight="1" x14ac:dyDescent="0.2">
      <c r="A793" s="3">
        <v>789</v>
      </c>
      <c r="B793" s="19"/>
      <c r="C793" s="4" t="s">
        <v>5697</v>
      </c>
      <c r="D793" s="4" t="s">
        <v>4909</v>
      </c>
      <c r="E793" s="4" t="s">
        <v>271</v>
      </c>
      <c r="F793" s="8">
        <v>10</v>
      </c>
      <c r="G793" s="8">
        <v>10</v>
      </c>
      <c r="H793" s="8">
        <v>10</v>
      </c>
      <c r="I793" s="8"/>
      <c r="J793" s="8"/>
      <c r="K793" s="8">
        <v>10</v>
      </c>
      <c r="L793" s="18">
        <v>108000</v>
      </c>
      <c r="M793" s="7">
        <f t="shared" si="12"/>
        <v>1080000</v>
      </c>
      <c r="N793" s="4"/>
      <c r="O793" s="9"/>
    </row>
    <row r="794" spans="1:15" ht="20" customHeight="1" x14ac:dyDescent="0.2">
      <c r="A794" s="3">
        <v>790</v>
      </c>
      <c r="B794" s="19"/>
      <c r="C794" s="4" t="s">
        <v>5698</v>
      </c>
      <c r="D794" s="4" t="s">
        <v>4909</v>
      </c>
      <c r="E794" s="4" t="s">
        <v>271</v>
      </c>
      <c r="F794" s="8">
        <v>5</v>
      </c>
      <c r="G794" s="8">
        <v>5</v>
      </c>
      <c r="H794" s="8">
        <v>5</v>
      </c>
      <c r="I794" s="8"/>
      <c r="J794" s="8"/>
      <c r="K794" s="8">
        <v>5</v>
      </c>
      <c r="L794" s="18">
        <v>100000</v>
      </c>
      <c r="M794" s="7">
        <f t="shared" si="12"/>
        <v>500000</v>
      </c>
      <c r="N794" s="4"/>
      <c r="O794" s="9"/>
    </row>
    <row r="795" spans="1:15" ht="20" customHeight="1" x14ac:dyDescent="0.2">
      <c r="A795" s="3">
        <v>791</v>
      </c>
      <c r="B795" s="19"/>
      <c r="C795" s="4" t="s">
        <v>5699</v>
      </c>
      <c r="D795" s="4" t="s">
        <v>4909</v>
      </c>
      <c r="E795" s="4" t="s">
        <v>271</v>
      </c>
      <c r="F795" s="8">
        <v>13</v>
      </c>
      <c r="G795" s="8">
        <v>13</v>
      </c>
      <c r="H795" s="8">
        <v>13</v>
      </c>
      <c r="I795" s="8"/>
      <c r="J795" s="8"/>
      <c r="K795" s="8">
        <v>13</v>
      </c>
      <c r="L795" s="18">
        <v>87000</v>
      </c>
      <c r="M795" s="7">
        <f t="shared" si="12"/>
        <v>1131000</v>
      </c>
      <c r="N795" s="4"/>
      <c r="O795" s="9"/>
    </row>
    <row r="796" spans="1:15" ht="20" customHeight="1" x14ac:dyDescent="0.2">
      <c r="A796" s="3">
        <v>792</v>
      </c>
      <c r="B796" s="19"/>
      <c r="C796" s="4" t="s">
        <v>5700</v>
      </c>
      <c r="D796" s="4" t="s">
        <v>4909</v>
      </c>
      <c r="E796" s="4" t="s">
        <v>271</v>
      </c>
      <c r="F796" s="8">
        <v>1</v>
      </c>
      <c r="G796" s="8">
        <v>1</v>
      </c>
      <c r="H796" s="8">
        <v>1</v>
      </c>
      <c r="I796" s="8"/>
      <c r="J796" s="8"/>
      <c r="K796" s="8">
        <v>1</v>
      </c>
      <c r="L796" s="18">
        <v>250000</v>
      </c>
      <c r="M796" s="7">
        <f t="shared" si="12"/>
        <v>250000</v>
      </c>
      <c r="N796" s="4"/>
      <c r="O796" s="9"/>
    </row>
    <row r="797" spans="1:15" ht="20" customHeight="1" x14ac:dyDescent="0.2">
      <c r="A797" s="3">
        <v>793</v>
      </c>
      <c r="B797" s="19"/>
      <c r="C797" s="4" t="s">
        <v>5701</v>
      </c>
      <c r="D797" s="4" t="s">
        <v>4909</v>
      </c>
      <c r="E797" s="4" t="s">
        <v>271</v>
      </c>
      <c r="F797" s="8">
        <v>80</v>
      </c>
      <c r="G797" s="8">
        <v>80</v>
      </c>
      <c r="H797" s="8">
        <v>80</v>
      </c>
      <c r="I797" s="8"/>
      <c r="J797" s="8"/>
      <c r="K797" s="8">
        <v>80</v>
      </c>
      <c r="L797" s="18">
        <v>7200</v>
      </c>
      <c r="M797" s="7">
        <f t="shared" si="12"/>
        <v>576000</v>
      </c>
      <c r="N797" s="4"/>
      <c r="O797" s="9"/>
    </row>
    <row r="798" spans="1:15" ht="20" customHeight="1" x14ac:dyDescent="0.2">
      <c r="A798" s="3">
        <v>794</v>
      </c>
      <c r="B798" s="19"/>
      <c r="C798" s="4" t="s">
        <v>5702</v>
      </c>
      <c r="D798" s="4" t="s">
        <v>4909</v>
      </c>
      <c r="E798" s="4" t="s">
        <v>271</v>
      </c>
      <c r="F798" s="8">
        <v>400</v>
      </c>
      <c r="G798" s="8">
        <v>400</v>
      </c>
      <c r="H798" s="8">
        <v>400</v>
      </c>
      <c r="I798" s="8"/>
      <c r="J798" s="8"/>
      <c r="K798" s="8">
        <v>400</v>
      </c>
      <c r="L798" s="18">
        <v>1100</v>
      </c>
      <c r="M798" s="7">
        <f t="shared" si="12"/>
        <v>440000</v>
      </c>
      <c r="N798" s="4"/>
      <c r="O798" s="9"/>
    </row>
    <row r="799" spans="1:15" ht="20" customHeight="1" x14ac:dyDescent="0.2">
      <c r="A799" s="3">
        <v>795</v>
      </c>
      <c r="B799" s="19"/>
      <c r="C799" s="4" t="s">
        <v>5703</v>
      </c>
      <c r="D799" s="4" t="s">
        <v>4909</v>
      </c>
      <c r="E799" s="4" t="s">
        <v>271</v>
      </c>
      <c r="F799" s="8">
        <v>20</v>
      </c>
      <c r="G799" s="8">
        <v>20</v>
      </c>
      <c r="H799" s="8">
        <v>20</v>
      </c>
      <c r="I799" s="8"/>
      <c r="J799" s="8"/>
      <c r="K799" s="8">
        <v>20</v>
      </c>
      <c r="L799" s="18">
        <v>1140</v>
      </c>
      <c r="M799" s="7">
        <f t="shared" si="12"/>
        <v>22800</v>
      </c>
      <c r="N799" s="4"/>
      <c r="O799" s="9"/>
    </row>
    <row r="800" spans="1:15" ht="20" customHeight="1" x14ac:dyDescent="0.2">
      <c r="A800" s="3">
        <v>796</v>
      </c>
      <c r="B800" s="19"/>
      <c r="C800" s="4" t="s">
        <v>5704</v>
      </c>
      <c r="D800" s="4" t="s">
        <v>4909</v>
      </c>
      <c r="E800" s="4" t="s">
        <v>271</v>
      </c>
      <c r="F800" s="8">
        <v>100</v>
      </c>
      <c r="G800" s="8">
        <v>100</v>
      </c>
      <c r="H800" s="8">
        <v>100</v>
      </c>
      <c r="I800" s="8"/>
      <c r="J800" s="8"/>
      <c r="K800" s="8">
        <v>100</v>
      </c>
      <c r="L800" s="18">
        <v>1750</v>
      </c>
      <c r="M800" s="7">
        <f t="shared" si="12"/>
        <v>175000</v>
      </c>
      <c r="N800" s="4"/>
      <c r="O800" s="9"/>
    </row>
    <row r="801" spans="1:15" ht="20" customHeight="1" x14ac:dyDescent="0.2">
      <c r="A801" s="3">
        <v>797</v>
      </c>
      <c r="B801" s="19"/>
      <c r="C801" s="4" t="s">
        <v>5705</v>
      </c>
      <c r="D801" s="4" t="s">
        <v>4909</v>
      </c>
      <c r="E801" s="4" t="s">
        <v>271</v>
      </c>
      <c r="F801" s="8">
        <v>700</v>
      </c>
      <c r="G801" s="8">
        <v>700</v>
      </c>
      <c r="H801" s="8">
        <v>700</v>
      </c>
      <c r="I801" s="8"/>
      <c r="J801" s="8"/>
      <c r="K801" s="8">
        <v>700</v>
      </c>
      <c r="L801" s="18">
        <v>285</v>
      </c>
      <c r="M801" s="7">
        <f t="shared" si="12"/>
        <v>199500</v>
      </c>
      <c r="N801" s="4"/>
      <c r="O801" s="9"/>
    </row>
    <row r="802" spans="1:15" ht="20" customHeight="1" x14ac:dyDescent="0.2">
      <c r="A802" s="3">
        <v>798</v>
      </c>
      <c r="B802" s="19"/>
      <c r="C802" s="4" t="s">
        <v>5706</v>
      </c>
      <c r="D802" s="4" t="s">
        <v>4909</v>
      </c>
      <c r="E802" s="4" t="s">
        <v>271</v>
      </c>
      <c r="F802" s="8">
        <v>130</v>
      </c>
      <c r="G802" s="8">
        <v>130</v>
      </c>
      <c r="H802" s="8">
        <v>130</v>
      </c>
      <c r="I802" s="8"/>
      <c r="J802" s="8"/>
      <c r="K802" s="8">
        <v>130</v>
      </c>
      <c r="L802" s="18">
        <v>4100</v>
      </c>
      <c r="M802" s="7">
        <f t="shared" si="12"/>
        <v>533000</v>
      </c>
      <c r="N802" s="4"/>
      <c r="O802" s="9"/>
    </row>
    <row r="803" spans="1:15" ht="20" customHeight="1" x14ac:dyDescent="0.2">
      <c r="A803" s="3">
        <v>799</v>
      </c>
      <c r="B803" s="19"/>
      <c r="C803" s="4" t="s">
        <v>5707</v>
      </c>
      <c r="D803" s="4" t="s">
        <v>4909</v>
      </c>
      <c r="E803" s="4" t="s">
        <v>271</v>
      </c>
      <c r="F803" s="8">
        <v>40</v>
      </c>
      <c r="G803" s="8">
        <v>40</v>
      </c>
      <c r="H803" s="8">
        <v>40</v>
      </c>
      <c r="I803" s="8"/>
      <c r="J803" s="8"/>
      <c r="K803" s="8">
        <v>40</v>
      </c>
      <c r="L803" s="18">
        <v>5580</v>
      </c>
      <c r="M803" s="7">
        <f t="shared" si="12"/>
        <v>223200</v>
      </c>
      <c r="N803" s="4"/>
      <c r="O803" s="9"/>
    </row>
    <row r="804" spans="1:15" ht="20" customHeight="1" x14ac:dyDescent="0.2">
      <c r="A804" s="3">
        <v>800</v>
      </c>
      <c r="B804" s="19"/>
      <c r="C804" s="4" t="s">
        <v>5708</v>
      </c>
      <c r="D804" s="4" t="s">
        <v>4909</v>
      </c>
      <c r="E804" s="4" t="s">
        <v>271</v>
      </c>
      <c r="F804" s="8">
        <v>15</v>
      </c>
      <c r="G804" s="8">
        <v>15</v>
      </c>
      <c r="H804" s="8">
        <v>15</v>
      </c>
      <c r="I804" s="8"/>
      <c r="J804" s="8"/>
      <c r="K804" s="8">
        <v>15</v>
      </c>
      <c r="L804" s="18">
        <v>6100</v>
      </c>
      <c r="M804" s="7">
        <f t="shared" si="12"/>
        <v>91500</v>
      </c>
      <c r="N804" s="4"/>
      <c r="O804" s="9"/>
    </row>
    <row r="805" spans="1:15" ht="20" customHeight="1" x14ac:dyDescent="0.2">
      <c r="A805" s="3">
        <v>801</v>
      </c>
      <c r="B805" s="19"/>
      <c r="C805" s="4" t="s">
        <v>5709</v>
      </c>
      <c r="D805" s="4" t="s">
        <v>4909</v>
      </c>
      <c r="E805" s="4" t="s">
        <v>271</v>
      </c>
      <c r="F805" s="8">
        <v>80</v>
      </c>
      <c r="G805" s="8">
        <v>80</v>
      </c>
      <c r="H805" s="8">
        <v>80</v>
      </c>
      <c r="I805" s="8"/>
      <c r="J805" s="8"/>
      <c r="K805" s="8">
        <v>80</v>
      </c>
      <c r="L805" s="18">
        <v>8100</v>
      </c>
      <c r="M805" s="7">
        <f t="shared" si="12"/>
        <v>648000</v>
      </c>
      <c r="N805" s="4"/>
      <c r="O805" s="9"/>
    </row>
    <row r="806" spans="1:15" ht="20" customHeight="1" x14ac:dyDescent="0.2">
      <c r="A806" s="3">
        <v>802</v>
      </c>
      <c r="B806" s="19"/>
      <c r="C806" s="4" t="s">
        <v>5710</v>
      </c>
      <c r="D806" s="4" t="s">
        <v>4909</v>
      </c>
      <c r="E806" s="4" t="s">
        <v>271</v>
      </c>
      <c r="F806" s="8">
        <v>50</v>
      </c>
      <c r="G806" s="8">
        <v>50</v>
      </c>
      <c r="H806" s="8">
        <v>50</v>
      </c>
      <c r="I806" s="8"/>
      <c r="J806" s="8"/>
      <c r="K806" s="8">
        <v>50</v>
      </c>
      <c r="L806" s="18">
        <v>5580</v>
      </c>
      <c r="M806" s="7">
        <f t="shared" si="12"/>
        <v>279000</v>
      </c>
      <c r="N806" s="4"/>
      <c r="O806" s="9"/>
    </row>
    <row r="807" spans="1:15" ht="20" customHeight="1" x14ac:dyDescent="0.2">
      <c r="A807" s="3">
        <v>803</v>
      </c>
      <c r="B807" s="19"/>
      <c r="C807" s="4" t="s">
        <v>5711</v>
      </c>
      <c r="D807" s="4" t="s">
        <v>4909</v>
      </c>
      <c r="E807" s="4" t="s">
        <v>271</v>
      </c>
      <c r="F807" s="8">
        <v>15</v>
      </c>
      <c r="G807" s="8">
        <v>15</v>
      </c>
      <c r="H807" s="8">
        <v>15</v>
      </c>
      <c r="I807" s="8"/>
      <c r="J807" s="8"/>
      <c r="K807" s="8">
        <v>15</v>
      </c>
      <c r="L807" s="18">
        <v>6100</v>
      </c>
      <c r="M807" s="7">
        <f t="shared" si="12"/>
        <v>91500</v>
      </c>
      <c r="N807" s="4"/>
      <c r="O807" s="9"/>
    </row>
    <row r="808" spans="1:15" ht="20" customHeight="1" x14ac:dyDescent="0.2">
      <c r="A808" s="3">
        <v>804</v>
      </c>
      <c r="B808" s="19"/>
      <c r="C808" s="4" t="s">
        <v>5712</v>
      </c>
      <c r="D808" s="4" t="s">
        <v>4909</v>
      </c>
      <c r="E808" s="4" t="s">
        <v>271</v>
      </c>
      <c r="F808" s="8">
        <v>200</v>
      </c>
      <c r="G808" s="8">
        <v>200</v>
      </c>
      <c r="H808" s="8">
        <v>200</v>
      </c>
      <c r="I808" s="8"/>
      <c r="J808" s="8"/>
      <c r="K808" s="8">
        <v>200</v>
      </c>
      <c r="L808" s="18">
        <v>8100</v>
      </c>
      <c r="M808" s="7">
        <f t="shared" si="12"/>
        <v>1620000</v>
      </c>
      <c r="N808" s="4"/>
      <c r="O808" s="9"/>
    </row>
    <row r="809" spans="1:15" ht="20" customHeight="1" x14ac:dyDescent="0.2">
      <c r="A809" s="3">
        <v>805</v>
      </c>
      <c r="B809" s="19"/>
      <c r="C809" s="4" t="s">
        <v>5713</v>
      </c>
      <c r="D809" s="4" t="s">
        <v>4909</v>
      </c>
      <c r="E809" s="4" t="s">
        <v>271</v>
      </c>
      <c r="F809" s="8">
        <v>10</v>
      </c>
      <c r="G809" s="8">
        <v>10</v>
      </c>
      <c r="H809" s="8">
        <v>10</v>
      </c>
      <c r="I809" s="8"/>
      <c r="J809" s="8"/>
      <c r="K809" s="8">
        <v>10</v>
      </c>
      <c r="L809" s="18">
        <v>5580</v>
      </c>
      <c r="M809" s="7">
        <f t="shared" si="12"/>
        <v>55800</v>
      </c>
      <c r="N809" s="4"/>
      <c r="O809" s="9"/>
    </row>
    <row r="810" spans="1:15" ht="20" customHeight="1" x14ac:dyDescent="0.2">
      <c r="A810" s="3">
        <v>806</v>
      </c>
      <c r="B810" s="19"/>
      <c r="C810" s="4" t="s">
        <v>5714</v>
      </c>
      <c r="D810" s="4" t="s">
        <v>4909</v>
      </c>
      <c r="E810" s="4" t="s">
        <v>271</v>
      </c>
      <c r="F810" s="8">
        <v>10</v>
      </c>
      <c r="G810" s="8">
        <v>10</v>
      </c>
      <c r="H810" s="8">
        <v>10</v>
      </c>
      <c r="I810" s="8"/>
      <c r="J810" s="8"/>
      <c r="K810" s="8">
        <v>10</v>
      </c>
      <c r="L810" s="18">
        <v>6100</v>
      </c>
      <c r="M810" s="7">
        <f t="shared" si="12"/>
        <v>61000</v>
      </c>
      <c r="N810" s="4"/>
      <c r="O810" s="9"/>
    </row>
    <row r="811" spans="1:15" ht="20" customHeight="1" x14ac:dyDescent="0.2">
      <c r="A811" s="3">
        <v>807</v>
      </c>
      <c r="B811" s="19"/>
      <c r="C811" s="4" t="s">
        <v>5715</v>
      </c>
      <c r="D811" s="4" t="s">
        <v>4909</v>
      </c>
      <c r="E811" s="4" t="s">
        <v>271</v>
      </c>
      <c r="F811" s="8">
        <v>170</v>
      </c>
      <c r="G811" s="8">
        <v>170</v>
      </c>
      <c r="H811" s="8">
        <v>170</v>
      </c>
      <c r="I811" s="8"/>
      <c r="J811" s="8"/>
      <c r="K811" s="8">
        <v>170</v>
      </c>
      <c r="L811" s="18">
        <v>8100</v>
      </c>
      <c r="M811" s="7">
        <f t="shared" si="12"/>
        <v>1377000</v>
      </c>
      <c r="N811" s="4"/>
      <c r="O811" s="9"/>
    </row>
    <row r="812" spans="1:15" ht="20" customHeight="1" x14ac:dyDescent="0.2">
      <c r="A812" s="3">
        <v>808</v>
      </c>
      <c r="B812" s="19"/>
      <c r="C812" s="4" t="s">
        <v>5716</v>
      </c>
      <c r="D812" s="4" t="s">
        <v>4909</v>
      </c>
      <c r="E812" s="4" t="s">
        <v>271</v>
      </c>
      <c r="F812" s="8">
        <v>200</v>
      </c>
      <c r="G812" s="8">
        <v>200</v>
      </c>
      <c r="H812" s="8">
        <v>200</v>
      </c>
      <c r="I812" s="8"/>
      <c r="J812" s="8"/>
      <c r="K812" s="8">
        <v>200</v>
      </c>
      <c r="L812" s="18">
        <v>13350</v>
      </c>
      <c r="M812" s="7">
        <f t="shared" si="12"/>
        <v>2670000</v>
      </c>
      <c r="N812" s="4"/>
      <c r="O812" s="9"/>
    </row>
    <row r="813" spans="1:15" ht="20" customHeight="1" x14ac:dyDescent="0.2">
      <c r="A813" s="3">
        <v>809</v>
      </c>
      <c r="B813" s="19"/>
      <c r="C813" s="4" t="s">
        <v>5717</v>
      </c>
      <c r="D813" s="4" t="s">
        <v>4909</v>
      </c>
      <c r="E813" s="4" t="s">
        <v>196</v>
      </c>
      <c r="F813" s="8">
        <v>400</v>
      </c>
      <c r="G813" s="8">
        <v>400</v>
      </c>
      <c r="H813" s="8">
        <v>400</v>
      </c>
      <c r="I813" s="8"/>
      <c r="J813" s="8"/>
      <c r="K813" s="8">
        <v>500</v>
      </c>
      <c r="L813" s="18">
        <v>11770</v>
      </c>
      <c r="M813" s="7">
        <f t="shared" si="12"/>
        <v>5885000</v>
      </c>
      <c r="N813" s="4"/>
      <c r="O813" s="9"/>
    </row>
    <row r="814" spans="1:15" ht="20" customHeight="1" x14ac:dyDescent="0.2">
      <c r="A814" s="3">
        <v>810</v>
      </c>
      <c r="B814" s="19"/>
      <c r="C814" s="4" t="s">
        <v>5718</v>
      </c>
      <c r="D814" s="4" t="s">
        <v>4909</v>
      </c>
      <c r="E814" s="4" t="s">
        <v>271</v>
      </c>
      <c r="F814" s="8">
        <v>8</v>
      </c>
      <c r="G814" s="8">
        <v>8</v>
      </c>
      <c r="H814" s="8">
        <v>8</v>
      </c>
      <c r="I814" s="8"/>
      <c r="J814" s="8"/>
      <c r="K814" s="8">
        <v>25</v>
      </c>
      <c r="L814" s="18">
        <v>12840</v>
      </c>
      <c r="M814" s="7">
        <f t="shared" si="12"/>
        <v>321000</v>
      </c>
      <c r="N814" s="4"/>
      <c r="O814" s="9"/>
    </row>
    <row r="815" spans="1:15" ht="20" customHeight="1" x14ac:dyDescent="0.2">
      <c r="A815" s="3">
        <v>811</v>
      </c>
      <c r="B815" s="19"/>
      <c r="C815" s="4" t="s">
        <v>5719</v>
      </c>
      <c r="D815" s="4" t="s">
        <v>4909</v>
      </c>
      <c r="E815" s="4" t="s">
        <v>271</v>
      </c>
      <c r="F815" s="8">
        <v>14</v>
      </c>
      <c r="G815" s="8">
        <v>14</v>
      </c>
      <c r="H815" s="8">
        <v>14</v>
      </c>
      <c r="I815" s="8"/>
      <c r="J815" s="8"/>
      <c r="K815" s="8">
        <v>25</v>
      </c>
      <c r="L815" s="18">
        <v>14980</v>
      </c>
      <c r="M815" s="7">
        <f t="shared" si="12"/>
        <v>374500</v>
      </c>
      <c r="N815" s="4"/>
      <c r="O815" s="9"/>
    </row>
    <row r="816" spans="1:15" ht="20" customHeight="1" x14ac:dyDescent="0.2">
      <c r="A816" s="3">
        <v>812</v>
      </c>
      <c r="B816" s="19"/>
      <c r="C816" s="4" t="s">
        <v>5720</v>
      </c>
      <c r="D816" s="4" t="s">
        <v>4909</v>
      </c>
      <c r="E816" s="4" t="s">
        <v>271</v>
      </c>
      <c r="F816" s="8">
        <v>4</v>
      </c>
      <c r="G816" s="8">
        <v>4</v>
      </c>
      <c r="H816" s="8"/>
      <c r="I816" s="8"/>
      <c r="J816" s="8"/>
      <c r="K816" s="8">
        <v>25</v>
      </c>
      <c r="L816" s="18">
        <v>35321</v>
      </c>
      <c r="M816" s="7">
        <f t="shared" si="12"/>
        <v>883025</v>
      </c>
      <c r="N816" s="4"/>
      <c r="O816" s="9"/>
    </row>
    <row r="817" spans="1:15" ht="20" customHeight="1" x14ac:dyDescent="0.2">
      <c r="A817" s="3">
        <v>813</v>
      </c>
      <c r="B817" s="19"/>
      <c r="C817" s="4" t="s">
        <v>5721</v>
      </c>
      <c r="D817" s="4" t="s">
        <v>4909</v>
      </c>
      <c r="E817" s="4" t="s">
        <v>271</v>
      </c>
      <c r="F817" s="8">
        <v>10</v>
      </c>
      <c r="G817" s="8">
        <v>10</v>
      </c>
      <c r="H817" s="8">
        <v>10</v>
      </c>
      <c r="I817" s="8"/>
      <c r="J817" s="8"/>
      <c r="K817" s="8">
        <v>10</v>
      </c>
      <c r="L817" s="18">
        <v>42800</v>
      </c>
      <c r="M817" s="7">
        <f t="shared" si="12"/>
        <v>428000</v>
      </c>
      <c r="N817" s="4"/>
      <c r="O817" s="9"/>
    </row>
    <row r="818" spans="1:15" ht="20" customHeight="1" x14ac:dyDescent="0.2">
      <c r="A818" s="3">
        <v>814</v>
      </c>
      <c r="B818" s="19"/>
      <c r="C818" s="4" t="s">
        <v>5722</v>
      </c>
      <c r="D818" s="4" t="s">
        <v>4909</v>
      </c>
      <c r="E818" s="4" t="s">
        <v>271</v>
      </c>
      <c r="F818" s="8">
        <v>30</v>
      </c>
      <c r="G818" s="8">
        <v>30</v>
      </c>
      <c r="H818" s="8">
        <v>30</v>
      </c>
      <c r="I818" s="8"/>
      <c r="J818" s="8"/>
      <c r="K818" s="8">
        <v>30</v>
      </c>
      <c r="L818" s="18">
        <v>215000</v>
      </c>
      <c r="M818" s="7">
        <f t="shared" si="12"/>
        <v>6450000</v>
      </c>
      <c r="N818" s="4"/>
      <c r="O818" s="9"/>
    </row>
    <row r="819" spans="1:15" ht="20" customHeight="1" x14ac:dyDescent="0.2">
      <c r="A819" s="3">
        <v>815</v>
      </c>
      <c r="B819" s="19"/>
      <c r="C819" s="4" t="s">
        <v>5723</v>
      </c>
      <c r="D819" s="4" t="s">
        <v>4909</v>
      </c>
      <c r="E819" s="4" t="s">
        <v>271</v>
      </c>
      <c r="F819" s="8">
        <v>15</v>
      </c>
      <c r="G819" s="8">
        <v>15</v>
      </c>
      <c r="H819" s="8">
        <v>15</v>
      </c>
      <c r="I819" s="8"/>
      <c r="J819" s="8"/>
      <c r="K819" s="8">
        <v>15</v>
      </c>
      <c r="L819" s="18">
        <v>200000</v>
      </c>
      <c r="M819" s="7">
        <f t="shared" si="12"/>
        <v>3000000</v>
      </c>
      <c r="N819" s="4"/>
      <c r="O819" s="9"/>
    </row>
    <row r="820" spans="1:15" ht="20" customHeight="1" x14ac:dyDescent="0.2">
      <c r="A820" s="3">
        <v>816</v>
      </c>
      <c r="B820" s="19"/>
      <c r="C820" s="4" t="s">
        <v>5724</v>
      </c>
      <c r="D820" s="4" t="s">
        <v>4909</v>
      </c>
      <c r="E820" s="4" t="s">
        <v>271</v>
      </c>
      <c r="F820" s="8">
        <v>20</v>
      </c>
      <c r="G820" s="8">
        <v>20</v>
      </c>
      <c r="H820" s="8">
        <v>20</v>
      </c>
      <c r="I820" s="8"/>
      <c r="J820" s="8"/>
      <c r="K820" s="8">
        <v>20</v>
      </c>
      <c r="L820" s="18">
        <v>90000</v>
      </c>
      <c r="M820" s="7">
        <f t="shared" si="12"/>
        <v>1800000</v>
      </c>
      <c r="N820" s="4"/>
      <c r="O820" s="9"/>
    </row>
    <row r="821" spans="1:15" ht="20" customHeight="1" x14ac:dyDescent="0.2">
      <c r="A821" s="3">
        <v>817</v>
      </c>
      <c r="B821" s="19"/>
      <c r="C821" s="4" t="s">
        <v>5725</v>
      </c>
      <c r="D821" s="4" t="s">
        <v>4909</v>
      </c>
      <c r="E821" s="4" t="s">
        <v>271</v>
      </c>
      <c r="F821" s="8">
        <v>500</v>
      </c>
      <c r="G821" s="8">
        <v>500</v>
      </c>
      <c r="H821" s="8">
        <v>500</v>
      </c>
      <c r="I821" s="8"/>
      <c r="J821" s="8"/>
      <c r="K821" s="8">
        <v>500</v>
      </c>
      <c r="L821" s="18">
        <v>3210</v>
      </c>
      <c r="M821" s="7">
        <f t="shared" si="12"/>
        <v>1605000</v>
      </c>
      <c r="N821" s="4"/>
      <c r="O821" s="9"/>
    </row>
    <row r="822" spans="1:15" ht="20" customHeight="1" x14ac:dyDescent="0.2">
      <c r="A822" s="3">
        <v>818</v>
      </c>
      <c r="B822" s="19"/>
      <c r="C822" s="4" t="s">
        <v>5726</v>
      </c>
      <c r="D822" s="4" t="s">
        <v>4909</v>
      </c>
      <c r="E822" s="4" t="s">
        <v>271</v>
      </c>
      <c r="F822" s="8">
        <v>500</v>
      </c>
      <c r="G822" s="8">
        <v>500</v>
      </c>
      <c r="H822" s="8">
        <v>500</v>
      </c>
      <c r="I822" s="8"/>
      <c r="J822" s="8"/>
      <c r="K822" s="8">
        <v>500</v>
      </c>
      <c r="L822" s="18">
        <v>2568</v>
      </c>
      <c r="M822" s="7">
        <f t="shared" si="12"/>
        <v>1284000</v>
      </c>
      <c r="N822" s="4"/>
      <c r="O822" s="9"/>
    </row>
    <row r="823" spans="1:15" ht="20" customHeight="1" x14ac:dyDescent="0.2">
      <c r="A823" s="3">
        <v>819</v>
      </c>
      <c r="B823" s="19"/>
      <c r="C823" s="4" t="s">
        <v>5727</v>
      </c>
      <c r="D823" s="4" t="s">
        <v>4909</v>
      </c>
      <c r="E823" s="4" t="s">
        <v>271</v>
      </c>
      <c r="F823" s="8">
        <v>3000</v>
      </c>
      <c r="G823" s="8">
        <v>3000</v>
      </c>
      <c r="H823" s="8">
        <v>3000</v>
      </c>
      <c r="I823" s="8"/>
      <c r="J823" s="8"/>
      <c r="K823" s="8">
        <v>3000</v>
      </c>
      <c r="L823" s="18">
        <v>350</v>
      </c>
      <c r="M823" s="7">
        <f t="shared" si="12"/>
        <v>1050000</v>
      </c>
      <c r="N823" s="4"/>
      <c r="O823" s="9"/>
    </row>
    <row r="824" spans="1:15" ht="20" customHeight="1" x14ac:dyDescent="0.2">
      <c r="A824" s="3">
        <v>820</v>
      </c>
      <c r="B824" s="19"/>
      <c r="C824" s="4" t="s">
        <v>5728</v>
      </c>
      <c r="D824" s="4" t="s">
        <v>4909</v>
      </c>
      <c r="E824" s="4" t="s">
        <v>271</v>
      </c>
      <c r="F824" s="8">
        <v>4500</v>
      </c>
      <c r="G824" s="8">
        <v>4500</v>
      </c>
      <c r="H824" s="8">
        <v>4500</v>
      </c>
      <c r="I824" s="8"/>
      <c r="J824" s="8"/>
      <c r="K824" s="8">
        <v>4500</v>
      </c>
      <c r="L824" s="18">
        <v>360</v>
      </c>
      <c r="M824" s="7">
        <f t="shared" si="12"/>
        <v>1620000</v>
      </c>
      <c r="N824" s="4"/>
      <c r="O824" s="9"/>
    </row>
    <row r="825" spans="1:15" ht="20" customHeight="1" x14ac:dyDescent="0.2">
      <c r="A825" s="3">
        <v>821</v>
      </c>
      <c r="B825" s="19"/>
      <c r="C825" s="4" t="s">
        <v>5729</v>
      </c>
      <c r="D825" s="4" t="s">
        <v>4909</v>
      </c>
      <c r="E825" s="4" t="s">
        <v>271</v>
      </c>
      <c r="F825" s="8">
        <v>350</v>
      </c>
      <c r="G825" s="8">
        <v>350</v>
      </c>
      <c r="H825" s="8">
        <v>350</v>
      </c>
      <c r="I825" s="8"/>
      <c r="J825" s="8"/>
      <c r="K825" s="8">
        <v>350</v>
      </c>
      <c r="L825" s="18">
        <v>220</v>
      </c>
      <c r="M825" s="7">
        <f t="shared" si="12"/>
        <v>77000</v>
      </c>
      <c r="N825" s="4"/>
      <c r="O825" s="9"/>
    </row>
    <row r="826" spans="1:15" ht="20" customHeight="1" x14ac:dyDescent="0.2">
      <c r="A826" s="3">
        <v>822</v>
      </c>
      <c r="B826" s="19"/>
      <c r="C826" s="4" t="s">
        <v>5730</v>
      </c>
      <c r="D826" s="4" t="s">
        <v>4909</v>
      </c>
      <c r="E826" s="4" t="s">
        <v>271</v>
      </c>
      <c r="F826" s="8">
        <v>200</v>
      </c>
      <c r="G826" s="8">
        <v>200</v>
      </c>
      <c r="H826" s="8">
        <v>200</v>
      </c>
      <c r="I826" s="8"/>
      <c r="J826" s="8"/>
      <c r="K826" s="8">
        <v>200</v>
      </c>
      <c r="L826" s="18">
        <v>270</v>
      </c>
      <c r="M826" s="7">
        <f t="shared" si="12"/>
        <v>54000</v>
      </c>
      <c r="N826" s="4"/>
      <c r="O826" s="9"/>
    </row>
    <row r="827" spans="1:15" ht="20" customHeight="1" x14ac:dyDescent="0.2">
      <c r="A827" s="3">
        <v>823</v>
      </c>
      <c r="B827" s="19"/>
      <c r="C827" s="4" t="s">
        <v>5731</v>
      </c>
      <c r="D827" s="4" t="s">
        <v>4909</v>
      </c>
      <c r="E827" s="4" t="s">
        <v>271</v>
      </c>
      <c r="F827" s="8">
        <v>190</v>
      </c>
      <c r="G827" s="8">
        <v>190</v>
      </c>
      <c r="H827" s="8">
        <v>190</v>
      </c>
      <c r="I827" s="8"/>
      <c r="J827" s="8"/>
      <c r="K827" s="8">
        <v>190</v>
      </c>
      <c r="L827" s="18">
        <v>3400</v>
      </c>
      <c r="M827" s="7">
        <f t="shared" si="12"/>
        <v>646000</v>
      </c>
      <c r="N827" s="4"/>
      <c r="O827" s="9"/>
    </row>
    <row r="828" spans="1:15" ht="20" customHeight="1" x14ac:dyDescent="0.2">
      <c r="A828" s="3">
        <v>824</v>
      </c>
      <c r="B828" s="19"/>
      <c r="C828" s="4" t="s">
        <v>5732</v>
      </c>
      <c r="D828" s="4" t="s">
        <v>4909</v>
      </c>
      <c r="E828" s="4" t="s">
        <v>271</v>
      </c>
      <c r="F828" s="8">
        <v>30</v>
      </c>
      <c r="G828" s="8">
        <v>30</v>
      </c>
      <c r="H828" s="8">
        <v>30</v>
      </c>
      <c r="I828" s="8"/>
      <c r="J828" s="8"/>
      <c r="K828" s="8">
        <v>30</v>
      </c>
      <c r="L828" s="18">
        <v>3200</v>
      </c>
      <c r="M828" s="7">
        <f t="shared" si="12"/>
        <v>96000</v>
      </c>
      <c r="N828" s="4"/>
      <c r="O828" s="9"/>
    </row>
    <row r="829" spans="1:15" ht="20" customHeight="1" x14ac:dyDescent="0.2">
      <c r="A829" s="3">
        <v>825</v>
      </c>
      <c r="B829" s="19"/>
      <c r="C829" s="4" t="s">
        <v>5733</v>
      </c>
      <c r="D829" s="4" t="s">
        <v>4909</v>
      </c>
      <c r="E829" s="4" t="s">
        <v>271</v>
      </c>
      <c r="F829" s="8">
        <v>15</v>
      </c>
      <c r="G829" s="8">
        <v>15</v>
      </c>
      <c r="H829" s="8">
        <v>15</v>
      </c>
      <c r="I829" s="8"/>
      <c r="J829" s="8"/>
      <c r="K829" s="8">
        <v>15</v>
      </c>
      <c r="L829" s="18">
        <v>2900</v>
      </c>
      <c r="M829" s="7">
        <f t="shared" si="12"/>
        <v>43500</v>
      </c>
      <c r="N829" s="4"/>
      <c r="O829" s="9"/>
    </row>
    <row r="830" spans="1:15" ht="20" customHeight="1" x14ac:dyDescent="0.2">
      <c r="A830" s="3">
        <v>826</v>
      </c>
      <c r="B830" s="19"/>
      <c r="C830" s="4" t="s">
        <v>5734</v>
      </c>
      <c r="D830" s="4" t="s">
        <v>4909</v>
      </c>
      <c r="E830" s="4" t="s">
        <v>271</v>
      </c>
      <c r="F830" s="8">
        <v>1440</v>
      </c>
      <c r="G830" s="8">
        <v>1440</v>
      </c>
      <c r="H830" s="8">
        <v>1440</v>
      </c>
      <c r="I830" s="8"/>
      <c r="J830" s="8"/>
      <c r="K830" s="8">
        <v>1440</v>
      </c>
      <c r="L830" s="18">
        <v>250</v>
      </c>
      <c r="M830" s="7">
        <f t="shared" si="12"/>
        <v>360000</v>
      </c>
      <c r="N830" s="4"/>
      <c r="O830" s="9"/>
    </row>
    <row r="831" spans="1:15" ht="20" customHeight="1" x14ac:dyDescent="0.2">
      <c r="A831" s="3">
        <v>827</v>
      </c>
      <c r="B831" s="19"/>
      <c r="C831" s="4" t="s">
        <v>5735</v>
      </c>
      <c r="D831" s="4" t="s">
        <v>4909</v>
      </c>
      <c r="E831" s="4" t="s">
        <v>271</v>
      </c>
      <c r="F831" s="8">
        <v>950</v>
      </c>
      <c r="G831" s="8">
        <v>950</v>
      </c>
      <c r="H831" s="8">
        <v>950</v>
      </c>
      <c r="I831" s="8"/>
      <c r="J831" s="8"/>
      <c r="K831" s="8">
        <v>950</v>
      </c>
      <c r="L831" s="18">
        <v>220</v>
      </c>
      <c r="M831" s="7">
        <f t="shared" si="12"/>
        <v>209000</v>
      </c>
      <c r="N831" s="4"/>
      <c r="O831" s="9"/>
    </row>
    <row r="832" spans="1:15" ht="20" customHeight="1" x14ac:dyDescent="0.2">
      <c r="A832" s="3">
        <v>828</v>
      </c>
      <c r="B832" s="19"/>
      <c r="C832" s="4" t="s">
        <v>5736</v>
      </c>
      <c r="D832" s="4" t="s">
        <v>4909</v>
      </c>
      <c r="E832" s="4" t="s">
        <v>271</v>
      </c>
      <c r="F832" s="8">
        <v>750</v>
      </c>
      <c r="G832" s="8">
        <v>750</v>
      </c>
      <c r="H832" s="8">
        <v>750</v>
      </c>
      <c r="I832" s="8"/>
      <c r="J832" s="8"/>
      <c r="K832" s="8">
        <v>750</v>
      </c>
      <c r="L832" s="18">
        <v>270</v>
      </c>
      <c r="M832" s="7">
        <f t="shared" si="12"/>
        <v>202500</v>
      </c>
      <c r="N832" s="4"/>
      <c r="O832" s="9"/>
    </row>
    <row r="833" spans="1:15" ht="20" customHeight="1" x14ac:dyDescent="0.2">
      <c r="A833" s="3">
        <v>829</v>
      </c>
      <c r="B833" s="19"/>
      <c r="C833" s="4" t="s">
        <v>5737</v>
      </c>
      <c r="D833" s="4" t="s">
        <v>4909</v>
      </c>
      <c r="E833" s="4" t="s">
        <v>271</v>
      </c>
      <c r="F833" s="8">
        <v>700</v>
      </c>
      <c r="G833" s="8">
        <v>700</v>
      </c>
      <c r="H833" s="8">
        <v>700</v>
      </c>
      <c r="I833" s="8"/>
      <c r="J833" s="8"/>
      <c r="K833" s="8">
        <v>700</v>
      </c>
      <c r="L833" s="18">
        <v>300</v>
      </c>
      <c r="M833" s="7">
        <f t="shared" si="12"/>
        <v>210000</v>
      </c>
      <c r="N833" s="4"/>
      <c r="O833" s="9"/>
    </row>
    <row r="834" spans="1:15" ht="20" customHeight="1" x14ac:dyDescent="0.2">
      <c r="A834" s="3">
        <v>830</v>
      </c>
      <c r="B834" s="19"/>
      <c r="C834" s="4" t="s">
        <v>5738</v>
      </c>
      <c r="D834" s="4" t="s">
        <v>4909</v>
      </c>
      <c r="E834" s="4" t="s">
        <v>271</v>
      </c>
      <c r="F834" s="8">
        <v>800</v>
      </c>
      <c r="G834" s="8">
        <v>800</v>
      </c>
      <c r="H834" s="8">
        <v>800</v>
      </c>
      <c r="I834" s="8"/>
      <c r="J834" s="8"/>
      <c r="K834" s="8">
        <v>800</v>
      </c>
      <c r="L834" s="18">
        <v>300</v>
      </c>
      <c r="M834" s="7">
        <f t="shared" si="12"/>
        <v>240000</v>
      </c>
      <c r="N834" s="4"/>
      <c r="O834" s="9"/>
    </row>
    <row r="835" spans="1:15" ht="20" customHeight="1" x14ac:dyDescent="0.2">
      <c r="A835" s="3">
        <v>831</v>
      </c>
      <c r="B835" s="19"/>
      <c r="C835" s="4" t="s">
        <v>5739</v>
      </c>
      <c r="D835" s="4" t="s">
        <v>4909</v>
      </c>
      <c r="E835" s="4" t="s">
        <v>271</v>
      </c>
      <c r="F835" s="8">
        <v>150</v>
      </c>
      <c r="G835" s="8">
        <v>150</v>
      </c>
      <c r="H835" s="8">
        <v>150</v>
      </c>
      <c r="I835" s="8"/>
      <c r="J835" s="8"/>
      <c r="K835" s="8">
        <v>150</v>
      </c>
      <c r="L835" s="18">
        <v>470</v>
      </c>
      <c r="M835" s="7">
        <f t="shared" si="12"/>
        <v>70500</v>
      </c>
      <c r="N835" s="4"/>
      <c r="O835" s="9"/>
    </row>
    <row r="836" spans="1:15" ht="20" customHeight="1" x14ac:dyDescent="0.2">
      <c r="A836" s="3">
        <v>832</v>
      </c>
      <c r="B836" s="19"/>
      <c r="C836" s="4" t="s">
        <v>5740</v>
      </c>
      <c r="D836" s="4" t="s">
        <v>4909</v>
      </c>
      <c r="E836" s="4" t="s">
        <v>271</v>
      </c>
      <c r="F836" s="8">
        <v>820</v>
      </c>
      <c r="G836" s="8">
        <v>820</v>
      </c>
      <c r="H836" s="8">
        <v>820</v>
      </c>
      <c r="I836" s="8"/>
      <c r="J836" s="8"/>
      <c r="K836" s="8">
        <v>820</v>
      </c>
      <c r="L836" s="18">
        <v>1050</v>
      </c>
      <c r="M836" s="7">
        <f t="shared" si="12"/>
        <v>861000</v>
      </c>
      <c r="N836" s="4"/>
      <c r="O836" s="9"/>
    </row>
    <row r="837" spans="1:15" ht="20" customHeight="1" x14ac:dyDescent="0.2">
      <c r="A837" s="3">
        <v>833</v>
      </c>
      <c r="B837" s="19"/>
      <c r="C837" s="4" t="s">
        <v>5741</v>
      </c>
      <c r="D837" s="4" t="s">
        <v>4909</v>
      </c>
      <c r="E837" s="4" t="s">
        <v>271</v>
      </c>
      <c r="F837" s="8">
        <v>300</v>
      </c>
      <c r="G837" s="8">
        <v>300</v>
      </c>
      <c r="H837" s="8">
        <v>300</v>
      </c>
      <c r="I837" s="8"/>
      <c r="J837" s="8"/>
      <c r="K837" s="8">
        <v>300</v>
      </c>
      <c r="L837" s="18">
        <v>1500</v>
      </c>
      <c r="M837" s="7">
        <f t="shared" ref="M837:M900" si="13">IF(OR(K837="",L837=""),"",K837*L837)</f>
        <v>450000</v>
      </c>
      <c r="N837" s="4"/>
      <c r="O837" s="9"/>
    </row>
    <row r="838" spans="1:15" ht="20" customHeight="1" x14ac:dyDescent="0.2">
      <c r="A838" s="3">
        <v>834</v>
      </c>
      <c r="B838" s="19"/>
      <c r="C838" s="4" t="s">
        <v>5742</v>
      </c>
      <c r="D838" s="4" t="s">
        <v>4909</v>
      </c>
      <c r="E838" s="4" t="s">
        <v>271</v>
      </c>
      <c r="F838" s="8">
        <v>180</v>
      </c>
      <c r="G838" s="8">
        <v>180</v>
      </c>
      <c r="H838" s="8">
        <v>180</v>
      </c>
      <c r="I838" s="8"/>
      <c r="J838" s="8"/>
      <c r="K838" s="8">
        <v>180</v>
      </c>
      <c r="L838" s="18">
        <v>1600</v>
      </c>
      <c r="M838" s="7">
        <f t="shared" si="13"/>
        <v>288000</v>
      </c>
      <c r="N838" s="4"/>
      <c r="O838" s="9"/>
    </row>
    <row r="839" spans="1:15" ht="20" customHeight="1" x14ac:dyDescent="0.2">
      <c r="A839" s="3">
        <v>835</v>
      </c>
      <c r="B839" s="19"/>
      <c r="C839" s="4" t="s">
        <v>5743</v>
      </c>
      <c r="D839" s="4" t="s">
        <v>4909</v>
      </c>
      <c r="E839" s="4" t="s">
        <v>271</v>
      </c>
      <c r="F839" s="8">
        <v>400</v>
      </c>
      <c r="G839" s="8">
        <v>400</v>
      </c>
      <c r="H839" s="8">
        <v>400</v>
      </c>
      <c r="I839" s="8"/>
      <c r="J839" s="8"/>
      <c r="K839" s="8">
        <v>400</v>
      </c>
      <c r="L839" s="18">
        <v>600</v>
      </c>
      <c r="M839" s="7">
        <f t="shared" si="13"/>
        <v>240000</v>
      </c>
      <c r="N839" s="4"/>
      <c r="O839" s="9"/>
    </row>
    <row r="840" spans="1:15" ht="20" customHeight="1" x14ac:dyDescent="0.2">
      <c r="A840" s="3">
        <v>836</v>
      </c>
      <c r="B840" s="19"/>
      <c r="C840" s="4" t="s">
        <v>5744</v>
      </c>
      <c r="D840" s="4" t="s">
        <v>4909</v>
      </c>
      <c r="E840" s="4" t="s">
        <v>271</v>
      </c>
      <c r="F840" s="8">
        <v>150</v>
      </c>
      <c r="G840" s="8">
        <v>150</v>
      </c>
      <c r="H840" s="8">
        <v>150</v>
      </c>
      <c r="I840" s="8"/>
      <c r="J840" s="8"/>
      <c r="K840" s="8">
        <v>150</v>
      </c>
      <c r="L840" s="18">
        <v>2900</v>
      </c>
      <c r="M840" s="7">
        <f t="shared" si="13"/>
        <v>435000</v>
      </c>
      <c r="N840" s="4"/>
      <c r="O840" s="9"/>
    </row>
    <row r="841" spans="1:15" ht="20" customHeight="1" x14ac:dyDescent="0.2">
      <c r="A841" s="3">
        <v>837</v>
      </c>
      <c r="B841" s="19"/>
      <c r="C841" s="4" t="s">
        <v>5745</v>
      </c>
      <c r="D841" s="4" t="s">
        <v>4909</v>
      </c>
      <c r="E841" s="4" t="s">
        <v>271</v>
      </c>
      <c r="F841" s="8">
        <v>20</v>
      </c>
      <c r="G841" s="8">
        <v>20</v>
      </c>
      <c r="H841" s="8">
        <v>20</v>
      </c>
      <c r="I841" s="8"/>
      <c r="J841" s="8"/>
      <c r="K841" s="8">
        <v>20</v>
      </c>
      <c r="L841" s="18">
        <v>4300</v>
      </c>
      <c r="M841" s="7">
        <f t="shared" si="13"/>
        <v>86000</v>
      </c>
      <c r="N841" s="4"/>
      <c r="O841" s="9"/>
    </row>
    <row r="842" spans="1:15" ht="20" customHeight="1" x14ac:dyDescent="0.2">
      <c r="A842" s="3">
        <v>838</v>
      </c>
      <c r="B842" s="19"/>
      <c r="C842" s="4" t="s">
        <v>5746</v>
      </c>
      <c r="D842" s="4" t="s">
        <v>4909</v>
      </c>
      <c r="E842" s="4" t="s">
        <v>271</v>
      </c>
      <c r="F842" s="8">
        <v>60</v>
      </c>
      <c r="G842" s="8">
        <v>60</v>
      </c>
      <c r="H842" s="8">
        <v>60</v>
      </c>
      <c r="I842" s="8"/>
      <c r="J842" s="8"/>
      <c r="K842" s="8">
        <v>60</v>
      </c>
      <c r="L842" s="18">
        <v>2200</v>
      </c>
      <c r="M842" s="7">
        <f t="shared" si="13"/>
        <v>132000</v>
      </c>
      <c r="N842" s="4"/>
      <c r="O842" s="9"/>
    </row>
    <row r="843" spans="1:15" ht="20" customHeight="1" x14ac:dyDescent="0.2">
      <c r="A843" s="3">
        <v>839</v>
      </c>
      <c r="B843" s="19"/>
      <c r="C843" s="4" t="s">
        <v>5747</v>
      </c>
      <c r="D843" s="4" t="s">
        <v>4909</v>
      </c>
      <c r="E843" s="4" t="s">
        <v>271</v>
      </c>
      <c r="F843" s="8">
        <v>80</v>
      </c>
      <c r="G843" s="8">
        <v>80</v>
      </c>
      <c r="H843" s="8">
        <v>80</v>
      </c>
      <c r="I843" s="8"/>
      <c r="J843" s="8"/>
      <c r="K843" s="8">
        <v>80</v>
      </c>
      <c r="L843" s="18">
        <v>1250</v>
      </c>
      <c r="M843" s="7">
        <f t="shared" si="13"/>
        <v>100000</v>
      </c>
      <c r="N843" s="4"/>
      <c r="O843" s="9"/>
    </row>
    <row r="844" spans="1:15" ht="20" customHeight="1" x14ac:dyDescent="0.2">
      <c r="A844" s="3">
        <v>840</v>
      </c>
      <c r="B844" s="19"/>
      <c r="C844" s="4" t="s">
        <v>5748</v>
      </c>
      <c r="D844" s="4" t="s">
        <v>4909</v>
      </c>
      <c r="E844" s="4" t="s">
        <v>271</v>
      </c>
      <c r="F844" s="8">
        <v>4400</v>
      </c>
      <c r="G844" s="8">
        <v>4400</v>
      </c>
      <c r="H844" s="8">
        <v>4400</v>
      </c>
      <c r="I844" s="8"/>
      <c r="J844" s="8"/>
      <c r="K844" s="8">
        <v>4400</v>
      </c>
      <c r="L844" s="18">
        <v>95</v>
      </c>
      <c r="M844" s="7">
        <f t="shared" si="13"/>
        <v>418000</v>
      </c>
      <c r="N844" s="4"/>
      <c r="O844" s="9"/>
    </row>
    <row r="845" spans="1:15" ht="20" customHeight="1" x14ac:dyDescent="0.2">
      <c r="A845" s="3">
        <v>841</v>
      </c>
      <c r="B845" s="19"/>
      <c r="C845" s="4" t="s">
        <v>5749</v>
      </c>
      <c r="D845" s="4" t="s">
        <v>4909</v>
      </c>
      <c r="E845" s="4" t="s">
        <v>271</v>
      </c>
      <c r="F845" s="8">
        <v>2400</v>
      </c>
      <c r="G845" s="8">
        <v>2400</v>
      </c>
      <c r="H845" s="8">
        <v>2400</v>
      </c>
      <c r="I845" s="8"/>
      <c r="J845" s="8"/>
      <c r="K845" s="8">
        <v>2400</v>
      </c>
      <c r="L845" s="18">
        <v>250</v>
      </c>
      <c r="M845" s="7">
        <f t="shared" si="13"/>
        <v>600000</v>
      </c>
      <c r="N845" s="4"/>
      <c r="O845" s="9"/>
    </row>
    <row r="846" spans="1:15" ht="20" customHeight="1" x14ac:dyDescent="0.2">
      <c r="A846" s="3">
        <v>842</v>
      </c>
      <c r="B846" s="19"/>
      <c r="C846" s="4" t="s">
        <v>5750</v>
      </c>
      <c r="D846" s="4" t="s">
        <v>4909</v>
      </c>
      <c r="E846" s="4" t="s">
        <v>271</v>
      </c>
      <c r="F846" s="8">
        <v>200</v>
      </c>
      <c r="G846" s="8">
        <v>200</v>
      </c>
      <c r="H846" s="8">
        <v>200</v>
      </c>
      <c r="I846" s="8"/>
      <c r="J846" s="8"/>
      <c r="K846" s="8">
        <v>200</v>
      </c>
      <c r="L846" s="18">
        <v>260</v>
      </c>
      <c r="M846" s="7">
        <f t="shared" si="13"/>
        <v>52000</v>
      </c>
      <c r="N846" s="4"/>
      <c r="O846" s="9"/>
    </row>
    <row r="847" spans="1:15" ht="20" customHeight="1" x14ac:dyDescent="0.2">
      <c r="A847" s="3">
        <v>843</v>
      </c>
      <c r="B847" s="19"/>
      <c r="C847" s="4" t="s">
        <v>5751</v>
      </c>
      <c r="D847" s="4" t="s">
        <v>4909</v>
      </c>
      <c r="E847" s="4" t="s">
        <v>271</v>
      </c>
      <c r="F847" s="8">
        <v>50</v>
      </c>
      <c r="G847" s="8">
        <v>50</v>
      </c>
      <c r="H847" s="8">
        <v>50</v>
      </c>
      <c r="I847" s="8"/>
      <c r="J847" s="8"/>
      <c r="K847" s="8">
        <v>50</v>
      </c>
      <c r="L847" s="18">
        <v>280</v>
      </c>
      <c r="M847" s="7">
        <f t="shared" si="13"/>
        <v>14000</v>
      </c>
      <c r="N847" s="4"/>
      <c r="O847" s="9"/>
    </row>
    <row r="848" spans="1:15" ht="20" customHeight="1" x14ac:dyDescent="0.2">
      <c r="A848" s="3">
        <v>844</v>
      </c>
      <c r="B848" s="19"/>
      <c r="C848" s="4" t="s">
        <v>5752</v>
      </c>
      <c r="D848" s="4" t="s">
        <v>4909</v>
      </c>
      <c r="E848" s="4" t="s">
        <v>271</v>
      </c>
      <c r="F848" s="8">
        <v>150</v>
      </c>
      <c r="G848" s="8">
        <v>150</v>
      </c>
      <c r="H848" s="8">
        <v>150</v>
      </c>
      <c r="I848" s="8"/>
      <c r="J848" s="8"/>
      <c r="K848" s="8">
        <v>150</v>
      </c>
      <c r="L848" s="18">
        <v>300</v>
      </c>
      <c r="M848" s="7">
        <f t="shared" si="13"/>
        <v>45000</v>
      </c>
      <c r="N848" s="4"/>
      <c r="O848" s="9"/>
    </row>
    <row r="849" spans="1:15" ht="20" customHeight="1" x14ac:dyDescent="0.2">
      <c r="A849" s="3">
        <v>845</v>
      </c>
      <c r="B849" s="19"/>
      <c r="C849" s="4" t="s">
        <v>5753</v>
      </c>
      <c r="D849" s="4" t="s">
        <v>4909</v>
      </c>
      <c r="E849" s="4" t="s">
        <v>271</v>
      </c>
      <c r="F849" s="8">
        <v>120</v>
      </c>
      <c r="G849" s="8">
        <v>120</v>
      </c>
      <c r="H849" s="8">
        <v>120</v>
      </c>
      <c r="I849" s="8"/>
      <c r="J849" s="8"/>
      <c r="K849" s="8">
        <v>120</v>
      </c>
      <c r="L849" s="18">
        <v>320</v>
      </c>
      <c r="M849" s="7">
        <f t="shared" si="13"/>
        <v>38400</v>
      </c>
      <c r="N849" s="4"/>
      <c r="O849" s="9"/>
    </row>
    <row r="850" spans="1:15" ht="20" customHeight="1" x14ac:dyDescent="0.2">
      <c r="A850" s="3">
        <v>846</v>
      </c>
      <c r="B850" s="19"/>
      <c r="C850" s="4" t="s">
        <v>5754</v>
      </c>
      <c r="D850" s="4" t="s">
        <v>4909</v>
      </c>
      <c r="E850" s="4" t="s">
        <v>271</v>
      </c>
      <c r="F850" s="8">
        <v>200</v>
      </c>
      <c r="G850" s="8">
        <v>200</v>
      </c>
      <c r="H850" s="8">
        <v>200</v>
      </c>
      <c r="I850" s="8"/>
      <c r="J850" s="8"/>
      <c r="K850" s="8">
        <v>200</v>
      </c>
      <c r="L850" s="18">
        <v>1500</v>
      </c>
      <c r="M850" s="7">
        <f t="shared" si="13"/>
        <v>300000</v>
      </c>
      <c r="N850" s="4"/>
      <c r="O850" s="9"/>
    </row>
    <row r="851" spans="1:15" ht="20" customHeight="1" x14ac:dyDescent="0.2">
      <c r="A851" s="3">
        <v>847</v>
      </c>
      <c r="B851" s="19"/>
      <c r="C851" s="4" t="s">
        <v>5755</v>
      </c>
      <c r="D851" s="4" t="s">
        <v>4909</v>
      </c>
      <c r="E851" s="4" t="s">
        <v>271</v>
      </c>
      <c r="F851" s="8">
        <v>90</v>
      </c>
      <c r="G851" s="8">
        <v>90</v>
      </c>
      <c r="H851" s="8">
        <v>90</v>
      </c>
      <c r="I851" s="8"/>
      <c r="J851" s="8"/>
      <c r="K851" s="8">
        <v>90</v>
      </c>
      <c r="L851" s="18">
        <v>1200</v>
      </c>
      <c r="M851" s="7">
        <f t="shared" si="13"/>
        <v>108000</v>
      </c>
      <c r="N851" s="4"/>
      <c r="O851" s="9"/>
    </row>
    <row r="852" spans="1:15" ht="20" customHeight="1" x14ac:dyDescent="0.2">
      <c r="A852" s="3">
        <v>848</v>
      </c>
      <c r="B852" s="19"/>
      <c r="C852" s="4" t="s">
        <v>5756</v>
      </c>
      <c r="D852" s="4" t="s">
        <v>4909</v>
      </c>
      <c r="E852" s="4" t="s">
        <v>271</v>
      </c>
      <c r="F852" s="8">
        <v>90</v>
      </c>
      <c r="G852" s="8">
        <v>90</v>
      </c>
      <c r="H852" s="8">
        <v>90</v>
      </c>
      <c r="I852" s="8"/>
      <c r="J852" s="8"/>
      <c r="K852" s="8">
        <v>90</v>
      </c>
      <c r="L852" s="18">
        <v>1200</v>
      </c>
      <c r="M852" s="7">
        <f t="shared" si="13"/>
        <v>108000</v>
      </c>
      <c r="N852" s="4"/>
      <c r="O852" s="9"/>
    </row>
    <row r="853" spans="1:15" ht="20" customHeight="1" x14ac:dyDescent="0.2">
      <c r="A853" s="3">
        <v>849</v>
      </c>
      <c r="B853" s="19"/>
      <c r="C853" s="4" t="s">
        <v>5757</v>
      </c>
      <c r="D853" s="4" t="s">
        <v>4909</v>
      </c>
      <c r="E853" s="4" t="s">
        <v>271</v>
      </c>
      <c r="F853" s="8">
        <v>45</v>
      </c>
      <c r="G853" s="8">
        <v>45</v>
      </c>
      <c r="H853" s="8">
        <v>45</v>
      </c>
      <c r="I853" s="8"/>
      <c r="J853" s="8"/>
      <c r="K853" s="8">
        <v>45</v>
      </c>
      <c r="L853" s="18">
        <v>2200</v>
      </c>
      <c r="M853" s="7">
        <f t="shared" si="13"/>
        <v>99000</v>
      </c>
      <c r="N853" s="4"/>
      <c r="O853" s="9"/>
    </row>
    <row r="854" spans="1:15" ht="20" customHeight="1" x14ac:dyDescent="0.2">
      <c r="A854" s="3">
        <v>850</v>
      </c>
      <c r="B854" s="19"/>
      <c r="C854" s="4" t="s">
        <v>5758</v>
      </c>
      <c r="D854" s="4" t="s">
        <v>4909</v>
      </c>
      <c r="E854" s="4" t="s">
        <v>271</v>
      </c>
      <c r="F854" s="8">
        <v>15</v>
      </c>
      <c r="G854" s="8">
        <v>15</v>
      </c>
      <c r="H854" s="8">
        <v>15</v>
      </c>
      <c r="I854" s="8"/>
      <c r="J854" s="8"/>
      <c r="K854" s="8">
        <v>15</v>
      </c>
      <c r="L854" s="18">
        <v>7500</v>
      </c>
      <c r="M854" s="7">
        <f t="shared" si="13"/>
        <v>112500</v>
      </c>
      <c r="N854" s="4"/>
      <c r="O854" s="9"/>
    </row>
    <row r="855" spans="1:15" ht="20" customHeight="1" x14ac:dyDescent="0.2">
      <c r="A855" s="3">
        <v>851</v>
      </c>
      <c r="B855" s="19"/>
      <c r="C855" s="4" t="s">
        <v>5759</v>
      </c>
      <c r="D855" s="4" t="s">
        <v>4909</v>
      </c>
      <c r="E855" s="4" t="s">
        <v>271</v>
      </c>
      <c r="F855" s="8">
        <v>50</v>
      </c>
      <c r="G855" s="8">
        <v>50</v>
      </c>
      <c r="H855" s="8">
        <v>50</v>
      </c>
      <c r="I855" s="8"/>
      <c r="J855" s="8"/>
      <c r="K855" s="8">
        <v>50</v>
      </c>
      <c r="L855" s="18">
        <v>1500</v>
      </c>
      <c r="M855" s="7">
        <f t="shared" si="13"/>
        <v>75000</v>
      </c>
      <c r="N855" s="4"/>
      <c r="O855" s="9"/>
    </row>
    <row r="856" spans="1:15" ht="20" customHeight="1" x14ac:dyDescent="0.2">
      <c r="A856" s="3">
        <v>852</v>
      </c>
      <c r="B856" s="19"/>
      <c r="C856" s="4" t="s">
        <v>5760</v>
      </c>
      <c r="D856" s="4" t="s">
        <v>4909</v>
      </c>
      <c r="E856" s="4" t="s">
        <v>271</v>
      </c>
      <c r="F856" s="8">
        <v>200</v>
      </c>
      <c r="G856" s="8">
        <v>200</v>
      </c>
      <c r="H856" s="8">
        <v>200</v>
      </c>
      <c r="I856" s="8"/>
      <c r="J856" s="8"/>
      <c r="K856" s="8">
        <v>200</v>
      </c>
      <c r="L856" s="18">
        <v>320</v>
      </c>
      <c r="M856" s="7">
        <f t="shared" si="13"/>
        <v>64000</v>
      </c>
      <c r="N856" s="4"/>
      <c r="O856" s="9"/>
    </row>
    <row r="857" spans="1:15" ht="20" customHeight="1" x14ac:dyDescent="0.2">
      <c r="A857" s="3">
        <v>853</v>
      </c>
      <c r="B857" s="19"/>
      <c r="C857" s="4" t="s">
        <v>5761</v>
      </c>
      <c r="D857" s="4" t="s">
        <v>4909</v>
      </c>
      <c r="E857" s="4" t="s">
        <v>271</v>
      </c>
      <c r="F857" s="8">
        <v>20</v>
      </c>
      <c r="G857" s="8">
        <v>20</v>
      </c>
      <c r="H857" s="8">
        <v>20</v>
      </c>
      <c r="I857" s="8"/>
      <c r="J857" s="8"/>
      <c r="K857" s="8">
        <v>20</v>
      </c>
      <c r="L857" s="18">
        <v>350</v>
      </c>
      <c r="M857" s="7">
        <f t="shared" si="13"/>
        <v>7000</v>
      </c>
      <c r="N857" s="4"/>
      <c r="O857" s="9"/>
    </row>
    <row r="858" spans="1:15" ht="20" customHeight="1" x14ac:dyDescent="0.2">
      <c r="A858" s="3">
        <v>854</v>
      </c>
      <c r="B858" s="19"/>
      <c r="C858" s="4" t="s">
        <v>5762</v>
      </c>
      <c r="D858" s="4" t="s">
        <v>4909</v>
      </c>
      <c r="E858" s="4" t="s">
        <v>271</v>
      </c>
      <c r="F858" s="8">
        <v>50</v>
      </c>
      <c r="G858" s="8">
        <v>50</v>
      </c>
      <c r="H858" s="8">
        <v>50</v>
      </c>
      <c r="I858" s="8"/>
      <c r="J858" s="8"/>
      <c r="K858" s="8">
        <v>50</v>
      </c>
      <c r="L858" s="18">
        <v>2500</v>
      </c>
      <c r="M858" s="7">
        <f t="shared" si="13"/>
        <v>125000</v>
      </c>
      <c r="N858" s="4"/>
      <c r="O858" s="9"/>
    </row>
    <row r="859" spans="1:15" ht="20" customHeight="1" x14ac:dyDescent="0.2">
      <c r="A859" s="3">
        <v>855</v>
      </c>
      <c r="B859" s="19"/>
      <c r="C859" s="4" t="s">
        <v>5763</v>
      </c>
      <c r="D859" s="4" t="s">
        <v>4909</v>
      </c>
      <c r="E859" s="4" t="s">
        <v>271</v>
      </c>
      <c r="F859" s="8">
        <v>20</v>
      </c>
      <c r="G859" s="8">
        <v>20</v>
      </c>
      <c r="H859" s="8">
        <v>20</v>
      </c>
      <c r="I859" s="8"/>
      <c r="J859" s="8"/>
      <c r="K859" s="8">
        <v>20</v>
      </c>
      <c r="L859" s="18">
        <v>1400</v>
      </c>
      <c r="M859" s="7">
        <f t="shared" si="13"/>
        <v>28000</v>
      </c>
      <c r="N859" s="4"/>
      <c r="O859" s="9"/>
    </row>
    <row r="860" spans="1:15" ht="20" customHeight="1" x14ac:dyDescent="0.2">
      <c r="A860" s="3">
        <v>856</v>
      </c>
      <c r="B860" s="19"/>
      <c r="C860" s="4" t="s">
        <v>5764</v>
      </c>
      <c r="D860" s="4" t="s">
        <v>4909</v>
      </c>
      <c r="E860" s="4" t="s">
        <v>271</v>
      </c>
      <c r="F860" s="8">
        <v>20</v>
      </c>
      <c r="G860" s="8">
        <v>20</v>
      </c>
      <c r="H860" s="8">
        <v>20</v>
      </c>
      <c r="I860" s="8"/>
      <c r="J860" s="8"/>
      <c r="K860" s="8">
        <v>20</v>
      </c>
      <c r="L860" s="18">
        <v>1400</v>
      </c>
      <c r="M860" s="7">
        <f t="shared" si="13"/>
        <v>28000</v>
      </c>
      <c r="N860" s="4"/>
      <c r="O860" s="9"/>
    </row>
    <row r="861" spans="1:15" ht="20" customHeight="1" x14ac:dyDescent="0.2">
      <c r="A861" s="3">
        <v>857</v>
      </c>
      <c r="B861" s="19"/>
      <c r="C861" s="4" t="s">
        <v>5765</v>
      </c>
      <c r="D861" s="4" t="s">
        <v>4909</v>
      </c>
      <c r="E861" s="4" t="s">
        <v>271</v>
      </c>
      <c r="F861" s="8">
        <v>150</v>
      </c>
      <c r="G861" s="8">
        <v>150</v>
      </c>
      <c r="H861" s="8">
        <v>150</v>
      </c>
      <c r="I861" s="8"/>
      <c r="J861" s="8"/>
      <c r="K861" s="8">
        <v>150</v>
      </c>
      <c r="L861" s="18">
        <v>1300</v>
      </c>
      <c r="M861" s="7">
        <f t="shared" si="13"/>
        <v>195000</v>
      </c>
      <c r="N861" s="4"/>
      <c r="O861" s="9"/>
    </row>
    <row r="862" spans="1:15" ht="20" customHeight="1" x14ac:dyDescent="0.2">
      <c r="A862" s="3">
        <v>858</v>
      </c>
      <c r="B862" s="19"/>
      <c r="C862" s="4" t="s">
        <v>5766</v>
      </c>
      <c r="D862" s="4" t="s">
        <v>4909</v>
      </c>
      <c r="E862" s="4" t="s">
        <v>271</v>
      </c>
      <c r="F862" s="8">
        <v>20</v>
      </c>
      <c r="G862" s="8">
        <v>20</v>
      </c>
      <c r="H862" s="8">
        <v>20</v>
      </c>
      <c r="I862" s="8"/>
      <c r="J862" s="8"/>
      <c r="K862" s="8">
        <v>20</v>
      </c>
      <c r="L862" s="18">
        <v>1300</v>
      </c>
      <c r="M862" s="7">
        <f t="shared" si="13"/>
        <v>26000</v>
      </c>
      <c r="N862" s="4"/>
      <c r="O862" s="9"/>
    </row>
    <row r="863" spans="1:15" ht="20" customHeight="1" x14ac:dyDescent="0.2">
      <c r="A863" s="3">
        <v>859</v>
      </c>
      <c r="B863" s="19"/>
      <c r="C863" s="4" t="s">
        <v>5767</v>
      </c>
      <c r="D863" s="4" t="s">
        <v>4909</v>
      </c>
      <c r="E863" s="4" t="s">
        <v>271</v>
      </c>
      <c r="F863" s="8">
        <v>5</v>
      </c>
      <c r="G863" s="8">
        <v>5</v>
      </c>
      <c r="H863" s="8">
        <v>5</v>
      </c>
      <c r="I863" s="8"/>
      <c r="J863" s="8"/>
      <c r="K863" s="8">
        <v>5</v>
      </c>
      <c r="L863" s="18">
        <v>12000</v>
      </c>
      <c r="M863" s="7">
        <f t="shared" si="13"/>
        <v>60000</v>
      </c>
      <c r="N863" s="4"/>
      <c r="O863" s="9"/>
    </row>
    <row r="864" spans="1:15" ht="20" customHeight="1" x14ac:dyDescent="0.2">
      <c r="A864" s="3">
        <v>860</v>
      </c>
      <c r="B864" s="19"/>
      <c r="C864" s="4" t="s">
        <v>5768</v>
      </c>
      <c r="D864" s="4" t="s">
        <v>4909</v>
      </c>
      <c r="E864" s="4" t="s">
        <v>271</v>
      </c>
      <c r="F864" s="8">
        <v>10</v>
      </c>
      <c r="G864" s="8">
        <v>10</v>
      </c>
      <c r="H864" s="8">
        <v>10</v>
      </c>
      <c r="I864" s="8"/>
      <c r="J864" s="8"/>
      <c r="K864" s="8">
        <v>10</v>
      </c>
      <c r="L864" s="18">
        <v>13000</v>
      </c>
      <c r="M864" s="7">
        <f t="shared" si="13"/>
        <v>130000</v>
      </c>
      <c r="N864" s="4"/>
      <c r="O864" s="9"/>
    </row>
    <row r="865" spans="1:15" ht="20" customHeight="1" x14ac:dyDescent="0.2">
      <c r="A865" s="3">
        <v>861</v>
      </c>
      <c r="B865" s="19"/>
      <c r="C865" s="4" t="s">
        <v>5769</v>
      </c>
      <c r="D865" s="4" t="s">
        <v>4909</v>
      </c>
      <c r="E865" s="4" t="s">
        <v>271</v>
      </c>
      <c r="F865" s="8">
        <v>10</v>
      </c>
      <c r="G865" s="8">
        <v>10</v>
      </c>
      <c r="H865" s="8">
        <v>10</v>
      </c>
      <c r="I865" s="8"/>
      <c r="J865" s="8"/>
      <c r="K865" s="8">
        <v>10</v>
      </c>
      <c r="L865" s="18">
        <v>14000</v>
      </c>
      <c r="M865" s="7">
        <f t="shared" si="13"/>
        <v>140000</v>
      </c>
      <c r="N865" s="4"/>
      <c r="O865" s="9"/>
    </row>
    <row r="866" spans="1:15" ht="20" customHeight="1" x14ac:dyDescent="0.2">
      <c r="A866" s="3">
        <v>862</v>
      </c>
      <c r="B866" s="19"/>
      <c r="C866" s="4" t="s">
        <v>5770</v>
      </c>
      <c r="D866" s="4" t="s">
        <v>4909</v>
      </c>
      <c r="E866" s="4" t="s">
        <v>271</v>
      </c>
      <c r="F866" s="8">
        <v>20</v>
      </c>
      <c r="G866" s="8">
        <v>20</v>
      </c>
      <c r="H866" s="8">
        <v>20</v>
      </c>
      <c r="I866" s="8"/>
      <c r="J866" s="8"/>
      <c r="K866" s="8">
        <v>20</v>
      </c>
      <c r="L866" s="18">
        <v>13000</v>
      </c>
      <c r="M866" s="7">
        <f t="shared" si="13"/>
        <v>260000</v>
      </c>
      <c r="N866" s="4"/>
      <c r="O866" s="9"/>
    </row>
    <row r="867" spans="1:15" ht="20" customHeight="1" x14ac:dyDescent="0.2">
      <c r="A867" s="3">
        <v>863</v>
      </c>
      <c r="B867" s="19"/>
      <c r="C867" s="4" t="s">
        <v>5771</v>
      </c>
      <c r="D867" s="4" t="s">
        <v>4909</v>
      </c>
      <c r="E867" s="4" t="s">
        <v>271</v>
      </c>
      <c r="F867" s="8">
        <v>5</v>
      </c>
      <c r="G867" s="8">
        <v>5</v>
      </c>
      <c r="H867" s="8">
        <v>5</v>
      </c>
      <c r="I867" s="8"/>
      <c r="J867" s="8"/>
      <c r="K867" s="8">
        <v>5</v>
      </c>
      <c r="L867" s="18">
        <v>17000</v>
      </c>
      <c r="M867" s="7">
        <f t="shared" si="13"/>
        <v>85000</v>
      </c>
      <c r="N867" s="4"/>
      <c r="O867" s="9"/>
    </row>
    <row r="868" spans="1:15" ht="20" customHeight="1" x14ac:dyDescent="0.2">
      <c r="A868" s="3">
        <v>864</v>
      </c>
      <c r="B868" s="19"/>
      <c r="C868" s="4" t="s">
        <v>5772</v>
      </c>
      <c r="D868" s="4" t="s">
        <v>4909</v>
      </c>
      <c r="E868" s="4" t="s">
        <v>271</v>
      </c>
      <c r="F868" s="8"/>
      <c r="G868" s="8"/>
      <c r="H868" s="8"/>
      <c r="I868" s="8"/>
      <c r="J868" s="8"/>
      <c r="K868" s="8">
        <v>0</v>
      </c>
      <c r="L868" s="18">
        <v>0</v>
      </c>
      <c r="M868" s="7">
        <f t="shared" si="13"/>
        <v>0</v>
      </c>
      <c r="N868" s="4"/>
      <c r="O868" s="9"/>
    </row>
    <row r="869" spans="1:15" ht="20" customHeight="1" x14ac:dyDescent="0.2">
      <c r="A869" s="3">
        <v>865</v>
      </c>
      <c r="B869" s="19"/>
      <c r="C869" s="4" t="s">
        <v>5773</v>
      </c>
      <c r="D869" s="4" t="s">
        <v>4909</v>
      </c>
      <c r="E869" s="4" t="s">
        <v>196</v>
      </c>
      <c r="F869" s="8">
        <v>13</v>
      </c>
      <c r="G869" s="8">
        <v>13</v>
      </c>
      <c r="H869" s="8">
        <v>13</v>
      </c>
      <c r="I869" s="8"/>
      <c r="J869" s="8"/>
      <c r="K869" s="8">
        <v>30</v>
      </c>
      <c r="L869" s="18">
        <v>38000</v>
      </c>
      <c r="M869" s="7">
        <f t="shared" si="13"/>
        <v>1140000</v>
      </c>
      <c r="N869" s="4"/>
      <c r="O869" s="9"/>
    </row>
    <row r="870" spans="1:15" ht="20" customHeight="1" x14ac:dyDescent="0.2">
      <c r="A870" s="3">
        <v>866</v>
      </c>
      <c r="B870" s="19"/>
      <c r="C870" s="4" t="s">
        <v>5774</v>
      </c>
      <c r="D870" s="4" t="s">
        <v>4909</v>
      </c>
      <c r="E870" s="4"/>
      <c r="F870" s="8">
        <v>10</v>
      </c>
      <c r="G870" s="8">
        <v>10</v>
      </c>
      <c r="H870" s="8">
        <v>10</v>
      </c>
      <c r="I870" s="8"/>
      <c r="J870" s="8"/>
      <c r="K870" s="8">
        <v>10</v>
      </c>
      <c r="L870" s="18">
        <v>45000</v>
      </c>
      <c r="M870" s="7">
        <f t="shared" si="13"/>
        <v>450000</v>
      </c>
      <c r="N870" s="4"/>
      <c r="O870" s="9"/>
    </row>
    <row r="871" spans="1:15" ht="20" customHeight="1" x14ac:dyDescent="0.2">
      <c r="A871" s="3">
        <v>867</v>
      </c>
      <c r="B871" s="19"/>
      <c r="C871" s="4" t="s">
        <v>5775</v>
      </c>
      <c r="D871" s="4" t="s">
        <v>4909</v>
      </c>
      <c r="E871" s="4" t="s">
        <v>271</v>
      </c>
      <c r="F871" s="8">
        <v>10</v>
      </c>
      <c r="G871" s="8">
        <v>10</v>
      </c>
      <c r="H871" s="8">
        <v>10</v>
      </c>
      <c r="I871" s="8"/>
      <c r="J871" s="8"/>
      <c r="K871" s="8">
        <v>20</v>
      </c>
      <c r="L871" s="18">
        <v>8025</v>
      </c>
      <c r="M871" s="7">
        <f t="shared" si="13"/>
        <v>160500</v>
      </c>
      <c r="N871" s="4"/>
      <c r="O871" s="9"/>
    </row>
    <row r="872" spans="1:15" ht="20" customHeight="1" x14ac:dyDescent="0.2">
      <c r="A872" s="3">
        <v>868</v>
      </c>
      <c r="B872" s="19"/>
      <c r="C872" s="4" t="s">
        <v>5776</v>
      </c>
      <c r="D872" s="4" t="s">
        <v>4909</v>
      </c>
      <c r="E872" s="4" t="s">
        <v>271</v>
      </c>
      <c r="F872" s="8">
        <v>100</v>
      </c>
      <c r="G872" s="8">
        <v>100</v>
      </c>
      <c r="H872" s="8">
        <v>100</v>
      </c>
      <c r="I872" s="8"/>
      <c r="J872" s="8"/>
      <c r="K872" s="8">
        <v>200</v>
      </c>
      <c r="L872" s="18">
        <v>5500</v>
      </c>
      <c r="M872" s="7">
        <f t="shared" si="13"/>
        <v>1100000</v>
      </c>
      <c r="N872" s="4"/>
      <c r="O872" s="9"/>
    </row>
    <row r="873" spans="1:15" ht="20" customHeight="1" x14ac:dyDescent="0.2">
      <c r="A873" s="3">
        <v>869</v>
      </c>
      <c r="B873" s="19"/>
      <c r="C873" s="4" t="s">
        <v>5777</v>
      </c>
      <c r="D873" s="4" t="s">
        <v>4909</v>
      </c>
      <c r="E873" s="4" t="s">
        <v>271</v>
      </c>
      <c r="F873" s="8">
        <v>100</v>
      </c>
      <c r="G873" s="8">
        <v>100</v>
      </c>
      <c r="H873" s="8">
        <v>100</v>
      </c>
      <c r="I873" s="8"/>
      <c r="J873" s="8"/>
      <c r="K873" s="8">
        <v>200</v>
      </c>
      <c r="L873" s="18">
        <v>13350</v>
      </c>
      <c r="M873" s="7">
        <f t="shared" si="13"/>
        <v>2670000</v>
      </c>
      <c r="N873" s="4"/>
      <c r="O873" s="9"/>
    </row>
    <row r="874" spans="1:15" ht="20" customHeight="1" x14ac:dyDescent="0.2">
      <c r="A874" s="3">
        <v>870</v>
      </c>
      <c r="B874" s="19"/>
      <c r="C874" s="4" t="s">
        <v>5778</v>
      </c>
      <c r="D874" s="4" t="s">
        <v>4909</v>
      </c>
      <c r="E874" s="4" t="s">
        <v>110</v>
      </c>
      <c r="F874" s="8">
        <v>8</v>
      </c>
      <c r="G874" s="8">
        <v>8</v>
      </c>
      <c r="H874" s="8">
        <v>8</v>
      </c>
      <c r="I874" s="8"/>
      <c r="J874" s="8"/>
      <c r="K874" s="8">
        <v>8</v>
      </c>
      <c r="L874" s="18">
        <v>12000</v>
      </c>
      <c r="M874" s="7">
        <f t="shared" si="13"/>
        <v>96000</v>
      </c>
      <c r="N874" s="4"/>
      <c r="O874" s="9"/>
    </row>
    <row r="875" spans="1:15" ht="20" customHeight="1" x14ac:dyDescent="0.2">
      <c r="A875" s="3">
        <v>871</v>
      </c>
      <c r="B875" s="19"/>
      <c r="C875" s="4" t="s">
        <v>5779</v>
      </c>
      <c r="D875" s="4" t="s">
        <v>4909</v>
      </c>
      <c r="E875" s="4" t="s">
        <v>271</v>
      </c>
      <c r="F875" s="8"/>
      <c r="G875" s="8"/>
      <c r="H875" s="8"/>
      <c r="I875" s="8"/>
      <c r="J875" s="8"/>
      <c r="K875" s="8">
        <v>150</v>
      </c>
      <c r="L875" s="18">
        <v>16000</v>
      </c>
      <c r="M875" s="7">
        <f t="shared" si="13"/>
        <v>2400000</v>
      </c>
      <c r="N875" s="4"/>
      <c r="O875" s="9"/>
    </row>
    <row r="876" spans="1:15" ht="20" customHeight="1" x14ac:dyDescent="0.2">
      <c r="A876" s="3">
        <v>872</v>
      </c>
      <c r="B876" s="19"/>
      <c r="C876" s="4" t="s">
        <v>5780</v>
      </c>
      <c r="D876" s="4" t="s">
        <v>4909</v>
      </c>
      <c r="E876" s="4" t="s">
        <v>271</v>
      </c>
      <c r="F876" s="8"/>
      <c r="G876" s="8"/>
      <c r="H876" s="8"/>
      <c r="I876" s="8"/>
      <c r="J876" s="8"/>
      <c r="K876" s="8">
        <v>10</v>
      </c>
      <c r="L876" s="18">
        <v>45000</v>
      </c>
      <c r="M876" s="7">
        <f t="shared" si="13"/>
        <v>450000</v>
      </c>
      <c r="N876" s="4"/>
      <c r="O876" s="9"/>
    </row>
    <row r="877" spans="1:15" ht="20" customHeight="1" x14ac:dyDescent="0.2">
      <c r="A877" s="3">
        <v>873</v>
      </c>
      <c r="B877" s="19"/>
      <c r="C877" s="4" t="s">
        <v>5781</v>
      </c>
      <c r="D877" s="4" t="s">
        <v>4909</v>
      </c>
      <c r="E877" s="4" t="s">
        <v>271</v>
      </c>
      <c r="F877" s="8"/>
      <c r="G877" s="8"/>
      <c r="H877" s="8"/>
      <c r="I877" s="8"/>
      <c r="J877" s="8"/>
      <c r="K877" s="8">
        <v>10</v>
      </c>
      <c r="L877" s="18">
        <v>23000</v>
      </c>
      <c r="M877" s="7">
        <f t="shared" si="13"/>
        <v>230000</v>
      </c>
      <c r="N877" s="4"/>
      <c r="O877" s="9"/>
    </row>
    <row r="878" spans="1:15" ht="20" customHeight="1" x14ac:dyDescent="0.2">
      <c r="A878" s="3">
        <v>874</v>
      </c>
      <c r="B878" s="19"/>
      <c r="C878" s="4" t="s">
        <v>5782</v>
      </c>
      <c r="D878" s="4" t="s">
        <v>4909</v>
      </c>
      <c r="E878" s="4" t="s">
        <v>271</v>
      </c>
      <c r="F878" s="8"/>
      <c r="G878" s="8"/>
      <c r="H878" s="8"/>
      <c r="I878" s="8"/>
      <c r="J878" s="8"/>
      <c r="K878" s="8">
        <v>5</v>
      </c>
      <c r="L878" s="18">
        <v>82000</v>
      </c>
      <c r="M878" s="7">
        <f t="shared" si="13"/>
        <v>410000</v>
      </c>
      <c r="N878" s="4"/>
      <c r="O878" s="9"/>
    </row>
    <row r="879" spans="1:15" ht="22" customHeight="1" x14ac:dyDescent="0.35">
      <c r="A879" s="10" t="s">
        <v>86</v>
      </c>
      <c r="B879" s="20"/>
      <c r="C879" s="11"/>
      <c r="D879" s="11"/>
      <c r="E879" s="11"/>
      <c r="F879" s="11"/>
      <c r="G879" s="11"/>
      <c r="H879" s="11"/>
      <c r="I879" s="11"/>
      <c r="J879" s="11"/>
      <c r="K879" s="13">
        <f>SUM(K5:K878)</f>
        <v>267453</v>
      </c>
      <c r="L879" s="11"/>
      <c r="M879" s="13">
        <f>SUM(M5:M878)</f>
        <v>362919412.96000004</v>
      </c>
      <c r="N879" s="11"/>
      <c r="O879" s="11"/>
    </row>
    <row r="880" spans="1:15" ht="32" customHeight="1" x14ac:dyDescent="0.2">
      <c r="A880" s="23" t="s">
        <v>5783</v>
      </c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</row>
  </sheetData>
  <autoFilter ref="A4:O878" xr:uid="{00000000-0009-0000-0000-000010000000}"/>
  <mergeCells count="5">
    <mergeCell ref="A880:O880"/>
    <mergeCell ref="E2:G2"/>
    <mergeCell ref="I2:J2"/>
    <mergeCell ref="A1:O1"/>
    <mergeCell ref="F3:O3"/>
  </mergeCells>
  <conditionalFormatting sqref="E3">
    <cfRule type="cellIs" dxfId="25" priority="1" operator="greaterThan">
      <formula>0.009</formula>
    </cfRule>
    <cfRule type="cellIs" dxfId="24" priority="2" operator="lessThan">
      <formula>-0.009</formula>
    </cfRule>
  </conditionalFormatting>
  <dataValidations count="1">
    <dataValidation type="list" allowBlank="1" sqref="O5:O878" xr:uid="{00000000-0002-0000-10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ผ่าตัด · DBR/2570/0019</oddHeader>
    <oddFooter>&amp;Lส่งออกจากฐาน VPK-S1 วันที่ 12 ต.ค. 2569&amp;Rหน้า &amp;P / &amp;N</oddFooter>
  </headerFooter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B6848"/>
    <pageSetUpPr fitToPage="1"/>
  </sheetPr>
  <dimension ref="A1:O330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5784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55</v>
      </c>
      <c r="D2" s="14" t="s">
        <v>7</v>
      </c>
      <c r="E2" s="24" t="s">
        <v>57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62344433.450000003</v>
      </c>
      <c r="D3" s="15" t="s">
        <v>94</v>
      </c>
      <c r="E3" s="17">
        <f>M329-C3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5785</v>
      </c>
      <c r="D5" s="4" t="s">
        <v>5786</v>
      </c>
      <c r="E5" s="4" t="s">
        <v>110</v>
      </c>
      <c r="F5" s="8">
        <v>20</v>
      </c>
      <c r="G5" s="8">
        <v>20</v>
      </c>
      <c r="H5" s="8">
        <v>12</v>
      </c>
      <c r="I5" s="8">
        <v>12</v>
      </c>
      <c r="J5" s="8"/>
      <c r="K5" s="8">
        <v>20</v>
      </c>
      <c r="L5" s="18">
        <v>1298.98</v>
      </c>
      <c r="M5" s="7">
        <f t="shared" ref="M5:M68" si="0">IF(OR(K5="",L5=""),"",K5*L5)</f>
        <v>25979.599999999999</v>
      </c>
      <c r="N5" s="4" t="s">
        <v>5787</v>
      </c>
      <c r="O5" s="9"/>
    </row>
    <row r="6" spans="1:15" ht="20" customHeight="1" x14ac:dyDescent="0.2">
      <c r="A6" s="3">
        <v>2</v>
      </c>
      <c r="B6" s="19"/>
      <c r="C6" s="4" t="s">
        <v>5788</v>
      </c>
      <c r="D6" s="4" t="s">
        <v>5786</v>
      </c>
      <c r="E6" s="4" t="s">
        <v>252</v>
      </c>
      <c r="F6" s="8">
        <v>103000</v>
      </c>
      <c r="G6" s="8">
        <v>100000</v>
      </c>
      <c r="H6" s="8">
        <v>150000</v>
      </c>
      <c r="I6" s="8"/>
      <c r="J6" s="8"/>
      <c r="K6" s="8">
        <v>200000</v>
      </c>
      <c r="L6" s="18">
        <v>5.4</v>
      </c>
      <c r="M6" s="7">
        <f t="shared" si="0"/>
        <v>1080000</v>
      </c>
      <c r="N6" s="4"/>
      <c r="O6" s="9"/>
    </row>
    <row r="7" spans="1:15" ht="20" customHeight="1" x14ac:dyDescent="0.2">
      <c r="A7" s="3">
        <v>3</v>
      </c>
      <c r="B7" s="19"/>
      <c r="C7" s="4" t="s">
        <v>5789</v>
      </c>
      <c r="D7" s="4" t="s">
        <v>5786</v>
      </c>
      <c r="E7" s="4" t="s">
        <v>271</v>
      </c>
      <c r="F7" s="8">
        <v>12000</v>
      </c>
      <c r="G7" s="8">
        <v>10000</v>
      </c>
      <c r="H7" s="8">
        <v>36000</v>
      </c>
      <c r="I7" s="8">
        <v>8400</v>
      </c>
      <c r="J7" s="8"/>
      <c r="K7" s="8">
        <v>37000</v>
      </c>
      <c r="L7" s="18">
        <v>16</v>
      </c>
      <c r="M7" s="7">
        <f t="shared" si="0"/>
        <v>592000</v>
      </c>
      <c r="N7" s="4"/>
      <c r="O7" s="9"/>
    </row>
    <row r="8" spans="1:15" ht="20" customHeight="1" x14ac:dyDescent="0.2">
      <c r="A8" s="3">
        <v>4</v>
      </c>
      <c r="B8" s="19"/>
      <c r="C8" s="4" t="s">
        <v>5790</v>
      </c>
      <c r="D8" s="4" t="s">
        <v>5786</v>
      </c>
      <c r="E8" s="4" t="s">
        <v>252</v>
      </c>
      <c r="F8" s="8"/>
      <c r="G8" s="8">
        <v>1000</v>
      </c>
      <c r="H8" s="8">
        <v>3000</v>
      </c>
      <c r="I8" s="8"/>
      <c r="J8" s="8"/>
      <c r="K8" s="8">
        <v>2000</v>
      </c>
      <c r="L8" s="18">
        <v>37</v>
      </c>
      <c r="M8" s="7">
        <f t="shared" si="0"/>
        <v>74000</v>
      </c>
      <c r="N8" s="4"/>
      <c r="O8" s="9"/>
    </row>
    <row r="9" spans="1:15" ht="20" customHeight="1" x14ac:dyDescent="0.2">
      <c r="A9" s="3">
        <v>5</v>
      </c>
      <c r="B9" s="19"/>
      <c r="C9" s="4" t="s">
        <v>5791</v>
      </c>
      <c r="D9" s="4" t="s">
        <v>5786</v>
      </c>
      <c r="E9" s="4" t="s">
        <v>252</v>
      </c>
      <c r="F9" s="8">
        <v>5000</v>
      </c>
      <c r="G9" s="8">
        <v>5000</v>
      </c>
      <c r="H9" s="8"/>
      <c r="I9" s="8"/>
      <c r="J9" s="8"/>
      <c r="K9" s="8">
        <v>5000</v>
      </c>
      <c r="L9" s="18">
        <v>3</v>
      </c>
      <c r="M9" s="7">
        <f t="shared" si="0"/>
        <v>15000</v>
      </c>
      <c r="N9" s="4"/>
      <c r="O9" s="9"/>
    </row>
    <row r="10" spans="1:15" ht="20" customHeight="1" x14ac:dyDescent="0.2">
      <c r="A10" s="3">
        <v>6</v>
      </c>
      <c r="B10" s="19"/>
      <c r="C10" s="4" t="s">
        <v>5792</v>
      </c>
      <c r="D10" s="4" t="s">
        <v>5786</v>
      </c>
      <c r="E10" s="4" t="s">
        <v>196</v>
      </c>
      <c r="F10" s="8">
        <v>100</v>
      </c>
      <c r="G10" s="8">
        <v>100</v>
      </c>
      <c r="H10" s="8"/>
      <c r="I10" s="8"/>
      <c r="J10" s="8"/>
      <c r="K10" s="8">
        <v>100</v>
      </c>
      <c r="L10" s="18">
        <v>1690</v>
      </c>
      <c r="M10" s="7">
        <f t="shared" si="0"/>
        <v>169000</v>
      </c>
      <c r="N10" s="4" t="s">
        <v>5793</v>
      </c>
      <c r="O10" s="9"/>
    </row>
    <row r="11" spans="1:15" ht="20" customHeight="1" x14ac:dyDescent="0.2">
      <c r="A11" s="3">
        <v>7</v>
      </c>
      <c r="B11" s="19"/>
      <c r="C11" s="4" t="s">
        <v>5794</v>
      </c>
      <c r="D11" s="4" t="s">
        <v>5786</v>
      </c>
      <c r="E11" s="4" t="s">
        <v>196</v>
      </c>
      <c r="F11" s="8">
        <v>100</v>
      </c>
      <c r="G11" s="8">
        <v>100</v>
      </c>
      <c r="H11" s="8"/>
      <c r="I11" s="8">
        <v>20</v>
      </c>
      <c r="J11" s="8"/>
      <c r="K11" s="8">
        <v>100</v>
      </c>
      <c r="L11" s="18">
        <v>1545</v>
      </c>
      <c r="M11" s="7">
        <f t="shared" si="0"/>
        <v>154500</v>
      </c>
      <c r="N11" s="4" t="s">
        <v>5795</v>
      </c>
      <c r="O11" s="9"/>
    </row>
    <row r="12" spans="1:15" ht="20" customHeight="1" x14ac:dyDescent="0.2">
      <c r="A12" s="3">
        <v>8</v>
      </c>
      <c r="B12" s="19"/>
      <c r="C12" s="4" t="s">
        <v>5796</v>
      </c>
      <c r="D12" s="4" t="s">
        <v>5786</v>
      </c>
      <c r="E12" s="4" t="s">
        <v>196</v>
      </c>
      <c r="F12" s="8">
        <v>50</v>
      </c>
      <c r="G12" s="8">
        <v>50</v>
      </c>
      <c r="H12" s="8"/>
      <c r="I12" s="8"/>
      <c r="J12" s="8"/>
      <c r="K12" s="8">
        <v>100</v>
      </c>
      <c r="L12" s="18">
        <v>1545</v>
      </c>
      <c r="M12" s="7">
        <f t="shared" si="0"/>
        <v>154500</v>
      </c>
      <c r="N12" s="4" t="s">
        <v>5797</v>
      </c>
      <c r="O12" s="9"/>
    </row>
    <row r="13" spans="1:15" ht="20" customHeight="1" x14ac:dyDescent="0.2">
      <c r="A13" s="3">
        <v>9</v>
      </c>
      <c r="B13" s="19"/>
      <c r="C13" s="4" t="s">
        <v>5798</v>
      </c>
      <c r="D13" s="4" t="s">
        <v>5786</v>
      </c>
      <c r="E13" s="4" t="s">
        <v>499</v>
      </c>
      <c r="F13" s="8"/>
      <c r="G13" s="8"/>
      <c r="H13" s="8">
        <v>41500</v>
      </c>
      <c r="I13" s="8"/>
      <c r="J13" s="8"/>
      <c r="K13" s="8">
        <v>45000</v>
      </c>
      <c r="L13" s="18">
        <v>29</v>
      </c>
      <c r="M13" s="7">
        <f t="shared" si="0"/>
        <v>1305000</v>
      </c>
      <c r="N13" s="4" t="s">
        <v>5799</v>
      </c>
      <c r="O13" s="9"/>
    </row>
    <row r="14" spans="1:15" ht="20" customHeight="1" x14ac:dyDescent="0.2">
      <c r="A14" s="3">
        <v>10</v>
      </c>
      <c r="B14" s="19"/>
      <c r="C14" s="4" t="s">
        <v>5800</v>
      </c>
      <c r="D14" s="4" t="s">
        <v>5786</v>
      </c>
      <c r="E14" s="4" t="s">
        <v>499</v>
      </c>
      <c r="F14" s="8"/>
      <c r="G14" s="8"/>
      <c r="H14" s="8">
        <v>800</v>
      </c>
      <c r="I14" s="8"/>
      <c r="J14" s="8"/>
      <c r="K14" s="8">
        <v>3000</v>
      </c>
      <c r="L14" s="18">
        <v>40</v>
      </c>
      <c r="M14" s="7">
        <f t="shared" si="0"/>
        <v>120000</v>
      </c>
      <c r="N14" s="4" t="s">
        <v>5801</v>
      </c>
      <c r="O14" s="9"/>
    </row>
    <row r="15" spans="1:15" ht="20" customHeight="1" x14ac:dyDescent="0.2">
      <c r="A15" s="3">
        <v>11</v>
      </c>
      <c r="B15" s="19"/>
      <c r="C15" s="4" t="s">
        <v>5802</v>
      </c>
      <c r="D15" s="4" t="s">
        <v>5786</v>
      </c>
      <c r="E15" s="4" t="s">
        <v>196</v>
      </c>
      <c r="F15" s="8">
        <v>10</v>
      </c>
      <c r="G15" s="8">
        <v>10</v>
      </c>
      <c r="H15" s="8"/>
      <c r="I15" s="8"/>
      <c r="J15" s="8"/>
      <c r="K15" s="8">
        <v>10</v>
      </c>
      <c r="L15" s="18">
        <v>1800</v>
      </c>
      <c r="M15" s="7">
        <f t="shared" si="0"/>
        <v>18000</v>
      </c>
      <c r="N15" s="4"/>
      <c r="O15" s="9"/>
    </row>
    <row r="16" spans="1:15" ht="20" customHeight="1" x14ac:dyDescent="0.2">
      <c r="A16" s="3">
        <v>12</v>
      </c>
      <c r="B16" s="19"/>
      <c r="C16" s="4" t="s">
        <v>5803</v>
      </c>
      <c r="D16" s="4" t="s">
        <v>5786</v>
      </c>
      <c r="E16" s="4" t="s">
        <v>271</v>
      </c>
      <c r="F16" s="8">
        <v>1220</v>
      </c>
      <c r="G16" s="8">
        <v>1000</v>
      </c>
      <c r="H16" s="8">
        <v>1400</v>
      </c>
      <c r="I16" s="8">
        <v>230</v>
      </c>
      <c r="J16" s="8"/>
      <c r="K16" s="8">
        <v>1450</v>
      </c>
      <c r="L16" s="18">
        <v>640</v>
      </c>
      <c r="M16" s="7">
        <f t="shared" si="0"/>
        <v>928000</v>
      </c>
      <c r="N16" s="4"/>
      <c r="O16" s="9"/>
    </row>
    <row r="17" spans="1:15" ht="20" customHeight="1" x14ac:dyDescent="0.2">
      <c r="A17" s="3">
        <v>13</v>
      </c>
      <c r="B17" s="19"/>
      <c r="C17" s="4" t="s">
        <v>5804</v>
      </c>
      <c r="D17" s="4" t="s">
        <v>5786</v>
      </c>
      <c r="E17" s="4" t="s">
        <v>110</v>
      </c>
      <c r="F17" s="8">
        <v>200</v>
      </c>
      <c r="G17" s="8">
        <v>200</v>
      </c>
      <c r="H17" s="8">
        <v>200</v>
      </c>
      <c r="I17" s="8"/>
      <c r="J17" s="8"/>
      <c r="K17" s="8">
        <v>350</v>
      </c>
      <c r="L17" s="18">
        <v>642</v>
      </c>
      <c r="M17" s="7">
        <f t="shared" si="0"/>
        <v>224700</v>
      </c>
      <c r="N17" s="4" t="s">
        <v>5805</v>
      </c>
      <c r="O17" s="9"/>
    </row>
    <row r="18" spans="1:15" ht="20" customHeight="1" x14ac:dyDescent="0.2">
      <c r="A18" s="3">
        <v>14</v>
      </c>
      <c r="B18" s="19"/>
      <c r="C18" s="4" t="s">
        <v>5806</v>
      </c>
      <c r="D18" s="4" t="s">
        <v>5786</v>
      </c>
      <c r="E18" s="4" t="s">
        <v>110</v>
      </c>
      <c r="F18" s="8"/>
      <c r="G18" s="8">
        <v>30</v>
      </c>
      <c r="H18" s="8">
        <v>20</v>
      </c>
      <c r="I18" s="8"/>
      <c r="J18" s="8"/>
      <c r="K18" s="8">
        <v>20</v>
      </c>
      <c r="L18" s="18">
        <v>1123.5</v>
      </c>
      <c r="M18" s="7">
        <f t="shared" si="0"/>
        <v>22470</v>
      </c>
      <c r="N18" s="4" t="s">
        <v>5807</v>
      </c>
      <c r="O18" s="9"/>
    </row>
    <row r="19" spans="1:15" ht="20" customHeight="1" x14ac:dyDescent="0.2">
      <c r="A19" s="3">
        <v>15</v>
      </c>
      <c r="B19" s="19"/>
      <c r="C19" s="4" t="s">
        <v>5808</v>
      </c>
      <c r="D19" s="4" t="s">
        <v>5786</v>
      </c>
      <c r="E19" s="4" t="s">
        <v>110</v>
      </c>
      <c r="F19" s="8">
        <v>10</v>
      </c>
      <c r="G19" s="8">
        <v>10</v>
      </c>
      <c r="H19" s="8">
        <v>60</v>
      </c>
      <c r="I19" s="8"/>
      <c r="J19" s="8"/>
      <c r="K19" s="8">
        <v>200</v>
      </c>
      <c r="L19" s="18">
        <v>481.5</v>
      </c>
      <c r="M19" s="7">
        <f t="shared" si="0"/>
        <v>96300</v>
      </c>
      <c r="N19" s="4" t="s">
        <v>5809</v>
      </c>
      <c r="O19" s="9"/>
    </row>
    <row r="20" spans="1:15" ht="20" customHeight="1" x14ac:dyDescent="0.2">
      <c r="A20" s="3">
        <v>16</v>
      </c>
      <c r="B20" s="19"/>
      <c r="C20" s="4" t="s">
        <v>5810</v>
      </c>
      <c r="D20" s="4" t="s">
        <v>5786</v>
      </c>
      <c r="E20" s="4" t="s">
        <v>110</v>
      </c>
      <c r="F20" s="8">
        <v>10</v>
      </c>
      <c r="G20" s="8">
        <v>10</v>
      </c>
      <c r="H20" s="8">
        <v>6</v>
      </c>
      <c r="I20" s="8"/>
      <c r="J20" s="8"/>
      <c r="K20" s="8">
        <v>18</v>
      </c>
      <c r="L20" s="18">
        <v>423.72</v>
      </c>
      <c r="M20" s="7">
        <f t="shared" si="0"/>
        <v>7626.9600000000009</v>
      </c>
      <c r="N20" s="4" t="s">
        <v>5811</v>
      </c>
      <c r="O20" s="9"/>
    </row>
    <row r="21" spans="1:15" ht="20" customHeight="1" x14ac:dyDescent="0.2">
      <c r="A21" s="3">
        <v>17</v>
      </c>
      <c r="B21" s="19"/>
      <c r="C21" s="4" t="s">
        <v>5812</v>
      </c>
      <c r="D21" s="4" t="s">
        <v>5786</v>
      </c>
      <c r="E21" s="4" t="s">
        <v>110</v>
      </c>
      <c r="F21" s="8">
        <v>300</v>
      </c>
      <c r="G21" s="8">
        <v>300</v>
      </c>
      <c r="H21" s="8">
        <v>400</v>
      </c>
      <c r="I21" s="8"/>
      <c r="J21" s="8"/>
      <c r="K21" s="8">
        <v>500</v>
      </c>
      <c r="L21" s="18">
        <v>423.72</v>
      </c>
      <c r="M21" s="7">
        <f t="shared" si="0"/>
        <v>211860</v>
      </c>
      <c r="N21" s="4" t="s">
        <v>5813</v>
      </c>
      <c r="O21" s="9"/>
    </row>
    <row r="22" spans="1:15" ht="20" customHeight="1" x14ac:dyDescent="0.2">
      <c r="A22" s="3">
        <v>18</v>
      </c>
      <c r="B22" s="19"/>
      <c r="C22" s="4" t="s">
        <v>5814</v>
      </c>
      <c r="D22" s="4" t="s">
        <v>5786</v>
      </c>
      <c r="E22" s="4" t="s">
        <v>110</v>
      </c>
      <c r="F22" s="8">
        <v>200</v>
      </c>
      <c r="G22" s="8">
        <v>200</v>
      </c>
      <c r="H22" s="8">
        <v>100</v>
      </c>
      <c r="I22" s="8"/>
      <c r="J22" s="8"/>
      <c r="K22" s="8">
        <v>200</v>
      </c>
      <c r="L22" s="18">
        <v>423.72</v>
      </c>
      <c r="M22" s="7">
        <f t="shared" si="0"/>
        <v>84744</v>
      </c>
      <c r="N22" s="4" t="s">
        <v>5815</v>
      </c>
      <c r="O22" s="9"/>
    </row>
    <row r="23" spans="1:15" ht="20" customHeight="1" x14ac:dyDescent="0.2">
      <c r="A23" s="3">
        <v>19</v>
      </c>
      <c r="B23" s="19"/>
      <c r="C23" s="4" t="s">
        <v>5816</v>
      </c>
      <c r="D23" s="4" t="s">
        <v>5786</v>
      </c>
      <c r="E23" s="4" t="s">
        <v>110</v>
      </c>
      <c r="F23" s="8">
        <v>30</v>
      </c>
      <c r="G23" s="8">
        <v>30</v>
      </c>
      <c r="H23" s="8">
        <v>54</v>
      </c>
      <c r="I23" s="8"/>
      <c r="J23" s="8"/>
      <c r="K23" s="8">
        <v>84</v>
      </c>
      <c r="L23" s="18">
        <v>423.72</v>
      </c>
      <c r="M23" s="7">
        <f t="shared" si="0"/>
        <v>35592.480000000003</v>
      </c>
      <c r="N23" s="4" t="s">
        <v>5817</v>
      </c>
      <c r="O23" s="9"/>
    </row>
    <row r="24" spans="1:15" ht="20" customHeight="1" x14ac:dyDescent="0.2">
      <c r="A24" s="3">
        <v>20</v>
      </c>
      <c r="B24" s="19"/>
      <c r="C24" s="4" t="s">
        <v>5818</v>
      </c>
      <c r="D24" s="4" t="s">
        <v>5786</v>
      </c>
      <c r="E24" s="4" t="s">
        <v>110</v>
      </c>
      <c r="F24" s="8"/>
      <c r="G24" s="8">
        <v>20</v>
      </c>
      <c r="H24" s="8">
        <v>30</v>
      </c>
      <c r="I24" s="8"/>
      <c r="J24" s="8"/>
      <c r="K24" s="8">
        <v>30</v>
      </c>
      <c r="L24" s="18">
        <v>856</v>
      </c>
      <c r="M24" s="7">
        <f t="shared" si="0"/>
        <v>25680</v>
      </c>
      <c r="N24" s="4"/>
      <c r="O24" s="9"/>
    </row>
    <row r="25" spans="1:15" ht="20" customHeight="1" x14ac:dyDescent="0.2">
      <c r="A25" s="3">
        <v>21</v>
      </c>
      <c r="B25" s="19"/>
      <c r="C25" s="4" t="s">
        <v>5819</v>
      </c>
      <c r="D25" s="4" t="s">
        <v>5786</v>
      </c>
      <c r="E25" s="4" t="s">
        <v>110</v>
      </c>
      <c r="F25" s="8">
        <v>50</v>
      </c>
      <c r="G25" s="8">
        <v>50</v>
      </c>
      <c r="H25" s="8"/>
      <c r="I25" s="8"/>
      <c r="J25" s="8"/>
      <c r="K25" s="8">
        <v>20</v>
      </c>
      <c r="L25" s="18">
        <v>236</v>
      </c>
      <c r="M25" s="7">
        <f t="shared" si="0"/>
        <v>4720</v>
      </c>
      <c r="N25" s="4"/>
      <c r="O25" s="9"/>
    </row>
    <row r="26" spans="1:15" ht="20" customHeight="1" x14ac:dyDescent="0.2">
      <c r="A26" s="3">
        <v>22</v>
      </c>
      <c r="B26" s="19"/>
      <c r="C26" s="4" t="s">
        <v>5820</v>
      </c>
      <c r="D26" s="4" t="s">
        <v>5786</v>
      </c>
      <c r="E26" s="4" t="s">
        <v>110</v>
      </c>
      <c r="F26" s="8">
        <v>50</v>
      </c>
      <c r="G26" s="8">
        <v>50</v>
      </c>
      <c r="H26" s="8"/>
      <c r="I26" s="8"/>
      <c r="J26" s="8"/>
      <c r="K26" s="8">
        <v>20</v>
      </c>
      <c r="L26" s="18">
        <v>236</v>
      </c>
      <c r="M26" s="7">
        <f t="shared" si="0"/>
        <v>4720</v>
      </c>
      <c r="N26" s="4"/>
      <c r="O26" s="9"/>
    </row>
    <row r="27" spans="1:15" ht="20" customHeight="1" x14ac:dyDescent="0.2">
      <c r="A27" s="3">
        <v>23</v>
      </c>
      <c r="B27" s="19"/>
      <c r="C27" s="4" t="s">
        <v>5821</v>
      </c>
      <c r="D27" s="4" t="s">
        <v>5786</v>
      </c>
      <c r="E27" s="4" t="s">
        <v>271</v>
      </c>
      <c r="F27" s="8">
        <v>50</v>
      </c>
      <c r="G27" s="8">
        <v>50</v>
      </c>
      <c r="H27" s="8">
        <v>100</v>
      </c>
      <c r="I27" s="8"/>
      <c r="J27" s="8"/>
      <c r="K27" s="8">
        <v>100</v>
      </c>
      <c r="L27" s="18">
        <v>370</v>
      </c>
      <c r="M27" s="7">
        <f t="shared" si="0"/>
        <v>37000</v>
      </c>
      <c r="N27" s="4"/>
      <c r="O27" s="9"/>
    </row>
    <row r="28" spans="1:15" ht="20" customHeight="1" x14ac:dyDescent="0.2">
      <c r="A28" s="3">
        <v>24</v>
      </c>
      <c r="B28" s="19"/>
      <c r="C28" s="4" t="s">
        <v>5822</v>
      </c>
      <c r="D28" s="4" t="s">
        <v>5786</v>
      </c>
      <c r="E28" s="4" t="s">
        <v>271</v>
      </c>
      <c r="F28" s="8">
        <v>500</v>
      </c>
      <c r="G28" s="8">
        <v>2500</v>
      </c>
      <c r="H28" s="8"/>
      <c r="I28" s="8"/>
      <c r="J28" s="8"/>
      <c r="K28" s="8">
        <v>100</v>
      </c>
      <c r="L28" s="18">
        <v>44</v>
      </c>
      <c r="M28" s="7">
        <f t="shared" si="0"/>
        <v>4400</v>
      </c>
      <c r="N28" s="4"/>
      <c r="O28" s="9"/>
    </row>
    <row r="29" spans="1:15" ht="20" customHeight="1" x14ac:dyDescent="0.2">
      <c r="A29" s="3">
        <v>25</v>
      </c>
      <c r="B29" s="19"/>
      <c r="C29" s="4" t="s">
        <v>5823</v>
      </c>
      <c r="D29" s="4" t="s">
        <v>5786</v>
      </c>
      <c r="E29" s="4" t="s">
        <v>152</v>
      </c>
      <c r="F29" s="8">
        <v>180</v>
      </c>
      <c r="G29" s="8">
        <v>180</v>
      </c>
      <c r="H29" s="8"/>
      <c r="I29" s="8">
        <v>35</v>
      </c>
      <c r="J29" s="8"/>
      <c r="K29" s="8">
        <v>100</v>
      </c>
      <c r="L29" s="18">
        <v>299.60000000000002</v>
      </c>
      <c r="M29" s="7">
        <f t="shared" si="0"/>
        <v>29960.000000000004</v>
      </c>
      <c r="N29" s="4"/>
      <c r="O29" s="9"/>
    </row>
    <row r="30" spans="1:15" ht="20" customHeight="1" x14ac:dyDescent="0.2">
      <c r="A30" s="3">
        <v>26</v>
      </c>
      <c r="B30" s="19"/>
      <c r="C30" s="4" t="s">
        <v>5824</v>
      </c>
      <c r="D30" s="4" t="s">
        <v>5786</v>
      </c>
      <c r="E30" s="4" t="s">
        <v>196</v>
      </c>
      <c r="F30" s="8"/>
      <c r="G30" s="8">
        <v>250</v>
      </c>
      <c r="H30" s="8"/>
      <c r="I30" s="8"/>
      <c r="J30" s="8"/>
      <c r="K30" s="8">
        <v>100</v>
      </c>
      <c r="L30" s="18">
        <v>42</v>
      </c>
      <c r="M30" s="7">
        <f t="shared" si="0"/>
        <v>4200</v>
      </c>
      <c r="N30" s="4"/>
      <c r="O30" s="9"/>
    </row>
    <row r="31" spans="1:15" ht="20" customHeight="1" x14ac:dyDescent="0.2">
      <c r="A31" s="3">
        <v>27</v>
      </c>
      <c r="B31" s="19"/>
      <c r="C31" s="4" t="s">
        <v>5825</v>
      </c>
      <c r="D31" s="4" t="s">
        <v>5786</v>
      </c>
      <c r="E31" s="4" t="s">
        <v>196</v>
      </c>
      <c r="F31" s="8"/>
      <c r="G31" s="8">
        <v>400</v>
      </c>
      <c r="H31" s="8">
        <v>500</v>
      </c>
      <c r="I31" s="8"/>
      <c r="J31" s="8"/>
      <c r="K31" s="8">
        <v>300</v>
      </c>
      <c r="L31" s="18">
        <v>42</v>
      </c>
      <c r="M31" s="7">
        <f t="shared" si="0"/>
        <v>12600</v>
      </c>
      <c r="N31" s="4"/>
      <c r="O31" s="9"/>
    </row>
    <row r="32" spans="1:15" ht="20" customHeight="1" x14ac:dyDescent="0.2">
      <c r="A32" s="3">
        <v>28</v>
      </c>
      <c r="B32" s="19"/>
      <c r="C32" s="4" t="s">
        <v>5826</v>
      </c>
      <c r="D32" s="4" t="s">
        <v>5786</v>
      </c>
      <c r="E32" s="4" t="s">
        <v>152</v>
      </c>
      <c r="F32" s="8">
        <v>500</v>
      </c>
      <c r="G32" s="8">
        <v>500</v>
      </c>
      <c r="H32" s="8"/>
      <c r="I32" s="8"/>
      <c r="J32" s="8"/>
      <c r="K32" s="8">
        <v>100</v>
      </c>
      <c r="L32" s="18">
        <v>65</v>
      </c>
      <c r="M32" s="7">
        <f t="shared" si="0"/>
        <v>6500</v>
      </c>
      <c r="N32" s="4"/>
      <c r="O32" s="9"/>
    </row>
    <row r="33" spans="1:15" ht="20" customHeight="1" x14ac:dyDescent="0.2">
      <c r="A33" s="3">
        <v>29</v>
      </c>
      <c r="B33" s="19"/>
      <c r="C33" s="4" t="s">
        <v>5827</v>
      </c>
      <c r="D33" s="4" t="s">
        <v>5786</v>
      </c>
      <c r="E33" s="4" t="s">
        <v>152</v>
      </c>
      <c r="F33" s="8">
        <v>300</v>
      </c>
      <c r="G33" s="8">
        <v>300</v>
      </c>
      <c r="H33" s="8">
        <v>200</v>
      </c>
      <c r="I33" s="8"/>
      <c r="J33" s="8"/>
      <c r="K33" s="8">
        <v>100</v>
      </c>
      <c r="L33" s="18">
        <v>70</v>
      </c>
      <c r="M33" s="7">
        <f t="shared" si="0"/>
        <v>7000</v>
      </c>
      <c r="N33" s="4"/>
      <c r="O33" s="9"/>
    </row>
    <row r="34" spans="1:15" ht="20" customHeight="1" x14ac:dyDescent="0.2">
      <c r="A34" s="3">
        <v>30</v>
      </c>
      <c r="B34" s="19"/>
      <c r="C34" s="4" t="s">
        <v>5828</v>
      </c>
      <c r="D34" s="4" t="s">
        <v>5786</v>
      </c>
      <c r="E34" s="4" t="s">
        <v>271</v>
      </c>
      <c r="F34" s="8">
        <v>20</v>
      </c>
      <c r="G34" s="8">
        <v>20</v>
      </c>
      <c r="H34" s="8">
        <v>250</v>
      </c>
      <c r="I34" s="8"/>
      <c r="J34" s="8"/>
      <c r="K34" s="8">
        <v>100</v>
      </c>
      <c r="L34" s="18">
        <v>1945.47</v>
      </c>
      <c r="M34" s="7">
        <f t="shared" si="0"/>
        <v>194547</v>
      </c>
      <c r="N34" s="4" t="s">
        <v>5829</v>
      </c>
      <c r="O34" s="9"/>
    </row>
    <row r="35" spans="1:15" ht="20" customHeight="1" x14ac:dyDescent="0.2">
      <c r="A35" s="3">
        <v>31</v>
      </c>
      <c r="B35" s="19"/>
      <c r="C35" s="4" t="s">
        <v>5830</v>
      </c>
      <c r="D35" s="4" t="s">
        <v>5786</v>
      </c>
      <c r="E35" s="4" t="s">
        <v>271</v>
      </c>
      <c r="F35" s="8"/>
      <c r="G35" s="8"/>
      <c r="H35" s="8">
        <v>40</v>
      </c>
      <c r="I35" s="8"/>
      <c r="J35" s="8"/>
      <c r="K35" s="8">
        <v>100</v>
      </c>
      <c r="L35" s="18">
        <v>1444.5</v>
      </c>
      <c r="M35" s="7">
        <f t="shared" si="0"/>
        <v>144450</v>
      </c>
      <c r="N35" s="4"/>
      <c r="O35" s="9"/>
    </row>
    <row r="36" spans="1:15" ht="20" customHeight="1" x14ac:dyDescent="0.2">
      <c r="A36" s="3">
        <v>32</v>
      </c>
      <c r="B36" s="19"/>
      <c r="C36" s="4" t="s">
        <v>5831</v>
      </c>
      <c r="D36" s="4" t="s">
        <v>5786</v>
      </c>
      <c r="E36" s="4" t="s">
        <v>271</v>
      </c>
      <c r="F36" s="8"/>
      <c r="G36" s="8"/>
      <c r="H36" s="8">
        <v>100</v>
      </c>
      <c r="I36" s="8"/>
      <c r="J36" s="8"/>
      <c r="K36" s="8">
        <v>200</v>
      </c>
      <c r="L36" s="18">
        <v>1551.5</v>
      </c>
      <c r="M36" s="7">
        <f t="shared" si="0"/>
        <v>310300</v>
      </c>
      <c r="N36" s="4"/>
      <c r="O36" s="9"/>
    </row>
    <row r="37" spans="1:15" ht="20" customHeight="1" x14ac:dyDescent="0.2">
      <c r="A37" s="3">
        <v>33</v>
      </c>
      <c r="B37" s="19"/>
      <c r="C37" s="4" t="s">
        <v>5832</v>
      </c>
      <c r="D37" s="4" t="s">
        <v>5786</v>
      </c>
      <c r="E37" s="4" t="s">
        <v>252</v>
      </c>
      <c r="F37" s="8">
        <v>50</v>
      </c>
      <c r="G37" s="8">
        <v>90</v>
      </c>
      <c r="H37" s="8">
        <v>130</v>
      </c>
      <c r="I37" s="8">
        <v>40</v>
      </c>
      <c r="J37" s="8"/>
      <c r="K37" s="8">
        <v>140</v>
      </c>
      <c r="L37" s="18">
        <v>280</v>
      </c>
      <c r="M37" s="7">
        <f t="shared" si="0"/>
        <v>39200</v>
      </c>
      <c r="N37" s="4"/>
      <c r="O37" s="9"/>
    </row>
    <row r="38" spans="1:15" ht="20" customHeight="1" x14ac:dyDescent="0.2">
      <c r="A38" s="3">
        <v>34</v>
      </c>
      <c r="B38" s="19"/>
      <c r="C38" s="4" t="s">
        <v>5833</v>
      </c>
      <c r="D38" s="4" t="s">
        <v>5786</v>
      </c>
      <c r="E38" s="4" t="s">
        <v>196</v>
      </c>
      <c r="F38" s="8">
        <v>2000</v>
      </c>
      <c r="G38" s="8">
        <v>2000</v>
      </c>
      <c r="H38" s="8">
        <v>1600</v>
      </c>
      <c r="I38" s="8"/>
      <c r="J38" s="8"/>
      <c r="K38" s="8">
        <v>2000</v>
      </c>
      <c r="L38" s="18">
        <v>35</v>
      </c>
      <c r="M38" s="7">
        <f t="shared" si="0"/>
        <v>70000</v>
      </c>
      <c r="N38" s="4"/>
      <c r="O38" s="9"/>
    </row>
    <row r="39" spans="1:15" ht="20" customHeight="1" x14ac:dyDescent="0.2">
      <c r="A39" s="3">
        <v>35</v>
      </c>
      <c r="B39" s="19"/>
      <c r="C39" s="4" t="s">
        <v>5834</v>
      </c>
      <c r="D39" s="4" t="s">
        <v>5786</v>
      </c>
      <c r="E39" s="4" t="s">
        <v>196</v>
      </c>
      <c r="F39" s="8">
        <v>2400</v>
      </c>
      <c r="G39" s="8">
        <v>2000</v>
      </c>
      <c r="H39" s="8">
        <v>1900</v>
      </c>
      <c r="I39" s="8"/>
      <c r="J39" s="8"/>
      <c r="K39" s="8">
        <v>2000</v>
      </c>
      <c r="L39" s="18">
        <v>120</v>
      </c>
      <c r="M39" s="7">
        <f t="shared" si="0"/>
        <v>240000</v>
      </c>
      <c r="N39" s="4"/>
      <c r="O39" s="9"/>
    </row>
    <row r="40" spans="1:15" ht="20" customHeight="1" x14ac:dyDescent="0.2">
      <c r="A40" s="3">
        <v>36</v>
      </c>
      <c r="B40" s="19"/>
      <c r="C40" s="4" t="s">
        <v>5835</v>
      </c>
      <c r="D40" s="4" t="s">
        <v>5786</v>
      </c>
      <c r="E40" s="4" t="s">
        <v>133</v>
      </c>
      <c r="F40" s="8">
        <v>80</v>
      </c>
      <c r="G40" s="8">
        <v>80</v>
      </c>
      <c r="H40" s="8">
        <v>55</v>
      </c>
      <c r="I40" s="8">
        <v>28</v>
      </c>
      <c r="J40" s="8"/>
      <c r="K40" s="8">
        <v>95</v>
      </c>
      <c r="L40" s="18">
        <v>1150</v>
      </c>
      <c r="M40" s="7">
        <f t="shared" si="0"/>
        <v>109250</v>
      </c>
      <c r="N40" s="4" t="s">
        <v>5836</v>
      </c>
      <c r="O40" s="9"/>
    </row>
    <row r="41" spans="1:15" ht="20" customHeight="1" x14ac:dyDescent="0.2">
      <c r="A41" s="3">
        <v>37</v>
      </c>
      <c r="B41" s="19"/>
      <c r="C41" s="4" t="s">
        <v>5837</v>
      </c>
      <c r="D41" s="4" t="s">
        <v>5786</v>
      </c>
      <c r="E41" s="4" t="s">
        <v>133</v>
      </c>
      <c r="F41" s="8">
        <v>100</v>
      </c>
      <c r="G41" s="8">
        <v>100</v>
      </c>
      <c r="H41" s="8">
        <v>7</v>
      </c>
      <c r="I41" s="8">
        <v>24</v>
      </c>
      <c r="J41" s="8"/>
      <c r="K41" s="8">
        <v>50</v>
      </c>
      <c r="L41" s="18">
        <v>1975</v>
      </c>
      <c r="M41" s="7">
        <f t="shared" si="0"/>
        <v>98750</v>
      </c>
      <c r="N41" s="4"/>
      <c r="O41" s="9"/>
    </row>
    <row r="42" spans="1:15" ht="20" customHeight="1" x14ac:dyDescent="0.2">
      <c r="A42" s="3">
        <v>38</v>
      </c>
      <c r="B42" s="19"/>
      <c r="C42" s="4" t="s">
        <v>5838</v>
      </c>
      <c r="D42" s="4" t="s">
        <v>5786</v>
      </c>
      <c r="E42" s="4" t="s">
        <v>133</v>
      </c>
      <c r="F42" s="8">
        <v>140</v>
      </c>
      <c r="G42" s="8">
        <v>140</v>
      </c>
      <c r="H42" s="8">
        <v>35</v>
      </c>
      <c r="I42" s="8"/>
      <c r="J42" s="8"/>
      <c r="K42" s="8">
        <v>10</v>
      </c>
      <c r="L42" s="18">
        <v>2400</v>
      </c>
      <c r="M42" s="7">
        <f t="shared" si="0"/>
        <v>24000</v>
      </c>
      <c r="N42" s="4"/>
      <c r="O42" s="9"/>
    </row>
    <row r="43" spans="1:15" ht="20" customHeight="1" x14ac:dyDescent="0.2">
      <c r="A43" s="3">
        <v>39</v>
      </c>
      <c r="B43" s="19"/>
      <c r="C43" s="4" t="s">
        <v>5839</v>
      </c>
      <c r="D43" s="4" t="s">
        <v>5786</v>
      </c>
      <c r="E43" s="4" t="s">
        <v>133</v>
      </c>
      <c r="F43" s="8">
        <v>350</v>
      </c>
      <c r="G43" s="8">
        <v>350</v>
      </c>
      <c r="H43" s="8"/>
      <c r="I43" s="8"/>
      <c r="J43" s="8"/>
      <c r="K43" s="8">
        <v>215</v>
      </c>
      <c r="L43" s="18">
        <v>3490</v>
      </c>
      <c r="M43" s="7">
        <f t="shared" si="0"/>
        <v>750350</v>
      </c>
      <c r="N43" s="4"/>
      <c r="O43" s="9"/>
    </row>
    <row r="44" spans="1:15" ht="20" customHeight="1" x14ac:dyDescent="0.2">
      <c r="A44" s="3">
        <v>40</v>
      </c>
      <c r="B44" s="19"/>
      <c r="C44" s="4" t="s">
        <v>5840</v>
      </c>
      <c r="D44" s="4" t="s">
        <v>5786</v>
      </c>
      <c r="E44" s="4" t="s">
        <v>133</v>
      </c>
      <c r="F44" s="8">
        <v>300</v>
      </c>
      <c r="G44" s="8">
        <v>300</v>
      </c>
      <c r="H44" s="8">
        <v>189</v>
      </c>
      <c r="I44" s="8"/>
      <c r="J44" s="8"/>
      <c r="K44" s="8">
        <v>180</v>
      </c>
      <c r="L44" s="18">
        <v>3325</v>
      </c>
      <c r="M44" s="7">
        <f t="shared" si="0"/>
        <v>598500</v>
      </c>
      <c r="N44" s="4"/>
      <c r="O44" s="9"/>
    </row>
    <row r="45" spans="1:15" ht="20" customHeight="1" x14ac:dyDescent="0.2">
      <c r="A45" s="3">
        <v>41</v>
      </c>
      <c r="B45" s="19"/>
      <c r="C45" s="4" t="s">
        <v>5841</v>
      </c>
      <c r="D45" s="4" t="s">
        <v>5786</v>
      </c>
      <c r="E45" s="4" t="s">
        <v>133</v>
      </c>
      <c r="F45" s="8">
        <v>70</v>
      </c>
      <c r="G45" s="8">
        <v>70</v>
      </c>
      <c r="H45" s="8">
        <v>53</v>
      </c>
      <c r="I45" s="8">
        <v>10</v>
      </c>
      <c r="J45" s="8"/>
      <c r="K45" s="8">
        <v>50</v>
      </c>
      <c r="L45" s="18">
        <v>5425</v>
      </c>
      <c r="M45" s="7">
        <f t="shared" si="0"/>
        <v>271250</v>
      </c>
      <c r="N45" s="4"/>
      <c r="O45" s="9"/>
    </row>
    <row r="46" spans="1:15" ht="20" customHeight="1" x14ac:dyDescent="0.2">
      <c r="A46" s="3">
        <v>42</v>
      </c>
      <c r="B46" s="19"/>
      <c r="C46" s="4" t="s">
        <v>5842</v>
      </c>
      <c r="D46" s="4" t="s">
        <v>5786</v>
      </c>
      <c r="E46" s="4" t="s">
        <v>133</v>
      </c>
      <c r="F46" s="8">
        <v>10</v>
      </c>
      <c r="G46" s="8">
        <v>10</v>
      </c>
      <c r="H46" s="8">
        <v>139</v>
      </c>
      <c r="I46" s="8"/>
      <c r="J46" s="8"/>
      <c r="K46" s="8">
        <v>12</v>
      </c>
      <c r="L46" s="18">
        <v>6600</v>
      </c>
      <c r="M46" s="7">
        <f t="shared" si="0"/>
        <v>79200</v>
      </c>
      <c r="N46" s="4"/>
      <c r="O46" s="9"/>
    </row>
    <row r="47" spans="1:15" ht="20" customHeight="1" x14ac:dyDescent="0.2">
      <c r="A47" s="3">
        <v>43</v>
      </c>
      <c r="B47" s="19"/>
      <c r="C47" s="4" t="s">
        <v>5843</v>
      </c>
      <c r="D47" s="4" t="s">
        <v>5786</v>
      </c>
      <c r="E47" s="4" t="s">
        <v>133</v>
      </c>
      <c r="F47" s="8">
        <v>60</v>
      </c>
      <c r="G47" s="8">
        <v>60</v>
      </c>
      <c r="H47" s="8">
        <v>29</v>
      </c>
      <c r="I47" s="8">
        <v>6</v>
      </c>
      <c r="J47" s="8"/>
      <c r="K47" s="8">
        <v>30</v>
      </c>
      <c r="L47" s="18">
        <v>1975</v>
      </c>
      <c r="M47" s="7">
        <f t="shared" si="0"/>
        <v>59250</v>
      </c>
      <c r="N47" s="4"/>
      <c r="O47" s="9"/>
    </row>
    <row r="48" spans="1:15" ht="20" customHeight="1" x14ac:dyDescent="0.2">
      <c r="A48" s="3">
        <v>44</v>
      </c>
      <c r="B48" s="19"/>
      <c r="C48" s="4" t="s">
        <v>5844</v>
      </c>
      <c r="D48" s="4" t="s">
        <v>5786</v>
      </c>
      <c r="E48" s="4" t="s">
        <v>133</v>
      </c>
      <c r="F48" s="8">
        <v>70</v>
      </c>
      <c r="G48" s="8">
        <v>70</v>
      </c>
      <c r="H48" s="8">
        <v>51</v>
      </c>
      <c r="I48" s="8">
        <v>13</v>
      </c>
      <c r="J48" s="8"/>
      <c r="K48" s="8">
        <v>80</v>
      </c>
      <c r="L48" s="18">
        <v>2400</v>
      </c>
      <c r="M48" s="7">
        <f t="shared" si="0"/>
        <v>192000</v>
      </c>
      <c r="N48" s="4"/>
      <c r="O48" s="9"/>
    </row>
    <row r="49" spans="1:15" ht="20" customHeight="1" x14ac:dyDescent="0.2">
      <c r="A49" s="3">
        <v>45</v>
      </c>
      <c r="B49" s="19"/>
      <c r="C49" s="4" t="s">
        <v>5845</v>
      </c>
      <c r="D49" s="4" t="s">
        <v>5786</v>
      </c>
      <c r="E49" s="4" t="s">
        <v>133</v>
      </c>
      <c r="F49" s="8"/>
      <c r="G49" s="8"/>
      <c r="H49" s="8">
        <v>30</v>
      </c>
      <c r="I49" s="8"/>
      <c r="J49" s="8"/>
      <c r="K49" s="8">
        <v>75</v>
      </c>
      <c r="L49" s="18">
        <v>3490</v>
      </c>
      <c r="M49" s="7">
        <f t="shared" si="0"/>
        <v>261750</v>
      </c>
      <c r="N49" s="4"/>
      <c r="O49" s="9"/>
    </row>
    <row r="50" spans="1:15" ht="20" customHeight="1" x14ac:dyDescent="0.2">
      <c r="A50" s="3">
        <v>46</v>
      </c>
      <c r="B50" s="19"/>
      <c r="C50" s="4" t="s">
        <v>5846</v>
      </c>
      <c r="D50" s="4" t="s">
        <v>5786</v>
      </c>
      <c r="E50" s="4" t="s">
        <v>133</v>
      </c>
      <c r="F50" s="8">
        <v>50</v>
      </c>
      <c r="G50" s="8">
        <v>50</v>
      </c>
      <c r="H50" s="8">
        <v>50</v>
      </c>
      <c r="I50" s="8"/>
      <c r="J50" s="8"/>
      <c r="K50" s="8">
        <v>75</v>
      </c>
      <c r="L50" s="18">
        <v>3325</v>
      </c>
      <c r="M50" s="7">
        <f t="shared" si="0"/>
        <v>249375</v>
      </c>
      <c r="N50" s="4"/>
      <c r="O50" s="9"/>
    </row>
    <row r="51" spans="1:15" ht="20" customHeight="1" x14ac:dyDescent="0.2">
      <c r="A51" s="3">
        <v>47</v>
      </c>
      <c r="B51" s="19"/>
      <c r="C51" s="4" t="s">
        <v>5847</v>
      </c>
      <c r="D51" s="4" t="s">
        <v>5786</v>
      </c>
      <c r="E51" s="4" t="s">
        <v>133</v>
      </c>
      <c r="F51" s="8"/>
      <c r="G51" s="8">
        <v>30</v>
      </c>
      <c r="H51" s="8">
        <v>10</v>
      </c>
      <c r="I51" s="8"/>
      <c r="J51" s="8"/>
      <c r="K51" s="8">
        <v>10</v>
      </c>
      <c r="L51" s="18">
        <v>4823</v>
      </c>
      <c r="M51" s="7">
        <f t="shared" si="0"/>
        <v>48230</v>
      </c>
      <c r="N51" s="4"/>
      <c r="O51" s="9"/>
    </row>
    <row r="52" spans="1:15" ht="20" customHeight="1" x14ac:dyDescent="0.2">
      <c r="A52" s="3">
        <v>48</v>
      </c>
      <c r="B52" s="19"/>
      <c r="C52" s="4" t="s">
        <v>5848</v>
      </c>
      <c r="D52" s="4" t="s">
        <v>5786</v>
      </c>
      <c r="E52" s="4" t="s">
        <v>133</v>
      </c>
      <c r="F52" s="8"/>
      <c r="G52" s="8"/>
      <c r="H52" s="8">
        <v>17</v>
      </c>
      <c r="I52" s="8"/>
      <c r="J52" s="8"/>
      <c r="K52" s="8">
        <v>45</v>
      </c>
      <c r="L52" s="18">
        <v>5425</v>
      </c>
      <c r="M52" s="7">
        <f t="shared" si="0"/>
        <v>244125</v>
      </c>
      <c r="N52" s="4"/>
      <c r="O52" s="9"/>
    </row>
    <row r="53" spans="1:15" ht="20" customHeight="1" x14ac:dyDescent="0.2">
      <c r="A53" s="3">
        <v>49</v>
      </c>
      <c r="B53" s="19"/>
      <c r="C53" s="4" t="s">
        <v>5849</v>
      </c>
      <c r="D53" s="4" t="s">
        <v>5786</v>
      </c>
      <c r="E53" s="4" t="s">
        <v>133</v>
      </c>
      <c r="F53" s="8"/>
      <c r="G53" s="8"/>
      <c r="H53" s="8">
        <v>5</v>
      </c>
      <c r="I53" s="8"/>
      <c r="J53" s="8"/>
      <c r="K53" s="8">
        <v>12</v>
      </c>
      <c r="L53" s="18">
        <v>6600</v>
      </c>
      <c r="M53" s="7">
        <f t="shared" si="0"/>
        <v>79200</v>
      </c>
      <c r="N53" s="4"/>
      <c r="O53" s="9"/>
    </row>
    <row r="54" spans="1:15" ht="20" customHeight="1" x14ac:dyDescent="0.2">
      <c r="A54" s="3">
        <v>50</v>
      </c>
      <c r="B54" s="19"/>
      <c r="C54" s="4" t="s">
        <v>5850</v>
      </c>
      <c r="D54" s="4" t="s">
        <v>5786</v>
      </c>
      <c r="E54" s="4" t="s">
        <v>133</v>
      </c>
      <c r="F54" s="8"/>
      <c r="G54" s="8"/>
      <c r="H54" s="8"/>
      <c r="I54" s="8"/>
      <c r="J54" s="8"/>
      <c r="K54" s="8">
        <v>2</v>
      </c>
      <c r="L54" s="18">
        <v>7200</v>
      </c>
      <c r="M54" s="7">
        <f t="shared" si="0"/>
        <v>14400</v>
      </c>
      <c r="N54" s="4"/>
      <c r="O54" s="9"/>
    </row>
    <row r="55" spans="1:15" ht="20" customHeight="1" x14ac:dyDescent="0.2">
      <c r="A55" s="3">
        <v>51</v>
      </c>
      <c r="B55" s="19"/>
      <c r="C55" s="4" t="s">
        <v>5851</v>
      </c>
      <c r="D55" s="4" t="s">
        <v>5786</v>
      </c>
      <c r="E55" s="4" t="s">
        <v>110</v>
      </c>
      <c r="F55" s="8">
        <v>3</v>
      </c>
      <c r="G55" s="8">
        <v>3</v>
      </c>
      <c r="H55" s="8">
        <v>30</v>
      </c>
      <c r="I55" s="8">
        <v>5</v>
      </c>
      <c r="J55" s="8"/>
      <c r="K55" s="8">
        <v>40</v>
      </c>
      <c r="L55" s="18">
        <v>3210</v>
      </c>
      <c r="M55" s="7">
        <f t="shared" si="0"/>
        <v>128400</v>
      </c>
      <c r="N55" s="4" t="s">
        <v>5852</v>
      </c>
      <c r="O55" s="9"/>
    </row>
    <row r="56" spans="1:15" ht="20" customHeight="1" x14ac:dyDescent="0.2">
      <c r="A56" s="3">
        <v>52</v>
      </c>
      <c r="B56" s="19"/>
      <c r="C56" s="4" t="s">
        <v>5853</v>
      </c>
      <c r="D56" s="4" t="s">
        <v>5786</v>
      </c>
      <c r="E56" s="4" t="s">
        <v>110</v>
      </c>
      <c r="F56" s="8">
        <v>3</v>
      </c>
      <c r="G56" s="8">
        <v>3</v>
      </c>
      <c r="H56" s="8">
        <v>15</v>
      </c>
      <c r="I56" s="8">
        <v>5</v>
      </c>
      <c r="J56" s="8"/>
      <c r="K56" s="8">
        <v>20</v>
      </c>
      <c r="L56" s="18">
        <v>4280</v>
      </c>
      <c r="M56" s="7">
        <f t="shared" si="0"/>
        <v>85600</v>
      </c>
      <c r="N56" s="4" t="s">
        <v>5854</v>
      </c>
      <c r="O56" s="9"/>
    </row>
    <row r="57" spans="1:15" ht="20" customHeight="1" x14ac:dyDescent="0.2">
      <c r="A57" s="3">
        <v>53</v>
      </c>
      <c r="B57" s="19"/>
      <c r="C57" s="4" t="s">
        <v>5855</v>
      </c>
      <c r="D57" s="4" t="s">
        <v>5786</v>
      </c>
      <c r="E57" s="4" t="s">
        <v>110</v>
      </c>
      <c r="F57" s="8">
        <v>20</v>
      </c>
      <c r="G57" s="8">
        <v>20</v>
      </c>
      <c r="H57" s="8">
        <v>20</v>
      </c>
      <c r="I57" s="8">
        <v>12</v>
      </c>
      <c r="J57" s="8"/>
      <c r="K57" s="8">
        <v>50</v>
      </c>
      <c r="L57" s="18">
        <v>3210</v>
      </c>
      <c r="M57" s="7">
        <f t="shared" si="0"/>
        <v>160500</v>
      </c>
      <c r="N57" s="4" t="s">
        <v>5856</v>
      </c>
      <c r="O57" s="9"/>
    </row>
    <row r="58" spans="1:15" ht="20" customHeight="1" x14ac:dyDescent="0.2">
      <c r="A58" s="3">
        <v>54</v>
      </c>
      <c r="B58" s="19"/>
      <c r="C58" s="4" t="s">
        <v>5857</v>
      </c>
      <c r="D58" s="4" t="s">
        <v>5786</v>
      </c>
      <c r="E58" s="4" t="s">
        <v>110</v>
      </c>
      <c r="F58" s="8">
        <v>40</v>
      </c>
      <c r="G58" s="8">
        <v>40</v>
      </c>
      <c r="H58" s="8">
        <v>40</v>
      </c>
      <c r="I58" s="8"/>
      <c r="J58" s="8"/>
      <c r="K58" s="8">
        <v>35</v>
      </c>
      <c r="L58" s="18">
        <v>2514.5</v>
      </c>
      <c r="M58" s="7">
        <f t="shared" si="0"/>
        <v>88007.5</v>
      </c>
      <c r="N58" s="4" t="s">
        <v>5858</v>
      </c>
      <c r="O58" s="9"/>
    </row>
    <row r="59" spans="1:15" ht="20" customHeight="1" x14ac:dyDescent="0.2">
      <c r="A59" s="3">
        <v>55</v>
      </c>
      <c r="B59" s="19"/>
      <c r="C59" s="4" t="s">
        <v>5859</v>
      </c>
      <c r="D59" s="4" t="s">
        <v>5786</v>
      </c>
      <c r="E59" s="4" t="s">
        <v>110</v>
      </c>
      <c r="F59" s="8">
        <v>50</v>
      </c>
      <c r="G59" s="8">
        <v>50</v>
      </c>
      <c r="H59" s="8">
        <v>25</v>
      </c>
      <c r="I59" s="8"/>
      <c r="J59" s="8"/>
      <c r="K59" s="8">
        <v>25</v>
      </c>
      <c r="L59" s="18">
        <v>5661.37</v>
      </c>
      <c r="M59" s="7">
        <f t="shared" si="0"/>
        <v>141534.25</v>
      </c>
      <c r="N59" s="4" t="s">
        <v>5860</v>
      </c>
      <c r="O59" s="9"/>
    </row>
    <row r="60" spans="1:15" ht="20" customHeight="1" x14ac:dyDescent="0.2">
      <c r="A60" s="3">
        <v>56</v>
      </c>
      <c r="B60" s="19"/>
      <c r="C60" s="4" t="s">
        <v>5861</v>
      </c>
      <c r="D60" s="4" t="s">
        <v>5786</v>
      </c>
      <c r="E60" s="4" t="s">
        <v>110</v>
      </c>
      <c r="F60" s="8">
        <v>90</v>
      </c>
      <c r="G60" s="8">
        <v>90</v>
      </c>
      <c r="H60" s="8">
        <v>110</v>
      </c>
      <c r="I60" s="8"/>
      <c r="J60" s="8"/>
      <c r="K60" s="8">
        <v>160</v>
      </c>
      <c r="L60" s="18">
        <v>1444.5</v>
      </c>
      <c r="M60" s="7">
        <f t="shared" si="0"/>
        <v>231120</v>
      </c>
      <c r="N60" s="4" t="s">
        <v>5862</v>
      </c>
      <c r="O60" s="9"/>
    </row>
    <row r="61" spans="1:15" ht="20" customHeight="1" x14ac:dyDescent="0.2">
      <c r="A61" s="3">
        <v>57</v>
      </c>
      <c r="B61" s="19"/>
      <c r="C61" s="4" t="s">
        <v>5863</v>
      </c>
      <c r="D61" s="4" t="s">
        <v>5786</v>
      </c>
      <c r="E61" s="4" t="s">
        <v>110</v>
      </c>
      <c r="F61" s="8">
        <v>74</v>
      </c>
      <c r="G61" s="8">
        <v>80</v>
      </c>
      <c r="H61" s="8">
        <v>60</v>
      </c>
      <c r="I61" s="8"/>
      <c r="J61" s="8"/>
      <c r="K61" s="8">
        <v>60</v>
      </c>
      <c r="L61" s="18">
        <v>1926</v>
      </c>
      <c r="M61" s="7">
        <f t="shared" si="0"/>
        <v>115560</v>
      </c>
      <c r="N61" s="4" t="s">
        <v>5864</v>
      </c>
      <c r="O61" s="9"/>
    </row>
    <row r="62" spans="1:15" ht="20" customHeight="1" x14ac:dyDescent="0.2">
      <c r="A62" s="3">
        <v>58</v>
      </c>
      <c r="B62" s="19"/>
      <c r="C62" s="4" t="s">
        <v>5865</v>
      </c>
      <c r="D62" s="4" t="s">
        <v>5786</v>
      </c>
      <c r="E62" s="4" t="s">
        <v>110</v>
      </c>
      <c r="F62" s="8">
        <v>20</v>
      </c>
      <c r="G62" s="8">
        <v>20</v>
      </c>
      <c r="H62" s="8">
        <v>60</v>
      </c>
      <c r="I62" s="8"/>
      <c r="J62" s="8"/>
      <c r="K62" s="8">
        <v>10</v>
      </c>
      <c r="L62" s="18">
        <v>1391</v>
      </c>
      <c r="M62" s="7">
        <f t="shared" si="0"/>
        <v>13910</v>
      </c>
      <c r="N62" s="4" t="s">
        <v>5866</v>
      </c>
      <c r="O62" s="9"/>
    </row>
    <row r="63" spans="1:15" ht="20" customHeight="1" x14ac:dyDescent="0.2">
      <c r="A63" s="3">
        <v>59</v>
      </c>
      <c r="B63" s="19"/>
      <c r="C63" s="4" t="s">
        <v>5867</v>
      </c>
      <c r="D63" s="4" t="s">
        <v>5786</v>
      </c>
      <c r="E63" s="4" t="s">
        <v>110</v>
      </c>
      <c r="F63" s="8"/>
      <c r="G63" s="8"/>
      <c r="H63" s="8">
        <v>300</v>
      </c>
      <c r="I63" s="8"/>
      <c r="J63" s="8"/>
      <c r="K63" s="8">
        <v>500</v>
      </c>
      <c r="L63" s="18">
        <v>133.75</v>
      </c>
      <c r="M63" s="7">
        <f t="shared" si="0"/>
        <v>66875</v>
      </c>
      <c r="N63" s="4" t="s">
        <v>5868</v>
      </c>
      <c r="O63" s="9"/>
    </row>
    <row r="64" spans="1:15" ht="20" customHeight="1" x14ac:dyDescent="0.2">
      <c r="A64" s="3">
        <v>60</v>
      </c>
      <c r="B64" s="19"/>
      <c r="C64" s="4" t="s">
        <v>5869</v>
      </c>
      <c r="D64" s="4" t="s">
        <v>5786</v>
      </c>
      <c r="E64" s="4" t="s">
        <v>110</v>
      </c>
      <c r="F64" s="8"/>
      <c r="G64" s="8"/>
      <c r="H64" s="8">
        <v>20</v>
      </c>
      <c r="I64" s="8"/>
      <c r="J64" s="8"/>
      <c r="K64" s="8">
        <v>20</v>
      </c>
      <c r="L64" s="18">
        <v>2675</v>
      </c>
      <c r="M64" s="7">
        <f t="shared" si="0"/>
        <v>53500</v>
      </c>
      <c r="N64" s="4" t="s">
        <v>5870</v>
      </c>
      <c r="O64" s="9"/>
    </row>
    <row r="65" spans="1:15" ht="20" customHeight="1" x14ac:dyDescent="0.2">
      <c r="A65" s="3">
        <v>61</v>
      </c>
      <c r="B65" s="19"/>
      <c r="C65" s="4" t="s">
        <v>5871</v>
      </c>
      <c r="D65" s="4" t="s">
        <v>5786</v>
      </c>
      <c r="E65" s="4" t="s">
        <v>110</v>
      </c>
      <c r="F65" s="8"/>
      <c r="G65" s="8"/>
      <c r="H65" s="8">
        <v>20</v>
      </c>
      <c r="I65" s="8"/>
      <c r="J65" s="8"/>
      <c r="K65" s="8">
        <v>100</v>
      </c>
      <c r="L65" s="18">
        <v>856</v>
      </c>
      <c r="M65" s="7">
        <f t="shared" si="0"/>
        <v>85600</v>
      </c>
      <c r="N65" s="4" t="s">
        <v>5872</v>
      </c>
      <c r="O65" s="9"/>
    </row>
    <row r="66" spans="1:15" ht="20" customHeight="1" x14ac:dyDescent="0.2">
      <c r="A66" s="3">
        <v>62</v>
      </c>
      <c r="B66" s="19"/>
      <c r="C66" s="4" t="s">
        <v>5873</v>
      </c>
      <c r="D66" s="4" t="s">
        <v>5786</v>
      </c>
      <c r="E66" s="4" t="s">
        <v>271</v>
      </c>
      <c r="F66" s="8">
        <v>600</v>
      </c>
      <c r="G66" s="8">
        <v>600</v>
      </c>
      <c r="H66" s="8">
        <v>400</v>
      </c>
      <c r="I66" s="8"/>
      <c r="J66" s="8"/>
      <c r="K66" s="8">
        <v>600</v>
      </c>
      <c r="L66" s="18">
        <v>231.12</v>
      </c>
      <c r="M66" s="7">
        <f t="shared" si="0"/>
        <v>138672</v>
      </c>
      <c r="N66" s="4" t="s">
        <v>5874</v>
      </c>
      <c r="O66" s="9"/>
    </row>
    <row r="67" spans="1:15" ht="20" customHeight="1" x14ac:dyDescent="0.2">
      <c r="A67" s="3">
        <v>63</v>
      </c>
      <c r="B67" s="19"/>
      <c r="C67" s="4" t="s">
        <v>5875</v>
      </c>
      <c r="D67" s="4" t="s">
        <v>5786</v>
      </c>
      <c r="E67" s="4" t="s">
        <v>110</v>
      </c>
      <c r="F67" s="8">
        <v>200</v>
      </c>
      <c r="G67" s="8">
        <v>200</v>
      </c>
      <c r="H67" s="8"/>
      <c r="I67" s="8"/>
      <c r="J67" s="8"/>
      <c r="K67" s="8">
        <v>200</v>
      </c>
      <c r="L67" s="18">
        <v>185</v>
      </c>
      <c r="M67" s="7">
        <f t="shared" si="0"/>
        <v>37000</v>
      </c>
      <c r="N67" s="4" t="s">
        <v>5876</v>
      </c>
      <c r="O67" s="9"/>
    </row>
    <row r="68" spans="1:15" ht="20" customHeight="1" x14ac:dyDescent="0.2">
      <c r="A68" s="3">
        <v>64</v>
      </c>
      <c r="B68" s="19"/>
      <c r="C68" s="4" t="s">
        <v>5877</v>
      </c>
      <c r="D68" s="4" t="s">
        <v>5786</v>
      </c>
      <c r="E68" s="4" t="s">
        <v>267</v>
      </c>
      <c r="F68" s="8">
        <v>50</v>
      </c>
      <c r="G68" s="8">
        <v>50</v>
      </c>
      <c r="H68" s="8">
        <v>20</v>
      </c>
      <c r="I68" s="8"/>
      <c r="J68" s="8"/>
      <c r="K68" s="8">
        <v>30</v>
      </c>
      <c r="L68" s="18">
        <v>650</v>
      </c>
      <c r="M68" s="7">
        <f t="shared" si="0"/>
        <v>19500</v>
      </c>
      <c r="N68" s="4" t="s">
        <v>5878</v>
      </c>
      <c r="O68" s="9"/>
    </row>
    <row r="69" spans="1:15" ht="20" customHeight="1" x14ac:dyDescent="0.2">
      <c r="A69" s="3">
        <v>65</v>
      </c>
      <c r="B69" s="19"/>
      <c r="C69" s="4" t="s">
        <v>5879</v>
      </c>
      <c r="D69" s="4" t="s">
        <v>5786</v>
      </c>
      <c r="E69" s="4" t="s">
        <v>267</v>
      </c>
      <c r="F69" s="8">
        <v>50</v>
      </c>
      <c r="G69" s="8">
        <v>50</v>
      </c>
      <c r="H69" s="8">
        <v>40</v>
      </c>
      <c r="I69" s="8"/>
      <c r="J69" s="8"/>
      <c r="K69" s="8">
        <v>200</v>
      </c>
      <c r="L69" s="18">
        <v>950</v>
      </c>
      <c r="M69" s="7">
        <f t="shared" ref="M69:M132" si="1">IF(OR(K69="",L69=""),"",K69*L69)</f>
        <v>190000</v>
      </c>
      <c r="N69" s="4" t="s">
        <v>5880</v>
      </c>
      <c r="O69" s="9"/>
    </row>
    <row r="70" spans="1:15" ht="20" customHeight="1" x14ac:dyDescent="0.2">
      <c r="A70" s="3">
        <v>66</v>
      </c>
      <c r="B70" s="19"/>
      <c r="C70" s="4" t="s">
        <v>5881</v>
      </c>
      <c r="D70" s="4" t="s">
        <v>5786</v>
      </c>
      <c r="E70" s="4" t="s">
        <v>267</v>
      </c>
      <c r="F70" s="8">
        <v>100</v>
      </c>
      <c r="G70" s="8">
        <v>100</v>
      </c>
      <c r="H70" s="8">
        <v>100</v>
      </c>
      <c r="I70" s="8"/>
      <c r="J70" s="8"/>
      <c r="K70" s="8">
        <v>200</v>
      </c>
      <c r="L70" s="18">
        <v>1800</v>
      </c>
      <c r="M70" s="7">
        <f t="shared" si="1"/>
        <v>360000</v>
      </c>
      <c r="N70" s="4" t="s">
        <v>5882</v>
      </c>
      <c r="O70" s="9"/>
    </row>
    <row r="71" spans="1:15" ht="20" customHeight="1" x14ac:dyDescent="0.2">
      <c r="A71" s="3">
        <v>67</v>
      </c>
      <c r="B71" s="19"/>
      <c r="C71" s="4" t="s">
        <v>5883</v>
      </c>
      <c r="D71" s="4" t="s">
        <v>5786</v>
      </c>
      <c r="E71" s="4" t="s">
        <v>110</v>
      </c>
      <c r="F71" s="8">
        <v>800</v>
      </c>
      <c r="G71" s="8">
        <v>800</v>
      </c>
      <c r="H71" s="8">
        <v>500</v>
      </c>
      <c r="I71" s="8"/>
      <c r="J71" s="8"/>
      <c r="K71" s="8">
        <v>500</v>
      </c>
      <c r="L71" s="18">
        <v>535</v>
      </c>
      <c r="M71" s="7">
        <f t="shared" si="1"/>
        <v>267500</v>
      </c>
      <c r="N71" s="4" t="s">
        <v>5884</v>
      </c>
      <c r="O71" s="9"/>
    </row>
    <row r="72" spans="1:15" ht="20" customHeight="1" x14ac:dyDescent="0.2">
      <c r="A72" s="3">
        <v>68</v>
      </c>
      <c r="B72" s="19"/>
      <c r="C72" s="4" t="s">
        <v>5885</v>
      </c>
      <c r="D72" s="4" t="s">
        <v>5786</v>
      </c>
      <c r="E72" s="4" t="s">
        <v>110</v>
      </c>
      <c r="F72" s="8">
        <v>70</v>
      </c>
      <c r="G72" s="8">
        <v>200</v>
      </c>
      <c r="H72" s="8"/>
      <c r="I72" s="8"/>
      <c r="J72" s="8"/>
      <c r="K72" s="8">
        <v>50</v>
      </c>
      <c r="L72" s="18">
        <v>722.25</v>
      </c>
      <c r="M72" s="7">
        <f t="shared" si="1"/>
        <v>36112.5</v>
      </c>
      <c r="N72" s="4" t="s">
        <v>5886</v>
      </c>
      <c r="O72" s="9"/>
    </row>
    <row r="73" spans="1:15" ht="20" customHeight="1" x14ac:dyDescent="0.2">
      <c r="A73" s="3">
        <v>69</v>
      </c>
      <c r="B73" s="19"/>
      <c r="C73" s="4" t="s">
        <v>5887</v>
      </c>
      <c r="D73" s="4" t="s">
        <v>5786</v>
      </c>
      <c r="E73" s="4" t="s">
        <v>267</v>
      </c>
      <c r="F73" s="8">
        <v>52</v>
      </c>
      <c r="G73" s="8">
        <v>52</v>
      </c>
      <c r="H73" s="8">
        <v>70</v>
      </c>
      <c r="I73" s="8"/>
      <c r="J73" s="8"/>
      <c r="K73" s="8">
        <v>80</v>
      </c>
      <c r="L73" s="18">
        <v>4066</v>
      </c>
      <c r="M73" s="7">
        <f t="shared" si="1"/>
        <v>325280</v>
      </c>
      <c r="N73" s="4" t="s">
        <v>5888</v>
      </c>
      <c r="O73" s="9"/>
    </row>
    <row r="74" spans="1:15" ht="20" customHeight="1" x14ac:dyDescent="0.2">
      <c r="A74" s="3">
        <v>70</v>
      </c>
      <c r="B74" s="19"/>
      <c r="C74" s="4" t="s">
        <v>5889</v>
      </c>
      <c r="D74" s="4" t="s">
        <v>5786</v>
      </c>
      <c r="E74" s="4" t="s">
        <v>110</v>
      </c>
      <c r="F74" s="8"/>
      <c r="G74" s="8"/>
      <c r="H74" s="8">
        <v>200</v>
      </c>
      <c r="I74" s="8"/>
      <c r="J74" s="8"/>
      <c r="K74" s="8">
        <v>200</v>
      </c>
      <c r="L74" s="18">
        <v>2140</v>
      </c>
      <c r="M74" s="7">
        <f t="shared" si="1"/>
        <v>428000</v>
      </c>
      <c r="N74" s="4"/>
      <c r="O74" s="9"/>
    </row>
    <row r="75" spans="1:15" ht="20" customHeight="1" x14ac:dyDescent="0.2">
      <c r="A75" s="3">
        <v>71</v>
      </c>
      <c r="B75" s="19"/>
      <c r="C75" s="4" t="s">
        <v>5890</v>
      </c>
      <c r="D75" s="4" t="s">
        <v>5786</v>
      </c>
      <c r="E75" s="4" t="s">
        <v>110</v>
      </c>
      <c r="F75" s="8"/>
      <c r="G75" s="8"/>
      <c r="H75" s="8">
        <v>10</v>
      </c>
      <c r="I75" s="8"/>
      <c r="J75" s="8"/>
      <c r="K75" s="8">
        <v>20</v>
      </c>
      <c r="L75" s="18">
        <v>4494</v>
      </c>
      <c r="M75" s="7">
        <f t="shared" si="1"/>
        <v>89880</v>
      </c>
      <c r="N75" s="4"/>
      <c r="O75" s="9"/>
    </row>
    <row r="76" spans="1:15" ht="20" customHeight="1" x14ac:dyDescent="0.2">
      <c r="A76" s="3">
        <v>72</v>
      </c>
      <c r="B76" s="19"/>
      <c r="C76" s="4" t="s">
        <v>5891</v>
      </c>
      <c r="D76" s="4" t="s">
        <v>5786</v>
      </c>
      <c r="E76" s="4" t="s">
        <v>267</v>
      </c>
      <c r="F76" s="8">
        <v>100</v>
      </c>
      <c r="G76" s="8">
        <v>100</v>
      </c>
      <c r="H76" s="8"/>
      <c r="I76" s="8"/>
      <c r="J76" s="8"/>
      <c r="K76" s="8">
        <v>100</v>
      </c>
      <c r="L76" s="18">
        <v>535</v>
      </c>
      <c r="M76" s="7">
        <f t="shared" si="1"/>
        <v>53500</v>
      </c>
      <c r="N76" s="4" t="s">
        <v>5892</v>
      </c>
      <c r="O76" s="9"/>
    </row>
    <row r="77" spans="1:15" ht="20" customHeight="1" x14ac:dyDescent="0.2">
      <c r="A77" s="3">
        <v>73</v>
      </c>
      <c r="B77" s="19"/>
      <c r="C77" s="4" t="s">
        <v>5893</v>
      </c>
      <c r="D77" s="4" t="s">
        <v>5786</v>
      </c>
      <c r="E77" s="4" t="s">
        <v>271</v>
      </c>
      <c r="F77" s="8">
        <v>20</v>
      </c>
      <c r="G77" s="8">
        <v>20</v>
      </c>
      <c r="H77" s="8">
        <v>75</v>
      </c>
      <c r="I77" s="8"/>
      <c r="J77" s="8"/>
      <c r="K77" s="8">
        <v>200</v>
      </c>
      <c r="L77" s="18">
        <v>2431.84</v>
      </c>
      <c r="M77" s="7">
        <f t="shared" si="1"/>
        <v>486368</v>
      </c>
      <c r="N77" s="4"/>
      <c r="O77" s="9"/>
    </row>
    <row r="78" spans="1:15" ht="20" customHeight="1" x14ac:dyDescent="0.2">
      <c r="A78" s="3">
        <v>74</v>
      </c>
      <c r="B78" s="19"/>
      <c r="C78" s="4" t="s">
        <v>5894</v>
      </c>
      <c r="D78" s="4" t="s">
        <v>5786</v>
      </c>
      <c r="E78" s="4" t="s">
        <v>110</v>
      </c>
      <c r="F78" s="8"/>
      <c r="G78" s="8"/>
      <c r="H78" s="8">
        <v>72</v>
      </c>
      <c r="I78" s="8">
        <v>8</v>
      </c>
      <c r="J78" s="8"/>
      <c r="K78" s="8">
        <v>80</v>
      </c>
      <c r="L78" s="18">
        <v>798.22</v>
      </c>
      <c r="M78" s="7">
        <f t="shared" si="1"/>
        <v>63857.600000000006</v>
      </c>
      <c r="N78" s="4" t="s">
        <v>5895</v>
      </c>
      <c r="O78" s="9"/>
    </row>
    <row r="79" spans="1:15" ht="20" customHeight="1" x14ac:dyDescent="0.2">
      <c r="A79" s="3">
        <v>75</v>
      </c>
      <c r="B79" s="19"/>
      <c r="C79" s="4" t="s">
        <v>5896</v>
      </c>
      <c r="D79" s="4" t="s">
        <v>5786</v>
      </c>
      <c r="E79" s="4" t="s">
        <v>110</v>
      </c>
      <c r="F79" s="8">
        <v>800</v>
      </c>
      <c r="G79" s="8">
        <v>800</v>
      </c>
      <c r="H79" s="8">
        <v>780</v>
      </c>
      <c r="I79" s="8">
        <v>48</v>
      </c>
      <c r="J79" s="8"/>
      <c r="K79" s="8">
        <v>1000</v>
      </c>
      <c r="L79" s="18">
        <v>798.22</v>
      </c>
      <c r="M79" s="7">
        <f t="shared" si="1"/>
        <v>798220</v>
      </c>
      <c r="N79" s="4" t="s">
        <v>5897</v>
      </c>
      <c r="O79" s="9"/>
    </row>
    <row r="80" spans="1:15" ht="20" customHeight="1" x14ac:dyDescent="0.2">
      <c r="A80" s="3">
        <v>76</v>
      </c>
      <c r="B80" s="19"/>
      <c r="C80" s="4" t="s">
        <v>5898</v>
      </c>
      <c r="D80" s="4" t="s">
        <v>5786</v>
      </c>
      <c r="E80" s="4" t="s">
        <v>110</v>
      </c>
      <c r="F80" s="8">
        <v>289</v>
      </c>
      <c r="G80" s="8">
        <v>300</v>
      </c>
      <c r="H80" s="8">
        <v>440</v>
      </c>
      <c r="I80" s="8">
        <v>32</v>
      </c>
      <c r="J80" s="8"/>
      <c r="K80" s="8">
        <v>450</v>
      </c>
      <c r="L80" s="18">
        <v>798.22</v>
      </c>
      <c r="M80" s="7">
        <f t="shared" si="1"/>
        <v>359199</v>
      </c>
      <c r="N80" s="4" t="s">
        <v>5899</v>
      </c>
      <c r="O80" s="9"/>
    </row>
    <row r="81" spans="1:15" ht="20" customHeight="1" x14ac:dyDescent="0.2">
      <c r="A81" s="3">
        <v>77</v>
      </c>
      <c r="B81" s="19"/>
      <c r="C81" s="4" t="s">
        <v>5900</v>
      </c>
      <c r="D81" s="4" t="s">
        <v>5786</v>
      </c>
      <c r="E81" s="4" t="s">
        <v>110</v>
      </c>
      <c r="F81" s="8">
        <v>250</v>
      </c>
      <c r="G81" s="8">
        <v>250</v>
      </c>
      <c r="H81" s="8">
        <v>160</v>
      </c>
      <c r="I81" s="8">
        <v>36</v>
      </c>
      <c r="J81" s="8"/>
      <c r="K81" s="8">
        <v>180</v>
      </c>
      <c r="L81" s="18">
        <v>1551.5</v>
      </c>
      <c r="M81" s="7">
        <f t="shared" si="1"/>
        <v>279270</v>
      </c>
      <c r="N81" s="4" t="s">
        <v>5901</v>
      </c>
      <c r="O81" s="9"/>
    </row>
    <row r="82" spans="1:15" ht="20" customHeight="1" x14ac:dyDescent="0.2">
      <c r="A82" s="3">
        <v>78</v>
      </c>
      <c r="B82" s="19"/>
      <c r="C82" s="4" t="s">
        <v>5902</v>
      </c>
      <c r="D82" s="4" t="s">
        <v>5786</v>
      </c>
      <c r="E82" s="4" t="s">
        <v>110</v>
      </c>
      <c r="F82" s="8">
        <v>17</v>
      </c>
      <c r="G82" s="8">
        <v>20</v>
      </c>
      <c r="H82" s="8">
        <v>92</v>
      </c>
      <c r="I82" s="8">
        <v>8</v>
      </c>
      <c r="J82" s="8"/>
      <c r="K82" s="8">
        <v>100</v>
      </c>
      <c r="L82" s="18">
        <v>5590.75</v>
      </c>
      <c r="M82" s="7">
        <f t="shared" si="1"/>
        <v>559075</v>
      </c>
      <c r="N82" s="4" t="s">
        <v>5903</v>
      </c>
      <c r="O82" s="9"/>
    </row>
    <row r="83" spans="1:15" ht="20" customHeight="1" x14ac:dyDescent="0.2">
      <c r="A83" s="3">
        <v>79</v>
      </c>
      <c r="B83" s="19"/>
      <c r="C83" s="4" t="s">
        <v>5904</v>
      </c>
      <c r="D83" s="4" t="s">
        <v>5786</v>
      </c>
      <c r="E83" s="4" t="s">
        <v>110</v>
      </c>
      <c r="F83" s="8">
        <v>10</v>
      </c>
      <c r="G83" s="8">
        <v>10</v>
      </c>
      <c r="H83" s="8"/>
      <c r="I83" s="8"/>
      <c r="J83" s="8"/>
      <c r="K83" s="8">
        <v>20</v>
      </c>
      <c r="L83" s="18">
        <v>4622.3999999999996</v>
      </c>
      <c r="M83" s="7">
        <f t="shared" si="1"/>
        <v>92448</v>
      </c>
      <c r="N83" s="4" t="s">
        <v>5905</v>
      </c>
      <c r="O83" s="9"/>
    </row>
    <row r="84" spans="1:15" ht="20" customHeight="1" x14ac:dyDescent="0.2">
      <c r="A84" s="3">
        <v>80</v>
      </c>
      <c r="B84" s="19"/>
      <c r="C84" s="4" t="s">
        <v>5906</v>
      </c>
      <c r="D84" s="4" t="s">
        <v>5786</v>
      </c>
      <c r="E84" s="4" t="s">
        <v>196</v>
      </c>
      <c r="F84" s="8">
        <v>150</v>
      </c>
      <c r="G84" s="8">
        <v>150</v>
      </c>
      <c r="H84" s="8">
        <v>120</v>
      </c>
      <c r="I84" s="8"/>
      <c r="J84" s="8"/>
      <c r="K84" s="8">
        <v>150</v>
      </c>
      <c r="L84" s="18">
        <v>1872.5</v>
      </c>
      <c r="M84" s="7">
        <f t="shared" si="1"/>
        <v>280875</v>
      </c>
      <c r="N84" s="4"/>
      <c r="O84" s="9"/>
    </row>
    <row r="85" spans="1:15" ht="20" customHeight="1" x14ac:dyDescent="0.2">
      <c r="A85" s="3">
        <v>81</v>
      </c>
      <c r="B85" s="19"/>
      <c r="C85" s="4" t="s">
        <v>5907</v>
      </c>
      <c r="D85" s="4" t="s">
        <v>5786</v>
      </c>
      <c r="E85" s="4" t="s">
        <v>196</v>
      </c>
      <c r="F85" s="8">
        <v>24000</v>
      </c>
      <c r="G85" s="8">
        <v>24000</v>
      </c>
      <c r="H85" s="8">
        <v>21500</v>
      </c>
      <c r="I85" s="8"/>
      <c r="J85" s="8"/>
      <c r="K85" s="8">
        <v>22000</v>
      </c>
      <c r="L85" s="18">
        <v>16</v>
      </c>
      <c r="M85" s="7">
        <f t="shared" si="1"/>
        <v>352000</v>
      </c>
      <c r="N85" s="4"/>
      <c r="O85" s="9"/>
    </row>
    <row r="86" spans="1:15" ht="20" customHeight="1" x14ac:dyDescent="0.2">
      <c r="A86" s="3">
        <v>82</v>
      </c>
      <c r="B86" s="19"/>
      <c r="C86" s="4" t="s">
        <v>5908</v>
      </c>
      <c r="D86" s="4" t="s">
        <v>5786</v>
      </c>
      <c r="E86" s="4" t="s">
        <v>190</v>
      </c>
      <c r="F86" s="8">
        <v>2200</v>
      </c>
      <c r="G86" s="8">
        <v>2200</v>
      </c>
      <c r="H86" s="8">
        <v>2600</v>
      </c>
      <c r="I86" s="8">
        <v>609</v>
      </c>
      <c r="J86" s="8"/>
      <c r="K86" s="8">
        <v>4000</v>
      </c>
      <c r="L86" s="18">
        <v>64.2</v>
      </c>
      <c r="M86" s="7">
        <f t="shared" si="1"/>
        <v>256800</v>
      </c>
      <c r="N86" s="4" t="s">
        <v>5909</v>
      </c>
      <c r="O86" s="9"/>
    </row>
    <row r="87" spans="1:15" ht="20" customHeight="1" x14ac:dyDescent="0.2">
      <c r="A87" s="3">
        <v>83</v>
      </c>
      <c r="B87" s="19"/>
      <c r="C87" s="4" t="s">
        <v>5910</v>
      </c>
      <c r="D87" s="4" t="s">
        <v>5786</v>
      </c>
      <c r="E87" s="4" t="s">
        <v>190</v>
      </c>
      <c r="F87" s="8">
        <v>100</v>
      </c>
      <c r="G87" s="8">
        <v>100</v>
      </c>
      <c r="H87" s="8">
        <v>80</v>
      </c>
      <c r="I87" s="8">
        <v>17</v>
      </c>
      <c r="J87" s="8"/>
      <c r="K87" s="8">
        <v>160</v>
      </c>
      <c r="L87" s="18">
        <v>668.75</v>
      </c>
      <c r="M87" s="7">
        <f t="shared" si="1"/>
        <v>107000</v>
      </c>
      <c r="N87" s="4" t="s">
        <v>5911</v>
      </c>
      <c r="O87" s="9"/>
    </row>
    <row r="88" spans="1:15" ht="20" customHeight="1" x14ac:dyDescent="0.2">
      <c r="A88" s="3">
        <v>84</v>
      </c>
      <c r="B88" s="19"/>
      <c r="C88" s="4" t="s">
        <v>5912</v>
      </c>
      <c r="D88" s="4" t="s">
        <v>5786</v>
      </c>
      <c r="E88" s="4" t="s">
        <v>190</v>
      </c>
      <c r="F88" s="8">
        <v>2400</v>
      </c>
      <c r="G88" s="8">
        <v>2400</v>
      </c>
      <c r="H88" s="8">
        <v>2800</v>
      </c>
      <c r="I88" s="8">
        <v>268</v>
      </c>
      <c r="J88" s="8"/>
      <c r="K88" s="8">
        <v>3000</v>
      </c>
      <c r="L88" s="18">
        <v>572.45000000000005</v>
      </c>
      <c r="M88" s="7">
        <f t="shared" si="1"/>
        <v>1717350.0000000002</v>
      </c>
      <c r="N88" s="4" t="s">
        <v>5913</v>
      </c>
      <c r="O88" s="9"/>
    </row>
    <row r="89" spans="1:15" ht="20" customHeight="1" x14ac:dyDescent="0.2">
      <c r="A89" s="3">
        <v>85</v>
      </c>
      <c r="B89" s="19"/>
      <c r="C89" s="4" t="s">
        <v>5914</v>
      </c>
      <c r="D89" s="4" t="s">
        <v>5786</v>
      </c>
      <c r="E89" s="4" t="s">
        <v>110</v>
      </c>
      <c r="F89" s="8">
        <v>60</v>
      </c>
      <c r="G89" s="8">
        <v>60</v>
      </c>
      <c r="H89" s="8">
        <v>80</v>
      </c>
      <c r="I89" s="8">
        <v>24</v>
      </c>
      <c r="J89" s="8"/>
      <c r="K89" s="8">
        <v>120</v>
      </c>
      <c r="L89" s="18">
        <v>856</v>
      </c>
      <c r="M89" s="7">
        <f t="shared" si="1"/>
        <v>102720</v>
      </c>
      <c r="N89" s="4" t="s">
        <v>5915</v>
      </c>
      <c r="O89" s="9"/>
    </row>
    <row r="90" spans="1:15" ht="20" customHeight="1" x14ac:dyDescent="0.2">
      <c r="A90" s="3">
        <v>86</v>
      </c>
      <c r="B90" s="19"/>
      <c r="C90" s="4" t="s">
        <v>5916</v>
      </c>
      <c r="D90" s="4" t="s">
        <v>5786</v>
      </c>
      <c r="E90" s="4" t="s">
        <v>287</v>
      </c>
      <c r="F90" s="8">
        <v>100</v>
      </c>
      <c r="G90" s="8">
        <v>210</v>
      </c>
      <c r="H90" s="8">
        <v>100</v>
      </c>
      <c r="I90" s="8"/>
      <c r="J90" s="8"/>
      <c r="K90" s="8">
        <v>200</v>
      </c>
      <c r="L90" s="18">
        <v>1900</v>
      </c>
      <c r="M90" s="7">
        <f t="shared" si="1"/>
        <v>380000</v>
      </c>
      <c r="N90" s="4" t="s">
        <v>5917</v>
      </c>
      <c r="O90" s="9"/>
    </row>
    <row r="91" spans="1:15" ht="20" customHeight="1" x14ac:dyDescent="0.2">
      <c r="A91" s="3">
        <v>87</v>
      </c>
      <c r="B91" s="19"/>
      <c r="C91" s="4" t="s">
        <v>5918</v>
      </c>
      <c r="D91" s="4" t="s">
        <v>5786</v>
      </c>
      <c r="E91" s="4" t="s">
        <v>190</v>
      </c>
      <c r="F91" s="8">
        <v>5000</v>
      </c>
      <c r="G91" s="8">
        <v>5000</v>
      </c>
      <c r="H91" s="8">
        <v>4700</v>
      </c>
      <c r="I91" s="8">
        <v>200</v>
      </c>
      <c r="J91" s="8"/>
      <c r="K91" s="8">
        <v>4800</v>
      </c>
      <c r="L91" s="18">
        <v>42</v>
      </c>
      <c r="M91" s="7">
        <f t="shared" si="1"/>
        <v>201600</v>
      </c>
      <c r="N91" s="4"/>
      <c r="O91" s="9"/>
    </row>
    <row r="92" spans="1:15" ht="20" customHeight="1" x14ac:dyDescent="0.2">
      <c r="A92" s="3">
        <v>88</v>
      </c>
      <c r="B92" s="19"/>
      <c r="C92" s="4" t="s">
        <v>5919</v>
      </c>
      <c r="D92" s="4" t="s">
        <v>5786</v>
      </c>
      <c r="E92" s="4" t="s">
        <v>137</v>
      </c>
      <c r="F92" s="8">
        <v>150</v>
      </c>
      <c r="G92" s="8">
        <v>150</v>
      </c>
      <c r="H92" s="8">
        <v>300</v>
      </c>
      <c r="I92" s="8"/>
      <c r="J92" s="8"/>
      <c r="K92" s="8">
        <v>300</v>
      </c>
      <c r="L92" s="18">
        <v>125</v>
      </c>
      <c r="M92" s="7">
        <f t="shared" si="1"/>
        <v>37500</v>
      </c>
      <c r="N92" s="4"/>
      <c r="O92" s="9"/>
    </row>
    <row r="93" spans="1:15" ht="20" customHeight="1" x14ac:dyDescent="0.2">
      <c r="A93" s="3">
        <v>89</v>
      </c>
      <c r="B93" s="19"/>
      <c r="C93" s="4" t="s">
        <v>5920</v>
      </c>
      <c r="D93" s="4" t="s">
        <v>5786</v>
      </c>
      <c r="E93" s="4" t="s">
        <v>265</v>
      </c>
      <c r="F93" s="8">
        <v>40</v>
      </c>
      <c r="G93" s="8">
        <v>40</v>
      </c>
      <c r="H93" s="8">
        <v>20</v>
      </c>
      <c r="I93" s="8">
        <v>6</v>
      </c>
      <c r="J93" s="8"/>
      <c r="K93" s="8">
        <v>40</v>
      </c>
      <c r="L93" s="18">
        <v>450</v>
      </c>
      <c r="M93" s="7">
        <f t="shared" si="1"/>
        <v>18000</v>
      </c>
      <c r="N93" s="4" t="s">
        <v>5921</v>
      </c>
      <c r="O93" s="9"/>
    </row>
    <row r="94" spans="1:15" ht="20" customHeight="1" x14ac:dyDescent="0.2">
      <c r="A94" s="3">
        <v>90</v>
      </c>
      <c r="B94" s="19"/>
      <c r="C94" s="4" t="s">
        <v>5922</v>
      </c>
      <c r="D94" s="4" t="s">
        <v>5786</v>
      </c>
      <c r="E94" s="4" t="s">
        <v>265</v>
      </c>
      <c r="F94" s="8">
        <v>100</v>
      </c>
      <c r="G94" s="8">
        <v>100</v>
      </c>
      <c r="H94" s="8">
        <v>180</v>
      </c>
      <c r="I94" s="8">
        <v>1</v>
      </c>
      <c r="J94" s="8"/>
      <c r="K94" s="8">
        <v>100</v>
      </c>
      <c r="L94" s="18">
        <v>100</v>
      </c>
      <c r="M94" s="7">
        <f t="shared" si="1"/>
        <v>10000</v>
      </c>
      <c r="N94" s="4" t="s">
        <v>5923</v>
      </c>
      <c r="O94" s="9"/>
    </row>
    <row r="95" spans="1:15" ht="20" customHeight="1" x14ac:dyDescent="0.2">
      <c r="A95" s="3">
        <v>91</v>
      </c>
      <c r="B95" s="19"/>
      <c r="C95" s="4" t="s">
        <v>5924</v>
      </c>
      <c r="D95" s="4" t="s">
        <v>5786</v>
      </c>
      <c r="E95" s="4" t="s">
        <v>110</v>
      </c>
      <c r="F95" s="8">
        <v>240</v>
      </c>
      <c r="G95" s="8">
        <v>250</v>
      </c>
      <c r="H95" s="8">
        <v>200</v>
      </c>
      <c r="I95" s="8">
        <v>60</v>
      </c>
      <c r="J95" s="8"/>
      <c r="K95" s="8">
        <v>300</v>
      </c>
      <c r="L95" s="18">
        <v>800</v>
      </c>
      <c r="M95" s="7">
        <f t="shared" si="1"/>
        <v>240000</v>
      </c>
      <c r="N95" s="4" t="s">
        <v>5925</v>
      </c>
      <c r="O95" s="9"/>
    </row>
    <row r="96" spans="1:15" ht="20" customHeight="1" x14ac:dyDescent="0.2">
      <c r="A96" s="3">
        <v>92</v>
      </c>
      <c r="B96" s="19"/>
      <c r="C96" s="4" t="s">
        <v>5926</v>
      </c>
      <c r="D96" s="4" t="s">
        <v>5786</v>
      </c>
      <c r="E96" s="4" t="s">
        <v>684</v>
      </c>
      <c r="F96" s="8">
        <v>80</v>
      </c>
      <c r="G96" s="8">
        <v>100</v>
      </c>
      <c r="H96" s="8">
        <v>134</v>
      </c>
      <c r="I96" s="8">
        <v>41</v>
      </c>
      <c r="J96" s="8"/>
      <c r="K96" s="8">
        <v>100</v>
      </c>
      <c r="L96" s="18">
        <v>650</v>
      </c>
      <c r="M96" s="7">
        <f t="shared" si="1"/>
        <v>65000</v>
      </c>
      <c r="N96" s="4" t="s">
        <v>5927</v>
      </c>
      <c r="O96" s="9"/>
    </row>
    <row r="97" spans="1:15" ht="20" customHeight="1" x14ac:dyDescent="0.2">
      <c r="A97" s="3">
        <v>93</v>
      </c>
      <c r="B97" s="19"/>
      <c r="C97" s="4" t="s">
        <v>5928</v>
      </c>
      <c r="D97" s="4" t="s">
        <v>5786</v>
      </c>
      <c r="E97" s="4" t="s">
        <v>152</v>
      </c>
      <c r="F97" s="8">
        <v>30</v>
      </c>
      <c r="G97" s="8">
        <v>30</v>
      </c>
      <c r="H97" s="8"/>
      <c r="I97" s="8"/>
      <c r="J97" s="8"/>
      <c r="K97" s="8">
        <v>10</v>
      </c>
      <c r="L97" s="18">
        <v>1200</v>
      </c>
      <c r="M97" s="7">
        <f t="shared" si="1"/>
        <v>12000</v>
      </c>
      <c r="N97" s="4" t="s">
        <v>5929</v>
      </c>
      <c r="O97" s="9"/>
    </row>
    <row r="98" spans="1:15" ht="20" customHeight="1" x14ac:dyDescent="0.2">
      <c r="A98" s="3">
        <v>94</v>
      </c>
      <c r="B98" s="19"/>
      <c r="C98" s="4" t="s">
        <v>5930</v>
      </c>
      <c r="D98" s="4" t="s">
        <v>5786</v>
      </c>
      <c r="E98" s="4" t="s">
        <v>152</v>
      </c>
      <c r="F98" s="8">
        <v>25</v>
      </c>
      <c r="G98" s="8">
        <v>25</v>
      </c>
      <c r="H98" s="8"/>
      <c r="I98" s="8"/>
      <c r="J98" s="8"/>
      <c r="K98" s="8">
        <v>10</v>
      </c>
      <c r="L98" s="18">
        <v>1200</v>
      </c>
      <c r="M98" s="7">
        <f t="shared" si="1"/>
        <v>12000</v>
      </c>
      <c r="N98" s="4" t="s">
        <v>5931</v>
      </c>
      <c r="O98" s="9"/>
    </row>
    <row r="99" spans="1:15" ht="20" customHeight="1" x14ac:dyDescent="0.2">
      <c r="A99" s="3">
        <v>95</v>
      </c>
      <c r="B99" s="19"/>
      <c r="C99" s="4" t="s">
        <v>5932</v>
      </c>
      <c r="D99" s="4" t="s">
        <v>5786</v>
      </c>
      <c r="E99" s="4" t="s">
        <v>110</v>
      </c>
      <c r="F99" s="8">
        <v>20</v>
      </c>
      <c r="G99" s="8">
        <v>20</v>
      </c>
      <c r="H99" s="8">
        <v>60</v>
      </c>
      <c r="I99" s="8">
        <v>1</v>
      </c>
      <c r="J99" s="8"/>
      <c r="K99" s="8">
        <v>0</v>
      </c>
      <c r="L99" s="18">
        <v>6000</v>
      </c>
      <c r="M99" s="7">
        <f t="shared" si="1"/>
        <v>0</v>
      </c>
      <c r="N99" s="4" t="s">
        <v>5933</v>
      </c>
      <c r="O99" s="9"/>
    </row>
    <row r="100" spans="1:15" ht="20" customHeight="1" x14ac:dyDescent="0.2">
      <c r="A100" s="3">
        <v>96</v>
      </c>
      <c r="B100" s="19"/>
      <c r="C100" s="4" t="s">
        <v>5934</v>
      </c>
      <c r="D100" s="4" t="s">
        <v>5786</v>
      </c>
      <c r="E100" s="4" t="s">
        <v>110</v>
      </c>
      <c r="F100" s="8">
        <v>100</v>
      </c>
      <c r="G100" s="8">
        <v>100</v>
      </c>
      <c r="H100" s="8">
        <v>120</v>
      </c>
      <c r="I100" s="8">
        <v>28</v>
      </c>
      <c r="J100" s="8"/>
      <c r="K100" s="8">
        <v>180</v>
      </c>
      <c r="L100" s="18">
        <v>6000</v>
      </c>
      <c r="M100" s="7">
        <f t="shared" si="1"/>
        <v>1080000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5935</v>
      </c>
      <c r="D101" s="4" t="s">
        <v>5786</v>
      </c>
      <c r="E101" s="4" t="s">
        <v>110</v>
      </c>
      <c r="F101" s="8">
        <v>200</v>
      </c>
      <c r="G101" s="8">
        <v>200</v>
      </c>
      <c r="H101" s="8">
        <v>200</v>
      </c>
      <c r="I101" s="8">
        <v>117</v>
      </c>
      <c r="J101" s="8"/>
      <c r="K101" s="8">
        <v>200</v>
      </c>
      <c r="L101" s="18">
        <v>300</v>
      </c>
      <c r="M101" s="7">
        <f t="shared" si="1"/>
        <v>60000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5936</v>
      </c>
      <c r="D102" s="4" t="s">
        <v>5786</v>
      </c>
      <c r="E102" s="4" t="s">
        <v>110</v>
      </c>
      <c r="F102" s="8"/>
      <c r="G102" s="8"/>
      <c r="H102" s="8"/>
      <c r="I102" s="8">
        <v>3</v>
      </c>
      <c r="J102" s="8"/>
      <c r="K102" s="8">
        <v>100</v>
      </c>
      <c r="L102" s="18">
        <v>300</v>
      </c>
      <c r="M102" s="7">
        <f t="shared" si="1"/>
        <v>30000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5937</v>
      </c>
      <c r="D103" s="4" t="s">
        <v>5786</v>
      </c>
      <c r="E103" s="4" t="s">
        <v>252</v>
      </c>
      <c r="F103" s="8"/>
      <c r="G103" s="8">
        <v>5000</v>
      </c>
      <c r="H103" s="8">
        <v>4000</v>
      </c>
      <c r="I103" s="8"/>
      <c r="J103" s="8"/>
      <c r="K103" s="8">
        <v>4000</v>
      </c>
      <c r="L103" s="18">
        <v>8.5</v>
      </c>
      <c r="M103" s="7">
        <f t="shared" si="1"/>
        <v>34000</v>
      </c>
      <c r="N103" s="4" t="s">
        <v>5938</v>
      </c>
      <c r="O103" s="9"/>
    </row>
    <row r="104" spans="1:15" ht="20" customHeight="1" x14ac:dyDescent="0.2">
      <c r="A104" s="3">
        <v>100</v>
      </c>
      <c r="B104" s="19"/>
      <c r="C104" s="4" t="s">
        <v>5939</v>
      </c>
      <c r="D104" s="4" t="s">
        <v>5786</v>
      </c>
      <c r="E104" s="4" t="s">
        <v>110</v>
      </c>
      <c r="F104" s="8">
        <v>11800</v>
      </c>
      <c r="G104" s="8">
        <v>12000</v>
      </c>
      <c r="H104" s="8">
        <v>15300</v>
      </c>
      <c r="I104" s="8">
        <v>2003</v>
      </c>
      <c r="J104" s="8"/>
      <c r="K104" s="8">
        <v>15000</v>
      </c>
      <c r="L104" s="18">
        <v>29.5</v>
      </c>
      <c r="M104" s="7">
        <f t="shared" si="1"/>
        <v>442500</v>
      </c>
      <c r="N104" s="4" t="s">
        <v>5940</v>
      </c>
      <c r="O104" s="9"/>
    </row>
    <row r="105" spans="1:15" ht="20" customHeight="1" x14ac:dyDescent="0.2">
      <c r="A105" s="3">
        <v>101</v>
      </c>
      <c r="B105" s="19"/>
      <c r="C105" s="4" t="s">
        <v>5941</v>
      </c>
      <c r="D105" s="4" t="s">
        <v>5786</v>
      </c>
      <c r="E105" s="4" t="s">
        <v>110</v>
      </c>
      <c r="F105" s="8">
        <v>300</v>
      </c>
      <c r="G105" s="8">
        <v>300</v>
      </c>
      <c r="H105" s="8">
        <v>336</v>
      </c>
      <c r="I105" s="8"/>
      <c r="J105" s="8"/>
      <c r="K105" s="8">
        <v>350</v>
      </c>
      <c r="L105" s="18">
        <v>1177</v>
      </c>
      <c r="M105" s="7">
        <f t="shared" si="1"/>
        <v>411950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5942</v>
      </c>
      <c r="D106" s="4" t="s">
        <v>5786</v>
      </c>
      <c r="E106" s="4" t="s">
        <v>196</v>
      </c>
      <c r="F106" s="8"/>
      <c r="G106" s="8"/>
      <c r="H106" s="8">
        <v>1</v>
      </c>
      <c r="I106" s="8">
        <v>1</v>
      </c>
      <c r="J106" s="8"/>
      <c r="K106" s="8">
        <v>0</v>
      </c>
      <c r="L106" s="18">
        <v>16050</v>
      </c>
      <c r="M106" s="7">
        <f t="shared" si="1"/>
        <v>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5943</v>
      </c>
      <c r="D107" s="4" t="s">
        <v>5786</v>
      </c>
      <c r="E107" s="4" t="s">
        <v>196</v>
      </c>
      <c r="F107" s="8"/>
      <c r="G107" s="8"/>
      <c r="H107" s="8">
        <v>1</v>
      </c>
      <c r="I107" s="8">
        <v>1</v>
      </c>
      <c r="J107" s="8"/>
      <c r="K107" s="8">
        <v>0</v>
      </c>
      <c r="L107" s="18">
        <v>16050</v>
      </c>
      <c r="M107" s="7">
        <f t="shared" si="1"/>
        <v>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5944</v>
      </c>
      <c r="D108" s="4" t="s">
        <v>5786</v>
      </c>
      <c r="E108" s="4" t="s">
        <v>196</v>
      </c>
      <c r="F108" s="8"/>
      <c r="G108" s="8"/>
      <c r="H108" s="8"/>
      <c r="I108" s="8">
        <v>50</v>
      </c>
      <c r="J108" s="8"/>
      <c r="K108" s="8">
        <v>10</v>
      </c>
      <c r="L108" s="18">
        <v>145</v>
      </c>
      <c r="M108" s="7">
        <f t="shared" si="1"/>
        <v>1450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5945</v>
      </c>
      <c r="D109" s="4" t="s">
        <v>5786</v>
      </c>
      <c r="E109" s="4" t="s">
        <v>196</v>
      </c>
      <c r="F109" s="8"/>
      <c r="G109" s="8"/>
      <c r="H109" s="8">
        <v>50</v>
      </c>
      <c r="I109" s="8">
        <v>50</v>
      </c>
      <c r="J109" s="8"/>
      <c r="K109" s="8">
        <v>10</v>
      </c>
      <c r="L109" s="18">
        <v>223.63</v>
      </c>
      <c r="M109" s="7">
        <f t="shared" si="1"/>
        <v>2236.3000000000002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5946</v>
      </c>
      <c r="D110" s="4" t="s">
        <v>5786</v>
      </c>
      <c r="E110" s="4" t="s">
        <v>196</v>
      </c>
      <c r="F110" s="8"/>
      <c r="G110" s="8"/>
      <c r="H110" s="8">
        <v>50</v>
      </c>
      <c r="I110" s="8">
        <v>50</v>
      </c>
      <c r="J110" s="8"/>
      <c r="K110" s="8">
        <v>10</v>
      </c>
      <c r="L110" s="18">
        <v>160.5</v>
      </c>
      <c r="M110" s="7">
        <f t="shared" si="1"/>
        <v>1605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5947</v>
      </c>
      <c r="D111" s="4" t="s">
        <v>5786</v>
      </c>
      <c r="E111" s="4" t="s">
        <v>196</v>
      </c>
      <c r="F111" s="8"/>
      <c r="G111" s="8"/>
      <c r="H111" s="8">
        <v>50</v>
      </c>
      <c r="I111" s="8">
        <v>50</v>
      </c>
      <c r="J111" s="8"/>
      <c r="K111" s="8">
        <v>10</v>
      </c>
      <c r="L111" s="18">
        <v>321</v>
      </c>
      <c r="M111" s="7">
        <f t="shared" si="1"/>
        <v>3210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5948</v>
      </c>
      <c r="D112" s="4" t="s">
        <v>5786</v>
      </c>
      <c r="E112" s="4" t="s">
        <v>196</v>
      </c>
      <c r="F112" s="8"/>
      <c r="G112" s="8"/>
      <c r="H112" s="8">
        <v>30</v>
      </c>
      <c r="I112" s="8">
        <v>30</v>
      </c>
      <c r="J112" s="8"/>
      <c r="K112" s="8">
        <v>10</v>
      </c>
      <c r="L112" s="18">
        <v>280</v>
      </c>
      <c r="M112" s="7">
        <f t="shared" si="1"/>
        <v>2800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5949</v>
      </c>
      <c r="D113" s="4" t="s">
        <v>5786</v>
      </c>
      <c r="E113" s="4" t="s">
        <v>271</v>
      </c>
      <c r="F113" s="8">
        <v>191000</v>
      </c>
      <c r="G113" s="8">
        <v>200000</v>
      </c>
      <c r="H113" s="8">
        <v>170000</v>
      </c>
      <c r="I113" s="8">
        <v>17800</v>
      </c>
      <c r="J113" s="8"/>
      <c r="K113" s="8">
        <v>200000</v>
      </c>
      <c r="L113" s="18">
        <v>2.25</v>
      </c>
      <c r="M113" s="7">
        <f t="shared" si="1"/>
        <v>450000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5950</v>
      </c>
      <c r="D114" s="4" t="s">
        <v>5786</v>
      </c>
      <c r="E114" s="4" t="s">
        <v>125</v>
      </c>
      <c r="F114" s="8">
        <v>30000</v>
      </c>
      <c r="G114" s="8">
        <v>15000</v>
      </c>
      <c r="H114" s="8">
        <v>28000</v>
      </c>
      <c r="I114" s="8">
        <v>700</v>
      </c>
      <c r="J114" s="8"/>
      <c r="K114" s="8">
        <v>30000</v>
      </c>
      <c r="L114" s="18">
        <v>8</v>
      </c>
      <c r="M114" s="7">
        <f t="shared" si="1"/>
        <v>240000</v>
      </c>
      <c r="N114" s="4" t="s">
        <v>5951</v>
      </c>
      <c r="O114" s="9"/>
    </row>
    <row r="115" spans="1:15" ht="20" customHeight="1" x14ac:dyDescent="0.2">
      <c r="A115" s="3">
        <v>111</v>
      </c>
      <c r="B115" s="19"/>
      <c r="C115" s="4" t="s">
        <v>5952</v>
      </c>
      <c r="D115" s="4" t="s">
        <v>5786</v>
      </c>
      <c r="E115" s="4" t="s">
        <v>137</v>
      </c>
      <c r="F115" s="8"/>
      <c r="G115" s="8"/>
      <c r="H115" s="8"/>
      <c r="I115" s="8">
        <v>16</v>
      </c>
      <c r="J115" s="8"/>
      <c r="K115" s="8">
        <v>0</v>
      </c>
      <c r="L115" s="18">
        <v>680</v>
      </c>
      <c r="M115" s="7">
        <f t="shared" si="1"/>
        <v>0</v>
      </c>
      <c r="N115" s="4" t="s">
        <v>5953</v>
      </c>
      <c r="O115" s="9"/>
    </row>
    <row r="116" spans="1:15" ht="20" customHeight="1" x14ac:dyDescent="0.2">
      <c r="A116" s="3">
        <v>112</v>
      </c>
      <c r="B116" s="19"/>
      <c r="C116" s="4" t="s">
        <v>5954</v>
      </c>
      <c r="D116" s="4" t="s">
        <v>5786</v>
      </c>
      <c r="E116" s="4" t="s">
        <v>5955</v>
      </c>
      <c r="F116" s="8">
        <v>30</v>
      </c>
      <c r="G116" s="8">
        <v>30</v>
      </c>
      <c r="H116" s="8">
        <v>12</v>
      </c>
      <c r="I116" s="8"/>
      <c r="J116" s="8"/>
      <c r="K116" s="8">
        <v>20</v>
      </c>
      <c r="L116" s="18">
        <v>750</v>
      </c>
      <c r="M116" s="7">
        <f t="shared" si="1"/>
        <v>15000</v>
      </c>
      <c r="N116" s="4" t="s">
        <v>5956</v>
      </c>
      <c r="O116" s="9"/>
    </row>
    <row r="117" spans="1:15" ht="20" customHeight="1" x14ac:dyDescent="0.2">
      <c r="A117" s="3">
        <v>113</v>
      </c>
      <c r="B117" s="19"/>
      <c r="C117" s="4" t="s">
        <v>5957</v>
      </c>
      <c r="D117" s="4" t="s">
        <v>5786</v>
      </c>
      <c r="E117" s="4" t="s">
        <v>5955</v>
      </c>
      <c r="F117" s="8">
        <v>600</v>
      </c>
      <c r="G117" s="8">
        <v>600</v>
      </c>
      <c r="H117" s="8">
        <v>660</v>
      </c>
      <c r="I117" s="8">
        <v>15</v>
      </c>
      <c r="J117" s="8"/>
      <c r="K117" s="8">
        <v>670</v>
      </c>
      <c r="L117" s="18">
        <v>550</v>
      </c>
      <c r="M117" s="7">
        <f t="shared" si="1"/>
        <v>368500</v>
      </c>
      <c r="N117" s="4" t="s">
        <v>5958</v>
      </c>
      <c r="O117" s="9"/>
    </row>
    <row r="118" spans="1:15" ht="20" customHeight="1" x14ac:dyDescent="0.2">
      <c r="A118" s="3">
        <v>114</v>
      </c>
      <c r="B118" s="19"/>
      <c r="C118" s="4" t="s">
        <v>5959</v>
      </c>
      <c r="D118" s="4" t="s">
        <v>5786</v>
      </c>
      <c r="E118" s="4" t="s">
        <v>5955</v>
      </c>
      <c r="F118" s="8"/>
      <c r="G118" s="8"/>
      <c r="H118" s="8">
        <v>20</v>
      </c>
      <c r="I118" s="8">
        <v>21</v>
      </c>
      <c r="J118" s="8"/>
      <c r="K118" s="8">
        <v>20</v>
      </c>
      <c r="L118" s="18">
        <v>80</v>
      </c>
      <c r="M118" s="7">
        <f t="shared" si="1"/>
        <v>1600</v>
      </c>
      <c r="N118" s="4" t="s">
        <v>5960</v>
      </c>
      <c r="O118" s="9"/>
    </row>
    <row r="119" spans="1:15" ht="20" customHeight="1" x14ac:dyDescent="0.2">
      <c r="A119" s="3">
        <v>115</v>
      </c>
      <c r="B119" s="19"/>
      <c r="C119" s="4" t="s">
        <v>5961</v>
      </c>
      <c r="D119" s="4" t="s">
        <v>5786</v>
      </c>
      <c r="E119" s="4" t="s">
        <v>137</v>
      </c>
      <c r="F119" s="8"/>
      <c r="G119" s="8"/>
      <c r="H119" s="8">
        <v>40</v>
      </c>
      <c r="I119" s="8">
        <v>6</v>
      </c>
      <c r="J119" s="8"/>
      <c r="K119" s="8">
        <v>40</v>
      </c>
      <c r="L119" s="18">
        <v>80</v>
      </c>
      <c r="M119" s="7">
        <f t="shared" si="1"/>
        <v>3200</v>
      </c>
      <c r="N119" s="4" t="s">
        <v>5962</v>
      </c>
      <c r="O119" s="9"/>
    </row>
    <row r="120" spans="1:15" ht="20" customHeight="1" x14ac:dyDescent="0.2">
      <c r="A120" s="3">
        <v>116</v>
      </c>
      <c r="B120" s="19"/>
      <c r="C120" s="4" t="s">
        <v>5963</v>
      </c>
      <c r="D120" s="4" t="s">
        <v>5786</v>
      </c>
      <c r="E120" s="4" t="s">
        <v>5955</v>
      </c>
      <c r="F120" s="8">
        <v>20</v>
      </c>
      <c r="G120" s="8">
        <v>20</v>
      </c>
      <c r="H120" s="8">
        <v>70</v>
      </c>
      <c r="I120" s="8">
        <v>6</v>
      </c>
      <c r="J120" s="8"/>
      <c r="K120" s="8">
        <v>80</v>
      </c>
      <c r="L120" s="18">
        <v>600</v>
      </c>
      <c r="M120" s="7">
        <f t="shared" si="1"/>
        <v>48000</v>
      </c>
      <c r="N120" s="4" t="s">
        <v>5964</v>
      </c>
      <c r="O120" s="9"/>
    </row>
    <row r="121" spans="1:15" ht="20" customHeight="1" x14ac:dyDescent="0.2">
      <c r="A121" s="3">
        <v>117</v>
      </c>
      <c r="B121" s="19"/>
      <c r="C121" s="4" t="s">
        <v>5965</v>
      </c>
      <c r="D121" s="4" t="s">
        <v>5786</v>
      </c>
      <c r="E121" s="4" t="s">
        <v>137</v>
      </c>
      <c r="F121" s="8">
        <v>40</v>
      </c>
      <c r="G121" s="8">
        <v>40</v>
      </c>
      <c r="H121" s="8">
        <v>25</v>
      </c>
      <c r="I121" s="8">
        <v>26</v>
      </c>
      <c r="J121" s="8"/>
      <c r="K121" s="8">
        <v>30</v>
      </c>
      <c r="L121" s="18">
        <v>120</v>
      </c>
      <c r="M121" s="7">
        <f t="shared" si="1"/>
        <v>3600</v>
      </c>
      <c r="N121" s="4" t="s">
        <v>5966</v>
      </c>
      <c r="O121" s="9"/>
    </row>
    <row r="122" spans="1:15" ht="20" customHeight="1" x14ac:dyDescent="0.2">
      <c r="A122" s="3">
        <v>118</v>
      </c>
      <c r="B122" s="19"/>
      <c r="C122" s="4" t="s">
        <v>5967</v>
      </c>
      <c r="D122" s="4" t="s">
        <v>5786</v>
      </c>
      <c r="E122" s="4" t="s">
        <v>5955</v>
      </c>
      <c r="F122" s="8">
        <v>60</v>
      </c>
      <c r="G122" s="8">
        <v>60</v>
      </c>
      <c r="H122" s="8">
        <v>20</v>
      </c>
      <c r="I122" s="8">
        <v>5</v>
      </c>
      <c r="J122" s="8"/>
      <c r="K122" s="8">
        <v>20</v>
      </c>
      <c r="L122" s="18">
        <v>350</v>
      </c>
      <c r="M122" s="7">
        <f t="shared" si="1"/>
        <v>7000</v>
      </c>
      <c r="N122" s="4" t="s">
        <v>5968</v>
      </c>
      <c r="O122" s="9"/>
    </row>
    <row r="123" spans="1:15" ht="20" customHeight="1" x14ac:dyDescent="0.2">
      <c r="A123" s="3">
        <v>119</v>
      </c>
      <c r="B123" s="19"/>
      <c r="C123" s="4" t="s">
        <v>5969</v>
      </c>
      <c r="D123" s="4" t="s">
        <v>5786</v>
      </c>
      <c r="E123" s="4" t="s">
        <v>5955</v>
      </c>
      <c r="F123" s="8">
        <v>200</v>
      </c>
      <c r="G123" s="8">
        <v>200</v>
      </c>
      <c r="H123" s="8">
        <v>300</v>
      </c>
      <c r="I123" s="8">
        <v>36</v>
      </c>
      <c r="J123" s="8"/>
      <c r="K123" s="8">
        <v>300</v>
      </c>
      <c r="L123" s="18">
        <v>200</v>
      </c>
      <c r="M123" s="7">
        <f t="shared" si="1"/>
        <v>60000</v>
      </c>
      <c r="N123" s="4" t="s">
        <v>5970</v>
      </c>
      <c r="O123" s="9"/>
    </row>
    <row r="124" spans="1:15" ht="20" customHeight="1" x14ac:dyDescent="0.2">
      <c r="A124" s="3">
        <v>120</v>
      </c>
      <c r="B124" s="19"/>
      <c r="C124" s="4" t="s">
        <v>5971</v>
      </c>
      <c r="D124" s="4" t="s">
        <v>5786</v>
      </c>
      <c r="E124" s="4" t="s">
        <v>137</v>
      </c>
      <c r="F124" s="8">
        <v>1300</v>
      </c>
      <c r="G124" s="8">
        <v>1300</v>
      </c>
      <c r="H124" s="8">
        <v>3000</v>
      </c>
      <c r="I124" s="8">
        <v>865</v>
      </c>
      <c r="J124" s="8"/>
      <c r="K124" s="8">
        <v>3000</v>
      </c>
      <c r="L124" s="18">
        <v>45</v>
      </c>
      <c r="M124" s="7">
        <f t="shared" si="1"/>
        <v>135000</v>
      </c>
      <c r="N124" s="4" t="s">
        <v>5972</v>
      </c>
      <c r="O124" s="9"/>
    </row>
    <row r="125" spans="1:15" ht="20" customHeight="1" x14ac:dyDescent="0.2">
      <c r="A125" s="3">
        <v>121</v>
      </c>
      <c r="B125" s="19"/>
      <c r="C125" s="4" t="s">
        <v>5973</v>
      </c>
      <c r="D125" s="4" t="s">
        <v>5786</v>
      </c>
      <c r="E125" s="4" t="s">
        <v>137</v>
      </c>
      <c r="F125" s="8">
        <v>100</v>
      </c>
      <c r="G125" s="8">
        <v>100</v>
      </c>
      <c r="H125" s="8">
        <v>80</v>
      </c>
      <c r="I125" s="8">
        <v>60</v>
      </c>
      <c r="J125" s="8"/>
      <c r="K125" s="8">
        <v>100</v>
      </c>
      <c r="L125" s="18">
        <v>750</v>
      </c>
      <c r="M125" s="7">
        <f t="shared" si="1"/>
        <v>75000</v>
      </c>
      <c r="N125" s="4" t="s">
        <v>5974</v>
      </c>
      <c r="O125" s="9"/>
    </row>
    <row r="126" spans="1:15" ht="20" customHeight="1" x14ac:dyDescent="0.2">
      <c r="A126" s="3">
        <v>122</v>
      </c>
      <c r="B126" s="19"/>
      <c r="C126" s="4" t="s">
        <v>5975</v>
      </c>
      <c r="D126" s="4" t="s">
        <v>5786</v>
      </c>
      <c r="E126" s="4" t="s">
        <v>137</v>
      </c>
      <c r="F126" s="8"/>
      <c r="G126" s="8"/>
      <c r="H126" s="8">
        <v>60</v>
      </c>
      <c r="I126" s="8"/>
      <c r="J126" s="8"/>
      <c r="K126" s="8">
        <v>60</v>
      </c>
      <c r="L126" s="18">
        <v>250</v>
      </c>
      <c r="M126" s="7">
        <f t="shared" si="1"/>
        <v>15000</v>
      </c>
      <c r="N126" s="4" t="s">
        <v>5976</v>
      </c>
      <c r="O126" s="9"/>
    </row>
    <row r="127" spans="1:15" ht="20" customHeight="1" x14ac:dyDescent="0.2">
      <c r="A127" s="3">
        <v>123</v>
      </c>
      <c r="B127" s="19"/>
      <c r="C127" s="4" t="s">
        <v>5977</v>
      </c>
      <c r="D127" s="4" t="s">
        <v>5786</v>
      </c>
      <c r="E127" s="4" t="s">
        <v>190</v>
      </c>
      <c r="F127" s="8">
        <v>10</v>
      </c>
      <c r="G127" s="8">
        <v>10</v>
      </c>
      <c r="H127" s="8"/>
      <c r="I127" s="8"/>
      <c r="J127" s="8"/>
      <c r="K127" s="8">
        <v>10</v>
      </c>
      <c r="L127" s="18">
        <v>400</v>
      </c>
      <c r="M127" s="7">
        <f t="shared" si="1"/>
        <v>4000</v>
      </c>
      <c r="N127" s="4" t="s">
        <v>5978</v>
      </c>
      <c r="O127" s="9"/>
    </row>
    <row r="128" spans="1:15" ht="20" customHeight="1" x14ac:dyDescent="0.2">
      <c r="A128" s="3">
        <v>124</v>
      </c>
      <c r="B128" s="19"/>
      <c r="C128" s="4" t="s">
        <v>5979</v>
      </c>
      <c r="D128" s="4" t="s">
        <v>5786</v>
      </c>
      <c r="E128" s="4" t="s">
        <v>137</v>
      </c>
      <c r="F128" s="8"/>
      <c r="G128" s="8">
        <v>15</v>
      </c>
      <c r="H128" s="8"/>
      <c r="I128" s="8"/>
      <c r="J128" s="8"/>
      <c r="K128" s="8">
        <v>0</v>
      </c>
      <c r="L128" s="18">
        <v>289.97000000000003</v>
      </c>
      <c r="M128" s="7">
        <f t="shared" si="1"/>
        <v>0</v>
      </c>
      <c r="N128" s="4" t="s">
        <v>5980</v>
      </c>
      <c r="O128" s="9"/>
    </row>
    <row r="129" spans="1:15" ht="20" customHeight="1" x14ac:dyDescent="0.2">
      <c r="A129" s="3">
        <v>125</v>
      </c>
      <c r="B129" s="19"/>
      <c r="C129" s="4" t="s">
        <v>5981</v>
      </c>
      <c r="D129" s="4" t="s">
        <v>5786</v>
      </c>
      <c r="E129" s="4" t="s">
        <v>137</v>
      </c>
      <c r="F129" s="8">
        <v>140</v>
      </c>
      <c r="G129" s="8">
        <v>140</v>
      </c>
      <c r="H129" s="8">
        <v>100</v>
      </c>
      <c r="I129" s="8"/>
      <c r="J129" s="8"/>
      <c r="K129" s="8">
        <v>100</v>
      </c>
      <c r="L129" s="18">
        <v>160</v>
      </c>
      <c r="M129" s="7">
        <f t="shared" si="1"/>
        <v>16000</v>
      </c>
      <c r="N129" s="4" t="s">
        <v>5982</v>
      </c>
      <c r="O129" s="9"/>
    </row>
    <row r="130" spans="1:15" ht="20" customHeight="1" x14ac:dyDescent="0.2">
      <c r="A130" s="3">
        <v>126</v>
      </c>
      <c r="B130" s="19"/>
      <c r="C130" s="4" t="s">
        <v>5983</v>
      </c>
      <c r="D130" s="4" t="s">
        <v>5786</v>
      </c>
      <c r="E130" s="4" t="s">
        <v>137</v>
      </c>
      <c r="F130" s="8"/>
      <c r="G130" s="8"/>
      <c r="H130" s="8">
        <v>190</v>
      </c>
      <c r="I130" s="8"/>
      <c r="J130" s="8"/>
      <c r="K130" s="8">
        <v>190</v>
      </c>
      <c r="L130" s="18">
        <v>250</v>
      </c>
      <c r="M130" s="7">
        <f t="shared" si="1"/>
        <v>47500</v>
      </c>
      <c r="N130" s="4" t="s">
        <v>5984</v>
      </c>
      <c r="O130" s="9"/>
    </row>
    <row r="131" spans="1:15" ht="20" customHeight="1" x14ac:dyDescent="0.2">
      <c r="A131" s="3">
        <v>127</v>
      </c>
      <c r="B131" s="19"/>
      <c r="C131" s="4" t="s">
        <v>5985</v>
      </c>
      <c r="D131" s="4" t="s">
        <v>5786</v>
      </c>
      <c r="E131" s="4" t="s">
        <v>137</v>
      </c>
      <c r="F131" s="8"/>
      <c r="G131" s="8"/>
      <c r="H131" s="8">
        <v>100</v>
      </c>
      <c r="I131" s="8"/>
      <c r="J131" s="8"/>
      <c r="K131" s="8">
        <v>100</v>
      </c>
      <c r="L131" s="18">
        <v>260</v>
      </c>
      <c r="M131" s="7">
        <f t="shared" si="1"/>
        <v>26000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5986</v>
      </c>
      <c r="D132" s="4" t="s">
        <v>5786</v>
      </c>
      <c r="E132" s="4" t="s">
        <v>4829</v>
      </c>
      <c r="F132" s="8">
        <v>40000</v>
      </c>
      <c r="G132" s="8">
        <v>40000</v>
      </c>
      <c r="H132" s="8">
        <v>40000</v>
      </c>
      <c r="I132" s="8"/>
      <c r="J132" s="8"/>
      <c r="K132" s="8">
        <v>40000</v>
      </c>
      <c r="L132" s="18">
        <v>0.9</v>
      </c>
      <c r="M132" s="7">
        <f t="shared" si="1"/>
        <v>36000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5987</v>
      </c>
      <c r="D133" s="4" t="s">
        <v>5786</v>
      </c>
      <c r="E133" s="4" t="s">
        <v>4829</v>
      </c>
      <c r="F133" s="8">
        <v>1200000</v>
      </c>
      <c r="G133" s="8">
        <v>1050000</v>
      </c>
      <c r="H133" s="8">
        <v>550000</v>
      </c>
      <c r="I133" s="8"/>
      <c r="J133" s="8"/>
      <c r="K133" s="8">
        <v>560000</v>
      </c>
      <c r="L133" s="18">
        <v>1.2</v>
      </c>
      <c r="M133" s="7">
        <f t="shared" ref="M133:M196" si="2">IF(OR(K133="",L133=""),"",K133*L133)</f>
        <v>672000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5988</v>
      </c>
      <c r="D134" s="4" t="s">
        <v>5786</v>
      </c>
      <c r="E134" s="4" t="s">
        <v>4829</v>
      </c>
      <c r="F134" s="8">
        <v>50000</v>
      </c>
      <c r="G134" s="8">
        <v>10000</v>
      </c>
      <c r="H134" s="8">
        <v>30000</v>
      </c>
      <c r="I134" s="8"/>
      <c r="J134" s="8"/>
      <c r="K134" s="8">
        <v>40000</v>
      </c>
      <c r="L134" s="18">
        <v>2.1</v>
      </c>
      <c r="M134" s="7">
        <f t="shared" si="2"/>
        <v>84000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5989</v>
      </c>
      <c r="D135" s="4" t="s">
        <v>5786</v>
      </c>
      <c r="E135" s="4" t="s">
        <v>110</v>
      </c>
      <c r="F135" s="8">
        <v>2</v>
      </c>
      <c r="G135" s="8">
        <v>2</v>
      </c>
      <c r="H135" s="8">
        <v>20</v>
      </c>
      <c r="I135" s="8"/>
      <c r="J135" s="8"/>
      <c r="K135" s="8">
        <v>20</v>
      </c>
      <c r="L135" s="18">
        <v>171.2</v>
      </c>
      <c r="M135" s="7">
        <f t="shared" si="2"/>
        <v>3424</v>
      </c>
      <c r="N135" s="4" t="s">
        <v>5990</v>
      </c>
      <c r="O135" s="9"/>
    </row>
    <row r="136" spans="1:15" ht="20" customHeight="1" x14ac:dyDescent="0.2">
      <c r="A136" s="3">
        <v>132</v>
      </c>
      <c r="B136" s="19"/>
      <c r="C136" s="4" t="s">
        <v>5991</v>
      </c>
      <c r="D136" s="4" t="s">
        <v>5786</v>
      </c>
      <c r="E136" s="4" t="s">
        <v>110</v>
      </c>
      <c r="F136" s="8">
        <v>6</v>
      </c>
      <c r="G136" s="8">
        <v>6</v>
      </c>
      <c r="H136" s="8"/>
      <c r="I136" s="8"/>
      <c r="J136" s="8"/>
      <c r="K136" s="8">
        <v>10</v>
      </c>
      <c r="L136" s="18">
        <v>171.2</v>
      </c>
      <c r="M136" s="7">
        <f t="shared" si="2"/>
        <v>1712</v>
      </c>
      <c r="N136" s="4" t="s">
        <v>5992</v>
      </c>
      <c r="O136" s="9"/>
    </row>
    <row r="137" spans="1:15" ht="20" customHeight="1" x14ac:dyDescent="0.2">
      <c r="A137" s="3">
        <v>133</v>
      </c>
      <c r="B137" s="19"/>
      <c r="C137" s="4" t="s">
        <v>5993</v>
      </c>
      <c r="D137" s="4" t="s">
        <v>5786</v>
      </c>
      <c r="E137" s="4" t="s">
        <v>152</v>
      </c>
      <c r="F137" s="8"/>
      <c r="G137" s="8"/>
      <c r="H137" s="8"/>
      <c r="I137" s="8"/>
      <c r="J137" s="8"/>
      <c r="K137" s="8">
        <v>100</v>
      </c>
      <c r="L137" s="18">
        <v>20.399999999999999</v>
      </c>
      <c r="M137" s="7">
        <f t="shared" si="2"/>
        <v>2039.9999999999998</v>
      </c>
      <c r="N137" s="4" t="s">
        <v>5994</v>
      </c>
      <c r="O137" s="9"/>
    </row>
    <row r="138" spans="1:15" ht="20" customHeight="1" x14ac:dyDescent="0.2">
      <c r="A138" s="3">
        <v>134</v>
      </c>
      <c r="B138" s="19"/>
      <c r="C138" s="4" t="s">
        <v>5995</v>
      </c>
      <c r="D138" s="4" t="s">
        <v>5786</v>
      </c>
      <c r="E138" s="4" t="s">
        <v>152</v>
      </c>
      <c r="F138" s="8"/>
      <c r="G138" s="8"/>
      <c r="H138" s="8"/>
      <c r="I138" s="8"/>
      <c r="J138" s="8"/>
      <c r="K138" s="8">
        <v>100</v>
      </c>
      <c r="L138" s="18">
        <v>20.399999999999999</v>
      </c>
      <c r="M138" s="7">
        <f t="shared" si="2"/>
        <v>2039.9999999999998</v>
      </c>
      <c r="N138" s="4" t="s">
        <v>5996</v>
      </c>
      <c r="O138" s="9"/>
    </row>
    <row r="139" spans="1:15" ht="20" customHeight="1" x14ac:dyDescent="0.2">
      <c r="A139" s="3">
        <v>135</v>
      </c>
      <c r="B139" s="19"/>
      <c r="C139" s="4" t="s">
        <v>5997</v>
      </c>
      <c r="D139" s="4" t="s">
        <v>5786</v>
      </c>
      <c r="E139" s="4" t="s">
        <v>152</v>
      </c>
      <c r="F139" s="8"/>
      <c r="G139" s="8"/>
      <c r="H139" s="8">
        <v>100</v>
      </c>
      <c r="I139" s="8"/>
      <c r="J139" s="8"/>
      <c r="K139" s="8">
        <v>100</v>
      </c>
      <c r="L139" s="18">
        <v>20.399999999999999</v>
      </c>
      <c r="M139" s="7">
        <f t="shared" si="2"/>
        <v>2039.9999999999998</v>
      </c>
      <c r="N139" s="4" t="s">
        <v>5998</v>
      </c>
      <c r="O139" s="9"/>
    </row>
    <row r="140" spans="1:15" ht="20" customHeight="1" x14ac:dyDescent="0.2">
      <c r="A140" s="3">
        <v>136</v>
      </c>
      <c r="B140" s="19"/>
      <c r="C140" s="4" t="s">
        <v>5999</v>
      </c>
      <c r="D140" s="4" t="s">
        <v>5786</v>
      </c>
      <c r="E140" s="4" t="s">
        <v>152</v>
      </c>
      <c r="F140" s="8"/>
      <c r="G140" s="8"/>
      <c r="H140" s="8">
        <v>400</v>
      </c>
      <c r="I140" s="8">
        <v>100</v>
      </c>
      <c r="J140" s="8"/>
      <c r="K140" s="8">
        <v>500</v>
      </c>
      <c r="L140" s="18">
        <v>20.399999999999999</v>
      </c>
      <c r="M140" s="7">
        <f t="shared" si="2"/>
        <v>10200</v>
      </c>
      <c r="N140" s="4" t="s">
        <v>6000</v>
      </c>
      <c r="O140" s="9"/>
    </row>
    <row r="141" spans="1:15" ht="20" customHeight="1" x14ac:dyDescent="0.2">
      <c r="A141" s="3">
        <v>137</v>
      </c>
      <c r="B141" s="19"/>
      <c r="C141" s="4" t="s">
        <v>6001</v>
      </c>
      <c r="D141" s="4" t="s">
        <v>5786</v>
      </c>
      <c r="E141" s="4" t="s">
        <v>152</v>
      </c>
      <c r="F141" s="8"/>
      <c r="G141" s="8"/>
      <c r="H141" s="8">
        <v>4200</v>
      </c>
      <c r="I141" s="8">
        <v>600</v>
      </c>
      <c r="J141" s="8"/>
      <c r="K141" s="8">
        <v>4500</v>
      </c>
      <c r="L141" s="18">
        <v>20.399999999999999</v>
      </c>
      <c r="M141" s="7">
        <f t="shared" si="2"/>
        <v>91800</v>
      </c>
      <c r="N141" s="4" t="s">
        <v>6002</v>
      </c>
      <c r="O141" s="9"/>
    </row>
    <row r="142" spans="1:15" ht="20" customHeight="1" x14ac:dyDescent="0.2">
      <c r="A142" s="3">
        <v>138</v>
      </c>
      <c r="B142" s="19"/>
      <c r="C142" s="4" t="s">
        <v>6003</v>
      </c>
      <c r="D142" s="4" t="s">
        <v>5786</v>
      </c>
      <c r="E142" s="4" t="s">
        <v>152</v>
      </c>
      <c r="F142" s="8"/>
      <c r="G142" s="8"/>
      <c r="H142" s="8">
        <v>2000</v>
      </c>
      <c r="I142" s="8">
        <v>100</v>
      </c>
      <c r="J142" s="8"/>
      <c r="K142" s="8">
        <v>3000</v>
      </c>
      <c r="L142" s="18">
        <v>20.399999999999999</v>
      </c>
      <c r="M142" s="7">
        <f t="shared" si="2"/>
        <v>61199.999999999993</v>
      </c>
      <c r="N142" s="4" t="s">
        <v>6004</v>
      </c>
      <c r="O142" s="9"/>
    </row>
    <row r="143" spans="1:15" ht="20" customHeight="1" x14ac:dyDescent="0.2">
      <c r="A143" s="3">
        <v>139</v>
      </c>
      <c r="B143" s="19"/>
      <c r="C143" s="4" t="s">
        <v>6005</v>
      </c>
      <c r="D143" s="4" t="s">
        <v>5786</v>
      </c>
      <c r="E143" s="4" t="s">
        <v>196</v>
      </c>
      <c r="F143" s="8">
        <v>50</v>
      </c>
      <c r="G143" s="8">
        <v>50</v>
      </c>
      <c r="H143" s="8">
        <v>40</v>
      </c>
      <c r="I143" s="8"/>
      <c r="J143" s="8"/>
      <c r="K143" s="8">
        <v>50</v>
      </c>
      <c r="L143" s="18">
        <v>2800</v>
      </c>
      <c r="M143" s="7">
        <f t="shared" si="2"/>
        <v>140000</v>
      </c>
      <c r="N143" s="4" t="s">
        <v>6006</v>
      </c>
      <c r="O143" s="9"/>
    </row>
    <row r="144" spans="1:15" ht="20" customHeight="1" x14ac:dyDescent="0.2">
      <c r="A144" s="3">
        <v>140</v>
      </c>
      <c r="B144" s="19"/>
      <c r="C144" s="4" t="s">
        <v>6007</v>
      </c>
      <c r="D144" s="4" t="s">
        <v>5786</v>
      </c>
      <c r="E144" s="4" t="s">
        <v>196</v>
      </c>
      <c r="F144" s="8"/>
      <c r="G144" s="8">
        <v>10</v>
      </c>
      <c r="H144" s="8"/>
      <c r="I144" s="8"/>
      <c r="J144" s="8"/>
      <c r="K144" s="8">
        <v>10</v>
      </c>
      <c r="L144" s="18">
        <v>3100</v>
      </c>
      <c r="M144" s="7">
        <f t="shared" si="2"/>
        <v>31000</v>
      </c>
      <c r="N144" s="4" t="s">
        <v>6008</v>
      </c>
      <c r="O144" s="9"/>
    </row>
    <row r="145" spans="1:15" ht="20" customHeight="1" x14ac:dyDescent="0.2">
      <c r="A145" s="3">
        <v>141</v>
      </c>
      <c r="B145" s="19"/>
      <c r="C145" s="4" t="s">
        <v>6009</v>
      </c>
      <c r="D145" s="4" t="s">
        <v>5786</v>
      </c>
      <c r="E145" s="4" t="s">
        <v>196</v>
      </c>
      <c r="F145" s="8"/>
      <c r="G145" s="8">
        <v>10</v>
      </c>
      <c r="H145" s="8"/>
      <c r="I145" s="8"/>
      <c r="J145" s="8"/>
      <c r="K145" s="8">
        <v>10</v>
      </c>
      <c r="L145" s="18">
        <v>3100</v>
      </c>
      <c r="M145" s="7">
        <f t="shared" si="2"/>
        <v>31000</v>
      </c>
      <c r="N145" s="4" t="s">
        <v>6010</v>
      </c>
      <c r="O145" s="9"/>
    </row>
    <row r="146" spans="1:15" ht="20" customHeight="1" x14ac:dyDescent="0.2">
      <c r="A146" s="3">
        <v>142</v>
      </c>
      <c r="B146" s="19"/>
      <c r="C146" s="4" t="s">
        <v>6011</v>
      </c>
      <c r="D146" s="4" t="s">
        <v>5786</v>
      </c>
      <c r="E146" s="4" t="s">
        <v>196</v>
      </c>
      <c r="F146" s="8">
        <v>3000</v>
      </c>
      <c r="G146" s="8">
        <v>2000</v>
      </c>
      <c r="H146" s="8">
        <v>3000</v>
      </c>
      <c r="I146" s="8">
        <v>1175</v>
      </c>
      <c r="J146" s="8"/>
      <c r="K146" s="8">
        <v>3500</v>
      </c>
      <c r="L146" s="18">
        <v>242</v>
      </c>
      <c r="M146" s="7">
        <f t="shared" si="2"/>
        <v>847000</v>
      </c>
      <c r="N146" s="4" t="s">
        <v>6012</v>
      </c>
      <c r="O146" s="9"/>
    </row>
    <row r="147" spans="1:15" ht="20" customHeight="1" x14ac:dyDescent="0.2">
      <c r="A147" s="3">
        <v>143</v>
      </c>
      <c r="B147" s="19"/>
      <c r="C147" s="4" t="s">
        <v>6013</v>
      </c>
      <c r="D147" s="4" t="s">
        <v>5786</v>
      </c>
      <c r="E147" s="4" t="s">
        <v>152</v>
      </c>
      <c r="F147" s="8">
        <v>1500</v>
      </c>
      <c r="G147" s="8">
        <v>1500</v>
      </c>
      <c r="H147" s="8">
        <v>14850</v>
      </c>
      <c r="I147" s="8"/>
      <c r="J147" s="8"/>
      <c r="K147" s="8">
        <v>25000</v>
      </c>
      <c r="L147" s="18">
        <v>35</v>
      </c>
      <c r="M147" s="7">
        <f t="shared" si="2"/>
        <v>875000</v>
      </c>
      <c r="N147" s="4" t="s">
        <v>6014</v>
      </c>
      <c r="O147" s="9"/>
    </row>
    <row r="148" spans="1:15" ht="20" customHeight="1" x14ac:dyDescent="0.2">
      <c r="A148" s="3">
        <v>144</v>
      </c>
      <c r="B148" s="19"/>
      <c r="C148" s="4" t="s">
        <v>6015</v>
      </c>
      <c r="D148" s="4" t="s">
        <v>5786</v>
      </c>
      <c r="E148" s="4" t="s">
        <v>152</v>
      </c>
      <c r="F148" s="8"/>
      <c r="G148" s="8">
        <v>200</v>
      </c>
      <c r="H148" s="8">
        <v>200</v>
      </c>
      <c r="I148" s="8">
        <v>100</v>
      </c>
      <c r="J148" s="8"/>
      <c r="K148" s="8">
        <v>100</v>
      </c>
      <c r="L148" s="18">
        <v>80</v>
      </c>
      <c r="M148" s="7">
        <f t="shared" si="2"/>
        <v>8000</v>
      </c>
      <c r="N148" s="4" t="s">
        <v>6016</v>
      </c>
      <c r="O148" s="9"/>
    </row>
    <row r="149" spans="1:15" ht="20" customHeight="1" x14ac:dyDescent="0.2">
      <c r="A149" s="3">
        <v>145</v>
      </c>
      <c r="B149" s="19"/>
      <c r="C149" s="4" t="s">
        <v>6017</v>
      </c>
      <c r="D149" s="4" t="s">
        <v>5786</v>
      </c>
      <c r="E149" s="4" t="s">
        <v>499</v>
      </c>
      <c r="F149" s="8">
        <v>400</v>
      </c>
      <c r="G149" s="8">
        <v>400</v>
      </c>
      <c r="H149" s="8">
        <v>200</v>
      </c>
      <c r="I149" s="8"/>
      <c r="J149" s="8"/>
      <c r="K149" s="8">
        <v>200</v>
      </c>
      <c r="L149" s="18">
        <v>12</v>
      </c>
      <c r="M149" s="7">
        <f t="shared" si="2"/>
        <v>2400</v>
      </c>
      <c r="N149" s="4" t="s">
        <v>6018</v>
      </c>
      <c r="O149" s="9"/>
    </row>
    <row r="150" spans="1:15" ht="20" customHeight="1" x14ac:dyDescent="0.2">
      <c r="A150" s="3">
        <v>146</v>
      </c>
      <c r="B150" s="19"/>
      <c r="C150" s="4" t="s">
        <v>6019</v>
      </c>
      <c r="D150" s="4" t="s">
        <v>5786</v>
      </c>
      <c r="E150" s="4" t="s">
        <v>499</v>
      </c>
      <c r="F150" s="8">
        <v>200</v>
      </c>
      <c r="G150" s="8">
        <v>200</v>
      </c>
      <c r="H150" s="8"/>
      <c r="I150" s="8"/>
      <c r="J150" s="8"/>
      <c r="K150" s="8">
        <v>100</v>
      </c>
      <c r="L150" s="18">
        <v>120</v>
      </c>
      <c r="M150" s="7">
        <f t="shared" si="2"/>
        <v>12000</v>
      </c>
      <c r="N150" s="4" t="s">
        <v>6020</v>
      </c>
      <c r="O150" s="9"/>
    </row>
    <row r="151" spans="1:15" ht="20" customHeight="1" x14ac:dyDescent="0.2">
      <c r="A151" s="3">
        <v>147</v>
      </c>
      <c r="B151" s="19"/>
      <c r="C151" s="4" t="s">
        <v>6021</v>
      </c>
      <c r="D151" s="4" t="s">
        <v>5786</v>
      </c>
      <c r="E151" s="4" t="s">
        <v>271</v>
      </c>
      <c r="F151" s="8"/>
      <c r="G151" s="8"/>
      <c r="H151" s="8">
        <v>30</v>
      </c>
      <c r="I151" s="8"/>
      <c r="J151" s="8"/>
      <c r="K151" s="8">
        <v>30</v>
      </c>
      <c r="L151" s="18">
        <v>800</v>
      </c>
      <c r="M151" s="7">
        <f t="shared" si="2"/>
        <v>24000</v>
      </c>
      <c r="N151" s="4" t="s">
        <v>6022</v>
      </c>
      <c r="O151" s="9"/>
    </row>
    <row r="152" spans="1:15" ht="20" customHeight="1" x14ac:dyDescent="0.2">
      <c r="A152" s="3">
        <v>148</v>
      </c>
      <c r="B152" s="19"/>
      <c r="C152" s="4" t="s">
        <v>6023</v>
      </c>
      <c r="D152" s="4" t="s">
        <v>5786</v>
      </c>
      <c r="E152" s="4" t="s">
        <v>267</v>
      </c>
      <c r="F152" s="8">
        <v>7500</v>
      </c>
      <c r="G152" s="8">
        <v>7000</v>
      </c>
      <c r="H152" s="8">
        <v>7500</v>
      </c>
      <c r="I152" s="8"/>
      <c r="J152" s="8"/>
      <c r="K152" s="8">
        <v>8500</v>
      </c>
      <c r="L152" s="18">
        <v>99</v>
      </c>
      <c r="M152" s="7">
        <f t="shared" si="2"/>
        <v>841500</v>
      </c>
      <c r="N152" s="4" t="s">
        <v>6024</v>
      </c>
      <c r="O152" s="9"/>
    </row>
    <row r="153" spans="1:15" ht="20" customHeight="1" x14ac:dyDescent="0.2">
      <c r="A153" s="3">
        <v>149</v>
      </c>
      <c r="B153" s="19"/>
      <c r="C153" s="4" t="s">
        <v>6025</v>
      </c>
      <c r="D153" s="4" t="s">
        <v>5786</v>
      </c>
      <c r="E153" s="4" t="s">
        <v>271</v>
      </c>
      <c r="F153" s="8"/>
      <c r="G153" s="8"/>
      <c r="H153" s="8"/>
      <c r="I153" s="8">
        <v>750</v>
      </c>
      <c r="J153" s="8"/>
      <c r="K153" s="8">
        <v>0</v>
      </c>
      <c r="L153" s="18">
        <v>5.5</v>
      </c>
      <c r="M153" s="7">
        <f t="shared" si="2"/>
        <v>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6026</v>
      </c>
      <c r="D154" s="4" t="s">
        <v>5786</v>
      </c>
      <c r="E154" s="4" t="s">
        <v>152</v>
      </c>
      <c r="F154" s="8">
        <v>3500</v>
      </c>
      <c r="G154" s="8">
        <v>3500</v>
      </c>
      <c r="H154" s="8">
        <v>4000</v>
      </c>
      <c r="I154" s="8">
        <v>1600</v>
      </c>
      <c r="J154" s="8"/>
      <c r="K154" s="8">
        <v>4000</v>
      </c>
      <c r="L154" s="18">
        <v>24.5</v>
      </c>
      <c r="M154" s="7">
        <f t="shared" si="2"/>
        <v>98000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6027</v>
      </c>
      <c r="D155" s="4" t="s">
        <v>5786</v>
      </c>
      <c r="E155" s="4" t="s">
        <v>196</v>
      </c>
      <c r="F155" s="8"/>
      <c r="G155" s="8">
        <v>100</v>
      </c>
      <c r="H155" s="8">
        <v>400</v>
      </c>
      <c r="I155" s="8"/>
      <c r="J155" s="8"/>
      <c r="K155" s="8">
        <v>450</v>
      </c>
      <c r="L155" s="18">
        <v>22</v>
      </c>
      <c r="M155" s="7">
        <f t="shared" si="2"/>
        <v>9900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6028</v>
      </c>
      <c r="D156" s="4" t="s">
        <v>5786</v>
      </c>
      <c r="E156" s="4" t="s">
        <v>196</v>
      </c>
      <c r="F156" s="8">
        <v>6000</v>
      </c>
      <c r="G156" s="8">
        <v>5000</v>
      </c>
      <c r="H156" s="8">
        <v>12000</v>
      </c>
      <c r="I156" s="8"/>
      <c r="J156" s="8"/>
      <c r="K156" s="8">
        <v>13000</v>
      </c>
      <c r="L156" s="18">
        <v>53.5</v>
      </c>
      <c r="M156" s="7">
        <f t="shared" si="2"/>
        <v>695500</v>
      </c>
      <c r="N156" s="4" t="s">
        <v>6029</v>
      </c>
      <c r="O156" s="9"/>
    </row>
    <row r="157" spans="1:15" ht="20" customHeight="1" x14ac:dyDescent="0.2">
      <c r="A157" s="3">
        <v>153</v>
      </c>
      <c r="B157" s="19"/>
      <c r="C157" s="4" t="s">
        <v>6030</v>
      </c>
      <c r="D157" s="4" t="s">
        <v>5786</v>
      </c>
      <c r="E157" s="4" t="s">
        <v>499</v>
      </c>
      <c r="F157" s="8">
        <v>10000</v>
      </c>
      <c r="G157" s="8">
        <v>5000</v>
      </c>
      <c r="H157" s="8">
        <v>13000</v>
      </c>
      <c r="I157" s="8"/>
      <c r="J157" s="8"/>
      <c r="K157" s="8">
        <v>15000</v>
      </c>
      <c r="L157" s="18">
        <v>15</v>
      </c>
      <c r="M157" s="7">
        <f t="shared" si="2"/>
        <v>225000</v>
      </c>
      <c r="N157" s="4" t="s">
        <v>6031</v>
      </c>
      <c r="O157" s="9"/>
    </row>
    <row r="158" spans="1:15" ht="20" customHeight="1" x14ac:dyDescent="0.2">
      <c r="A158" s="3">
        <v>154</v>
      </c>
      <c r="B158" s="19"/>
      <c r="C158" s="4" t="s">
        <v>6032</v>
      </c>
      <c r="D158" s="4" t="s">
        <v>5786</v>
      </c>
      <c r="E158" s="4" t="s">
        <v>499</v>
      </c>
      <c r="F158" s="8">
        <v>2500</v>
      </c>
      <c r="G158" s="8">
        <v>2500</v>
      </c>
      <c r="H158" s="8">
        <v>1700</v>
      </c>
      <c r="I158" s="8"/>
      <c r="J158" s="8"/>
      <c r="K158" s="8">
        <v>2000</v>
      </c>
      <c r="L158" s="18">
        <v>65</v>
      </c>
      <c r="M158" s="7">
        <f t="shared" si="2"/>
        <v>130000</v>
      </c>
      <c r="N158" s="4" t="s">
        <v>6033</v>
      </c>
      <c r="O158" s="9"/>
    </row>
    <row r="159" spans="1:15" ht="20" customHeight="1" x14ac:dyDescent="0.2">
      <c r="A159" s="3">
        <v>155</v>
      </c>
      <c r="B159" s="19"/>
      <c r="C159" s="4" t="s">
        <v>6034</v>
      </c>
      <c r="D159" s="4" t="s">
        <v>5786</v>
      </c>
      <c r="E159" s="4" t="s">
        <v>499</v>
      </c>
      <c r="F159" s="8">
        <v>1000</v>
      </c>
      <c r="G159" s="8">
        <v>1000</v>
      </c>
      <c r="H159" s="8">
        <v>1000</v>
      </c>
      <c r="I159" s="8"/>
      <c r="J159" s="8"/>
      <c r="K159" s="8">
        <v>1000</v>
      </c>
      <c r="L159" s="18">
        <v>65</v>
      </c>
      <c r="M159" s="7">
        <f t="shared" si="2"/>
        <v>65000</v>
      </c>
      <c r="N159" s="4" t="s">
        <v>6035</v>
      </c>
      <c r="O159" s="9"/>
    </row>
    <row r="160" spans="1:15" ht="20" customHeight="1" x14ac:dyDescent="0.2">
      <c r="A160" s="3">
        <v>156</v>
      </c>
      <c r="B160" s="19"/>
      <c r="C160" s="4" t="s">
        <v>6036</v>
      </c>
      <c r="D160" s="4" t="s">
        <v>5786</v>
      </c>
      <c r="E160" s="4" t="s">
        <v>196</v>
      </c>
      <c r="F160" s="8">
        <v>1100</v>
      </c>
      <c r="G160" s="8">
        <v>1100</v>
      </c>
      <c r="H160" s="8">
        <v>400</v>
      </c>
      <c r="I160" s="8"/>
      <c r="J160" s="8"/>
      <c r="K160" s="8">
        <v>1000</v>
      </c>
      <c r="L160" s="18">
        <v>52</v>
      </c>
      <c r="M160" s="7">
        <f t="shared" si="2"/>
        <v>52000</v>
      </c>
      <c r="N160" s="4" t="s">
        <v>6037</v>
      </c>
      <c r="O160" s="9"/>
    </row>
    <row r="161" spans="1:15" ht="20" customHeight="1" x14ac:dyDescent="0.2">
      <c r="A161" s="3">
        <v>157</v>
      </c>
      <c r="B161" s="19"/>
      <c r="C161" s="4" t="s">
        <v>6038</v>
      </c>
      <c r="D161" s="4" t="s">
        <v>5786</v>
      </c>
      <c r="E161" s="4" t="s">
        <v>271</v>
      </c>
      <c r="F161" s="8">
        <v>38</v>
      </c>
      <c r="G161" s="8">
        <v>40</v>
      </c>
      <c r="H161" s="8">
        <v>10</v>
      </c>
      <c r="I161" s="8"/>
      <c r="J161" s="8"/>
      <c r="K161" s="8">
        <v>10</v>
      </c>
      <c r="L161" s="18">
        <v>5510.5</v>
      </c>
      <c r="M161" s="7">
        <f t="shared" si="2"/>
        <v>55105</v>
      </c>
      <c r="N161" s="4" t="s">
        <v>6039</v>
      </c>
      <c r="O161" s="9"/>
    </row>
    <row r="162" spans="1:15" ht="20" customHeight="1" x14ac:dyDescent="0.2">
      <c r="A162" s="3">
        <v>158</v>
      </c>
      <c r="B162" s="19"/>
      <c r="C162" s="4" t="s">
        <v>6040</v>
      </c>
      <c r="D162" s="4" t="s">
        <v>5786</v>
      </c>
      <c r="E162" s="4" t="s">
        <v>196</v>
      </c>
      <c r="F162" s="8">
        <v>5000</v>
      </c>
      <c r="G162" s="8">
        <v>8500</v>
      </c>
      <c r="H162" s="8">
        <v>10500</v>
      </c>
      <c r="I162" s="8"/>
      <c r="J162" s="8"/>
      <c r="K162" s="8">
        <v>11000</v>
      </c>
      <c r="L162" s="18">
        <v>52</v>
      </c>
      <c r="M162" s="7">
        <f t="shared" si="2"/>
        <v>572000</v>
      </c>
      <c r="N162" s="4"/>
      <c r="O162" s="9"/>
    </row>
    <row r="163" spans="1:15" ht="20" customHeight="1" x14ac:dyDescent="0.2">
      <c r="A163" s="3">
        <v>159</v>
      </c>
      <c r="B163" s="19"/>
      <c r="C163" s="4" t="s">
        <v>6041</v>
      </c>
      <c r="D163" s="4" t="s">
        <v>5786</v>
      </c>
      <c r="E163" s="4" t="s">
        <v>196</v>
      </c>
      <c r="F163" s="8">
        <v>7000</v>
      </c>
      <c r="G163" s="8">
        <v>12500</v>
      </c>
      <c r="H163" s="8">
        <v>9000</v>
      </c>
      <c r="I163" s="8"/>
      <c r="J163" s="8"/>
      <c r="K163" s="8">
        <v>9000</v>
      </c>
      <c r="L163" s="18">
        <v>55</v>
      </c>
      <c r="M163" s="7">
        <f t="shared" si="2"/>
        <v>495000</v>
      </c>
      <c r="N163" s="4"/>
      <c r="O163" s="9"/>
    </row>
    <row r="164" spans="1:15" ht="20" customHeight="1" x14ac:dyDescent="0.2">
      <c r="A164" s="3">
        <v>160</v>
      </c>
      <c r="B164" s="19"/>
      <c r="C164" s="4" t="s">
        <v>6042</v>
      </c>
      <c r="D164" s="4" t="s">
        <v>5786</v>
      </c>
      <c r="E164" s="4" t="s">
        <v>196</v>
      </c>
      <c r="F164" s="8"/>
      <c r="G164" s="8"/>
      <c r="H164" s="8">
        <v>4000</v>
      </c>
      <c r="I164" s="8"/>
      <c r="J164" s="8"/>
      <c r="K164" s="8">
        <v>4500</v>
      </c>
      <c r="L164" s="18">
        <v>24</v>
      </c>
      <c r="M164" s="7">
        <f t="shared" si="2"/>
        <v>108000</v>
      </c>
      <c r="N164" s="4"/>
      <c r="O164" s="9"/>
    </row>
    <row r="165" spans="1:15" ht="20" customHeight="1" x14ac:dyDescent="0.2">
      <c r="A165" s="3">
        <v>161</v>
      </c>
      <c r="B165" s="19"/>
      <c r="C165" s="4" t="s">
        <v>6043</v>
      </c>
      <c r="D165" s="4" t="s">
        <v>5786</v>
      </c>
      <c r="E165" s="4" t="s">
        <v>196</v>
      </c>
      <c r="F165" s="8">
        <v>4000</v>
      </c>
      <c r="G165" s="8">
        <v>4000</v>
      </c>
      <c r="H165" s="8">
        <v>8500</v>
      </c>
      <c r="I165" s="8"/>
      <c r="J165" s="8"/>
      <c r="K165" s="8">
        <v>8700</v>
      </c>
      <c r="L165" s="18">
        <v>24</v>
      </c>
      <c r="M165" s="7">
        <f t="shared" si="2"/>
        <v>208800</v>
      </c>
      <c r="N165" s="4"/>
      <c r="O165" s="9"/>
    </row>
    <row r="166" spans="1:15" ht="20" customHeight="1" x14ac:dyDescent="0.2">
      <c r="A166" s="3">
        <v>162</v>
      </c>
      <c r="B166" s="19"/>
      <c r="C166" s="4" t="s">
        <v>6044</v>
      </c>
      <c r="D166" s="4" t="s">
        <v>5786</v>
      </c>
      <c r="E166" s="4" t="s">
        <v>137</v>
      </c>
      <c r="F166" s="8">
        <v>76</v>
      </c>
      <c r="G166" s="8">
        <v>76</v>
      </c>
      <c r="H166" s="8">
        <v>108</v>
      </c>
      <c r="I166" s="8"/>
      <c r="J166" s="8"/>
      <c r="K166" s="8">
        <v>200</v>
      </c>
      <c r="L166" s="18">
        <v>850</v>
      </c>
      <c r="M166" s="7">
        <f t="shared" si="2"/>
        <v>170000</v>
      </c>
      <c r="N166" s="4"/>
      <c r="O166" s="9"/>
    </row>
    <row r="167" spans="1:15" ht="20" customHeight="1" x14ac:dyDescent="0.2">
      <c r="A167" s="3">
        <v>163</v>
      </c>
      <c r="B167" s="19"/>
      <c r="C167" s="4" t="s">
        <v>6045</v>
      </c>
      <c r="D167" s="4" t="s">
        <v>5786</v>
      </c>
      <c r="E167" s="4" t="s">
        <v>137</v>
      </c>
      <c r="F167" s="8">
        <v>210</v>
      </c>
      <c r="G167" s="8">
        <v>210</v>
      </c>
      <c r="H167" s="8">
        <v>270</v>
      </c>
      <c r="I167" s="8"/>
      <c r="J167" s="8"/>
      <c r="K167" s="8">
        <v>360</v>
      </c>
      <c r="L167" s="18">
        <v>1400</v>
      </c>
      <c r="M167" s="7">
        <f t="shared" si="2"/>
        <v>504000</v>
      </c>
      <c r="N167" s="4"/>
      <c r="O167" s="9"/>
    </row>
    <row r="168" spans="1:15" ht="20" customHeight="1" x14ac:dyDescent="0.2">
      <c r="A168" s="3">
        <v>164</v>
      </c>
      <c r="B168" s="19"/>
      <c r="C168" s="4" t="s">
        <v>6046</v>
      </c>
      <c r="D168" s="4" t="s">
        <v>5786</v>
      </c>
      <c r="E168" s="4" t="s">
        <v>137</v>
      </c>
      <c r="F168" s="8">
        <v>70</v>
      </c>
      <c r="G168" s="8">
        <v>70</v>
      </c>
      <c r="H168" s="8">
        <v>70</v>
      </c>
      <c r="I168" s="8"/>
      <c r="J168" s="8"/>
      <c r="K168" s="8">
        <v>150</v>
      </c>
      <c r="L168" s="18">
        <v>1600</v>
      </c>
      <c r="M168" s="7">
        <f t="shared" si="2"/>
        <v>240000</v>
      </c>
      <c r="N168" s="4"/>
      <c r="O168" s="9"/>
    </row>
    <row r="169" spans="1:15" ht="20" customHeight="1" x14ac:dyDescent="0.2">
      <c r="A169" s="3">
        <v>165</v>
      </c>
      <c r="B169" s="19"/>
      <c r="C169" s="4" t="s">
        <v>6047</v>
      </c>
      <c r="D169" s="4" t="s">
        <v>5786</v>
      </c>
      <c r="E169" s="4" t="s">
        <v>137</v>
      </c>
      <c r="F169" s="8">
        <v>76</v>
      </c>
      <c r="G169" s="8">
        <v>76</v>
      </c>
      <c r="H169" s="8">
        <v>130</v>
      </c>
      <c r="I169" s="8"/>
      <c r="J169" s="8"/>
      <c r="K169" s="8">
        <v>180</v>
      </c>
      <c r="L169" s="18">
        <v>410</v>
      </c>
      <c r="M169" s="7">
        <f t="shared" si="2"/>
        <v>73800</v>
      </c>
      <c r="N169" s="4"/>
      <c r="O169" s="9"/>
    </row>
    <row r="170" spans="1:15" ht="20" customHeight="1" x14ac:dyDescent="0.2">
      <c r="A170" s="3">
        <v>166</v>
      </c>
      <c r="B170" s="19"/>
      <c r="C170" s="4" t="s">
        <v>6048</v>
      </c>
      <c r="D170" s="4" t="s">
        <v>5786</v>
      </c>
      <c r="E170" s="4" t="s">
        <v>137</v>
      </c>
      <c r="F170" s="8">
        <v>86</v>
      </c>
      <c r="G170" s="8">
        <v>86</v>
      </c>
      <c r="H170" s="8">
        <v>165</v>
      </c>
      <c r="I170" s="8"/>
      <c r="J170" s="8"/>
      <c r="K170" s="8">
        <v>240</v>
      </c>
      <c r="L170" s="18">
        <v>500</v>
      </c>
      <c r="M170" s="7">
        <f t="shared" si="2"/>
        <v>120000</v>
      </c>
      <c r="N170" s="4"/>
      <c r="O170" s="9"/>
    </row>
    <row r="171" spans="1:15" ht="20" customHeight="1" x14ac:dyDescent="0.2">
      <c r="A171" s="3">
        <v>167</v>
      </c>
      <c r="B171" s="19"/>
      <c r="C171" s="4" t="s">
        <v>6049</v>
      </c>
      <c r="D171" s="4" t="s">
        <v>5786</v>
      </c>
      <c r="E171" s="4" t="s">
        <v>137</v>
      </c>
      <c r="F171" s="8">
        <v>135</v>
      </c>
      <c r="G171" s="8">
        <v>135</v>
      </c>
      <c r="H171" s="8">
        <v>220</v>
      </c>
      <c r="I171" s="8"/>
      <c r="J171" s="8"/>
      <c r="K171" s="8">
        <v>300</v>
      </c>
      <c r="L171" s="18">
        <v>850</v>
      </c>
      <c r="M171" s="7">
        <f t="shared" si="2"/>
        <v>255000</v>
      </c>
      <c r="N171" s="4"/>
      <c r="O171" s="9"/>
    </row>
    <row r="172" spans="1:15" ht="20" customHeight="1" x14ac:dyDescent="0.2">
      <c r="A172" s="3">
        <v>168</v>
      </c>
      <c r="B172" s="19"/>
      <c r="C172" s="4" t="s">
        <v>6050</v>
      </c>
      <c r="D172" s="4" t="s">
        <v>5786</v>
      </c>
      <c r="E172" s="4" t="s">
        <v>137</v>
      </c>
      <c r="F172" s="8">
        <v>100</v>
      </c>
      <c r="G172" s="8">
        <v>100</v>
      </c>
      <c r="H172" s="8">
        <v>60</v>
      </c>
      <c r="I172" s="8"/>
      <c r="J172" s="8"/>
      <c r="K172" s="8">
        <v>80</v>
      </c>
      <c r="L172" s="18">
        <v>5100</v>
      </c>
      <c r="M172" s="7">
        <f t="shared" si="2"/>
        <v>408000</v>
      </c>
      <c r="N172" s="4"/>
      <c r="O172" s="9"/>
    </row>
    <row r="173" spans="1:15" ht="20" customHeight="1" x14ac:dyDescent="0.2">
      <c r="A173" s="3">
        <v>169</v>
      </c>
      <c r="B173" s="19"/>
      <c r="C173" s="4" t="s">
        <v>6051</v>
      </c>
      <c r="D173" s="4" t="s">
        <v>5786</v>
      </c>
      <c r="E173" s="4" t="s">
        <v>137</v>
      </c>
      <c r="F173" s="8">
        <v>60</v>
      </c>
      <c r="G173" s="8">
        <v>60</v>
      </c>
      <c r="H173" s="8">
        <v>40</v>
      </c>
      <c r="I173" s="8">
        <v>31</v>
      </c>
      <c r="J173" s="8"/>
      <c r="K173" s="8">
        <v>60</v>
      </c>
      <c r="L173" s="18">
        <v>1930</v>
      </c>
      <c r="M173" s="7">
        <f t="shared" si="2"/>
        <v>115800</v>
      </c>
      <c r="N173" s="4"/>
      <c r="O173" s="9"/>
    </row>
    <row r="174" spans="1:15" ht="20" customHeight="1" x14ac:dyDescent="0.2">
      <c r="A174" s="3">
        <v>170</v>
      </c>
      <c r="B174" s="19"/>
      <c r="C174" s="4" t="s">
        <v>6052</v>
      </c>
      <c r="D174" s="4" t="s">
        <v>5786</v>
      </c>
      <c r="E174" s="4" t="s">
        <v>137</v>
      </c>
      <c r="F174" s="8">
        <v>100</v>
      </c>
      <c r="G174" s="8">
        <v>100</v>
      </c>
      <c r="H174" s="8">
        <v>75</v>
      </c>
      <c r="I174" s="8">
        <v>12</v>
      </c>
      <c r="J174" s="8"/>
      <c r="K174" s="8">
        <v>80</v>
      </c>
      <c r="L174" s="18">
        <v>3480</v>
      </c>
      <c r="M174" s="7">
        <f t="shared" si="2"/>
        <v>278400</v>
      </c>
      <c r="N174" s="4"/>
      <c r="O174" s="9"/>
    </row>
    <row r="175" spans="1:15" ht="20" customHeight="1" x14ac:dyDescent="0.2">
      <c r="A175" s="3">
        <v>171</v>
      </c>
      <c r="B175" s="19"/>
      <c r="C175" s="4" t="s">
        <v>6053</v>
      </c>
      <c r="D175" s="4" t="s">
        <v>5786</v>
      </c>
      <c r="E175" s="4" t="s">
        <v>137</v>
      </c>
      <c r="F175" s="8">
        <v>35</v>
      </c>
      <c r="G175" s="8">
        <v>35</v>
      </c>
      <c r="H175" s="8">
        <v>30</v>
      </c>
      <c r="I175" s="8">
        <v>26</v>
      </c>
      <c r="J175" s="8"/>
      <c r="K175" s="8">
        <v>40</v>
      </c>
      <c r="L175" s="18">
        <v>6370</v>
      </c>
      <c r="M175" s="7">
        <f t="shared" si="2"/>
        <v>254800</v>
      </c>
      <c r="N175" s="4"/>
      <c r="O175" s="9"/>
    </row>
    <row r="176" spans="1:15" ht="20" customHeight="1" x14ac:dyDescent="0.2">
      <c r="A176" s="3">
        <v>172</v>
      </c>
      <c r="B176" s="19"/>
      <c r="C176" s="4" t="s">
        <v>6054</v>
      </c>
      <c r="D176" s="4" t="s">
        <v>5786</v>
      </c>
      <c r="E176" s="4" t="s">
        <v>137</v>
      </c>
      <c r="F176" s="8">
        <v>50</v>
      </c>
      <c r="G176" s="8">
        <v>50</v>
      </c>
      <c r="H176" s="8">
        <v>30</v>
      </c>
      <c r="I176" s="8"/>
      <c r="J176" s="8"/>
      <c r="K176" s="8">
        <v>50</v>
      </c>
      <c r="L176" s="18">
        <v>2720</v>
      </c>
      <c r="M176" s="7">
        <f t="shared" si="2"/>
        <v>136000</v>
      </c>
      <c r="N176" s="4"/>
      <c r="O176" s="9"/>
    </row>
    <row r="177" spans="1:15" ht="20" customHeight="1" x14ac:dyDescent="0.2">
      <c r="A177" s="3">
        <v>173</v>
      </c>
      <c r="B177" s="19"/>
      <c r="C177" s="4" t="s">
        <v>6055</v>
      </c>
      <c r="D177" s="4" t="s">
        <v>5786</v>
      </c>
      <c r="E177" s="4" t="s">
        <v>137</v>
      </c>
      <c r="F177" s="8">
        <v>20</v>
      </c>
      <c r="G177" s="8">
        <v>20</v>
      </c>
      <c r="H177" s="8"/>
      <c r="I177" s="8">
        <v>4</v>
      </c>
      <c r="J177" s="8"/>
      <c r="K177" s="8">
        <v>0</v>
      </c>
      <c r="L177" s="18">
        <v>1140.5</v>
      </c>
      <c r="M177" s="7">
        <f t="shared" si="2"/>
        <v>0</v>
      </c>
      <c r="N177" s="4"/>
      <c r="O177" s="9"/>
    </row>
    <row r="178" spans="1:15" ht="20" customHeight="1" x14ac:dyDescent="0.2">
      <c r="A178" s="3">
        <v>174</v>
      </c>
      <c r="B178" s="19"/>
      <c r="C178" s="4" t="s">
        <v>6056</v>
      </c>
      <c r="D178" s="4" t="s">
        <v>5786</v>
      </c>
      <c r="E178" s="4" t="s">
        <v>137</v>
      </c>
      <c r="F178" s="8">
        <v>55</v>
      </c>
      <c r="G178" s="8">
        <v>55</v>
      </c>
      <c r="H178" s="8">
        <v>35</v>
      </c>
      <c r="I178" s="8">
        <v>25</v>
      </c>
      <c r="J178" s="8"/>
      <c r="K178" s="8">
        <v>40</v>
      </c>
      <c r="L178" s="18">
        <v>1450</v>
      </c>
      <c r="M178" s="7">
        <f t="shared" si="2"/>
        <v>58000</v>
      </c>
      <c r="N178" s="4"/>
      <c r="O178" s="9"/>
    </row>
    <row r="179" spans="1:15" ht="20" customHeight="1" x14ac:dyDescent="0.2">
      <c r="A179" s="3">
        <v>175</v>
      </c>
      <c r="B179" s="19"/>
      <c r="C179" s="4" t="s">
        <v>6057</v>
      </c>
      <c r="D179" s="4" t="s">
        <v>5786</v>
      </c>
      <c r="E179" s="4" t="s">
        <v>137</v>
      </c>
      <c r="F179" s="8">
        <v>15</v>
      </c>
      <c r="G179" s="8">
        <v>15</v>
      </c>
      <c r="H179" s="8">
        <v>10</v>
      </c>
      <c r="I179" s="8">
        <v>3</v>
      </c>
      <c r="J179" s="8"/>
      <c r="K179" s="8">
        <v>10</v>
      </c>
      <c r="L179" s="18">
        <v>1650</v>
      </c>
      <c r="M179" s="7">
        <f t="shared" si="2"/>
        <v>16500</v>
      </c>
      <c r="N179" s="4"/>
      <c r="O179" s="9"/>
    </row>
    <row r="180" spans="1:15" ht="20" customHeight="1" x14ac:dyDescent="0.2">
      <c r="A180" s="3">
        <v>176</v>
      </c>
      <c r="B180" s="19"/>
      <c r="C180" s="4" t="s">
        <v>6058</v>
      </c>
      <c r="D180" s="4" t="s">
        <v>5786</v>
      </c>
      <c r="E180" s="4" t="s">
        <v>137</v>
      </c>
      <c r="F180" s="8">
        <v>15</v>
      </c>
      <c r="G180" s="8">
        <v>15</v>
      </c>
      <c r="H180" s="8">
        <v>30</v>
      </c>
      <c r="I180" s="8"/>
      <c r="J180" s="8"/>
      <c r="K180" s="8">
        <v>30</v>
      </c>
      <c r="L180" s="18">
        <v>1740</v>
      </c>
      <c r="M180" s="7">
        <f t="shared" si="2"/>
        <v>52200</v>
      </c>
      <c r="N180" s="4"/>
      <c r="O180" s="9"/>
    </row>
    <row r="181" spans="1:15" ht="20" customHeight="1" x14ac:dyDescent="0.2">
      <c r="A181" s="3">
        <v>177</v>
      </c>
      <c r="B181" s="19"/>
      <c r="C181" s="4" t="s">
        <v>6059</v>
      </c>
      <c r="D181" s="4" t="s">
        <v>5786</v>
      </c>
      <c r="E181" s="4" t="s">
        <v>137</v>
      </c>
      <c r="F181" s="8">
        <v>90</v>
      </c>
      <c r="G181" s="8">
        <v>90</v>
      </c>
      <c r="H181" s="8">
        <v>80</v>
      </c>
      <c r="I181" s="8">
        <v>37</v>
      </c>
      <c r="J181" s="8"/>
      <c r="K181" s="8">
        <v>90</v>
      </c>
      <c r="L181" s="18">
        <v>460</v>
      </c>
      <c r="M181" s="7">
        <f t="shared" si="2"/>
        <v>41400</v>
      </c>
      <c r="N181" s="4"/>
      <c r="O181" s="9"/>
    </row>
    <row r="182" spans="1:15" ht="20" customHeight="1" x14ac:dyDescent="0.2">
      <c r="A182" s="3">
        <v>178</v>
      </c>
      <c r="B182" s="19"/>
      <c r="C182" s="4" t="s">
        <v>6060</v>
      </c>
      <c r="D182" s="4" t="s">
        <v>5786</v>
      </c>
      <c r="E182" s="4" t="s">
        <v>137</v>
      </c>
      <c r="F182" s="8">
        <v>20</v>
      </c>
      <c r="G182" s="8">
        <v>20</v>
      </c>
      <c r="H182" s="8"/>
      <c r="I182" s="8">
        <v>10</v>
      </c>
      <c r="J182" s="8"/>
      <c r="K182" s="8">
        <v>0</v>
      </c>
      <c r="L182" s="18">
        <v>450</v>
      </c>
      <c r="M182" s="7">
        <f t="shared" si="2"/>
        <v>0</v>
      </c>
      <c r="N182" s="4"/>
      <c r="O182" s="9"/>
    </row>
    <row r="183" spans="1:15" ht="20" customHeight="1" x14ac:dyDescent="0.2">
      <c r="A183" s="3">
        <v>179</v>
      </c>
      <c r="B183" s="19"/>
      <c r="C183" s="4" t="s">
        <v>6061</v>
      </c>
      <c r="D183" s="4" t="s">
        <v>5786</v>
      </c>
      <c r="E183" s="4" t="s">
        <v>137</v>
      </c>
      <c r="F183" s="8">
        <v>60</v>
      </c>
      <c r="G183" s="8">
        <v>60</v>
      </c>
      <c r="H183" s="8">
        <v>40</v>
      </c>
      <c r="I183" s="8">
        <v>26</v>
      </c>
      <c r="J183" s="8"/>
      <c r="K183" s="8">
        <v>40</v>
      </c>
      <c r="L183" s="18">
        <v>580</v>
      </c>
      <c r="M183" s="7">
        <f t="shared" si="2"/>
        <v>23200</v>
      </c>
      <c r="N183" s="4"/>
      <c r="O183" s="9"/>
    </row>
    <row r="184" spans="1:15" ht="20" customHeight="1" x14ac:dyDescent="0.2">
      <c r="A184" s="3">
        <v>180</v>
      </c>
      <c r="B184" s="19"/>
      <c r="C184" s="4" t="s">
        <v>6062</v>
      </c>
      <c r="D184" s="4" t="s">
        <v>5786</v>
      </c>
      <c r="E184" s="4" t="s">
        <v>137</v>
      </c>
      <c r="F184" s="8"/>
      <c r="G184" s="8"/>
      <c r="H184" s="8"/>
      <c r="I184" s="8">
        <v>28</v>
      </c>
      <c r="J184" s="8"/>
      <c r="K184" s="8">
        <v>0</v>
      </c>
      <c r="L184" s="18">
        <v>890</v>
      </c>
      <c r="M184" s="7">
        <f t="shared" si="2"/>
        <v>0</v>
      </c>
      <c r="N184" s="4"/>
      <c r="O184" s="9"/>
    </row>
    <row r="185" spans="1:15" ht="20" customHeight="1" x14ac:dyDescent="0.2">
      <c r="A185" s="3">
        <v>181</v>
      </c>
      <c r="B185" s="19"/>
      <c r="C185" s="4" t="s">
        <v>6063</v>
      </c>
      <c r="D185" s="4" t="s">
        <v>5786</v>
      </c>
      <c r="E185" s="4" t="s">
        <v>137</v>
      </c>
      <c r="F185" s="8">
        <v>20</v>
      </c>
      <c r="G185" s="8">
        <v>20</v>
      </c>
      <c r="H185" s="8">
        <v>35</v>
      </c>
      <c r="I185" s="8">
        <v>29</v>
      </c>
      <c r="J185" s="8"/>
      <c r="K185" s="8">
        <v>40</v>
      </c>
      <c r="L185" s="18">
        <v>830</v>
      </c>
      <c r="M185" s="7">
        <f t="shared" si="2"/>
        <v>33200</v>
      </c>
      <c r="N185" s="4"/>
      <c r="O185" s="9"/>
    </row>
    <row r="186" spans="1:15" ht="20" customHeight="1" x14ac:dyDescent="0.2">
      <c r="A186" s="3">
        <v>182</v>
      </c>
      <c r="B186" s="19"/>
      <c r="C186" s="4" t="s">
        <v>6064</v>
      </c>
      <c r="D186" s="4" t="s">
        <v>5786</v>
      </c>
      <c r="E186" s="4" t="s">
        <v>110</v>
      </c>
      <c r="F186" s="8">
        <v>30</v>
      </c>
      <c r="G186" s="8">
        <v>50</v>
      </c>
      <c r="H186" s="8">
        <v>96</v>
      </c>
      <c r="I186" s="8">
        <v>12</v>
      </c>
      <c r="J186" s="8"/>
      <c r="K186" s="8">
        <v>150</v>
      </c>
      <c r="L186" s="18">
        <v>5724.5</v>
      </c>
      <c r="M186" s="7">
        <f t="shared" si="2"/>
        <v>858675</v>
      </c>
      <c r="N186" s="4" t="s">
        <v>6065</v>
      </c>
      <c r="O186" s="9"/>
    </row>
    <row r="187" spans="1:15" ht="20" customHeight="1" x14ac:dyDescent="0.2">
      <c r="A187" s="3">
        <v>183</v>
      </c>
      <c r="B187" s="19"/>
      <c r="C187" s="4" t="s">
        <v>6066</v>
      </c>
      <c r="D187" s="4" t="s">
        <v>5786</v>
      </c>
      <c r="E187" s="4" t="s">
        <v>137</v>
      </c>
      <c r="F187" s="8">
        <v>1020</v>
      </c>
      <c r="G187" s="8">
        <v>800</v>
      </c>
      <c r="H187" s="8">
        <v>2184</v>
      </c>
      <c r="I187" s="8">
        <v>104</v>
      </c>
      <c r="J187" s="8"/>
      <c r="K187" s="8">
        <v>2500</v>
      </c>
      <c r="L187" s="18">
        <v>235.4</v>
      </c>
      <c r="M187" s="7">
        <f t="shared" si="2"/>
        <v>588500</v>
      </c>
      <c r="N187" s="4" t="s">
        <v>6067</v>
      </c>
      <c r="O187" s="9"/>
    </row>
    <row r="188" spans="1:15" ht="20" customHeight="1" x14ac:dyDescent="0.2">
      <c r="A188" s="3">
        <v>184</v>
      </c>
      <c r="B188" s="19"/>
      <c r="C188" s="4" t="s">
        <v>6068</v>
      </c>
      <c r="D188" s="4" t="s">
        <v>5786</v>
      </c>
      <c r="E188" s="4" t="s">
        <v>110</v>
      </c>
      <c r="F188" s="8">
        <v>18</v>
      </c>
      <c r="G188" s="8">
        <v>20</v>
      </c>
      <c r="H188" s="8">
        <v>25</v>
      </c>
      <c r="I188" s="8">
        <v>10</v>
      </c>
      <c r="J188" s="8"/>
      <c r="K188" s="8">
        <v>50</v>
      </c>
      <c r="L188" s="18">
        <v>12000</v>
      </c>
      <c r="M188" s="7">
        <f t="shared" si="2"/>
        <v>600000</v>
      </c>
      <c r="N188" s="4" t="s">
        <v>6069</v>
      </c>
      <c r="O188" s="9"/>
    </row>
    <row r="189" spans="1:15" ht="20" customHeight="1" x14ac:dyDescent="0.2">
      <c r="A189" s="3">
        <v>185</v>
      </c>
      <c r="B189" s="19"/>
      <c r="C189" s="4" t="s">
        <v>6070</v>
      </c>
      <c r="D189" s="4" t="s">
        <v>5786</v>
      </c>
      <c r="E189" s="4" t="s">
        <v>110</v>
      </c>
      <c r="F189" s="8">
        <v>4</v>
      </c>
      <c r="G189" s="8">
        <v>4</v>
      </c>
      <c r="H189" s="8">
        <v>2</v>
      </c>
      <c r="I189" s="8"/>
      <c r="J189" s="8"/>
      <c r="K189" s="8">
        <v>10</v>
      </c>
      <c r="L189" s="18">
        <v>11250</v>
      </c>
      <c r="M189" s="7">
        <f t="shared" si="2"/>
        <v>112500</v>
      </c>
      <c r="N189" s="4" t="s">
        <v>6071</v>
      </c>
      <c r="O189" s="9"/>
    </row>
    <row r="190" spans="1:15" ht="20" customHeight="1" x14ac:dyDescent="0.2">
      <c r="A190" s="3">
        <v>186</v>
      </c>
      <c r="B190" s="19"/>
      <c r="C190" s="4" t="s">
        <v>6072</v>
      </c>
      <c r="D190" s="4" t="s">
        <v>5786</v>
      </c>
      <c r="E190" s="4" t="s">
        <v>110</v>
      </c>
      <c r="F190" s="8">
        <v>30</v>
      </c>
      <c r="G190" s="8">
        <v>30</v>
      </c>
      <c r="H190" s="8">
        <v>20</v>
      </c>
      <c r="I190" s="8"/>
      <c r="J190" s="8"/>
      <c r="K190" s="8">
        <v>30</v>
      </c>
      <c r="L190" s="18">
        <v>16000</v>
      </c>
      <c r="M190" s="7">
        <f t="shared" si="2"/>
        <v>480000</v>
      </c>
      <c r="N190" s="4" t="s">
        <v>6073</v>
      </c>
      <c r="O190" s="9"/>
    </row>
    <row r="191" spans="1:15" ht="20" customHeight="1" x14ac:dyDescent="0.2">
      <c r="A191" s="3">
        <v>187</v>
      </c>
      <c r="B191" s="19"/>
      <c r="C191" s="4" t="s">
        <v>6074</v>
      </c>
      <c r="D191" s="4" t="s">
        <v>5786</v>
      </c>
      <c r="E191" s="4" t="s">
        <v>190</v>
      </c>
      <c r="F191" s="8">
        <v>150</v>
      </c>
      <c r="G191" s="8">
        <v>150</v>
      </c>
      <c r="H191" s="8">
        <v>300</v>
      </c>
      <c r="I191" s="8">
        <v>270</v>
      </c>
      <c r="J191" s="8"/>
      <c r="K191" s="8">
        <v>150</v>
      </c>
      <c r="L191" s="18">
        <v>192.6</v>
      </c>
      <c r="M191" s="7">
        <f t="shared" si="2"/>
        <v>28890</v>
      </c>
      <c r="N191" s="4" t="s">
        <v>6075</v>
      </c>
      <c r="O191" s="9"/>
    </row>
    <row r="192" spans="1:15" ht="20" customHeight="1" x14ac:dyDescent="0.2">
      <c r="A192" s="3">
        <v>188</v>
      </c>
      <c r="B192" s="19"/>
      <c r="C192" s="4" t="s">
        <v>6076</v>
      </c>
      <c r="D192" s="4" t="s">
        <v>5786</v>
      </c>
      <c r="E192" s="4" t="s">
        <v>110</v>
      </c>
      <c r="F192" s="8">
        <v>145</v>
      </c>
      <c r="G192" s="8">
        <v>150</v>
      </c>
      <c r="H192" s="8">
        <v>305</v>
      </c>
      <c r="I192" s="8">
        <v>23</v>
      </c>
      <c r="J192" s="8"/>
      <c r="K192" s="8">
        <v>300</v>
      </c>
      <c r="L192" s="18">
        <v>11235</v>
      </c>
      <c r="M192" s="7">
        <f t="shared" si="2"/>
        <v>3370500</v>
      </c>
      <c r="N192" s="4"/>
      <c r="O192" s="9"/>
    </row>
    <row r="193" spans="1:15" ht="20" customHeight="1" x14ac:dyDescent="0.2">
      <c r="A193" s="3">
        <v>189</v>
      </c>
      <c r="B193" s="19"/>
      <c r="C193" s="4" t="s">
        <v>6077</v>
      </c>
      <c r="D193" s="4" t="s">
        <v>5786</v>
      </c>
      <c r="E193" s="4" t="s">
        <v>271</v>
      </c>
      <c r="F193" s="8">
        <v>1</v>
      </c>
      <c r="G193" s="8">
        <v>1</v>
      </c>
      <c r="H193" s="8"/>
      <c r="I193" s="8"/>
      <c r="J193" s="8"/>
      <c r="K193" s="8">
        <v>1</v>
      </c>
      <c r="L193" s="18">
        <v>12000</v>
      </c>
      <c r="M193" s="7">
        <f t="shared" si="2"/>
        <v>12000</v>
      </c>
      <c r="N193" s="4"/>
      <c r="O193" s="9"/>
    </row>
    <row r="194" spans="1:15" ht="20" customHeight="1" x14ac:dyDescent="0.2">
      <c r="A194" s="3">
        <v>190</v>
      </c>
      <c r="B194" s="19"/>
      <c r="C194" s="4" t="s">
        <v>6078</v>
      </c>
      <c r="D194" s="4" t="s">
        <v>5786</v>
      </c>
      <c r="E194" s="4" t="s">
        <v>110</v>
      </c>
      <c r="F194" s="8">
        <v>32</v>
      </c>
      <c r="G194" s="8">
        <v>40</v>
      </c>
      <c r="H194" s="8">
        <v>48</v>
      </c>
      <c r="I194" s="8">
        <v>8</v>
      </c>
      <c r="J194" s="8"/>
      <c r="K194" s="8">
        <v>50</v>
      </c>
      <c r="L194" s="18">
        <v>8346</v>
      </c>
      <c r="M194" s="7">
        <f t="shared" si="2"/>
        <v>417300</v>
      </c>
      <c r="N194" s="4" t="s">
        <v>6079</v>
      </c>
      <c r="O194" s="9"/>
    </row>
    <row r="195" spans="1:15" ht="20" customHeight="1" x14ac:dyDescent="0.2">
      <c r="A195" s="3">
        <v>191</v>
      </c>
      <c r="B195" s="19"/>
      <c r="C195" s="4" t="s">
        <v>6080</v>
      </c>
      <c r="D195" s="4" t="s">
        <v>5786</v>
      </c>
      <c r="E195" s="4" t="s">
        <v>190</v>
      </c>
      <c r="F195" s="8"/>
      <c r="G195" s="8"/>
      <c r="H195" s="8">
        <v>320</v>
      </c>
      <c r="I195" s="8">
        <v>102</v>
      </c>
      <c r="J195" s="8"/>
      <c r="K195" s="8">
        <v>360</v>
      </c>
      <c r="L195" s="18">
        <v>2461</v>
      </c>
      <c r="M195" s="7">
        <f t="shared" si="2"/>
        <v>885960</v>
      </c>
      <c r="N195" s="4" t="s">
        <v>6081</v>
      </c>
      <c r="O195" s="9"/>
    </row>
    <row r="196" spans="1:15" ht="20" customHeight="1" x14ac:dyDescent="0.2">
      <c r="A196" s="3">
        <v>192</v>
      </c>
      <c r="B196" s="19"/>
      <c r="C196" s="4" t="s">
        <v>6082</v>
      </c>
      <c r="D196" s="4" t="s">
        <v>5786</v>
      </c>
      <c r="E196" s="4" t="s">
        <v>110</v>
      </c>
      <c r="F196" s="8">
        <v>290</v>
      </c>
      <c r="G196" s="8">
        <v>300</v>
      </c>
      <c r="H196" s="8">
        <v>420</v>
      </c>
      <c r="I196" s="8">
        <v>30</v>
      </c>
      <c r="J196" s="8"/>
      <c r="K196" s="8">
        <v>420</v>
      </c>
      <c r="L196" s="18">
        <v>500</v>
      </c>
      <c r="M196" s="7">
        <f t="shared" si="2"/>
        <v>210000</v>
      </c>
      <c r="N196" s="4" t="s">
        <v>6083</v>
      </c>
      <c r="O196" s="9"/>
    </row>
    <row r="197" spans="1:15" ht="20" customHeight="1" x14ac:dyDescent="0.2">
      <c r="A197" s="3">
        <v>193</v>
      </c>
      <c r="B197" s="19"/>
      <c r="C197" s="4" t="s">
        <v>6084</v>
      </c>
      <c r="D197" s="4" t="s">
        <v>5786</v>
      </c>
      <c r="E197" s="4" t="s">
        <v>110</v>
      </c>
      <c r="F197" s="8">
        <v>5</v>
      </c>
      <c r="G197" s="8">
        <v>20</v>
      </c>
      <c r="H197" s="8">
        <v>70</v>
      </c>
      <c r="I197" s="8">
        <v>10</v>
      </c>
      <c r="J197" s="8"/>
      <c r="K197" s="8">
        <v>90</v>
      </c>
      <c r="L197" s="18">
        <v>2550</v>
      </c>
      <c r="M197" s="7">
        <f t="shared" ref="M197:M260" si="3">IF(OR(K197="",L197=""),"",K197*L197)</f>
        <v>229500</v>
      </c>
      <c r="N197" s="4" t="s">
        <v>6085</v>
      </c>
      <c r="O197" s="9"/>
    </row>
    <row r="198" spans="1:15" ht="20" customHeight="1" x14ac:dyDescent="0.2">
      <c r="A198" s="3">
        <v>194</v>
      </c>
      <c r="B198" s="19"/>
      <c r="C198" s="4" t="s">
        <v>6086</v>
      </c>
      <c r="D198" s="4" t="s">
        <v>5786</v>
      </c>
      <c r="E198" s="4" t="s">
        <v>110</v>
      </c>
      <c r="F198" s="8">
        <v>1</v>
      </c>
      <c r="G198" s="8">
        <v>5</v>
      </c>
      <c r="H198" s="8">
        <v>1</v>
      </c>
      <c r="I198" s="8"/>
      <c r="J198" s="8"/>
      <c r="K198" s="8">
        <v>4</v>
      </c>
      <c r="L198" s="18">
        <v>4165</v>
      </c>
      <c r="M198" s="7">
        <f t="shared" si="3"/>
        <v>16660</v>
      </c>
      <c r="N198" s="4" t="s">
        <v>6087</v>
      </c>
      <c r="O198" s="9"/>
    </row>
    <row r="199" spans="1:15" ht="20" customHeight="1" x14ac:dyDescent="0.2">
      <c r="A199" s="3">
        <v>195</v>
      </c>
      <c r="B199" s="19"/>
      <c r="C199" s="4" t="s">
        <v>6088</v>
      </c>
      <c r="D199" s="4" t="s">
        <v>5786</v>
      </c>
      <c r="E199" s="4" t="s">
        <v>110</v>
      </c>
      <c r="F199" s="8"/>
      <c r="G199" s="8"/>
      <c r="H199" s="8">
        <v>112</v>
      </c>
      <c r="I199" s="8"/>
      <c r="J199" s="8"/>
      <c r="K199" s="8">
        <v>120</v>
      </c>
      <c r="L199" s="18">
        <v>1284</v>
      </c>
      <c r="M199" s="7">
        <f t="shared" si="3"/>
        <v>154080</v>
      </c>
      <c r="N199" s="4" t="s">
        <v>6089</v>
      </c>
      <c r="O199" s="9"/>
    </row>
    <row r="200" spans="1:15" ht="20" customHeight="1" x14ac:dyDescent="0.2">
      <c r="A200" s="3">
        <v>196</v>
      </c>
      <c r="B200" s="19"/>
      <c r="C200" s="4" t="s">
        <v>6090</v>
      </c>
      <c r="D200" s="4" t="s">
        <v>5786</v>
      </c>
      <c r="E200" s="4" t="s">
        <v>110</v>
      </c>
      <c r="F200" s="8">
        <v>1070</v>
      </c>
      <c r="G200" s="8">
        <v>1000</v>
      </c>
      <c r="H200" s="8">
        <v>1100</v>
      </c>
      <c r="I200" s="8">
        <v>194</v>
      </c>
      <c r="J200" s="8"/>
      <c r="K200" s="8">
        <v>600</v>
      </c>
      <c r="L200" s="18">
        <v>1872.5</v>
      </c>
      <c r="M200" s="7">
        <f t="shared" si="3"/>
        <v>1123500</v>
      </c>
      <c r="N200" s="4" t="s">
        <v>6091</v>
      </c>
      <c r="O200" s="9"/>
    </row>
    <row r="201" spans="1:15" ht="20" customHeight="1" x14ac:dyDescent="0.2">
      <c r="A201" s="3">
        <v>197</v>
      </c>
      <c r="B201" s="19"/>
      <c r="C201" s="4" t="s">
        <v>6092</v>
      </c>
      <c r="D201" s="4" t="s">
        <v>5786</v>
      </c>
      <c r="E201" s="4" t="s">
        <v>4607</v>
      </c>
      <c r="F201" s="8">
        <v>145000</v>
      </c>
      <c r="G201" s="8">
        <v>150000</v>
      </c>
      <c r="H201" s="8">
        <v>140000</v>
      </c>
      <c r="I201" s="8"/>
      <c r="J201" s="8"/>
      <c r="K201" s="8">
        <v>150000</v>
      </c>
      <c r="L201" s="18">
        <v>3.21</v>
      </c>
      <c r="M201" s="7">
        <f t="shared" si="3"/>
        <v>481500</v>
      </c>
      <c r="N201" s="4" t="s">
        <v>6093</v>
      </c>
      <c r="O201" s="9"/>
    </row>
    <row r="202" spans="1:15" ht="20" customHeight="1" x14ac:dyDescent="0.2">
      <c r="A202" s="3">
        <v>198</v>
      </c>
      <c r="B202" s="19"/>
      <c r="C202" s="4" t="s">
        <v>6094</v>
      </c>
      <c r="D202" s="4" t="s">
        <v>5786</v>
      </c>
      <c r="E202" s="4" t="s">
        <v>110</v>
      </c>
      <c r="F202" s="8">
        <v>10600</v>
      </c>
      <c r="G202" s="8">
        <v>10600</v>
      </c>
      <c r="H202" s="8">
        <v>9100</v>
      </c>
      <c r="I202" s="8"/>
      <c r="J202" s="8"/>
      <c r="K202" s="8">
        <v>10800</v>
      </c>
      <c r="L202" s="18">
        <v>100</v>
      </c>
      <c r="M202" s="7">
        <f t="shared" si="3"/>
        <v>1080000</v>
      </c>
      <c r="N202" s="4" t="s">
        <v>6095</v>
      </c>
      <c r="O202" s="9"/>
    </row>
    <row r="203" spans="1:15" ht="20" customHeight="1" x14ac:dyDescent="0.2">
      <c r="A203" s="3">
        <v>199</v>
      </c>
      <c r="B203" s="19"/>
      <c r="C203" s="4" t="s">
        <v>6096</v>
      </c>
      <c r="D203" s="4" t="s">
        <v>5786</v>
      </c>
      <c r="E203" s="4" t="s">
        <v>110</v>
      </c>
      <c r="F203" s="8">
        <v>12</v>
      </c>
      <c r="G203" s="8">
        <v>20</v>
      </c>
      <c r="H203" s="8"/>
      <c r="I203" s="8"/>
      <c r="J203" s="8"/>
      <c r="K203" s="8">
        <v>20</v>
      </c>
      <c r="L203" s="18">
        <v>1027.2</v>
      </c>
      <c r="M203" s="7">
        <f t="shared" si="3"/>
        <v>20544</v>
      </c>
      <c r="N203" s="4" t="s">
        <v>6097</v>
      </c>
      <c r="O203" s="9"/>
    </row>
    <row r="204" spans="1:15" ht="20" customHeight="1" x14ac:dyDescent="0.2">
      <c r="A204" s="3">
        <v>200</v>
      </c>
      <c r="B204" s="19"/>
      <c r="C204" s="4" t="s">
        <v>6098</v>
      </c>
      <c r="D204" s="4" t="s">
        <v>5786</v>
      </c>
      <c r="E204" s="4" t="s">
        <v>110</v>
      </c>
      <c r="F204" s="8">
        <v>49</v>
      </c>
      <c r="G204" s="8">
        <v>50</v>
      </c>
      <c r="H204" s="8">
        <v>88</v>
      </c>
      <c r="I204" s="8">
        <v>19</v>
      </c>
      <c r="J204" s="8"/>
      <c r="K204" s="8">
        <v>90</v>
      </c>
      <c r="L204" s="18">
        <v>6420</v>
      </c>
      <c r="M204" s="7">
        <f t="shared" si="3"/>
        <v>577800</v>
      </c>
      <c r="N204" s="4" t="s">
        <v>6099</v>
      </c>
      <c r="O204" s="9"/>
    </row>
    <row r="205" spans="1:15" ht="20" customHeight="1" x14ac:dyDescent="0.2">
      <c r="A205" s="3">
        <v>201</v>
      </c>
      <c r="B205" s="19"/>
      <c r="C205" s="4" t="s">
        <v>6100</v>
      </c>
      <c r="D205" s="4" t="s">
        <v>5786</v>
      </c>
      <c r="E205" s="4" t="s">
        <v>4723</v>
      </c>
      <c r="F205" s="8">
        <v>940</v>
      </c>
      <c r="G205" s="8">
        <v>1000</v>
      </c>
      <c r="H205" s="8">
        <v>1028</v>
      </c>
      <c r="I205" s="8">
        <v>89</v>
      </c>
      <c r="J205" s="8"/>
      <c r="K205" s="8">
        <v>100</v>
      </c>
      <c r="L205" s="18">
        <v>299.60000000000002</v>
      </c>
      <c r="M205" s="7">
        <f t="shared" si="3"/>
        <v>29960.000000000004</v>
      </c>
      <c r="N205" s="4" t="s">
        <v>6101</v>
      </c>
      <c r="O205" s="9"/>
    </row>
    <row r="206" spans="1:15" ht="20" customHeight="1" x14ac:dyDescent="0.2">
      <c r="A206" s="3">
        <v>202</v>
      </c>
      <c r="B206" s="19"/>
      <c r="C206" s="4" t="s">
        <v>6102</v>
      </c>
      <c r="D206" s="4" t="s">
        <v>5786</v>
      </c>
      <c r="E206" s="4" t="s">
        <v>267</v>
      </c>
      <c r="F206" s="8"/>
      <c r="G206" s="8"/>
      <c r="H206" s="8">
        <v>100</v>
      </c>
      <c r="I206" s="8"/>
      <c r="J206" s="8"/>
      <c r="K206" s="8">
        <v>100</v>
      </c>
      <c r="L206" s="18">
        <v>150</v>
      </c>
      <c r="M206" s="7">
        <f t="shared" si="3"/>
        <v>15000</v>
      </c>
      <c r="N206" s="4" t="s">
        <v>6103</v>
      </c>
      <c r="O206" s="9"/>
    </row>
    <row r="207" spans="1:15" ht="20" customHeight="1" x14ac:dyDescent="0.2">
      <c r="A207" s="3">
        <v>203</v>
      </c>
      <c r="B207" s="19"/>
      <c r="C207" s="4" t="s">
        <v>6104</v>
      </c>
      <c r="D207" s="4" t="s">
        <v>5786</v>
      </c>
      <c r="E207" s="4" t="s">
        <v>267</v>
      </c>
      <c r="F207" s="8"/>
      <c r="G207" s="8"/>
      <c r="H207" s="8">
        <v>456</v>
      </c>
      <c r="I207" s="8">
        <v>132</v>
      </c>
      <c r="J207" s="8"/>
      <c r="K207" s="8">
        <v>500</v>
      </c>
      <c r="L207" s="18">
        <v>1800</v>
      </c>
      <c r="M207" s="7">
        <f t="shared" si="3"/>
        <v>900000</v>
      </c>
      <c r="N207" s="4" t="s">
        <v>6105</v>
      </c>
      <c r="O207" s="9"/>
    </row>
    <row r="208" spans="1:15" ht="20" customHeight="1" x14ac:dyDescent="0.2">
      <c r="A208" s="3">
        <v>204</v>
      </c>
      <c r="B208" s="19"/>
      <c r="C208" s="4" t="s">
        <v>6106</v>
      </c>
      <c r="D208" s="4" t="s">
        <v>5786</v>
      </c>
      <c r="E208" s="4" t="s">
        <v>684</v>
      </c>
      <c r="F208" s="8"/>
      <c r="G208" s="8"/>
      <c r="H208" s="8">
        <v>620</v>
      </c>
      <c r="I208" s="8">
        <v>32</v>
      </c>
      <c r="J208" s="8"/>
      <c r="K208" s="8">
        <v>600</v>
      </c>
      <c r="L208" s="18">
        <v>2600</v>
      </c>
      <c r="M208" s="7">
        <f t="shared" si="3"/>
        <v>1560000</v>
      </c>
      <c r="N208" s="4" t="s">
        <v>6107</v>
      </c>
      <c r="O208" s="9"/>
    </row>
    <row r="209" spans="1:15" ht="20" customHeight="1" x14ac:dyDescent="0.2">
      <c r="A209" s="3">
        <v>205</v>
      </c>
      <c r="B209" s="19"/>
      <c r="C209" s="4" t="s">
        <v>6108</v>
      </c>
      <c r="D209" s="4" t="s">
        <v>5786</v>
      </c>
      <c r="E209" s="4" t="s">
        <v>267</v>
      </c>
      <c r="F209" s="8">
        <v>10</v>
      </c>
      <c r="G209" s="8">
        <v>10</v>
      </c>
      <c r="H209" s="8">
        <v>48</v>
      </c>
      <c r="I209" s="8">
        <v>12</v>
      </c>
      <c r="J209" s="8"/>
      <c r="K209" s="8">
        <v>240</v>
      </c>
      <c r="L209" s="18">
        <v>980</v>
      </c>
      <c r="M209" s="7">
        <f t="shared" si="3"/>
        <v>235200</v>
      </c>
      <c r="N209" s="4" t="s">
        <v>6109</v>
      </c>
      <c r="O209" s="9"/>
    </row>
    <row r="210" spans="1:15" ht="20" customHeight="1" x14ac:dyDescent="0.2">
      <c r="A210" s="3">
        <v>206</v>
      </c>
      <c r="B210" s="19"/>
      <c r="C210" s="4" t="s">
        <v>6110</v>
      </c>
      <c r="D210" s="4" t="s">
        <v>5786</v>
      </c>
      <c r="E210" s="4" t="s">
        <v>684</v>
      </c>
      <c r="F210" s="8">
        <v>120</v>
      </c>
      <c r="G210" s="8">
        <v>120</v>
      </c>
      <c r="H210" s="8">
        <v>315</v>
      </c>
      <c r="I210" s="8">
        <v>24</v>
      </c>
      <c r="J210" s="8"/>
      <c r="K210" s="8">
        <v>480</v>
      </c>
      <c r="L210" s="18">
        <v>960</v>
      </c>
      <c r="M210" s="7">
        <f t="shared" si="3"/>
        <v>460800</v>
      </c>
      <c r="N210" s="4" t="s">
        <v>6111</v>
      </c>
      <c r="O210" s="9"/>
    </row>
    <row r="211" spans="1:15" ht="20" customHeight="1" x14ac:dyDescent="0.2">
      <c r="A211" s="3">
        <v>207</v>
      </c>
      <c r="B211" s="19"/>
      <c r="C211" s="4" t="s">
        <v>6112</v>
      </c>
      <c r="D211" s="4" t="s">
        <v>5786</v>
      </c>
      <c r="E211" s="4" t="s">
        <v>267</v>
      </c>
      <c r="F211" s="8">
        <v>250</v>
      </c>
      <c r="G211" s="8">
        <v>250</v>
      </c>
      <c r="H211" s="8">
        <v>200</v>
      </c>
      <c r="I211" s="8">
        <v>85</v>
      </c>
      <c r="J211" s="8"/>
      <c r="K211" s="8">
        <v>100</v>
      </c>
      <c r="L211" s="18">
        <v>1200</v>
      </c>
      <c r="M211" s="7">
        <f t="shared" si="3"/>
        <v>120000</v>
      </c>
      <c r="N211" s="4" t="s">
        <v>6113</v>
      </c>
      <c r="O211" s="9"/>
    </row>
    <row r="212" spans="1:15" ht="20" customHeight="1" x14ac:dyDescent="0.2">
      <c r="A212" s="3">
        <v>208</v>
      </c>
      <c r="B212" s="19"/>
      <c r="C212" s="4" t="s">
        <v>6114</v>
      </c>
      <c r="D212" s="4" t="s">
        <v>5786</v>
      </c>
      <c r="E212" s="4" t="s">
        <v>196</v>
      </c>
      <c r="F212" s="8"/>
      <c r="G212" s="8">
        <v>250</v>
      </c>
      <c r="H212" s="8">
        <v>86</v>
      </c>
      <c r="I212" s="8"/>
      <c r="J212" s="8"/>
      <c r="K212" s="8">
        <v>150</v>
      </c>
      <c r="L212" s="18">
        <v>4815</v>
      </c>
      <c r="M212" s="7">
        <f t="shared" si="3"/>
        <v>722250</v>
      </c>
      <c r="N212" s="4" t="s">
        <v>6115</v>
      </c>
      <c r="O212" s="9"/>
    </row>
    <row r="213" spans="1:15" ht="20" customHeight="1" x14ac:dyDescent="0.2">
      <c r="A213" s="3">
        <v>209</v>
      </c>
      <c r="B213" s="19"/>
      <c r="C213" s="4" t="s">
        <v>6116</v>
      </c>
      <c r="D213" s="4" t="s">
        <v>5786</v>
      </c>
      <c r="E213" s="4" t="s">
        <v>196</v>
      </c>
      <c r="F213" s="8">
        <v>20</v>
      </c>
      <c r="G213" s="8">
        <v>250</v>
      </c>
      <c r="H213" s="8">
        <v>125</v>
      </c>
      <c r="I213" s="8"/>
      <c r="J213" s="8"/>
      <c r="K213" s="8">
        <v>130</v>
      </c>
      <c r="L213" s="18">
        <v>4400</v>
      </c>
      <c r="M213" s="7">
        <f t="shared" si="3"/>
        <v>572000</v>
      </c>
      <c r="N213" s="4"/>
      <c r="O213" s="9"/>
    </row>
    <row r="214" spans="1:15" ht="20" customHeight="1" x14ac:dyDescent="0.2">
      <c r="A214" s="3">
        <v>210</v>
      </c>
      <c r="B214" s="19"/>
      <c r="C214" s="4" t="s">
        <v>6117</v>
      </c>
      <c r="D214" s="4" t="s">
        <v>5786</v>
      </c>
      <c r="E214" s="4" t="s">
        <v>4723</v>
      </c>
      <c r="F214" s="8">
        <v>1990</v>
      </c>
      <c r="G214" s="8">
        <v>2000</v>
      </c>
      <c r="H214" s="8">
        <v>2150</v>
      </c>
      <c r="I214" s="8">
        <v>106</v>
      </c>
      <c r="J214" s="8"/>
      <c r="K214" s="8">
        <v>2200</v>
      </c>
      <c r="L214" s="18">
        <v>250</v>
      </c>
      <c r="M214" s="7">
        <f t="shared" si="3"/>
        <v>550000</v>
      </c>
      <c r="N214" s="4"/>
      <c r="O214" s="9"/>
    </row>
    <row r="215" spans="1:15" ht="20" customHeight="1" x14ac:dyDescent="0.2">
      <c r="A215" s="3">
        <v>211</v>
      </c>
      <c r="B215" s="19"/>
      <c r="C215" s="4" t="s">
        <v>6118</v>
      </c>
      <c r="D215" s="4" t="s">
        <v>5786</v>
      </c>
      <c r="E215" s="4" t="s">
        <v>684</v>
      </c>
      <c r="F215" s="8">
        <v>152</v>
      </c>
      <c r="G215" s="8">
        <v>152</v>
      </c>
      <c r="H215" s="8">
        <v>400</v>
      </c>
      <c r="I215" s="8">
        <v>18</v>
      </c>
      <c r="J215" s="8"/>
      <c r="K215" s="8">
        <v>400</v>
      </c>
      <c r="L215" s="18">
        <v>3600</v>
      </c>
      <c r="M215" s="7">
        <f t="shared" si="3"/>
        <v>1440000</v>
      </c>
      <c r="N215" s="4" t="s">
        <v>6119</v>
      </c>
      <c r="O215" s="9"/>
    </row>
    <row r="216" spans="1:15" ht="20" customHeight="1" x14ac:dyDescent="0.2">
      <c r="A216" s="3">
        <v>212</v>
      </c>
      <c r="B216" s="19"/>
      <c r="C216" s="4" t="s">
        <v>6120</v>
      </c>
      <c r="D216" s="4" t="s">
        <v>5786</v>
      </c>
      <c r="E216" s="4" t="s">
        <v>265</v>
      </c>
      <c r="F216" s="8">
        <v>594</v>
      </c>
      <c r="G216" s="8">
        <v>1600</v>
      </c>
      <c r="H216" s="8">
        <v>69</v>
      </c>
      <c r="I216" s="8">
        <v>33</v>
      </c>
      <c r="J216" s="8"/>
      <c r="K216" s="8">
        <v>80</v>
      </c>
      <c r="L216" s="18">
        <v>16800</v>
      </c>
      <c r="M216" s="7">
        <f t="shared" si="3"/>
        <v>1344000</v>
      </c>
      <c r="N216" s="4"/>
      <c r="O216" s="9"/>
    </row>
    <row r="217" spans="1:15" ht="20" customHeight="1" x14ac:dyDescent="0.2">
      <c r="A217" s="3">
        <v>213</v>
      </c>
      <c r="B217" s="19"/>
      <c r="C217" s="4" t="s">
        <v>6121</v>
      </c>
      <c r="D217" s="4" t="s">
        <v>5786</v>
      </c>
      <c r="E217" s="4" t="s">
        <v>267</v>
      </c>
      <c r="F217" s="8">
        <v>264</v>
      </c>
      <c r="G217" s="8">
        <v>200</v>
      </c>
      <c r="H217" s="8">
        <v>372</v>
      </c>
      <c r="I217" s="8"/>
      <c r="J217" s="8"/>
      <c r="K217" s="8">
        <v>400</v>
      </c>
      <c r="L217" s="18">
        <v>480</v>
      </c>
      <c r="M217" s="7">
        <f t="shared" si="3"/>
        <v>192000</v>
      </c>
      <c r="N217" s="4"/>
      <c r="O217" s="9"/>
    </row>
    <row r="218" spans="1:15" ht="20" customHeight="1" x14ac:dyDescent="0.2">
      <c r="A218" s="3">
        <v>214</v>
      </c>
      <c r="B218" s="19"/>
      <c r="C218" s="4" t="s">
        <v>6122</v>
      </c>
      <c r="D218" s="4" t="s">
        <v>5786</v>
      </c>
      <c r="E218" s="4" t="s">
        <v>110</v>
      </c>
      <c r="F218" s="8">
        <v>150</v>
      </c>
      <c r="G218" s="8">
        <v>80</v>
      </c>
      <c r="H218" s="8">
        <v>90</v>
      </c>
      <c r="I218" s="8"/>
      <c r="J218" s="8"/>
      <c r="K218" s="8">
        <v>80</v>
      </c>
      <c r="L218" s="18">
        <v>1348.2</v>
      </c>
      <c r="M218" s="7">
        <f t="shared" si="3"/>
        <v>107856</v>
      </c>
      <c r="N218" s="4" t="s">
        <v>6123</v>
      </c>
      <c r="O218" s="9"/>
    </row>
    <row r="219" spans="1:15" ht="20" customHeight="1" x14ac:dyDescent="0.2">
      <c r="A219" s="3">
        <v>215</v>
      </c>
      <c r="B219" s="19"/>
      <c r="C219" s="4" t="s">
        <v>6124</v>
      </c>
      <c r="D219" s="4" t="s">
        <v>5786</v>
      </c>
      <c r="E219" s="4" t="s">
        <v>110</v>
      </c>
      <c r="F219" s="8">
        <v>50</v>
      </c>
      <c r="G219" s="8">
        <v>50</v>
      </c>
      <c r="H219" s="8">
        <v>100</v>
      </c>
      <c r="I219" s="8"/>
      <c r="J219" s="8"/>
      <c r="K219" s="8">
        <v>150</v>
      </c>
      <c r="L219" s="18">
        <v>1348</v>
      </c>
      <c r="M219" s="7">
        <f t="shared" si="3"/>
        <v>202200</v>
      </c>
      <c r="N219" s="4" t="s">
        <v>6125</v>
      </c>
      <c r="O219" s="9"/>
    </row>
    <row r="220" spans="1:15" ht="20" customHeight="1" x14ac:dyDescent="0.2">
      <c r="A220" s="3">
        <v>216</v>
      </c>
      <c r="B220" s="19"/>
      <c r="C220" s="4" t="s">
        <v>6126</v>
      </c>
      <c r="D220" s="4" t="s">
        <v>5786</v>
      </c>
      <c r="E220" s="4" t="s">
        <v>110</v>
      </c>
      <c r="F220" s="8"/>
      <c r="G220" s="8"/>
      <c r="H220" s="8">
        <v>50</v>
      </c>
      <c r="I220" s="8"/>
      <c r="J220" s="8"/>
      <c r="K220" s="8">
        <v>70</v>
      </c>
      <c r="L220" s="18">
        <v>1498</v>
      </c>
      <c r="M220" s="7">
        <f t="shared" si="3"/>
        <v>104860</v>
      </c>
      <c r="N220" s="4" t="s">
        <v>6127</v>
      </c>
      <c r="O220" s="9"/>
    </row>
    <row r="221" spans="1:15" ht="20" customHeight="1" x14ac:dyDescent="0.2">
      <c r="A221" s="3">
        <v>217</v>
      </c>
      <c r="B221" s="19"/>
      <c r="C221" s="4" t="s">
        <v>6128</v>
      </c>
      <c r="D221" s="4" t="s">
        <v>5786</v>
      </c>
      <c r="E221" s="4" t="s">
        <v>110</v>
      </c>
      <c r="F221" s="8">
        <v>200</v>
      </c>
      <c r="G221" s="8">
        <v>200</v>
      </c>
      <c r="H221" s="8">
        <v>200</v>
      </c>
      <c r="I221" s="8"/>
      <c r="J221" s="8"/>
      <c r="K221" s="8">
        <v>350</v>
      </c>
      <c r="L221" s="18">
        <v>1348.2</v>
      </c>
      <c r="M221" s="7">
        <f t="shared" si="3"/>
        <v>471870</v>
      </c>
      <c r="N221" s="4" t="s">
        <v>6129</v>
      </c>
      <c r="O221" s="9"/>
    </row>
    <row r="222" spans="1:15" ht="20" customHeight="1" x14ac:dyDescent="0.2">
      <c r="A222" s="3">
        <v>218</v>
      </c>
      <c r="B222" s="19"/>
      <c r="C222" s="4" t="s">
        <v>6130</v>
      </c>
      <c r="D222" s="4" t="s">
        <v>5786</v>
      </c>
      <c r="E222" s="4" t="s">
        <v>110</v>
      </c>
      <c r="F222" s="8">
        <v>100</v>
      </c>
      <c r="G222" s="8">
        <v>100</v>
      </c>
      <c r="H222" s="8">
        <v>250</v>
      </c>
      <c r="I222" s="8"/>
      <c r="J222" s="8"/>
      <c r="K222" s="8">
        <v>400</v>
      </c>
      <c r="L222" s="18">
        <v>1348.2</v>
      </c>
      <c r="M222" s="7">
        <f t="shared" si="3"/>
        <v>539280</v>
      </c>
      <c r="N222" s="4" t="s">
        <v>6131</v>
      </c>
      <c r="O222" s="9"/>
    </row>
    <row r="223" spans="1:15" ht="20" customHeight="1" x14ac:dyDescent="0.2">
      <c r="A223" s="3">
        <v>219</v>
      </c>
      <c r="B223" s="19"/>
      <c r="C223" s="4" t="s">
        <v>6132</v>
      </c>
      <c r="D223" s="4" t="s">
        <v>5786</v>
      </c>
      <c r="E223" s="4" t="s">
        <v>110</v>
      </c>
      <c r="F223" s="8">
        <v>10</v>
      </c>
      <c r="G223" s="8">
        <v>10</v>
      </c>
      <c r="H223" s="8">
        <v>6</v>
      </c>
      <c r="I223" s="8"/>
      <c r="J223" s="8"/>
      <c r="K223" s="8">
        <v>16</v>
      </c>
      <c r="L223" s="18">
        <v>1078.56</v>
      </c>
      <c r="M223" s="7">
        <f t="shared" si="3"/>
        <v>17256.96</v>
      </c>
      <c r="N223" s="4" t="s">
        <v>6133</v>
      </c>
      <c r="O223" s="9"/>
    </row>
    <row r="224" spans="1:15" ht="20" customHeight="1" x14ac:dyDescent="0.2">
      <c r="A224" s="3">
        <v>220</v>
      </c>
      <c r="B224" s="19"/>
      <c r="C224" s="4" t="s">
        <v>6134</v>
      </c>
      <c r="D224" s="4" t="s">
        <v>5786</v>
      </c>
      <c r="E224" s="4" t="s">
        <v>110</v>
      </c>
      <c r="F224" s="8">
        <v>50</v>
      </c>
      <c r="G224" s="8">
        <v>50</v>
      </c>
      <c r="H224" s="8">
        <v>130</v>
      </c>
      <c r="I224" s="8"/>
      <c r="J224" s="8"/>
      <c r="K224" s="8">
        <v>130</v>
      </c>
      <c r="L224" s="18">
        <v>1078.56</v>
      </c>
      <c r="M224" s="7">
        <f t="shared" si="3"/>
        <v>140212.79999999999</v>
      </c>
      <c r="N224" s="4" t="s">
        <v>6135</v>
      </c>
      <c r="O224" s="9"/>
    </row>
    <row r="225" spans="1:15" ht="20" customHeight="1" x14ac:dyDescent="0.2">
      <c r="A225" s="3">
        <v>221</v>
      </c>
      <c r="B225" s="19"/>
      <c r="C225" s="4" t="s">
        <v>6136</v>
      </c>
      <c r="D225" s="4" t="s">
        <v>5786</v>
      </c>
      <c r="E225" s="4" t="s">
        <v>110</v>
      </c>
      <c r="F225" s="8">
        <v>120</v>
      </c>
      <c r="G225" s="8">
        <v>120</v>
      </c>
      <c r="H225" s="8">
        <v>50</v>
      </c>
      <c r="I225" s="8"/>
      <c r="J225" s="8"/>
      <c r="K225" s="8">
        <v>100</v>
      </c>
      <c r="L225" s="18">
        <v>1078.56</v>
      </c>
      <c r="M225" s="7">
        <f t="shared" si="3"/>
        <v>107856</v>
      </c>
      <c r="N225" s="4" t="s">
        <v>6137</v>
      </c>
      <c r="O225" s="9"/>
    </row>
    <row r="226" spans="1:15" ht="20" customHeight="1" x14ac:dyDescent="0.2">
      <c r="A226" s="3">
        <v>222</v>
      </c>
      <c r="B226" s="19"/>
      <c r="C226" s="4" t="s">
        <v>6138</v>
      </c>
      <c r="D226" s="4" t="s">
        <v>5786</v>
      </c>
      <c r="E226" s="4" t="s">
        <v>110</v>
      </c>
      <c r="F226" s="8"/>
      <c r="G226" s="8"/>
      <c r="H226" s="8"/>
      <c r="I226" s="8"/>
      <c r="J226" s="8"/>
      <c r="K226" s="8">
        <v>10</v>
      </c>
      <c r="L226" s="18">
        <v>1198.4000000000001</v>
      </c>
      <c r="M226" s="7">
        <f t="shared" si="3"/>
        <v>11984</v>
      </c>
      <c r="N226" s="4" t="s">
        <v>6139</v>
      </c>
      <c r="O226" s="9"/>
    </row>
    <row r="227" spans="1:15" ht="20" customHeight="1" x14ac:dyDescent="0.2">
      <c r="A227" s="3">
        <v>223</v>
      </c>
      <c r="B227" s="19"/>
      <c r="C227" s="4" t="s">
        <v>6140</v>
      </c>
      <c r="D227" s="4" t="s">
        <v>5786</v>
      </c>
      <c r="E227" s="4" t="s">
        <v>110</v>
      </c>
      <c r="F227" s="8">
        <v>80</v>
      </c>
      <c r="G227" s="8">
        <v>80</v>
      </c>
      <c r="H227" s="8">
        <v>100</v>
      </c>
      <c r="I227" s="8"/>
      <c r="J227" s="8"/>
      <c r="K227" s="8">
        <v>150</v>
      </c>
      <c r="L227" s="18">
        <v>588.5</v>
      </c>
      <c r="M227" s="7">
        <f t="shared" si="3"/>
        <v>88275</v>
      </c>
      <c r="N227" s="4" t="s">
        <v>6141</v>
      </c>
      <c r="O227" s="9"/>
    </row>
    <row r="228" spans="1:15" ht="20" customHeight="1" x14ac:dyDescent="0.2">
      <c r="A228" s="3">
        <v>224</v>
      </c>
      <c r="B228" s="19"/>
      <c r="C228" s="4" t="s">
        <v>6142</v>
      </c>
      <c r="D228" s="4" t="s">
        <v>5786</v>
      </c>
      <c r="E228" s="4" t="s">
        <v>265</v>
      </c>
      <c r="F228" s="8">
        <v>200</v>
      </c>
      <c r="G228" s="8">
        <v>200</v>
      </c>
      <c r="H228" s="8">
        <v>100</v>
      </c>
      <c r="I228" s="8"/>
      <c r="J228" s="8"/>
      <c r="K228" s="8">
        <v>150</v>
      </c>
      <c r="L228" s="18">
        <v>267.75</v>
      </c>
      <c r="M228" s="7">
        <f t="shared" si="3"/>
        <v>40162.5</v>
      </c>
      <c r="N228" s="4" t="s">
        <v>6143</v>
      </c>
      <c r="O228" s="9"/>
    </row>
    <row r="229" spans="1:15" ht="20" customHeight="1" x14ac:dyDescent="0.2">
      <c r="A229" s="3">
        <v>225</v>
      </c>
      <c r="B229" s="19"/>
      <c r="C229" s="4" t="s">
        <v>6144</v>
      </c>
      <c r="D229" s="4" t="s">
        <v>5786</v>
      </c>
      <c r="E229" s="4" t="s">
        <v>267</v>
      </c>
      <c r="F229" s="8">
        <v>50</v>
      </c>
      <c r="G229" s="8">
        <v>50</v>
      </c>
      <c r="H229" s="8"/>
      <c r="I229" s="8"/>
      <c r="J229" s="8"/>
      <c r="K229" s="8">
        <v>50</v>
      </c>
      <c r="L229" s="18">
        <v>267.5</v>
      </c>
      <c r="M229" s="7">
        <f t="shared" si="3"/>
        <v>13375</v>
      </c>
      <c r="N229" s="4" t="s">
        <v>6145</v>
      </c>
      <c r="O229" s="9"/>
    </row>
    <row r="230" spans="1:15" ht="20" customHeight="1" x14ac:dyDescent="0.2">
      <c r="A230" s="3">
        <v>226</v>
      </c>
      <c r="B230" s="19"/>
      <c r="C230" s="4" t="s">
        <v>6146</v>
      </c>
      <c r="D230" s="4" t="s">
        <v>5786</v>
      </c>
      <c r="E230" s="4" t="s">
        <v>110</v>
      </c>
      <c r="F230" s="8">
        <v>20</v>
      </c>
      <c r="G230" s="8">
        <v>80</v>
      </c>
      <c r="H230" s="8">
        <v>140</v>
      </c>
      <c r="I230" s="8"/>
      <c r="J230" s="8"/>
      <c r="K230" s="8">
        <v>240</v>
      </c>
      <c r="L230" s="18">
        <v>556.4</v>
      </c>
      <c r="M230" s="7">
        <f t="shared" si="3"/>
        <v>133536</v>
      </c>
      <c r="N230" s="4" t="s">
        <v>6147</v>
      </c>
      <c r="O230" s="9"/>
    </row>
    <row r="231" spans="1:15" ht="20" customHeight="1" x14ac:dyDescent="0.2">
      <c r="A231" s="3">
        <v>227</v>
      </c>
      <c r="B231" s="19"/>
      <c r="C231" s="4" t="s">
        <v>6148</v>
      </c>
      <c r="D231" s="4" t="s">
        <v>5786</v>
      </c>
      <c r="E231" s="4" t="s">
        <v>152</v>
      </c>
      <c r="F231" s="8">
        <v>2600</v>
      </c>
      <c r="G231" s="8">
        <v>2600</v>
      </c>
      <c r="H231" s="8">
        <v>2900</v>
      </c>
      <c r="I231" s="8"/>
      <c r="J231" s="8"/>
      <c r="K231" s="8">
        <v>3000</v>
      </c>
      <c r="L231" s="18">
        <v>200</v>
      </c>
      <c r="M231" s="7">
        <f t="shared" si="3"/>
        <v>600000</v>
      </c>
      <c r="N231" s="4" t="s">
        <v>6149</v>
      </c>
      <c r="O231" s="9"/>
    </row>
    <row r="232" spans="1:15" ht="20" customHeight="1" x14ac:dyDescent="0.2">
      <c r="A232" s="3">
        <v>228</v>
      </c>
      <c r="B232" s="19"/>
      <c r="C232" s="4" t="s">
        <v>6150</v>
      </c>
      <c r="D232" s="4" t="s">
        <v>5786</v>
      </c>
      <c r="E232" s="4" t="s">
        <v>152</v>
      </c>
      <c r="F232" s="8">
        <v>50</v>
      </c>
      <c r="G232" s="8">
        <v>50</v>
      </c>
      <c r="H232" s="8"/>
      <c r="I232" s="8"/>
      <c r="J232" s="8"/>
      <c r="K232" s="8">
        <v>10</v>
      </c>
      <c r="L232" s="18">
        <v>270</v>
      </c>
      <c r="M232" s="7">
        <f t="shared" si="3"/>
        <v>2700</v>
      </c>
      <c r="N232" s="4" t="s">
        <v>6151</v>
      </c>
      <c r="O232" s="9"/>
    </row>
    <row r="233" spans="1:15" ht="20" customHeight="1" x14ac:dyDescent="0.2">
      <c r="A233" s="3">
        <v>229</v>
      </c>
      <c r="B233" s="19"/>
      <c r="C233" s="4" t="s">
        <v>6152</v>
      </c>
      <c r="D233" s="4" t="s">
        <v>5786</v>
      </c>
      <c r="E233" s="4" t="s">
        <v>152</v>
      </c>
      <c r="F233" s="8">
        <v>20</v>
      </c>
      <c r="G233" s="8">
        <v>20</v>
      </c>
      <c r="H233" s="8"/>
      <c r="I233" s="8">
        <v>10</v>
      </c>
      <c r="J233" s="8"/>
      <c r="K233" s="8">
        <v>0</v>
      </c>
      <c r="L233" s="18">
        <v>250</v>
      </c>
      <c r="M233" s="7">
        <f t="shared" si="3"/>
        <v>0</v>
      </c>
      <c r="N233" s="4" t="s">
        <v>6153</v>
      </c>
      <c r="O233" s="9"/>
    </row>
    <row r="234" spans="1:15" ht="20" customHeight="1" x14ac:dyDescent="0.2">
      <c r="A234" s="3">
        <v>230</v>
      </c>
      <c r="B234" s="19"/>
      <c r="C234" s="4" t="s">
        <v>6154</v>
      </c>
      <c r="D234" s="4" t="s">
        <v>5786</v>
      </c>
      <c r="E234" s="4" t="s">
        <v>152</v>
      </c>
      <c r="F234" s="8">
        <v>360</v>
      </c>
      <c r="G234" s="8">
        <v>360</v>
      </c>
      <c r="H234" s="8">
        <v>450</v>
      </c>
      <c r="I234" s="8"/>
      <c r="J234" s="8"/>
      <c r="K234" s="8">
        <v>450</v>
      </c>
      <c r="L234" s="18">
        <v>107</v>
      </c>
      <c r="M234" s="7">
        <f t="shared" si="3"/>
        <v>48150</v>
      </c>
      <c r="N234" s="4"/>
      <c r="O234" s="9"/>
    </row>
    <row r="235" spans="1:15" ht="20" customHeight="1" x14ac:dyDescent="0.2">
      <c r="A235" s="3">
        <v>231</v>
      </c>
      <c r="B235" s="19"/>
      <c r="C235" s="4" t="s">
        <v>6155</v>
      </c>
      <c r="D235" s="4" t="s">
        <v>5786</v>
      </c>
      <c r="E235" s="4" t="s">
        <v>196</v>
      </c>
      <c r="F235" s="8">
        <v>21000</v>
      </c>
      <c r="G235" s="8">
        <v>20000</v>
      </c>
      <c r="H235" s="8">
        <v>33000</v>
      </c>
      <c r="I235" s="8">
        <v>5500</v>
      </c>
      <c r="J235" s="8"/>
      <c r="K235" s="8">
        <v>32000</v>
      </c>
      <c r="L235" s="18">
        <v>53</v>
      </c>
      <c r="M235" s="7">
        <f t="shared" si="3"/>
        <v>1696000</v>
      </c>
      <c r="N235" s="4" t="s">
        <v>6156</v>
      </c>
      <c r="O235" s="9"/>
    </row>
    <row r="236" spans="1:15" ht="20" customHeight="1" x14ac:dyDescent="0.2">
      <c r="A236" s="3">
        <v>232</v>
      </c>
      <c r="B236" s="19"/>
      <c r="C236" s="4" t="s">
        <v>6157</v>
      </c>
      <c r="D236" s="4" t="s">
        <v>5786</v>
      </c>
      <c r="E236" s="4" t="s">
        <v>196</v>
      </c>
      <c r="F236" s="8">
        <v>45</v>
      </c>
      <c r="G236" s="8">
        <v>45</v>
      </c>
      <c r="H236" s="8"/>
      <c r="I236" s="8"/>
      <c r="J236" s="8"/>
      <c r="K236" s="8">
        <v>20</v>
      </c>
      <c r="L236" s="18">
        <v>2000</v>
      </c>
      <c r="M236" s="7">
        <f t="shared" si="3"/>
        <v>40000</v>
      </c>
      <c r="N236" s="4"/>
      <c r="O236" s="9"/>
    </row>
    <row r="237" spans="1:15" ht="20" customHeight="1" x14ac:dyDescent="0.2">
      <c r="A237" s="3">
        <v>233</v>
      </c>
      <c r="B237" s="19"/>
      <c r="C237" s="4" t="s">
        <v>6158</v>
      </c>
      <c r="D237" s="4" t="s">
        <v>5786</v>
      </c>
      <c r="E237" s="4" t="s">
        <v>196</v>
      </c>
      <c r="F237" s="8">
        <v>20</v>
      </c>
      <c r="G237" s="8">
        <v>20</v>
      </c>
      <c r="H237" s="8">
        <v>12</v>
      </c>
      <c r="I237" s="8"/>
      <c r="J237" s="8"/>
      <c r="K237" s="8">
        <v>20</v>
      </c>
      <c r="L237" s="18">
        <v>2000</v>
      </c>
      <c r="M237" s="7">
        <f t="shared" si="3"/>
        <v>40000</v>
      </c>
      <c r="N237" s="4"/>
      <c r="O237" s="9"/>
    </row>
    <row r="238" spans="1:15" ht="20" customHeight="1" x14ac:dyDescent="0.2">
      <c r="A238" s="3">
        <v>234</v>
      </c>
      <c r="B238" s="19"/>
      <c r="C238" s="4" t="s">
        <v>6159</v>
      </c>
      <c r="D238" s="4" t="s">
        <v>5786</v>
      </c>
      <c r="E238" s="4" t="s">
        <v>271</v>
      </c>
      <c r="F238" s="8"/>
      <c r="G238" s="8"/>
      <c r="H238" s="8">
        <v>100</v>
      </c>
      <c r="I238" s="8"/>
      <c r="J238" s="8"/>
      <c r="K238" s="8">
        <v>100</v>
      </c>
      <c r="L238" s="18">
        <v>330</v>
      </c>
      <c r="M238" s="7">
        <f t="shared" si="3"/>
        <v>33000</v>
      </c>
      <c r="N238" s="4"/>
      <c r="O238" s="9"/>
    </row>
    <row r="239" spans="1:15" ht="20" customHeight="1" x14ac:dyDescent="0.2">
      <c r="A239" s="3">
        <v>235</v>
      </c>
      <c r="B239" s="19"/>
      <c r="C239" s="4" t="s">
        <v>6160</v>
      </c>
      <c r="D239" s="4" t="s">
        <v>5786</v>
      </c>
      <c r="E239" s="4" t="s">
        <v>271</v>
      </c>
      <c r="F239" s="8"/>
      <c r="G239" s="8"/>
      <c r="H239" s="8">
        <v>50</v>
      </c>
      <c r="I239" s="8">
        <v>30</v>
      </c>
      <c r="J239" s="8"/>
      <c r="K239" s="8">
        <v>100</v>
      </c>
      <c r="L239" s="18">
        <v>57</v>
      </c>
      <c r="M239" s="7">
        <f t="shared" si="3"/>
        <v>5700</v>
      </c>
      <c r="N239" s="4" t="s">
        <v>6161</v>
      </c>
      <c r="O239" s="9"/>
    </row>
    <row r="240" spans="1:15" ht="20" customHeight="1" x14ac:dyDescent="0.2">
      <c r="A240" s="3">
        <v>236</v>
      </c>
      <c r="B240" s="19"/>
      <c r="C240" s="4" t="s">
        <v>6162</v>
      </c>
      <c r="D240" s="4" t="s">
        <v>5786</v>
      </c>
      <c r="E240" s="4" t="s">
        <v>271</v>
      </c>
      <c r="F240" s="8">
        <v>100</v>
      </c>
      <c r="G240" s="8">
        <v>300</v>
      </c>
      <c r="H240" s="8">
        <v>100</v>
      </c>
      <c r="I240" s="8">
        <v>200</v>
      </c>
      <c r="J240" s="8"/>
      <c r="K240" s="8">
        <v>100</v>
      </c>
      <c r="L240" s="18">
        <v>57</v>
      </c>
      <c r="M240" s="7">
        <f t="shared" si="3"/>
        <v>5700</v>
      </c>
      <c r="N240" s="4" t="s">
        <v>6163</v>
      </c>
      <c r="O240" s="9"/>
    </row>
    <row r="241" spans="1:15" ht="20" customHeight="1" x14ac:dyDescent="0.2">
      <c r="A241" s="3">
        <v>237</v>
      </c>
      <c r="B241" s="19"/>
      <c r="C241" s="4" t="s">
        <v>6164</v>
      </c>
      <c r="D241" s="4" t="s">
        <v>5786</v>
      </c>
      <c r="E241" s="4" t="s">
        <v>271</v>
      </c>
      <c r="F241" s="8">
        <v>300</v>
      </c>
      <c r="G241" s="8">
        <v>400</v>
      </c>
      <c r="H241" s="8">
        <v>200</v>
      </c>
      <c r="I241" s="8">
        <v>210</v>
      </c>
      <c r="J241" s="8"/>
      <c r="K241" s="8">
        <v>100</v>
      </c>
      <c r="L241" s="18">
        <v>57</v>
      </c>
      <c r="M241" s="7">
        <f t="shared" si="3"/>
        <v>5700</v>
      </c>
      <c r="N241" s="4" t="s">
        <v>6165</v>
      </c>
      <c r="O241" s="9"/>
    </row>
    <row r="242" spans="1:15" ht="20" customHeight="1" x14ac:dyDescent="0.2">
      <c r="A242" s="3">
        <v>238</v>
      </c>
      <c r="B242" s="19"/>
      <c r="C242" s="4" t="s">
        <v>6166</v>
      </c>
      <c r="D242" s="4" t="s">
        <v>5786</v>
      </c>
      <c r="E242" s="4" t="s">
        <v>271</v>
      </c>
      <c r="F242" s="8">
        <v>600</v>
      </c>
      <c r="G242" s="8">
        <v>400</v>
      </c>
      <c r="H242" s="8">
        <v>350</v>
      </c>
      <c r="I242" s="8">
        <v>140</v>
      </c>
      <c r="J242" s="8"/>
      <c r="K242" s="8">
        <v>200</v>
      </c>
      <c r="L242" s="18">
        <v>57</v>
      </c>
      <c r="M242" s="7">
        <f t="shared" si="3"/>
        <v>11400</v>
      </c>
      <c r="N242" s="4" t="s">
        <v>6167</v>
      </c>
      <c r="O242" s="9"/>
    </row>
    <row r="243" spans="1:15" ht="20" customHeight="1" x14ac:dyDescent="0.2">
      <c r="A243" s="3">
        <v>239</v>
      </c>
      <c r="B243" s="19"/>
      <c r="C243" s="4" t="s">
        <v>6168</v>
      </c>
      <c r="D243" s="4" t="s">
        <v>5786</v>
      </c>
      <c r="E243" s="4" t="s">
        <v>271</v>
      </c>
      <c r="F243" s="8"/>
      <c r="G243" s="8"/>
      <c r="H243" s="8">
        <v>300</v>
      </c>
      <c r="I243" s="8"/>
      <c r="J243" s="8"/>
      <c r="K243" s="8">
        <v>300</v>
      </c>
      <c r="L243" s="18">
        <v>57</v>
      </c>
      <c r="M243" s="7">
        <f t="shared" si="3"/>
        <v>17100</v>
      </c>
      <c r="N243" s="4" t="s">
        <v>6169</v>
      </c>
      <c r="O243" s="9"/>
    </row>
    <row r="244" spans="1:15" ht="20" customHeight="1" x14ac:dyDescent="0.2">
      <c r="A244" s="3">
        <v>240</v>
      </c>
      <c r="B244" s="19"/>
      <c r="C244" s="4" t="s">
        <v>6170</v>
      </c>
      <c r="D244" s="4" t="s">
        <v>5786</v>
      </c>
      <c r="E244" s="4" t="s">
        <v>271</v>
      </c>
      <c r="F244" s="8"/>
      <c r="G244" s="8"/>
      <c r="H244" s="8">
        <v>200</v>
      </c>
      <c r="I244" s="8">
        <v>30</v>
      </c>
      <c r="J244" s="8"/>
      <c r="K244" s="8">
        <v>220</v>
      </c>
      <c r="L244" s="18">
        <v>57</v>
      </c>
      <c r="M244" s="7">
        <f t="shared" si="3"/>
        <v>12540</v>
      </c>
      <c r="N244" s="4" t="s">
        <v>6171</v>
      </c>
      <c r="O244" s="9"/>
    </row>
    <row r="245" spans="1:15" ht="20" customHeight="1" x14ac:dyDescent="0.2">
      <c r="A245" s="3">
        <v>241</v>
      </c>
      <c r="B245" s="19"/>
      <c r="C245" s="4" t="s">
        <v>6172</v>
      </c>
      <c r="D245" s="4" t="s">
        <v>5786</v>
      </c>
      <c r="E245" s="4" t="s">
        <v>271</v>
      </c>
      <c r="F245" s="8"/>
      <c r="G245" s="8">
        <v>50</v>
      </c>
      <c r="H245" s="8">
        <v>80</v>
      </c>
      <c r="I245" s="8"/>
      <c r="J245" s="8"/>
      <c r="K245" s="8">
        <v>100</v>
      </c>
      <c r="L245" s="18">
        <v>53.5</v>
      </c>
      <c r="M245" s="7">
        <f t="shared" si="3"/>
        <v>5350</v>
      </c>
      <c r="N245" s="4" t="s">
        <v>6173</v>
      </c>
      <c r="O245" s="9"/>
    </row>
    <row r="246" spans="1:15" ht="20" customHeight="1" x14ac:dyDescent="0.2">
      <c r="A246" s="3">
        <v>242</v>
      </c>
      <c r="B246" s="19"/>
      <c r="C246" s="4" t="s">
        <v>6174</v>
      </c>
      <c r="D246" s="4" t="s">
        <v>5786</v>
      </c>
      <c r="E246" s="4" t="s">
        <v>271</v>
      </c>
      <c r="F246" s="8">
        <v>50</v>
      </c>
      <c r="G246" s="8">
        <v>50</v>
      </c>
      <c r="H246" s="8">
        <v>50</v>
      </c>
      <c r="I246" s="8"/>
      <c r="J246" s="8"/>
      <c r="K246" s="8">
        <v>60</v>
      </c>
      <c r="L246" s="18">
        <v>57</v>
      </c>
      <c r="M246" s="7">
        <f t="shared" si="3"/>
        <v>3420</v>
      </c>
      <c r="N246" s="4" t="s">
        <v>6175</v>
      </c>
      <c r="O246" s="9"/>
    </row>
    <row r="247" spans="1:15" ht="20" customHeight="1" x14ac:dyDescent="0.2">
      <c r="A247" s="3">
        <v>243</v>
      </c>
      <c r="B247" s="19"/>
      <c r="C247" s="4" t="s">
        <v>6176</v>
      </c>
      <c r="D247" s="4" t="s">
        <v>5786</v>
      </c>
      <c r="E247" s="4" t="s">
        <v>271</v>
      </c>
      <c r="F247" s="8"/>
      <c r="G247" s="8">
        <v>100</v>
      </c>
      <c r="H247" s="8">
        <v>80</v>
      </c>
      <c r="I247" s="8"/>
      <c r="J247" s="8"/>
      <c r="K247" s="8">
        <v>100</v>
      </c>
      <c r="L247" s="18">
        <v>53.5</v>
      </c>
      <c r="M247" s="7">
        <f t="shared" si="3"/>
        <v>5350</v>
      </c>
      <c r="N247" s="4" t="s">
        <v>6177</v>
      </c>
      <c r="O247" s="9"/>
    </row>
    <row r="248" spans="1:15" ht="20" customHeight="1" x14ac:dyDescent="0.2">
      <c r="A248" s="3">
        <v>244</v>
      </c>
      <c r="B248" s="19"/>
      <c r="C248" s="4" t="s">
        <v>6178</v>
      </c>
      <c r="D248" s="4" t="s">
        <v>5786</v>
      </c>
      <c r="E248" s="4" t="s">
        <v>271</v>
      </c>
      <c r="F248" s="8"/>
      <c r="G248" s="8"/>
      <c r="H248" s="8">
        <v>50</v>
      </c>
      <c r="I248" s="8"/>
      <c r="J248" s="8"/>
      <c r="K248" s="8">
        <v>50</v>
      </c>
      <c r="L248" s="18">
        <v>57</v>
      </c>
      <c r="M248" s="7">
        <f t="shared" si="3"/>
        <v>2850</v>
      </c>
      <c r="N248" s="4" t="s">
        <v>6179</v>
      </c>
      <c r="O248" s="9"/>
    </row>
    <row r="249" spans="1:15" ht="20" customHeight="1" x14ac:dyDescent="0.2">
      <c r="A249" s="3">
        <v>245</v>
      </c>
      <c r="B249" s="19"/>
      <c r="C249" s="4" t="s">
        <v>6180</v>
      </c>
      <c r="D249" s="4" t="s">
        <v>5786</v>
      </c>
      <c r="E249" s="4" t="s">
        <v>271</v>
      </c>
      <c r="F249" s="8"/>
      <c r="G249" s="8"/>
      <c r="H249" s="8">
        <v>80</v>
      </c>
      <c r="I249" s="8">
        <v>30</v>
      </c>
      <c r="J249" s="8"/>
      <c r="K249" s="8">
        <v>50</v>
      </c>
      <c r="L249" s="18">
        <v>53.5</v>
      </c>
      <c r="M249" s="7">
        <f t="shared" si="3"/>
        <v>2675</v>
      </c>
      <c r="N249" s="4" t="s">
        <v>6181</v>
      </c>
      <c r="O249" s="9"/>
    </row>
    <row r="250" spans="1:15" ht="20" customHeight="1" x14ac:dyDescent="0.2">
      <c r="A250" s="3">
        <v>246</v>
      </c>
      <c r="B250" s="19"/>
      <c r="C250" s="4" t="s">
        <v>6182</v>
      </c>
      <c r="D250" s="4" t="s">
        <v>5786</v>
      </c>
      <c r="E250" s="4" t="s">
        <v>271</v>
      </c>
      <c r="F250" s="8"/>
      <c r="G250" s="8">
        <v>100</v>
      </c>
      <c r="H250" s="8">
        <v>100</v>
      </c>
      <c r="I250" s="8"/>
      <c r="J250" s="8"/>
      <c r="K250" s="8">
        <v>100</v>
      </c>
      <c r="L250" s="18">
        <v>53.5</v>
      </c>
      <c r="M250" s="7">
        <f t="shared" si="3"/>
        <v>5350</v>
      </c>
      <c r="N250" s="4" t="s">
        <v>6183</v>
      </c>
      <c r="O250" s="9"/>
    </row>
    <row r="251" spans="1:15" ht="20" customHeight="1" x14ac:dyDescent="0.2">
      <c r="A251" s="3">
        <v>247</v>
      </c>
      <c r="B251" s="19"/>
      <c r="C251" s="4" t="s">
        <v>6184</v>
      </c>
      <c r="D251" s="4" t="s">
        <v>5786</v>
      </c>
      <c r="E251" s="4" t="s">
        <v>271</v>
      </c>
      <c r="F251" s="8"/>
      <c r="G251" s="8">
        <v>300</v>
      </c>
      <c r="H251" s="8">
        <v>2500</v>
      </c>
      <c r="I251" s="8"/>
      <c r="J251" s="8"/>
      <c r="K251" s="8">
        <v>2600</v>
      </c>
      <c r="L251" s="18">
        <v>53.5</v>
      </c>
      <c r="M251" s="7">
        <f t="shared" si="3"/>
        <v>139100</v>
      </c>
      <c r="N251" s="4" t="s">
        <v>6185</v>
      </c>
      <c r="O251" s="9"/>
    </row>
    <row r="252" spans="1:15" ht="20" customHeight="1" x14ac:dyDescent="0.2">
      <c r="A252" s="3">
        <v>248</v>
      </c>
      <c r="B252" s="19"/>
      <c r="C252" s="4" t="s">
        <v>6186</v>
      </c>
      <c r="D252" s="4" t="s">
        <v>5786</v>
      </c>
      <c r="E252" s="4" t="s">
        <v>271</v>
      </c>
      <c r="F252" s="8">
        <v>1200</v>
      </c>
      <c r="G252" s="8">
        <v>1500</v>
      </c>
      <c r="H252" s="8">
        <v>4300</v>
      </c>
      <c r="I252" s="8"/>
      <c r="J252" s="8"/>
      <c r="K252" s="8">
        <v>4500</v>
      </c>
      <c r="L252" s="18">
        <v>53.5</v>
      </c>
      <c r="M252" s="7">
        <f t="shared" si="3"/>
        <v>240750</v>
      </c>
      <c r="N252" s="4" t="s">
        <v>6187</v>
      </c>
      <c r="O252" s="9"/>
    </row>
    <row r="253" spans="1:15" ht="20" customHeight="1" x14ac:dyDescent="0.2">
      <c r="A253" s="3">
        <v>249</v>
      </c>
      <c r="B253" s="19"/>
      <c r="C253" s="4" t="s">
        <v>6188</v>
      </c>
      <c r="D253" s="4" t="s">
        <v>5786</v>
      </c>
      <c r="E253" s="4" t="s">
        <v>271</v>
      </c>
      <c r="F253" s="8">
        <v>250</v>
      </c>
      <c r="G253" s="8">
        <v>200</v>
      </c>
      <c r="H253" s="8">
        <v>2200</v>
      </c>
      <c r="I253" s="8">
        <v>500</v>
      </c>
      <c r="J253" s="8"/>
      <c r="K253" s="8">
        <v>2000</v>
      </c>
      <c r="L253" s="18">
        <v>53.5</v>
      </c>
      <c r="M253" s="7">
        <f t="shared" si="3"/>
        <v>107000</v>
      </c>
      <c r="N253" s="4" t="s">
        <v>6189</v>
      </c>
      <c r="O253" s="9"/>
    </row>
    <row r="254" spans="1:15" ht="20" customHeight="1" x14ac:dyDescent="0.2">
      <c r="A254" s="3">
        <v>250</v>
      </c>
      <c r="B254" s="19"/>
      <c r="C254" s="4" t="s">
        <v>6190</v>
      </c>
      <c r="D254" s="4" t="s">
        <v>5786</v>
      </c>
      <c r="E254" s="4" t="s">
        <v>271</v>
      </c>
      <c r="F254" s="8">
        <v>20</v>
      </c>
      <c r="G254" s="8">
        <v>20</v>
      </c>
      <c r="H254" s="8">
        <v>30</v>
      </c>
      <c r="I254" s="8">
        <v>20</v>
      </c>
      <c r="J254" s="8"/>
      <c r="K254" s="8">
        <v>10</v>
      </c>
      <c r="L254" s="18">
        <v>53.5</v>
      </c>
      <c r="M254" s="7">
        <f t="shared" si="3"/>
        <v>535</v>
      </c>
      <c r="N254" s="4" t="s">
        <v>6191</v>
      </c>
      <c r="O254" s="9"/>
    </row>
    <row r="255" spans="1:15" ht="20" customHeight="1" x14ac:dyDescent="0.2">
      <c r="A255" s="3">
        <v>251</v>
      </c>
      <c r="B255" s="19"/>
      <c r="C255" s="4" t="s">
        <v>6192</v>
      </c>
      <c r="D255" s="4" t="s">
        <v>5786</v>
      </c>
      <c r="E255" s="4" t="s">
        <v>152</v>
      </c>
      <c r="F255" s="8"/>
      <c r="G255" s="8"/>
      <c r="H255" s="8"/>
      <c r="I255" s="8"/>
      <c r="J255" s="8"/>
      <c r="K255" s="8">
        <v>5</v>
      </c>
      <c r="L255" s="18">
        <v>650</v>
      </c>
      <c r="M255" s="7">
        <f t="shared" si="3"/>
        <v>3250</v>
      </c>
      <c r="N255" s="4" t="s">
        <v>6193</v>
      </c>
      <c r="O255" s="9"/>
    </row>
    <row r="256" spans="1:15" ht="20" customHeight="1" x14ac:dyDescent="0.2">
      <c r="A256" s="3">
        <v>252</v>
      </c>
      <c r="B256" s="19"/>
      <c r="C256" s="4" t="s">
        <v>6194</v>
      </c>
      <c r="D256" s="4" t="s">
        <v>5786</v>
      </c>
      <c r="E256" s="4" t="s">
        <v>152</v>
      </c>
      <c r="F256" s="8"/>
      <c r="G256" s="8"/>
      <c r="H256" s="8"/>
      <c r="I256" s="8"/>
      <c r="J256" s="8"/>
      <c r="K256" s="8">
        <v>10</v>
      </c>
      <c r="L256" s="18">
        <v>160</v>
      </c>
      <c r="M256" s="7">
        <f t="shared" si="3"/>
        <v>1600</v>
      </c>
      <c r="N256" s="4" t="s">
        <v>6195</v>
      </c>
      <c r="O256" s="9"/>
    </row>
    <row r="257" spans="1:15" ht="20" customHeight="1" x14ac:dyDescent="0.2">
      <c r="A257" s="3">
        <v>253</v>
      </c>
      <c r="B257" s="19"/>
      <c r="C257" s="4" t="s">
        <v>6196</v>
      </c>
      <c r="D257" s="4" t="s">
        <v>5786</v>
      </c>
      <c r="E257" s="4" t="s">
        <v>152</v>
      </c>
      <c r="F257" s="8"/>
      <c r="G257" s="8"/>
      <c r="H257" s="8"/>
      <c r="I257" s="8">
        <v>2</v>
      </c>
      <c r="J257" s="8"/>
      <c r="K257" s="8">
        <v>5</v>
      </c>
      <c r="L257" s="18">
        <v>160</v>
      </c>
      <c r="M257" s="7">
        <f t="shared" si="3"/>
        <v>800</v>
      </c>
      <c r="N257" s="4" t="s">
        <v>6197</v>
      </c>
      <c r="O257" s="9"/>
    </row>
    <row r="258" spans="1:15" ht="20" customHeight="1" x14ac:dyDescent="0.2">
      <c r="A258" s="3">
        <v>254</v>
      </c>
      <c r="B258" s="19"/>
      <c r="C258" s="4" t="s">
        <v>6198</v>
      </c>
      <c r="D258" s="4" t="s">
        <v>5786</v>
      </c>
      <c r="E258" s="4" t="s">
        <v>152</v>
      </c>
      <c r="F258" s="8"/>
      <c r="G258" s="8"/>
      <c r="H258" s="8"/>
      <c r="I258" s="8"/>
      <c r="J258" s="8"/>
      <c r="K258" s="8">
        <v>10</v>
      </c>
      <c r="L258" s="18">
        <v>160</v>
      </c>
      <c r="M258" s="7">
        <f t="shared" si="3"/>
        <v>1600</v>
      </c>
      <c r="N258" s="4" t="s">
        <v>6199</v>
      </c>
      <c r="O258" s="9"/>
    </row>
    <row r="259" spans="1:15" ht="20" customHeight="1" x14ac:dyDescent="0.2">
      <c r="A259" s="3">
        <v>255</v>
      </c>
      <c r="B259" s="19"/>
      <c r="C259" s="4" t="s">
        <v>6200</v>
      </c>
      <c r="D259" s="4" t="s">
        <v>5786</v>
      </c>
      <c r="E259" s="4" t="s">
        <v>152</v>
      </c>
      <c r="F259" s="8">
        <v>200</v>
      </c>
      <c r="G259" s="8">
        <v>200</v>
      </c>
      <c r="H259" s="8">
        <v>420</v>
      </c>
      <c r="I259" s="8">
        <v>37</v>
      </c>
      <c r="J259" s="8"/>
      <c r="K259" s="8">
        <v>400</v>
      </c>
      <c r="L259" s="18">
        <v>145</v>
      </c>
      <c r="M259" s="7">
        <f t="shared" si="3"/>
        <v>58000</v>
      </c>
      <c r="N259" s="4" t="s">
        <v>6201</v>
      </c>
      <c r="O259" s="9"/>
    </row>
    <row r="260" spans="1:15" ht="20" customHeight="1" x14ac:dyDescent="0.2">
      <c r="A260" s="3">
        <v>256</v>
      </c>
      <c r="B260" s="19"/>
      <c r="C260" s="4" t="s">
        <v>6202</v>
      </c>
      <c r="D260" s="4" t="s">
        <v>5786</v>
      </c>
      <c r="E260" s="4" t="s">
        <v>271</v>
      </c>
      <c r="F260" s="8"/>
      <c r="G260" s="8">
        <v>10</v>
      </c>
      <c r="H260" s="8"/>
      <c r="I260" s="8">
        <v>8</v>
      </c>
      <c r="J260" s="8"/>
      <c r="K260" s="8">
        <v>0</v>
      </c>
      <c r="L260" s="18">
        <v>1980</v>
      </c>
      <c r="M260" s="7">
        <f t="shared" si="3"/>
        <v>0</v>
      </c>
      <c r="N260" s="4" t="s">
        <v>6203</v>
      </c>
      <c r="O260" s="9"/>
    </row>
    <row r="261" spans="1:15" ht="20" customHeight="1" x14ac:dyDescent="0.2">
      <c r="A261" s="3">
        <v>257</v>
      </c>
      <c r="B261" s="19"/>
      <c r="C261" s="4" t="s">
        <v>6204</v>
      </c>
      <c r="D261" s="4" t="s">
        <v>5786</v>
      </c>
      <c r="E261" s="4" t="s">
        <v>271</v>
      </c>
      <c r="F261" s="8">
        <v>5</v>
      </c>
      <c r="G261" s="8">
        <v>5</v>
      </c>
      <c r="H261" s="8"/>
      <c r="I261" s="8"/>
      <c r="J261" s="8"/>
      <c r="K261" s="8">
        <v>0</v>
      </c>
      <c r="L261" s="18">
        <v>2300</v>
      </c>
      <c r="M261" s="7">
        <f t="shared" ref="M261:M324" si="4">IF(OR(K261="",L261=""),"",K261*L261)</f>
        <v>0</v>
      </c>
      <c r="N261" s="4" t="s">
        <v>6205</v>
      </c>
      <c r="O261" s="9"/>
    </row>
    <row r="262" spans="1:15" ht="20" customHeight="1" x14ac:dyDescent="0.2">
      <c r="A262" s="3">
        <v>258</v>
      </c>
      <c r="B262" s="19"/>
      <c r="C262" s="4" t="s">
        <v>6206</v>
      </c>
      <c r="D262" s="4" t="s">
        <v>5786</v>
      </c>
      <c r="E262" s="4" t="s">
        <v>271</v>
      </c>
      <c r="F262" s="8"/>
      <c r="G262" s="8">
        <v>28</v>
      </c>
      <c r="H262" s="8"/>
      <c r="I262" s="8">
        <v>28</v>
      </c>
      <c r="J262" s="8"/>
      <c r="K262" s="8">
        <v>0</v>
      </c>
      <c r="L262" s="18">
        <v>1980</v>
      </c>
      <c r="M262" s="7">
        <f t="shared" si="4"/>
        <v>0</v>
      </c>
      <c r="N262" s="4" t="s">
        <v>6207</v>
      </c>
      <c r="O262" s="9"/>
    </row>
    <row r="263" spans="1:15" ht="20" customHeight="1" x14ac:dyDescent="0.2">
      <c r="A263" s="3">
        <v>259</v>
      </c>
      <c r="B263" s="19"/>
      <c r="C263" s="4" t="s">
        <v>6208</v>
      </c>
      <c r="D263" s="4" t="s">
        <v>5786</v>
      </c>
      <c r="E263" s="4" t="s">
        <v>271</v>
      </c>
      <c r="F263" s="8"/>
      <c r="G263" s="8">
        <v>38</v>
      </c>
      <c r="H263" s="8"/>
      <c r="I263" s="8">
        <v>38</v>
      </c>
      <c r="J263" s="8"/>
      <c r="K263" s="8">
        <v>0</v>
      </c>
      <c r="L263" s="18">
        <v>1980</v>
      </c>
      <c r="M263" s="7">
        <f t="shared" si="4"/>
        <v>0</v>
      </c>
      <c r="N263" s="4" t="s">
        <v>6209</v>
      </c>
      <c r="O263" s="9"/>
    </row>
    <row r="264" spans="1:15" ht="20" customHeight="1" x14ac:dyDescent="0.2">
      <c r="A264" s="3">
        <v>260</v>
      </c>
      <c r="B264" s="19"/>
      <c r="C264" s="4" t="s">
        <v>6210</v>
      </c>
      <c r="D264" s="4" t="s">
        <v>5786</v>
      </c>
      <c r="E264" s="4" t="s">
        <v>271</v>
      </c>
      <c r="F264" s="8"/>
      <c r="G264" s="8">
        <v>4</v>
      </c>
      <c r="H264" s="8"/>
      <c r="I264" s="8">
        <v>4</v>
      </c>
      <c r="J264" s="8"/>
      <c r="K264" s="8">
        <v>0</v>
      </c>
      <c r="L264" s="18">
        <v>875</v>
      </c>
      <c r="M264" s="7">
        <f t="shared" si="4"/>
        <v>0</v>
      </c>
      <c r="N264" s="4" t="s">
        <v>6211</v>
      </c>
      <c r="O264" s="9"/>
    </row>
    <row r="265" spans="1:15" ht="20" customHeight="1" x14ac:dyDescent="0.2">
      <c r="A265" s="3">
        <v>261</v>
      </c>
      <c r="B265" s="19"/>
      <c r="C265" s="4" t="s">
        <v>6212</v>
      </c>
      <c r="D265" s="4" t="s">
        <v>5786</v>
      </c>
      <c r="E265" s="4" t="s">
        <v>271</v>
      </c>
      <c r="F265" s="8"/>
      <c r="G265" s="8">
        <v>18</v>
      </c>
      <c r="H265" s="8"/>
      <c r="I265" s="8">
        <v>18</v>
      </c>
      <c r="J265" s="8"/>
      <c r="K265" s="8">
        <v>0</v>
      </c>
      <c r="L265" s="18">
        <v>1240</v>
      </c>
      <c r="M265" s="7">
        <f t="shared" si="4"/>
        <v>0</v>
      </c>
      <c r="N265" s="4" t="s">
        <v>6213</v>
      </c>
      <c r="O265" s="9"/>
    </row>
    <row r="266" spans="1:15" ht="20" customHeight="1" x14ac:dyDescent="0.2">
      <c r="A266" s="3">
        <v>262</v>
      </c>
      <c r="B266" s="19"/>
      <c r="C266" s="4" t="s">
        <v>6214</v>
      </c>
      <c r="D266" s="4" t="s">
        <v>5786</v>
      </c>
      <c r="E266" s="4" t="s">
        <v>271</v>
      </c>
      <c r="F266" s="8"/>
      <c r="G266" s="8">
        <v>10</v>
      </c>
      <c r="H266" s="8"/>
      <c r="I266" s="8">
        <v>10</v>
      </c>
      <c r="J266" s="8"/>
      <c r="K266" s="8">
        <v>0</v>
      </c>
      <c r="L266" s="18">
        <v>1240</v>
      </c>
      <c r="M266" s="7">
        <f t="shared" si="4"/>
        <v>0</v>
      </c>
      <c r="N266" s="4" t="s">
        <v>6213</v>
      </c>
      <c r="O266" s="9"/>
    </row>
    <row r="267" spans="1:15" ht="20" customHeight="1" x14ac:dyDescent="0.2">
      <c r="A267" s="3">
        <v>263</v>
      </c>
      <c r="B267" s="19"/>
      <c r="C267" s="4" t="s">
        <v>6215</v>
      </c>
      <c r="D267" s="4" t="s">
        <v>5786</v>
      </c>
      <c r="E267" s="4" t="s">
        <v>271</v>
      </c>
      <c r="F267" s="8"/>
      <c r="G267" s="8">
        <v>11</v>
      </c>
      <c r="H267" s="8"/>
      <c r="I267" s="8">
        <v>5</v>
      </c>
      <c r="J267" s="8"/>
      <c r="K267" s="8">
        <v>0</v>
      </c>
      <c r="L267" s="18">
        <v>1240</v>
      </c>
      <c r="M267" s="7">
        <f t="shared" si="4"/>
        <v>0</v>
      </c>
      <c r="N267" s="4" t="s">
        <v>6213</v>
      </c>
      <c r="O267" s="9"/>
    </row>
    <row r="268" spans="1:15" ht="20" customHeight="1" x14ac:dyDescent="0.2">
      <c r="A268" s="3">
        <v>264</v>
      </c>
      <c r="B268" s="19"/>
      <c r="C268" s="4" t="s">
        <v>6216</v>
      </c>
      <c r="D268" s="4" t="s">
        <v>5786</v>
      </c>
      <c r="E268" s="4" t="s">
        <v>271</v>
      </c>
      <c r="F268" s="8"/>
      <c r="G268" s="8">
        <v>27</v>
      </c>
      <c r="H268" s="8"/>
      <c r="I268" s="8">
        <v>15</v>
      </c>
      <c r="J268" s="8"/>
      <c r="K268" s="8">
        <v>0</v>
      </c>
      <c r="L268" s="18">
        <v>1240</v>
      </c>
      <c r="M268" s="7">
        <f t="shared" si="4"/>
        <v>0</v>
      </c>
      <c r="N268" s="4" t="s">
        <v>6213</v>
      </c>
      <c r="O268" s="9"/>
    </row>
    <row r="269" spans="1:15" ht="20" customHeight="1" x14ac:dyDescent="0.2">
      <c r="A269" s="3">
        <v>265</v>
      </c>
      <c r="B269" s="19"/>
      <c r="C269" s="4" t="s">
        <v>6217</v>
      </c>
      <c r="D269" s="4" t="s">
        <v>5786</v>
      </c>
      <c r="E269" s="4" t="s">
        <v>271</v>
      </c>
      <c r="F269" s="8">
        <v>20</v>
      </c>
      <c r="G269" s="8">
        <v>23</v>
      </c>
      <c r="H269" s="8">
        <v>20</v>
      </c>
      <c r="I269" s="8">
        <v>21</v>
      </c>
      <c r="J269" s="8"/>
      <c r="K269" s="8">
        <v>0</v>
      </c>
      <c r="L269" s="18">
        <v>1100</v>
      </c>
      <c r="M269" s="7">
        <f t="shared" si="4"/>
        <v>0</v>
      </c>
      <c r="N269" s="4" t="s">
        <v>6213</v>
      </c>
      <c r="O269" s="9"/>
    </row>
    <row r="270" spans="1:15" ht="20" customHeight="1" x14ac:dyDescent="0.2">
      <c r="A270" s="3">
        <v>266</v>
      </c>
      <c r="B270" s="19"/>
      <c r="C270" s="4" t="s">
        <v>6218</v>
      </c>
      <c r="D270" s="4" t="s">
        <v>5786</v>
      </c>
      <c r="E270" s="4" t="s">
        <v>271</v>
      </c>
      <c r="F270" s="8">
        <v>80</v>
      </c>
      <c r="G270" s="8">
        <v>10</v>
      </c>
      <c r="H270" s="8">
        <v>70</v>
      </c>
      <c r="I270" s="8">
        <v>20</v>
      </c>
      <c r="J270" s="8"/>
      <c r="K270" s="8">
        <v>50</v>
      </c>
      <c r="L270" s="18">
        <v>1100</v>
      </c>
      <c r="M270" s="7">
        <f t="shared" si="4"/>
        <v>55000</v>
      </c>
      <c r="N270" s="4" t="s">
        <v>6213</v>
      </c>
      <c r="O270" s="9"/>
    </row>
    <row r="271" spans="1:15" ht="20" customHeight="1" x14ac:dyDescent="0.2">
      <c r="A271" s="3">
        <v>267</v>
      </c>
      <c r="B271" s="19"/>
      <c r="C271" s="4" t="s">
        <v>6219</v>
      </c>
      <c r="D271" s="4" t="s">
        <v>5786</v>
      </c>
      <c r="E271" s="4" t="s">
        <v>271</v>
      </c>
      <c r="F271" s="8">
        <v>20</v>
      </c>
      <c r="G271" s="8"/>
      <c r="H271" s="8"/>
      <c r="I271" s="8">
        <v>9</v>
      </c>
      <c r="J271" s="8"/>
      <c r="K271" s="8">
        <v>10</v>
      </c>
      <c r="L271" s="18">
        <v>1100</v>
      </c>
      <c r="M271" s="7">
        <f t="shared" si="4"/>
        <v>11000</v>
      </c>
      <c r="N271" s="4" t="s">
        <v>6213</v>
      </c>
      <c r="O271" s="9"/>
    </row>
    <row r="272" spans="1:15" ht="20" customHeight="1" x14ac:dyDescent="0.2">
      <c r="A272" s="3">
        <v>268</v>
      </c>
      <c r="B272" s="19"/>
      <c r="C272" s="4" t="s">
        <v>6220</v>
      </c>
      <c r="D272" s="4" t="s">
        <v>5786</v>
      </c>
      <c r="E272" s="4" t="s">
        <v>271</v>
      </c>
      <c r="F272" s="8"/>
      <c r="G272" s="8">
        <v>42</v>
      </c>
      <c r="H272" s="8"/>
      <c r="I272" s="8">
        <v>42</v>
      </c>
      <c r="J272" s="8"/>
      <c r="K272" s="8">
        <v>0</v>
      </c>
      <c r="L272" s="18">
        <v>1240</v>
      </c>
      <c r="M272" s="7">
        <f t="shared" si="4"/>
        <v>0</v>
      </c>
      <c r="N272" s="4" t="s">
        <v>6213</v>
      </c>
      <c r="O272" s="9"/>
    </row>
    <row r="273" spans="1:15" ht="20" customHeight="1" x14ac:dyDescent="0.2">
      <c r="A273" s="3">
        <v>269</v>
      </c>
      <c r="B273" s="19"/>
      <c r="C273" s="4" t="s">
        <v>6221</v>
      </c>
      <c r="D273" s="4" t="s">
        <v>5786</v>
      </c>
      <c r="E273" s="4" t="s">
        <v>271</v>
      </c>
      <c r="F273" s="8"/>
      <c r="G273" s="8"/>
      <c r="H273" s="8"/>
      <c r="I273" s="8"/>
      <c r="J273" s="8"/>
      <c r="K273" s="8">
        <v>29</v>
      </c>
      <c r="L273" s="18">
        <v>1885</v>
      </c>
      <c r="M273" s="7">
        <f t="shared" si="4"/>
        <v>54665</v>
      </c>
      <c r="N273" s="4" t="s">
        <v>6222</v>
      </c>
      <c r="O273" s="9"/>
    </row>
    <row r="274" spans="1:15" ht="20" customHeight="1" x14ac:dyDescent="0.2">
      <c r="A274" s="3">
        <v>270</v>
      </c>
      <c r="B274" s="19"/>
      <c r="C274" s="4" t="s">
        <v>6223</v>
      </c>
      <c r="D274" s="4" t="s">
        <v>5786</v>
      </c>
      <c r="E274" s="4" t="s">
        <v>271</v>
      </c>
      <c r="F274" s="8"/>
      <c r="G274" s="8"/>
      <c r="H274" s="8"/>
      <c r="I274" s="8"/>
      <c r="J274" s="8"/>
      <c r="K274" s="8">
        <v>10</v>
      </c>
      <c r="L274" s="18">
        <v>340</v>
      </c>
      <c r="M274" s="7">
        <f t="shared" si="4"/>
        <v>3400</v>
      </c>
      <c r="N274" s="4"/>
      <c r="O274" s="9"/>
    </row>
    <row r="275" spans="1:15" ht="20" customHeight="1" x14ac:dyDescent="0.2">
      <c r="A275" s="3">
        <v>271</v>
      </c>
      <c r="B275" s="19"/>
      <c r="C275" s="4" t="s">
        <v>6224</v>
      </c>
      <c r="D275" s="4" t="s">
        <v>5786</v>
      </c>
      <c r="E275" s="4" t="s">
        <v>271</v>
      </c>
      <c r="F275" s="8"/>
      <c r="G275" s="8"/>
      <c r="H275" s="8"/>
      <c r="I275" s="8"/>
      <c r="J275" s="8"/>
      <c r="K275" s="8">
        <v>20</v>
      </c>
      <c r="L275" s="18">
        <v>2126</v>
      </c>
      <c r="M275" s="7">
        <f t="shared" si="4"/>
        <v>42520</v>
      </c>
      <c r="N275" s="4" t="s">
        <v>6225</v>
      </c>
      <c r="O275" s="9"/>
    </row>
    <row r="276" spans="1:15" ht="20" customHeight="1" x14ac:dyDescent="0.2">
      <c r="A276" s="3">
        <v>272</v>
      </c>
      <c r="B276" s="19"/>
      <c r="C276" s="4" t="s">
        <v>6226</v>
      </c>
      <c r="D276" s="4" t="s">
        <v>5786</v>
      </c>
      <c r="E276" s="4" t="s">
        <v>271</v>
      </c>
      <c r="F276" s="8"/>
      <c r="G276" s="8"/>
      <c r="H276" s="8"/>
      <c r="I276" s="8">
        <v>1</v>
      </c>
      <c r="J276" s="8"/>
      <c r="K276" s="8">
        <v>0</v>
      </c>
      <c r="L276" s="18">
        <v>18000</v>
      </c>
      <c r="M276" s="7">
        <f t="shared" si="4"/>
        <v>0</v>
      </c>
      <c r="N276" s="4"/>
      <c r="O276" s="9"/>
    </row>
    <row r="277" spans="1:15" ht="20" customHeight="1" x14ac:dyDescent="0.2">
      <c r="A277" s="3">
        <v>273</v>
      </c>
      <c r="B277" s="19"/>
      <c r="C277" s="4" t="s">
        <v>6227</v>
      </c>
      <c r="D277" s="4" t="s">
        <v>5786</v>
      </c>
      <c r="E277" s="4" t="s">
        <v>196</v>
      </c>
      <c r="F277" s="8">
        <v>40</v>
      </c>
      <c r="G277" s="8">
        <v>40</v>
      </c>
      <c r="H277" s="8">
        <v>24</v>
      </c>
      <c r="I277" s="8">
        <v>2</v>
      </c>
      <c r="J277" s="8"/>
      <c r="K277" s="8">
        <v>20</v>
      </c>
      <c r="L277" s="18">
        <v>4815</v>
      </c>
      <c r="M277" s="7">
        <f t="shared" si="4"/>
        <v>96300</v>
      </c>
      <c r="N277" s="4"/>
      <c r="O277" s="9"/>
    </row>
    <row r="278" spans="1:15" ht="20" customHeight="1" x14ac:dyDescent="0.2">
      <c r="A278" s="3">
        <v>274</v>
      </c>
      <c r="B278" s="19"/>
      <c r="C278" s="4" t="s">
        <v>6228</v>
      </c>
      <c r="D278" s="4" t="s">
        <v>5786</v>
      </c>
      <c r="E278" s="4" t="s">
        <v>196</v>
      </c>
      <c r="F278" s="8">
        <v>35</v>
      </c>
      <c r="G278" s="8">
        <v>40</v>
      </c>
      <c r="H278" s="8"/>
      <c r="I278" s="8">
        <v>16</v>
      </c>
      <c r="J278" s="8"/>
      <c r="K278" s="8">
        <v>20</v>
      </c>
      <c r="L278" s="18">
        <v>3937.6</v>
      </c>
      <c r="M278" s="7">
        <f t="shared" si="4"/>
        <v>78752</v>
      </c>
      <c r="N278" s="4"/>
      <c r="O278" s="9"/>
    </row>
    <row r="279" spans="1:15" ht="20" customHeight="1" x14ac:dyDescent="0.2">
      <c r="A279" s="3">
        <v>275</v>
      </c>
      <c r="B279" s="19"/>
      <c r="C279" s="4" t="s">
        <v>6229</v>
      </c>
      <c r="D279" s="4" t="s">
        <v>5786</v>
      </c>
      <c r="E279" s="4" t="s">
        <v>196</v>
      </c>
      <c r="F279" s="8">
        <v>15</v>
      </c>
      <c r="G279" s="8">
        <v>20</v>
      </c>
      <c r="H279" s="8"/>
      <c r="I279" s="8">
        <v>7</v>
      </c>
      <c r="J279" s="8"/>
      <c r="K279" s="8">
        <v>20</v>
      </c>
      <c r="L279" s="18">
        <v>3937.6</v>
      </c>
      <c r="M279" s="7">
        <f t="shared" si="4"/>
        <v>78752</v>
      </c>
      <c r="N279" s="4"/>
      <c r="O279" s="9"/>
    </row>
    <row r="280" spans="1:15" ht="20" customHeight="1" x14ac:dyDescent="0.2">
      <c r="A280" s="3">
        <v>276</v>
      </c>
      <c r="B280" s="19"/>
      <c r="C280" s="4" t="s">
        <v>6230</v>
      </c>
      <c r="D280" s="4" t="s">
        <v>5786</v>
      </c>
      <c r="E280" s="4" t="s">
        <v>152</v>
      </c>
      <c r="F280" s="8">
        <v>30</v>
      </c>
      <c r="G280" s="8">
        <v>30</v>
      </c>
      <c r="H280" s="8"/>
      <c r="I280" s="8"/>
      <c r="J280" s="8"/>
      <c r="K280" s="8">
        <v>10</v>
      </c>
      <c r="L280" s="18">
        <v>1200</v>
      </c>
      <c r="M280" s="7">
        <f t="shared" si="4"/>
        <v>12000</v>
      </c>
      <c r="N280" s="4" t="s">
        <v>6231</v>
      </c>
      <c r="O280" s="9"/>
    </row>
    <row r="281" spans="1:15" ht="20" customHeight="1" x14ac:dyDescent="0.2">
      <c r="A281" s="3">
        <v>277</v>
      </c>
      <c r="B281" s="19"/>
      <c r="C281" s="4" t="s">
        <v>6232</v>
      </c>
      <c r="D281" s="4" t="s">
        <v>5786</v>
      </c>
      <c r="E281" s="4" t="s">
        <v>110</v>
      </c>
      <c r="F281" s="8">
        <v>75</v>
      </c>
      <c r="G281" s="8">
        <v>75</v>
      </c>
      <c r="H281" s="8"/>
      <c r="I281" s="8"/>
      <c r="J281" s="8"/>
      <c r="K281" s="8">
        <v>75</v>
      </c>
      <c r="L281" s="18">
        <v>2200</v>
      </c>
      <c r="M281" s="7">
        <f t="shared" si="4"/>
        <v>165000</v>
      </c>
      <c r="N281" s="4"/>
      <c r="O281" s="9"/>
    </row>
    <row r="282" spans="1:15" ht="20" customHeight="1" x14ac:dyDescent="0.2">
      <c r="A282" s="3">
        <v>278</v>
      </c>
      <c r="B282" s="19"/>
      <c r="C282" s="4" t="s">
        <v>6233</v>
      </c>
      <c r="D282" s="4" t="s">
        <v>5786</v>
      </c>
      <c r="E282" s="4" t="s">
        <v>110</v>
      </c>
      <c r="F282" s="8">
        <v>3</v>
      </c>
      <c r="G282" s="8">
        <v>10</v>
      </c>
      <c r="H282" s="8"/>
      <c r="I282" s="8"/>
      <c r="J282" s="8"/>
      <c r="K282" s="8">
        <v>10</v>
      </c>
      <c r="L282" s="18">
        <v>1650</v>
      </c>
      <c r="M282" s="7">
        <f t="shared" si="4"/>
        <v>16500</v>
      </c>
      <c r="N282" s="4"/>
      <c r="O282" s="9"/>
    </row>
    <row r="283" spans="1:15" ht="20" customHeight="1" x14ac:dyDescent="0.2">
      <c r="A283" s="3">
        <v>279</v>
      </c>
      <c r="B283" s="19"/>
      <c r="C283" s="4" t="s">
        <v>6234</v>
      </c>
      <c r="D283" s="4" t="s">
        <v>5786</v>
      </c>
      <c r="E283" s="4" t="s">
        <v>110</v>
      </c>
      <c r="F283" s="8">
        <v>6</v>
      </c>
      <c r="G283" s="8">
        <v>10</v>
      </c>
      <c r="H283" s="8"/>
      <c r="I283" s="8"/>
      <c r="J283" s="8"/>
      <c r="K283" s="8">
        <v>10</v>
      </c>
      <c r="L283" s="18">
        <v>3080</v>
      </c>
      <c r="M283" s="7">
        <f t="shared" si="4"/>
        <v>30800</v>
      </c>
      <c r="N283" s="4"/>
      <c r="O283" s="9"/>
    </row>
    <row r="284" spans="1:15" ht="20" customHeight="1" x14ac:dyDescent="0.2">
      <c r="A284" s="3">
        <v>280</v>
      </c>
      <c r="B284" s="19"/>
      <c r="C284" s="4" t="s">
        <v>6235</v>
      </c>
      <c r="D284" s="4" t="s">
        <v>5786</v>
      </c>
      <c r="E284" s="4" t="s">
        <v>110</v>
      </c>
      <c r="F284" s="8">
        <v>6000</v>
      </c>
      <c r="G284" s="8">
        <v>6000</v>
      </c>
      <c r="H284" s="8">
        <v>6600</v>
      </c>
      <c r="I284" s="8">
        <v>1051</v>
      </c>
      <c r="J284" s="8"/>
      <c r="K284" s="8">
        <v>6700</v>
      </c>
      <c r="L284" s="18">
        <v>47</v>
      </c>
      <c r="M284" s="7">
        <f t="shared" si="4"/>
        <v>314900</v>
      </c>
      <c r="N284" s="4"/>
      <c r="O284" s="9"/>
    </row>
    <row r="285" spans="1:15" ht="20" customHeight="1" x14ac:dyDescent="0.2">
      <c r="A285" s="3">
        <v>281</v>
      </c>
      <c r="B285" s="19"/>
      <c r="C285" s="4" t="s">
        <v>6236</v>
      </c>
      <c r="D285" s="4" t="s">
        <v>5786</v>
      </c>
      <c r="E285" s="4" t="s">
        <v>252</v>
      </c>
      <c r="F285" s="8">
        <v>15000</v>
      </c>
      <c r="G285" s="8">
        <v>15000</v>
      </c>
      <c r="H285" s="8">
        <v>9500</v>
      </c>
      <c r="I285" s="8">
        <v>480</v>
      </c>
      <c r="J285" s="8"/>
      <c r="K285" s="8">
        <v>10000</v>
      </c>
      <c r="L285" s="18">
        <v>13.95</v>
      </c>
      <c r="M285" s="7">
        <f t="shared" si="4"/>
        <v>139500</v>
      </c>
      <c r="N285" s="4"/>
      <c r="O285" s="9"/>
    </row>
    <row r="286" spans="1:15" ht="20" customHeight="1" x14ac:dyDescent="0.2">
      <c r="A286" s="3">
        <v>282</v>
      </c>
      <c r="B286" s="19"/>
      <c r="C286" s="4" t="s">
        <v>6237</v>
      </c>
      <c r="D286" s="4" t="s">
        <v>5786</v>
      </c>
      <c r="E286" s="4" t="s">
        <v>252</v>
      </c>
      <c r="F286" s="8">
        <v>7200</v>
      </c>
      <c r="G286" s="8">
        <v>7500</v>
      </c>
      <c r="H286" s="8">
        <v>6960</v>
      </c>
      <c r="I286" s="8"/>
      <c r="J286" s="8"/>
      <c r="K286" s="8">
        <v>7000</v>
      </c>
      <c r="L286" s="18">
        <v>14.95</v>
      </c>
      <c r="M286" s="7">
        <f t="shared" si="4"/>
        <v>104650</v>
      </c>
      <c r="N286" s="4"/>
      <c r="O286" s="9"/>
    </row>
    <row r="287" spans="1:15" ht="20" customHeight="1" x14ac:dyDescent="0.2">
      <c r="A287" s="3">
        <v>283</v>
      </c>
      <c r="B287" s="19"/>
      <c r="C287" s="4" t="s">
        <v>6238</v>
      </c>
      <c r="D287" s="4" t="s">
        <v>5786</v>
      </c>
      <c r="E287" s="4" t="s">
        <v>252</v>
      </c>
      <c r="F287" s="8"/>
      <c r="G287" s="8">
        <v>74</v>
      </c>
      <c r="H287" s="8"/>
      <c r="I287" s="8">
        <v>74</v>
      </c>
      <c r="J287" s="8"/>
      <c r="K287" s="8">
        <v>0</v>
      </c>
      <c r="L287" s="18">
        <v>14.95</v>
      </c>
      <c r="M287" s="7">
        <f t="shared" si="4"/>
        <v>0</v>
      </c>
      <c r="N287" s="4"/>
      <c r="O287" s="9"/>
    </row>
    <row r="288" spans="1:15" ht="20" customHeight="1" x14ac:dyDescent="0.2">
      <c r="A288" s="3">
        <v>284</v>
      </c>
      <c r="B288" s="19"/>
      <c r="C288" s="4" t="s">
        <v>6239</v>
      </c>
      <c r="D288" s="4" t="s">
        <v>5786</v>
      </c>
      <c r="E288" s="4" t="s">
        <v>110</v>
      </c>
      <c r="F288" s="8"/>
      <c r="G288" s="8">
        <v>100</v>
      </c>
      <c r="H288" s="8"/>
      <c r="I288" s="8">
        <v>44</v>
      </c>
      <c r="J288" s="8"/>
      <c r="K288" s="8">
        <v>50</v>
      </c>
      <c r="L288" s="18">
        <v>45</v>
      </c>
      <c r="M288" s="7">
        <f t="shared" si="4"/>
        <v>2250</v>
      </c>
      <c r="N288" s="4"/>
      <c r="O288" s="9"/>
    </row>
    <row r="289" spans="1:15" ht="20" customHeight="1" x14ac:dyDescent="0.2">
      <c r="A289" s="3">
        <v>285</v>
      </c>
      <c r="B289" s="19"/>
      <c r="C289" s="4" t="s">
        <v>6240</v>
      </c>
      <c r="D289" s="4" t="s">
        <v>5786</v>
      </c>
      <c r="E289" s="4" t="s">
        <v>196</v>
      </c>
      <c r="F289" s="8"/>
      <c r="G289" s="8"/>
      <c r="H289" s="8">
        <v>5</v>
      </c>
      <c r="I289" s="8"/>
      <c r="J289" s="8"/>
      <c r="K289" s="8">
        <v>5</v>
      </c>
      <c r="L289" s="18">
        <v>18000</v>
      </c>
      <c r="M289" s="7">
        <f t="shared" si="4"/>
        <v>90000</v>
      </c>
      <c r="N289" s="4" t="s">
        <v>6241</v>
      </c>
      <c r="O289" s="9"/>
    </row>
    <row r="290" spans="1:15" ht="20" customHeight="1" x14ac:dyDescent="0.2">
      <c r="A290" s="3">
        <v>286</v>
      </c>
      <c r="B290" s="19"/>
      <c r="C290" s="4" t="s">
        <v>6242</v>
      </c>
      <c r="D290" s="4" t="s">
        <v>5786</v>
      </c>
      <c r="E290" s="4" t="s">
        <v>110</v>
      </c>
      <c r="F290" s="8">
        <v>20</v>
      </c>
      <c r="G290" s="8">
        <v>20</v>
      </c>
      <c r="H290" s="8">
        <v>16</v>
      </c>
      <c r="I290" s="8">
        <v>7</v>
      </c>
      <c r="J290" s="8"/>
      <c r="K290" s="8">
        <v>20</v>
      </c>
      <c r="L290" s="18">
        <v>5000</v>
      </c>
      <c r="M290" s="7">
        <f t="shared" si="4"/>
        <v>100000</v>
      </c>
      <c r="N290" s="4" t="s">
        <v>6243</v>
      </c>
      <c r="O290" s="9"/>
    </row>
    <row r="291" spans="1:15" ht="20" customHeight="1" x14ac:dyDescent="0.2">
      <c r="A291" s="3">
        <v>287</v>
      </c>
      <c r="B291" s="19"/>
      <c r="C291" s="4" t="s">
        <v>6244</v>
      </c>
      <c r="D291" s="4" t="s">
        <v>5786</v>
      </c>
      <c r="E291" s="4" t="s">
        <v>271</v>
      </c>
      <c r="F291" s="8">
        <v>15</v>
      </c>
      <c r="G291" s="8">
        <v>20</v>
      </c>
      <c r="H291" s="8"/>
      <c r="I291" s="8"/>
      <c r="J291" s="8"/>
      <c r="K291" s="8">
        <v>20</v>
      </c>
      <c r="L291" s="18">
        <v>16500</v>
      </c>
      <c r="M291" s="7">
        <f t="shared" si="4"/>
        <v>330000</v>
      </c>
      <c r="N291" s="4"/>
      <c r="O291" s="9"/>
    </row>
    <row r="292" spans="1:15" ht="20" customHeight="1" x14ac:dyDescent="0.2">
      <c r="A292" s="3">
        <v>288</v>
      </c>
      <c r="B292" s="19"/>
      <c r="C292" s="4" t="s">
        <v>6245</v>
      </c>
      <c r="D292" s="4" t="s">
        <v>5786</v>
      </c>
      <c r="E292" s="4" t="s">
        <v>196</v>
      </c>
      <c r="F292" s="8">
        <v>262</v>
      </c>
      <c r="G292" s="8">
        <v>230</v>
      </c>
      <c r="H292" s="8">
        <v>346</v>
      </c>
      <c r="I292" s="8">
        <v>19</v>
      </c>
      <c r="J292" s="8"/>
      <c r="K292" s="8">
        <v>350</v>
      </c>
      <c r="L292" s="18">
        <v>5250</v>
      </c>
      <c r="M292" s="7">
        <f t="shared" si="4"/>
        <v>1837500</v>
      </c>
      <c r="N292" s="4"/>
      <c r="O292" s="9"/>
    </row>
    <row r="293" spans="1:15" ht="20" customHeight="1" x14ac:dyDescent="0.2">
      <c r="A293" s="3">
        <v>289</v>
      </c>
      <c r="B293" s="19"/>
      <c r="C293" s="4" t="s">
        <v>6246</v>
      </c>
      <c r="D293" s="4" t="s">
        <v>5786</v>
      </c>
      <c r="E293" s="4" t="s">
        <v>196</v>
      </c>
      <c r="F293" s="8"/>
      <c r="G293" s="8"/>
      <c r="H293" s="8">
        <v>80</v>
      </c>
      <c r="I293" s="8">
        <v>10</v>
      </c>
      <c r="J293" s="8"/>
      <c r="K293" s="8">
        <v>90</v>
      </c>
      <c r="L293" s="18">
        <v>8000</v>
      </c>
      <c r="M293" s="7">
        <f t="shared" si="4"/>
        <v>720000</v>
      </c>
      <c r="N293" s="4"/>
      <c r="O293" s="9"/>
    </row>
    <row r="294" spans="1:15" ht="20" customHeight="1" x14ac:dyDescent="0.2">
      <c r="A294" s="3">
        <v>290</v>
      </c>
      <c r="B294" s="19"/>
      <c r="C294" s="4" t="s">
        <v>6247</v>
      </c>
      <c r="D294" s="4" t="s">
        <v>5786</v>
      </c>
      <c r="E294" s="4" t="s">
        <v>110</v>
      </c>
      <c r="F294" s="8"/>
      <c r="G294" s="8"/>
      <c r="H294" s="8">
        <v>27</v>
      </c>
      <c r="I294" s="8">
        <v>1</v>
      </c>
      <c r="J294" s="8"/>
      <c r="K294" s="8">
        <v>30</v>
      </c>
      <c r="L294" s="18">
        <v>2000</v>
      </c>
      <c r="M294" s="7">
        <f t="shared" si="4"/>
        <v>60000</v>
      </c>
      <c r="N294" s="4"/>
      <c r="O294" s="9"/>
    </row>
    <row r="295" spans="1:15" ht="20" customHeight="1" x14ac:dyDescent="0.2">
      <c r="A295" s="3">
        <v>291</v>
      </c>
      <c r="B295" s="19"/>
      <c r="C295" s="4" t="s">
        <v>6248</v>
      </c>
      <c r="D295" s="4" t="s">
        <v>5786</v>
      </c>
      <c r="E295" s="4" t="s">
        <v>110</v>
      </c>
      <c r="F295" s="8"/>
      <c r="G295" s="8"/>
      <c r="H295" s="8">
        <v>45</v>
      </c>
      <c r="I295" s="8"/>
      <c r="J295" s="8"/>
      <c r="K295" s="8">
        <v>50</v>
      </c>
      <c r="L295" s="18">
        <v>2000</v>
      </c>
      <c r="M295" s="7">
        <f t="shared" si="4"/>
        <v>100000</v>
      </c>
      <c r="N295" s="4"/>
      <c r="O295" s="9"/>
    </row>
    <row r="296" spans="1:15" ht="20" customHeight="1" x14ac:dyDescent="0.2">
      <c r="A296" s="3">
        <v>292</v>
      </c>
      <c r="B296" s="19"/>
      <c r="C296" s="4" t="s">
        <v>6249</v>
      </c>
      <c r="D296" s="4" t="s">
        <v>5786</v>
      </c>
      <c r="E296" s="4" t="s">
        <v>152</v>
      </c>
      <c r="F296" s="8">
        <v>180</v>
      </c>
      <c r="G296" s="8">
        <v>140</v>
      </c>
      <c r="H296" s="8"/>
      <c r="I296" s="8">
        <v>36</v>
      </c>
      <c r="J296" s="8"/>
      <c r="K296" s="8">
        <v>0</v>
      </c>
      <c r="L296" s="18">
        <v>3000</v>
      </c>
      <c r="M296" s="7">
        <f t="shared" si="4"/>
        <v>0</v>
      </c>
      <c r="N296" s="4"/>
      <c r="O296" s="9"/>
    </row>
    <row r="297" spans="1:15" ht="20" customHeight="1" x14ac:dyDescent="0.2">
      <c r="A297" s="3">
        <v>293</v>
      </c>
      <c r="B297" s="19"/>
      <c r="C297" s="4" t="s">
        <v>6250</v>
      </c>
      <c r="D297" s="4" t="s">
        <v>5786</v>
      </c>
      <c r="E297" s="4" t="s">
        <v>152</v>
      </c>
      <c r="F297" s="8"/>
      <c r="G297" s="8"/>
      <c r="H297" s="8"/>
      <c r="I297" s="8"/>
      <c r="J297" s="8"/>
      <c r="K297" s="8">
        <v>0</v>
      </c>
      <c r="L297" s="18">
        <v>2699.61</v>
      </c>
      <c r="M297" s="7">
        <f t="shared" si="4"/>
        <v>0</v>
      </c>
      <c r="N297" s="4"/>
      <c r="O297" s="9"/>
    </row>
    <row r="298" spans="1:15" ht="20" customHeight="1" x14ac:dyDescent="0.2">
      <c r="A298" s="3">
        <v>294</v>
      </c>
      <c r="B298" s="19"/>
      <c r="C298" s="4" t="s">
        <v>6251</v>
      </c>
      <c r="D298" s="4" t="s">
        <v>5786</v>
      </c>
      <c r="E298" s="4" t="s">
        <v>152</v>
      </c>
      <c r="F298" s="8">
        <v>50</v>
      </c>
      <c r="G298" s="8">
        <v>50</v>
      </c>
      <c r="H298" s="8"/>
      <c r="I298" s="8">
        <v>20</v>
      </c>
      <c r="J298" s="8"/>
      <c r="K298" s="8">
        <v>0</v>
      </c>
      <c r="L298" s="18">
        <v>2700</v>
      </c>
      <c r="M298" s="7">
        <f t="shared" si="4"/>
        <v>0</v>
      </c>
      <c r="N298" s="4"/>
      <c r="O298" s="9"/>
    </row>
    <row r="299" spans="1:15" ht="20" customHeight="1" x14ac:dyDescent="0.2">
      <c r="A299" s="3">
        <v>295</v>
      </c>
      <c r="B299" s="19"/>
      <c r="C299" s="4" t="s">
        <v>6252</v>
      </c>
      <c r="D299" s="4" t="s">
        <v>5786</v>
      </c>
      <c r="E299" s="4" t="s">
        <v>267</v>
      </c>
      <c r="F299" s="8">
        <v>1</v>
      </c>
      <c r="G299" s="8">
        <v>1</v>
      </c>
      <c r="H299" s="8">
        <v>2</v>
      </c>
      <c r="I299" s="8"/>
      <c r="J299" s="8"/>
      <c r="K299" s="8">
        <v>1</v>
      </c>
      <c r="L299" s="18">
        <v>9500</v>
      </c>
      <c r="M299" s="7">
        <f t="shared" si="4"/>
        <v>9500</v>
      </c>
      <c r="N299" s="4"/>
      <c r="O299" s="9"/>
    </row>
    <row r="300" spans="1:15" ht="20" customHeight="1" x14ac:dyDescent="0.2">
      <c r="A300" s="3">
        <v>296</v>
      </c>
      <c r="B300" s="19"/>
      <c r="C300" s="4" t="s">
        <v>6253</v>
      </c>
      <c r="D300" s="4" t="s">
        <v>5786</v>
      </c>
      <c r="E300" s="4" t="s">
        <v>110</v>
      </c>
      <c r="F300" s="8">
        <v>500</v>
      </c>
      <c r="G300" s="8">
        <v>500</v>
      </c>
      <c r="H300" s="8"/>
      <c r="I300" s="8">
        <v>61</v>
      </c>
      <c r="J300" s="8"/>
      <c r="K300" s="8">
        <v>0</v>
      </c>
      <c r="L300" s="18">
        <v>280</v>
      </c>
      <c r="M300" s="7">
        <f t="shared" si="4"/>
        <v>0</v>
      </c>
      <c r="N300" s="4"/>
      <c r="O300" s="9"/>
    </row>
    <row r="301" spans="1:15" ht="20" customHeight="1" x14ac:dyDescent="0.2">
      <c r="A301" s="3">
        <v>297</v>
      </c>
      <c r="B301" s="19"/>
      <c r="C301" s="4" t="s">
        <v>6254</v>
      </c>
      <c r="D301" s="4" t="s">
        <v>5786</v>
      </c>
      <c r="E301" s="4" t="s">
        <v>110</v>
      </c>
      <c r="F301" s="8"/>
      <c r="G301" s="8"/>
      <c r="H301" s="8">
        <v>120</v>
      </c>
      <c r="I301" s="8">
        <v>49</v>
      </c>
      <c r="J301" s="8"/>
      <c r="K301" s="8">
        <v>100</v>
      </c>
      <c r="L301" s="18">
        <v>255</v>
      </c>
      <c r="M301" s="7">
        <f t="shared" si="4"/>
        <v>25500</v>
      </c>
      <c r="N301" s="4"/>
      <c r="O301" s="9"/>
    </row>
    <row r="302" spans="1:15" ht="20" customHeight="1" x14ac:dyDescent="0.2">
      <c r="A302" s="3">
        <v>298</v>
      </c>
      <c r="B302" s="19"/>
      <c r="C302" s="4" t="s">
        <v>6255</v>
      </c>
      <c r="D302" s="4" t="s">
        <v>5786</v>
      </c>
      <c r="E302" s="4" t="s">
        <v>6256</v>
      </c>
      <c r="F302" s="8"/>
      <c r="G302" s="8"/>
      <c r="H302" s="8">
        <v>60</v>
      </c>
      <c r="I302" s="8">
        <v>60</v>
      </c>
      <c r="J302" s="8"/>
      <c r="K302" s="8">
        <v>50</v>
      </c>
      <c r="L302" s="18">
        <v>78</v>
      </c>
      <c r="M302" s="7">
        <f t="shared" si="4"/>
        <v>3900</v>
      </c>
      <c r="N302" s="4"/>
      <c r="O302" s="9"/>
    </row>
    <row r="303" spans="1:15" ht="20" customHeight="1" x14ac:dyDescent="0.2">
      <c r="A303" s="3">
        <v>299</v>
      </c>
      <c r="B303" s="19"/>
      <c r="C303" s="4" t="s">
        <v>6257</v>
      </c>
      <c r="D303" s="4" t="s">
        <v>5786</v>
      </c>
      <c r="E303" s="4" t="s">
        <v>6256</v>
      </c>
      <c r="F303" s="8">
        <v>200</v>
      </c>
      <c r="G303" s="8">
        <v>200</v>
      </c>
      <c r="H303" s="8">
        <v>3000</v>
      </c>
      <c r="I303" s="8">
        <v>400</v>
      </c>
      <c r="J303" s="8"/>
      <c r="K303" s="8">
        <v>2600</v>
      </c>
      <c r="L303" s="18">
        <v>74</v>
      </c>
      <c r="M303" s="7">
        <f t="shared" si="4"/>
        <v>192400</v>
      </c>
      <c r="N303" s="4"/>
      <c r="O303" s="9"/>
    </row>
    <row r="304" spans="1:15" ht="20" customHeight="1" x14ac:dyDescent="0.2">
      <c r="A304" s="3">
        <v>300</v>
      </c>
      <c r="B304" s="19"/>
      <c r="C304" s="4" t="s">
        <v>6258</v>
      </c>
      <c r="D304" s="4" t="s">
        <v>5786</v>
      </c>
      <c r="E304" s="4" t="s">
        <v>110</v>
      </c>
      <c r="F304" s="8">
        <v>20</v>
      </c>
      <c r="G304" s="8">
        <v>20</v>
      </c>
      <c r="H304" s="8"/>
      <c r="I304" s="8">
        <v>7</v>
      </c>
      <c r="J304" s="8"/>
      <c r="K304" s="8">
        <v>10</v>
      </c>
      <c r="L304" s="18">
        <v>310</v>
      </c>
      <c r="M304" s="7">
        <f t="shared" si="4"/>
        <v>3100</v>
      </c>
      <c r="N304" s="4"/>
      <c r="O304" s="9"/>
    </row>
    <row r="305" spans="1:15" ht="20" customHeight="1" x14ac:dyDescent="0.2">
      <c r="A305" s="3">
        <v>301</v>
      </c>
      <c r="B305" s="19"/>
      <c r="C305" s="4" t="s">
        <v>6259</v>
      </c>
      <c r="D305" s="4" t="s">
        <v>5786</v>
      </c>
      <c r="E305" s="4" t="s">
        <v>110</v>
      </c>
      <c r="F305" s="8">
        <v>50</v>
      </c>
      <c r="G305" s="8">
        <v>50</v>
      </c>
      <c r="H305" s="8">
        <v>12</v>
      </c>
      <c r="I305" s="8">
        <v>5</v>
      </c>
      <c r="J305" s="8"/>
      <c r="K305" s="8">
        <v>20</v>
      </c>
      <c r="L305" s="18">
        <v>650</v>
      </c>
      <c r="M305" s="7">
        <f t="shared" si="4"/>
        <v>13000</v>
      </c>
      <c r="N305" s="4"/>
      <c r="O305" s="9"/>
    </row>
    <row r="306" spans="1:15" ht="20" customHeight="1" x14ac:dyDescent="0.2">
      <c r="A306" s="3">
        <v>302</v>
      </c>
      <c r="B306" s="19"/>
      <c r="C306" s="4" t="s">
        <v>6260</v>
      </c>
      <c r="D306" s="4" t="s">
        <v>5786</v>
      </c>
      <c r="E306" s="4" t="s">
        <v>137</v>
      </c>
      <c r="F306" s="8"/>
      <c r="G306" s="8"/>
      <c r="H306" s="8">
        <v>240</v>
      </c>
      <c r="I306" s="8">
        <v>116</v>
      </c>
      <c r="J306" s="8"/>
      <c r="K306" s="8">
        <v>250</v>
      </c>
      <c r="L306" s="18">
        <v>600</v>
      </c>
      <c r="M306" s="7">
        <f t="shared" si="4"/>
        <v>150000</v>
      </c>
      <c r="N306" s="4"/>
      <c r="O306" s="9"/>
    </row>
    <row r="307" spans="1:15" ht="20" customHeight="1" x14ac:dyDescent="0.2">
      <c r="A307" s="3">
        <v>303</v>
      </c>
      <c r="B307" s="19"/>
      <c r="C307" s="4" t="s">
        <v>6261</v>
      </c>
      <c r="D307" s="4" t="s">
        <v>5786</v>
      </c>
      <c r="E307" s="4" t="s">
        <v>499</v>
      </c>
      <c r="F307" s="8">
        <v>50</v>
      </c>
      <c r="G307" s="8">
        <v>50</v>
      </c>
      <c r="H307" s="8"/>
      <c r="I307" s="8"/>
      <c r="J307" s="8"/>
      <c r="K307" s="8">
        <v>100</v>
      </c>
      <c r="L307" s="18">
        <v>262.14999999999998</v>
      </c>
      <c r="M307" s="7">
        <f t="shared" si="4"/>
        <v>26214.999999999996</v>
      </c>
      <c r="N307" s="4"/>
      <c r="O307" s="9"/>
    </row>
    <row r="308" spans="1:15" ht="20" customHeight="1" x14ac:dyDescent="0.2">
      <c r="A308" s="3">
        <v>304</v>
      </c>
      <c r="B308" s="19"/>
      <c r="C308" s="4" t="s">
        <v>6262</v>
      </c>
      <c r="D308" s="4" t="s">
        <v>5786</v>
      </c>
      <c r="E308" s="4" t="s">
        <v>110</v>
      </c>
      <c r="F308" s="8">
        <v>200</v>
      </c>
      <c r="G308" s="8">
        <v>160</v>
      </c>
      <c r="H308" s="8">
        <v>160</v>
      </c>
      <c r="I308" s="8">
        <v>8</v>
      </c>
      <c r="J308" s="8"/>
      <c r="K308" s="8">
        <v>200</v>
      </c>
      <c r="L308" s="18">
        <v>64.2</v>
      </c>
      <c r="M308" s="7">
        <f t="shared" si="4"/>
        <v>12840</v>
      </c>
      <c r="N308" s="4"/>
      <c r="O308" s="9"/>
    </row>
    <row r="309" spans="1:15" ht="20" customHeight="1" x14ac:dyDescent="0.2">
      <c r="A309" s="3">
        <v>305</v>
      </c>
      <c r="B309" s="19"/>
      <c r="C309" s="4" t="s">
        <v>6263</v>
      </c>
      <c r="D309" s="4" t="s">
        <v>5786</v>
      </c>
      <c r="E309" s="4" t="s">
        <v>152</v>
      </c>
      <c r="F309" s="8">
        <v>50</v>
      </c>
      <c r="G309" s="8">
        <v>50</v>
      </c>
      <c r="H309" s="8"/>
      <c r="I309" s="8"/>
      <c r="J309" s="8"/>
      <c r="K309" s="8">
        <v>50</v>
      </c>
      <c r="L309" s="18">
        <v>2640</v>
      </c>
      <c r="M309" s="7">
        <f t="shared" si="4"/>
        <v>132000</v>
      </c>
      <c r="N309" s="4"/>
      <c r="O309" s="9"/>
    </row>
    <row r="310" spans="1:15" ht="20" customHeight="1" x14ac:dyDescent="0.2">
      <c r="A310" s="3">
        <v>306</v>
      </c>
      <c r="B310" s="19"/>
      <c r="C310" s="4" t="s">
        <v>6264</v>
      </c>
      <c r="D310" s="4" t="s">
        <v>5786</v>
      </c>
      <c r="E310" s="4" t="s">
        <v>152</v>
      </c>
      <c r="F310" s="8">
        <v>20</v>
      </c>
      <c r="G310" s="8">
        <v>20</v>
      </c>
      <c r="H310" s="8">
        <v>10</v>
      </c>
      <c r="I310" s="8"/>
      <c r="J310" s="8"/>
      <c r="K310" s="8">
        <v>20</v>
      </c>
      <c r="L310" s="18">
        <v>3290</v>
      </c>
      <c r="M310" s="7">
        <f t="shared" si="4"/>
        <v>65800</v>
      </c>
      <c r="N310" s="4"/>
      <c r="O310" s="9"/>
    </row>
    <row r="311" spans="1:15" ht="20" customHeight="1" x14ac:dyDescent="0.2">
      <c r="A311" s="3">
        <v>307</v>
      </c>
      <c r="B311" s="19"/>
      <c r="C311" s="4" t="s">
        <v>6265</v>
      </c>
      <c r="D311" s="4" t="s">
        <v>5786</v>
      </c>
      <c r="E311" s="4" t="s">
        <v>152</v>
      </c>
      <c r="F311" s="8">
        <v>50</v>
      </c>
      <c r="G311" s="8">
        <v>50</v>
      </c>
      <c r="H311" s="8"/>
      <c r="I311" s="8"/>
      <c r="J311" s="8"/>
      <c r="K311" s="8">
        <v>50</v>
      </c>
      <c r="L311" s="18">
        <v>2640</v>
      </c>
      <c r="M311" s="7">
        <f t="shared" si="4"/>
        <v>132000</v>
      </c>
      <c r="N311" s="4"/>
      <c r="O311" s="9"/>
    </row>
    <row r="312" spans="1:15" ht="20" customHeight="1" x14ac:dyDescent="0.2">
      <c r="A312" s="3">
        <v>308</v>
      </c>
      <c r="B312" s="19"/>
      <c r="C312" s="4" t="s">
        <v>6266</v>
      </c>
      <c r="D312" s="4" t="s">
        <v>5786</v>
      </c>
      <c r="E312" s="4" t="s">
        <v>110</v>
      </c>
      <c r="F312" s="8"/>
      <c r="G312" s="8">
        <v>25</v>
      </c>
      <c r="H312" s="8">
        <v>50</v>
      </c>
      <c r="I312" s="8"/>
      <c r="J312" s="8"/>
      <c r="K312" s="8">
        <v>50</v>
      </c>
      <c r="L312" s="18">
        <v>2090</v>
      </c>
      <c r="M312" s="7">
        <f t="shared" si="4"/>
        <v>104500</v>
      </c>
      <c r="N312" s="4"/>
      <c r="O312" s="9"/>
    </row>
    <row r="313" spans="1:15" ht="20" customHeight="1" x14ac:dyDescent="0.2">
      <c r="A313" s="3">
        <v>309</v>
      </c>
      <c r="B313" s="19"/>
      <c r="C313" s="4" t="s">
        <v>6267</v>
      </c>
      <c r="D313" s="4" t="s">
        <v>5786</v>
      </c>
      <c r="E313" s="4" t="s">
        <v>110</v>
      </c>
      <c r="F313" s="8"/>
      <c r="G313" s="8">
        <v>5</v>
      </c>
      <c r="H313" s="8"/>
      <c r="I313" s="8"/>
      <c r="J313" s="8"/>
      <c r="K313" s="8">
        <v>3</v>
      </c>
      <c r="L313" s="18">
        <v>1600</v>
      </c>
      <c r="M313" s="7">
        <f t="shared" si="4"/>
        <v>4800</v>
      </c>
      <c r="N313" s="4"/>
      <c r="O313" s="9"/>
    </row>
    <row r="314" spans="1:15" ht="20" customHeight="1" x14ac:dyDescent="0.2">
      <c r="A314" s="3">
        <v>310</v>
      </c>
      <c r="B314" s="19"/>
      <c r="C314" s="4" t="s">
        <v>6268</v>
      </c>
      <c r="D314" s="4" t="s">
        <v>5786</v>
      </c>
      <c r="E314" s="4" t="s">
        <v>110</v>
      </c>
      <c r="F314" s="8"/>
      <c r="G314" s="8"/>
      <c r="H314" s="8"/>
      <c r="I314" s="8"/>
      <c r="J314" s="8"/>
      <c r="K314" s="8">
        <v>5</v>
      </c>
      <c r="L314" s="18">
        <v>3960</v>
      </c>
      <c r="M314" s="7">
        <f t="shared" si="4"/>
        <v>19800</v>
      </c>
      <c r="N314" s="4"/>
      <c r="O314" s="9"/>
    </row>
    <row r="315" spans="1:15" ht="20" customHeight="1" x14ac:dyDescent="0.2">
      <c r="A315" s="3">
        <v>311</v>
      </c>
      <c r="B315" s="19"/>
      <c r="C315" s="4" t="s">
        <v>6269</v>
      </c>
      <c r="D315" s="4" t="s">
        <v>5786</v>
      </c>
      <c r="E315" s="4" t="s">
        <v>110</v>
      </c>
      <c r="F315" s="8"/>
      <c r="G315" s="8">
        <v>10</v>
      </c>
      <c r="H315" s="8"/>
      <c r="I315" s="8"/>
      <c r="J315" s="8"/>
      <c r="K315" s="8">
        <v>0</v>
      </c>
      <c r="L315" s="18">
        <v>8000</v>
      </c>
      <c r="M315" s="7">
        <f t="shared" si="4"/>
        <v>0</v>
      </c>
      <c r="N315" s="4"/>
      <c r="O315" s="9"/>
    </row>
    <row r="316" spans="1:15" ht="20" customHeight="1" x14ac:dyDescent="0.2">
      <c r="A316" s="3">
        <v>312</v>
      </c>
      <c r="B316" s="19"/>
      <c r="C316" s="4" t="s">
        <v>6270</v>
      </c>
      <c r="D316" s="4" t="s">
        <v>5786</v>
      </c>
      <c r="E316" s="4" t="s">
        <v>110</v>
      </c>
      <c r="F316" s="8"/>
      <c r="G316" s="8">
        <v>50</v>
      </c>
      <c r="H316" s="8"/>
      <c r="I316" s="8"/>
      <c r="J316" s="8"/>
      <c r="K316" s="8">
        <v>0</v>
      </c>
      <c r="L316" s="18">
        <v>200</v>
      </c>
      <c r="M316" s="7">
        <f t="shared" si="4"/>
        <v>0</v>
      </c>
      <c r="N316" s="4"/>
      <c r="O316" s="9"/>
    </row>
    <row r="317" spans="1:15" ht="20" customHeight="1" x14ac:dyDescent="0.2">
      <c r="A317" s="3">
        <v>313</v>
      </c>
      <c r="B317" s="19"/>
      <c r="C317" s="4" t="s">
        <v>6271</v>
      </c>
      <c r="D317" s="4" t="s">
        <v>5786</v>
      </c>
      <c r="E317" s="4" t="s">
        <v>110</v>
      </c>
      <c r="F317" s="8"/>
      <c r="G317" s="8"/>
      <c r="H317" s="8">
        <v>300</v>
      </c>
      <c r="I317" s="8">
        <v>151</v>
      </c>
      <c r="J317" s="8"/>
      <c r="K317" s="8">
        <v>150</v>
      </c>
      <c r="L317" s="18">
        <v>65</v>
      </c>
      <c r="M317" s="7">
        <f t="shared" si="4"/>
        <v>9750</v>
      </c>
      <c r="N317" s="4"/>
      <c r="O317" s="9"/>
    </row>
    <row r="318" spans="1:15" ht="20" customHeight="1" x14ac:dyDescent="0.2">
      <c r="A318" s="3">
        <v>314</v>
      </c>
      <c r="B318" s="19"/>
      <c r="C318" s="4" t="s">
        <v>6272</v>
      </c>
      <c r="D318" s="4" t="s">
        <v>5786</v>
      </c>
      <c r="E318" s="4" t="s">
        <v>152</v>
      </c>
      <c r="F318" s="8"/>
      <c r="G318" s="8"/>
      <c r="H318" s="8">
        <v>10</v>
      </c>
      <c r="I318" s="8">
        <v>3</v>
      </c>
      <c r="J318" s="8"/>
      <c r="K318" s="8">
        <v>10</v>
      </c>
      <c r="L318" s="18">
        <v>310</v>
      </c>
      <c r="M318" s="7">
        <f t="shared" si="4"/>
        <v>3100</v>
      </c>
      <c r="N318" s="4"/>
      <c r="O318" s="9"/>
    </row>
    <row r="319" spans="1:15" ht="20" customHeight="1" x14ac:dyDescent="0.2">
      <c r="A319" s="3">
        <v>315</v>
      </c>
      <c r="B319" s="19"/>
      <c r="C319" s="4" t="s">
        <v>6273</v>
      </c>
      <c r="D319" s="4" t="s">
        <v>5786</v>
      </c>
      <c r="E319" s="4" t="s">
        <v>196</v>
      </c>
      <c r="F319" s="8"/>
      <c r="G319" s="8">
        <v>3</v>
      </c>
      <c r="H319" s="8"/>
      <c r="I319" s="8"/>
      <c r="J319" s="8"/>
      <c r="K319" s="8">
        <v>0</v>
      </c>
      <c r="L319" s="18">
        <v>24500</v>
      </c>
      <c r="M319" s="7">
        <f t="shared" si="4"/>
        <v>0</v>
      </c>
      <c r="N319" s="4"/>
      <c r="O319" s="9"/>
    </row>
    <row r="320" spans="1:15" ht="20" customHeight="1" x14ac:dyDescent="0.2">
      <c r="A320" s="3">
        <v>316</v>
      </c>
      <c r="B320" s="19"/>
      <c r="C320" s="4" t="s">
        <v>6274</v>
      </c>
      <c r="D320" s="4" t="s">
        <v>5786</v>
      </c>
      <c r="E320" s="4" t="s">
        <v>196</v>
      </c>
      <c r="F320" s="8">
        <v>5</v>
      </c>
      <c r="G320" s="8">
        <v>7</v>
      </c>
      <c r="H320" s="8"/>
      <c r="I320" s="8"/>
      <c r="J320" s="8"/>
      <c r="K320" s="8">
        <v>0</v>
      </c>
      <c r="L320" s="18">
        <v>1590</v>
      </c>
      <c r="M320" s="7">
        <f t="shared" si="4"/>
        <v>0</v>
      </c>
      <c r="N320" s="4"/>
      <c r="O320" s="9"/>
    </row>
    <row r="321" spans="1:15" ht="20" customHeight="1" x14ac:dyDescent="0.2">
      <c r="A321" s="3">
        <v>317</v>
      </c>
      <c r="B321" s="19"/>
      <c r="C321" s="4" t="s">
        <v>6275</v>
      </c>
      <c r="D321" s="4" t="s">
        <v>5786</v>
      </c>
      <c r="E321" s="4" t="s">
        <v>152</v>
      </c>
      <c r="F321" s="8"/>
      <c r="G321" s="8"/>
      <c r="H321" s="8"/>
      <c r="I321" s="8">
        <v>7</v>
      </c>
      <c r="J321" s="8"/>
      <c r="K321" s="8">
        <v>0</v>
      </c>
      <c r="L321" s="18">
        <v>220</v>
      </c>
      <c r="M321" s="7">
        <f t="shared" si="4"/>
        <v>0</v>
      </c>
      <c r="N321" s="4"/>
      <c r="O321" s="9"/>
    </row>
    <row r="322" spans="1:15" ht="20" customHeight="1" x14ac:dyDescent="0.2">
      <c r="A322" s="3">
        <v>318</v>
      </c>
      <c r="B322" s="19"/>
      <c r="C322" s="4" t="s">
        <v>6276</v>
      </c>
      <c r="D322" s="4" t="s">
        <v>5786</v>
      </c>
      <c r="E322" s="4" t="s">
        <v>196</v>
      </c>
      <c r="F322" s="8"/>
      <c r="G322" s="8"/>
      <c r="H322" s="8"/>
      <c r="I322" s="8">
        <v>320</v>
      </c>
      <c r="J322" s="8"/>
      <c r="K322" s="8">
        <v>0</v>
      </c>
      <c r="L322" s="18">
        <v>2700</v>
      </c>
      <c r="M322" s="7">
        <f t="shared" si="4"/>
        <v>0</v>
      </c>
      <c r="N322" s="4"/>
      <c r="O322" s="9"/>
    </row>
    <row r="323" spans="1:15" ht="20" customHeight="1" x14ac:dyDescent="0.2">
      <c r="A323" s="3">
        <v>319</v>
      </c>
      <c r="B323" s="19"/>
      <c r="C323" s="4" t="s">
        <v>6277</v>
      </c>
      <c r="D323" s="4" t="s">
        <v>5786</v>
      </c>
      <c r="E323" s="4" t="s">
        <v>271</v>
      </c>
      <c r="F323" s="8">
        <v>400</v>
      </c>
      <c r="G323" s="8">
        <v>400</v>
      </c>
      <c r="H323" s="8">
        <v>360</v>
      </c>
      <c r="I323" s="8">
        <v>40</v>
      </c>
      <c r="J323" s="8"/>
      <c r="K323" s="8">
        <v>400</v>
      </c>
      <c r="L323" s="18">
        <v>481.5</v>
      </c>
      <c r="M323" s="7">
        <f t="shared" si="4"/>
        <v>192600</v>
      </c>
      <c r="N323" s="4" t="s">
        <v>6278</v>
      </c>
      <c r="O323" s="9"/>
    </row>
    <row r="324" spans="1:15" ht="20" customHeight="1" x14ac:dyDescent="0.2">
      <c r="A324" s="3">
        <v>320</v>
      </c>
      <c r="B324" s="19"/>
      <c r="C324" s="4" t="s">
        <v>6279</v>
      </c>
      <c r="D324" s="4" t="s">
        <v>5786</v>
      </c>
      <c r="E324" s="4" t="s">
        <v>110</v>
      </c>
      <c r="F324" s="8">
        <v>150</v>
      </c>
      <c r="G324" s="8">
        <v>150</v>
      </c>
      <c r="H324" s="8">
        <v>200</v>
      </c>
      <c r="I324" s="8"/>
      <c r="J324" s="8"/>
      <c r="K324" s="8">
        <v>200</v>
      </c>
      <c r="L324" s="18">
        <v>1284</v>
      </c>
      <c r="M324" s="7">
        <f t="shared" si="4"/>
        <v>256800</v>
      </c>
      <c r="N324" s="4"/>
      <c r="O324" s="9"/>
    </row>
    <row r="325" spans="1:15" ht="20" customHeight="1" x14ac:dyDescent="0.2">
      <c r="A325" s="3">
        <v>321</v>
      </c>
      <c r="B325" s="19"/>
      <c r="C325" s="4" t="s">
        <v>6280</v>
      </c>
      <c r="D325" s="4" t="s">
        <v>5786</v>
      </c>
      <c r="E325" s="4" t="s">
        <v>271</v>
      </c>
      <c r="F325" s="8"/>
      <c r="G325" s="8"/>
      <c r="H325" s="8"/>
      <c r="I325" s="8"/>
      <c r="J325" s="8"/>
      <c r="K325" s="8">
        <v>30</v>
      </c>
      <c r="L325" s="18">
        <v>2850</v>
      </c>
      <c r="M325" s="7">
        <f t="shared" ref="M325:M388" si="5">IF(OR(K325="",L325=""),"",K325*L325)</f>
        <v>85500</v>
      </c>
      <c r="N325" s="4"/>
      <c r="O325" s="9"/>
    </row>
    <row r="326" spans="1:15" ht="20" customHeight="1" x14ac:dyDescent="0.2">
      <c r="A326" s="3">
        <v>322</v>
      </c>
      <c r="B326" s="19"/>
      <c r="C326" s="4" t="s">
        <v>6281</v>
      </c>
      <c r="D326" s="4" t="s">
        <v>5786</v>
      </c>
      <c r="E326" s="4" t="s">
        <v>271</v>
      </c>
      <c r="F326" s="8"/>
      <c r="G326" s="8"/>
      <c r="H326" s="8"/>
      <c r="I326" s="8"/>
      <c r="J326" s="8"/>
      <c r="K326" s="8">
        <v>20</v>
      </c>
      <c r="L326" s="18">
        <v>1750</v>
      </c>
      <c r="M326" s="7">
        <f t="shared" si="5"/>
        <v>35000</v>
      </c>
      <c r="N326" s="4"/>
      <c r="O326" s="9"/>
    </row>
    <row r="327" spans="1:15" ht="20" customHeight="1" x14ac:dyDescent="0.2">
      <c r="A327" s="3">
        <v>323</v>
      </c>
      <c r="B327" s="19"/>
      <c r="C327" s="4" t="s">
        <v>6282</v>
      </c>
      <c r="D327" s="4" t="s">
        <v>5786</v>
      </c>
      <c r="E327" s="4" t="s">
        <v>271</v>
      </c>
      <c r="F327" s="8"/>
      <c r="G327" s="8"/>
      <c r="H327" s="8"/>
      <c r="I327" s="8"/>
      <c r="J327" s="8"/>
      <c r="K327" s="8">
        <v>5</v>
      </c>
      <c r="L327" s="18">
        <v>1450</v>
      </c>
      <c r="M327" s="7">
        <f t="shared" si="5"/>
        <v>7250</v>
      </c>
      <c r="N327" s="4"/>
      <c r="O327" s="9"/>
    </row>
    <row r="328" spans="1:15" ht="20" customHeight="1" x14ac:dyDescent="0.2">
      <c r="A328" s="3">
        <v>324</v>
      </c>
      <c r="B328" s="19"/>
      <c r="C328" s="4" t="s">
        <v>6283</v>
      </c>
      <c r="D328" s="4" t="s">
        <v>5786</v>
      </c>
      <c r="E328" s="4" t="s">
        <v>271</v>
      </c>
      <c r="F328" s="8"/>
      <c r="G328" s="8"/>
      <c r="H328" s="8"/>
      <c r="I328" s="8"/>
      <c r="J328" s="8"/>
      <c r="K328" s="8">
        <v>10</v>
      </c>
      <c r="L328" s="18">
        <v>1250</v>
      </c>
      <c r="M328" s="7">
        <f t="shared" si="5"/>
        <v>12500</v>
      </c>
      <c r="N328" s="4"/>
      <c r="O328" s="9"/>
    </row>
    <row r="329" spans="1:15" ht="22" customHeight="1" x14ac:dyDescent="0.35">
      <c r="A329" s="10" t="s">
        <v>86</v>
      </c>
      <c r="B329" s="20"/>
      <c r="C329" s="11"/>
      <c r="D329" s="11"/>
      <c r="E329" s="11"/>
      <c r="F329" s="11"/>
      <c r="G329" s="11"/>
      <c r="H329" s="11"/>
      <c r="I329" s="11"/>
      <c r="J329" s="11"/>
      <c r="K329" s="13">
        <f>SUM(K5:K328)</f>
        <v>1602897</v>
      </c>
      <c r="L329" s="11"/>
      <c r="M329" s="13">
        <f>SUM(M5:M328)</f>
        <v>62344433.449999996</v>
      </c>
      <c r="N329" s="11"/>
      <c r="O329" s="11"/>
    </row>
    <row r="330" spans="1:15" ht="32" customHeight="1" x14ac:dyDescent="0.2">
      <c r="A330" s="23" t="s">
        <v>6284</v>
      </c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</row>
  </sheetData>
  <autoFilter ref="A4:O328" xr:uid="{00000000-0009-0000-0000-000011000000}"/>
  <mergeCells count="5">
    <mergeCell ref="E2:G2"/>
    <mergeCell ref="A330:O330"/>
    <mergeCell ref="I2:J2"/>
    <mergeCell ref="A1:O1"/>
    <mergeCell ref="F3:O3"/>
  </mergeCells>
  <conditionalFormatting sqref="E3">
    <cfRule type="cellIs" dxfId="23" priority="1" operator="greaterThan">
      <formula>0.009</formula>
    </cfRule>
    <cfRule type="cellIs" dxfId="22" priority="2" operator="lessThan">
      <formula>-0.009</formula>
    </cfRule>
  </conditionalFormatting>
  <dataValidations count="1">
    <dataValidation type="list" allowBlank="1" sqref="O5:O328" xr:uid="{00000000-0002-0000-11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การพยาบาล · DBR/2570/0020</oddHeader>
    <oddFooter>&amp;Lส่งออกจากฐาน VPK-S1 วันที่ 12 ต.ค. 2569&amp;Rหน้า &amp;P / &amp;N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B6848"/>
    <pageSetUpPr fitToPage="1"/>
  </sheetPr>
  <dimension ref="A1:O89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6285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58</v>
      </c>
      <c r="D2" s="14" t="s">
        <v>7</v>
      </c>
      <c r="E2" s="24" t="s">
        <v>60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5117538.21</v>
      </c>
      <c r="D3" s="15" t="s">
        <v>94</v>
      </c>
      <c r="E3" s="17">
        <f>M88-C3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6286</v>
      </c>
      <c r="D5" s="4" t="s">
        <v>59</v>
      </c>
      <c r="E5" s="4" t="s">
        <v>110</v>
      </c>
      <c r="F5" s="8">
        <v>14</v>
      </c>
      <c r="G5" s="8">
        <v>15</v>
      </c>
      <c r="H5" s="8">
        <v>20</v>
      </c>
      <c r="I5" s="8">
        <v>5</v>
      </c>
      <c r="J5" s="8"/>
      <c r="K5" s="8">
        <v>600</v>
      </c>
      <c r="L5" s="18">
        <v>650</v>
      </c>
      <c r="M5" s="7">
        <f t="shared" ref="M5:M36" si="0">IF(OR(K5="",L5=""),"",K5*L5)</f>
        <v>390000</v>
      </c>
      <c r="N5" s="4"/>
      <c r="O5" s="9"/>
    </row>
    <row r="6" spans="1:15" ht="20" customHeight="1" x14ac:dyDescent="0.2">
      <c r="A6" s="3">
        <v>2</v>
      </c>
      <c r="B6" s="19"/>
      <c r="C6" s="4" t="s">
        <v>6287</v>
      </c>
      <c r="D6" s="4" t="s">
        <v>59</v>
      </c>
      <c r="E6" s="4" t="s">
        <v>110</v>
      </c>
      <c r="F6" s="8">
        <v>23</v>
      </c>
      <c r="G6" s="8">
        <v>20</v>
      </c>
      <c r="H6" s="8">
        <v>35</v>
      </c>
      <c r="I6" s="8">
        <v>5</v>
      </c>
      <c r="J6" s="8"/>
      <c r="K6" s="8">
        <v>800</v>
      </c>
      <c r="L6" s="18">
        <v>428</v>
      </c>
      <c r="M6" s="7">
        <f t="shared" si="0"/>
        <v>342400</v>
      </c>
      <c r="N6" s="4"/>
      <c r="O6" s="9"/>
    </row>
    <row r="7" spans="1:15" ht="20" customHeight="1" x14ac:dyDescent="0.2">
      <c r="A7" s="3">
        <v>3</v>
      </c>
      <c r="B7" s="19"/>
      <c r="C7" s="4" t="s">
        <v>6288</v>
      </c>
      <c r="D7" s="4" t="s">
        <v>59</v>
      </c>
      <c r="E7" s="4" t="s">
        <v>110</v>
      </c>
      <c r="F7" s="8">
        <v>20</v>
      </c>
      <c r="G7" s="8">
        <v>5</v>
      </c>
      <c r="H7" s="8">
        <v>15</v>
      </c>
      <c r="I7" s="8">
        <v>5</v>
      </c>
      <c r="J7" s="8"/>
      <c r="K7" s="8">
        <v>150</v>
      </c>
      <c r="L7" s="18">
        <v>360</v>
      </c>
      <c r="M7" s="7">
        <f t="shared" si="0"/>
        <v>54000</v>
      </c>
      <c r="N7" s="4"/>
      <c r="O7" s="9"/>
    </row>
    <row r="8" spans="1:15" ht="20" customHeight="1" x14ac:dyDescent="0.2">
      <c r="A8" s="3">
        <v>4</v>
      </c>
      <c r="B8" s="19"/>
      <c r="C8" s="4" t="s">
        <v>6289</v>
      </c>
      <c r="D8" s="4" t="s">
        <v>59</v>
      </c>
      <c r="E8" s="4" t="s">
        <v>110</v>
      </c>
      <c r="F8" s="8">
        <v>15</v>
      </c>
      <c r="G8" s="8">
        <v>10</v>
      </c>
      <c r="H8" s="8">
        <v>10</v>
      </c>
      <c r="I8" s="8"/>
      <c r="J8" s="8"/>
      <c r="K8" s="8">
        <v>150</v>
      </c>
      <c r="L8" s="18">
        <v>500</v>
      </c>
      <c r="M8" s="7">
        <f t="shared" si="0"/>
        <v>75000</v>
      </c>
      <c r="N8" s="4"/>
      <c r="O8" s="9"/>
    </row>
    <row r="9" spans="1:15" ht="20" customHeight="1" x14ac:dyDescent="0.2">
      <c r="A9" s="3">
        <v>5</v>
      </c>
      <c r="B9" s="19"/>
      <c r="C9" s="4" t="s">
        <v>6290</v>
      </c>
      <c r="D9" s="4" t="s">
        <v>59</v>
      </c>
      <c r="E9" s="4" t="s">
        <v>4723</v>
      </c>
      <c r="F9" s="8"/>
      <c r="G9" s="8"/>
      <c r="H9" s="8">
        <v>96</v>
      </c>
      <c r="I9" s="8">
        <v>10</v>
      </c>
      <c r="J9" s="8"/>
      <c r="K9" s="8">
        <v>50</v>
      </c>
      <c r="L9" s="18">
        <v>235.4</v>
      </c>
      <c r="M9" s="7">
        <f t="shared" si="0"/>
        <v>11770</v>
      </c>
      <c r="N9" s="4"/>
      <c r="O9" s="9"/>
    </row>
    <row r="10" spans="1:15" ht="20" customHeight="1" x14ac:dyDescent="0.2">
      <c r="A10" s="3">
        <v>6</v>
      </c>
      <c r="B10" s="19"/>
      <c r="C10" s="4" t="s">
        <v>6291</v>
      </c>
      <c r="D10" s="4" t="s">
        <v>59</v>
      </c>
      <c r="E10" s="4" t="s">
        <v>271</v>
      </c>
      <c r="F10" s="8"/>
      <c r="G10" s="8">
        <v>30</v>
      </c>
      <c r="H10" s="8"/>
      <c r="I10" s="8"/>
      <c r="J10" s="8"/>
      <c r="K10" s="8">
        <v>30</v>
      </c>
      <c r="L10" s="18">
        <v>750</v>
      </c>
      <c r="M10" s="7">
        <f t="shared" si="0"/>
        <v>22500</v>
      </c>
      <c r="N10" s="4" t="s">
        <v>6292</v>
      </c>
      <c r="O10" s="9"/>
    </row>
    <row r="11" spans="1:15" ht="20" customHeight="1" x14ac:dyDescent="0.2">
      <c r="A11" s="3">
        <v>7</v>
      </c>
      <c r="B11" s="19"/>
      <c r="C11" s="4" t="s">
        <v>6293</v>
      </c>
      <c r="D11" s="4" t="s">
        <v>59</v>
      </c>
      <c r="E11" s="4" t="s">
        <v>271</v>
      </c>
      <c r="F11" s="8"/>
      <c r="G11" s="8">
        <v>10</v>
      </c>
      <c r="H11" s="8"/>
      <c r="I11" s="8"/>
      <c r="J11" s="8"/>
      <c r="K11" s="8">
        <v>10</v>
      </c>
      <c r="L11" s="18">
        <v>750</v>
      </c>
      <c r="M11" s="7">
        <f t="shared" si="0"/>
        <v>7500</v>
      </c>
      <c r="N11" s="4" t="s">
        <v>6294</v>
      </c>
      <c r="O11" s="9"/>
    </row>
    <row r="12" spans="1:15" ht="20" customHeight="1" x14ac:dyDescent="0.2">
      <c r="A12" s="3">
        <v>8</v>
      </c>
      <c r="B12" s="19"/>
      <c r="C12" s="4" t="s">
        <v>6295</v>
      </c>
      <c r="D12" s="4" t="s">
        <v>59</v>
      </c>
      <c r="E12" s="4" t="s">
        <v>196</v>
      </c>
      <c r="F12" s="8">
        <v>10</v>
      </c>
      <c r="G12" s="8">
        <v>20</v>
      </c>
      <c r="H12" s="8">
        <v>10</v>
      </c>
      <c r="I12" s="8">
        <v>2</v>
      </c>
      <c r="J12" s="8"/>
      <c r="K12" s="8">
        <v>10</v>
      </c>
      <c r="L12" s="18">
        <v>1800</v>
      </c>
      <c r="M12" s="7">
        <f t="shared" si="0"/>
        <v>18000</v>
      </c>
      <c r="N12" s="4" t="s">
        <v>6296</v>
      </c>
      <c r="O12" s="9"/>
    </row>
    <row r="13" spans="1:15" ht="20" customHeight="1" x14ac:dyDescent="0.2">
      <c r="A13" s="3">
        <v>9</v>
      </c>
      <c r="B13" s="19"/>
      <c r="C13" s="4" t="s">
        <v>6297</v>
      </c>
      <c r="D13" s="4" t="s">
        <v>59</v>
      </c>
      <c r="E13" s="4" t="s">
        <v>196</v>
      </c>
      <c r="F13" s="8">
        <v>10</v>
      </c>
      <c r="G13" s="8">
        <v>20</v>
      </c>
      <c r="H13" s="8">
        <v>10</v>
      </c>
      <c r="I13" s="8">
        <v>2</v>
      </c>
      <c r="J13" s="8"/>
      <c r="K13" s="8">
        <v>10</v>
      </c>
      <c r="L13" s="18">
        <v>1800</v>
      </c>
      <c r="M13" s="7">
        <f t="shared" si="0"/>
        <v>18000</v>
      </c>
      <c r="N13" s="4" t="s">
        <v>6298</v>
      </c>
      <c r="O13" s="9"/>
    </row>
    <row r="14" spans="1:15" ht="20" customHeight="1" x14ac:dyDescent="0.2">
      <c r="A14" s="3">
        <v>10</v>
      </c>
      <c r="B14" s="19"/>
      <c r="C14" s="4" t="s">
        <v>6299</v>
      </c>
      <c r="D14" s="4" t="s">
        <v>59</v>
      </c>
      <c r="E14" s="4" t="s">
        <v>196</v>
      </c>
      <c r="F14" s="8">
        <v>10</v>
      </c>
      <c r="G14" s="8">
        <v>20</v>
      </c>
      <c r="H14" s="8"/>
      <c r="I14" s="8">
        <v>1</v>
      </c>
      <c r="J14" s="8"/>
      <c r="K14" s="8">
        <v>10</v>
      </c>
      <c r="L14" s="18">
        <v>1800</v>
      </c>
      <c r="M14" s="7">
        <f t="shared" si="0"/>
        <v>18000</v>
      </c>
      <c r="N14" s="4" t="s">
        <v>6300</v>
      </c>
      <c r="O14" s="9"/>
    </row>
    <row r="15" spans="1:15" ht="20" customHeight="1" x14ac:dyDescent="0.2">
      <c r="A15" s="3">
        <v>11</v>
      </c>
      <c r="B15" s="19"/>
      <c r="C15" s="4" t="s">
        <v>6301</v>
      </c>
      <c r="D15" s="4" t="s">
        <v>59</v>
      </c>
      <c r="E15" s="4" t="s">
        <v>271</v>
      </c>
      <c r="F15" s="8">
        <v>100</v>
      </c>
      <c r="G15" s="8">
        <v>100</v>
      </c>
      <c r="H15" s="8">
        <v>100</v>
      </c>
      <c r="I15" s="8">
        <v>20</v>
      </c>
      <c r="J15" s="8"/>
      <c r="K15" s="8">
        <v>20</v>
      </c>
      <c r="L15" s="18">
        <v>30</v>
      </c>
      <c r="M15" s="7">
        <f t="shared" si="0"/>
        <v>600</v>
      </c>
      <c r="N15" s="4"/>
      <c r="O15" s="9"/>
    </row>
    <row r="16" spans="1:15" ht="20" customHeight="1" x14ac:dyDescent="0.2">
      <c r="A16" s="3">
        <v>12</v>
      </c>
      <c r="B16" s="19"/>
      <c r="C16" s="4" t="s">
        <v>6302</v>
      </c>
      <c r="D16" s="4" t="s">
        <v>59</v>
      </c>
      <c r="E16" s="4" t="s">
        <v>271</v>
      </c>
      <c r="F16" s="8">
        <v>100</v>
      </c>
      <c r="G16" s="8">
        <v>100</v>
      </c>
      <c r="H16" s="8">
        <v>100</v>
      </c>
      <c r="I16" s="8">
        <v>20</v>
      </c>
      <c r="J16" s="8"/>
      <c r="K16" s="8">
        <v>20</v>
      </c>
      <c r="L16" s="18">
        <v>30</v>
      </c>
      <c r="M16" s="7">
        <f t="shared" si="0"/>
        <v>600</v>
      </c>
      <c r="N16" s="4"/>
      <c r="O16" s="9"/>
    </row>
    <row r="17" spans="1:15" ht="20" customHeight="1" x14ac:dyDescent="0.2">
      <c r="A17" s="3">
        <v>13</v>
      </c>
      <c r="B17" s="19"/>
      <c r="C17" s="4" t="s">
        <v>6303</v>
      </c>
      <c r="D17" s="4" t="s">
        <v>59</v>
      </c>
      <c r="E17" s="4" t="s">
        <v>271</v>
      </c>
      <c r="F17" s="8"/>
      <c r="G17" s="8"/>
      <c r="H17" s="8"/>
      <c r="I17" s="8">
        <v>5</v>
      </c>
      <c r="J17" s="8"/>
      <c r="K17" s="8">
        <v>10</v>
      </c>
      <c r="L17" s="18">
        <v>30</v>
      </c>
      <c r="M17" s="7">
        <f t="shared" si="0"/>
        <v>300</v>
      </c>
      <c r="N17" s="4"/>
      <c r="O17" s="9"/>
    </row>
    <row r="18" spans="1:15" ht="20" customHeight="1" x14ac:dyDescent="0.2">
      <c r="A18" s="3">
        <v>14</v>
      </c>
      <c r="B18" s="19"/>
      <c r="C18" s="4" t="s">
        <v>6304</v>
      </c>
      <c r="D18" s="4" t="s">
        <v>59</v>
      </c>
      <c r="E18" s="4" t="s">
        <v>196</v>
      </c>
      <c r="F18" s="8">
        <v>600</v>
      </c>
      <c r="G18" s="8">
        <v>600</v>
      </c>
      <c r="H18" s="8">
        <v>800</v>
      </c>
      <c r="I18" s="8">
        <v>40</v>
      </c>
      <c r="J18" s="8"/>
      <c r="K18" s="8">
        <v>150</v>
      </c>
      <c r="L18" s="18">
        <v>25</v>
      </c>
      <c r="M18" s="7">
        <f t="shared" si="0"/>
        <v>3750</v>
      </c>
      <c r="N18" s="4"/>
      <c r="O18" s="9"/>
    </row>
    <row r="19" spans="1:15" ht="20" customHeight="1" x14ac:dyDescent="0.2">
      <c r="A19" s="3">
        <v>15</v>
      </c>
      <c r="B19" s="19"/>
      <c r="C19" s="4" t="s">
        <v>6305</v>
      </c>
      <c r="D19" s="4" t="s">
        <v>59</v>
      </c>
      <c r="E19" s="4" t="s">
        <v>196</v>
      </c>
      <c r="F19" s="8">
        <v>400</v>
      </c>
      <c r="G19" s="8">
        <v>400</v>
      </c>
      <c r="H19" s="8">
        <v>500</v>
      </c>
      <c r="I19" s="8">
        <v>20</v>
      </c>
      <c r="J19" s="8"/>
      <c r="K19" s="8">
        <v>150</v>
      </c>
      <c r="L19" s="18">
        <v>25</v>
      </c>
      <c r="M19" s="7">
        <f t="shared" si="0"/>
        <v>3750</v>
      </c>
      <c r="N19" s="4"/>
      <c r="O19" s="9"/>
    </row>
    <row r="20" spans="1:15" ht="20" customHeight="1" x14ac:dyDescent="0.2">
      <c r="A20" s="3">
        <v>16</v>
      </c>
      <c r="B20" s="19"/>
      <c r="C20" s="4" t="s">
        <v>6306</v>
      </c>
      <c r="D20" s="4" t="s">
        <v>59</v>
      </c>
      <c r="E20" s="4" t="s">
        <v>196</v>
      </c>
      <c r="F20" s="8"/>
      <c r="G20" s="8">
        <v>100</v>
      </c>
      <c r="H20" s="8"/>
      <c r="I20" s="8">
        <v>5</v>
      </c>
      <c r="J20" s="8"/>
      <c r="K20" s="8">
        <v>30</v>
      </c>
      <c r="L20" s="18">
        <v>25</v>
      </c>
      <c r="M20" s="7">
        <f t="shared" si="0"/>
        <v>750</v>
      </c>
      <c r="N20" s="4"/>
      <c r="O20" s="9"/>
    </row>
    <row r="21" spans="1:15" ht="20" customHeight="1" x14ac:dyDescent="0.2">
      <c r="A21" s="3">
        <v>17</v>
      </c>
      <c r="B21" s="19"/>
      <c r="C21" s="4" t="s">
        <v>6307</v>
      </c>
      <c r="D21" s="4" t="s">
        <v>59</v>
      </c>
      <c r="E21" s="4" t="s">
        <v>196</v>
      </c>
      <c r="F21" s="8"/>
      <c r="G21" s="8">
        <v>100</v>
      </c>
      <c r="H21" s="8">
        <v>150</v>
      </c>
      <c r="I21" s="8">
        <v>10</v>
      </c>
      <c r="J21" s="8"/>
      <c r="K21" s="8">
        <v>20</v>
      </c>
      <c r="L21" s="18">
        <v>25</v>
      </c>
      <c r="M21" s="7">
        <f t="shared" si="0"/>
        <v>500</v>
      </c>
      <c r="N21" s="4"/>
      <c r="O21" s="9"/>
    </row>
    <row r="22" spans="1:15" ht="20" customHeight="1" x14ac:dyDescent="0.2">
      <c r="A22" s="3">
        <v>18</v>
      </c>
      <c r="B22" s="19"/>
      <c r="C22" s="4" t="s">
        <v>6308</v>
      </c>
      <c r="D22" s="4" t="s">
        <v>59</v>
      </c>
      <c r="E22" s="4" t="s">
        <v>271</v>
      </c>
      <c r="F22" s="8">
        <v>58</v>
      </c>
      <c r="G22" s="8">
        <v>48</v>
      </c>
      <c r="H22" s="8"/>
      <c r="I22" s="8">
        <v>10</v>
      </c>
      <c r="J22" s="8"/>
      <c r="K22" s="8">
        <v>20</v>
      </c>
      <c r="L22" s="18">
        <v>45</v>
      </c>
      <c r="M22" s="7">
        <f t="shared" si="0"/>
        <v>900</v>
      </c>
      <c r="N22" s="4"/>
      <c r="O22" s="9"/>
    </row>
    <row r="23" spans="1:15" ht="20" customHeight="1" x14ac:dyDescent="0.2">
      <c r="A23" s="3">
        <v>19</v>
      </c>
      <c r="B23" s="19"/>
      <c r="C23" s="4" t="s">
        <v>6309</v>
      </c>
      <c r="D23" s="4" t="s">
        <v>59</v>
      </c>
      <c r="E23" s="4" t="s">
        <v>271</v>
      </c>
      <c r="F23" s="8">
        <v>20</v>
      </c>
      <c r="G23" s="8">
        <v>60</v>
      </c>
      <c r="H23" s="8">
        <v>60</v>
      </c>
      <c r="I23" s="8"/>
      <c r="J23" s="8"/>
      <c r="K23" s="8">
        <v>20</v>
      </c>
      <c r="L23" s="18">
        <v>45</v>
      </c>
      <c r="M23" s="7">
        <f t="shared" si="0"/>
        <v>900</v>
      </c>
      <c r="N23" s="4"/>
      <c r="O23" s="9"/>
    </row>
    <row r="24" spans="1:15" ht="20" customHeight="1" x14ac:dyDescent="0.2">
      <c r="A24" s="3">
        <v>20</v>
      </c>
      <c r="B24" s="19"/>
      <c r="C24" s="4" t="s">
        <v>6310</v>
      </c>
      <c r="D24" s="4" t="s">
        <v>59</v>
      </c>
      <c r="E24" s="4" t="s">
        <v>271</v>
      </c>
      <c r="F24" s="8">
        <v>28</v>
      </c>
      <c r="G24" s="8">
        <v>60</v>
      </c>
      <c r="H24" s="8">
        <v>60</v>
      </c>
      <c r="I24" s="8"/>
      <c r="J24" s="8"/>
      <c r="K24" s="8">
        <v>10</v>
      </c>
      <c r="L24" s="18">
        <v>45</v>
      </c>
      <c r="M24" s="7">
        <f t="shared" si="0"/>
        <v>450</v>
      </c>
      <c r="N24" s="4"/>
      <c r="O24" s="9"/>
    </row>
    <row r="25" spans="1:15" ht="20" customHeight="1" x14ac:dyDescent="0.2">
      <c r="A25" s="3">
        <v>21</v>
      </c>
      <c r="B25" s="19"/>
      <c r="C25" s="4" t="s">
        <v>6311</v>
      </c>
      <c r="D25" s="4" t="s">
        <v>59</v>
      </c>
      <c r="E25" s="4" t="s">
        <v>271</v>
      </c>
      <c r="F25" s="8">
        <v>60</v>
      </c>
      <c r="G25" s="8">
        <v>60</v>
      </c>
      <c r="H25" s="8">
        <v>20</v>
      </c>
      <c r="I25" s="8">
        <v>10</v>
      </c>
      <c r="J25" s="8"/>
      <c r="K25" s="8">
        <v>30</v>
      </c>
      <c r="L25" s="18">
        <v>428</v>
      </c>
      <c r="M25" s="7">
        <f t="shared" si="0"/>
        <v>12840</v>
      </c>
      <c r="N25" s="4"/>
      <c r="O25" s="9"/>
    </row>
    <row r="26" spans="1:15" ht="20" customHeight="1" x14ac:dyDescent="0.2">
      <c r="A26" s="3">
        <v>22</v>
      </c>
      <c r="B26" s="19"/>
      <c r="C26" s="4" t="s">
        <v>6312</v>
      </c>
      <c r="D26" s="4" t="s">
        <v>59</v>
      </c>
      <c r="E26" s="4" t="s">
        <v>271</v>
      </c>
      <c r="F26" s="8">
        <v>150</v>
      </c>
      <c r="G26" s="8">
        <v>150</v>
      </c>
      <c r="H26" s="8">
        <v>100</v>
      </c>
      <c r="I26" s="8">
        <v>15</v>
      </c>
      <c r="J26" s="8"/>
      <c r="K26" s="8">
        <v>100</v>
      </c>
      <c r="L26" s="18">
        <v>140</v>
      </c>
      <c r="M26" s="7">
        <f t="shared" si="0"/>
        <v>14000</v>
      </c>
      <c r="N26" s="4"/>
      <c r="O26" s="9"/>
    </row>
    <row r="27" spans="1:15" ht="20" customHeight="1" x14ac:dyDescent="0.2">
      <c r="A27" s="3">
        <v>23</v>
      </c>
      <c r="B27" s="19"/>
      <c r="C27" s="4" t="s">
        <v>6313</v>
      </c>
      <c r="D27" s="4" t="s">
        <v>59</v>
      </c>
      <c r="E27" s="4" t="s">
        <v>271</v>
      </c>
      <c r="F27" s="8">
        <v>230</v>
      </c>
      <c r="G27" s="8">
        <v>250</v>
      </c>
      <c r="H27" s="8">
        <v>100</v>
      </c>
      <c r="I27" s="8">
        <v>12</v>
      </c>
      <c r="J27" s="8"/>
      <c r="K27" s="8">
        <v>100</v>
      </c>
      <c r="L27" s="18">
        <v>140</v>
      </c>
      <c r="M27" s="7">
        <f t="shared" si="0"/>
        <v>14000</v>
      </c>
      <c r="N27" s="4"/>
      <c r="O27" s="9"/>
    </row>
    <row r="28" spans="1:15" ht="20" customHeight="1" x14ac:dyDescent="0.2">
      <c r="A28" s="3">
        <v>24</v>
      </c>
      <c r="B28" s="19"/>
      <c r="C28" s="4" t="s">
        <v>6314</v>
      </c>
      <c r="D28" s="4" t="s">
        <v>59</v>
      </c>
      <c r="E28" s="4"/>
      <c r="F28" s="8"/>
      <c r="G28" s="8"/>
      <c r="H28" s="8">
        <v>100</v>
      </c>
      <c r="I28" s="8"/>
      <c r="J28" s="8"/>
      <c r="K28" s="8">
        <v>100</v>
      </c>
      <c r="L28" s="18">
        <v>140</v>
      </c>
      <c r="M28" s="7">
        <f t="shared" si="0"/>
        <v>14000</v>
      </c>
      <c r="N28" s="4"/>
      <c r="O28" s="9"/>
    </row>
    <row r="29" spans="1:15" ht="20" customHeight="1" x14ac:dyDescent="0.2">
      <c r="A29" s="3">
        <v>25</v>
      </c>
      <c r="B29" s="19"/>
      <c r="C29" s="4" t="s">
        <v>6315</v>
      </c>
      <c r="D29" s="4" t="s">
        <v>59</v>
      </c>
      <c r="E29" s="4" t="s">
        <v>196</v>
      </c>
      <c r="F29" s="8">
        <v>50</v>
      </c>
      <c r="G29" s="8">
        <v>50</v>
      </c>
      <c r="H29" s="8">
        <v>50</v>
      </c>
      <c r="I29" s="8"/>
      <c r="J29" s="8"/>
      <c r="K29" s="8">
        <v>20</v>
      </c>
      <c r="L29" s="18">
        <v>180</v>
      </c>
      <c r="M29" s="7">
        <f t="shared" si="0"/>
        <v>3600</v>
      </c>
      <c r="N29" s="4"/>
      <c r="O29" s="9"/>
    </row>
    <row r="30" spans="1:15" ht="20" customHeight="1" x14ac:dyDescent="0.2">
      <c r="A30" s="3">
        <v>26</v>
      </c>
      <c r="B30" s="19"/>
      <c r="C30" s="4" t="s">
        <v>6316</v>
      </c>
      <c r="D30" s="4" t="s">
        <v>59</v>
      </c>
      <c r="E30" s="4" t="s">
        <v>196</v>
      </c>
      <c r="F30" s="8">
        <v>150</v>
      </c>
      <c r="G30" s="8">
        <v>150</v>
      </c>
      <c r="H30" s="8">
        <v>50</v>
      </c>
      <c r="I30" s="8">
        <v>5</v>
      </c>
      <c r="J30" s="8"/>
      <c r="K30" s="8">
        <v>40</v>
      </c>
      <c r="L30" s="18">
        <v>180</v>
      </c>
      <c r="M30" s="7">
        <f t="shared" si="0"/>
        <v>7200</v>
      </c>
      <c r="N30" s="4"/>
      <c r="O30" s="9"/>
    </row>
    <row r="31" spans="1:15" ht="20" customHeight="1" x14ac:dyDescent="0.2">
      <c r="A31" s="3">
        <v>27</v>
      </c>
      <c r="B31" s="19"/>
      <c r="C31" s="4" t="s">
        <v>6317</v>
      </c>
      <c r="D31" s="4" t="s">
        <v>59</v>
      </c>
      <c r="E31" s="4" t="s">
        <v>196</v>
      </c>
      <c r="F31" s="8"/>
      <c r="G31" s="8"/>
      <c r="H31" s="8">
        <v>50</v>
      </c>
      <c r="I31" s="8">
        <v>5</v>
      </c>
      <c r="J31" s="8"/>
      <c r="K31" s="8">
        <v>20</v>
      </c>
      <c r="L31" s="18">
        <v>180</v>
      </c>
      <c r="M31" s="7">
        <f t="shared" si="0"/>
        <v>3600</v>
      </c>
      <c r="N31" s="4"/>
      <c r="O31" s="9"/>
    </row>
    <row r="32" spans="1:15" ht="20" customHeight="1" x14ac:dyDescent="0.2">
      <c r="A32" s="3">
        <v>28</v>
      </c>
      <c r="B32" s="19"/>
      <c r="C32" s="4" t="s">
        <v>6318</v>
      </c>
      <c r="D32" s="4" t="s">
        <v>59</v>
      </c>
      <c r="E32" s="4" t="s">
        <v>196</v>
      </c>
      <c r="F32" s="8"/>
      <c r="G32" s="8"/>
      <c r="H32" s="8"/>
      <c r="I32" s="8"/>
      <c r="J32" s="8"/>
      <c r="K32" s="8">
        <v>10</v>
      </c>
      <c r="L32" s="18">
        <v>180</v>
      </c>
      <c r="M32" s="7">
        <f t="shared" si="0"/>
        <v>1800</v>
      </c>
      <c r="N32" s="4"/>
      <c r="O32" s="9"/>
    </row>
    <row r="33" spans="1:15" ht="20" customHeight="1" x14ac:dyDescent="0.2">
      <c r="A33" s="3">
        <v>29</v>
      </c>
      <c r="B33" s="19"/>
      <c r="C33" s="4" t="s">
        <v>6319</v>
      </c>
      <c r="D33" s="4" t="s">
        <v>59</v>
      </c>
      <c r="E33" s="4" t="s">
        <v>190</v>
      </c>
      <c r="F33" s="8"/>
      <c r="G33" s="8"/>
      <c r="H33" s="8">
        <v>20</v>
      </c>
      <c r="I33" s="8"/>
      <c r="J33" s="8"/>
      <c r="K33" s="8">
        <v>50</v>
      </c>
      <c r="L33" s="18">
        <v>584.96</v>
      </c>
      <c r="M33" s="7">
        <f t="shared" si="0"/>
        <v>29248</v>
      </c>
      <c r="N33" s="4"/>
      <c r="O33" s="9"/>
    </row>
    <row r="34" spans="1:15" ht="20" customHeight="1" x14ac:dyDescent="0.2">
      <c r="A34" s="3">
        <v>30</v>
      </c>
      <c r="B34" s="19"/>
      <c r="C34" s="4" t="s">
        <v>6320</v>
      </c>
      <c r="D34" s="4" t="s">
        <v>59</v>
      </c>
      <c r="E34" s="4" t="s">
        <v>190</v>
      </c>
      <c r="F34" s="8">
        <v>160</v>
      </c>
      <c r="G34" s="8">
        <v>160</v>
      </c>
      <c r="H34" s="8">
        <v>200</v>
      </c>
      <c r="I34" s="8">
        <v>10</v>
      </c>
      <c r="J34" s="8"/>
      <c r="K34" s="8">
        <v>400</v>
      </c>
      <c r="L34" s="18">
        <v>385.2</v>
      </c>
      <c r="M34" s="7">
        <f t="shared" si="0"/>
        <v>154080</v>
      </c>
      <c r="N34" s="4"/>
      <c r="O34" s="9"/>
    </row>
    <row r="35" spans="1:15" ht="20" customHeight="1" x14ac:dyDescent="0.2">
      <c r="A35" s="3">
        <v>31</v>
      </c>
      <c r="B35" s="19"/>
      <c r="C35" s="4" t="s">
        <v>6321</v>
      </c>
      <c r="D35" s="4" t="s">
        <v>59</v>
      </c>
      <c r="E35" s="4" t="s">
        <v>190</v>
      </c>
      <c r="F35" s="8">
        <v>100</v>
      </c>
      <c r="G35" s="8">
        <v>100</v>
      </c>
      <c r="H35" s="8">
        <v>250</v>
      </c>
      <c r="I35" s="8">
        <v>10</v>
      </c>
      <c r="J35" s="8"/>
      <c r="K35" s="8">
        <v>300</v>
      </c>
      <c r="L35" s="18">
        <v>276.06</v>
      </c>
      <c r="M35" s="7">
        <f t="shared" si="0"/>
        <v>82818</v>
      </c>
      <c r="N35" s="4"/>
      <c r="O35" s="9"/>
    </row>
    <row r="36" spans="1:15" ht="20" customHeight="1" x14ac:dyDescent="0.2">
      <c r="A36" s="3">
        <v>32</v>
      </c>
      <c r="B36" s="19"/>
      <c r="C36" s="4" t="s">
        <v>6322</v>
      </c>
      <c r="D36" s="4" t="s">
        <v>59</v>
      </c>
      <c r="E36" s="4" t="s">
        <v>271</v>
      </c>
      <c r="F36" s="8"/>
      <c r="G36" s="8"/>
      <c r="H36" s="8"/>
      <c r="I36" s="8"/>
      <c r="J36" s="8"/>
      <c r="K36" s="8">
        <v>2</v>
      </c>
      <c r="L36" s="18">
        <v>3400</v>
      </c>
      <c r="M36" s="7">
        <f t="shared" si="0"/>
        <v>6800</v>
      </c>
      <c r="N36" s="4"/>
      <c r="O36" s="9"/>
    </row>
    <row r="37" spans="1:15" ht="20" customHeight="1" x14ac:dyDescent="0.2">
      <c r="A37" s="3">
        <v>33</v>
      </c>
      <c r="B37" s="19"/>
      <c r="C37" s="4" t="s">
        <v>6323</v>
      </c>
      <c r="D37" s="4" t="s">
        <v>59</v>
      </c>
      <c r="E37" s="4" t="s">
        <v>271</v>
      </c>
      <c r="F37" s="8">
        <v>25</v>
      </c>
      <c r="G37" s="8">
        <v>30</v>
      </c>
      <c r="H37" s="8"/>
      <c r="I37" s="8"/>
      <c r="J37" s="8"/>
      <c r="K37" s="8">
        <v>10</v>
      </c>
      <c r="L37" s="18">
        <v>2700</v>
      </c>
      <c r="M37" s="7">
        <f t="shared" ref="M37:M68" si="1">IF(OR(K37="",L37=""),"",K37*L37)</f>
        <v>27000</v>
      </c>
      <c r="N37" s="4"/>
      <c r="O37" s="9"/>
    </row>
    <row r="38" spans="1:15" ht="20" customHeight="1" x14ac:dyDescent="0.2">
      <c r="A38" s="3">
        <v>34</v>
      </c>
      <c r="B38" s="19"/>
      <c r="C38" s="4" t="s">
        <v>6324</v>
      </c>
      <c r="D38" s="4" t="s">
        <v>59</v>
      </c>
      <c r="E38" s="4" t="s">
        <v>271</v>
      </c>
      <c r="F38" s="8"/>
      <c r="G38" s="8"/>
      <c r="H38" s="8"/>
      <c r="I38" s="8"/>
      <c r="J38" s="8"/>
      <c r="K38" s="8">
        <v>2</v>
      </c>
      <c r="L38" s="18">
        <v>3400</v>
      </c>
      <c r="M38" s="7">
        <f t="shared" si="1"/>
        <v>6800</v>
      </c>
      <c r="N38" s="4"/>
      <c r="O38" s="9"/>
    </row>
    <row r="39" spans="1:15" ht="20" customHeight="1" x14ac:dyDescent="0.2">
      <c r="A39" s="3">
        <v>35</v>
      </c>
      <c r="B39" s="19"/>
      <c r="C39" s="4" t="s">
        <v>6325</v>
      </c>
      <c r="D39" s="4" t="s">
        <v>59</v>
      </c>
      <c r="E39" s="4" t="s">
        <v>271</v>
      </c>
      <c r="F39" s="8">
        <v>25</v>
      </c>
      <c r="G39" s="8">
        <v>30</v>
      </c>
      <c r="H39" s="8">
        <v>30</v>
      </c>
      <c r="I39" s="8"/>
      <c r="J39" s="8"/>
      <c r="K39" s="8">
        <v>20</v>
      </c>
      <c r="L39" s="18">
        <v>2700</v>
      </c>
      <c r="M39" s="7">
        <f t="shared" si="1"/>
        <v>54000</v>
      </c>
      <c r="N39" s="4"/>
      <c r="O39" s="9"/>
    </row>
    <row r="40" spans="1:15" ht="20" customHeight="1" x14ac:dyDescent="0.2">
      <c r="A40" s="3">
        <v>36</v>
      </c>
      <c r="B40" s="19"/>
      <c r="C40" s="4" t="s">
        <v>6326</v>
      </c>
      <c r="D40" s="4" t="s">
        <v>59</v>
      </c>
      <c r="E40" s="4" t="s">
        <v>271</v>
      </c>
      <c r="F40" s="8"/>
      <c r="G40" s="8"/>
      <c r="H40" s="8"/>
      <c r="I40" s="8"/>
      <c r="J40" s="8"/>
      <c r="K40" s="8">
        <v>2</v>
      </c>
      <c r="L40" s="18">
        <v>3400</v>
      </c>
      <c r="M40" s="7">
        <f t="shared" si="1"/>
        <v>6800</v>
      </c>
      <c r="N40" s="4"/>
      <c r="O40" s="9"/>
    </row>
    <row r="41" spans="1:15" ht="20" customHeight="1" x14ac:dyDescent="0.2">
      <c r="A41" s="3">
        <v>37</v>
      </c>
      <c r="B41" s="19"/>
      <c r="C41" s="4" t="s">
        <v>6327</v>
      </c>
      <c r="D41" s="4" t="s">
        <v>59</v>
      </c>
      <c r="E41" s="4" t="s">
        <v>271</v>
      </c>
      <c r="F41" s="8">
        <v>25</v>
      </c>
      <c r="G41" s="8">
        <v>30</v>
      </c>
      <c r="H41" s="8">
        <v>30</v>
      </c>
      <c r="I41" s="8"/>
      <c r="J41" s="8"/>
      <c r="K41" s="8">
        <v>20</v>
      </c>
      <c r="L41" s="18">
        <v>2700</v>
      </c>
      <c r="M41" s="7">
        <f t="shared" si="1"/>
        <v>54000</v>
      </c>
      <c r="N41" s="4"/>
      <c r="O41" s="9"/>
    </row>
    <row r="42" spans="1:15" ht="20" customHeight="1" x14ac:dyDescent="0.2">
      <c r="A42" s="3">
        <v>38</v>
      </c>
      <c r="B42" s="19"/>
      <c r="C42" s="4" t="s">
        <v>6328</v>
      </c>
      <c r="D42" s="4" t="s">
        <v>59</v>
      </c>
      <c r="E42" s="4" t="s">
        <v>271</v>
      </c>
      <c r="F42" s="8">
        <v>20</v>
      </c>
      <c r="G42" s="8">
        <v>30</v>
      </c>
      <c r="H42" s="8"/>
      <c r="I42" s="8"/>
      <c r="J42" s="8"/>
      <c r="K42" s="8">
        <v>5</v>
      </c>
      <c r="L42" s="18">
        <v>2700</v>
      </c>
      <c r="M42" s="7">
        <f t="shared" si="1"/>
        <v>13500</v>
      </c>
      <c r="N42" s="4"/>
      <c r="O42" s="9"/>
    </row>
    <row r="43" spans="1:15" ht="20" customHeight="1" x14ac:dyDescent="0.2">
      <c r="A43" s="3">
        <v>39</v>
      </c>
      <c r="B43" s="19"/>
      <c r="C43" s="4" t="s">
        <v>6329</v>
      </c>
      <c r="D43" s="4" t="s">
        <v>59</v>
      </c>
      <c r="E43" s="4" t="s">
        <v>271</v>
      </c>
      <c r="F43" s="8"/>
      <c r="G43" s="8"/>
      <c r="H43" s="8"/>
      <c r="I43" s="8"/>
      <c r="J43" s="8"/>
      <c r="K43" s="8">
        <v>30</v>
      </c>
      <c r="L43" s="18">
        <v>593.85</v>
      </c>
      <c r="M43" s="7">
        <f t="shared" si="1"/>
        <v>17815.5</v>
      </c>
      <c r="N43" s="4"/>
      <c r="O43" s="9"/>
    </row>
    <row r="44" spans="1:15" ht="20" customHeight="1" x14ac:dyDescent="0.2">
      <c r="A44" s="3">
        <v>40</v>
      </c>
      <c r="B44" s="19"/>
      <c r="C44" s="4" t="s">
        <v>6330</v>
      </c>
      <c r="D44" s="4" t="s">
        <v>59</v>
      </c>
      <c r="E44" s="4" t="s">
        <v>271</v>
      </c>
      <c r="F44" s="8"/>
      <c r="G44" s="8"/>
      <c r="H44" s="8"/>
      <c r="I44" s="8"/>
      <c r="J44" s="8"/>
      <c r="K44" s="8">
        <v>30</v>
      </c>
      <c r="L44" s="18">
        <v>593.85</v>
      </c>
      <c r="M44" s="7">
        <f t="shared" si="1"/>
        <v>17815.5</v>
      </c>
      <c r="N44" s="4"/>
      <c r="O44" s="9"/>
    </row>
    <row r="45" spans="1:15" ht="20" customHeight="1" x14ac:dyDescent="0.2">
      <c r="A45" s="3">
        <v>41</v>
      </c>
      <c r="B45" s="19"/>
      <c r="C45" s="4" t="s">
        <v>6331</v>
      </c>
      <c r="D45" s="4" t="s">
        <v>59</v>
      </c>
      <c r="E45" s="4" t="s">
        <v>110</v>
      </c>
      <c r="F45" s="8">
        <v>40</v>
      </c>
      <c r="G45" s="8">
        <v>50</v>
      </c>
      <c r="H45" s="8">
        <v>25</v>
      </c>
      <c r="I45" s="8"/>
      <c r="J45" s="8"/>
      <c r="K45" s="8">
        <v>150</v>
      </c>
      <c r="L45" s="18">
        <v>2140</v>
      </c>
      <c r="M45" s="7">
        <f t="shared" si="1"/>
        <v>321000</v>
      </c>
      <c r="N45" s="4"/>
      <c r="O45" s="9"/>
    </row>
    <row r="46" spans="1:15" ht="20" customHeight="1" x14ac:dyDescent="0.2">
      <c r="A46" s="3">
        <v>42</v>
      </c>
      <c r="B46" s="19"/>
      <c r="C46" s="4" t="s">
        <v>6332</v>
      </c>
      <c r="D46" s="4" t="s">
        <v>59</v>
      </c>
      <c r="E46" s="4" t="s">
        <v>110</v>
      </c>
      <c r="F46" s="8">
        <v>20</v>
      </c>
      <c r="G46" s="8">
        <v>30</v>
      </c>
      <c r="H46" s="8">
        <v>30</v>
      </c>
      <c r="I46" s="8"/>
      <c r="J46" s="8"/>
      <c r="K46" s="8">
        <v>150</v>
      </c>
      <c r="L46" s="18">
        <v>3210</v>
      </c>
      <c r="M46" s="7">
        <f t="shared" si="1"/>
        <v>481500</v>
      </c>
      <c r="N46" s="4"/>
      <c r="O46" s="9"/>
    </row>
    <row r="47" spans="1:15" ht="20" customHeight="1" x14ac:dyDescent="0.2">
      <c r="A47" s="3">
        <v>43</v>
      </c>
      <c r="B47" s="19"/>
      <c r="C47" s="4" t="s">
        <v>6333</v>
      </c>
      <c r="D47" s="4" t="s">
        <v>59</v>
      </c>
      <c r="E47" s="4" t="s">
        <v>110</v>
      </c>
      <c r="F47" s="8">
        <v>40</v>
      </c>
      <c r="G47" s="8">
        <v>50</v>
      </c>
      <c r="H47" s="8">
        <v>20</v>
      </c>
      <c r="I47" s="8"/>
      <c r="J47" s="8"/>
      <c r="K47" s="8">
        <v>300</v>
      </c>
      <c r="L47" s="18">
        <v>3477.5</v>
      </c>
      <c r="M47" s="7">
        <f t="shared" si="1"/>
        <v>1043250</v>
      </c>
      <c r="N47" s="4"/>
      <c r="O47" s="9"/>
    </row>
    <row r="48" spans="1:15" ht="20" customHeight="1" x14ac:dyDescent="0.2">
      <c r="A48" s="3">
        <v>44</v>
      </c>
      <c r="B48" s="19"/>
      <c r="C48" s="4" t="s">
        <v>6334</v>
      </c>
      <c r="D48" s="4" t="s">
        <v>59</v>
      </c>
      <c r="E48" s="4" t="s">
        <v>110</v>
      </c>
      <c r="F48" s="8">
        <v>10</v>
      </c>
      <c r="G48" s="8">
        <v>10</v>
      </c>
      <c r="H48" s="8">
        <v>10</v>
      </c>
      <c r="I48" s="8"/>
      <c r="J48" s="8"/>
      <c r="K48" s="8">
        <v>250</v>
      </c>
      <c r="L48" s="18">
        <v>4280</v>
      </c>
      <c r="M48" s="7">
        <f t="shared" si="1"/>
        <v>1070000</v>
      </c>
      <c r="N48" s="4"/>
      <c r="O48" s="9"/>
    </row>
    <row r="49" spans="1:15" ht="20" customHeight="1" x14ac:dyDescent="0.2">
      <c r="A49" s="3">
        <v>45</v>
      </c>
      <c r="B49" s="19"/>
      <c r="C49" s="4" t="s">
        <v>6335</v>
      </c>
      <c r="D49" s="4" t="s">
        <v>59</v>
      </c>
      <c r="E49" s="4" t="s">
        <v>271</v>
      </c>
      <c r="F49" s="8">
        <v>20</v>
      </c>
      <c r="G49" s="8">
        <v>10</v>
      </c>
      <c r="H49" s="8"/>
      <c r="I49" s="8"/>
      <c r="J49" s="8"/>
      <c r="K49" s="8">
        <v>20</v>
      </c>
      <c r="L49" s="18">
        <v>625.95000000000005</v>
      </c>
      <c r="M49" s="7">
        <f t="shared" si="1"/>
        <v>12519</v>
      </c>
      <c r="N49" s="4"/>
      <c r="O49" s="9"/>
    </row>
    <row r="50" spans="1:15" ht="20" customHeight="1" x14ac:dyDescent="0.2">
      <c r="A50" s="3">
        <v>46</v>
      </c>
      <c r="B50" s="19"/>
      <c r="C50" s="4" t="s">
        <v>6336</v>
      </c>
      <c r="D50" s="4" t="s">
        <v>59</v>
      </c>
      <c r="E50" s="4" t="s">
        <v>196</v>
      </c>
      <c r="F50" s="8">
        <v>60</v>
      </c>
      <c r="G50" s="8">
        <v>60</v>
      </c>
      <c r="H50" s="8">
        <v>160</v>
      </c>
      <c r="I50" s="8">
        <v>10</v>
      </c>
      <c r="J50" s="8"/>
      <c r="K50" s="8">
        <v>30</v>
      </c>
      <c r="L50" s="18">
        <v>1950</v>
      </c>
      <c r="M50" s="7">
        <f t="shared" si="1"/>
        <v>58500</v>
      </c>
      <c r="N50" s="4"/>
      <c r="O50" s="9"/>
    </row>
    <row r="51" spans="1:15" ht="20" customHeight="1" x14ac:dyDescent="0.2">
      <c r="A51" s="3">
        <v>47</v>
      </c>
      <c r="B51" s="19"/>
      <c r="C51" s="4" t="s">
        <v>6337</v>
      </c>
      <c r="D51" s="4" t="s">
        <v>59</v>
      </c>
      <c r="E51" s="4" t="s">
        <v>196</v>
      </c>
      <c r="F51" s="8">
        <v>100</v>
      </c>
      <c r="G51" s="8">
        <v>100</v>
      </c>
      <c r="H51" s="8">
        <v>120</v>
      </c>
      <c r="I51" s="8"/>
      <c r="J51" s="8"/>
      <c r="K51" s="8">
        <v>30</v>
      </c>
      <c r="L51" s="18">
        <v>1950</v>
      </c>
      <c r="M51" s="7">
        <f t="shared" si="1"/>
        <v>58500</v>
      </c>
      <c r="N51" s="4"/>
      <c r="O51" s="9"/>
    </row>
    <row r="52" spans="1:15" ht="20" customHeight="1" x14ac:dyDescent="0.2">
      <c r="A52" s="3">
        <v>48</v>
      </c>
      <c r="B52" s="19"/>
      <c r="C52" s="4" t="s">
        <v>6338</v>
      </c>
      <c r="D52" s="4" t="s">
        <v>59</v>
      </c>
      <c r="E52" s="4" t="s">
        <v>196</v>
      </c>
      <c r="F52" s="8">
        <v>40</v>
      </c>
      <c r="G52" s="8">
        <v>50</v>
      </c>
      <c r="H52" s="8"/>
      <c r="I52" s="8"/>
      <c r="J52" s="8"/>
      <c r="K52" s="8">
        <v>1</v>
      </c>
      <c r="L52" s="18">
        <v>1320</v>
      </c>
      <c r="M52" s="7">
        <f t="shared" si="1"/>
        <v>1320</v>
      </c>
      <c r="N52" s="4"/>
      <c r="O52" s="9"/>
    </row>
    <row r="53" spans="1:15" ht="20" customHeight="1" x14ac:dyDescent="0.2">
      <c r="A53" s="3">
        <v>49</v>
      </c>
      <c r="B53" s="19"/>
      <c r="C53" s="4" t="s">
        <v>6339</v>
      </c>
      <c r="D53" s="4" t="s">
        <v>59</v>
      </c>
      <c r="E53" s="4" t="s">
        <v>196</v>
      </c>
      <c r="F53" s="8"/>
      <c r="G53" s="8"/>
      <c r="H53" s="8"/>
      <c r="I53" s="8"/>
      <c r="J53" s="8"/>
      <c r="K53" s="8">
        <v>1</v>
      </c>
      <c r="L53" s="18">
        <v>1450</v>
      </c>
      <c r="M53" s="7">
        <f t="shared" si="1"/>
        <v>1450</v>
      </c>
      <c r="N53" s="4"/>
      <c r="O53" s="9"/>
    </row>
    <row r="54" spans="1:15" ht="20" customHeight="1" x14ac:dyDescent="0.2">
      <c r="A54" s="3">
        <v>50</v>
      </c>
      <c r="B54" s="19"/>
      <c r="C54" s="4" t="s">
        <v>6340</v>
      </c>
      <c r="D54" s="4" t="s">
        <v>59</v>
      </c>
      <c r="E54" s="4" t="s">
        <v>196</v>
      </c>
      <c r="F54" s="8">
        <v>200</v>
      </c>
      <c r="G54" s="8">
        <v>200</v>
      </c>
      <c r="H54" s="8">
        <v>160</v>
      </c>
      <c r="I54" s="8">
        <v>10</v>
      </c>
      <c r="J54" s="8"/>
      <c r="K54" s="8">
        <v>80</v>
      </c>
      <c r="L54" s="18">
        <v>160</v>
      </c>
      <c r="M54" s="7">
        <f t="shared" si="1"/>
        <v>12800</v>
      </c>
      <c r="N54" s="4"/>
      <c r="O54" s="9"/>
    </row>
    <row r="55" spans="1:15" ht="20" customHeight="1" x14ac:dyDescent="0.2">
      <c r="A55" s="3">
        <v>51</v>
      </c>
      <c r="B55" s="19"/>
      <c r="C55" s="4" t="s">
        <v>6341</v>
      </c>
      <c r="D55" s="4" t="s">
        <v>59</v>
      </c>
      <c r="E55" s="4" t="s">
        <v>196</v>
      </c>
      <c r="F55" s="8">
        <v>100</v>
      </c>
      <c r="G55" s="8">
        <v>100</v>
      </c>
      <c r="H55" s="8">
        <v>100</v>
      </c>
      <c r="I55" s="8">
        <v>10</v>
      </c>
      <c r="J55" s="8"/>
      <c r="K55" s="8">
        <v>80</v>
      </c>
      <c r="L55" s="18">
        <v>160</v>
      </c>
      <c r="M55" s="7">
        <f t="shared" si="1"/>
        <v>12800</v>
      </c>
      <c r="N55" s="4"/>
      <c r="O55" s="9"/>
    </row>
    <row r="56" spans="1:15" ht="20" customHeight="1" x14ac:dyDescent="0.2">
      <c r="A56" s="3">
        <v>52</v>
      </c>
      <c r="B56" s="19"/>
      <c r="C56" s="4" t="s">
        <v>6342</v>
      </c>
      <c r="D56" s="4" t="s">
        <v>59</v>
      </c>
      <c r="E56" s="4" t="s">
        <v>196</v>
      </c>
      <c r="F56" s="8"/>
      <c r="G56" s="8"/>
      <c r="H56" s="8"/>
      <c r="I56" s="8"/>
      <c r="J56" s="8"/>
      <c r="K56" s="8">
        <v>10</v>
      </c>
      <c r="L56" s="18">
        <v>140</v>
      </c>
      <c r="M56" s="7">
        <f t="shared" si="1"/>
        <v>1400</v>
      </c>
      <c r="N56" s="4"/>
      <c r="O56" s="9"/>
    </row>
    <row r="57" spans="1:15" ht="20" customHeight="1" x14ac:dyDescent="0.2">
      <c r="A57" s="3">
        <v>53</v>
      </c>
      <c r="B57" s="19"/>
      <c r="C57" s="4" t="s">
        <v>6343</v>
      </c>
      <c r="D57" s="4" t="s">
        <v>59</v>
      </c>
      <c r="E57" s="4" t="s">
        <v>196</v>
      </c>
      <c r="F57" s="8"/>
      <c r="G57" s="8"/>
      <c r="H57" s="8">
        <v>110</v>
      </c>
      <c r="I57" s="8"/>
      <c r="J57" s="8"/>
      <c r="K57" s="8">
        <v>10</v>
      </c>
      <c r="L57" s="18">
        <v>160</v>
      </c>
      <c r="M57" s="7">
        <f t="shared" si="1"/>
        <v>1600</v>
      </c>
      <c r="N57" s="4"/>
      <c r="O57" s="9"/>
    </row>
    <row r="58" spans="1:15" ht="20" customHeight="1" x14ac:dyDescent="0.2">
      <c r="A58" s="3">
        <v>54</v>
      </c>
      <c r="B58" s="19"/>
      <c r="C58" s="4" t="s">
        <v>6344</v>
      </c>
      <c r="D58" s="4" t="s">
        <v>59</v>
      </c>
      <c r="E58" s="4" t="s">
        <v>196</v>
      </c>
      <c r="F58" s="8"/>
      <c r="G58" s="8"/>
      <c r="H58" s="8">
        <v>20</v>
      </c>
      <c r="I58" s="8"/>
      <c r="J58" s="8"/>
      <c r="K58" s="8">
        <v>30</v>
      </c>
      <c r="L58" s="18">
        <v>754.35</v>
      </c>
      <c r="M58" s="7">
        <f t="shared" si="1"/>
        <v>22630.5</v>
      </c>
      <c r="N58" s="4"/>
      <c r="O58" s="9"/>
    </row>
    <row r="59" spans="1:15" ht="20" customHeight="1" x14ac:dyDescent="0.2">
      <c r="A59" s="3">
        <v>55</v>
      </c>
      <c r="B59" s="19"/>
      <c r="C59" s="4" t="s">
        <v>6345</v>
      </c>
      <c r="D59" s="4" t="s">
        <v>59</v>
      </c>
      <c r="E59" s="4" t="s">
        <v>196</v>
      </c>
      <c r="F59" s="8">
        <v>240</v>
      </c>
      <c r="G59" s="8">
        <v>250</v>
      </c>
      <c r="H59" s="8">
        <v>200</v>
      </c>
      <c r="I59" s="8">
        <v>5</v>
      </c>
      <c r="J59" s="8"/>
      <c r="K59" s="8">
        <v>200</v>
      </c>
      <c r="L59" s="18">
        <v>140</v>
      </c>
      <c r="M59" s="7">
        <f t="shared" si="1"/>
        <v>28000</v>
      </c>
      <c r="N59" s="4"/>
      <c r="O59" s="9"/>
    </row>
    <row r="60" spans="1:15" ht="20" customHeight="1" x14ac:dyDescent="0.2">
      <c r="A60" s="3">
        <v>56</v>
      </c>
      <c r="B60" s="19"/>
      <c r="C60" s="4" t="s">
        <v>6346</v>
      </c>
      <c r="D60" s="4" t="s">
        <v>59</v>
      </c>
      <c r="E60" s="4" t="s">
        <v>196</v>
      </c>
      <c r="F60" s="8"/>
      <c r="G60" s="8"/>
      <c r="H60" s="8">
        <v>60</v>
      </c>
      <c r="I60" s="8">
        <v>10</v>
      </c>
      <c r="J60" s="8"/>
      <c r="K60" s="8">
        <v>50</v>
      </c>
      <c r="L60" s="18">
        <v>262.14999999999998</v>
      </c>
      <c r="M60" s="7">
        <f t="shared" si="1"/>
        <v>13107.499999999998</v>
      </c>
      <c r="N60" s="4"/>
      <c r="O60" s="9"/>
    </row>
    <row r="61" spans="1:15" ht="20" customHeight="1" x14ac:dyDescent="0.2">
      <c r="A61" s="3">
        <v>57</v>
      </c>
      <c r="B61" s="19"/>
      <c r="C61" s="4" t="s">
        <v>6347</v>
      </c>
      <c r="D61" s="4" t="s">
        <v>59</v>
      </c>
      <c r="E61" s="4" t="s">
        <v>196</v>
      </c>
      <c r="F61" s="8">
        <v>240</v>
      </c>
      <c r="G61" s="8">
        <v>250</v>
      </c>
      <c r="H61" s="8">
        <v>150</v>
      </c>
      <c r="I61" s="8">
        <v>10</v>
      </c>
      <c r="J61" s="8"/>
      <c r="K61" s="8">
        <v>200</v>
      </c>
      <c r="L61" s="18">
        <v>140</v>
      </c>
      <c r="M61" s="7">
        <f t="shared" si="1"/>
        <v>28000</v>
      </c>
      <c r="N61" s="4"/>
      <c r="O61" s="9"/>
    </row>
    <row r="62" spans="1:15" ht="20" customHeight="1" x14ac:dyDescent="0.2">
      <c r="A62" s="3">
        <v>58</v>
      </c>
      <c r="B62" s="19"/>
      <c r="C62" s="4" t="s">
        <v>6348</v>
      </c>
      <c r="D62" s="4" t="s">
        <v>59</v>
      </c>
      <c r="E62" s="4" t="s">
        <v>196</v>
      </c>
      <c r="F62" s="8"/>
      <c r="G62" s="8"/>
      <c r="H62" s="8">
        <v>60</v>
      </c>
      <c r="I62" s="8">
        <v>10</v>
      </c>
      <c r="J62" s="8"/>
      <c r="K62" s="8">
        <v>80</v>
      </c>
      <c r="L62" s="18">
        <v>262.14999999999998</v>
      </c>
      <c r="M62" s="7">
        <f t="shared" si="1"/>
        <v>20972</v>
      </c>
      <c r="N62" s="4"/>
      <c r="O62" s="9"/>
    </row>
    <row r="63" spans="1:15" ht="20" customHeight="1" x14ac:dyDescent="0.2">
      <c r="A63" s="3">
        <v>59</v>
      </c>
      <c r="B63" s="19"/>
      <c r="C63" s="4" t="s">
        <v>6349</v>
      </c>
      <c r="D63" s="4" t="s">
        <v>59</v>
      </c>
      <c r="E63" s="4" t="s">
        <v>196</v>
      </c>
      <c r="F63" s="8"/>
      <c r="G63" s="8"/>
      <c r="H63" s="8">
        <v>50</v>
      </c>
      <c r="I63" s="8"/>
      <c r="J63" s="8"/>
      <c r="K63" s="8">
        <v>80</v>
      </c>
      <c r="L63" s="18">
        <v>140</v>
      </c>
      <c r="M63" s="7">
        <f t="shared" si="1"/>
        <v>11200</v>
      </c>
      <c r="N63" s="4"/>
      <c r="O63" s="9"/>
    </row>
    <row r="64" spans="1:15" ht="20" customHeight="1" x14ac:dyDescent="0.2">
      <c r="A64" s="3">
        <v>60</v>
      </c>
      <c r="B64" s="19"/>
      <c r="C64" s="4" t="s">
        <v>6350</v>
      </c>
      <c r="D64" s="4" t="s">
        <v>59</v>
      </c>
      <c r="E64" s="4" t="s">
        <v>196</v>
      </c>
      <c r="F64" s="8"/>
      <c r="G64" s="8"/>
      <c r="H64" s="8"/>
      <c r="I64" s="8"/>
      <c r="J64" s="8"/>
      <c r="K64" s="8">
        <v>10</v>
      </c>
      <c r="L64" s="18">
        <v>262.14999999999998</v>
      </c>
      <c r="M64" s="7">
        <f t="shared" si="1"/>
        <v>2621.5</v>
      </c>
      <c r="N64" s="4"/>
      <c r="O64" s="9"/>
    </row>
    <row r="65" spans="1:15" ht="20" customHeight="1" x14ac:dyDescent="0.2">
      <c r="A65" s="3">
        <v>61</v>
      </c>
      <c r="B65" s="19"/>
      <c r="C65" s="4" t="s">
        <v>6351</v>
      </c>
      <c r="D65" s="4" t="s">
        <v>59</v>
      </c>
      <c r="E65" s="4" t="s">
        <v>196</v>
      </c>
      <c r="F65" s="8">
        <v>100</v>
      </c>
      <c r="G65" s="8">
        <v>100</v>
      </c>
      <c r="H65" s="8">
        <v>130</v>
      </c>
      <c r="I65" s="8"/>
      <c r="J65" s="8"/>
      <c r="K65" s="8">
        <v>80</v>
      </c>
      <c r="L65" s="18">
        <v>140</v>
      </c>
      <c r="M65" s="7">
        <f t="shared" si="1"/>
        <v>11200</v>
      </c>
      <c r="N65" s="4"/>
      <c r="O65" s="9"/>
    </row>
    <row r="66" spans="1:15" ht="20" customHeight="1" x14ac:dyDescent="0.2">
      <c r="A66" s="3">
        <v>62</v>
      </c>
      <c r="B66" s="19"/>
      <c r="C66" s="4" t="s">
        <v>6352</v>
      </c>
      <c r="D66" s="4" t="s">
        <v>59</v>
      </c>
      <c r="E66" s="4" t="s">
        <v>137</v>
      </c>
      <c r="F66" s="8"/>
      <c r="G66" s="8"/>
      <c r="H66" s="8"/>
      <c r="I66" s="8"/>
      <c r="J66" s="8"/>
      <c r="K66" s="8">
        <v>8</v>
      </c>
      <c r="L66" s="18">
        <v>2300</v>
      </c>
      <c r="M66" s="7">
        <f t="shared" si="1"/>
        <v>18400</v>
      </c>
      <c r="N66" s="4"/>
      <c r="O66" s="9"/>
    </row>
    <row r="67" spans="1:15" ht="20" customHeight="1" x14ac:dyDescent="0.2">
      <c r="A67" s="3">
        <v>63</v>
      </c>
      <c r="B67" s="19"/>
      <c r="C67" s="4" t="s">
        <v>6353</v>
      </c>
      <c r="D67" s="4" t="s">
        <v>59</v>
      </c>
      <c r="E67" s="4" t="s">
        <v>137</v>
      </c>
      <c r="F67" s="8">
        <v>40</v>
      </c>
      <c r="G67" s="8">
        <v>60</v>
      </c>
      <c r="H67" s="8">
        <v>50</v>
      </c>
      <c r="I67" s="8">
        <v>5</v>
      </c>
      <c r="J67" s="8"/>
      <c r="K67" s="8">
        <v>30</v>
      </c>
      <c r="L67" s="18">
        <v>2400</v>
      </c>
      <c r="M67" s="7">
        <f t="shared" si="1"/>
        <v>72000</v>
      </c>
      <c r="N67" s="4"/>
      <c r="O67" s="9"/>
    </row>
    <row r="68" spans="1:15" ht="20" customHeight="1" x14ac:dyDescent="0.2">
      <c r="A68" s="3">
        <v>64</v>
      </c>
      <c r="B68" s="19"/>
      <c r="C68" s="4" t="s">
        <v>6354</v>
      </c>
      <c r="D68" s="4" t="s">
        <v>59</v>
      </c>
      <c r="E68" s="4" t="s">
        <v>137</v>
      </c>
      <c r="F68" s="8">
        <v>40</v>
      </c>
      <c r="G68" s="8">
        <v>60</v>
      </c>
      <c r="H68" s="8">
        <v>40</v>
      </c>
      <c r="I68" s="8">
        <v>5</v>
      </c>
      <c r="J68" s="8"/>
      <c r="K68" s="8">
        <v>30</v>
      </c>
      <c r="L68" s="18">
        <v>2800</v>
      </c>
      <c r="M68" s="7">
        <f t="shared" si="1"/>
        <v>84000</v>
      </c>
      <c r="N68" s="4"/>
      <c r="O68" s="9"/>
    </row>
    <row r="69" spans="1:15" ht="20" customHeight="1" x14ac:dyDescent="0.2">
      <c r="A69" s="3">
        <v>65</v>
      </c>
      <c r="B69" s="19"/>
      <c r="C69" s="4" t="s">
        <v>6355</v>
      </c>
      <c r="D69" s="4" t="s">
        <v>59</v>
      </c>
      <c r="E69" s="4" t="s">
        <v>196</v>
      </c>
      <c r="F69" s="8">
        <v>60</v>
      </c>
      <c r="G69" s="8">
        <v>60</v>
      </c>
      <c r="H69" s="8">
        <v>48</v>
      </c>
      <c r="I69" s="8">
        <v>5</v>
      </c>
      <c r="J69" s="8"/>
      <c r="K69" s="8">
        <v>42</v>
      </c>
      <c r="L69" s="18">
        <v>267.5</v>
      </c>
      <c r="M69" s="7">
        <f t="shared" ref="M69:M100" si="2">IF(OR(K69="",L69=""),"",K69*L69)</f>
        <v>11235</v>
      </c>
      <c r="N69" s="4"/>
      <c r="O69" s="9"/>
    </row>
    <row r="70" spans="1:15" ht="20" customHeight="1" x14ac:dyDescent="0.2">
      <c r="A70" s="3">
        <v>66</v>
      </c>
      <c r="B70" s="19"/>
      <c r="C70" s="4" t="s">
        <v>6356</v>
      </c>
      <c r="D70" s="4" t="s">
        <v>59</v>
      </c>
      <c r="E70" s="4" t="s">
        <v>196</v>
      </c>
      <c r="F70" s="8"/>
      <c r="G70" s="8"/>
      <c r="H70" s="8"/>
      <c r="I70" s="8"/>
      <c r="J70" s="8"/>
      <c r="K70" s="8">
        <v>4</v>
      </c>
      <c r="L70" s="18">
        <v>189.39</v>
      </c>
      <c r="M70" s="7">
        <f t="shared" si="2"/>
        <v>757.56</v>
      </c>
      <c r="N70" s="4"/>
      <c r="O70" s="9"/>
    </row>
    <row r="71" spans="1:15" ht="20" customHeight="1" x14ac:dyDescent="0.2">
      <c r="A71" s="3">
        <v>67</v>
      </c>
      <c r="B71" s="19"/>
      <c r="C71" s="4" t="s">
        <v>6357</v>
      </c>
      <c r="D71" s="4" t="s">
        <v>59</v>
      </c>
      <c r="E71" s="4" t="s">
        <v>137</v>
      </c>
      <c r="F71" s="8">
        <v>100</v>
      </c>
      <c r="G71" s="8">
        <v>100</v>
      </c>
      <c r="H71" s="8">
        <v>100</v>
      </c>
      <c r="I71" s="8">
        <v>5</v>
      </c>
      <c r="J71" s="8"/>
      <c r="K71" s="8">
        <v>10</v>
      </c>
      <c r="L71" s="18">
        <v>513.6</v>
      </c>
      <c r="M71" s="7">
        <f t="shared" si="2"/>
        <v>5136</v>
      </c>
      <c r="N71" s="4"/>
      <c r="O71" s="9"/>
    </row>
    <row r="72" spans="1:15" ht="20" customHeight="1" x14ac:dyDescent="0.2">
      <c r="A72" s="3">
        <v>68</v>
      </c>
      <c r="B72" s="19"/>
      <c r="C72" s="4" t="s">
        <v>6358</v>
      </c>
      <c r="D72" s="4" t="s">
        <v>59</v>
      </c>
      <c r="E72" s="4" t="s">
        <v>137</v>
      </c>
      <c r="F72" s="8">
        <v>200</v>
      </c>
      <c r="G72" s="8">
        <v>200</v>
      </c>
      <c r="H72" s="8">
        <v>100</v>
      </c>
      <c r="I72" s="8"/>
      <c r="J72" s="8"/>
      <c r="K72" s="8">
        <v>10</v>
      </c>
      <c r="L72" s="18">
        <v>727.6</v>
      </c>
      <c r="M72" s="7">
        <f t="shared" si="2"/>
        <v>7276</v>
      </c>
      <c r="N72" s="4"/>
      <c r="O72" s="9"/>
    </row>
    <row r="73" spans="1:15" ht="20" customHeight="1" x14ac:dyDescent="0.2">
      <c r="A73" s="3">
        <v>69</v>
      </c>
      <c r="B73" s="19"/>
      <c r="C73" s="4" t="s">
        <v>6359</v>
      </c>
      <c r="D73" s="4" t="s">
        <v>59</v>
      </c>
      <c r="E73" s="4" t="s">
        <v>137</v>
      </c>
      <c r="F73" s="8">
        <v>200</v>
      </c>
      <c r="G73" s="8">
        <v>200</v>
      </c>
      <c r="H73" s="8">
        <v>200</v>
      </c>
      <c r="I73" s="8">
        <v>5</v>
      </c>
      <c r="J73" s="8"/>
      <c r="K73" s="8">
        <v>10</v>
      </c>
      <c r="L73" s="18">
        <v>941.6</v>
      </c>
      <c r="M73" s="7">
        <f t="shared" si="2"/>
        <v>9416</v>
      </c>
      <c r="N73" s="4"/>
      <c r="O73" s="9"/>
    </row>
    <row r="74" spans="1:15" ht="20" customHeight="1" x14ac:dyDescent="0.2">
      <c r="A74" s="3">
        <v>70</v>
      </c>
      <c r="B74" s="19"/>
      <c r="C74" s="4" t="s">
        <v>6360</v>
      </c>
      <c r="D74" s="4" t="s">
        <v>59</v>
      </c>
      <c r="E74" s="4" t="s">
        <v>137</v>
      </c>
      <c r="F74" s="8">
        <v>50</v>
      </c>
      <c r="G74" s="8">
        <v>50</v>
      </c>
      <c r="H74" s="8">
        <v>60</v>
      </c>
      <c r="I74" s="8"/>
      <c r="J74" s="8"/>
      <c r="K74" s="8">
        <v>10</v>
      </c>
      <c r="L74" s="18">
        <v>1048.5999999999999</v>
      </c>
      <c r="M74" s="7">
        <f t="shared" si="2"/>
        <v>10486</v>
      </c>
      <c r="N74" s="4"/>
      <c r="O74" s="9"/>
    </row>
    <row r="75" spans="1:15" ht="20" customHeight="1" x14ac:dyDescent="0.2">
      <c r="A75" s="3">
        <v>71</v>
      </c>
      <c r="B75" s="19"/>
      <c r="C75" s="4" t="s">
        <v>6361</v>
      </c>
      <c r="D75" s="4" t="s">
        <v>59</v>
      </c>
      <c r="E75" s="4" t="s">
        <v>271</v>
      </c>
      <c r="F75" s="8">
        <v>60</v>
      </c>
      <c r="G75" s="8">
        <v>60</v>
      </c>
      <c r="H75" s="8">
        <v>90</v>
      </c>
      <c r="I75" s="8">
        <v>10</v>
      </c>
      <c r="J75" s="8"/>
      <c r="K75" s="8">
        <v>80</v>
      </c>
      <c r="L75" s="18">
        <v>588.5</v>
      </c>
      <c r="M75" s="7">
        <f t="shared" si="2"/>
        <v>47080</v>
      </c>
      <c r="N75" s="4"/>
      <c r="O75" s="9"/>
    </row>
    <row r="76" spans="1:15" ht="20" customHeight="1" x14ac:dyDescent="0.2">
      <c r="A76" s="3">
        <v>72</v>
      </c>
      <c r="B76" s="19"/>
      <c r="C76" s="4" t="s">
        <v>6362</v>
      </c>
      <c r="D76" s="4" t="s">
        <v>59</v>
      </c>
      <c r="E76" s="4" t="s">
        <v>271</v>
      </c>
      <c r="F76" s="8">
        <v>60</v>
      </c>
      <c r="G76" s="8">
        <v>60</v>
      </c>
      <c r="H76" s="8">
        <v>60</v>
      </c>
      <c r="I76" s="8">
        <v>10</v>
      </c>
      <c r="J76" s="8"/>
      <c r="K76" s="8">
        <v>50</v>
      </c>
      <c r="L76" s="18">
        <v>588.5</v>
      </c>
      <c r="M76" s="7">
        <f t="shared" si="2"/>
        <v>29425</v>
      </c>
      <c r="N76" s="4"/>
      <c r="O76" s="9"/>
    </row>
    <row r="77" spans="1:15" ht="20" customHeight="1" x14ac:dyDescent="0.2">
      <c r="A77" s="3">
        <v>73</v>
      </c>
      <c r="B77" s="19"/>
      <c r="C77" s="4" t="s">
        <v>6363</v>
      </c>
      <c r="D77" s="4" t="s">
        <v>59</v>
      </c>
      <c r="E77" s="4" t="s">
        <v>137</v>
      </c>
      <c r="F77" s="8">
        <v>20</v>
      </c>
      <c r="G77" s="8">
        <v>20</v>
      </c>
      <c r="H77" s="8">
        <v>5</v>
      </c>
      <c r="I77" s="8"/>
      <c r="J77" s="8"/>
      <c r="K77" s="8">
        <v>5</v>
      </c>
      <c r="L77" s="18">
        <v>502.9</v>
      </c>
      <c r="M77" s="7">
        <f t="shared" si="2"/>
        <v>2514.5</v>
      </c>
      <c r="N77" s="4"/>
      <c r="O77" s="9"/>
    </row>
    <row r="78" spans="1:15" ht="20" customHeight="1" x14ac:dyDescent="0.2">
      <c r="A78" s="3">
        <v>74</v>
      </c>
      <c r="B78" s="19"/>
      <c r="C78" s="4" t="s">
        <v>6364</v>
      </c>
      <c r="D78" s="4" t="s">
        <v>59</v>
      </c>
      <c r="E78" s="4" t="s">
        <v>137</v>
      </c>
      <c r="F78" s="8">
        <v>10</v>
      </c>
      <c r="G78" s="8">
        <v>20</v>
      </c>
      <c r="H78" s="8">
        <v>5</v>
      </c>
      <c r="I78" s="8"/>
      <c r="J78" s="8"/>
      <c r="K78" s="8">
        <v>5</v>
      </c>
      <c r="L78" s="18">
        <v>561.75</v>
      </c>
      <c r="M78" s="7">
        <f t="shared" si="2"/>
        <v>2808.75</v>
      </c>
      <c r="N78" s="4"/>
      <c r="O78" s="9"/>
    </row>
    <row r="79" spans="1:15" ht="20" customHeight="1" x14ac:dyDescent="0.2">
      <c r="A79" s="3">
        <v>75</v>
      </c>
      <c r="B79" s="19"/>
      <c r="C79" s="4" t="s">
        <v>6365</v>
      </c>
      <c r="D79" s="4" t="s">
        <v>59</v>
      </c>
      <c r="E79" s="4" t="s">
        <v>137</v>
      </c>
      <c r="F79" s="8"/>
      <c r="G79" s="8"/>
      <c r="H79" s="8"/>
      <c r="I79" s="8"/>
      <c r="J79" s="8"/>
      <c r="K79" s="8">
        <v>1</v>
      </c>
      <c r="L79" s="18">
        <v>1037.9000000000001</v>
      </c>
      <c r="M79" s="7">
        <f t="shared" si="2"/>
        <v>1037.9000000000001</v>
      </c>
      <c r="N79" s="4"/>
      <c r="O79" s="9"/>
    </row>
    <row r="80" spans="1:15" ht="20" customHeight="1" x14ac:dyDescent="0.2">
      <c r="A80" s="3">
        <v>76</v>
      </c>
      <c r="B80" s="19"/>
      <c r="C80" s="4" t="s">
        <v>6366</v>
      </c>
      <c r="D80" s="4" t="s">
        <v>59</v>
      </c>
      <c r="E80" s="4" t="s">
        <v>196</v>
      </c>
      <c r="F80" s="8"/>
      <c r="G80" s="8"/>
      <c r="H80" s="8"/>
      <c r="I80" s="8">
        <v>5</v>
      </c>
      <c r="J80" s="8"/>
      <c r="K80" s="8">
        <v>50</v>
      </c>
      <c r="L80" s="18">
        <v>100</v>
      </c>
      <c r="M80" s="7">
        <f t="shared" si="2"/>
        <v>5000</v>
      </c>
      <c r="N80" s="4"/>
      <c r="O80" s="9"/>
    </row>
    <row r="81" spans="1:15" ht="20" customHeight="1" x14ac:dyDescent="0.2">
      <c r="A81" s="3">
        <v>77</v>
      </c>
      <c r="B81" s="19"/>
      <c r="C81" s="4" t="s">
        <v>6367</v>
      </c>
      <c r="D81" s="4" t="s">
        <v>59</v>
      </c>
      <c r="E81" s="4" t="s">
        <v>196</v>
      </c>
      <c r="F81" s="8"/>
      <c r="G81" s="8"/>
      <c r="H81" s="8">
        <v>50</v>
      </c>
      <c r="I81" s="8">
        <v>10</v>
      </c>
      <c r="J81" s="8"/>
      <c r="K81" s="8">
        <v>50</v>
      </c>
      <c r="L81" s="18">
        <v>100</v>
      </c>
      <c r="M81" s="7">
        <f t="shared" si="2"/>
        <v>5000</v>
      </c>
      <c r="N81" s="4"/>
      <c r="O81" s="9"/>
    </row>
    <row r="82" spans="1:15" ht="20" customHeight="1" x14ac:dyDescent="0.2">
      <c r="A82" s="3">
        <v>78</v>
      </c>
      <c r="B82" s="19"/>
      <c r="C82" s="4" t="s">
        <v>6368</v>
      </c>
      <c r="D82" s="4" t="s">
        <v>59</v>
      </c>
      <c r="E82" s="4" t="s">
        <v>271</v>
      </c>
      <c r="F82" s="8">
        <v>50</v>
      </c>
      <c r="G82" s="8">
        <v>50</v>
      </c>
      <c r="H82" s="8"/>
      <c r="I82" s="8"/>
      <c r="J82" s="8"/>
      <c r="K82" s="8">
        <v>100</v>
      </c>
      <c r="L82" s="18">
        <v>235</v>
      </c>
      <c r="M82" s="7">
        <f t="shared" si="2"/>
        <v>23500</v>
      </c>
      <c r="N82" s="4"/>
      <c r="O82" s="9"/>
    </row>
    <row r="83" spans="1:15" ht="20" customHeight="1" x14ac:dyDescent="0.2">
      <c r="A83" s="3">
        <v>79</v>
      </c>
      <c r="B83" s="19"/>
      <c r="C83" s="4" t="s">
        <v>6369</v>
      </c>
      <c r="D83" s="4" t="s">
        <v>59</v>
      </c>
      <c r="E83" s="4" t="s">
        <v>271</v>
      </c>
      <c r="F83" s="8">
        <v>50</v>
      </c>
      <c r="G83" s="8">
        <v>50</v>
      </c>
      <c r="H83" s="8"/>
      <c r="I83" s="8"/>
      <c r="J83" s="8"/>
      <c r="K83" s="8">
        <v>100</v>
      </c>
      <c r="L83" s="18">
        <v>235</v>
      </c>
      <c r="M83" s="7">
        <f t="shared" si="2"/>
        <v>23500</v>
      </c>
      <c r="N83" s="4"/>
      <c r="O83" s="9"/>
    </row>
    <row r="84" spans="1:15" ht="20" customHeight="1" x14ac:dyDescent="0.2">
      <c r="A84" s="3">
        <v>80</v>
      </c>
      <c r="B84" s="19"/>
      <c r="C84" s="4" t="s">
        <v>6370</v>
      </c>
      <c r="D84" s="4" t="s">
        <v>59</v>
      </c>
      <c r="E84" s="4" t="s">
        <v>271</v>
      </c>
      <c r="F84" s="8"/>
      <c r="G84" s="8"/>
      <c r="H84" s="8"/>
      <c r="I84" s="8"/>
      <c r="J84" s="8"/>
      <c r="K84" s="8">
        <v>20</v>
      </c>
      <c r="L84" s="18">
        <v>235.4</v>
      </c>
      <c r="M84" s="7">
        <f t="shared" si="2"/>
        <v>4708</v>
      </c>
      <c r="N84" s="4"/>
      <c r="O84" s="9"/>
    </row>
    <row r="85" spans="1:15" ht="20" customHeight="1" x14ac:dyDescent="0.2">
      <c r="A85" s="3">
        <v>81</v>
      </c>
      <c r="B85" s="19"/>
      <c r="C85" s="4" t="s">
        <v>6371</v>
      </c>
      <c r="D85" s="4" t="s">
        <v>59</v>
      </c>
      <c r="E85" s="4" t="s">
        <v>271</v>
      </c>
      <c r="F85" s="8"/>
      <c r="G85" s="8"/>
      <c r="H85" s="8"/>
      <c r="I85" s="8"/>
      <c r="J85" s="8"/>
      <c r="K85" s="8">
        <v>50</v>
      </c>
      <c r="L85" s="18">
        <v>95</v>
      </c>
      <c r="M85" s="7">
        <f t="shared" si="2"/>
        <v>4750</v>
      </c>
      <c r="N85" s="4"/>
      <c r="O85" s="9"/>
    </row>
    <row r="86" spans="1:15" ht="20" customHeight="1" x14ac:dyDescent="0.2">
      <c r="A86" s="3">
        <v>82</v>
      </c>
      <c r="B86" s="19"/>
      <c r="C86" s="4" t="s">
        <v>6372</v>
      </c>
      <c r="D86" s="4" t="s">
        <v>59</v>
      </c>
      <c r="E86" s="4" t="s">
        <v>271</v>
      </c>
      <c r="F86" s="8">
        <v>300</v>
      </c>
      <c r="G86" s="8">
        <v>300</v>
      </c>
      <c r="H86" s="8">
        <v>200</v>
      </c>
      <c r="I86" s="8">
        <v>10</v>
      </c>
      <c r="J86" s="8"/>
      <c r="K86" s="8">
        <v>100</v>
      </c>
      <c r="L86" s="18">
        <v>95</v>
      </c>
      <c r="M86" s="7">
        <f t="shared" si="2"/>
        <v>9500</v>
      </c>
      <c r="N86" s="4"/>
      <c r="O86" s="9"/>
    </row>
    <row r="87" spans="1:15" ht="20" customHeight="1" x14ac:dyDescent="0.2">
      <c r="A87" s="3">
        <v>83</v>
      </c>
      <c r="B87" s="19"/>
      <c r="C87" s="4" t="s">
        <v>6373</v>
      </c>
      <c r="D87" s="4" t="s">
        <v>59</v>
      </c>
      <c r="E87" s="4" t="s">
        <v>271</v>
      </c>
      <c r="F87" s="8">
        <v>100</v>
      </c>
      <c r="G87" s="8">
        <v>100</v>
      </c>
      <c r="H87" s="8">
        <v>200</v>
      </c>
      <c r="I87" s="8">
        <v>30</v>
      </c>
      <c r="J87" s="8"/>
      <c r="K87" s="8">
        <v>150</v>
      </c>
      <c r="L87" s="18">
        <v>95</v>
      </c>
      <c r="M87" s="7">
        <f t="shared" si="2"/>
        <v>14250</v>
      </c>
      <c r="N87" s="4"/>
      <c r="O87" s="9"/>
    </row>
    <row r="88" spans="1:15" ht="22" customHeight="1" x14ac:dyDescent="0.35">
      <c r="A88" s="10" t="s">
        <v>86</v>
      </c>
      <c r="B88" s="20"/>
      <c r="C88" s="11"/>
      <c r="D88" s="11"/>
      <c r="E88" s="11"/>
      <c r="F88" s="11"/>
      <c r="G88" s="11"/>
      <c r="H88" s="11"/>
      <c r="I88" s="11"/>
      <c r="J88" s="11"/>
      <c r="K88" s="13">
        <f>SUM(K5:K87)</f>
        <v>6318</v>
      </c>
      <c r="L88" s="11"/>
      <c r="M88" s="13">
        <f>SUM(M5:M87)</f>
        <v>5117538.21</v>
      </c>
      <c r="N88" s="11"/>
      <c r="O88" s="11"/>
    </row>
    <row r="89" spans="1:15" ht="32" customHeight="1" x14ac:dyDescent="0.2">
      <c r="A89" s="23" t="s">
        <v>6374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</sheetData>
  <autoFilter ref="A4:O87" xr:uid="{00000000-0009-0000-0000-000012000000}"/>
  <mergeCells count="5">
    <mergeCell ref="E2:G2"/>
    <mergeCell ref="I2:J2"/>
    <mergeCell ref="A1:O1"/>
    <mergeCell ref="F3:O3"/>
    <mergeCell ref="A89:O89"/>
  </mergeCells>
  <conditionalFormatting sqref="E3">
    <cfRule type="cellIs" dxfId="21" priority="1" operator="greaterThan">
      <formula>0.009</formula>
    </cfRule>
    <cfRule type="cellIs" dxfId="20" priority="2" operator="lessThan">
      <formula>-0.009</formula>
    </cfRule>
  </conditionalFormatting>
  <dataValidations count="1">
    <dataValidation type="list" allowBlank="1" sqref="O5:O87" xr:uid="{00000000-0002-0000-12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เฝือก · DBR/2570/0021</oddHeader>
    <oddFooter>&amp;Lส่งออกจากฐาน VPK-S1 วันที่ 12 ต.ค. 2569&amp;Rหน้า &amp;P / &amp;N</oddFooter>
  </headerFooter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B6848"/>
    <pageSetUpPr fitToPage="1"/>
  </sheetPr>
  <dimension ref="A1:O56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6375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61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8050335.4000000004</v>
      </c>
      <c r="D3" s="15" t="s">
        <v>94</v>
      </c>
      <c r="E3" s="17">
        <f>M55-C3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6376</v>
      </c>
      <c r="D5" s="4" t="s">
        <v>62</v>
      </c>
      <c r="E5" s="4" t="s">
        <v>271</v>
      </c>
      <c r="F5" s="8"/>
      <c r="G5" s="8"/>
      <c r="H5" s="8"/>
      <c r="I5" s="8"/>
      <c r="J5" s="8"/>
      <c r="K5" s="8">
        <v>0</v>
      </c>
      <c r="L5" s="18">
        <v>8</v>
      </c>
      <c r="M5" s="7">
        <f t="shared" ref="M5:M36" si="0">IF(OR(K5="",L5=""),"",K5*L5)</f>
        <v>0</v>
      </c>
      <c r="N5" s="4"/>
      <c r="O5" s="9"/>
    </row>
    <row r="6" spans="1:15" ht="20" customHeight="1" x14ac:dyDescent="0.2">
      <c r="A6" s="3">
        <v>2</v>
      </c>
      <c r="B6" s="19"/>
      <c r="C6" s="4" t="s">
        <v>6377</v>
      </c>
      <c r="D6" s="4" t="s">
        <v>62</v>
      </c>
      <c r="E6" s="4" t="s">
        <v>271</v>
      </c>
      <c r="F6" s="8">
        <v>7900</v>
      </c>
      <c r="G6" s="8">
        <v>9400</v>
      </c>
      <c r="H6" s="8">
        <v>13000</v>
      </c>
      <c r="I6" s="8">
        <v>700</v>
      </c>
      <c r="J6" s="8"/>
      <c r="K6" s="8">
        <v>8700</v>
      </c>
      <c r="L6" s="18">
        <v>8</v>
      </c>
      <c r="M6" s="7">
        <f t="shared" si="0"/>
        <v>69600</v>
      </c>
      <c r="N6" s="4"/>
      <c r="O6" s="9"/>
    </row>
    <row r="7" spans="1:15" ht="20" customHeight="1" x14ac:dyDescent="0.2">
      <c r="A7" s="3">
        <v>3</v>
      </c>
      <c r="B7" s="19"/>
      <c r="C7" s="4" t="s">
        <v>6378</v>
      </c>
      <c r="D7" s="4" t="s">
        <v>62</v>
      </c>
      <c r="E7" s="4" t="s">
        <v>271</v>
      </c>
      <c r="F7" s="8">
        <v>950</v>
      </c>
      <c r="G7" s="8">
        <v>1350</v>
      </c>
      <c r="H7" s="8">
        <v>100</v>
      </c>
      <c r="I7" s="8">
        <v>200</v>
      </c>
      <c r="J7" s="8"/>
      <c r="K7" s="8">
        <v>500</v>
      </c>
      <c r="L7" s="18">
        <v>8</v>
      </c>
      <c r="M7" s="7">
        <f t="shared" si="0"/>
        <v>4000</v>
      </c>
      <c r="N7" s="4"/>
      <c r="O7" s="9"/>
    </row>
    <row r="8" spans="1:15" ht="20" customHeight="1" x14ac:dyDescent="0.2">
      <c r="A8" s="3">
        <v>4</v>
      </c>
      <c r="B8" s="19"/>
      <c r="C8" s="4" t="s">
        <v>6379</v>
      </c>
      <c r="D8" s="4" t="s">
        <v>62</v>
      </c>
      <c r="E8" s="4" t="s">
        <v>271</v>
      </c>
      <c r="F8" s="8">
        <v>300</v>
      </c>
      <c r="G8" s="8">
        <v>500</v>
      </c>
      <c r="H8" s="8"/>
      <c r="I8" s="8">
        <v>300</v>
      </c>
      <c r="J8" s="8"/>
      <c r="K8" s="8">
        <v>400</v>
      </c>
      <c r="L8" s="18">
        <v>10</v>
      </c>
      <c r="M8" s="7">
        <f t="shared" si="0"/>
        <v>4000</v>
      </c>
      <c r="N8" s="4"/>
      <c r="O8" s="9"/>
    </row>
    <row r="9" spans="1:15" ht="20" customHeight="1" x14ac:dyDescent="0.2">
      <c r="A9" s="3">
        <v>5</v>
      </c>
      <c r="B9" s="19"/>
      <c r="C9" s="4" t="s">
        <v>6380</v>
      </c>
      <c r="D9" s="4" t="s">
        <v>62</v>
      </c>
      <c r="E9" s="4" t="s">
        <v>684</v>
      </c>
      <c r="F9" s="8">
        <v>107</v>
      </c>
      <c r="G9" s="8">
        <v>110</v>
      </c>
      <c r="H9" s="8">
        <v>102</v>
      </c>
      <c r="I9" s="8">
        <v>20</v>
      </c>
      <c r="J9" s="8"/>
      <c r="K9" s="8">
        <v>140</v>
      </c>
      <c r="L9" s="18">
        <v>1200</v>
      </c>
      <c r="M9" s="7">
        <f t="shared" si="0"/>
        <v>168000</v>
      </c>
      <c r="N9" s="4"/>
      <c r="O9" s="9"/>
    </row>
    <row r="10" spans="1:15" ht="20" customHeight="1" x14ac:dyDescent="0.2">
      <c r="A10" s="3">
        <v>6</v>
      </c>
      <c r="B10" s="19"/>
      <c r="C10" s="4" t="s">
        <v>6381</v>
      </c>
      <c r="D10" s="4" t="s">
        <v>62</v>
      </c>
      <c r="E10" s="4" t="s">
        <v>196</v>
      </c>
      <c r="F10" s="8">
        <v>11520</v>
      </c>
      <c r="G10" s="8">
        <v>11520</v>
      </c>
      <c r="H10" s="8">
        <v>12480</v>
      </c>
      <c r="I10" s="8">
        <v>960</v>
      </c>
      <c r="J10" s="8"/>
      <c r="K10" s="8">
        <v>12480</v>
      </c>
      <c r="L10" s="18">
        <v>58</v>
      </c>
      <c r="M10" s="7">
        <f t="shared" si="0"/>
        <v>723840</v>
      </c>
      <c r="N10" s="4"/>
      <c r="O10" s="9"/>
    </row>
    <row r="11" spans="1:15" ht="20" customHeight="1" x14ac:dyDescent="0.2">
      <c r="A11" s="3">
        <v>7</v>
      </c>
      <c r="B11" s="19"/>
      <c r="C11" s="4" t="s">
        <v>6382</v>
      </c>
      <c r="D11" s="4" t="s">
        <v>62</v>
      </c>
      <c r="E11" s="4" t="s">
        <v>196</v>
      </c>
      <c r="F11" s="8">
        <v>70</v>
      </c>
      <c r="G11" s="8"/>
      <c r="H11" s="8"/>
      <c r="I11" s="8"/>
      <c r="J11" s="8"/>
      <c r="K11" s="8">
        <v>0</v>
      </c>
      <c r="L11" s="18">
        <v>2200</v>
      </c>
      <c r="M11" s="7">
        <f t="shared" si="0"/>
        <v>0</v>
      </c>
      <c r="N11" s="4"/>
      <c r="O11" s="9"/>
    </row>
    <row r="12" spans="1:15" ht="20" customHeight="1" x14ac:dyDescent="0.2">
      <c r="A12" s="3">
        <v>8</v>
      </c>
      <c r="B12" s="19"/>
      <c r="C12" s="4" t="s">
        <v>6383</v>
      </c>
      <c r="D12" s="4" t="s">
        <v>62</v>
      </c>
      <c r="E12" s="4" t="s">
        <v>196</v>
      </c>
      <c r="F12" s="8"/>
      <c r="G12" s="8"/>
      <c r="H12" s="8"/>
      <c r="I12" s="8"/>
      <c r="J12" s="8"/>
      <c r="K12" s="8">
        <v>0</v>
      </c>
      <c r="L12" s="18">
        <v>2200</v>
      </c>
      <c r="M12" s="7">
        <f t="shared" si="0"/>
        <v>0</v>
      </c>
      <c r="N12" s="4"/>
      <c r="O12" s="9"/>
    </row>
    <row r="13" spans="1:15" ht="20" customHeight="1" x14ac:dyDescent="0.2">
      <c r="A13" s="3">
        <v>9</v>
      </c>
      <c r="B13" s="19"/>
      <c r="C13" s="4" t="s">
        <v>6384</v>
      </c>
      <c r="D13" s="4" t="s">
        <v>62</v>
      </c>
      <c r="E13" s="4" t="s">
        <v>196</v>
      </c>
      <c r="F13" s="8">
        <v>80</v>
      </c>
      <c r="G13" s="8">
        <v>98</v>
      </c>
      <c r="H13" s="8">
        <v>5</v>
      </c>
      <c r="I13" s="8"/>
      <c r="J13" s="8"/>
      <c r="K13" s="8">
        <v>100</v>
      </c>
      <c r="L13" s="18">
        <v>3000</v>
      </c>
      <c r="M13" s="7">
        <f t="shared" si="0"/>
        <v>300000</v>
      </c>
      <c r="N13" s="4"/>
      <c r="O13" s="9"/>
    </row>
    <row r="14" spans="1:15" ht="20" customHeight="1" x14ac:dyDescent="0.2">
      <c r="A14" s="3">
        <v>10</v>
      </c>
      <c r="B14" s="19"/>
      <c r="C14" s="4" t="s">
        <v>6385</v>
      </c>
      <c r="D14" s="4" t="s">
        <v>62</v>
      </c>
      <c r="E14" s="4" t="s">
        <v>196</v>
      </c>
      <c r="F14" s="8">
        <v>199</v>
      </c>
      <c r="G14" s="8">
        <v>269</v>
      </c>
      <c r="H14" s="8">
        <v>550</v>
      </c>
      <c r="I14" s="8">
        <v>15</v>
      </c>
      <c r="J14" s="8"/>
      <c r="K14" s="8">
        <v>315</v>
      </c>
      <c r="L14" s="18">
        <v>3000</v>
      </c>
      <c r="M14" s="7">
        <f t="shared" si="0"/>
        <v>945000</v>
      </c>
      <c r="N14" s="4"/>
      <c r="O14" s="9"/>
    </row>
    <row r="15" spans="1:15" ht="20" customHeight="1" x14ac:dyDescent="0.2">
      <c r="A15" s="3">
        <v>11</v>
      </c>
      <c r="B15" s="19"/>
      <c r="C15" s="4" t="s">
        <v>6386</v>
      </c>
      <c r="D15" s="4" t="s">
        <v>62</v>
      </c>
      <c r="E15" s="4" t="s">
        <v>196</v>
      </c>
      <c r="F15" s="8">
        <v>109</v>
      </c>
      <c r="G15" s="8">
        <v>95</v>
      </c>
      <c r="H15" s="8">
        <v>150</v>
      </c>
      <c r="I15" s="8">
        <v>20</v>
      </c>
      <c r="J15" s="8"/>
      <c r="K15" s="8">
        <v>170</v>
      </c>
      <c r="L15" s="18">
        <v>3000</v>
      </c>
      <c r="M15" s="7">
        <f t="shared" si="0"/>
        <v>510000</v>
      </c>
      <c r="N15" s="4"/>
      <c r="O15" s="9"/>
    </row>
    <row r="16" spans="1:15" ht="20" customHeight="1" x14ac:dyDescent="0.2">
      <c r="A16" s="3">
        <v>12</v>
      </c>
      <c r="B16" s="19"/>
      <c r="C16" s="4" t="s">
        <v>6387</v>
      </c>
      <c r="D16" s="4" t="s">
        <v>62</v>
      </c>
      <c r="E16" s="4" t="s">
        <v>196</v>
      </c>
      <c r="F16" s="8">
        <v>57</v>
      </c>
      <c r="G16" s="8">
        <v>50</v>
      </c>
      <c r="H16" s="8"/>
      <c r="I16" s="8"/>
      <c r="J16" s="8"/>
      <c r="K16" s="8">
        <v>100</v>
      </c>
      <c r="L16" s="18">
        <v>3000</v>
      </c>
      <c r="M16" s="7">
        <f t="shared" si="0"/>
        <v>300000</v>
      </c>
      <c r="N16" s="4"/>
      <c r="O16" s="9"/>
    </row>
    <row r="17" spans="1:15" ht="20" customHeight="1" x14ac:dyDescent="0.2">
      <c r="A17" s="3">
        <v>13</v>
      </c>
      <c r="B17" s="19"/>
      <c r="C17" s="4" t="s">
        <v>6388</v>
      </c>
      <c r="D17" s="4" t="s">
        <v>62</v>
      </c>
      <c r="E17" s="4" t="s">
        <v>196</v>
      </c>
      <c r="F17" s="8">
        <v>12</v>
      </c>
      <c r="G17" s="8"/>
      <c r="H17" s="8"/>
      <c r="I17" s="8"/>
      <c r="J17" s="8"/>
      <c r="K17" s="8">
        <v>10</v>
      </c>
      <c r="L17" s="18">
        <v>2200</v>
      </c>
      <c r="M17" s="7">
        <f t="shared" si="0"/>
        <v>22000</v>
      </c>
      <c r="N17" s="4"/>
      <c r="O17" s="9"/>
    </row>
    <row r="18" spans="1:15" ht="20" customHeight="1" x14ac:dyDescent="0.2">
      <c r="A18" s="3">
        <v>14</v>
      </c>
      <c r="B18" s="19"/>
      <c r="C18" s="4" t="s">
        <v>6389</v>
      </c>
      <c r="D18" s="4" t="s">
        <v>62</v>
      </c>
      <c r="E18" s="4" t="s">
        <v>196</v>
      </c>
      <c r="F18" s="8">
        <v>135</v>
      </c>
      <c r="G18" s="8">
        <v>217</v>
      </c>
      <c r="H18" s="8">
        <v>320</v>
      </c>
      <c r="I18" s="8">
        <v>15</v>
      </c>
      <c r="J18" s="8"/>
      <c r="K18" s="8">
        <v>215</v>
      </c>
      <c r="L18" s="18">
        <v>3150</v>
      </c>
      <c r="M18" s="7">
        <f t="shared" si="0"/>
        <v>677250</v>
      </c>
      <c r="N18" s="4"/>
      <c r="O18" s="9"/>
    </row>
    <row r="19" spans="1:15" ht="20" customHeight="1" x14ac:dyDescent="0.2">
      <c r="A19" s="3">
        <v>15</v>
      </c>
      <c r="B19" s="19"/>
      <c r="C19" s="4" t="s">
        <v>6390</v>
      </c>
      <c r="D19" s="4" t="s">
        <v>62</v>
      </c>
      <c r="E19" s="4" t="s">
        <v>196</v>
      </c>
      <c r="F19" s="8">
        <v>70</v>
      </c>
      <c r="G19" s="8">
        <v>80</v>
      </c>
      <c r="H19" s="8">
        <v>200</v>
      </c>
      <c r="I19" s="8">
        <v>20</v>
      </c>
      <c r="J19" s="8"/>
      <c r="K19" s="8">
        <v>120</v>
      </c>
      <c r="L19" s="18">
        <v>3150</v>
      </c>
      <c r="M19" s="7">
        <f t="shared" si="0"/>
        <v>378000</v>
      </c>
      <c r="N19" s="4"/>
      <c r="O19" s="9"/>
    </row>
    <row r="20" spans="1:15" ht="20" customHeight="1" x14ac:dyDescent="0.2">
      <c r="A20" s="3">
        <v>16</v>
      </c>
      <c r="B20" s="19"/>
      <c r="C20" s="4" t="s">
        <v>6391</v>
      </c>
      <c r="D20" s="4" t="s">
        <v>62</v>
      </c>
      <c r="E20" s="4" t="s">
        <v>196</v>
      </c>
      <c r="F20" s="8">
        <v>5</v>
      </c>
      <c r="G20" s="8"/>
      <c r="H20" s="8"/>
      <c r="I20" s="8"/>
      <c r="J20" s="8"/>
      <c r="K20" s="8">
        <v>0</v>
      </c>
      <c r="L20" s="18">
        <v>2675</v>
      </c>
      <c r="M20" s="7">
        <f t="shared" si="0"/>
        <v>0</v>
      </c>
      <c r="N20" s="4"/>
      <c r="O20" s="9"/>
    </row>
    <row r="21" spans="1:15" ht="20" customHeight="1" x14ac:dyDescent="0.2">
      <c r="A21" s="3">
        <v>17</v>
      </c>
      <c r="B21" s="19"/>
      <c r="C21" s="4" t="s">
        <v>6392</v>
      </c>
      <c r="D21" s="4" t="s">
        <v>62</v>
      </c>
      <c r="E21" s="4" t="s">
        <v>196</v>
      </c>
      <c r="F21" s="8">
        <v>5</v>
      </c>
      <c r="G21" s="8"/>
      <c r="H21" s="8"/>
      <c r="I21" s="8"/>
      <c r="J21" s="8"/>
      <c r="K21" s="8">
        <v>0</v>
      </c>
      <c r="L21" s="18">
        <v>3131</v>
      </c>
      <c r="M21" s="7">
        <f t="shared" si="0"/>
        <v>0</v>
      </c>
      <c r="N21" s="4"/>
      <c r="O21" s="9"/>
    </row>
    <row r="22" spans="1:15" ht="20" customHeight="1" x14ac:dyDescent="0.2">
      <c r="A22" s="3">
        <v>18</v>
      </c>
      <c r="B22" s="19"/>
      <c r="C22" s="4" t="s">
        <v>6393</v>
      </c>
      <c r="D22" s="4" t="s">
        <v>62</v>
      </c>
      <c r="E22" s="4" t="s">
        <v>271</v>
      </c>
      <c r="F22" s="8">
        <v>48</v>
      </c>
      <c r="G22" s="8">
        <v>12</v>
      </c>
      <c r="H22" s="8"/>
      <c r="I22" s="8"/>
      <c r="J22" s="8"/>
      <c r="K22" s="8">
        <v>432</v>
      </c>
      <c r="L22" s="18">
        <v>450</v>
      </c>
      <c r="M22" s="7">
        <f t="shared" si="0"/>
        <v>194400</v>
      </c>
      <c r="N22" s="4"/>
      <c r="O22" s="9"/>
    </row>
    <row r="23" spans="1:15" ht="20" customHeight="1" x14ac:dyDescent="0.2">
      <c r="A23" s="3">
        <v>19</v>
      </c>
      <c r="B23" s="19"/>
      <c r="C23" s="4" t="s">
        <v>6394</v>
      </c>
      <c r="D23" s="4" t="s">
        <v>62</v>
      </c>
      <c r="E23" s="4" t="s">
        <v>271</v>
      </c>
      <c r="F23" s="8"/>
      <c r="G23" s="8"/>
      <c r="H23" s="8"/>
      <c r="I23" s="8"/>
      <c r="J23" s="8"/>
      <c r="K23" s="8">
        <v>288</v>
      </c>
      <c r="L23" s="18">
        <v>450</v>
      </c>
      <c r="M23" s="7">
        <f t="shared" si="0"/>
        <v>129600</v>
      </c>
      <c r="N23" s="4"/>
      <c r="O23" s="9"/>
    </row>
    <row r="24" spans="1:15" ht="20" customHeight="1" x14ac:dyDescent="0.2">
      <c r="A24" s="3">
        <v>20</v>
      </c>
      <c r="B24" s="19"/>
      <c r="C24" s="4" t="s">
        <v>6395</v>
      </c>
      <c r="D24" s="4" t="s">
        <v>62</v>
      </c>
      <c r="E24" s="4" t="s">
        <v>684</v>
      </c>
      <c r="F24" s="8">
        <v>50</v>
      </c>
      <c r="G24" s="8">
        <v>39</v>
      </c>
      <c r="H24" s="8">
        <v>75</v>
      </c>
      <c r="I24" s="8">
        <v>10</v>
      </c>
      <c r="J24" s="8"/>
      <c r="K24" s="8">
        <v>60</v>
      </c>
      <c r="L24" s="18">
        <v>2050.84</v>
      </c>
      <c r="M24" s="7">
        <f t="shared" si="0"/>
        <v>123050.40000000001</v>
      </c>
      <c r="N24" s="4"/>
      <c r="O24" s="9"/>
    </row>
    <row r="25" spans="1:15" ht="20" customHeight="1" x14ac:dyDescent="0.2">
      <c r="A25" s="3">
        <v>21</v>
      </c>
      <c r="B25" s="19"/>
      <c r="C25" s="4" t="s">
        <v>6396</v>
      </c>
      <c r="D25" s="4" t="s">
        <v>62</v>
      </c>
      <c r="E25" s="4" t="s">
        <v>271</v>
      </c>
      <c r="F25" s="8">
        <v>180</v>
      </c>
      <c r="G25" s="8">
        <v>312</v>
      </c>
      <c r="H25" s="8">
        <v>144</v>
      </c>
      <c r="I25" s="8">
        <v>24</v>
      </c>
      <c r="J25" s="8"/>
      <c r="K25" s="8">
        <v>204</v>
      </c>
      <c r="L25" s="18">
        <v>650</v>
      </c>
      <c r="M25" s="7">
        <f t="shared" si="0"/>
        <v>132600</v>
      </c>
      <c r="N25" s="4"/>
      <c r="O25" s="9"/>
    </row>
    <row r="26" spans="1:15" ht="20" customHeight="1" x14ac:dyDescent="0.2">
      <c r="A26" s="3">
        <v>22</v>
      </c>
      <c r="B26" s="19"/>
      <c r="C26" s="4" t="s">
        <v>6397</v>
      </c>
      <c r="D26" s="4" t="s">
        <v>62</v>
      </c>
      <c r="E26" s="4" t="s">
        <v>271</v>
      </c>
      <c r="F26" s="8"/>
      <c r="G26" s="8">
        <v>96</v>
      </c>
      <c r="H26" s="8"/>
      <c r="I26" s="8"/>
      <c r="J26" s="8"/>
      <c r="K26" s="8">
        <v>0</v>
      </c>
      <c r="L26" s="18">
        <v>720</v>
      </c>
      <c r="M26" s="7">
        <f t="shared" si="0"/>
        <v>0</v>
      </c>
      <c r="N26" s="4"/>
      <c r="O26" s="9"/>
    </row>
    <row r="27" spans="1:15" ht="20" customHeight="1" x14ac:dyDescent="0.2">
      <c r="A27" s="3">
        <v>23</v>
      </c>
      <c r="B27" s="19"/>
      <c r="C27" s="4" t="s">
        <v>6398</v>
      </c>
      <c r="D27" s="4" t="s">
        <v>62</v>
      </c>
      <c r="E27" s="4" t="s">
        <v>271</v>
      </c>
      <c r="F27" s="8">
        <v>168</v>
      </c>
      <c r="G27" s="8"/>
      <c r="H27" s="8"/>
      <c r="I27" s="8"/>
      <c r="J27" s="8"/>
      <c r="K27" s="8">
        <v>72</v>
      </c>
      <c r="L27" s="18">
        <v>720</v>
      </c>
      <c r="M27" s="7">
        <f t="shared" si="0"/>
        <v>51840</v>
      </c>
      <c r="N27" s="4"/>
      <c r="O27" s="9"/>
    </row>
    <row r="28" spans="1:15" ht="20" customHeight="1" x14ac:dyDescent="0.2">
      <c r="A28" s="3">
        <v>24</v>
      </c>
      <c r="B28" s="19"/>
      <c r="C28" s="4" t="s">
        <v>6399</v>
      </c>
      <c r="D28" s="4" t="s">
        <v>62</v>
      </c>
      <c r="E28" s="4" t="s">
        <v>684</v>
      </c>
      <c r="F28" s="8">
        <v>4</v>
      </c>
      <c r="G28" s="8">
        <v>5</v>
      </c>
      <c r="H28" s="8">
        <v>15</v>
      </c>
      <c r="I28" s="8">
        <v>3</v>
      </c>
      <c r="J28" s="8"/>
      <c r="K28" s="8">
        <v>7</v>
      </c>
      <c r="L28" s="18">
        <v>1400</v>
      </c>
      <c r="M28" s="7">
        <f t="shared" si="0"/>
        <v>9800</v>
      </c>
      <c r="N28" s="4"/>
      <c r="O28" s="9"/>
    </row>
    <row r="29" spans="1:15" ht="20" customHeight="1" x14ac:dyDescent="0.2">
      <c r="A29" s="3">
        <v>25</v>
      </c>
      <c r="B29" s="19"/>
      <c r="C29" s="4" t="s">
        <v>6400</v>
      </c>
      <c r="D29" s="4" t="s">
        <v>62</v>
      </c>
      <c r="E29" s="4" t="s">
        <v>271</v>
      </c>
      <c r="F29" s="8">
        <v>180</v>
      </c>
      <c r="G29" s="8">
        <v>336</v>
      </c>
      <c r="H29" s="8"/>
      <c r="I29" s="8">
        <v>36</v>
      </c>
      <c r="J29" s="8"/>
      <c r="K29" s="8">
        <v>216</v>
      </c>
      <c r="L29" s="18">
        <v>380</v>
      </c>
      <c r="M29" s="7">
        <f t="shared" si="0"/>
        <v>82080</v>
      </c>
      <c r="N29" s="4"/>
      <c r="O29" s="9"/>
    </row>
    <row r="30" spans="1:15" ht="20" customHeight="1" x14ac:dyDescent="0.2">
      <c r="A30" s="3">
        <v>26</v>
      </c>
      <c r="B30" s="19"/>
      <c r="C30" s="4" t="s">
        <v>6401</v>
      </c>
      <c r="D30" s="4" t="s">
        <v>62</v>
      </c>
      <c r="E30" s="4" t="s">
        <v>271</v>
      </c>
      <c r="F30" s="8">
        <v>72</v>
      </c>
      <c r="G30" s="8"/>
      <c r="H30" s="8"/>
      <c r="I30" s="8">
        <v>12</v>
      </c>
      <c r="J30" s="8"/>
      <c r="K30" s="8">
        <v>36</v>
      </c>
      <c r="L30" s="18">
        <v>770</v>
      </c>
      <c r="M30" s="7">
        <f t="shared" si="0"/>
        <v>27720</v>
      </c>
      <c r="N30" s="4"/>
      <c r="O30" s="9"/>
    </row>
    <row r="31" spans="1:15" ht="20" customHeight="1" x14ac:dyDescent="0.2">
      <c r="A31" s="3">
        <v>27</v>
      </c>
      <c r="B31" s="19"/>
      <c r="C31" s="4" t="s">
        <v>6402</v>
      </c>
      <c r="D31" s="4" t="s">
        <v>62</v>
      </c>
      <c r="E31" s="4" t="s">
        <v>196</v>
      </c>
      <c r="F31" s="8">
        <v>48</v>
      </c>
      <c r="G31" s="8">
        <v>72</v>
      </c>
      <c r="H31" s="8"/>
      <c r="I31" s="8">
        <v>12</v>
      </c>
      <c r="J31" s="8"/>
      <c r="K31" s="8">
        <v>36</v>
      </c>
      <c r="L31" s="18">
        <v>770</v>
      </c>
      <c r="M31" s="7">
        <f t="shared" si="0"/>
        <v>27720</v>
      </c>
      <c r="N31" s="4"/>
      <c r="O31" s="9"/>
    </row>
    <row r="32" spans="1:15" ht="20" customHeight="1" x14ac:dyDescent="0.2">
      <c r="A32" s="3">
        <v>28</v>
      </c>
      <c r="B32" s="19"/>
      <c r="C32" s="4" t="s">
        <v>6403</v>
      </c>
      <c r="D32" s="4" t="s">
        <v>62</v>
      </c>
      <c r="E32" s="4" t="s">
        <v>271</v>
      </c>
      <c r="F32" s="8">
        <v>432</v>
      </c>
      <c r="G32" s="8">
        <v>672</v>
      </c>
      <c r="H32" s="8">
        <v>432</v>
      </c>
      <c r="I32" s="8">
        <v>72</v>
      </c>
      <c r="J32" s="8"/>
      <c r="K32" s="8">
        <v>504</v>
      </c>
      <c r="L32" s="18">
        <v>785</v>
      </c>
      <c r="M32" s="7">
        <f t="shared" si="0"/>
        <v>395640</v>
      </c>
      <c r="N32" s="4"/>
      <c r="O32" s="9"/>
    </row>
    <row r="33" spans="1:15" ht="20" customHeight="1" x14ac:dyDescent="0.2">
      <c r="A33" s="3">
        <v>29</v>
      </c>
      <c r="B33" s="19"/>
      <c r="C33" s="4" t="s">
        <v>6404</v>
      </c>
      <c r="D33" s="4" t="s">
        <v>62</v>
      </c>
      <c r="E33" s="4" t="s">
        <v>271</v>
      </c>
      <c r="F33" s="8">
        <v>1140</v>
      </c>
      <c r="G33" s="8">
        <v>1292</v>
      </c>
      <c r="H33" s="8">
        <v>960</v>
      </c>
      <c r="I33" s="8">
        <v>90</v>
      </c>
      <c r="J33" s="8"/>
      <c r="K33" s="8">
        <v>1230</v>
      </c>
      <c r="L33" s="18">
        <v>330</v>
      </c>
      <c r="M33" s="7">
        <f t="shared" si="0"/>
        <v>405900</v>
      </c>
      <c r="N33" s="4"/>
      <c r="O33" s="9"/>
    </row>
    <row r="34" spans="1:15" ht="20" customHeight="1" x14ac:dyDescent="0.2">
      <c r="A34" s="3">
        <v>30</v>
      </c>
      <c r="B34" s="19"/>
      <c r="C34" s="4" t="s">
        <v>6405</v>
      </c>
      <c r="D34" s="4" t="s">
        <v>62</v>
      </c>
      <c r="E34" s="4" t="s">
        <v>265</v>
      </c>
      <c r="F34" s="8">
        <v>1800</v>
      </c>
      <c r="G34" s="8">
        <v>2000</v>
      </c>
      <c r="H34" s="8">
        <v>2400</v>
      </c>
      <c r="I34" s="8">
        <v>400</v>
      </c>
      <c r="J34" s="8"/>
      <c r="K34" s="8">
        <v>2000</v>
      </c>
      <c r="L34" s="18">
        <v>108</v>
      </c>
      <c r="M34" s="7">
        <f t="shared" si="0"/>
        <v>216000</v>
      </c>
      <c r="N34" s="4"/>
      <c r="O34" s="9"/>
    </row>
    <row r="35" spans="1:15" ht="20" customHeight="1" x14ac:dyDescent="0.2">
      <c r="A35" s="3">
        <v>31</v>
      </c>
      <c r="B35" s="19"/>
      <c r="C35" s="4" t="s">
        <v>6406</v>
      </c>
      <c r="D35" s="4" t="s">
        <v>62</v>
      </c>
      <c r="E35" s="4" t="s">
        <v>196</v>
      </c>
      <c r="F35" s="8">
        <v>5760</v>
      </c>
      <c r="G35" s="8">
        <v>5760</v>
      </c>
      <c r="H35" s="8">
        <v>5960</v>
      </c>
      <c r="I35" s="8">
        <v>600</v>
      </c>
      <c r="J35" s="8"/>
      <c r="K35" s="8">
        <v>5400</v>
      </c>
      <c r="L35" s="18">
        <v>16</v>
      </c>
      <c r="M35" s="7">
        <f t="shared" si="0"/>
        <v>86400</v>
      </c>
      <c r="N35" s="4"/>
      <c r="O35" s="9"/>
    </row>
    <row r="36" spans="1:15" ht="20" customHeight="1" x14ac:dyDescent="0.2">
      <c r="A36" s="3">
        <v>32</v>
      </c>
      <c r="B36" s="19"/>
      <c r="C36" s="4" t="s">
        <v>6407</v>
      </c>
      <c r="D36" s="4" t="s">
        <v>62</v>
      </c>
      <c r="E36" s="4" t="s">
        <v>196</v>
      </c>
      <c r="F36" s="8">
        <v>6600</v>
      </c>
      <c r="G36" s="8">
        <v>4500</v>
      </c>
      <c r="H36" s="8">
        <v>5300</v>
      </c>
      <c r="I36" s="8">
        <v>300</v>
      </c>
      <c r="J36" s="8"/>
      <c r="K36" s="8">
        <v>7500</v>
      </c>
      <c r="L36" s="18">
        <v>19</v>
      </c>
      <c r="M36" s="7">
        <f t="shared" si="0"/>
        <v>142500</v>
      </c>
      <c r="N36" s="4"/>
      <c r="O36" s="9"/>
    </row>
    <row r="37" spans="1:15" ht="20" customHeight="1" x14ac:dyDescent="0.2">
      <c r="A37" s="3">
        <v>33</v>
      </c>
      <c r="B37" s="19"/>
      <c r="C37" s="4" t="s">
        <v>6408</v>
      </c>
      <c r="D37" s="4" t="s">
        <v>62</v>
      </c>
      <c r="E37" s="4" t="s">
        <v>684</v>
      </c>
      <c r="F37" s="8">
        <v>60</v>
      </c>
      <c r="G37" s="8">
        <v>60</v>
      </c>
      <c r="H37" s="8">
        <v>110</v>
      </c>
      <c r="I37" s="8">
        <v>10</v>
      </c>
      <c r="J37" s="8"/>
      <c r="K37" s="8">
        <v>70</v>
      </c>
      <c r="L37" s="18">
        <v>230</v>
      </c>
      <c r="M37" s="7">
        <f t="shared" ref="M37:M68" si="1">IF(OR(K37="",L37=""),"",K37*L37)</f>
        <v>16100</v>
      </c>
      <c r="N37" s="4"/>
      <c r="O37" s="9"/>
    </row>
    <row r="38" spans="1:15" ht="20" customHeight="1" x14ac:dyDescent="0.2">
      <c r="A38" s="3">
        <v>34</v>
      </c>
      <c r="B38" s="19"/>
      <c r="C38" s="4" t="s">
        <v>6409</v>
      </c>
      <c r="D38" s="4" t="s">
        <v>62</v>
      </c>
      <c r="E38" s="4" t="s">
        <v>684</v>
      </c>
      <c r="F38" s="8">
        <v>90</v>
      </c>
      <c r="G38" s="8">
        <v>110</v>
      </c>
      <c r="H38" s="8">
        <v>130</v>
      </c>
      <c r="I38" s="8">
        <v>10</v>
      </c>
      <c r="J38" s="8"/>
      <c r="K38" s="8">
        <v>100</v>
      </c>
      <c r="L38" s="18">
        <v>230</v>
      </c>
      <c r="M38" s="7">
        <f t="shared" si="1"/>
        <v>23000</v>
      </c>
      <c r="N38" s="4"/>
      <c r="O38" s="9"/>
    </row>
    <row r="39" spans="1:15" ht="20" customHeight="1" x14ac:dyDescent="0.2">
      <c r="A39" s="3">
        <v>35</v>
      </c>
      <c r="B39" s="19"/>
      <c r="C39" s="4" t="s">
        <v>6410</v>
      </c>
      <c r="D39" s="4" t="s">
        <v>62</v>
      </c>
      <c r="E39" s="4" t="s">
        <v>684</v>
      </c>
      <c r="F39" s="8">
        <v>11400</v>
      </c>
      <c r="G39" s="8">
        <v>12800</v>
      </c>
      <c r="H39" s="8">
        <v>11700</v>
      </c>
      <c r="I39" s="8">
        <v>1000</v>
      </c>
      <c r="J39" s="8"/>
      <c r="K39" s="8">
        <v>12400</v>
      </c>
      <c r="L39" s="18">
        <v>50</v>
      </c>
      <c r="M39" s="7">
        <f t="shared" si="1"/>
        <v>620000</v>
      </c>
      <c r="N39" s="4"/>
      <c r="O39" s="9"/>
    </row>
    <row r="40" spans="1:15" ht="20" customHeight="1" x14ac:dyDescent="0.2">
      <c r="A40" s="3">
        <v>36</v>
      </c>
      <c r="B40" s="19"/>
      <c r="C40" s="4" t="s">
        <v>6411</v>
      </c>
      <c r="D40" s="4" t="s">
        <v>62</v>
      </c>
      <c r="E40" s="4" t="s">
        <v>684</v>
      </c>
      <c r="F40" s="8">
        <v>1550</v>
      </c>
      <c r="G40" s="8">
        <v>2900</v>
      </c>
      <c r="H40" s="8">
        <v>3100</v>
      </c>
      <c r="I40" s="8">
        <v>300</v>
      </c>
      <c r="J40" s="8"/>
      <c r="K40" s="8">
        <v>1850</v>
      </c>
      <c r="L40" s="18">
        <v>76.5</v>
      </c>
      <c r="M40" s="7">
        <f t="shared" si="1"/>
        <v>141525</v>
      </c>
      <c r="N40" s="4"/>
      <c r="O40" s="9"/>
    </row>
    <row r="41" spans="1:15" ht="20" customHeight="1" x14ac:dyDescent="0.2">
      <c r="A41" s="3">
        <v>37</v>
      </c>
      <c r="B41" s="19"/>
      <c r="C41" s="4" t="s">
        <v>6412</v>
      </c>
      <c r="D41" s="4" t="s">
        <v>62</v>
      </c>
      <c r="E41" s="4" t="s">
        <v>684</v>
      </c>
      <c r="F41" s="8">
        <v>3100</v>
      </c>
      <c r="G41" s="8">
        <v>3100</v>
      </c>
      <c r="H41" s="8">
        <v>3400</v>
      </c>
      <c r="I41" s="8">
        <v>700</v>
      </c>
      <c r="J41" s="8"/>
      <c r="K41" s="8">
        <v>3800</v>
      </c>
      <c r="L41" s="18">
        <v>76.5</v>
      </c>
      <c r="M41" s="7">
        <f t="shared" si="1"/>
        <v>290700</v>
      </c>
      <c r="N41" s="4"/>
      <c r="O41" s="9"/>
    </row>
    <row r="42" spans="1:15" ht="20" customHeight="1" x14ac:dyDescent="0.2">
      <c r="A42" s="3">
        <v>38</v>
      </c>
      <c r="B42" s="19"/>
      <c r="C42" s="4" t="s">
        <v>6413</v>
      </c>
      <c r="D42" s="4" t="s">
        <v>62</v>
      </c>
      <c r="E42" s="4" t="s">
        <v>684</v>
      </c>
      <c r="F42" s="8">
        <v>4200</v>
      </c>
      <c r="G42" s="8">
        <v>3200</v>
      </c>
      <c r="H42" s="8">
        <v>3500</v>
      </c>
      <c r="I42" s="8">
        <v>900</v>
      </c>
      <c r="J42" s="8"/>
      <c r="K42" s="8">
        <v>5100</v>
      </c>
      <c r="L42" s="18">
        <v>76.5</v>
      </c>
      <c r="M42" s="7">
        <f t="shared" si="1"/>
        <v>390150</v>
      </c>
      <c r="N42" s="4"/>
      <c r="O42" s="9"/>
    </row>
    <row r="43" spans="1:15" ht="20" customHeight="1" x14ac:dyDescent="0.2">
      <c r="A43" s="3">
        <v>39</v>
      </c>
      <c r="B43" s="19"/>
      <c r="C43" s="4" t="s">
        <v>6414</v>
      </c>
      <c r="D43" s="4" t="s">
        <v>62</v>
      </c>
      <c r="E43" s="4" t="s">
        <v>684</v>
      </c>
      <c r="F43" s="8">
        <v>2950</v>
      </c>
      <c r="G43" s="8">
        <v>3500</v>
      </c>
      <c r="H43" s="8">
        <v>3300</v>
      </c>
      <c r="I43" s="8">
        <v>400</v>
      </c>
      <c r="J43" s="8"/>
      <c r="K43" s="8">
        <v>3350</v>
      </c>
      <c r="L43" s="18">
        <v>76.5</v>
      </c>
      <c r="M43" s="7">
        <f t="shared" si="1"/>
        <v>256275</v>
      </c>
      <c r="N43" s="4"/>
      <c r="O43" s="9"/>
    </row>
    <row r="44" spans="1:15" ht="20" customHeight="1" x14ac:dyDescent="0.2">
      <c r="A44" s="3">
        <v>40</v>
      </c>
      <c r="B44" s="19"/>
      <c r="C44" s="4" t="s">
        <v>6415</v>
      </c>
      <c r="D44" s="4" t="s">
        <v>62</v>
      </c>
      <c r="E44" s="4" t="s">
        <v>271</v>
      </c>
      <c r="F44" s="8">
        <v>216</v>
      </c>
      <c r="G44" s="8">
        <v>72</v>
      </c>
      <c r="H44" s="8"/>
      <c r="I44" s="8"/>
      <c r="J44" s="8"/>
      <c r="K44" s="8">
        <v>0</v>
      </c>
      <c r="L44" s="18">
        <v>340</v>
      </c>
      <c r="M44" s="7">
        <f t="shared" si="1"/>
        <v>0</v>
      </c>
      <c r="N44" s="4"/>
      <c r="O44" s="9"/>
    </row>
    <row r="45" spans="1:15" ht="20" customHeight="1" x14ac:dyDescent="0.2">
      <c r="A45" s="3">
        <v>41</v>
      </c>
      <c r="B45" s="19"/>
      <c r="C45" s="4" t="s">
        <v>6416</v>
      </c>
      <c r="D45" s="4" t="s">
        <v>62</v>
      </c>
      <c r="E45" s="4" t="s">
        <v>271</v>
      </c>
      <c r="F45" s="8">
        <v>384</v>
      </c>
      <c r="G45" s="8"/>
      <c r="H45" s="8"/>
      <c r="I45" s="8"/>
      <c r="J45" s="8"/>
      <c r="K45" s="8">
        <v>0</v>
      </c>
      <c r="L45" s="18">
        <v>640</v>
      </c>
      <c r="M45" s="7">
        <f t="shared" si="1"/>
        <v>0</v>
      </c>
      <c r="N45" s="4"/>
      <c r="O45" s="9"/>
    </row>
    <row r="46" spans="1:15" ht="20" customHeight="1" x14ac:dyDescent="0.2">
      <c r="A46" s="3">
        <v>42</v>
      </c>
      <c r="B46" s="19"/>
      <c r="C46" s="4" t="s">
        <v>6417</v>
      </c>
      <c r="D46" s="4" t="s">
        <v>62</v>
      </c>
      <c r="E46" s="4" t="s">
        <v>196</v>
      </c>
      <c r="F46" s="8">
        <v>5</v>
      </c>
      <c r="G46" s="8">
        <v>10</v>
      </c>
      <c r="H46" s="8">
        <v>10</v>
      </c>
      <c r="I46" s="8">
        <v>5</v>
      </c>
      <c r="J46" s="8"/>
      <c r="K46" s="8">
        <v>10</v>
      </c>
      <c r="L46" s="18">
        <v>2600.1</v>
      </c>
      <c r="M46" s="7">
        <f t="shared" si="1"/>
        <v>26001</v>
      </c>
      <c r="N46" s="4"/>
      <c r="O46" s="9"/>
    </row>
    <row r="47" spans="1:15" ht="20" customHeight="1" x14ac:dyDescent="0.2">
      <c r="A47" s="3">
        <v>43</v>
      </c>
      <c r="B47" s="19"/>
      <c r="C47" s="4" t="s">
        <v>6418</v>
      </c>
      <c r="D47" s="4" t="s">
        <v>62</v>
      </c>
      <c r="E47" s="4" t="s">
        <v>196</v>
      </c>
      <c r="F47" s="8"/>
      <c r="G47" s="8">
        <v>25</v>
      </c>
      <c r="H47" s="8">
        <v>15</v>
      </c>
      <c r="I47" s="8"/>
      <c r="J47" s="8"/>
      <c r="K47" s="8">
        <v>0</v>
      </c>
      <c r="L47" s="18">
        <v>2600.1</v>
      </c>
      <c r="M47" s="7">
        <f t="shared" si="1"/>
        <v>0</v>
      </c>
      <c r="N47" s="4"/>
      <c r="O47" s="9"/>
    </row>
    <row r="48" spans="1:15" ht="20" customHeight="1" x14ac:dyDescent="0.2">
      <c r="A48" s="3">
        <v>44</v>
      </c>
      <c r="B48" s="19"/>
      <c r="C48" s="4" t="s">
        <v>6419</v>
      </c>
      <c r="D48" s="4" t="s">
        <v>62</v>
      </c>
      <c r="E48" s="4" t="s">
        <v>271</v>
      </c>
      <c r="F48" s="8"/>
      <c r="G48" s="8"/>
      <c r="H48" s="8"/>
      <c r="I48" s="8"/>
      <c r="J48" s="8"/>
      <c r="K48" s="8">
        <v>0</v>
      </c>
      <c r="L48" s="18">
        <v>161.19999999999999</v>
      </c>
      <c r="M48" s="7">
        <f t="shared" si="1"/>
        <v>0</v>
      </c>
      <c r="N48" s="4"/>
      <c r="O48" s="9"/>
    </row>
    <row r="49" spans="1:15" ht="20" customHeight="1" x14ac:dyDescent="0.2">
      <c r="A49" s="3">
        <v>45</v>
      </c>
      <c r="B49" s="19"/>
      <c r="C49" s="4" t="s">
        <v>6420</v>
      </c>
      <c r="D49" s="4" t="s">
        <v>62</v>
      </c>
      <c r="E49" s="4" t="s">
        <v>271</v>
      </c>
      <c r="F49" s="8">
        <v>30</v>
      </c>
      <c r="G49" s="8">
        <v>180</v>
      </c>
      <c r="H49" s="8"/>
      <c r="I49" s="8">
        <v>22</v>
      </c>
      <c r="J49" s="8"/>
      <c r="K49" s="8">
        <v>82</v>
      </c>
      <c r="L49" s="18">
        <v>1712</v>
      </c>
      <c r="M49" s="7">
        <f t="shared" si="1"/>
        <v>140384</v>
      </c>
      <c r="N49" s="4"/>
      <c r="O49" s="9"/>
    </row>
    <row r="50" spans="1:15" ht="20" customHeight="1" x14ac:dyDescent="0.2">
      <c r="A50" s="3">
        <v>46</v>
      </c>
      <c r="B50" s="19"/>
      <c r="C50" s="4" t="s">
        <v>6421</v>
      </c>
      <c r="D50" s="4" t="s">
        <v>62</v>
      </c>
      <c r="E50" s="4" t="s">
        <v>271</v>
      </c>
      <c r="F50" s="8">
        <v>60</v>
      </c>
      <c r="G50" s="8"/>
      <c r="H50" s="8"/>
      <c r="I50" s="8"/>
      <c r="J50" s="8"/>
      <c r="K50" s="8">
        <v>0</v>
      </c>
      <c r="L50" s="18">
        <v>214</v>
      </c>
      <c r="M50" s="7">
        <f t="shared" si="1"/>
        <v>0</v>
      </c>
      <c r="N50" s="4"/>
      <c r="O50" s="9"/>
    </row>
    <row r="51" spans="1:15" ht="20" customHeight="1" x14ac:dyDescent="0.2">
      <c r="A51" s="3">
        <v>47</v>
      </c>
      <c r="B51" s="19"/>
      <c r="C51" s="4" t="s">
        <v>6422</v>
      </c>
      <c r="D51" s="4" t="s">
        <v>62</v>
      </c>
      <c r="E51" s="4" t="s">
        <v>271</v>
      </c>
      <c r="F51" s="8">
        <v>15</v>
      </c>
      <c r="G51" s="8">
        <v>10</v>
      </c>
      <c r="H51" s="8"/>
      <c r="I51" s="8"/>
      <c r="J51" s="8"/>
      <c r="K51" s="8">
        <v>15</v>
      </c>
      <c r="L51" s="18">
        <v>963</v>
      </c>
      <c r="M51" s="7">
        <f t="shared" si="1"/>
        <v>14445</v>
      </c>
      <c r="N51" s="4"/>
      <c r="O51" s="9"/>
    </row>
    <row r="52" spans="1:15" ht="20" customHeight="1" x14ac:dyDescent="0.2">
      <c r="A52" s="3">
        <v>48</v>
      </c>
      <c r="B52" s="19"/>
      <c r="C52" s="4" t="s">
        <v>6423</v>
      </c>
      <c r="D52" s="4" t="s">
        <v>62</v>
      </c>
      <c r="E52" s="4" t="s">
        <v>271</v>
      </c>
      <c r="F52" s="8">
        <v>5</v>
      </c>
      <c r="G52" s="8"/>
      <c r="H52" s="8"/>
      <c r="I52" s="8"/>
      <c r="J52" s="8"/>
      <c r="K52" s="8">
        <v>5</v>
      </c>
      <c r="L52" s="18">
        <v>963</v>
      </c>
      <c r="M52" s="7">
        <f t="shared" si="1"/>
        <v>4815</v>
      </c>
      <c r="N52" s="4"/>
      <c r="O52" s="9"/>
    </row>
    <row r="53" spans="1:15" ht="20" customHeight="1" x14ac:dyDescent="0.2">
      <c r="A53" s="3">
        <v>49</v>
      </c>
      <c r="B53" s="19"/>
      <c r="C53" s="4" t="s">
        <v>6424</v>
      </c>
      <c r="D53" s="4" t="s">
        <v>62</v>
      </c>
      <c r="E53" s="4" t="s">
        <v>271</v>
      </c>
      <c r="F53" s="8"/>
      <c r="G53" s="8"/>
      <c r="H53" s="8">
        <v>105</v>
      </c>
      <c r="I53" s="8"/>
      <c r="J53" s="8"/>
      <c r="K53" s="8">
        <v>0</v>
      </c>
      <c r="L53" s="18">
        <v>10</v>
      </c>
      <c r="M53" s="7">
        <f t="shared" si="1"/>
        <v>0</v>
      </c>
      <c r="N53" s="4"/>
      <c r="O53" s="9"/>
    </row>
    <row r="54" spans="1:15" ht="20" customHeight="1" x14ac:dyDescent="0.2">
      <c r="A54" s="3">
        <v>50</v>
      </c>
      <c r="B54" s="19"/>
      <c r="C54" s="4" t="s">
        <v>6425</v>
      </c>
      <c r="D54" s="4" t="s">
        <v>62</v>
      </c>
      <c r="E54" s="4" t="s">
        <v>271</v>
      </c>
      <c r="F54" s="8"/>
      <c r="G54" s="8"/>
      <c r="H54" s="8">
        <v>47</v>
      </c>
      <c r="I54" s="8"/>
      <c r="J54" s="8"/>
      <c r="K54" s="8">
        <v>0</v>
      </c>
      <c r="L54" s="18">
        <v>29.96</v>
      </c>
      <c r="M54" s="7">
        <f t="shared" si="1"/>
        <v>0</v>
      </c>
      <c r="N54" s="4"/>
      <c r="O54" s="9"/>
    </row>
    <row r="55" spans="1:15" ht="22" customHeight="1" x14ac:dyDescent="0.35">
      <c r="A55" s="10" t="s">
        <v>86</v>
      </c>
      <c r="B55" s="20"/>
      <c r="C55" s="11"/>
      <c r="D55" s="11"/>
      <c r="E55" s="11"/>
      <c r="F55" s="11"/>
      <c r="G55" s="11"/>
      <c r="H55" s="11"/>
      <c r="I55" s="11"/>
      <c r="J55" s="11"/>
      <c r="K55" s="13">
        <f>SUM(K5:K54)</f>
        <v>68017</v>
      </c>
      <c r="L55" s="11"/>
      <c r="M55" s="13">
        <f>SUM(M5:M54)</f>
        <v>8050335.4000000004</v>
      </c>
      <c r="N55" s="11"/>
      <c r="O55" s="11"/>
    </row>
    <row r="56" spans="1:15" ht="32" customHeight="1" x14ac:dyDescent="0.2">
      <c r="A56" s="23" t="s">
        <v>6426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</sheetData>
  <autoFilter ref="A4:O54" xr:uid="{00000000-0009-0000-0000-000013000000}"/>
  <mergeCells count="5">
    <mergeCell ref="E2:G2"/>
    <mergeCell ref="I2:J2"/>
    <mergeCell ref="A1:O1"/>
    <mergeCell ref="F3:O3"/>
    <mergeCell ref="A56:O56"/>
  </mergeCells>
  <conditionalFormatting sqref="E3">
    <cfRule type="cellIs" dxfId="19" priority="1" operator="greaterThan">
      <formula>0.009</formula>
    </cfRule>
    <cfRule type="cellIs" dxfId="18" priority="2" operator="lessThan">
      <formula>-0.009</formula>
    </cfRule>
  </conditionalFormatting>
  <dataValidations count="1">
    <dataValidation type="list" allowBlank="1" sqref="O5:O54" xr:uid="{00000000-0002-0000-13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ไตเทียม · DBR/2570/0022</oddHeader>
    <oddFooter>&amp;Lส่งออกจากฐาน VPK-S1 วันที่ 12 ต.ค. 2569&amp;Rหน้า &amp;P / &amp;N</oddFooter>
  </headerFooter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B6848"/>
    <pageSetUpPr fitToPage="1"/>
  </sheetPr>
  <dimension ref="A1:O159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6427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63</v>
      </c>
      <c r="D2" s="14" t="s">
        <v>7</v>
      </c>
      <c r="E2" s="24" t="s">
        <v>65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109410695</v>
      </c>
      <c r="D3" s="15" t="s">
        <v>94</v>
      </c>
      <c r="E3" s="17">
        <f>M158-C3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6428</v>
      </c>
      <c r="D5" s="4" t="s">
        <v>64</v>
      </c>
      <c r="E5" s="4" t="s">
        <v>271</v>
      </c>
      <c r="F5" s="8">
        <v>7</v>
      </c>
      <c r="G5" s="8">
        <v>10</v>
      </c>
      <c r="H5" s="8">
        <v>25</v>
      </c>
      <c r="I5" s="8"/>
      <c r="J5" s="8"/>
      <c r="K5" s="8">
        <v>40</v>
      </c>
      <c r="L5" s="18">
        <v>28500</v>
      </c>
      <c r="M5" s="7">
        <f t="shared" ref="M5:M36" si="0">IF(OR(K5="",L5=""),"",K5*L5)</f>
        <v>1140000</v>
      </c>
      <c r="N5" s="4"/>
      <c r="O5" s="9"/>
    </row>
    <row r="6" spans="1:15" ht="20" customHeight="1" x14ac:dyDescent="0.2">
      <c r="A6" s="3">
        <v>2</v>
      </c>
      <c r="B6" s="19"/>
      <c r="C6" s="4" t="s">
        <v>6429</v>
      </c>
      <c r="D6" s="4" t="s">
        <v>64</v>
      </c>
      <c r="E6" s="4" t="s">
        <v>271</v>
      </c>
      <c r="F6" s="8">
        <v>10</v>
      </c>
      <c r="G6" s="8"/>
      <c r="H6" s="8">
        <v>28</v>
      </c>
      <c r="I6" s="8"/>
      <c r="J6" s="8"/>
      <c r="K6" s="8">
        <v>40</v>
      </c>
      <c r="L6" s="18">
        <v>28500</v>
      </c>
      <c r="M6" s="7">
        <f t="shared" si="0"/>
        <v>1140000</v>
      </c>
      <c r="N6" s="4"/>
      <c r="O6" s="9"/>
    </row>
    <row r="7" spans="1:15" ht="20" customHeight="1" x14ac:dyDescent="0.2">
      <c r="A7" s="3">
        <v>3</v>
      </c>
      <c r="B7" s="19"/>
      <c r="C7" s="4" t="s">
        <v>6430</v>
      </c>
      <c r="D7" s="4" t="s">
        <v>64</v>
      </c>
      <c r="E7" s="4" t="s">
        <v>271</v>
      </c>
      <c r="F7" s="8">
        <v>17</v>
      </c>
      <c r="G7" s="8">
        <v>15</v>
      </c>
      <c r="H7" s="8">
        <v>16</v>
      </c>
      <c r="I7" s="8"/>
      <c r="J7" s="8"/>
      <c r="K7" s="8">
        <v>30</v>
      </c>
      <c r="L7" s="18">
        <v>28500</v>
      </c>
      <c r="M7" s="7">
        <f t="shared" si="0"/>
        <v>855000</v>
      </c>
      <c r="N7" s="4"/>
      <c r="O7" s="9"/>
    </row>
    <row r="8" spans="1:15" ht="20" customHeight="1" x14ac:dyDescent="0.2">
      <c r="A8" s="3">
        <v>4</v>
      </c>
      <c r="B8" s="19"/>
      <c r="C8" s="4" t="s">
        <v>6431</v>
      </c>
      <c r="D8" s="4" t="s">
        <v>64</v>
      </c>
      <c r="E8" s="4" t="s">
        <v>271</v>
      </c>
      <c r="F8" s="8">
        <v>59</v>
      </c>
      <c r="G8" s="8">
        <v>25</v>
      </c>
      <c r="H8" s="8">
        <v>21</v>
      </c>
      <c r="I8" s="8"/>
      <c r="J8" s="8"/>
      <c r="K8" s="8">
        <v>30</v>
      </c>
      <c r="L8" s="18">
        <v>28500</v>
      </c>
      <c r="M8" s="7">
        <f t="shared" si="0"/>
        <v>855000</v>
      </c>
      <c r="N8" s="4"/>
      <c r="O8" s="9"/>
    </row>
    <row r="9" spans="1:15" ht="20" customHeight="1" x14ac:dyDescent="0.2">
      <c r="A9" s="3">
        <v>5</v>
      </c>
      <c r="B9" s="19"/>
      <c r="C9" s="4" t="s">
        <v>6432</v>
      </c>
      <c r="D9" s="4" t="s">
        <v>64</v>
      </c>
      <c r="E9" s="4" t="s">
        <v>271</v>
      </c>
      <c r="F9" s="8"/>
      <c r="G9" s="8">
        <v>5</v>
      </c>
      <c r="H9" s="8">
        <v>6</v>
      </c>
      <c r="I9" s="8"/>
      <c r="J9" s="8"/>
      <c r="K9" s="8">
        <v>10</v>
      </c>
      <c r="L9" s="18">
        <v>28500</v>
      </c>
      <c r="M9" s="7">
        <f t="shared" si="0"/>
        <v>285000</v>
      </c>
      <c r="N9" s="4"/>
      <c r="O9" s="9"/>
    </row>
    <row r="10" spans="1:15" ht="20" customHeight="1" x14ac:dyDescent="0.2">
      <c r="A10" s="3">
        <v>6</v>
      </c>
      <c r="B10" s="19"/>
      <c r="C10" s="4" t="s">
        <v>6433</v>
      </c>
      <c r="D10" s="4" t="s">
        <v>64</v>
      </c>
      <c r="E10" s="4" t="s">
        <v>271</v>
      </c>
      <c r="F10" s="8">
        <v>15</v>
      </c>
      <c r="G10" s="8">
        <v>30</v>
      </c>
      <c r="H10" s="8">
        <v>35</v>
      </c>
      <c r="I10" s="8"/>
      <c r="J10" s="8"/>
      <c r="K10" s="8">
        <v>45</v>
      </c>
      <c r="L10" s="18">
        <v>28500</v>
      </c>
      <c r="M10" s="7">
        <f t="shared" si="0"/>
        <v>1282500</v>
      </c>
      <c r="N10" s="4"/>
      <c r="O10" s="9"/>
    </row>
    <row r="11" spans="1:15" ht="20" customHeight="1" x14ac:dyDescent="0.2">
      <c r="A11" s="3">
        <v>7</v>
      </c>
      <c r="B11" s="19"/>
      <c r="C11" s="4" t="s">
        <v>6434</v>
      </c>
      <c r="D11" s="4" t="s">
        <v>64</v>
      </c>
      <c r="E11" s="4" t="s">
        <v>271</v>
      </c>
      <c r="F11" s="8">
        <v>65</v>
      </c>
      <c r="G11" s="8">
        <v>25</v>
      </c>
      <c r="H11" s="8">
        <v>27</v>
      </c>
      <c r="I11" s="8"/>
      <c r="J11" s="8"/>
      <c r="K11" s="8">
        <v>40</v>
      </c>
      <c r="L11" s="18">
        <v>28500</v>
      </c>
      <c r="M11" s="7">
        <f t="shared" si="0"/>
        <v>1140000</v>
      </c>
      <c r="N11" s="4"/>
      <c r="O11" s="9"/>
    </row>
    <row r="12" spans="1:15" ht="20" customHeight="1" x14ac:dyDescent="0.2">
      <c r="A12" s="3">
        <v>8</v>
      </c>
      <c r="B12" s="19"/>
      <c r="C12" s="4" t="s">
        <v>6435</v>
      </c>
      <c r="D12" s="4" t="s">
        <v>64</v>
      </c>
      <c r="E12" s="4" t="s">
        <v>271</v>
      </c>
      <c r="F12" s="8">
        <v>12</v>
      </c>
      <c r="G12" s="8">
        <v>2</v>
      </c>
      <c r="H12" s="8">
        <v>29</v>
      </c>
      <c r="I12" s="8"/>
      <c r="J12" s="8"/>
      <c r="K12" s="8">
        <v>40</v>
      </c>
      <c r="L12" s="18">
        <v>28500</v>
      </c>
      <c r="M12" s="7">
        <f t="shared" si="0"/>
        <v>1140000</v>
      </c>
      <c r="N12" s="4"/>
      <c r="O12" s="9"/>
    </row>
    <row r="13" spans="1:15" ht="20" customHeight="1" x14ac:dyDescent="0.2">
      <c r="A13" s="3">
        <v>9</v>
      </c>
      <c r="B13" s="19"/>
      <c r="C13" s="4" t="s">
        <v>6436</v>
      </c>
      <c r="D13" s="4" t="s">
        <v>64</v>
      </c>
      <c r="E13" s="4" t="s">
        <v>271</v>
      </c>
      <c r="F13" s="8"/>
      <c r="G13" s="8"/>
      <c r="H13" s="8"/>
      <c r="I13" s="8"/>
      <c r="J13" s="8"/>
      <c r="K13" s="8">
        <v>30</v>
      </c>
      <c r="L13" s="18">
        <v>24000</v>
      </c>
      <c r="M13" s="7">
        <f t="shared" si="0"/>
        <v>720000</v>
      </c>
      <c r="N13" s="4"/>
      <c r="O13" s="9"/>
    </row>
    <row r="14" spans="1:15" ht="20" customHeight="1" x14ac:dyDescent="0.2">
      <c r="A14" s="3">
        <v>10</v>
      </c>
      <c r="B14" s="19"/>
      <c r="C14" s="4" t="s">
        <v>6437</v>
      </c>
      <c r="D14" s="4" t="s">
        <v>64</v>
      </c>
      <c r="E14" s="4" t="s">
        <v>271</v>
      </c>
      <c r="F14" s="8"/>
      <c r="G14" s="8"/>
      <c r="H14" s="8">
        <v>9</v>
      </c>
      <c r="I14" s="8"/>
      <c r="J14" s="8"/>
      <c r="K14" s="8">
        <v>20</v>
      </c>
      <c r="L14" s="18">
        <v>45000</v>
      </c>
      <c r="M14" s="7">
        <f t="shared" si="0"/>
        <v>900000</v>
      </c>
      <c r="N14" s="4"/>
      <c r="O14" s="9"/>
    </row>
    <row r="15" spans="1:15" ht="20" customHeight="1" x14ac:dyDescent="0.2">
      <c r="A15" s="3">
        <v>11</v>
      </c>
      <c r="B15" s="19"/>
      <c r="C15" s="4" t="s">
        <v>6438</v>
      </c>
      <c r="D15" s="4" t="s">
        <v>64</v>
      </c>
      <c r="E15" s="4" t="s">
        <v>271</v>
      </c>
      <c r="F15" s="8">
        <v>2</v>
      </c>
      <c r="G15" s="8">
        <v>2</v>
      </c>
      <c r="H15" s="8">
        <v>2</v>
      </c>
      <c r="I15" s="8"/>
      <c r="J15" s="8"/>
      <c r="K15" s="8">
        <v>4</v>
      </c>
      <c r="L15" s="18">
        <v>65000</v>
      </c>
      <c r="M15" s="7">
        <f t="shared" si="0"/>
        <v>260000</v>
      </c>
      <c r="N15" s="4"/>
      <c r="O15" s="9"/>
    </row>
    <row r="16" spans="1:15" ht="20" customHeight="1" x14ac:dyDescent="0.2">
      <c r="A16" s="3">
        <v>12</v>
      </c>
      <c r="B16" s="19"/>
      <c r="C16" s="4" t="s">
        <v>6439</v>
      </c>
      <c r="D16" s="4" t="s">
        <v>64</v>
      </c>
      <c r="E16" s="4" t="s">
        <v>271</v>
      </c>
      <c r="F16" s="8"/>
      <c r="G16" s="8">
        <v>10</v>
      </c>
      <c r="H16" s="8">
        <v>10</v>
      </c>
      <c r="I16" s="8"/>
      <c r="J16" s="8"/>
      <c r="K16" s="8">
        <v>50</v>
      </c>
      <c r="L16" s="18">
        <v>2600</v>
      </c>
      <c r="M16" s="7">
        <f t="shared" si="0"/>
        <v>130000</v>
      </c>
      <c r="N16" s="4"/>
      <c r="O16" s="9"/>
    </row>
    <row r="17" spans="1:15" ht="20" customHeight="1" x14ac:dyDescent="0.2">
      <c r="A17" s="3">
        <v>13</v>
      </c>
      <c r="B17" s="19"/>
      <c r="C17" s="4" t="s">
        <v>6440</v>
      </c>
      <c r="D17" s="4" t="s">
        <v>64</v>
      </c>
      <c r="E17" s="4" t="s">
        <v>271</v>
      </c>
      <c r="F17" s="8">
        <v>92</v>
      </c>
      <c r="G17" s="8">
        <v>25</v>
      </c>
      <c r="H17" s="8">
        <v>30</v>
      </c>
      <c r="I17" s="8"/>
      <c r="J17" s="8"/>
      <c r="K17" s="8">
        <v>50</v>
      </c>
      <c r="L17" s="18">
        <v>2600</v>
      </c>
      <c r="M17" s="7">
        <f t="shared" si="0"/>
        <v>130000</v>
      </c>
      <c r="N17" s="4"/>
      <c r="O17" s="9"/>
    </row>
    <row r="18" spans="1:15" ht="20" customHeight="1" x14ac:dyDescent="0.2">
      <c r="A18" s="3">
        <v>14</v>
      </c>
      <c r="B18" s="19"/>
      <c r="C18" s="4" t="s">
        <v>6441</v>
      </c>
      <c r="D18" s="4" t="s">
        <v>64</v>
      </c>
      <c r="E18" s="4" t="s">
        <v>271</v>
      </c>
      <c r="F18" s="8">
        <v>108</v>
      </c>
      <c r="G18" s="8">
        <v>200</v>
      </c>
      <c r="H18" s="8">
        <v>410</v>
      </c>
      <c r="I18" s="8"/>
      <c r="J18" s="8"/>
      <c r="K18" s="8">
        <v>500</v>
      </c>
      <c r="L18" s="18">
        <v>3200</v>
      </c>
      <c r="M18" s="7">
        <f t="shared" si="0"/>
        <v>1600000</v>
      </c>
      <c r="N18" s="4"/>
      <c r="O18" s="9"/>
    </row>
    <row r="19" spans="1:15" ht="20" customHeight="1" x14ac:dyDescent="0.2">
      <c r="A19" s="3">
        <v>15</v>
      </c>
      <c r="B19" s="19"/>
      <c r="C19" s="4" t="s">
        <v>6442</v>
      </c>
      <c r="D19" s="4" t="s">
        <v>64</v>
      </c>
      <c r="E19" s="4" t="s">
        <v>271</v>
      </c>
      <c r="F19" s="8">
        <v>42</v>
      </c>
      <c r="G19" s="8">
        <v>150</v>
      </c>
      <c r="H19" s="8">
        <v>212</v>
      </c>
      <c r="I19" s="8"/>
      <c r="J19" s="8"/>
      <c r="K19" s="8">
        <v>350</v>
      </c>
      <c r="L19" s="18">
        <v>3200</v>
      </c>
      <c r="M19" s="7">
        <f t="shared" si="0"/>
        <v>1120000</v>
      </c>
      <c r="N19" s="4"/>
      <c r="O19" s="9"/>
    </row>
    <row r="20" spans="1:15" ht="20" customHeight="1" x14ac:dyDescent="0.2">
      <c r="A20" s="3">
        <v>16</v>
      </c>
      <c r="B20" s="19"/>
      <c r="C20" s="4" t="s">
        <v>6443</v>
      </c>
      <c r="D20" s="4" t="s">
        <v>64</v>
      </c>
      <c r="E20" s="4" t="s">
        <v>271</v>
      </c>
      <c r="F20" s="8">
        <v>10</v>
      </c>
      <c r="G20" s="8">
        <v>25</v>
      </c>
      <c r="H20" s="8">
        <v>32</v>
      </c>
      <c r="I20" s="8"/>
      <c r="J20" s="8"/>
      <c r="K20" s="8">
        <v>50</v>
      </c>
      <c r="L20" s="18">
        <v>3500</v>
      </c>
      <c r="M20" s="7">
        <f t="shared" si="0"/>
        <v>175000</v>
      </c>
      <c r="N20" s="4"/>
      <c r="O20" s="9"/>
    </row>
    <row r="21" spans="1:15" ht="20" customHeight="1" x14ac:dyDescent="0.2">
      <c r="A21" s="3">
        <v>17</v>
      </c>
      <c r="B21" s="19"/>
      <c r="C21" s="4" t="s">
        <v>6444</v>
      </c>
      <c r="D21" s="4" t="s">
        <v>64</v>
      </c>
      <c r="E21" s="4" t="s">
        <v>271</v>
      </c>
      <c r="F21" s="8">
        <v>74</v>
      </c>
      <c r="G21" s="8">
        <v>70</v>
      </c>
      <c r="H21" s="8">
        <v>76</v>
      </c>
      <c r="I21" s="8"/>
      <c r="J21" s="8"/>
      <c r="K21" s="8">
        <v>100</v>
      </c>
      <c r="L21" s="18">
        <v>3500</v>
      </c>
      <c r="M21" s="7">
        <f t="shared" si="0"/>
        <v>350000</v>
      </c>
      <c r="N21" s="4"/>
      <c r="O21" s="9"/>
    </row>
    <row r="22" spans="1:15" ht="20" customHeight="1" x14ac:dyDescent="0.2">
      <c r="A22" s="3">
        <v>18</v>
      </c>
      <c r="B22" s="19"/>
      <c r="C22" s="4" t="s">
        <v>6445</v>
      </c>
      <c r="D22" s="4" t="s">
        <v>64</v>
      </c>
      <c r="E22" s="4" t="s">
        <v>271</v>
      </c>
      <c r="F22" s="8">
        <v>11</v>
      </c>
      <c r="G22" s="8">
        <v>10</v>
      </c>
      <c r="H22" s="8">
        <v>10</v>
      </c>
      <c r="I22" s="8"/>
      <c r="J22" s="8"/>
      <c r="K22" s="8">
        <v>20</v>
      </c>
      <c r="L22" s="18">
        <v>3500</v>
      </c>
      <c r="M22" s="7">
        <f t="shared" si="0"/>
        <v>70000</v>
      </c>
      <c r="N22" s="4"/>
      <c r="O22" s="9"/>
    </row>
    <row r="23" spans="1:15" ht="20" customHeight="1" x14ac:dyDescent="0.2">
      <c r="A23" s="3">
        <v>19</v>
      </c>
      <c r="B23" s="19"/>
      <c r="C23" s="4" t="s">
        <v>6446</v>
      </c>
      <c r="D23" s="4" t="s">
        <v>64</v>
      </c>
      <c r="E23" s="4" t="s">
        <v>271</v>
      </c>
      <c r="F23" s="8">
        <v>20</v>
      </c>
      <c r="G23" s="8">
        <v>20</v>
      </c>
      <c r="H23" s="8">
        <v>41</v>
      </c>
      <c r="I23" s="8"/>
      <c r="J23" s="8"/>
      <c r="K23" s="8">
        <v>60</v>
      </c>
      <c r="L23" s="18">
        <v>3500</v>
      </c>
      <c r="M23" s="7">
        <f t="shared" si="0"/>
        <v>210000</v>
      </c>
      <c r="N23" s="4"/>
      <c r="O23" s="9"/>
    </row>
    <row r="24" spans="1:15" ht="20" customHeight="1" x14ac:dyDescent="0.2">
      <c r="A24" s="3">
        <v>20</v>
      </c>
      <c r="B24" s="19"/>
      <c r="C24" s="4" t="s">
        <v>6447</v>
      </c>
      <c r="D24" s="4" t="s">
        <v>64</v>
      </c>
      <c r="E24" s="4" t="s">
        <v>271</v>
      </c>
      <c r="F24" s="8">
        <v>108</v>
      </c>
      <c r="G24" s="8">
        <v>75</v>
      </c>
      <c r="H24" s="8">
        <v>83</v>
      </c>
      <c r="I24" s="8"/>
      <c r="J24" s="8"/>
      <c r="K24" s="8">
        <v>100</v>
      </c>
      <c r="L24" s="18">
        <v>4280</v>
      </c>
      <c r="M24" s="7">
        <f t="shared" si="0"/>
        <v>428000</v>
      </c>
      <c r="N24" s="4"/>
      <c r="O24" s="9"/>
    </row>
    <row r="25" spans="1:15" ht="20" customHeight="1" x14ac:dyDescent="0.2">
      <c r="A25" s="3">
        <v>21</v>
      </c>
      <c r="B25" s="19"/>
      <c r="C25" s="4" t="s">
        <v>6448</v>
      </c>
      <c r="D25" s="4" t="s">
        <v>64</v>
      </c>
      <c r="E25" s="4" t="s">
        <v>271</v>
      </c>
      <c r="F25" s="8">
        <v>25</v>
      </c>
      <c r="G25" s="8">
        <v>20</v>
      </c>
      <c r="H25" s="8">
        <v>28</v>
      </c>
      <c r="I25" s="8"/>
      <c r="J25" s="8"/>
      <c r="K25" s="8">
        <v>50</v>
      </c>
      <c r="L25" s="18">
        <v>6634</v>
      </c>
      <c r="M25" s="7">
        <f t="shared" si="0"/>
        <v>331700</v>
      </c>
      <c r="N25" s="4"/>
      <c r="O25" s="9"/>
    </row>
    <row r="26" spans="1:15" ht="20" customHeight="1" x14ac:dyDescent="0.2">
      <c r="A26" s="3">
        <v>22</v>
      </c>
      <c r="B26" s="19"/>
      <c r="C26" s="4" t="s">
        <v>6449</v>
      </c>
      <c r="D26" s="4" t="s">
        <v>64</v>
      </c>
      <c r="E26" s="4" t="s">
        <v>271</v>
      </c>
      <c r="F26" s="8">
        <v>108</v>
      </c>
      <c r="G26" s="8">
        <v>25</v>
      </c>
      <c r="H26" s="8">
        <v>30</v>
      </c>
      <c r="I26" s="8"/>
      <c r="J26" s="8"/>
      <c r="K26" s="8">
        <v>50</v>
      </c>
      <c r="L26" s="18">
        <v>4066</v>
      </c>
      <c r="M26" s="7">
        <f t="shared" si="0"/>
        <v>203300</v>
      </c>
      <c r="N26" s="4"/>
      <c r="O26" s="9"/>
    </row>
    <row r="27" spans="1:15" ht="20" customHeight="1" x14ac:dyDescent="0.2">
      <c r="A27" s="3">
        <v>23</v>
      </c>
      <c r="B27" s="19"/>
      <c r="C27" s="4" t="s">
        <v>6450</v>
      </c>
      <c r="D27" s="4" t="s">
        <v>64</v>
      </c>
      <c r="E27" s="4" t="s">
        <v>271</v>
      </c>
      <c r="F27" s="8">
        <v>37</v>
      </c>
      <c r="G27" s="8">
        <v>15</v>
      </c>
      <c r="H27" s="8">
        <v>16</v>
      </c>
      <c r="I27" s="8"/>
      <c r="J27" s="8"/>
      <c r="K27" s="8">
        <v>50</v>
      </c>
      <c r="L27" s="18">
        <v>3200</v>
      </c>
      <c r="M27" s="7">
        <f t="shared" si="0"/>
        <v>160000</v>
      </c>
      <c r="N27" s="4"/>
      <c r="O27" s="9"/>
    </row>
    <row r="28" spans="1:15" ht="20" customHeight="1" x14ac:dyDescent="0.2">
      <c r="A28" s="3">
        <v>24</v>
      </c>
      <c r="B28" s="19"/>
      <c r="C28" s="4" t="s">
        <v>6451</v>
      </c>
      <c r="D28" s="4" t="s">
        <v>64</v>
      </c>
      <c r="E28" s="4" t="s">
        <v>271</v>
      </c>
      <c r="F28" s="8">
        <v>227</v>
      </c>
      <c r="G28" s="8">
        <v>40</v>
      </c>
      <c r="H28" s="8">
        <v>67</v>
      </c>
      <c r="I28" s="8"/>
      <c r="J28" s="8"/>
      <c r="K28" s="8">
        <v>80</v>
      </c>
      <c r="L28" s="18">
        <v>3200</v>
      </c>
      <c r="M28" s="7">
        <f t="shared" si="0"/>
        <v>256000</v>
      </c>
      <c r="N28" s="4"/>
      <c r="O28" s="9"/>
    </row>
    <row r="29" spans="1:15" ht="20" customHeight="1" x14ac:dyDescent="0.2">
      <c r="A29" s="3">
        <v>25</v>
      </c>
      <c r="B29" s="19"/>
      <c r="C29" s="4" t="s">
        <v>6452</v>
      </c>
      <c r="D29" s="4" t="s">
        <v>64</v>
      </c>
      <c r="E29" s="4" t="s">
        <v>271</v>
      </c>
      <c r="F29" s="8">
        <v>17</v>
      </c>
      <c r="G29" s="8">
        <v>6</v>
      </c>
      <c r="H29" s="8">
        <v>5</v>
      </c>
      <c r="I29" s="8"/>
      <c r="J29" s="8"/>
      <c r="K29" s="8">
        <v>20</v>
      </c>
      <c r="L29" s="18">
        <v>3200</v>
      </c>
      <c r="M29" s="7">
        <f t="shared" si="0"/>
        <v>64000</v>
      </c>
      <c r="N29" s="4"/>
      <c r="O29" s="9"/>
    </row>
    <row r="30" spans="1:15" ht="20" customHeight="1" x14ac:dyDescent="0.2">
      <c r="A30" s="3">
        <v>26</v>
      </c>
      <c r="B30" s="19"/>
      <c r="C30" s="4" t="s">
        <v>6453</v>
      </c>
      <c r="D30" s="4" t="s">
        <v>64</v>
      </c>
      <c r="E30" s="4" t="s">
        <v>271</v>
      </c>
      <c r="F30" s="8">
        <v>8</v>
      </c>
      <c r="G30" s="8">
        <v>10</v>
      </c>
      <c r="H30" s="8">
        <v>5</v>
      </c>
      <c r="I30" s="8"/>
      <c r="J30" s="8"/>
      <c r="K30" s="8">
        <v>20</v>
      </c>
      <c r="L30" s="18">
        <v>3900</v>
      </c>
      <c r="M30" s="7">
        <f t="shared" si="0"/>
        <v>78000</v>
      </c>
      <c r="N30" s="4"/>
      <c r="O30" s="9"/>
    </row>
    <row r="31" spans="1:15" ht="20" customHeight="1" x14ac:dyDescent="0.2">
      <c r="A31" s="3">
        <v>27</v>
      </c>
      <c r="B31" s="19"/>
      <c r="C31" s="4" t="s">
        <v>6454</v>
      </c>
      <c r="D31" s="4" t="s">
        <v>64</v>
      </c>
      <c r="E31" s="4" t="s">
        <v>271</v>
      </c>
      <c r="F31" s="8">
        <v>19</v>
      </c>
      <c r="G31" s="8">
        <v>15</v>
      </c>
      <c r="H31" s="8">
        <v>8</v>
      </c>
      <c r="I31" s="8"/>
      <c r="J31" s="8"/>
      <c r="K31" s="8">
        <v>30</v>
      </c>
      <c r="L31" s="18">
        <v>3900</v>
      </c>
      <c r="M31" s="7">
        <f t="shared" si="0"/>
        <v>117000</v>
      </c>
      <c r="N31" s="4"/>
      <c r="O31" s="9"/>
    </row>
    <row r="32" spans="1:15" ht="20" customHeight="1" x14ac:dyDescent="0.2">
      <c r="A32" s="3">
        <v>28</v>
      </c>
      <c r="B32" s="19"/>
      <c r="C32" s="4" t="s">
        <v>6455</v>
      </c>
      <c r="D32" s="4" t="s">
        <v>64</v>
      </c>
      <c r="E32" s="4" t="s">
        <v>271</v>
      </c>
      <c r="F32" s="8">
        <v>74</v>
      </c>
      <c r="G32" s="8">
        <v>20</v>
      </c>
      <c r="H32" s="8">
        <v>18</v>
      </c>
      <c r="I32" s="8"/>
      <c r="J32" s="8"/>
      <c r="K32" s="8">
        <v>0</v>
      </c>
      <c r="L32" s="18">
        <v>3900</v>
      </c>
      <c r="M32" s="7">
        <f t="shared" si="0"/>
        <v>0</v>
      </c>
      <c r="N32" s="4"/>
      <c r="O32" s="9"/>
    </row>
    <row r="33" spans="1:15" ht="20" customHeight="1" x14ac:dyDescent="0.2">
      <c r="A33" s="3">
        <v>29</v>
      </c>
      <c r="B33" s="19"/>
      <c r="C33" s="4" t="s">
        <v>6456</v>
      </c>
      <c r="D33" s="4" t="s">
        <v>64</v>
      </c>
      <c r="E33" s="4" t="s">
        <v>271</v>
      </c>
      <c r="F33" s="8"/>
      <c r="G33" s="8"/>
      <c r="H33" s="8">
        <v>28</v>
      </c>
      <c r="I33" s="8"/>
      <c r="J33" s="8"/>
      <c r="K33" s="8">
        <v>50</v>
      </c>
      <c r="L33" s="18">
        <v>3900</v>
      </c>
      <c r="M33" s="7">
        <f t="shared" si="0"/>
        <v>195000</v>
      </c>
      <c r="N33" s="4"/>
      <c r="O33" s="9"/>
    </row>
    <row r="34" spans="1:15" ht="20" customHeight="1" x14ac:dyDescent="0.2">
      <c r="A34" s="3">
        <v>30</v>
      </c>
      <c r="B34" s="19"/>
      <c r="C34" s="4" t="s">
        <v>6457</v>
      </c>
      <c r="D34" s="4" t="s">
        <v>64</v>
      </c>
      <c r="E34" s="4" t="s">
        <v>271</v>
      </c>
      <c r="F34" s="8">
        <v>4</v>
      </c>
      <c r="G34" s="8">
        <v>6</v>
      </c>
      <c r="H34" s="8">
        <v>11</v>
      </c>
      <c r="I34" s="8"/>
      <c r="J34" s="8"/>
      <c r="K34" s="8">
        <v>30</v>
      </c>
      <c r="L34" s="18">
        <v>3900</v>
      </c>
      <c r="M34" s="7">
        <f t="shared" si="0"/>
        <v>117000</v>
      </c>
      <c r="N34" s="4"/>
      <c r="O34" s="9"/>
    </row>
    <row r="35" spans="1:15" ht="20" customHeight="1" x14ac:dyDescent="0.2">
      <c r="A35" s="3">
        <v>31</v>
      </c>
      <c r="B35" s="19"/>
      <c r="C35" s="4" t="s">
        <v>6458</v>
      </c>
      <c r="D35" s="4" t="s">
        <v>64</v>
      </c>
      <c r="E35" s="4" t="s">
        <v>271</v>
      </c>
      <c r="F35" s="8">
        <v>16</v>
      </c>
      <c r="G35" s="8">
        <v>25</v>
      </c>
      <c r="H35" s="8">
        <v>38</v>
      </c>
      <c r="I35" s="8"/>
      <c r="J35" s="8"/>
      <c r="K35" s="8">
        <v>60</v>
      </c>
      <c r="L35" s="18">
        <v>3900</v>
      </c>
      <c r="M35" s="7">
        <f t="shared" si="0"/>
        <v>234000</v>
      </c>
      <c r="N35" s="4"/>
      <c r="O35" s="9"/>
    </row>
    <row r="36" spans="1:15" ht="20" customHeight="1" x14ac:dyDescent="0.2">
      <c r="A36" s="3">
        <v>32</v>
      </c>
      <c r="B36" s="19"/>
      <c r="C36" s="4" t="s">
        <v>6459</v>
      </c>
      <c r="D36" s="4" t="s">
        <v>64</v>
      </c>
      <c r="E36" s="4" t="s">
        <v>271</v>
      </c>
      <c r="F36" s="8">
        <v>47</v>
      </c>
      <c r="G36" s="8">
        <v>25</v>
      </c>
      <c r="H36" s="8">
        <v>30</v>
      </c>
      <c r="I36" s="8"/>
      <c r="J36" s="8"/>
      <c r="K36" s="8">
        <v>50</v>
      </c>
      <c r="L36" s="18">
        <v>3800</v>
      </c>
      <c r="M36" s="7">
        <f t="shared" si="0"/>
        <v>190000</v>
      </c>
      <c r="N36" s="4"/>
      <c r="O36" s="9"/>
    </row>
    <row r="37" spans="1:15" ht="20" customHeight="1" x14ac:dyDescent="0.2">
      <c r="A37" s="3">
        <v>33</v>
      </c>
      <c r="B37" s="19"/>
      <c r="C37" s="4" t="s">
        <v>6460</v>
      </c>
      <c r="D37" s="4" t="s">
        <v>64</v>
      </c>
      <c r="E37" s="4" t="s">
        <v>271</v>
      </c>
      <c r="F37" s="8"/>
      <c r="G37" s="8">
        <v>10</v>
      </c>
      <c r="H37" s="8">
        <v>10</v>
      </c>
      <c r="I37" s="8"/>
      <c r="J37" s="8"/>
      <c r="K37" s="8">
        <v>30</v>
      </c>
      <c r="L37" s="18">
        <v>3800</v>
      </c>
      <c r="M37" s="7">
        <f t="shared" ref="M37:M68" si="1">IF(OR(K37="",L37=""),"",K37*L37)</f>
        <v>114000</v>
      </c>
      <c r="N37" s="4"/>
      <c r="O37" s="9"/>
    </row>
    <row r="38" spans="1:15" ht="20" customHeight="1" x14ac:dyDescent="0.2">
      <c r="A38" s="3">
        <v>34</v>
      </c>
      <c r="B38" s="19"/>
      <c r="C38" s="4" t="s">
        <v>6461</v>
      </c>
      <c r="D38" s="4" t="s">
        <v>64</v>
      </c>
      <c r="E38" s="4" t="s">
        <v>271</v>
      </c>
      <c r="F38" s="8"/>
      <c r="G38" s="8"/>
      <c r="H38" s="8">
        <v>6</v>
      </c>
      <c r="I38" s="8"/>
      <c r="J38" s="8"/>
      <c r="K38" s="8">
        <v>20</v>
      </c>
      <c r="L38" s="18">
        <v>3900</v>
      </c>
      <c r="M38" s="7">
        <f t="shared" si="1"/>
        <v>78000</v>
      </c>
      <c r="N38" s="4"/>
      <c r="O38" s="9"/>
    </row>
    <row r="39" spans="1:15" ht="20" customHeight="1" x14ac:dyDescent="0.2">
      <c r="A39" s="3">
        <v>35</v>
      </c>
      <c r="B39" s="19"/>
      <c r="C39" s="4" t="s">
        <v>6462</v>
      </c>
      <c r="D39" s="4" t="s">
        <v>64</v>
      </c>
      <c r="E39" s="4" t="s">
        <v>271</v>
      </c>
      <c r="F39" s="8"/>
      <c r="G39" s="8"/>
      <c r="H39" s="8">
        <v>7</v>
      </c>
      <c r="I39" s="8"/>
      <c r="J39" s="8"/>
      <c r="K39" s="8">
        <v>20</v>
      </c>
      <c r="L39" s="18">
        <v>3900</v>
      </c>
      <c r="M39" s="7">
        <f t="shared" si="1"/>
        <v>78000</v>
      </c>
      <c r="N39" s="4"/>
      <c r="O39" s="9"/>
    </row>
    <row r="40" spans="1:15" ht="20" customHeight="1" x14ac:dyDescent="0.2">
      <c r="A40" s="3">
        <v>36</v>
      </c>
      <c r="B40" s="19"/>
      <c r="C40" s="4" t="s">
        <v>6463</v>
      </c>
      <c r="D40" s="4" t="s">
        <v>64</v>
      </c>
      <c r="E40" s="4" t="s">
        <v>271</v>
      </c>
      <c r="F40" s="8"/>
      <c r="G40" s="8"/>
      <c r="H40" s="8">
        <v>6</v>
      </c>
      <c r="I40" s="8"/>
      <c r="J40" s="8"/>
      <c r="K40" s="8">
        <v>20</v>
      </c>
      <c r="L40" s="18">
        <v>3900</v>
      </c>
      <c r="M40" s="7">
        <f t="shared" si="1"/>
        <v>78000</v>
      </c>
      <c r="N40" s="4"/>
      <c r="O40" s="9"/>
    </row>
    <row r="41" spans="1:15" ht="20" customHeight="1" x14ac:dyDescent="0.2">
      <c r="A41" s="3">
        <v>37</v>
      </c>
      <c r="B41" s="19"/>
      <c r="C41" s="4" t="s">
        <v>6464</v>
      </c>
      <c r="D41" s="4" t="s">
        <v>64</v>
      </c>
      <c r="E41" s="4" t="s">
        <v>271</v>
      </c>
      <c r="F41" s="8"/>
      <c r="G41" s="8"/>
      <c r="H41" s="8"/>
      <c r="I41" s="8"/>
      <c r="J41" s="8"/>
      <c r="K41" s="8">
        <v>100</v>
      </c>
      <c r="L41" s="18">
        <v>2900</v>
      </c>
      <c r="M41" s="7">
        <f t="shared" si="1"/>
        <v>290000</v>
      </c>
      <c r="N41" s="4"/>
      <c r="O41" s="9"/>
    </row>
    <row r="42" spans="1:15" ht="20" customHeight="1" x14ac:dyDescent="0.2">
      <c r="A42" s="3">
        <v>38</v>
      </c>
      <c r="B42" s="19"/>
      <c r="C42" s="4" t="s">
        <v>6465</v>
      </c>
      <c r="D42" s="4" t="s">
        <v>64</v>
      </c>
      <c r="E42" s="4" t="s">
        <v>271</v>
      </c>
      <c r="F42" s="8"/>
      <c r="G42" s="8"/>
      <c r="H42" s="8"/>
      <c r="I42" s="8"/>
      <c r="J42" s="8"/>
      <c r="K42" s="8">
        <v>100</v>
      </c>
      <c r="L42" s="18">
        <v>2900</v>
      </c>
      <c r="M42" s="7">
        <f t="shared" si="1"/>
        <v>290000</v>
      </c>
      <c r="N42" s="4"/>
      <c r="O42" s="9"/>
    </row>
    <row r="43" spans="1:15" ht="20" customHeight="1" x14ac:dyDescent="0.2">
      <c r="A43" s="3">
        <v>39</v>
      </c>
      <c r="B43" s="19"/>
      <c r="C43" s="4" t="s">
        <v>6466</v>
      </c>
      <c r="D43" s="4" t="s">
        <v>64</v>
      </c>
      <c r="E43" s="4" t="s">
        <v>271</v>
      </c>
      <c r="F43" s="8">
        <v>443</v>
      </c>
      <c r="G43" s="8">
        <v>440</v>
      </c>
      <c r="H43" s="8">
        <v>371</v>
      </c>
      <c r="I43" s="8"/>
      <c r="J43" s="8"/>
      <c r="K43" s="8">
        <v>400</v>
      </c>
      <c r="L43" s="18">
        <v>2300</v>
      </c>
      <c r="M43" s="7">
        <f t="shared" si="1"/>
        <v>920000</v>
      </c>
      <c r="N43" s="4"/>
      <c r="O43" s="9"/>
    </row>
    <row r="44" spans="1:15" ht="20" customHeight="1" x14ac:dyDescent="0.2">
      <c r="A44" s="3">
        <v>40</v>
      </c>
      <c r="B44" s="19"/>
      <c r="C44" s="4" t="s">
        <v>6467</v>
      </c>
      <c r="D44" s="4" t="s">
        <v>64</v>
      </c>
      <c r="E44" s="4" t="s">
        <v>271</v>
      </c>
      <c r="F44" s="8">
        <v>141</v>
      </c>
      <c r="G44" s="8">
        <v>260</v>
      </c>
      <c r="H44" s="8">
        <v>223</v>
      </c>
      <c r="I44" s="8"/>
      <c r="J44" s="8"/>
      <c r="K44" s="8">
        <v>250</v>
      </c>
      <c r="L44" s="18">
        <v>2450</v>
      </c>
      <c r="M44" s="7">
        <f t="shared" si="1"/>
        <v>612500</v>
      </c>
      <c r="N44" s="4"/>
      <c r="O44" s="9"/>
    </row>
    <row r="45" spans="1:15" ht="20" customHeight="1" x14ac:dyDescent="0.2">
      <c r="A45" s="3">
        <v>41</v>
      </c>
      <c r="B45" s="19"/>
      <c r="C45" s="4" t="s">
        <v>6468</v>
      </c>
      <c r="D45" s="4" t="s">
        <v>64</v>
      </c>
      <c r="E45" s="4" t="s">
        <v>271</v>
      </c>
      <c r="F45" s="8"/>
      <c r="G45" s="8"/>
      <c r="H45" s="8">
        <v>18</v>
      </c>
      <c r="I45" s="8"/>
      <c r="J45" s="8"/>
      <c r="K45" s="8">
        <v>100</v>
      </c>
      <c r="L45" s="18">
        <v>2055</v>
      </c>
      <c r="M45" s="7">
        <f t="shared" si="1"/>
        <v>205500</v>
      </c>
      <c r="N45" s="4"/>
      <c r="O45" s="9"/>
    </row>
    <row r="46" spans="1:15" ht="20" customHeight="1" x14ac:dyDescent="0.2">
      <c r="A46" s="3">
        <v>42</v>
      </c>
      <c r="B46" s="19"/>
      <c r="C46" s="4" t="s">
        <v>6469</v>
      </c>
      <c r="D46" s="4" t="s">
        <v>64</v>
      </c>
      <c r="E46" s="4" t="s">
        <v>271</v>
      </c>
      <c r="F46" s="8">
        <v>26</v>
      </c>
      <c r="G46" s="8">
        <v>25</v>
      </c>
      <c r="H46" s="8"/>
      <c r="I46" s="8"/>
      <c r="J46" s="8"/>
      <c r="K46" s="8">
        <v>20</v>
      </c>
      <c r="L46" s="18">
        <v>2000</v>
      </c>
      <c r="M46" s="7">
        <f t="shared" si="1"/>
        <v>40000</v>
      </c>
      <c r="N46" s="4"/>
      <c r="O46" s="9"/>
    </row>
    <row r="47" spans="1:15" ht="20" customHeight="1" x14ac:dyDescent="0.2">
      <c r="A47" s="3">
        <v>43</v>
      </c>
      <c r="B47" s="19"/>
      <c r="C47" s="4" t="s">
        <v>6470</v>
      </c>
      <c r="D47" s="4" t="s">
        <v>64</v>
      </c>
      <c r="E47" s="4" t="s">
        <v>271</v>
      </c>
      <c r="F47" s="8">
        <v>650</v>
      </c>
      <c r="G47" s="8">
        <v>350</v>
      </c>
      <c r="H47" s="8">
        <v>380</v>
      </c>
      <c r="I47" s="8"/>
      <c r="J47" s="8"/>
      <c r="K47" s="8">
        <v>500</v>
      </c>
      <c r="L47" s="18">
        <v>2300</v>
      </c>
      <c r="M47" s="7">
        <f t="shared" si="1"/>
        <v>1150000</v>
      </c>
      <c r="N47" s="4"/>
      <c r="O47" s="9"/>
    </row>
    <row r="48" spans="1:15" ht="20" customHeight="1" x14ac:dyDescent="0.2">
      <c r="A48" s="3">
        <v>44</v>
      </c>
      <c r="B48" s="19"/>
      <c r="C48" s="4" t="s">
        <v>6471</v>
      </c>
      <c r="D48" s="4" t="s">
        <v>64</v>
      </c>
      <c r="E48" s="4" t="s">
        <v>271</v>
      </c>
      <c r="F48" s="8">
        <v>350</v>
      </c>
      <c r="G48" s="8">
        <v>250</v>
      </c>
      <c r="H48" s="8">
        <v>310</v>
      </c>
      <c r="I48" s="8"/>
      <c r="J48" s="8"/>
      <c r="K48" s="8">
        <v>500</v>
      </c>
      <c r="L48" s="18">
        <v>2300</v>
      </c>
      <c r="M48" s="7">
        <f t="shared" si="1"/>
        <v>1150000</v>
      </c>
      <c r="N48" s="4"/>
      <c r="O48" s="9"/>
    </row>
    <row r="49" spans="1:15" ht="20" customHeight="1" x14ac:dyDescent="0.2">
      <c r="A49" s="3">
        <v>45</v>
      </c>
      <c r="B49" s="19"/>
      <c r="C49" s="4" t="s">
        <v>6472</v>
      </c>
      <c r="D49" s="4" t="s">
        <v>64</v>
      </c>
      <c r="E49" s="4" t="s">
        <v>271</v>
      </c>
      <c r="F49" s="8">
        <v>33</v>
      </c>
      <c r="G49" s="8">
        <v>25</v>
      </c>
      <c r="H49" s="8">
        <v>14</v>
      </c>
      <c r="I49" s="8"/>
      <c r="J49" s="8"/>
      <c r="K49" s="8">
        <v>50</v>
      </c>
      <c r="L49" s="18">
        <v>2300</v>
      </c>
      <c r="M49" s="7">
        <f t="shared" si="1"/>
        <v>115000</v>
      </c>
      <c r="N49" s="4"/>
      <c r="O49" s="9"/>
    </row>
    <row r="50" spans="1:15" ht="20" customHeight="1" x14ac:dyDescent="0.2">
      <c r="A50" s="3">
        <v>46</v>
      </c>
      <c r="B50" s="19"/>
      <c r="C50" s="4" t="s">
        <v>6473</v>
      </c>
      <c r="D50" s="4" t="s">
        <v>64</v>
      </c>
      <c r="E50" s="4" t="s">
        <v>271</v>
      </c>
      <c r="F50" s="8">
        <v>22</v>
      </c>
      <c r="G50" s="8">
        <v>20</v>
      </c>
      <c r="H50" s="8">
        <v>22</v>
      </c>
      <c r="I50" s="8"/>
      <c r="J50" s="8"/>
      <c r="K50" s="8">
        <v>100</v>
      </c>
      <c r="L50" s="18">
        <v>2300</v>
      </c>
      <c r="M50" s="7">
        <f t="shared" si="1"/>
        <v>230000</v>
      </c>
      <c r="N50" s="4"/>
      <c r="O50" s="9"/>
    </row>
    <row r="51" spans="1:15" ht="20" customHeight="1" x14ac:dyDescent="0.2">
      <c r="A51" s="3">
        <v>47</v>
      </c>
      <c r="B51" s="19"/>
      <c r="C51" s="4" t="s">
        <v>6474</v>
      </c>
      <c r="D51" s="4" t="s">
        <v>64</v>
      </c>
      <c r="E51" s="4" t="s">
        <v>271</v>
      </c>
      <c r="F51" s="8">
        <v>35</v>
      </c>
      <c r="G51" s="8">
        <v>35</v>
      </c>
      <c r="H51" s="8">
        <v>31</v>
      </c>
      <c r="I51" s="8"/>
      <c r="J51" s="8"/>
      <c r="K51" s="8">
        <v>100</v>
      </c>
      <c r="L51" s="18">
        <v>4500</v>
      </c>
      <c r="M51" s="7">
        <f t="shared" si="1"/>
        <v>450000</v>
      </c>
      <c r="N51" s="4"/>
      <c r="O51" s="9"/>
    </row>
    <row r="52" spans="1:15" ht="20" customHeight="1" x14ac:dyDescent="0.2">
      <c r="A52" s="3">
        <v>48</v>
      </c>
      <c r="B52" s="19"/>
      <c r="C52" s="4" t="s">
        <v>6475</v>
      </c>
      <c r="D52" s="4" t="s">
        <v>64</v>
      </c>
      <c r="E52" s="4" t="s">
        <v>271</v>
      </c>
      <c r="F52" s="8">
        <v>9</v>
      </c>
      <c r="G52" s="8">
        <v>5</v>
      </c>
      <c r="H52" s="8">
        <v>4</v>
      </c>
      <c r="I52" s="8"/>
      <c r="J52" s="8"/>
      <c r="K52" s="8">
        <v>30</v>
      </c>
      <c r="L52" s="18">
        <v>4500</v>
      </c>
      <c r="M52" s="7">
        <f t="shared" si="1"/>
        <v>135000</v>
      </c>
      <c r="N52" s="4"/>
      <c r="O52" s="9"/>
    </row>
    <row r="53" spans="1:15" ht="20" customHeight="1" x14ac:dyDescent="0.2">
      <c r="A53" s="3">
        <v>49</v>
      </c>
      <c r="B53" s="19"/>
      <c r="C53" s="4" t="s">
        <v>6476</v>
      </c>
      <c r="D53" s="4" t="s">
        <v>64</v>
      </c>
      <c r="E53" s="4" t="s">
        <v>271</v>
      </c>
      <c r="F53" s="8">
        <v>5</v>
      </c>
      <c r="G53" s="8">
        <v>10</v>
      </c>
      <c r="H53" s="8">
        <v>4</v>
      </c>
      <c r="I53" s="8"/>
      <c r="J53" s="8"/>
      <c r="K53" s="8">
        <v>30</v>
      </c>
      <c r="L53" s="18">
        <v>4500</v>
      </c>
      <c r="M53" s="7">
        <f t="shared" si="1"/>
        <v>135000</v>
      </c>
      <c r="N53" s="4"/>
      <c r="O53" s="9"/>
    </row>
    <row r="54" spans="1:15" ht="20" customHeight="1" x14ac:dyDescent="0.2">
      <c r="A54" s="3">
        <v>50</v>
      </c>
      <c r="B54" s="19"/>
      <c r="C54" s="4" t="s">
        <v>6477</v>
      </c>
      <c r="D54" s="4" t="s">
        <v>64</v>
      </c>
      <c r="E54" s="4" t="s">
        <v>271</v>
      </c>
      <c r="F54" s="8">
        <v>13</v>
      </c>
      <c r="G54" s="8">
        <v>10</v>
      </c>
      <c r="H54" s="8">
        <v>9</v>
      </c>
      <c r="I54" s="8"/>
      <c r="J54" s="8"/>
      <c r="K54" s="8">
        <v>20</v>
      </c>
      <c r="L54" s="18">
        <v>6500</v>
      </c>
      <c r="M54" s="7">
        <f t="shared" si="1"/>
        <v>130000</v>
      </c>
      <c r="N54" s="4"/>
      <c r="O54" s="9"/>
    </row>
    <row r="55" spans="1:15" ht="20" customHeight="1" x14ac:dyDescent="0.2">
      <c r="A55" s="3">
        <v>51</v>
      </c>
      <c r="B55" s="19"/>
      <c r="C55" s="4" t="s">
        <v>6478</v>
      </c>
      <c r="D55" s="4" t="s">
        <v>64</v>
      </c>
      <c r="E55" s="4" t="s">
        <v>271</v>
      </c>
      <c r="F55" s="8">
        <v>11</v>
      </c>
      <c r="G55" s="8">
        <v>10</v>
      </c>
      <c r="H55" s="8">
        <v>12</v>
      </c>
      <c r="I55" s="8"/>
      <c r="J55" s="8"/>
      <c r="K55" s="8">
        <v>20</v>
      </c>
      <c r="L55" s="18">
        <v>6500</v>
      </c>
      <c r="M55" s="7">
        <f t="shared" si="1"/>
        <v>130000</v>
      </c>
      <c r="N55" s="4"/>
      <c r="O55" s="9"/>
    </row>
    <row r="56" spans="1:15" ht="20" customHeight="1" x14ac:dyDescent="0.2">
      <c r="A56" s="3">
        <v>52</v>
      </c>
      <c r="B56" s="19"/>
      <c r="C56" s="4" t="s">
        <v>6479</v>
      </c>
      <c r="D56" s="4" t="s">
        <v>64</v>
      </c>
      <c r="E56" s="4" t="s">
        <v>271</v>
      </c>
      <c r="F56" s="8">
        <v>13</v>
      </c>
      <c r="G56" s="8">
        <v>10</v>
      </c>
      <c r="H56" s="8">
        <v>7</v>
      </c>
      <c r="I56" s="8"/>
      <c r="J56" s="8"/>
      <c r="K56" s="8">
        <v>20</v>
      </c>
      <c r="L56" s="18">
        <v>6500</v>
      </c>
      <c r="M56" s="7">
        <f t="shared" si="1"/>
        <v>130000</v>
      </c>
      <c r="N56" s="4"/>
      <c r="O56" s="9"/>
    </row>
    <row r="57" spans="1:15" ht="20" customHeight="1" x14ac:dyDescent="0.2">
      <c r="A57" s="3">
        <v>53</v>
      </c>
      <c r="B57" s="19"/>
      <c r="C57" s="4" t="s">
        <v>6480</v>
      </c>
      <c r="D57" s="4" t="s">
        <v>64</v>
      </c>
      <c r="E57" s="4" t="s">
        <v>271</v>
      </c>
      <c r="F57" s="8">
        <v>5</v>
      </c>
      <c r="G57" s="8">
        <v>5</v>
      </c>
      <c r="H57" s="8"/>
      <c r="I57" s="8"/>
      <c r="J57" s="8"/>
      <c r="K57" s="8">
        <v>5</v>
      </c>
      <c r="L57" s="18">
        <v>4500</v>
      </c>
      <c r="M57" s="7">
        <f t="shared" si="1"/>
        <v>22500</v>
      </c>
      <c r="N57" s="4"/>
      <c r="O57" s="9"/>
    </row>
    <row r="58" spans="1:15" ht="20" customHeight="1" x14ac:dyDescent="0.2">
      <c r="A58" s="3">
        <v>54</v>
      </c>
      <c r="B58" s="19"/>
      <c r="C58" s="4" t="s">
        <v>6481</v>
      </c>
      <c r="D58" s="4" t="s">
        <v>64</v>
      </c>
      <c r="E58" s="4" t="s">
        <v>271</v>
      </c>
      <c r="F58" s="8"/>
      <c r="G58" s="8"/>
      <c r="H58" s="8">
        <v>2</v>
      </c>
      <c r="I58" s="8"/>
      <c r="J58" s="8"/>
      <c r="K58" s="8">
        <v>5</v>
      </c>
      <c r="L58" s="18">
        <v>4500</v>
      </c>
      <c r="M58" s="7">
        <f t="shared" si="1"/>
        <v>22500</v>
      </c>
      <c r="N58" s="4"/>
      <c r="O58" s="9"/>
    </row>
    <row r="59" spans="1:15" ht="20" customHeight="1" x14ac:dyDescent="0.2">
      <c r="A59" s="3">
        <v>55</v>
      </c>
      <c r="B59" s="19"/>
      <c r="C59" s="4" t="s">
        <v>6482</v>
      </c>
      <c r="D59" s="4" t="s">
        <v>64</v>
      </c>
      <c r="E59" s="4" t="s">
        <v>271</v>
      </c>
      <c r="F59" s="8"/>
      <c r="G59" s="8"/>
      <c r="H59" s="8"/>
      <c r="I59" s="8"/>
      <c r="J59" s="8"/>
      <c r="K59" s="8">
        <v>5</v>
      </c>
      <c r="L59" s="18">
        <v>4500</v>
      </c>
      <c r="M59" s="7">
        <f t="shared" si="1"/>
        <v>22500</v>
      </c>
      <c r="N59" s="4"/>
      <c r="O59" s="9"/>
    </row>
    <row r="60" spans="1:15" ht="20" customHeight="1" x14ac:dyDescent="0.2">
      <c r="A60" s="3">
        <v>56</v>
      </c>
      <c r="B60" s="19"/>
      <c r="C60" s="4" t="s">
        <v>6483</v>
      </c>
      <c r="D60" s="4" t="s">
        <v>64</v>
      </c>
      <c r="E60" s="4" t="s">
        <v>271</v>
      </c>
      <c r="F60" s="8">
        <v>2</v>
      </c>
      <c r="G60" s="8">
        <v>3</v>
      </c>
      <c r="H60" s="8">
        <v>2</v>
      </c>
      <c r="I60" s="8"/>
      <c r="J60" s="8"/>
      <c r="K60" s="8">
        <v>5</v>
      </c>
      <c r="L60" s="18">
        <v>4500</v>
      </c>
      <c r="M60" s="7">
        <f t="shared" si="1"/>
        <v>22500</v>
      </c>
      <c r="N60" s="4"/>
      <c r="O60" s="9"/>
    </row>
    <row r="61" spans="1:15" ht="20" customHeight="1" x14ac:dyDescent="0.2">
      <c r="A61" s="3">
        <v>57</v>
      </c>
      <c r="B61" s="19"/>
      <c r="C61" s="4" t="s">
        <v>6484</v>
      </c>
      <c r="D61" s="4" t="s">
        <v>64</v>
      </c>
      <c r="E61" s="4" t="s">
        <v>271</v>
      </c>
      <c r="F61" s="8"/>
      <c r="G61" s="8"/>
      <c r="H61" s="8"/>
      <c r="I61" s="8"/>
      <c r="J61" s="8"/>
      <c r="K61" s="8">
        <v>5</v>
      </c>
      <c r="L61" s="18">
        <v>6500</v>
      </c>
      <c r="M61" s="7">
        <f t="shared" si="1"/>
        <v>32500</v>
      </c>
      <c r="N61" s="4"/>
      <c r="O61" s="9"/>
    </row>
    <row r="62" spans="1:15" ht="20" customHeight="1" x14ac:dyDescent="0.2">
      <c r="A62" s="3">
        <v>58</v>
      </c>
      <c r="B62" s="19"/>
      <c r="C62" s="4" t="s">
        <v>6485</v>
      </c>
      <c r="D62" s="4" t="s">
        <v>64</v>
      </c>
      <c r="E62" s="4" t="s">
        <v>271</v>
      </c>
      <c r="F62" s="8"/>
      <c r="G62" s="8"/>
      <c r="H62" s="8"/>
      <c r="I62" s="8"/>
      <c r="J62" s="8"/>
      <c r="K62" s="8">
        <v>5</v>
      </c>
      <c r="L62" s="18">
        <v>6500</v>
      </c>
      <c r="M62" s="7">
        <f t="shared" si="1"/>
        <v>32500</v>
      </c>
      <c r="N62" s="4"/>
      <c r="O62" s="9"/>
    </row>
    <row r="63" spans="1:15" ht="20" customHeight="1" x14ac:dyDescent="0.2">
      <c r="A63" s="3">
        <v>59</v>
      </c>
      <c r="B63" s="19"/>
      <c r="C63" s="4" t="s">
        <v>6486</v>
      </c>
      <c r="D63" s="4" t="s">
        <v>64</v>
      </c>
      <c r="E63" s="4" t="s">
        <v>271</v>
      </c>
      <c r="F63" s="8"/>
      <c r="G63" s="8"/>
      <c r="H63" s="8"/>
      <c r="I63" s="8"/>
      <c r="J63" s="8"/>
      <c r="K63" s="8">
        <v>5</v>
      </c>
      <c r="L63" s="18">
        <v>6500</v>
      </c>
      <c r="M63" s="7">
        <f t="shared" si="1"/>
        <v>32500</v>
      </c>
      <c r="N63" s="4"/>
      <c r="O63" s="9"/>
    </row>
    <row r="64" spans="1:15" ht="20" customHeight="1" x14ac:dyDescent="0.2">
      <c r="A64" s="3">
        <v>60</v>
      </c>
      <c r="B64" s="19"/>
      <c r="C64" s="4" t="s">
        <v>6487</v>
      </c>
      <c r="D64" s="4" t="s">
        <v>64</v>
      </c>
      <c r="E64" s="4" t="s">
        <v>271</v>
      </c>
      <c r="F64" s="8">
        <v>4</v>
      </c>
      <c r="G64" s="8">
        <v>6</v>
      </c>
      <c r="H64" s="8">
        <v>11</v>
      </c>
      <c r="I64" s="8"/>
      <c r="J64" s="8"/>
      <c r="K64" s="8">
        <v>30</v>
      </c>
      <c r="L64" s="18">
        <v>2000</v>
      </c>
      <c r="M64" s="7">
        <f t="shared" si="1"/>
        <v>60000</v>
      </c>
      <c r="N64" s="4"/>
      <c r="O64" s="9"/>
    </row>
    <row r="65" spans="1:15" ht="20" customHeight="1" x14ac:dyDescent="0.2">
      <c r="A65" s="3">
        <v>61</v>
      </c>
      <c r="B65" s="19"/>
      <c r="C65" s="4" t="s">
        <v>6488</v>
      </c>
      <c r="D65" s="4" t="s">
        <v>64</v>
      </c>
      <c r="E65" s="4" t="s">
        <v>271</v>
      </c>
      <c r="F65" s="8">
        <v>26</v>
      </c>
      <c r="G65" s="8">
        <v>10</v>
      </c>
      <c r="H65" s="8">
        <v>12</v>
      </c>
      <c r="I65" s="8"/>
      <c r="J65" s="8"/>
      <c r="K65" s="8">
        <v>50</v>
      </c>
      <c r="L65" s="18">
        <v>2250</v>
      </c>
      <c r="M65" s="7">
        <f t="shared" si="1"/>
        <v>112500</v>
      </c>
      <c r="N65" s="4"/>
      <c r="O65" s="9"/>
    </row>
    <row r="66" spans="1:15" ht="20" customHeight="1" x14ac:dyDescent="0.2">
      <c r="A66" s="3">
        <v>62</v>
      </c>
      <c r="B66" s="19"/>
      <c r="C66" s="4" t="s">
        <v>6489</v>
      </c>
      <c r="D66" s="4" t="s">
        <v>64</v>
      </c>
      <c r="E66" s="4" t="s">
        <v>271</v>
      </c>
      <c r="F66" s="8"/>
      <c r="G66" s="8"/>
      <c r="H66" s="8">
        <v>11</v>
      </c>
      <c r="I66" s="8"/>
      <c r="J66" s="8"/>
      <c r="K66" s="8">
        <v>30</v>
      </c>
      <c r="L66" s="18">
        <v>2000</v>
      </c>
      <c r="M66" s="7">
        <f t="shared" si="1"/>
        <v>60000</v>
      </c>
      <c r="N66" s="4"/>
      <c r="O66" s="9"/>
    </row>
    <row r="67" spans="1:15" ht="20" customHeight="1" x14ac:dyDescent="0.2">
      <c r="A67" s="3">
        <v>63</v>
      </c>
      <c r="B67" s="19"/>
      <c r="C67" s="4" t="s">
        <v>6490</v>
      </c>
      <c r="D67" s="4" t="s">
        <v>64</v>
      </c>
      <c r="E67" s="4" t="s">
        <v>271</v>
      </c>
      <c r="F67" s="8">
        <v>111</v>
      </c>
      <c r="G67" s="8">
        <v>150</v>
      </c>
      <c r="H67" s="8">
        <v>183</v>
      </c>
      <c r="I67" s="8"/>
      <c r="J67" s="8"/>
      <c r="K67" s="8">
        <v>250</v>
      </c>
      <c r="L67" s="18">
        <v>29500</v>
      </c>
      <c r="M67" s="7">
        <f t="shared" si="1"/>
        <v>7375000</v>
      </c>
      <c r="N67" s="4"/>
      <c r="O67" s="9"/>
    </row>
    <row r="68" spans="1:15" ht="20" customHeight="1" x14ac:dyDescent="0.2">
      <c r="A68" s="3">
        <v>64</v>
      </c>
      <c r="B68" s="19"/>
      <c r="C68" s="4" t="s">
        <v>6491</v>
      </c>
      <c r="D68" s="4" t="s">
        <v>64</v>
      </c>
      <c r="E68" s="4" t="s">
        <v>271</v>
      </c>
      <c r="F68" s="8">
        <v>2</v>
      </c>
      <c r="G68" s="8">
        <v>16</v>
      </c>
      <c r="H68" s="8">
        <v>20</v>
      </c>
      <c r="I68" s="8"/>
      <c r="J68" s="8"/>
      <c r="K68" s="8">
        <v>50</v>
      </c>
      <c r="L68" s="18">
        <v>30400</v>
      </c>
      <c r="M68" s="7">
        <f t="shared" si="1"/>
        <v>1520000</v>
      </c>
      <c r="N68" s="4"/>
      <c r="O68" s="9"/>
    </row>
    <row r="69" spans="1:15" ht="20" customHeight="1" x14ac:dyDescent="0.2">
      <c r="A69" s="3">
        <v>65</v>
      </c>
      <c r="B69" s="19"/>
      <c r="C69" s="4" t="s">
        <v>6492</v>
      </c>
      <c r="D69" s="4" t="s">
        <v>64</v>
      </c>
      <c r="E69" s="4" t="s">
        <v>271</v>
      </c>
      <c r="F69" s="8">
        <v>8</v>
      </c>
      <c r="G69" s="8">
        <v>25</v>
      </c>
      <c r="H69" s="8">
        <v>34</v>
      </c>
      <c r="I69" s="8"/>
      <c r="J69" s="8"/>
      <c r="K69" s="8">
        <v>50</v>
      </c>
      <c r="L69" s="18">
        <v>28000</v>
      </c>
      <c r="M69" s="7">
        <f t="shared" ref="M69:M100" si="2">IF(OR(K69="",L69=""),"",K69*L69)</f>
        <v>1400000</v>
      </c>
      <c r="N69" s="4"/>
      <c r="O69" s="9"/>
    </row>
    <row r="70" spans="1:15" ht="20" customHeight="1" x14ac:dyDescent="0.2">
      <c r="A70" s="3">
        <v>66</v>
      </c>
      <c r="B70" s="19"/>
      <c r="C70" s="4" t="s">
        <v>6493</v>
      </c>
      <c r="D70" s="4" t="s">
        <v>64</v>
      </c>
      <c r="E70" s="4" t="s">
        <v>271</v>
      </c>
      <c r="F70" s="8">
        <v>2</v>
      </c>
      <c r="G70" s="8">
        <v>25</v>
      </c>
      <c r="H70" s="8">
        <v>43</v>
      </c>
      <c r="I70" s="8"/>
      <c r="J70" s="8"/>
      <c r="K70" s="8">
        <v>70</v>
      </c>
      <c r="L70" s="18">
        <v>21000</v>
      </c>
      <c r="M70" s="7">
        <f t="shared" si="2"/>
        <v>1470000</v>
      </c>
      <c r="N70" s="4"/>
      <c r="O70" s="9"/>
    </row>
    <row r="71" spans="1:15" ht="20" customHeight="1" x14ac:dyDescent="0.2">
      <c r="A71" s="3">
        <v>67</v>
      </c>
      <c r="B71" s="19"/>
      <c r="C71" s="4" t="s">
        <v>6494</v>
      </c>
      <c r="D71" s="4" t="s">
        <v>64</v>
      </c>
      <c r="E71" s="4" t="s">
        <v>271</v>
      </c>
      <c r="F71" s="8">
        <v>49</v>
      </c>
      <c r="G71" s="8">
        <v>20</v>
      </c>
      <c r="H71" s="8">
        <v>21</v>
      </c>
      <c r="I71" s="8"/>
      <c r="J71" s="8"/>
      <c r="K71" s="8">
        <v>40</v>
      </c>
      <c r="L71" s="18">
        <v>22000</v>
      </c>
      <c r="M71" s="7">
        <f t="shared" si="2"/>
        <v>880000</v>
      </c>
      <c r="N71" s="4"/>
      <c r="O71" s="9"/>
    </row>
    <row r="72" spans="1:15" ht="20" customHeight="1" x14ac:dyDescent="0.2">
      <c r="A72" s="3">
        <v>68</v>
      </c>
      <c r="B72" s="19"/>
      <c r="C72" s="4" t="s">
        <v>6495</v>
      </c>
      <c r="D72" s="4" t="s">
        <v>64</v>
      </c>
      <c r="E72" s="4" t="s">
        <v>271</v>
      </c>
      <c r="F72" s="8">
        <v>18</v>
      </c>
      <c r="G72" s="8">
        <v>20</v>
      </c>
      <c r="H72" s="8">
        <v>34</v>
      </c>
      <c r="I72" s="8"/>
      <c r="J72" s="8"/>
      <c r="K72" s="8">
        <v>40</v>
      </c>
      <c r="L72" s="18">
        <v>23000</v>
      </c>
      <c r="M72" s="7">
        <f t="shared" si="2"/>
        <v>920000</v>
      </c>
      <c r="N72" s="4"/>
      <c r="O72" s="9"/>
    </row>
    <row r="73" spans="1:15" ht="20" customHeight="1" x14ac:dyDescent="0.2">
      <c r="A73" s="3">
        <v>69</v>
      </c>
      <c r="B73" s="19"/>
      <c r="C73" s="4" t="s">
        <v>6496</v>
      </c>
      <c r="D73" s="4" t="s">
        <v>64</v>
      </c>
      <c r="E73" s="4" t="s">
        <v>271</v>
      </c>
      <c r="F73" s="8">
        <v>53</v>
      </c>
      <c r="G73" s="8">
        <v>40</v>
      </c>
      <c r="H73" s="8">
        <v>32</v>
      </c>
      <c r="I73" s="8"/>
      <c r="J73" s="8"/>
      <c r="K73" s="8">
        <v>50</v>
      </c>
      <c r="L73" s="18">
        <v>21500</v>
      </c>
      <c r="M73" s="7">
        <f t="shared" si="2"/>
        <v>1075000</v>
      </c>
      <c r="N73" s="4"/>
      <c r="O73" s="9"/>
    </row>
    <row r="74" spans="1:15" ht="20" customHeight="1" x14ac:dyDescent="0.2">
      <c r="A74" s="3">
        <v>70</v>
      </c>
      <c r="B74" s="19"/>
      <c r="C74" s="4" t="s">
        <v>6497</v>
      </c>
      <c r="D74" s="4" t="s">
        <v>64</v>
      </c>
      <c r="E74" s="4" t="s">
        <v>271</v>
      </c>
      <c r="F74" s="8"/>
      <c r="G74" s="8"/>
      <c r="H74" s="8">
        <v>91</v>
      </c>
      <c r="I74" s="8"/>
      <c r="J74" s="8"/>
      <c r="K74" s="8">
        <v>150</v>
      </c>
      <c r="L74" s="18">
        <v>20500</v>
      </c>
      <c r="M74" s="7">
        <f t="shared" si="2"/>
        <v>3075000</v>
      </c>
      <c r="N74" s="4"/>
      <c r="O74" s="9"/>
    </row>
    <row r="75" spans="1:15" ht="20" customHeight="1" x14ac:dyDescent="0.2">
      <c r="A75" s="3">
        <v>71</v>
      </c>
      <c r="B75" s="19"/>
      <c r="C75" s="4" t="s">
        <v>6498</v>
      </c>
      <c r="D75" s="4" t="s">
        <v>64</v>
      </c>
      <c r="E75" s="4" t="s">
        <v>271</v>
      </c>
      <c r="F75" s="8"/>
      <c r="G75" s="8">
        <v>100</v>
      </c>
      <c r="H75" s="8">
        <v>189</v>
      </c>
      <c r="I75" s="8"/>
      <c r="J75" s="8"/>
      <c r="K75" s="8">
        <v>200</v>
      </c>
      <c r="L75" s="18">
        <v>19000</v>
      </c>
      <c r="M75" s="7">
        <f t="shared" si="2"/>
        <v>3800000</v>
      </c>
      <c r="N75" s="4"/>
      <c r="O75" s="9"/>
    </row>
    <row r="76" spans="1:15" ht="20" customHeight="1" x14ac:dyDescent="0.2">
      <c r="A76" s="3">
        <v>72</v>
      </c>
      <c r="B76" s="19"/>
      <c r="C76" s="4" t="s">
        <v>6499</v>
      </c>
      <c r="D76" s="4" t="s">
        <v>64</v>
      </c>
      <c r="E76" s="4" t="s">
        <v>271</v>
      </c>
      <c r="F76" s="8">
        <v>64</v>
      </c>
      <c r="G76" s="8">
        <v>65</v>
      </c>
      <c r="H76" s="8">
        <v>194</v>
      </c>
      <c r="I76" s="8"/>
      <c r="J76" s="8"/>
      <c r="K76" s="8">
        <v>250</v>
      </c>
      <c r="L76" s="18">
        <v>21000</v>
      </c>
      <c r="M76" s="7">
        <f t="shared" si="2"/>
        <v>5250000</v>
      </c>
      <c r="N76" s="4"/>
      <c r="O76" s="9"/>
    </row>
    <row r="77" spans="1:15" ht="20" customHeight="1" x14ac:dyDescent="0.2">
      <c r="A77" s="3">
        <v>73</v>
      </c>
      <c r="B77" s="19"/>
      <c r="C77" s="4" t="s">
        <v>6500</v>
      </c>
      <c r="D77" s="4" t="s">
        <v>64</v>
      </c>
      <c r="E77" s="4" t="s">
        <v>271</v>
      </c>
      <c r="F77" s="8"/>
      <c r="G77" s="8"/>
      <c r="H77" s="8">
        <v>45</v>
      </c>
      <c r="I77" s="8"/>
      <c r="J77" s="8"/>
      <c r="K77" s="8">
        <v>60</v>
      </c>
      <c r="L77" s="18">
        <v>18000</v>
      </c>
      <c r="M77" s="7">
        <f t="shared" si="2"/>
        <v>1080000</v>
      </c>
      <c r="N77" s="4"/>
      <c r="O77" s="9"/>
    </row>
    <row r="78" spans="1:15" ht="20" customHeight="1" x14ac:dyDescent="0.2">
      <c r="A78" s="3">
        <v>74</v>
      </c>
      <c r="B78" s="19"/>
      <c r="C78" s="4" t="s">
        <v>6501</v>
      </c>
      <c r="D78" s="4" t="s">
        <v>64</v>
      </c>
      <c r="E78" s="4" t="s">
        <v>271</v>
      </c>
      <c r="F78" s="8"/>
      <c r="G78" s="8"/>
      <c r="H78" s="8">
        <v>36</v>
      </c>
      <c r="I78" s="8"/>
      <c r="J78" s="8"/>
      <c r="K78" s="8">
        <v>40</v>
      </c>
      <c r="L78" s="18">
        <v>18190</v>
      </c>
      <c r="M78" s="7">
        <f t="shared" si="2"/>
        <v>727600</v>
      </c>
      <c r="N78" s="4"/>
      <c r="O78" s="9"/>
    </row>
    <row r="79" spans="1:15" ht="20" customHeight="1" x14ac:dyDescent="0.2">
      <c r="A79" s="3">
        <v>75</v>
      </c>
      <c r="B79" s="19"/>
      <c r="C79" s="4" t="s">
        <v>6502</v>
      </c>
      <c r="D79" s="4" t="s">
        <v>64</v>
      </c>
      <c r="E79" s="4" t="s">
        <v>271</v>
      </c>
      <c r="F79" s="8">
        <v>16</v>
      </c>
      <c r="G79" s="8">
        <v>10</v>
      </c>
      <c r="H79" s="8">
        <v>8</v>
      </c>
      <c r="I79" s="8"/>
      <c r="J79" s="8"/>
      <c r="K79" s="8">
        <v>10</v>
      </c>
      <c r="L79" s="18">
        <v>18000</v>
      </c>
      <c r="M79" s="7">
        <f t="shared" si="2"/>
        <v>180000</v>
      </c>
      <c r="N79" s="4"/>
      <c r="O79" s="9"/>
    </row>
    <row r="80" spans="1:15" ht="20" customHeight="1" x14ac:dyDescent="0.2">
      <c r="A80" s="3">
        <v>76</v>
      </c>
      <c r="B80" s="19"/>
      <c r="C80" s="4" t="s">
        <v>6503</v>
      </c>
      <c r="D80" s="4" t="s">
        <v>64</v>
      </c>
      <c r="E80" s="4" t="s">
        <v>271</v>
      </c>
      <c r="F80" s="8"/>
      <c r="G80" s="8"/>
      <c r="H80" s="8">
        <v>1</v>
      </c>
      <c r="I80" s="8"/>
      <c r="J80" s="8"/>
      <c r="K80" s="8">
        <v>5</v>
      </c>
      <c r="L80" s="18">
        <v>27000</v>
      </c>
      <c r="M80" s="7">
        <f t="shared" si="2"/>
        <v>135000</v>
      </c>
      <c r="N80" s="4"/>
      <c r="O80" s="9"/>
    </row>
    <row r="81" spans="1:15" ht="20" customHeight="1" x14ac:dyDescent="0.2">
      <c r="A81" s="3">
        <v>77</v>
      </c>
      <c r="B81" s="19"/>
      <c r="C81" s="4" t="s">
        <v>6504</v>
      </c>
      <c r="D81" s="4" t="s">
        <v>64</v>
      </c>
      <c r="E81" s="4" t="s">
        <v>271</v>
      </c>
      <c r="F81" s="8">
        <v>27</v>
      </c>
      <c r="G81" s="8">
        <v>5</v>
      </c>
      <c r="H81" s="8">
        <v>4</v>
      </c>
      <c r="I81" s="8"/>
      <c r="J81" s="8"/>
      <c r="K81" s="8">
        <v>10</v>
      </c>
      <c r="L81" s="18">
        <v>20500</v>
      </c>
      <c r="M81" s="7">
        <f t="shared" si="2"/>
        <v>205000</v>
      </c>
      <c r="N81" s="4"/>
      <c r="O81" s="9"/>
    </row>
    <row r="82" spans="1:15" ht="20" customHeight="1" x14ac:dyDescent="0.2">
      <c r="A82" s="3">
        <v>78</v>
      </c>
      <c r="B82" s="19"/>
      <c r="C82" s="4" t="s">
        <v>6505</v>
      </c>
      <c r="D82" s="4" t="s">
        <v>64</v>
      </c>
      <c r="E82" s="4" t="s">
        <v>271</v>
      </c>
      <c r="F82" s="8">
        <v>7</v>
      </c>
      <c r="G82" s="8">
        <v>5</v>
      </c>
      <c r="H82" s="8">
        <v>8</v>
      </c>
      <c r="I82" s="8"/>
      <c r="J82" s="8"/>
      <c r="K82" s="8">
        <v>20</v>
      </c>
      <c r="L82" s="18">
        <v>10700</v>
      </c>
      <c r="M82" s="7">
        <f t="shared" si="2"/>
        <v>214000</v>
      </c>
      <c r="N82" s="4"/>
      <c r="O82" s="9"/>
    </row>
    <row r="83" spans="1:15" ht="20" customHeight="1" x14ac:dyDescent="0.2">
      <c r="A83" s="3">
        <v>79</v>
      </c>
      <c r="B83" s="19"/>
      <c r="C83" s="4" t="s">
        <v>6506</v>
      </c>
      <c r="D83" s="4" t="s">
        <v>64</v>
      </c>
      <c r="E83" s="4" t="s">
        <v>271</v>
      </c>
      <c r="F83" s="8">
        <v>57</v>
      </c>
      <c r="G83" s="8">
        <v>40</v>
      </c>
      <c r="H83" s="8">
        <v>30</v>
      </c>
      <c r="I83" s="8"/>
      <c r="J83" s="8"/>
      <c r="K83" s="8">
        <v>50</v>
      </c>
      <c r="L83" s="18">
        <v>11000</v>
      </c>
      <c r="M83" s="7">
        <f t="shared" si="2"/>
        <v>550000</v>
      </c>
      <c r="N83" s="4"/>
      <c r="O83" s="9"/>
    </row>
    <row r="84" spans="1:15" ht="20" customHeight="1" x14ac:dyDescent="0.2">
      <c r="A84" s="3">
        <v>80</v>
      </c>
      <c r="B84" s="19"/>
      <c r="C84" s="4" t="s">
        <v>6507</v>
      </c>
      <c r="D84" s="4" t="s">
        <v>64</v>
      </c>
      <c r="E84" s="4" t="s">
        <v>271</v>
      </c>
      <c r="F84" s="8">
        <v>2</v>
      </c>
      <c r="G84" s="8">
        <v>2</v>
      </c>
      <c r="H84" s="8">
        <v>2</v>
      </c>
      <c r="I84" s="8"/>
      <c r="J84" s="8"/>
      <c r="K84" s="8">
        <v>5</v>
      </c>
      <c r="L84" s="18">
        <v>15000</v>
      </c>
      <c r="M84" s="7">
        <f t="shared" si="2"/>
        <v>75000</v>
      </c>
      <c r="N84" s="4"/>
      <c r="O84" s="9"/>
    </row>
    <row r="85" spans="1:15" ht="20" customHeight="1" x14ac:dyDescent="0.2">
      <c r="A85" s="3">
        <v>81</v>
      </c>
      <c r="B85" s="19"/>
      <c r="C85" s="4" t="s">
        <v>6508</v>
      </c>
      <c r="D85" s="4" t="s">
        <v>64</v>
      </c>
      <c r="E85" s="4" t="s">
        <v>271</v>
      </c>
      <c r="F85" s="8">
        <v>16</v>
      </c>
      <c r="G85" s="8">
        <v>20</v>
      </c>
      <c r="H85" s="8">
        <v>24</v>
      </c>
      <c r="I85" s="8"/>
      <c r="J85" s="8"/>
      <c r="K85" s="8">
        <v>40</v>
      </c>
      <c r="L85" s="18">
        <v>12500</v>
      </c>
      <c r="M85" s="7">
        <f t="shared" si="2"/>
        <v>500000</v>
      </c>
      <c r="N85" s="4"/>
      <c r="O85" s="9"/>
    </row>
    <row r="86" spans="1:15" ht="20" customHeight="1" x14ac:dyDescent="0.2">
      <c r="A86" s="3">
        <v>82</v>
      </c>
      <c r="B86" s="19"/>
      <c r="C86" s="4" t="s">
        <v>6509</v>
      </c>
      <c r="D86" s="4" t="s">
        <v>64</v>
      </c>
      <c r="E86" s="4" t="s">
        <v>271</v>
      </c>
      <c r="F86" s="8">
        <v>30</v>
      </c>
      <c r="G86" s="8">
        <v>35</v>
      </c>
      <c r="H86" s="8">
        <v>38</v>
      </c>
      <c r="I86" s="8"/>
      <c r="J86" s="8"/>
      <c r="K86" s="8">
        <v>50</v>
      </c>
      <c r="L86" s="18">
        <v>12500</v>
      </c>
      <c r="M86" s="7">
        <f t="shared" si="2"/>
        <v>625000</v>
      </c>
      <c r="N86" s="4"/>
      <c r="O86" s="9"/>
    </row>
    <row r="87" spans="1:15" ht="20" customHeight="1" x14ac:dyDescent="0.2">
      <c r="A87" s="3">
        <v>83</v>
      </c>
      <c r="B87" s="19"/>
      <c r="C87" s="4" t="s">
        <v>6510</v>
      </c>
      <c r="D87" s="4" t="s">
        <v>64</v>
      </c>
      <c r="E87" s="4" t="s">
        <v>271</v>
      </c>
      <c r="F87" s="8">
        <v>5</v>
      </c>
      <c r="G87" s="8">
        <v>4</v>
      </c>
      <c r="H87" s="8">
        <v>1</v>
      </c>
      <c r="I87" s="8"/>
      <c r="J87" s="8"/>
      <c r="K87" s="8">
        <v>5</v>
      </c>
      <c r="L87" s="18">
        <v>12500</v>
      </c>
      <c r="M87" s="7">
        <f t="shared" si="2"/>
        <v>62500</v>
      </c>
      <c r="N87" s="4"/>
      <c r="O87" s="9"/>
    </row>
    <row r="88" spans="1:15" ht="20" customHeight="1" x14ac:dyDescent="0.2">
      <c r="A88" s="3">
        <v>84</v>
      </c>
      <c r="B88" s="19"/>
      <c r="C88" s="4" t="s">
        <v>6511</v>
      </c>
      <c r="D88" s="4" t="s">
        <v>64</v>
      </c>
      <c r="E88" s="4" t="s">
        <v>271</v>
      </c>
      <c r="F88" s="8">
        <v>10</v>
      </c>
      <c r="G88" s="8">
        <v>5</v>
      </c>
      <c r="H88" s="8">
        <v>4</v>
      </c>
      <c r="I88" s="8"/>
      <c r="J88" s="8"/>
      <c r="K88" s="8">
        <v>10</v>
      </c>
      <c r="L88" s="18">
        <v>15000</v>
      </c>
      <c r="M88" s="7">
        <f t="shared" si="2"/>
        <v>150000</v>
      </c>
      <c r="N88" s="4"/>
      <c r="O88" s="9"/>
    </row>
    <row r="89" spans="1:15" ht="20" customHeight="1" x14ac:dyDescent="0.2">
      <c r="A89" s="3">
        <v>85</v>
      </c>
      <c r="B89" s="19"/>
      <c r="C89" s="4" t="s">
        <v>6512</v>
      </c>
      <c r="D89" s="4" t="s">
        <v>64</v>
      </c>
      <c r="E89" s="4" t="s">
        <v>271</v>
      </c>
      <c r="F89" s="8">
        <v>21</v>
      </c>
      <c r="G89" s="8">
        <v>20</v>
      </c>
      <c r="H89" s="8">
        <v>26</v>
      </c>
      <c r="I89" s="8"/>
      <c r="J89" s="8"/>
      <c r="K89" s="8">
        <v>40</v>
      </c>
      <c r="L89" s="18">
        <v>13000</v>
      </c>
      <c r="M89" s="7">
        <f t="shared" si="2"/>
        <v>520000</v>
      </c>
      <c r="N89" s="4"/>
      <c r="O89" s="9"/>
    </row>
    <row r="90" spans="1:15" ht="20" customHeight="1" x14ac:dyDescent="0.2">
      <c r="A90" s="3">
        <v>86</v>
      </c>
      <c r="B90" s="19"/>
      <c r="C90" s="4" t="s">
        <v>6513</v>
      </c>
      <c r="D90" s="4" t="s">
        <v>64</v>
      </c>
      <c r="E90" s="4" t="s">
        <v>271</v>
      </c>
      <c r="F90" s="8"/>
      <c r="G90" s="8"/>
      <c r="H90" s="8"/>
      <c r="I90" s="8"/>
      <c r="J90" s="8"/>
      <c r="K90" s="8">
        <v>5</v>
      </c>
      <c r="L90" s="18">
        <v>9500</v>
      </c>
      <c r="M90" s="7">
        <f t="shared" si="2"/>
        <v>47500</v>
      </c>
      <c r="N90" s="4"/>
      <c r="O90" s="9"/>
    </row>
    <row r="91" spans="1:15" ht="20" customHeight="1" x14ac:dyDescent="0.2">
      <c r="A91" s="3">
        <v>87</v>
      </c>
      <c r="B91" s="19"/>
      <c r="C91" s="4" t="s">
        <v>6514</v>
      </c>
      <c r="D91" s="4" t="s">
        <v>64</v>
      </c>
      <c r="E91" s="4" t="s">
        <v>271</v>
      </c>
      <c r="F91" s="8"/>
      <c r="G91" s="8"/>
      <c r="H91" s="8"/>
      <c r="I91" s="8"/>
      <c r="J91" s="8"/>
      <c r="K91" s="8">
        <v>5</v>
      </c>
      <c r="L91" s="18">
        <v>9500</v>
      </c>
      <c r="M91" s="7">
        <f t="shared" si="2"/>
        <v>47500</v>
      </c>
      <c r="N91" s="4"/>
      <c r="O91" s="9"/>
    </row>
    <row r="92" spans="1:15" ht="20" customHeight="1" x14ac:dyDescent="0.2">
      <c r="A92" s="3">
        <v>88</v>
      </c>
      <c r="B92" s="19"/>
      <c r="C92" s="4" t="s">
        <v>6515</v>
      </c>
      <c r="D92" s="4" t="s">
        <v>64</v>
      </c>
      <c r="E92" s="4" t="s">
        <v>271</v>
      </c>
      <c r="F92" s="8">
        <v>68</v>
      </c>
      <c r="G92" s="8">
        <v>40</v>
      </c>
      <c r="H92" s="8">
        <v>52</v>
      </c>
      <c r="I92" s="8"/>
      <c r="J92" s="8"/>
      <c r="K92" s="8">
        <v>80</v>
      </c>
      <c r="L92" s="18">
        <v>11235</v>
      </c>
      <c r="M92" s="7">
        <f t="shared" si="2"/>
        <v>898800</v>
      </c>
      <c r="N92" s="4"/>
      <c r="O92" s="9"/>
    </row>
    <row r="93" spans="1:15" ht="20" customHeight="1" x14ac:dyDescent="0.2">
      <c r="A93" s="3">
        <v>89</v>
      </c>
      <c r="B93" s="19"/>
      <c r="C93" s="4" t="s">
        <v>6516</v>
      </c>
      <c r="D93" s="4" t="s">
        <v>64</v>
      </c>
      <c r="E93" s="4" t="s">
        <v>271</v>
      </c>
      <c r="F93" s="8"/>
      <c r="G93" s="8"/>
      <c r="H93" s="8">
        <v>33</v>
      </c>
      <c r="I93" s="8"/>
      <c r="J93" s="8"/>
      <c r="K93" s="8">
        <v>50</v>
      </c>
      <c r="L93" s="18">
        <v>9000</v>
      </c>
      <c r="M93" s="7">
        <f t="shared" si="2"/>
        <v>450000</v>
      </c>
      <c r="N93" s="4"/>
      <c r="O93" s="9"/>
    </row>
    <row r="94" spans="1:15" ht="20" customHeight="1" x14ac:dyDescent="0.2">
      <c r="A94" s="3">
        <v>90</v>
      </c>
      <c r="B94" s="19"/>
      <c r="C94" s="4" t="s">
        <v>6517</v>
      </c>
      <c r="D94" s="4" t="s">
        <v>64</v>
      </c>
      <c r="E94" s="4" t="s">
        <v>271</v>
      </c>
      <c r="F94" s="8">
        <v>10</v>
      </c>
      <c r="G94" s="8">
        <v>5</v>
      </c>
      <c r="H94" s="8">
        <v>6</v>
      </c>
      <c r="I94" s="8"/>
      <c r="J94" s="8"/>
      <c r="K94" s="8">
        <v>10</v>
      </c>
      <c r="L94" s="18">
        <v>10000</v>
      </c>
      <c r="M94" s="7">
        <f t="shared" si="2"/>
        <v>100000</v>
      </c>
      <c r="N94" s="4"/>
      <c r="O94" s="9"/>
    </row>
    <row r="95" spans="1:15" ht="20" customHeight="1" x14ac:dyDescent="0.2">
      <c r="A95" s="3">
        <v>91</v>
      </c>
      <c r="B95" s="19"/>
      <c r="C95" s="4" t="s">
        <v>6518</v>
      </c>
      <c r="D95" s="4" t="s">
        <v>64</v>
      </c>
      <c r="E95" s="4" t="s">
        <v>271</v>
      </c>
      <c r="F95" s="8">
        <v>19</v>
      </c>
      <c r="G95" s="8">
        <v>25</v>
      </c>
      <c r="H95" s="8">
        <v>29</v>
      </c>
      <c r="I95" s="8"/>
      <c r="J95" s="8"/>
      <c r="K95" s="8">
        <v>40</v>
      </c>
      <c r="L95" s="18">
        <v>8000</v>
      </c>
      <c r="M95" s="7">
        <f t="shared" si="2"/>
        <v>320000</v>
      </c>
      <c r="N95" s="4"/>
      <c r="O95" s="9"/>
    </row>
    <row r="96" spans="1:15" ht="20" customHeight="1" x14ac:dyDescent="0.2">
      <c r="A96" s="3">
        <v>92</v>
      </c>
      <c r="B96" s="19"/>
      <c r="C96" s="4" t="s">
        <v>6519</v>
      </c>
      <c r="D96" s="4" t="s">
        <v>64</v>
      </c>
      <c r="E96" s="4" t="s">
        <v>271</v>
      </c>
      <c r="F96" s="8">
        <v>18</v>
      </c>
      <c r="G96" s="8">
        <v>25</v>
      </c>
      <c r="H96" s="8">
        <v>29</v>
      </c>
      <c r="I96" s="8"/>
      <c r="J96" s="8"/>
      <c r="K96" s="8">
        <v>40</v>
      </c>
      <c r="L96" s="18">
        <v>29000</v>
      </c>
      <c r="M96" s="7">
        <f t="shared" si="2"/>
        <v>1160000</v>
      </c>
      <c r="N96" s="4"/>
      <c r="O96" s="9"/>
    </row>
    <row r="97" spans="1:15" ht="20" customHeight="1" x14ac:dyDescent="0.2">
      <c r="A97" s="3">
        <v>93</v>
      </c>
      <c r="B97" s="19"/>
      <c r="C97" s="4" t="s">
        <v>6520</v>
      </c>
      <c r="D97" s="4" t="s">
        <v>64</v>
      </c>
      <c r="E97" s="4" t="s">
        <v>271</v>
      </c>
      <c r="F97" s="8">
        <v>25</v>
      </c>
      <c r="G97" s="8">
        <v>30</v>
      </c>
      <c r="H97" s="8">
        <v>35</v>
      </c>
      <c r="I97" s="8"/>
      <c r="J97" s="8"/>
      <c r="K97" s="8">
        <v>50</v>
      </c>
      <c r="L97" s="18">
        <v>28500</v>
      </c>
      <c r="M97" s="7">
        <f t="shared" si="2"/>
        <v>1425000</v>
      </c>
      <c r="N97" s="4"/>
      <c r="O97" s="9"/>
    </row>
    <row r="98" spans="1:15" ht="20" customHeight="1" x14ac:dyDescent="0.2">
      <c r="A98" s="3">
        <v>94</v>
      </c>
      <c r="B98" s="19"/>
      <c r="C98" s="4" t="s">
        <v>6521</v>
      </c>
      <c r="D98" s="4" t="s">
        <v>64</v>
      </c>
      <c r="E98" s="4" t="s">
        <v>271</v>
      </c>
      <c r="F98" s="8"/>
      <c r="G98" s="8"/>
      <c r="H98" s="8">
        <v>17</v>
      </c>
      <c r="I98" s="8"/>
      <c r="J98" s="8"/>
      <c r="K98" s="8">
        <v>40</v>
      </c>
      <c r="L98" s="18">
        <v>29000</v>
      </c>
      <c r="M98" s="7">
        <f t="shared" si="2"/>
        <v>1160000</v>
      </c>
      <c r="N98" s="4"/>
      <c r="O98" s="9"/>
    </row>
    <row r="99" spans="1:15" ht="20" customHeight="1" x14ac:dyDescent="0.2">
      <c r="A99" s="3">
        <v>95</v>
      </c>
      <c r="B99" s="19"/>
      <c r="C99" s="4" t="s">
        <v>6522</v>
      </c>
      <c r="D99" s="4" t="s">
        <v>64</v>
      </c>
      <c r="E99" s="4" t="s">
        <v>271</v>
      </c>
      <c r="F99" s="8"/>
      <c r="G99" s="8"/>
      <c r="H99" s="8">
        <v>17</v>
      </c>
      <c r="I99" s="8"/>
      <c r="J99" s="8"/>
      <c r="K99" s="8">
        <v>40</v>
      </c>
      <c r="L99" s="18">
        <v>8000</v>
      </c>
      <c r="M99" s="7">
        <f t="shared" si="2"/>
        <v>320000</v>
      </c>
      <c r="N99" s="4"/>
      <c r="O99" s="9"/>
    </row>
    <row r="100" spans="1:15" ht="20" customHeight="1" x14ac:dyDescent="0.2">
      <c r="A100" s="3">
        <v>96</v>
      </c>
      <c r="B100" s="19"/>
      <c r="C100" s="4" t="s">
        <v>6523</v>
      </c>
      <c r="D100" s="4" t="s">
        <v>64</v>
      </c>
      <c r="E100" s="4" t="s">
        <v>271</v>
      </c>
      <c r="F100" s="8"/>
      <c r="G100" s="8"/>
      <c r="H100" s="8">
        <v>17</v>
      </c>
      <c r="I100" s="8"/>
      <c r="J100" s="8"/>
      <c r="K100" s="8">
        <v>40</v>
      </c>
      <c r="L100" s="18">
        <v>28000</v>
      </c>
      <c r="M100" s="7">
        <f t="shared" si="2"/>
        <v>1120000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6524</v>
      </c>
      <c r="D101" s="4" t="s">
        <v>64</v>
      </c>
      <c r="E101" s="4" t="s">
        <v>271</v>
      </c>
      <c r="F101" s="8">
        <v>1</v>
      </c>
      <c r="G101" s="8">
        <v>1</v>
      </c>
      <c r="H101" s="8">
        <v>1</v>
      </c>
      <c r="I101" s="8"/>
      <c r="J101" s="8"/>
      <c r="K101" s="8">
        <v>1</v>
      </c>
      <c r="L101" s="18">
        <v>48150</v>
      </c>
      <c r="M101" s="7">
        <f t="shared" ref="M101:M132" si="3">IF(OR(K101="",L101=""),"",K101*L101)</f>
        <v>48150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6525</v>
      </c>
      <c r="D102" s="4" t="s">
        <v>64</v>
      </c>
      <c r="E102" s="4" t="s">
        <v>271</v>
      </c>
      <c r="F102" s="8"/>
      <c r="G102" s="8"/>
      <c r="H102" s="8">
        <v>1</v>
      </c>
      <c r="I102" s="8"/>
      <c r="J102" s="8"/>
      <c r="K102" s="8">
        <v>3</v>
      </c>
      <c r="L102" s="18">
        <v>18190</v>
      </c>
      <c r="M102" s="7">
        <f t="shared" si="3"/>
        <v>54570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6526</v>
      </c>
      <c r="D103" s="4" t="s">
        <v>64</v>
      </c>
      <c r="E103" s="4" t="s">
        <v>271</v>
      </c>
      <c r="F103" s="8"/>
      <c r="G103" s="8"/>
      <c r="H103" s="8"/>
      <c r="I103" s="8"/>
      <c r="J103" s="8"/>
      <c r="K103" s="8">
        <v>10</v>
      </c>
      <c r="L103" s="18">
        <v>4494</v>
      </c>
      <c r="M103" s="7">
        <f t="shared" si="3"/>
        <v>44940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6527</v>
      </c>
      <c r="D104" s="4" t="s">
        <v>64</v>
      </c>
      <c r="E104" s="4" t="s">
        <v>271</v>
      </c>
      <c r="F104" s="8">
        <v>5</v>
      </c>
      <c r="G104" s="8">
        <v>5</v>
      </c>
      <c r="H104" s="8">
        <v>6</v>
      </c>
      <c r="I104" s="8"/>
      <c r="J104" s="8"/>
      <c r="K104" s="8">
        <v>10</v>
      </c>
      <c r="L104" s="18">
        <v>9500</v>
      </c>
      <c r="M104" s="7">
        <f t="shared" si="3"/>
        <v>95000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6528</v>
      </c>
      <c r="D105" s="4" t="s">
        <v>64</v>
      </c>
      <c r="E105" s="4" t="s">
        <v>271</v>
      </c>
      <c r="F105" s="8">
        <v>5</v>
      </c>
      <c r="G105" s="8">
        <v>5</v>
      </c>
      <c r="H105" s="8">
        <v>5</v>
      </c>
      <c r="I105" s="8"/>
      <c r="J105" s="8"/>
      <c r="K105" s="8">
        <v>10</v>
      </c>
      <c r="L105" s="18">
        <v>9500</v>
      </c>
      <c r="M105" s="7">
        <f t="shared" si="3"/>
        <v>95000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6529</v>
      </c>
      <c r="D106" s="4" t="s">
        <v>64</v>
      </c>
      <c r="E106" s="4" t="s">
        <v>271</v>
      </c>
      <c r="F106" s="8">
        <v>5</v>
      </c>
      <c r="G106" s="8">
        <v>5</v>
      </c>
      <c r="H106" s="8">
        <v>7</v>
      </c>
      <c r="I106" s="8"/>
      <c r="J106" s="8"/>
      <c r="K106" s="8">
        <v>20</v>
      </c>
      <c r="L106" s="18">
        <v>60000</v>
      </c>
      <c r="M106" s="7">
        <f t="shared" si="3"/>
        <v>1200000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6530</v>
      </c>
      <c r="D107" s="4" t="s">
        <v>64</v>
      </c>
      <c r="E107" s="4" t="s">
        <v>271</v>
      </c>
      <c r="F107" s="8"/>
      <c r="G107" s="8"/>
      <c r="H107" s="8">
        <v>3</v>
      </c>
      <c r="I107" s="8"/>
      <c r="J107" s="8"/>
      <c r="K107" s="8">
        <v>12</v>
      </c>
      <c r="L107" s="18">
        <v>20000</v>
      </c>
      <c r="M107" s="7">
        <f t="shared" si="3"/>
        <v>240000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6531</v>
      </c>
      <c r="D108" s="4" t="s">
        <v>64</v>
      </c>
      <c r="E108" s="4" t="s">
        <v>271</v>
      </c>
      <c r="F108" s="8">
        <v>10</v>
      </c>
      <c r="G108" s="8">
        <v>10</v>
      </c>
      <c r="H108" s="8">
        <v>13</v>
      </c>
      <c r="I108" s="8"/>
      <c r="J108" s="8"/>
      <c r="K108" s="8">
        <v>20</v>
      </c>
      <c r="L108" s="18">
        <v>45000</v>
      </c>
      <c r="M108" s="7">
        <f t="shared" si="3"/>
        <v>900000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6532</v>
      </c>
      <c r="D109" s="4" t="s">
        <v>64</v>
      </c>
      <c r="E109" s="4" t="s">
        <v>271</v>
      </c>
      <c r="F109" s="8">
        <v>10</v>
      </c>
      <c r="G109" s="8">
        <v>10</v>
      </c>
      <c r="H109" s="8">
        <v>13</v>
      </c>
      <c r="I109" s="8"/>
      <c r="J109" s="8"/>
      <c r="K109" s="8">
        <v>20</v>
      </c>
      <c r="L109" s="18">
        <v>15000</v>
      </c>
      <c r="M109" s="7">
        <f t="shared" si="3"/>
        <v>300000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6533</v>
      </c>
      <c r="D110" s="4" t="s">
        <v>64</v>
      </c>
      <c r="E110" s="4" t="s">
        <v>271</v>
      </c>
      <c r="F110" s="8">
        <v>5</v>
      </c>
      <c r="G110" s="8">
        <v>5</v>
      </c>
      <c r="H110" s="8">
        <v>4</v>
      </c>
      <c r="I110" s="8"/>
      <c r="J110" s="8"/>
      <c r="K110" s="8">
        <v>10</v>
      </c>
      <c r="L110" s="18">
        <v>25000</v>
      </c>
      <c r="M110" s="7">
        <f t="shared" si="3"/>
        <v>250000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6534</v>
      </c>
      <c r="D111" s="4" t="s">
        <v>64</v>
      </c>
      <c r="E111" s="4" t="s">
        <v>271</v>
      </c>
      <c r="F111" s="8">
        <v>5</v>
      </c>
      <c r="G111" s="8">
        <v>5</v>
      </c>
      <c r="H111" s="8">
        <v>4</v>
      </c>
      <c r="I111" s="8"/>
      <c r="J111" s="8"/>
      <c r="K111" s="8">
        <v>10</v>
      </c>
      <c r="L111" s="18">
        <v>15000</v>
      </c>
      <c r="M111" s="7">
        <f t="shared" si="3"/>
        <v>150000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6535</v>
      </c>
      <c r="D112" s="4" t="s">
        <v>64</v>
      </c>
      <c r="E112" s="4" t="s">
        <v>271</v>
      </c>
      <c r="F112" s="8">
        <v>1</v>
      </c>
      <c r="G112" s="8">
        <v>1</v>
      </c>
      <c r="H112" s="8">
        <v>2</v>
      </c>
      <c r="I112" s="8"/>
      <c r="J112" s="8"/>
      <c r="K112" s="8">
        <v>10</v>
      </c>
      <c r="L112" s="18">
        <v>32000</v>
      </c>
      <c r="M112" s="7">
        <f t="shared" si="3"/>
        <v>320000</v>
      </c>
      <c r="N112" s="4"/>
      <c r="O112" s="9"/>
    </row>
    <row r="113" spans="1:15" ht="20" customHeight="1" x14ac:dyDescent="0.2">
      <c r="A113" s="3">
        <v>109</v>
      </c>
      <c r="B113" s="19"/>
      <c r="C113" s="4" t="s">
        <v>6536</v>
      </c>
      <c r="D113" s="4" t="s">
        <v>64</v>
      </c>
      <c r="E113" s="4" t="s">
        <v>271</v>
      </c>
      <c r="F113" s="8"/>
      <c r="G113" s="8"/>
      <c r="H113" s="8">
        <v>5</v>
      </c>
      <c r="I113" s="8"/>
      <c r="J113" s="8"/>
      <c r="K113" s="8">
        <v>10</v>
      </c>
      <c r="L113" s="18">
        <v>17000</v>
      </c>
      <c r="M113" s="7">
        <f t="shared" si="3"/>
        <v>170000</v>
      </c>
      <c r="N113" s="4"/>
      <c r="O113" s="9"/>
    </row>
    <row r="114" spans="1:15" ht="20" customHeight="1" x14ac:dyDescent="0.2">
      <c r="A114" s="3">
        <v>110</v>
      </c>
      <c r="B114" s="19"/>
      <c r="C114" s="4" t="s">
        <v>6537</v>
      </c>
      <c r="D114" s="4" t="s">
        <v>64</v>
      </c>
      <c r="E114" s="4" t="s">
        <v>271</v>
      </c>
      <c r="F114" s="8"/>
      <c r="G114" s="8"/>
      <c r="H114" s="8">
        <v>3</v>
      </c>
      <c r="I114" s="8"/>
      <c r="J114" s="8"/>
      <c r="K114" s="8">
        <v>10</v>
      </c>
      <c r="L114" s="18">
        <v>48000</v>
      </c>
      <c r="M114" s="7">
        <f t="shared" si="3"/>
        <v>480000</v>
      </c>
      <c r="N114" s="4"/>
      <c r="O114" s="9"/>
    </row>
    <row r="115" spans="1:15" ht="20" customHeight="1" x14ac:dyDescent="0.2">
      <c r="A115" s="3">
        <v>111</v>
      </c>
      <c r="B115" s="19"/>
      <c r="C115" s="4" t="s">
        <v>6538</v>
      </c>
      <c r="D115" s="4" t="s">
        <v>64</v>
      </c>
      <c r="E115" s="4" t="s">
        <v>271</v>
      </c>
      <c r="F115" s="8"/>
      <c r="G115" s="8"/>
      <c r="H115" s="8"/>
      <c r="I115" s="8"/>
      <c r="J115" s="8"/>
      <c r="K115" s="8">
        <v>5</v>
      </c>
      <c r="L115" s="18">
        <v>163500</v>
      </c>
      <c r="M115" s="7">
        <f t="shared" si="3"/>
        <v>817500</v>
      </c>
      <c r="N115" s="4"/>
      <c r="O115" s="9"/>
    </row>
    <row r="116" spans="1:15" ht="20" customHeight="1" x14ac:dyDescent="0.2">
      <c r="A116" s="3">
        <v>112</v>
      </c>
      <c r="B116" s="19"/>
      <c r="C116" s="4" t="s">
        <v>6539</v>
      </c>
      <c r="D116" s="4" t="s">
        <v>64</v>
      </c>
      <c r="E116" s="4" t="s">
        <v>271</v>
      </c>
      <c r="F116" s="8"/>
      <c r="G116" s="8"/>
      <c r="H116" s="8"/>
      <c r="I116" s="8"/>
      <c r="J116" s="8"/>
      <c r="K116" s="8">
        <v>5</v>
      </c>
      <c r="L116" s="18">
        <v>81000</v>
      </c>
      <c r="M116" s="7">
        <f t="shared" si="3"/>
        <v>405000</v>
      </c>
      <c r="N116" s="4"/>
      <c r="O116" s="9"/>
    </row>
    <row r="117" spans="1:15" ht="20" customHeight="1" x14ac:dyDescent="0.2">
      <c r="A117" s="3">
        <v>113</v>
      </c>
      <c r="B117" s="19"/>
      <c r="C117" s="4" t="s">
        <v>6540</v>
      </c>
      <c r="D117" s="4" t="s">
        <v>64</v>
      </c>
      <c r="E117" s="4" t="s">
        <v>271</v>
      </c>
      <c r="F117" s="8"/>
      <c r="G117" s="8"/>
      <c r="H117" s="8"/>
      <c r="I117" s="8"/>
      <c r="J117" s="8"/>
      <c r="K117" s="8">
        <v>10</v>
      </c>
      <c r="L117" s="18">
        <v>72000</v>
      </c>
      <c r="M117" s="7">
        <f t="shared" si="3"/>
        <v>720000</v>
      </c>
      <c r="N117" s="4"/>
      <c r="O117" s="9"/>
    </row>
    <row r="118" spans="1:15" ht="20" customHeight="1" x14ac:dyDescent="0.2">
      <c r="A118" s="3">
        <v>114</v>
      </c>
      <c r="B118" s="19"/>
      <c r="C118" s="4" t="s">
        <v>6541</v>
      </c>
      <c r="D118" s="4" t="s">
        <v>64</v>
      </c>
      <c r="E118" s="4" t="s">
        <v>271</v>
      </c>
      <c r="F118" s="8"/>
      <c r="G118" s="8"/>
      <c r="H118" s="8"/>
      <c r="I118" s="8"/>
      <c r="J118" s="8"/>
      <c r="K118" s="8">
        <v>20</v>
      </c>
      <c r="L118" s="18">
        <v>13500</v>
      </c>
      <c r="M118" s="7">
        <f t="shared" si="3"/>
        <v>270000</v>
      </c>
      <c r="N118" s="4"/>
      <c r="O118" s="9"/>
    </row>
    <row r="119" spans="1:15" ht="20" customHeight="1" x14ac:dyDescent="0.2">
      <c r="A119" s="3">
        <v>115</v>
      </c>
      <c r="B119" s="19"/>
      <c r="C119" s="4" t="s">
        <v>6542</v>
      </c>
      <c r="D119" s="4" t="s">
        <v>64</v>
      </c>
      <c r="E119" s="4" t="s">
        <v>271</v>
      </c>
      <c r="F119" s="8"/>
      <c r="G119" s="8"/>
      <c r="H119" s="8"/>
      <c r="I119" s="8"/>
      <c r="J119" s="8"/>
      <c r="K119" s="8">
        <v>5</v>
      </c>
      <c r="L119" s="18">
        <v>165061</v>
      </c>
      <c r="M119" s="7">
        <f t="shared" si="3"/>
        <v>825305</v>
      </c>
      <c r="N119" s="4"/>
      <c r="O119" s="9"/>
    </row>
    <row r="120" spans="1:15" ht="20" customHeight="1" x14ac:dyDescent="0.2">
      <c r="A120" s="3">
        <v>116</v>
      </c>
      <c r="B120" s="19"/>
      <c r="C120" s="4" t="s">
        <v>6543</v>
      </c>
      <c r="D120" s="4" t="s">
        <v>64</v>
      </c>
      <c r="E120" s="4" t="s">
        <v>271</v>
      </c>
      <c r="F120" s="8"/>
      <c r="G120" s="8"/>
      <c r="H120" s="8">
        <v>1</v>
      </c>
      <c r="I120" s="8"/>
      <c r="J120" s="8"/>
      <c r="K120" s="8">
        <v>10</v>
      </c>
      <c r="L120" s="18">
        <v>600000</v>
      </c>
      <c r="M120" s="7">
        <f t="shared" si="3"/>
        <v>6000000</v>
      </c>
      <c r="N120" s="4"/>
      <c r="O120" s="9"/>
    </row>
    <row r="121" spans="1:15" ht="20" customHeight="1" x14ac:dyDescent="0.2">
      <c r="A121" s="3">
        <v>117</v>
      </c>
      <c r="B121" s="19"/>
      <c r="C121" s="4" t="s">
        <v>6544</v>
      </c>
      <c r="D121" s="4" t="s">
        <v>64</v>
      </c>
      <c r="E121" s="4" t="s">
        <v>271</v>
      </c>
      <c r="F121" s="8"/>
      <c r="G121" s="8"/>
      <c r="H121" s="8">
        <v>2</v>
      </c>
      <c r="I121" s="8"/>
      <c r="J121" s="8"/>
      <c r="K121" s="8">
        <v>2</v>
      </c>
      <c r="L121" s="18">
        <v>900000</v>
      </c>
      <c r="M121" s="7">
        <f t="shared" si="3"/>
        <v>1800000</v>
      </c>
      <c r="N121" s="4"/>
      <c r="O121" s="9"/>
    </row>
    <row r="122" spans="1:15" ht="20" customHeight="1" x14ac:dyDescent="0.2">
      <c r="A122" s="3">
        <v>118</v>
      </c>
      <c r="B122" s="19"/>
      <c r="C122" s="4" t="s">
        <v>6545</v>
      </c>
      <c r="D122" s="4" t="s">
        <v>64</v>
      </c>
      <c r="E122" s="4" t="s">
        <v>271</v>
      </c>
      <c r="F122" s="8"/>
      <c r="G122" s="8"/>
      <c r="H122" s="8"/>
      <c r="I122" s="8"/>
      <c r="J122" s="8"/>
      <c r="K122" s="8">
        <v>2</v>
      </c>
      <c r="L122" s="18">
        <v>900000</v>
      </c>
      <c r="M122" s="7">
        <f t="shared" si="3"/>
        <v>1800000</v>
      </c>
      <c r="N122" s="4"/>
      <c r="O122" s="9"/>
    </row>
    <row r="123" spans="1:15" ht="20" customHeight="1" x14ac:dyDescent="0.2">
      <c r="A123" s="3">
        <v>119</v>
      </c>
      <c r="B123" s="19"/>
      <c r="C123" s="4" t="s">
        <v>6546</v>
      </c>
      <c r="D123" s="4" t="s">
        <v>64</v>
      </c>
      <c r="E123" s="4" t="s">
        <v>271</v>
      </c>
      <c r="F123" s="8"/>
      <c r="G123" s="8"/>
      <c r="H123" s="8"/>
      <c r="I123" s="8"/>
      <c r="J123" s="8"/>
      <c r="K123" s="8">
        <v>2</v>
      </c>
      <c r="L123" s="18">
        <v>780000</v>
      </c>
      <c r="M123" s="7">
        <f t="shared" si="3"/>
        <v>1560000</v>
      </c>
      <c r="N123" s="4"/>
      <c r="O123" s="9"/>
    </row>
    <row r="124" spans="1:15" ht="20" customHeight="1" x14ac:dyDescent="0.2">
      <c r="A124" s="3">
        <v>120</v>
      </c>
      <c r="B124" s="19"/>
      <c r="C124" s="4" t="s">
        <v>6547</v>
      </c>
      <c r="D124" s="4" t="s">
        <v>64</v>
      </c>
      <c r="E124" s="4" t="s">
        <v>271</v>
      </c>
      <c r="F124" s="8"/>
      <c r="G124" s="8"/>
      <c r="H124" s="8">
        <v>4</v>
      </c>
      <c r="I124" s="8"/>
      <c r="J124" s="8"/>
      <c r="K124" s="8">
        <v>10</v>
      </c>
      <c r="L124" s="18">
        <v>585000</v>
      </c>
      <c r="M124" s="7">
        <f t="shared" si="3"/>
        <v>5850000</v>
      </c>
      <c r="N124" s="4"/>
      <c r="O124" s="9"/>
    </row>
    <row r="125" spans="1:15" ht="20" customHeight="1" x14ac:dyDescent="0.2">
      <c r="A125" s="3">
        <v>121</v>
      </c>
      <c r="B125" s="19"/>
      <c r="C125" s="4" t="s">
        <v>6548</v>
      </c>
      <c r="D125" s="4" t="s">
        <v>64</v>
      </c>
      <c r="E125" s="4" t="s">
        <v>271</v>
      </c>
      <c r="F125" s="8"/>
      <c r="G125" s="8"/>
      <c r="H125" s="8"/>
      <c r="I125" s="8"/>
      <c r="J125" s="8"/>
      <c r="K125" s="8">
        <v>10</v>
      </c>
      <c r="L125" s="18">
        <v>400000</v>
      </c>
      <c r="M125" s="7">
        <f t="shared" si="3"/>
        <v>4000000</v>
      </c>
      <c r="N125" s="4"/>
      <c r="O125" s="9"/>
    </row>
    <row r="126" spans="1:15" ht="20" customHeight="1" x14ac:dyDescent="0.2">
      <c r="A126" s="3">
        <v>122</v>
      </c>
      <c r="B126" s="19"/>
      <c r="C126" s="4" t="s">
        <v>6549</v>
      </c>
      <c r="D126" s="4" t="s">
        <v>64</v>
      </c>
      <c r="E126" s="4" t="s">
        <v>271</v>
      </c>
      <c r="F126" s="8"/>
      <c r="G126" s="8"/>
      <c r="H126" s="8"/>
      <c r="I126" s="8"/>
      <c r="J126" s="8"/>
      <c r="K126" s="8">
        <v>2</v>
      </c>
      <c r="L126" s="18">
        <v>850000</v>
      </c>
      <c r="M126" s="7">
        <f t="shared" si="3"/>
        <v>1700000</v>
      </c>
      <c r="N126" s="4"/>
      <c r="O126" s="9"/>
    </row>
    <row r="127" spans="1:15" ht="20" customHeight="1" x14ac:dyDescent="0.2">
      <c r="A127" s="3">
        <v>123</v>
      </c>
      <c r="B127" s="19"/>
      <c r="C127" s="4" t="s">
        <v>6550</v>
      </c>
      <c r="D127" s="4" t="s">
        <v>64</v>
      </c>
      <c r="E127" s="4" t="s">
        <v>271</v>
      </c>
      <c r="F127" s="8"/>
      <c r="G127" s="8"/>
      <c r="H127" s="8"/>
      <c r="I127" s="8"/>
      <c r="J127" s="8"/>
      <c r="K127" s="8">
        <v>2</v>
      </c>
      <c r="L127" s="18">
        <v>550000</v>
      </c>
      <c r="M127" s="7">
        <f t="shared" si="3"/>
        <v>1100000</v>
      </c>
      <c r="N127" s="4"/>
      <c r="O127" s="9"/>
    </row>
    <row r="128" spans="1:15" ht="20" customHeight="1" x14ac:dyDescent="0.2">
      <c r="A128" s="3">
        <v>124</v>
      </c>
      <c r="B128" s="19"/>
      <c r="C128" s="4" t="s">
        <v>6551</v>
      </c>
      <c r="D128" s="4" t="s">
        <v>64</v>
      </c>
      <c r="E128" s="4" t="s">
        <v>271</v>
      </c>
      <c r="F128" s="8"/>
      <c r="G128" s="8"/>
      <c r="H128" s="8"/>
      <c r="I128" s="8"/>
      <c r="J128" s="8"/>
      <c r="K128" s="8">
        <v>2</v>
      </c>
      <c r="L128" s="18">
        <v>850000</v>
      </c>
      <c r="M128" s="7">
        <f t="shared" si="3"/>
        <v>1700000</v>
      </c>
      <c r="N128" s="4"/>
      <c r="O128" s="9"/>
    </row>
    <row r="129" spans="1:15" ht="20" customHeight="1" x14ac:dyDescent="0.2">
      <c r="A129" s="3">
        <v>125</v>
      </c>
      <c r="B129" s="19"/>
      <c r="C129" s="4" t="s">
        <v>6552</v>
      </c>
      <c r="D129" s="4" t="s">
        <v>64</v>
      </c>
      <c r="E129" s="4" t="s">
        <v>271</v>
      </c>
      <c r="F129" s="8"/>
      <c r="G129" s="8"/>
      <c r="H129" s="8">
        <v>5</v>
      </c>
      <c r="I129" s="8"/>
      <c r="J129" s="8"/>
      <c r="K129" s="8">
        <v>20</v>
      </c>
      <c r="L129" s="18">
        <v>1800</v>
      </c>
      <c r="M129" s="7">
        <f t="shared" si="3"/>
        <v>36000</v>
      </c>
      <c r="N129" s="4"/>
      <c r="O129" s="9"/>
    </row>
    <row r="130" spans="1:15" ht="20" customHeight="1" x14ac:dyDescent="0.2">
      <c r="A130" s="3">
        <v>126</v>
      </c>
      <c r="B130" s="19"/>
      <c r="C130" s="4" t="s">
        <v>6553</v>
      </c>
      <c r="D130" s="4" t="s">
        <v>64</v>
      </c>
      <c r="E130" s="4" t="s">
        <v>271</v>
      </c>
      <c r="F130" s="8"/>
      <c r="G130" s="8"/>
      <c r="H130" s="8">
        <v>10</v>
      </c>
      <c r="I130" s="8"/>
      <c r="J130" s="8"/>
      <c r="K130" s="8">
        <v>20</v>
      </c>
      <c r="L130" s="18">
        <v>1800</v>
      </c>
      <c r="M130" s="7">
        <f t="shared" si="3"/>
        <v>36000</v>
      </c>
      <c r="N130" s="4"/>
      <c r="O130" s="9"/>
    </row>
    <row r="131" spans="1:15" ht="20" customHeight="1" x14ac:dyDescent="0.2">
      <c r="A131" s="3">
        <v>127</v>
      </c>
      <c r="B131" s="19"/>
      <c r="C131" s="4" t="s">
        <v>6554</v>
      </c>
      <c r="D131" s="4" t="s">
        <v>64</v>
      </c>
      <c r="E131" s="4" t="s">
        <v>271</v>
      </c>
      <c r="F131" s="8"/>
      <c r="G131" s="8"/>
      <c r="H131" s="8">
        <v>2</v>
      </c>
      <c r="I131" s="8"/>
      <c r="J131" s="8"/>
      <c r="K131" s="8">
        <v>20</v>
      </c>
      <c r="L131" s="18">
        <v>9630</v>
      </c>
      <c r="M131" s="7">
        <f t="shared" si="3"/>
        <v>192600</v>
      </c>
      <c r="N131" s="4"/>
      <c r="O131" s="9"/>
    </row>
    <row r="132" spans="1:15" ht="20" customHeight="1" x14ac:dyDescent="0.2">
      <c r="A132" s="3">
        <v>128</v>
      </c>
      <c r="B132" s="19"/>
      <c r="C132" s="4" t="s">
        <v>6555</v>
      </c>
      <c r="D132" s="4" t="s">
        <v>64</v>
      </c>
      <c r="E132" s="4" t="s">
        <v>271</v>
      </c>
      <c r="F132" s="8"/>
      <c r="G132" s="8"/>
      <c r="H132" s="8">
        <v>1</v>
      </c>
      <c r="I132" s="8"/>
      <c r="J132" s="8"/>
      <c r="K132" s="8">
        <v>10</v>
      </c>
      <c r="L132" s="18">
        <v>85000</v>
      </c>
      <c r="M132" s="7">
        <f t="shared" si="3"/>
        <v>850000</v>
      </c>
      <c r="N132" s="4"/>
      <c r="O132" s="9"/>
    </row>
    <row r="133" spans="1:15" ht="20" customHeight="1" x14ac:dyDescent="0.2">
      <c r="A133" s="3">
        <v>129</v>
      </c>
      <c r="B133" s="19"/>
      <c r="C133" s="4" t="s">
        <v>6556</v>
      </c>
      <c r="D133" s="4" t="s">
        <v>64</v>
      </c>
      <c r="E133" s="4" t="s">
        <v>271</v>
      </c>
      <c r="F133" s="8"/>
      <c r="G133" s="8"/>
      <c r="H133" s="8">
        <v>4</v>
      </c>
      <c r="I133" s="8"/>
      <c r="J133" s="8"/>
      <c r="K133" s="8">
        <v>20</v>
      </c>
      <c r="L133" s="18">
        <v>9630</v>
      </c>
      <c r="M133" s="7">
        <f t="shared" ref="M133:M164" si="4">IF(OR(K133="",L133=""),"",K133*L133)</f>
        <v>192600</v>
      </c>
      <c r="N133" s="4"/>
      <c r="O133" s="9"/>
    </row>
    <row r="134" spans="1:15" ht="20" customHeight="1" x14ac:dyDescent="0.2">
      <c r="A134" s="3">
        <v>130</v>
      </c>
      <c r="B134" s="19"/>
      <c r="C134" s="4" t="s">
        <v>6557</v>
      </c>
      <c r="D134" s="4" t="s">
        <v>64</v>
      </c>
      <c r="E134" s="4" t="s">
        <v>267</v>
      </c>
      <c r="F134" s="8">
        <v>800</v>
      </c>
      <c r="G134" s="8">
        <v>750</v>
      </c>
      <c r="H134" s="8">
        <v>800</v>
      </c>
      <c r="I134" s="8"/>
      <c r="J134" s="8"/>
      <c r="K134" s="8">
        <v>1000</v>
      </c>
      <c r="L134" s="18">
        <v>580</v>
      </c>
      <c r="M134" s="7">
        <f t="shared" si="4"/>
        <v>580000</v>
      </c>
      <c r="N134" s="4"/>
      <c r="O134" s="9"/>
    </row>
    <row r="135" spans="1:15" ht="20" customHeight="1" x14ac:dyDescent="0.2">
      <c r="A135" s="3">
        <v>131</v>
      </c>
      <c r="B135" s="19"/>
      <c r="C135" s="4" t="s">
        <v>6558</v>
      </c>
      <c r="D135" s="4" t="s">
        <v>64</v>
      </c>
      <c r="E135" s="4" t="s">
        <v>267</v>
      </c>
      <c r="F135" s="8">
        <v>990</v>
      </c>
      <c r="G135" s="8">
        <v>800</v>
      </c>
      <c r="H135" s="8">
        <v>880</v>
      </c>
      <c r="I135" s="8"/>
      <c r="J135" s="8"/>
      <c r="K135" s="8">
        <v>1200</v>
      </c>
      <c r="L135" s="18">
        <v>1160</v>
      </c>
      <c r="M135" s="7">
        <f t="shared" si="4"/>
        <v>1392000</v>
      </c>
      <c r="N135" s="4"/>
      <c r="O135" s="9"/>
    </row>
    <row r="136" spans="1:15" ht="20" customHeight="1" x14ac:dyDescent="0.2">
      <c r="A136" s="3">
        <v>132</v>
      </c>
      <c r="B136" s="19"/>
      <c r="C136" s="4" t="s">
        <v>6559</v>
      </c>
      <c r="D136" s="4" t="s">
        <v>64</v>
      </c>
      <c r="E136" s="4" t="s">
        <v>271</v>
      </c>
      <c r="F136" s="8">
        <v>1100</v>
      </c>
      <c r="G136" s="8">
        <v>800</v>
      </c>
      <c r="H136" s="8">
        <v>900</v>
      </c>
      <c r="I136" s="8"/>
      <c r="J136" s="8"/>
      <c r="K136" s="8">
        <v>1200</v>
      </c>
      <c r="L136" s="18">
        <v>321</v>
      </c>
      <c r="M136" s="7">
        <f t="shared" si="4"/>
        <v>385200</v>
      </c>
      <c r="N136" s="4"/>
      <c r="O136" s="9"/>
    </row>
    <row r="137" spans="1:15" ht="20" customHeight="1" x14ac:dyDescent="0.2">
      <c r="A137" s="3">
        <v>133</v>
      </c>
      <c r="B137" s="19"/>
      <c r="C137" s="4" t="s">
        <v>6560</v>
      </c>
      <c r="D137" s="4" t="s">
        <v>64</v>
      </c>
      <c r="E137" s="4" t="s">
        <v>271</v>
      </c>
      <c r="F137" s="8">
        <v>30</v>
      </c>
      <c r="G137" s="8">
        <v>40</v>
      </c>
      <c r="H137" s="8">
        <v>50</v>
      </c>
      <c r="I137" s="8"/>
      <c r="J137" s="8"/>
      <c r="K137" s="8">
        <v>70</v>
      </c>
      <c r="L137" s="18">
        <v>428</v>
      </c>
      <c r="M137" s="7">
        <f t="shared" si="4"/>
        <v>29960</v>
      </c>
      <c r="N137" s="4"/>
      <c r="O137" s="9"/>
    </row>
    <row r="138" spans="1:15" ht="20" customHeight="1" x14ac:dyDescent="0.2">
      <c r="A138" s="3">
        <v>134</v>
      </c>
      <c r="B138" s="19"/>
      <c r="C138" s="4" t="s">
        <v>6561</v>
      </c>
      <c r="D138" s="4" t="s">
        <v>64</v>
      </c>
      <c r="E138" s="4" t="s">
        <v>271</v>
      </c>
      <c r="F138" s="8">
        <v>40</v>
      </c>
      <c r="G138" s="8">
        <v>30</v>
      </c>
      <c r="H138" s="8">
        <v>35</v>
      </c>
      <c r="I138" s="8"/>
      <c r="J138" s="8"/>
      <c r="K138" s="8">
        <v>50</v>
      </c>
      <c r="L138" s="18">
        <v>995</v>
      </c>
      <c r="M138" s="7">
        <f t="shared" si="4"/>
        <v>49750</v>
      </c>
      <c r="N138" s="4"/>
      <c r="O138" s="9"/>
    </row>
    <row r="139" spans="1:15" ht="20" customHeight="1" x14ac:dyDescent="0.2">
      <c r="A139" s="3">
        <v>135</v>
      </c>
      <c r="B139" s="19"/>
      <c r="C139" s="4" t="s">
        <v>6562</v>
      </c>
      <c r="D139" s="4" t="s">
        <v>64</v>
      </c>
      <c r="E139" s="4" t="s">
        <v>271</v>
      </c>
      <c r="F139" s="8">
        <v>20</v>
      </c>
      <c r="G139" s="8">
        <v>10</v>
      </c>
      <c r="H139" s="8">
        <v>15</v>
      </c>
      <c r="I139" s="8"/>
      <c r="J139" s="8"/>
      <c r="K139" s="8">
        <v>30</v>
      </c>
      <c r="L139" s="18">
        <v>995</v>
      </c>
      <c r="M139" s="7">
        <f t="shared" si="4"/>
        <v>29850</v>
      </c>
      <c r="N139" s="4"/>
      <c r="O139" s="9"/>
    </row>
    <row r="140" spans="1:15" ht="20" customHeight="1" x14ac:dyDescent="0.2">
      <c r="A140" s="3">
        <v>136</v>
      </c>
      <c r="B140" s="19"/>
      <c r="C140" s="4" t="s">
        <v>6563</v>
      </c>
      <c r="D140" s="4" t="s">
        <v>64</v>
      </c>
      <c r="E140" s="4" t="s">
        <v>271</v>
      </c>
      <c r="F140" s="8">
        <v>20</v>
      </c>
      <c r="G140" s="8"/>
      <c r="H140" s="8">
        <v>20</v>
      </c>
      <c r="I140" s="8"/>
      <c r="J140" s="8"/>
      <c r="K140" s="8">
        <v>40</v>
      </c>
      <c r="L140" s="18">
        <v>321</v>
      </c>
      <c r="M140" s="7">
        <f t="shared" si="4"/>
        <v>12840</v>
      </c>
      <c r="N140" s="4"/>
      <c r="O140" s="9"/>
    </row>
    <row r="141" spans="1:15" ht="20" customHeight="1" x14ac:dyDescent="0.2">
      <c r="A141" s="3">
        <v>137</v>
      </c>
      <c r="B141" s="19"/>
      <c r="C141" s="4" t="s">
        <v>6564</v>
      </c>
      <c r="D141" s="4" t="s">
        <v>64</v>
      </c>
      <c r="E141" s="4" t="s">
        <v>271</v>
      </c>
      <c r="F141" s="8">
        <v>500</v>
      </c>
      <c r="G141" s="8">
        <v>500</v>
      </c>
      <c r="H141" s="8">
        <v>400</v>
      </c>
      <c r="I141" s="8"/>
      <c r="J141" s="8"/>
      <c r="K141" s="8">
        <v>800</v>
      </c>
      <c r="L141" s="18">
        <v>500</v>
      </c>
      <c r="M141" s="7">
        <f t="shared" si="4"/>
        <v>400000</v>
      </c>
      <c r="N141" s="4"/>
      <c r="O141" s="9"/>
    </row>
    <row r="142" spans="1:15" ht="20" customHeight="1" x14ac:dyDescent="0.2">
      <c r="A142" s="3">
        <v>138</v>
      </c>
      <c r="B142" s="19"/>
      <c r="C142" s="4" t="s">
        <v>6565</v>
      </c>
      <c r="D142" s="4" t="s">
        <v>64</v>
      </c>
      <c r="E142" s="4" t="s">
        <v>271</v>
      </c>
      <c r="F142" s="8">
        <v>1000</v>
      </c>
      <c r="G142" s="8">
        <v>600</v>
      </c>
      <c r="H142" s="8">
        <v>600</v>
      </c>
      <c r="I142" s="8"/>
      <c r="J142" s="8"/>
      <c r="K142" s="8">
        <v>1500</v>
      </c>
      <c r="L142" s="18">
        <v>220</v>
      </c>
      <c r="M142" s="7">
        <f t="shared" si="4"/>
        <v>330000</v>
      </c>
      <c r="N142" s="4"/>
      <c r="O142" s="9"/>
    </row>
    <row r="143" spans="1:15" ht="20" customHeight="1" x14ac:dyDescent="0.2">
      <c r="A143" s="3">
        <v>139</v>
      </c>
      <c r="B143" s="19"/>
      <c r="C143" s="4" t="s">
        <v>6566</v>
      </c>
      <c r="D143" s="4" t="s">
        <v>64</v>
      </c>
      <c r="E143" s="4" t="s">
        <v>271</v>
      </c>
      <c r="F143" s="8">
        <v>1000</v>
      </c>
      <c r="G143" s="8">
        <v>600</v>
      </c>
      <c r="H143" s="8">
        <v>500</v>
      </c>
      <c r="I143" s="8"/>
      <c r="J143" s="8"/>
      <c r="K143" s="8">
        <v>1000</v>
      </c>
      <c r="L143" s="18">
        <v>220</v>
      </c>
      <c r="M143" s="7">
        <f t="shared" si="4"/>
        <v>220000</v>
      </c>
      <c r="N143" s="4"/>
      <c r="O143" s="9"/>
    </row>
    <row r="144" spans="1:15" ht="20" customHeight="1" x14ac:dyDescent="0.2">
      <c r="A144" s="3">
        <v>140</v>
      </c>
      <c r="B144" s="19"/>
      <c r="C144" s="4" t="s">
        <v>6567</v>
      </c>
      <c r="D144" s="4" t="s">
        <v>64</v>
      </c>
      <c r="E144" s="4" t="s">
        <v>271</v>
      </c>
      <c r="F144" s="8">
        <v>1000</v>
      </c>
      <c r="G144" s="8">
        <v>500</v>
      </c>
      <c r="H144" s="8">
        <v>500</v>
      </c>
      <c r="I144" s="8"/>
      <c r="J144" s="8"/>
      <c r="K144" s="8">
        <v>700</v>
      </c>
      <c r="L144" s="18">
        <v>550</v>
      </c>
      <c r="M144" s="7">
        <f t="shared" si="4"/>
        <v>385000</v>
      </c>
      <c r="N144" s="4"/>
      <c r="O144" s="9"/>
    </row>
    <row r="145" spans="1:15" ht="20" customHeight="1" x14ac:dyDescent="0.2">
      <c r="A145" s="3">
        <v>141</v>
      </c>
      <c r="B145" s="19"/>
      <c r="C145" s="4" t="s">
        <v>6568</v>
      </c>
      <c r="D145" s="4" t="s">
        <v>64</v>
      </c>
      <c r="E145" s="4" t="s">
        <v>271</v>
      </c>
      <c r="F145" s="8">
        <v>800</v>
      </c>
      <c r="G145" s="8">
        <v>500</v>
      </c>
      <c r="H145" s="8">
        <v>300</v>
      </c>
      <c r="I145" s="8"/>
      <c r="J145" s="8"/>
      <c r="K145" s="8">
        <v>300</v>
      </c>
      <c r="L145" s="18">
        <v>110</v>
      </c>
      <c r="M145" s="7">
        <f t="shared" si="4"/>
        <v>33000</v>
      </c>
      <c r="N145" s="4"/>
      <c r="O145" s="9"/>
    </row>
    <row r="146" spans="1:15" ht="20" customHeight="1" x14ac:dyDescent="0.2">
      <c r="A146" s="3">
        <v>142</v>
      </c>
      <c r="B146" s="19"/>
      <c r="C146" s="4" t="s">
        <v>6569</v>
      </c>
      <c r="D146" s="4" t="s">
        <v>64</v>
      </c>
      <c r="E146" s="4" t="s">
        <v>271</v>
      </c>
      <c r="F146" s="8">
        <v>455</v>
      </c>
      <c r="G146" s="8">
        <v>400</v>
      </c>
      <c r="H146" s="8">
        <v>320</v>
      </c>
      <c r="I146" s="8"/>
      <c r="J146" s="8"/>
      <c r="K146" s="8">
        <v>0</v>
      </c>
      <c r="L146" s="18">
        <v>580</v>
      </c>
      <c r="M146" s="7">
        <f t="shared" si="4"/>
        <v>0</v>
      </c>
      <c r="N146" s="4"/>
      <c r="O146" s="9"/>
    </row>
    <row r="147" spans="1:15" ht="20" customHeight="1" x14ac:dyDescent="0.2">
      <c r="A147" s="3">
        <v>143</v>
      </c>
      <c r="B147" s="19"/>
      <c r="C147" s="4" t="s">
        <v>6570</v>
      </c>
      <c r="D147" s="4" t="s">
        <v>64</v>
      </c>
      <c r="E147" s="4" t="s">
        <v>271</v>
      </c>
      <c r="F147" s="8">
        <v>500</v>
      </c>
      <c r="G147" s="8">
        <v>500</v>
      </c>
      <c r="H147" s="8">
        <v>590</v>
      </c>
      <c r="I147" s="8"/>
      <c r="J147" s="8"/>
      <c r="K147" s="8">
        <v>1000</v>
      </c>
      <c r="L147" s="18">
        <v>2140</v>
      </c>
      <c r="M147" s="7">
        <f t="shared" si="4"/>
        <v>2140000</v>
      </c>
      <c r="N147" s="4"/>
      <c r="O147" s="9"/>
    </row>
    <row r="148" spans="1:15" ht="20" customHeight="1" x14ac:dyDescent="0.2">
      <c r="A148" s="3">
        <v>144</v>
      </c>
      <c r="B148" s="19"/>
      <c r="C148" s="4" t="s">
        <v>6571</v>
      </c>
      <c r="D148" s="4" t="s">
        <v>64</v>
      </c>
      <c r="E148" s="4" t="s">
        <v>271</v>
      </c>
      <c r="F148" s="8">
        <v>95</v>
      </c>
      <c r="G148" s="8">
        <v>70</v>
      </c>
      <c r="H148" s="8">
        <v>80</v>
      </c>
      <c r="I148" s="8"/>
      <c r="J148" s="8"/>
      <c r="K148" s="8">
        <v>120</v>
      </c>
      <c r="L148" s="18">
        <v>1712</v>
      </c>
      <c r="M148" s="7">
        <f t="shared" si="4"/>
        <v>205440</v>
      </c>
      <c r="N148" s="4"/>
      <c r="O148" s="9"/>
    </row>
    <row r="149" spans="1:15" ht="20" customHeight="1" x14ac:dyDescent="0.2">
      <c r="A149" s="3">
        <v>145</v>
      </c>
      <c r="B149" s="19"/>
      <c r="C149" s="4" t="s">
        <v>6572</v>
      </c>
      <c r="D149" s="4" t="s">
        <v>64</v>
      </c>
      <c r="E149" s="4" t="s">
        <v>271</v>
      </c>
      <c r="F149" s="8">
        <v>20</v>
      </c>
      <c r="G149" s="8">
        <v>20</v>
      </c>
      <c r="H149" s="8">
        <v>30</v>
      </c>
      <c r="I149" s="8"/>
      <c r="J149" s="8"/>
      <c r="K149" s="8">
        <v>40</v>
      </c>
      <c r="L149" s="18">
        <v>2568</v>
      </c>
      <c r="M149" s="7">
        <f t="shared" si="4"/>
        <v>102720</v>
      </c>
      <c r="N149" s="4"/>
      <c r="O149" s="9"/>
    </row>
    <row r="150" spans="1:15" ht="20" customHeight="1" x14ac:dyDescent="0.2">
      <c r="A150" s="3">
        <v>146</v>
      </c>
      <c r="B150" s="19"/>
      <c r="C150" s="4" t="s">
        <v>6573</v>
      </c>
      <c r="D150" s="4" t="s">
        <v>64</v>
      </c>
      <c r="E150" s="4" t="s">
        <v>271</v>
      </c>
      <c r="F150" s="8">
        <v>30</v>
      </c>
      <c r="G150" s="8">
        <v>10</v>
      </c>
      <c r="H150" s="8">
        <v>10</v>
      </c>
      <c r="I150" s="8"/>
      <c r="J150" s="8"/>
      <c r="K150" s="8">
        <v>10</v>
      </c>
      <c r="L150" s="18">
        <v>3284</v>
      </c>
      <c r="M150" s="7">
        <f t="shared" si="4"/>
        <v>32840</v>
      </c>
      <c r="N150" s="4"/>
      <c r="O150" s="9"/>
    </row>
    <row r="151" spans="1:15" ht="20" customHeight="1" x14ac:dyDescent="0.2">
      <c r="A151" s="3">
        <v>147</v>
      </c>
      <c r="B151" s="19"/>
      <c r="C151" s="4" t="s">
        <v>6574</v>
      </c>
      <c r="D151" s="4" t="s">
        <v>64</v>
      </c>
      <c r="E151" s="4" t="s">
        <v>271</v>
      </c>
      <c r="F151" s="8">
        <v>10</v>
      </c>
      <c r="G151" s="8">
        <v>10</v>
      </c>
      <c r="H151" s="8">
        <v>10</v>
      </c>
      <c r="I151" s="8"/>
      <c r="J151" s="8"/>
      <c r="K151" s="8">
        <v>10</v>
      </c>
      <c r="L151" s="18">
        <v>4153</v>
      </c>
      <c r="M151" s="7">
        <f t="shared" si="4"/>
        <v>41530</v>
      </c>
      <c r="N151" s="4"/>
      <c r="O151" s="9"/>
    </row>
    <row r="152" spans="1:15" ht="20" customHeight="1" x14ac:dyDescent="0.2">
      <c r="A152" s="3">
        <v>148</v>
      </c>
      <c r="B152" s="19"/>
      <c r="C152" s="4" t="s">
        <v>6575</v>
      </c>
      <c r="D152" s="4" t="s">
        <v>64</v>
      </c>
      <c r="E152" s="4" t="s">
        <v>271</v>
      </c>
      <c r="F152" s="8">
        <v>150</v>
      </c>
      <c r="G152" s="8">
        <v>100</v>
      </c>
      <c r="H152" s="8">
        <v>110</v>
      </c>
      <c r="I152" s="8"/>
      <c r="J152" s="8"/>
      <c r="K152" s="8">
        <v>100</v>
      </c>
      <c r="L152" s="18">
        <v>800</v>
      </c>
      <c r="M152" s="7">
        <f t="shared" si="4"/>
        <v>80000</v>
      </c>
      <c r="N152" s="4"/>
      <c r="O152" s="9"/>
    </row>
    <row r="153" spans="1:15" ht="20" customHeight="1" x14ac:dyDescent="0.2">
      <c r="A153" s="3">
        <v>149</v>
      </c>
      <c r="B153" s="19"/>
      <c r="C153" s="4" t="s">
        <v>6576</v>
      </c>
      <c r="D153" s="4" t="s">
        <v>64</v>
      </c>
      <c r="E153" s="4" t="s">
        <v>271</v>
      </c>
      <c r="F153" s="8">
        <v>700</v>
      </c>
      <c r="G153" s="8">
        <v>800</v>
      </c>
      <c r="H153" s="8">
        <v>800</v>
      </c>
      <c r="I153" s="8"/>
      <c r="J153" s="8"/>
      <c r="K153" s="8">
        <v>1200</v>
      </c>
      <c r="L153" s="18">
        <v>2300</v>
      </c>
      <c r="M153" s="7">
        <f t="shared" si="4"/>
        <v>2760000</v>
      </c>
      <c r="N153" s="4"/>
      <c r="O153" s="9"/>
    </row>
    <row r="154" spans="1:15" ht="20" customHeight="1" x14ac:dyDescent="0.2">
      <c r="A154" s="3">
        <v>150</v>
      </c>
      <c r="B154" s="19"/>
      <c r="C154" s="4" t="s">
        <v>6577</v>
      </c>
      <c r="D154" s="4" t="s">
        <v>64</v>
      </c>
      <c r="E154" s="4" t="s">
        <v>271</v>
      </c>
      <c r="F154" s="8">
        <v>120</v>
      </c>
      <c r="G154" s="8">
        <v>120</v>
      </c>
      <c r="H154" s="8">
        <v>120</v>
      </c>
      <c r="I154" s="8"/>
      <c r="J154" s="8"/>
      <c r="K154" s="8">
        <v>150</v>
      </c>
      <c r="L154" s="18">
        <v>2450</v>
      </c>
      <c r="M154" s="7">
        <f t="shared" si="4"/>
        <v>367500</v>
      </c>
      <c r="N154" s="4"/>
      <c r="O154" s="9"/>
    </row>
    <row r="155" spans="1:15" ht="20" customHeight="1" x14ac:dyDescent="0.2">
      <c r="A155" s="3">
        <v>151</v>
      </c>
      <c r="B155" s="19"/>
      <c r="C155" s="4" t="s">
        <v>6578</v>
      </c>
      <c r="D155" s="4" t="s">
        <v>64</v>
      </c>
      <c r="E155" s="4" t="s">
        <v>271</v>
      </c>
      <c r="F155" s="8">
        <v>900</v>
      </c>
      <c r="G155" s="8">
        <v>1040</v>
      </c>
      <c r="H155" s="8">
        <v>1040</v>
      </c>
      <c r="I155" s="8"/>
      <c r="J155" s="8"/>
      <c r="K155" s="8">
        <v>2000</v>
      </c>
      <c r="L155" s="18">
        <v>1350</v>
      </c>
      <c r="M155" s="7">
        <f t="shared" si="4"/>
        <v>2700000</v>
      </c>
      <c r="N155" s="4"/>
      <c r="O155" s="9"/>
    </row>
    <row r="156" spans="1:15" ht="20" customHeight="1" x14ac:dyDescent="0.2">
      <c r="A156" s="3">
        <v>152</v>
      </c>
      <c r="B156" s="19"/>
      <c r="C156" s="4" t="s">
        <v>6579</v>
      </c>
      <c r="D156" s="4" t="s">
        <v>64</v>
      </c>
      <c r="E156" s="4" t="s">
        <v>271</v>
      </c>
      <c r="F156" s="8">
        <v>1000</v>
      </c>
      <c r="G156" s="8">
        <v>1000</v>
      </c>
      <c r="H156" s="8">
        <v>1425</v>
      </c>
      <c r="I156" s="8"/>
      <c r="J156" s="8"/>
      <c r="K156" s="8">
        <v>2000</v>
      </c>
      <c r="L156" s="18">
        <v>560</v>
      </c>
      <c r="M156" s="7">
        <f t="shared" si="4"/>
        <v>1120000</v>
      </c>
      <c r="N156" s="4"/>
      <c r="O156" s="9"/>
    </row>
    <row r="157" spans="1:15" ht="20" customHeight="1" x14ac:dyDescent="0.2">
      <c r="A157" s="3">
        <v>153</v>
      </c>
      <c r="B157" s="19"/>
      <c r="C157" s="4" t="s">
        <v>6580</v>
      </c>
      <c r="D157" s="4" t="s">
        <v>64</v>
      </c>
      <c r="E157" s="4" t="s">
        <v>271</v>
      </c>
      <c r="F157" s="8">
        <v>800</v>
      </c>
      <c r="G157" s="8">
        <v>400</v>
      </c>
      <c r="H157" s="8">
        <v>315</v>
      </c>
      <c r="I157" s="8"/>
      <c r="J157" s="8"/>
      <c r="K157" s="8">
        <v>500</v>
      </c>
      <c r="L157" s="18">
        <v>430</v>
      </c>
      <c r="M157" s="7">
        <f t="shared" si="4"/>
        <v>215000</v>
      </c>
      <c r="N157" s="4"/>
      <c r="O157" s="9"/>
    </row>
    <row r="158" spans="1:15" ht="22" customHeight="1" x14ac:dyDescent="0.35">
      <c r="A158" s="10" t="s">
        <v>86</v>
      </c>
      <c r="B158" s="20"/>
      <c r="C158" s="11"/>
      <c r="D158" s="11"/>
      <c r="E158" s="11"/>
      <c r="F158" s="11"/>
      <c r="G158" s="11"/>
      <c r="H158" s="11"/>
      <c r="I158" s="11"/>
      <c r="J158" s="11"/>
      <c r="K158" s="13">
        <f>SUM(K5:K157)</f>
        <v>21922</v>
      </c>
      <c r="L158" s="11"/>
      <c r="M158" s="13">
        <f>SUM(M5:M157)</f>
        <v>109410695</v>
      </c>
      <c r="N158" s="11"/>
      <c r="O158" s="11"/>
    </row>
    <row r="159" spans="1:15" ht="32" customHeight="1" x14ac:dyDescent="0.2">
      <c r="A159" s="23" t="s">
        <v>6581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</row>
  </sheetData>
  <autoFilter ref="A4:O157" xr:uid="{00000000-0009-0000-0000-000014000000}"/>
  <mergeCells count="5">
    <mergeCell ref="E2:G2"/>
    <mergeCell ref="I2:J2"/>
    <mergeCell ref="A1:O1"/>
    <mergeCell ref="F3:O3"/>
    <mergeCell ref="A159:O159"/>
  </mergeCells>
  <conditionalFormatting sqref="E3">
    <cfRule type="cellIs" dxfId="17" priority="1" operator="greaterThan">
      <formula>0.009</formula>
    </cfRule>
    <cfRule type="cellIs" dxfId="16" priority="2" operator="lessThan">
      <formula>-0.009</formula>
    </cfRule>
  </conditionalFormatting>
  <dataValidations count="1">
    <dataValidation type="list" allowBlank="1" sqref="O5:O157" xr:uid="{00000000-0002-0000-14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ตรวจสวนหัวใจ · DBR/2570/0023</oddHeader>
    <oddFooter>&amp;Lส่งออกจากฐาน VPK-S1 วันที่ 12 ต.ค. 2569&amp;Rหน้า &amp;P / &amp;N</oddFooter>
  </headerFooter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B6848"/>
    <pageSetUpPr fitToPage="1"/>
  </sheetPr>
  <dimension ref="A1:O114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6582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66</v>
      </c>
      <c r="D2" s="14" t="s">
        <v>7</v>
      </c>
      <c r="E2" s="24" t="s">
        <v>68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2037294</v>
      </c>
      <c r="D3" s="15" t="s">
        <v>94</v>
      </c>
      <c r="E3" s="17">
        <f>M113-C3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6583</v>
      </c>
      <c r="D5" s="4" t="s">
        <v>67</v>
      </c>
      <c r="E5" s="4"/>
      <c r="F5" s="8"/>
      <c r="G5" s="8">
        <v>3</v>
      </c>
      <c r="H5" s="8"/>
      <c r="I5" s="8">
        <v>1</v>
      </c>
      <c r="J5" s="8"/>
      <c r="K5" s="8">
        <v>1</v>
      </c>
      <c r="L5" s="18">
        <v>11449</v>
      </c>
      <c r="M5" s="7">
        <f t="shared" ref="M5:M36" si="0">IF(OR(K5="",L5=""),"",K5*L5)</f>
        <v>11449</v>
      </c>
      <c r="N5" s="4"/>
      <c r="O5" s="9"/>
    </row>
    <row r="6" spans="1:15" ht="20" customHeight="1" x14ac:dyDescent="0.2">
      <c r="A6" s="3">
        <v>2</v>
      </c>
      <c r="B6" s="19"/>
      <c r="C6" s="4" t="s">
        <v>6584</v>
      </c>
      <c r="D6" s="4" t="s">
        <v>67</v>
      </c>
      <c r="E6" s="4"/>
      <c r="F6" s="8"/>
      <c r="G6" s="8">
        <v>9</v>
      </c>
      <c r="H6" s="8">
        <v>4</v>
      </c>
      <c r="I6" s="8">
        <v>4</v>
      </c>
      <c r="J6" s="8"/>
      <c r="K6" s="8">
        <v>2</v>
      </c>
      <c r="L6" s="18">
        <v>11449</v>
      </c>
      <c r="M6" s="7">
        <f t="shared" si="0"/>
        <v>22898</v>
      </c>
      <c r="N6" s="4"/>
      <c r="O6" s="9"/>
    </row>
    <row r="7" spans="1:15" ht="20" customHeight="1" x14ac:dyDescent="0.2">
      <c r="A7" s="3">
        <v>3</v>
      </c>
      <c r="B7" s="19"/>
      <c r="C7" s="4" t="s">
        <v>6585</v>
      </c>
      <c r="D7" s="4" t="s">
        <v>67</v>
      </c>
      <c r="E7" s="4" t="s">
        <v>271</v>
      </c>
      <c r="F7" s="8"/>
      <c r="G7" s="8">
        <v>2</v>
      </c>
      <c r="H7" s="8">
        <v>10</v>
      </c>
      <c r="I7" s="8">
        <v>2</v>
      </c>
      <c r="J7" s="8"/>
      <c r="K7" s="8">
        <v>18</v>
      </c>
      <c r="L7" s="18">
        <v>3200</v>
      </c>
      <c r="M7" s="7">
        <f t="shared" si="0"/>
        <v>57600</v>
      </c>
      <c r="N7" s="4"/>
      <c r="O7" s="9"/>
    </row>
    <row r="8" spans="1:15" ht="20" customHeight="1" x14ac:dyDescent="0.2">
      <c r="A8" s="3">
        <v>4</v>
      </c>
      <c r="B8" s="19"/>
      <c r="C8" s="4" t="s">
        <v>6586</v>
      </c>
      <c r="D8" s="4" t="s">
        <v>67</v>
      </c>
      <c r="E8" s="4" t="s">
        <v>196</v>
      </c>
      <c r="F8" s="8"/>
      <c r="G8" s="8"/>
      <c r="H8" s="8"/>
      <c r="I8" s="8">
        <v>2</v>
      </c>
      <c r="J8" s="8"/>
      <c r="K8" s="8">
        <v>0</v>
      </c>
      <c r="L8" s="18">
        <v>2899.7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6587</v>
      </c>
      <c r="D9" s="4" t="s">
        <v>67</v>
      </c>
      <c r="E9" s="4" t="s">
        <v>196</v>
      </c>
      <c r="F9" s="8"/>
      <c r="G9" s="8">
        <v>5</v>
      </c>
      <c r="H9" s="8"/>
      <c r="I9" s="8">
        <v>5</v>
      </c>
      <c r="J9" s="8"/>
      <c r="K9" s="8">
        <v>0</v>
      </c>
      <c r="L9" s="18">
        <v>2899.7</v>
      </c>
      <c r="M9" s="7">
        <f t="shared" si="0"/>
        <v>0</v>
      </c>
      <c r="N9" s="4"/>
      <c r="O9" s="9"/>
    </row>
    <row r="10" spans="1:15" ht="20" customHeight="1" x14ac:dyDescent="0.2">
      <c r="A10" s="3">
        <v>6</v>
      </c>
      <c r="B10" s="19"/>
      <c r="C10" s="4" t="s">
        <v>6588</v>
      </c>
      <c r="D10" s="4" t="s">
        <v>67</v>
      </c>
      <c r="E10" s="4" t="s">
        <v>196</v>
      </c>
      <c r="F10" s="8"/>
      <c r="G10" s="8">
        <v>45</v>
      </c>
      <c r="H10" s="8">
        <v>6</v>
      </c>
      <c r="I10" s="8">
        <v>15</v>
      </c>
      <c r="J10" s="8"/>
      <c r="K10" s="8">
        <v>5</v>
      </c>
      <c r="L10" s="18">
        <v>2899.7</v>
      </c>
      <c r="M10" s="7">
        <f t="shared" si="0"/>
        <v>14498.5</v>
      </c>
      <c r="N10" s="4"/>
      <c r="O10" s="9"/>
    </row>
    <row r="11" spans="1:15" ht="20" customHeight="1" x14ac:dyDescent="0.2">
      <c r="A11" s="3">
        <v>7</v>
      </c>
      <c r="B11" s="19"/>
      <c r="C11" s="4" t="s">
        <v>6589</v>
      </c>
      <c r="D11" s="4" t="s">
        <v>67</v>
      </c>
      <c r="E11" s="4" t="s">
        <v>196</v>
      </c>
      <c r="F11" s="8"/>
      <c r="G11" s="8">
        <v>51</v>
      </c>
      <c r="H11" s="8">
        <v>40</v>
      </c>
      <c r="I11" s="8"/>
      <c r="J11" s="8"/>
      <c r="K11" s="8">
        <v>50</v>
      </c>
      <c r="L11" s="18">
        <v>2899.7</v>
      </c>
      <c r="M11" s="7">
        <f t="shared" si="0"/>
        <v>144985</v>
      </c>
      <c r="N11" s="4"/>
      <c r="O11" s="9"/>
    </row>
    <row r="12" spans="1:15" ht="20" customHeight="1" x14ac:dyDescent="0.2">
      <c r="A12" s="3">
        <v>8</v>
      </c>
      <c r="B12" s="19"/>
      <c r="C12" s="4" t="s">
        <v>6590</v>
      </c>
      <c r="D12" s="4" t="s">
        <v>67</v>
      </c>
      <c r="E12" s="4" t="s">
        <v>196</v>
      </c>
      <c r="F12" s="8"/>
      <c r="G12" s="8">
        <v>21</v>
      </c>
      <c r="H12" s="8">
        <v>14</v>
      </c>
      <c r="I12" s="8"/>
      <c r="J12" s="8"/>
      <c r="K12" s="8">
        <v>15</v>
      </c>
      <c r="L12" s="18">
        <v>2899.7</v>
      </c>
      <c r="M12" s="7">
        <f t="shared" si="0"/>
        <v>43495.5</v>
      </c>
      <c r="N12" s="4"/>
      <c r="O12" s="9"/>
    </row>
    <row r="13" spans="1:15" ht="20" customHeight="1" x14ac:dyDescent="0.2">
      <c r="A13" s="3">
        <v>9</v>
      </c>
      <c r="B13" s="19"/>
      <c r="C13" s="4" t="s">
        <v>6591</v>
      </c>
      <c r="D13" s="4" t="s">
        <v>67</v>
      </c>
      <c r="E13" s="4" t="s">
        <v>271</v>
      </c>
      <c r="F13" s="8"/>
      <c r="G13" s="8">
        <v>2</v>
      </c>
      <c r="H13" s="8">
        <v>2</v>
      </c>
      <c r="I13" s="8">
        <v>1</v>
      </c>
      <c r="J13" s="8"/>
      <c r="K13" s="8">
        <v>4</v>
      </c>
      <c r="L13" s="18">
        <v>1500</v>
      </c>
      <c r="M13" s="7">
        <f t="shared" si="0"/>
        <v>6000</v>
      </c>
      <c r="N13" s="4"/>
      <c r="O13" s="9"/>
    </row>
    <row r="14" spans="1:15" ht="20" customHeight="1" x14ac:dyDescent="0.2">
      <c r="A14" s="3">
        <v>10</v>
      </c>
      <c r="B14" s="19"/>
      <c r="C14" s="4" t="s">
        <v>6592</v>
      </c>
      <c r="D14" s="4" t="s">
        <v>67</v>
      </c>
      <c r="E14" s="4" t="s">
        <v>271</v>
      </c>
      <c r="F14" s="8"/>
      <c r="G14" s="8">
        <v>2</v>
      </c>
      <c r="H14" s="8">
        <v>2</v>
      </c>
      <c r="I14" s="8"/>
      <c r="J14" s="8"/>
      <c r="K14" s="8">
        <v>5</v>
      </c>
      <c r="L14" s="18">
        <v>1500</v>
      </c>
      <c r="M14" s="7">
        <f t="shared" si="0"/>
        <v>7500</v>
      </c>
      <c r="N14" s="4"/>
      <c r="O14" s="9"/>
    </row>
    <row r="15" spans="1:15" ht="20" customHeight="1" x14ac:dyDescent="0.2">
      <c r="A15" s="3">
        <v>11</v>
      </c>
      <c r="B15" s="19"/>
      <c r="C15" s="4" t="s">
        <v>6593</v>
      </c>
      <c r="D15" s="4" t="s">
        <v>67</v>
      </c>
      <c r="E15" s="4" t="s">
        <v>271</v>
      </c>
      <c r="F15" s="8"/>
      <c r="G15" s="8">
        <v>2</v>
      </c>
      <c r="H15" s="8">
        <v>2</v>
      </c>
      <c r="I15" s="8">
        <v>1</v>
      </c>
      <c r="J15" s="8"/>
      <c r="K15" s="8">
        <v>4</v>
      </c>
      <c r="L15" s="18">
        <v>1500</v>
      </c>
      <c r="M15" s="7">
        <f t="shared" si="0"/>
        <v>6000</v>
      </c>
      <c r="N15" s="4"/>
      <c r="O15" s="9"/>
    </row>
    <row r="16" spans="1:15" ht="20" customHeight="1" x14ac:dyDescent="0.2">
      <c r="A16" s="3">
        <v>12</v>
      </c>
      <c r="B16" s="19"/>
      <c r="C16" s="4" t="s">
        <v>6594</v>
      </c>
      <c r="D16" s="4" t="s">
        <v>67</v>
      </c>
      <c r="E16" s="4" t="s">
        <v>271</v>
      </c>
      <c r="F16" s="8"/>
      <c r="G16" s="8">
        <v>2</v>
      </c>
      <c r="H16" s="8">
        <v>2</v>
      </c>
      <c r="I16" s="8"/>
      <c r="J16" s="8"/>
      <c r="K16" s="8">
        <v>5</v>
      </c>
      <c r="L16" s="18">
        <v>1500</v>
      </c>
      <c r="M16" s="7">
        <f t="shared" si="0"/>
        <v>7500</v>
      </c>
      <c r="N16" s="4"/>
      <c r="O16" s="9"/>
    </row>
    <row r="17" spans="1:15" ht="20" customHeight="1" x14ac:dyDescent="0.2">
      <c r="A17" s="3">
        <v>13</v>
      </c>
      <c r="B17" s="19"/>
      <c r="C17" s="4" t="s">
        <v>6595</v>
      </c>
      <c r="D17" s="4" t="s">
        <v>67</v>
      </c>
      <c r="E17" s="4" t="s">
        <v>271</v>
      </c>
      <c r="F17" s="8"/>
      <c r="G17" s="8">
        <v>10</v>
      </c>
      <c r="H17" s="8">
        <v>10</v>
      </c>
      <c r="I17" s="8"/>
      <c r="J17" s="8"/>
      <c r="K17" s="8">
        <v>10</v>
      </c>
      <c r="L17" s="18">
        <v>1500</v>
      </c>
      <c r="M17" s="7">
        <f t="shared" si="0"/>
        <v>15000</v>
      </c>
      <c r="N17" s="4"/>
      <c r="O17" s="9"/>
    </row>
    <row r="18" spans="1:15" ht="20" customHeight="1" x14ac:dyDescent="0.2">
      <c r="A18" s="3">
        <v>14</v>
      </c>
      <c r="B18" s="19"/>
      <c r="C18" s="4" t="s">
        <v>6596</v>
      </c>
      <c r="D18" s="4" t="s">
        <v>67</v>
      </c>
      <c r="E18" s="4" t="s">
        <v>271</v>
      </c>
      <c r="F18" s="8"/>
      <c r="G18" s="8">
        <v>5</v>
      </c>
      <c r="H18" s="8">
        <v>10</v>
      </c>
      <c r="I18" s="8"/>
      <c r="J18" s="8"/>
      <c r="K18" s="8">
        <v>10</v>
      </c>
      <c r="L18" s="18">
        <v>1500</v>
      </c>
      <c r="M18" s="7">
        <f t="shared" si="0"/>
        <v>15000</v>
      </c>
      <c r="N18" s="4"/>
      <c r="O18" s="9"/>
    </row>
    <row r="19" spans="1:15" ht="20" customHeight="1" x14ac:dyDescent="0.2">
      <c r="A19" s="3">
        <v>15</v>
      </c>
      <c r="B19" s="19"/>
      <c r="C19" s="4" t="s">
        <v>6597</v>
      </c>
      <c r="D19" s="4" t="s">
        <v>67</v>
      </c>
      <c r="E19" s="4" t="s">
        <v>271</v>
      </c>
      <c r="F19" s="8"/>
      <c r="G19" s="8"/>
      <c r="H19" s="8"/>
      <c r="I19" s="8"/>
      <c r="J19" s="8"/>
      <c r="K19" s="8">
        <v>0</v>
      </c>
      <c r="L19" s="18">
        <v>1500</v>
      </c>
      <c r="M19" s="7">
        <f t="shared" si="0"/>
        <v>0</v>
      </c>
      <c r="N19" s="4"/>
      <c r="O19" s="9"/>
    </row>
    <row r="20" spans="1:15" ht="20" customHeight="1" x14ac:dyDescent="0.2">
      <c r="A20" s="3">
        <v>16</v>
      </c>
      <c r="B20" s="19"/>
      <c r="C20" s="4" t="s">
        <v>6598</v>
      </c>
      <c r="D20" s="4" t="s">
        <v>67</v>
      </c>
      <c r="E20" s="4" t="s">
        <v>271</v>
      </c>
      <c r="F20" s="8"/>
      <c r="G20" s="8">
        <v>5</v>
      </c>
      <c r="H20" s="8"/>
      <c r="I20" s="8"/>
      <c r="J20" s="8"/>
      <c r="K20" s="8">
        <v>0</v>
      </c>
      <c r="L20" s="18">
        <v>900</v>
      </c>
      <c r="M20" s="7">
        <f t="shared" si="0"/>
        <v>0</v>
      </c>
      <c r="N20" s="4"/>
      <c r="O20" s="9"/>
    </row>
    <row r="21" spans="1:15" ht="20" customHeight="1" x14ac:dyDescent="0.2">
      <c r="A21" s="3">
        <v>17</v>
      </c>
      <c r="B21" s="19"/>
      <c r="C21" s="4" t="s">
        <v>6599</v>
      </c>
      <c r="D21" s="4" t="s">
        <v>67</v>
      </c>
      <c r="E21" s="4" t="s">
        <v>271</v>
      </c>
      <c r="F21" s="8"/>
      <c r="G21" s="8">
        <v>5</v>
      </c>
      <c r="H21" s="8"/>
      <c r="I21" s="8"/>
      <c r="J21" s="8"/>
      <c r="K21" s="8">
        <v>0</v>
      </c>
      <c r="L21" s="18">
        <v>900</v>
      </c>
      <c r="M21" s="7">
        <f t="shared" si="0"/>
        <v>0</v>
      </c>
      <c r="N21" s="4"/>
      <c r="O21" s="9"/>
    </row>
    <row r="22" spans="1:15" ht="20" customHeight="1" x14ac:dyDescent="0.2">
      <c r="A22" s="3">
        <v>18</v>
      </c>
      <c r="B22" s="19"/>
      <c r="C22" s="4" t="s">
        <v>6600</v>
      </c>
      <c r="D22" s="4" t="s">
        <v>67</v>
      </c>
      <c r="E22" s="4" t="s">
        <v>271</v>
      </c>
      <c r="F22" s="8"/>
      <c r="G22" s="8">
        <v>5</v>
      </c>
      <c r="H22" s="8"/>
      <c r="I22" s="8"/>
      <c r="J22" s="8"/>
      <c r="K22" s="8">
        <v>0</v>
      </c>
      <c r="L22" s="18">
        <v>900</v>
      </c>
      <c r="M22" s="7">
        <f t="shared" si="0"/>
        <v>0</v>
      </c>
      <c r="N22" s="4"/>
      <c r="O22" s="9"/>
    </row>
    <row r="23" spans="1:15" ht="20" customHeight="1" x14ac:dyDescent="0.2">
      <c r="A23" s="3">
        <v>19</v>
      </c>
      <c r="B23" s="19"/>
      <c r="C23" s="4" t="s">
        <v>6601</v>
      </c>
      <c r="D23" s="4" t="s">
        <v>67</v>
      </c>
      <c r="E23" s="4" t="s">
        <v>271</v>
      </c>
      <c r="F23" s="8"/>
      <c r="G23" s="8">
        <v>5</v>
      </c>
      <c r="H23" s="8"/>
      <c r="I23" s="8"/>
      <c r="J23" s="8"/>
      <c r="K23" s="8">
        <v>0</v>
      </c>
      <c r="L23" s="18">
        <v>900</v>
      </c>
      <c r="M23" s="7">
        <f t="shared" si="0"/>
        <v>0</v>
      </c>
      <c r="N23" s="4"/>
      <c r="O23" s="9"/>
    </row>
    <row r="24" spans="1:15" ht="20" customHeight="1" x14ac:dyDescent="0.2">
      <c r="A24" s="3">
        <v>20</v>
      </c>
      <c r="B24" s="19"/>
      <c r="C24" s="4" t="s">
        <v>6602</v>
      </c>
      <c r="D24" s="4" t="s">
        <v>67</v>
      </c>
      <c r="E24" s="4" t="s">
        <v>271</v>
      </c>
      <c r="F24" s="8"/>
      <c r="G24" s="8"/>
      <c r="H24" s="8"/>
      <c r="I24" s="8"/>
      <c r="J24" s="8"/>
      <c r="K24" s="8">
        <v>0</v>
      </c>
      <c r="L24" s="18">
        <v>900</v>
      </c>
      <c r="M24" s="7">
        <f t="shared" si="0"/>
        <v>0</v>
      </c>
      <c r="N24" s="4"/>
      <c r="O24" s="9"/>
    </row>
    <row r="25" spans="1:15" ht="20" customHeight="1" x14ac:dyDescent="0.2">
      <c r="A25" s="3">
        <v>21</v>
      </c>
      <c r="B25" s="19"/>
      <c r="C25" s="4" t="s">
        <v>6603</v>
      </c>
      <c r="D25" s="4" t="s">
        <v>67</v>
      </c>
      <c r="E25" s="4" t="s">
        <v>271</v>
      </c>
      <c r="F25" s="8"/>
      <c r="G25" s="8"/>
      <c r="H25" s="8"/>
      <c r="I25" s="8"/>
      <c r="J25" s="8"/>
      <c r="K25" s="8">
        <v>0</v>
      </c>
      <c r="L25" s="18">
        <v>900</v>
      </c>
      <c r="M25" s="7">
        <f t="shared" si="0"/>
        <v>0</v>
      </c>
      <c r="N25" s="4"/>
      <c r="O25" s="9"/>
    </row>
    <row r="26" spans="1:15" ht="20" customHeight="1" x14ac:dyDescent="0.2">
      <c r="A26" s="3">
        <v>22</v>
      </c>
      <c r="B26" s="19"/>
      <c r="C26" s="4" t="s">
        <v>6604</v>
      </c>
      <c r="D26" s="4" t="s">
        <v>67</v>
      </c>
      <c r="E26" s="4" t="s">
        <v>152</v>
      </c>
      <c r="F26" s="8"/>
      <c r="G26" s="8">
        <v>450</v>
      </c>
      <c r="H26" s="8"/>
      <c r="I26" s="8">
        <v>100</v>
      </c>
      <c r="J26" s="8"/>
      <c r="K26" s="8">
        <v>50</v>
      </c>
      <c r="L26" s="18">
        <v>149</v>
      </c>
      <c r="M26" s="7">
        <f t="shared" si="0"/>
        <v>7450</v>
      </c>
      <c r="N26" s="4"/>
      <c r="O26" s="9"/>
    </row>
    <row r="27" spans="1:15" ht="20" customHeight="1" x14ac:dyDescent="0.2">
      <c r="A27" s="3">
        <v>23</v>
      </c>
      <c r="B27" s="19"/>
      <c r="C27" s="4" t="s">
        <v>6605</v>
      </c>
      <c r="D27" s="4" t="s">
        <v>67</v>
      </c>
      <c r="E27" s="4" t="s">
        <v>152</v>
      </c>
      <c r="F27" s="8"/>
      <c r="G27" s="8">
        <v>450</v>
      </c>
      <c r="H27" s="8"/>
      <c r="I27" s="8">
        <v>60</v>
      </c>
      <c r="J27" s="8"/>
      <c r="K27" s="8">
        <v>240</v>
      </c>
      <c r="L27" s="18">
        <v>149</v>
      </c>
      <c r="M27" s="7">
        <f t="shared" si="0"/>
        <v>35760</v>
      </c>
      <c r="N27" s="4"/>
      <c r="O27" s="9"/>
    </row>
    <row r="28" spans="1:15" ht="20" customHeight="1" x14ac:dyDescent="0.2">
      <c r="A28" s="3">
        <v>24</v>
      </c>
      <c r="B28" s="19"/>
      <c r="C28" s="4" t="s">
        <v>6606</v>
      </c>
      <c r="D28" s="4" t="s">
        <v>67</v>
      </c>
      <c r="E28" s="4" t="s">
        <v>152</v>
      </c>
      <c r="F28" s="8"/>
      <c r="G28" s="8">
        <v>250</v>
      </c>
      <c r="H28" s="8">
        <v>300</v>
      </c>
      <c r="I28" s="8">
        <v>200</v>
      </c>
      <c r="J28" s="8"/>
      <c r="K28" s="8">
        <v>0</v>
      </c>
      <c r="L28" s="18">
        <v>139.1</v>
      </c>
      <c r="M28" s="7">
        <f t="shared" si="0"/>
        <v>0</v>
      </c>
      <c r="N28" s="4"/>
      <c r="O28" s="9"/>
    </row>
    <row r="29" spans="1:15" ht="20" customHeight="1" x14ac:dyDescent="0.2">
      <c r="A29" s="3">
        <v>25</v>
      </c>
      <c r="B29" s="19"/>
      <c r="C29" s="4" t="s">
        <v>6607</v>
      </c>
      <c r="D29" s="4" t="s">
        <v>67</v>
      </c>
      <c r="E29" s="4" t="s">
        <v>152</v>
      </c>
      <c r="F29" s="8"/>
      <c r="G29" s="8">
        <v>250</v>
      </c>
      <c r="H29" s="8">
        <v>500</v>
      </c>
      <c r="I29" s="8">
        <v>200</v>
      </c>
      <c r="J29" s="8"/>
      <c r="K29" s="8">
        <v>100</v>
      </c>
      <c r="L29" s="18">
        <v>107</v>
      </c>
      <c r="M29" s="7">
        <f t="shared" si="0"/>
        <v>10700</v>
      </c>
      <c r="N29" s="4"/>
      <c r="O29" s="9"/>
    </row>
    <row r="30" spans="1:15" ht="20" customHeight="1" x14ac:dyDescent="0.2">
      <c r="A30" s="3">
        <v>26</v>
      </c>
      <c r="B30" s="19"/>
      <c r="C30" s="4" t="s">
        <v>6608</v>
      </c>
      <c r="D30" s="4" t="s">
        <v>67</v>
      </c>
      <c r="E30" s="4"/>
      <c r="F30" s="8"/>
      <c r="G30" s="8"/>
      <c r="H30" s="8">
        <v>110</v>
      </c>
      <c r="I30" s="8">
        <v>10</v>
      </c>
      <c r="J30" s="8"/>
      <c r="K30" s="8">
        <v>140</v>
      </c>
      <c r="L30" s="18">
        <v>780</v>
      </c>
      <c r="M30" s="7">
        <f t="shared" si="0"/>
        <v>109200</v>
      </c>
      <c r="N30" s="4"/>
      <c r="O30" s="9"/>
    </row>
    <row r="31" spans="1:15" ht="20" customHeight="1" x14ac:dyDescent="0.2">
      <c r="A31" s="3">
        <v>27</v>
      </c>
      <c r="B31" s="19"/>
      <c r="C31" s="4" t="s">
        <v>6609</v>
      </c>
      <c r="D31" s="4" t="s">
        <v>67</v>
      </c>
      <c r="E31" s="4" t="s">
        <v>271</v>
      </c>
      <c r="F31" s="8"/>
      <c r="G31" s="8">
        <v>30</v>
      </c>
      <c r="H31" s="8"/>
      <c r="I31" s="8">
        <v>20</v>
      </c>
      <c r="J31" s="8"/>
      <c r="K31" s="8">
        <v>0</v>
      </c>
      <c r="L31" s="18">
        <v>100</v>
      </c>
      <c r="M31" s="7">
        <f t="shared" si="0"/>
        <v>0</v>
      </c>
      <c r="N31" s="4"/>
      <c r="O31" s="9"/>
    </row>
    <row r="32" spans="1:15" ht="20" customHeight="1" x14ac:dyDescent="0.2">
      <c r="A32" s="3">
        <v>28</v>
      </c>
      <c r="B32" s="19"/>
      <c r="C32" s="4" t="s">
        <v>6610</v>
      </c>
      <c r="D32" s="4" t="s">
        <v>67</v>
      </c>
      <c r="E32" s="4" t="s">
        <v>271</v>
      </c>
      <c r="F32" s="8"/>
      <c r="G32" s="8">
        <v>30</v>
      </c>
      <c r="H32" s="8"/>
      <c r="I32" s="8">
        <v>20</v>
      </c>
      <c r="J32" s="8"/>
      <c r="K32" s="8">
        <v>0</v>
      </c>
      <c r="L32" s="18">
        <v>70</v>
      </c>
      <c r="M32" s="7">
        <f t="shared" si="0"/>
        <v>0</v>
      </c>
      <c r="N32" s="4"/>
      <c r="O32" s="9"/>
    </row>
    <row r="33" spans="1:15" ht="20" customHeight="1" x14ac:dyDescent="0.2">
      <c r="A33" s="3">
        <v>29</v>
      </c>
      <c r="B33" s="19"/>
      <c r="C33" s="4" t="s">
        <v>6611</v>
      </c>
      <c r="D33" s="4" t="s">
        <v>67</v>
      </c>
      <c r="E33" s="4" t="s">
        <v>271</v>
      </c>
      <c r="F33" s="8"/>
      <c r="G33" s="8">
        <v>30</v>
      </c>
      <c r="H33" s="8"/>
      <c r="I33" s="8">
        <v>20</v>
      </c>
      <c r="J33" s="8"/>
      <c r="K33" s="8">
        <v>0</v>
      </c>
      <c r="L33" s="18">
        <v>60</v>
      </c>
      <c r="M33" s="7">
        <f t="shared" si="0"/>
        <v>0</v>
      </c>
      <c r="N33" s="4"/>
      <c r="O33" s="9"/>
    </row>
    <row r="34" spans="1:15" ht="20" customHeight="1" x14ac:dyDescent="0.2">
      <c r="A34" s="3">
        <v>30</v>
      </c>
      <c r="B34" s="19"/>
      <c r="C34" s="4" t="s">
        <v>6612</v>
      </c>
      <c r="D34" s="4" t="s">
        <v>67</v>
      </c>
      <c r="E34" s="4" t="s">
        <v>196</v>
      </c>
      <c r="F34" s="8"/>
      <c r="G34" s="8">
        <v>10</v>
      </c>
      <c r="H34" s="8">
        <v>10</v>
      </c>
      <c r="I34" s="8"/>
      <c r="J34" s="8"/>
      <c r="K34" s="8">
        <v>50</v>
      </c>
      <c r="L34" s="18">
        <v>500</v>
      </c>
      <c r="M34" s="7">
        <f t="shared" si="0"/>
        <v>25000</v>
      </c>
      <c r="N34" s="4"/>
      <c r="O34" s="9"/>
    </row>
    <row r="35" spans="1:15" ht="20" customHeight="1" x14ac:dyDescent="0.2">
      <c r="A35" s="3">
        <v>31</v>
      </c>
      <c r="B35" s="19"/>
      <c r="C35" s="4" t="s">
        <v>6613</v>
      </c>
      <c r="D35" s="4" t="s">
        <v>67</v>
      </c>
      <c r="E35" s="4" t="s">
        <v>196</v>
      </c>
      <c r="F35" s="8"/>
      <c r="G35" s="8">
        <v>10</v>
      </c>
      <c r="H35" s="8">
        <v>10</v>
      </c>
      <c r="I35" s="8"/>
      <c r="J35" s="8"/>
      <c r="K35" s="8">
        <v>50</v>
      </c>
      <c r="L35" s="18">
        <v>980</v>
      </c>
      <c r="M35" s="7">
        <f t="shared" si="0"/>
        <v>49000</v>
      </c>
      <c r="N35" s="4"/>
      <c r="O35" s="9"/>
    </row>
    <row r="36" spans="1:15" ht="20" customHeight="1" x14ac:dyDescent="0.2">
      <c r="A36" s="3">
        <v>32</v>
      </c>
      <c r="B36" s="19"/>
      <c r="C36" s="4" t="s">
        <v>6614</v>
      </c>
      <c r="D36" s="4" t="s">
        <v>67</v>
      </c>
      <c r="E36" s="4" t="s">
        <v>271</v>
      </c>
      <c r="F36" s="8"/>
      <c r="G36" s="8">
        <v>10000</v>
      </c>
      <c r="H36" s="8">
        <v>2500</v>
      </c>
      <c r="I36" s="8"/>
      <c r="J36" s="8"/>
      <c r="K36" s="8">
        <v>18000</v>
      </c>
      <c r="L36" s="18">
        <v>35</v>
      </c>
      <c r="M36" s="7">
        <f t="shared" si="0"/>
        <v>630000</v>
      </c>
      <c r="N36" s="4"/>
      <c r="O36" s="9"/>
    </row>
    <row r="37" spans="1:15" ht="20" customHeight="1" x14ac:dyDescent="0.2">
      <c r="A37" s="3">
        <v>33</v>
      </c>
      <c r="B37" s="19"/>
      <c r="C37" s="4" t="s">
        <v>6615</v>
      </c>
      <c r="D37" s="4" t="s">
        <v>67</v>
      </c>
      <c r="E37" s="4" t="s">
        <v>271</v>
      </c>
      <c r="F37" s="8"/>
      <c r="G37" s="8">
        <v>7500</v>
      </c>
      <c r="H37" s="8">
        <v>1500</v>
      </c>
      <c r="I37" s="8"/>
      <c r="J37" s="8"/>
      <c r="K37" s="8">
        <v>6</v>
      </c>
      <c r="L37" s="18">
        <v>35</v>
      </c>
      <c r="M37" s="7">
        <f t="shared" ref="M37:M68" si="1">IF(OR(K37="",L37=""),"",K37*L37)</f>
        <v>210</v>
      </c>
      <c r="N37" s="4"/>
      <c r="O37" s="9"/>
    </row>
    <row r="38" spans="1:15" ht="20" customHeight="1" x14ac:dyDescent="0.2">
      <c r="A38" s="3">
        <v>34</v>
      </c>
      <c r="B38" s="19"/>
      <c r="C38" s="4" t="s">
        <v>6616</v>
      </c>
      <c r="D38" s="4" t="s">
        <v>67</v>
      </c>
      <c r="E38" s="4" t="s">
        <v>152</v>
      </c>
      <c r="F38" s="8"/>
      <c r="G38" s="8"/>
      <c r="H38" s="8"/>
      <c r="I38" s="8">
        <v>75</v>
      </c>
      <c r="J38" s="8"/>
      <c r="K38" s="8">
        <v>0</v>
      </c>
      <c r="L38" s="18">
        <v>72.8</v>
      </c>
      <c r="M38" s="7">
        <f t="shared" si="1"/>
        <v>0</v>
      </c>
      <c r="N38" s="4"/>
      <c r="O38" s="9"/>
    </row>
    <row r="39" spans="1:15" ht="20" customHeight="1" x14ac:dyDescent="0.2">
      <c r="A39" s="3">
        <v>35</v>
      </c>
      <c r="B39" s="19"/>
      <c r="C39" s="4" t="s">
        <v>6617</v>
      </c>
      <c r="D39" s="4" t="s">
        <v>67</v>
      </c>
      <c r="E39" s="4" t="s">
        <v>152</v>
      </c>
      <c r="F39" s="8"/>
      <c r="G39" s="8">
        <v>700</v>
      </c>
      <c r="H39" s="8"/>
      <c r="I39" s="8">
        <v>120</v>
      </c>
      <c r="J39" s="8"/>
      <c r="K39" s="8">
        <v>-20</v>
      </c>
      <c r="L39" s="18">
        <v>42.8</v>
      </c>
      <c r="M39" s="7">
        <f t="shared" si="1"/>
        <v>-856</v>
      </c>
      <c r="N39" s="4"/>
      <c r="O39" s="9"/>
    </row>
    <row r="40" spans="1:15" ht="20" customHeight="1" x14ac:dyDescent="0.2">
      <c r="A40" s="3">
        <v>36</v>
      </c>
      <c r="B40" s="19"/>
      <c r="C40" s="4" t="s">
        <v>6618</v>
      </c>
      <c r="D40" s="4" t="s">
        <v>67</v>
      </c>
      <c r="E40" s="4" t="s">
        <v>152</v>
      </c>
      <c r="F40" s="8"/>
      <c r="G40" s="8">
        <v>500</v>
      </c>
      <c r="H40" s="8">
        <v>325</v>
      </c>
      <c r="I40" s="8"/>
      <c r="J40" s="8"/>
      <c r="K40" s="8">
        <v>200</v>
      </c>
      <c r="L40" s="18">
        <v>64.2</v>
      </c>
      <c r="M40" s="7">
        <f t="shared" si="1"/>
        <v>12840</v>
      </c>
      <c r="N40" s="4"/>
      <c r="O40" s="9"/>
    </row>
    <row r="41" spans="1:15" ht="20" customHeight="1" x14ac:dyDescent="0.2">
      <c r="A41" s="3">
        <v>37</v>
      </c>
      <c r="B41" s="19"/>
      <c r="C41" s="4" t="s">
        <v>6619</v>
      </c>
      <c r="D41" s="4" t="s">
        <v>67</v>
      </c>
      <c r="E41" s="4" t="s">
        <v>152</v>
      </c>
      <c r="F41" s="8"/>
      <c r="G41" s="8">
        <v>2800</v>
      </c>
      <c r="H41" s="8">
        <v>200</v>
      </c>
      <c r="I41" s="8"/>
      <c r="J41" s="8"/>
      <c r="K41" s="8">
        <v>2500</v>
      </c>
      <c r="L41" s="18">
        <v>77.040000000000006</v>
      </c>
      <c r="M41" s="7">
        <f t="shared" si="1"/>
        <v>192600.00000000003</v>
      </c>
      <c r="N41" s="4"/>
      <c r="O41" s="9"/>
    </row>
    <row r="42" spans="1:15" ht="20" customHeight="1" x14ac:dyDescent="0.2">
      <c r="A42" s="3">
        <v>38</v>
      </c>
      <c r="B42" s="19"/>
      <c r="C42" s="4" t="s">
        <v>6620</v>
      </c>
      <c r="D42" s="4" t="s">
        <v>67</v>
      </c>
      <c r="E42" s="4" t="s">
        <v>152</v>
      </c>
      <c r="F42" s="8"/>
      <c r="G42" s="8">
        <v>450</v>
      </c>
      <c r="H42" s="8">
        <v>400</v>
      </c>
      <c r="I42" s="8">
        <v>210</v>
      </c>
      <c r="J42" s="8"/>
      <c r="K42" s="8">
        <v>290</v>
      </c>
      <c r="L42" s="18">
        <v>492.2</v>
      </c>
      <c r="M42" s="7">
        <f t="shared" si="1"/>
        <v>142738</v>
      </c>
      <c r="N42" s="4"/>
      <c r="O42" s="9"/>
    </row>
    <row r="43" spans="1:15" ht="20" customHeight="1" x14ac:dyDescent="0.2">
      <c r="A43" s="3">
        <v>39</v>
      </c>
      <c r="B43" s="19"/>
      <c r="C43" s="4" t="s">
        <v>6621</v>
      </c>
      <c r="D43" s="4" t="s">
        <v>67</v>
      </c>
      <c r="E43" s="4" t="s">
        <v>152</v>
      </c>
      <c r="F43" s="8"/>
      <c r="G43" s="8">
        <v>100</v>
      </c>
      <c r="H43" s="8"/>
      <c r="I43" s="8">
        <v>30</v>
      </c>
      <c r="J43" s="8"/>
      <c r="K43" s="8">
        <v>0</v>
      </c>
      <c r="L43" s="18">
        <v>1337.5</v>
      </c>
      <c r="M43" s="7">
        <f t="shared" si="1"/>
        <v>0</v>
      </c>
      <c r="N43" s="4"/>
      <c r="O43" s="9"/>
    </row>
    <row r="44" spans="1:15" ht="20" customHeight="1" x14ac:dyDescent="0.2">
      <c r="A44" s="3">
        <v>40</v>
      </c>
      <c r="B44" s="19"/>
      <c r="C44" s="4" t="s">
        <v>6622</v>
      </c>
      <c r="D44" s="4" t="s">
        <v>67</v>
      </c>
      <c r="E44" s="4" t="s">
        <v>152</v>
      </c>
      <c r="F44" s="8"/>
      <c r="G44" s="8">
        <v>100</v>
      </c>
      <c r="H44" s="8">
        <v>100</v>
      </c>
      <c r="I44" s="8">
        <v>75</v>
      </c>
      <c r="J44" s="8"/>
      <c r="K44" s="8">
        <v>125</v>
      </c>
      <c r="L44" s="18">
        <v>535</v>
      </c>
      <c r="M44" s="7">
        <f t="shared" si="1"/>
        <v>66875</v>
      </c>
      <c r="N44" s="4"/>
      <c r="O44" s="9"/>
    </row>
    <row r="45" spans="1:15" ht="20" customHeight="1" x14ac:dyDescent="0.2">
      <c r="A45" s="3">
        <v>41</v>
      </c>
      <c r="B45" s="19"/>
      <c r="C45" s="4" t="s">
        <v>6623</v>
      </c>
      <c r="D45" s="4" t="s">
        <v>67</v>
      </c>
      <c r="E45" s="4" t="s">
        <v>152</v>
      </c>
      <c r="F45" s="8"/>
      <c r="G45" s="8">
        <v>120</v>
      </c>
      <c r="H45" s="8"/>
      <c r="I45" s="8">
        <v>40</v>
      </c>
      <c r="J45" s="8"/>
      <c r="K45" s="8">
        <v>0</v>
      </c>
      <c r="L45" s="18">
        <v>577.79999999999995</v>
      </c>
      <c r="M45" s="7">
        <f t="shared" si="1"/>
        <v>0</v>
      </c>
      <c r="N45" s="4"/>
      <c r="O45" s="9"/>
    </row>
    <row r="46" spans="1:15" ht="20" customHeight="1" x14ac:dyDescent="0.2">
      <c r="A46" s="3">
        <v>42</v>
      </c>
      <c r="B46" s="19"/>
      <c r="C46" s="4" t="s">
        <v>6624</v>
      </c>
      <c r="D46" s="4" t="s">
        <v>67</v>
      </c>
      <c r="E46" s="4" t="s">
        <v>152</v>
      </c>
      <c r="F46" s="8"/>
      <c r="G46" s="8">
        <v>120</v>
      </c>
      <c r="H46" s="8"/>
      <c r="I46" s="8">
        <v>120</v>
      </c>
      <c r="J46" s="8"/>
      <c r="K46" s="8">
        <v>0</v>
      </c>
      <c r="L46" s="18">
        <v>235.5</v>
      </c>
      <c r="M46" s="7">
        <f t="shared" si="1"/>
        <v>0</v>
      </c>
      <c r="N46" s="4"/>
      <c r="O46" s="9"/>
    </row>
    <row r="47" spans="1:15" ht="20" customHeight="1" x14ac:dyDescent="0.2">
      <c r="A47" s="3">
        <v>43</v>
      </c>
      <c r="B47" s="19"/>
      <c r="C47" s="4" t="s">
        <v>6625</v>
      </c>
      <c r="D47" s="4" t="s">
        <v>67</v>
      </c>
      <c r="E47" s="4" t="s">
        <v>196</v>
      </c>
      <c r="F47" s="8"/>
      <c r="G47" s="8"/>
      <c r="H47" s="8">
        <v>10</v>
      </c>
      <c r="I47" s="8">
        <v>2</v>
      </c>
      <c r="J47" s="8"/>
      <c r="K47" s="8">
        <v>8</v>
      </c>
      <c r="L47" s="18">
        <v>2000</v>
      </c>
      <c r="M47" s="7">
        <f t="shared" si="1"/>
        <v>16000</v>
      </c>
      <c r="N47" s="4"/>
      <c r="O47" s="9"/>
    </row>
    <row r="48" spans="1:15" ht="20" customHeight="1" x14ac:dyDescent="0.2">
      <c r="A48" s="3">
        <v>44</v>
      </c>
      <c r="B48" s="19"/>
      <c r="C48" s="4" t="s">
        <v>6626</v>
      </c>
      <c r="D48" s="4" t="s">
        <v>67</v>
      </c>
      <c r="E48" s="4" t="s">
        <v>196</v>
      </c>
      <c r="F48" s="8"/>
      <c r="G48" s="8">
        <v>150</v>
      </c>
      <c r="H48" s="8"/>
      <c r="I48" s="8">
        <v>150</v>
      </c>
      <c r="J48" s="8"/>
      <c r="K48" s="8">
        <v>50</v>
      </c>
      <c r="L48" s="18">
        <v>250</v>
      </c>
      <c r="M48" s="7">
        <f t="shared" si="1"/>
        <v>12500</v>
      </c>
      <c r="N48" s="4"/>
      <c r="O48" s="9"/>
    </row>
    <row r="49" spans="1:15" ht="20" customHeight="1" x14ac:dyDescent="0.2">
      <c r="A49" s="3">
        <v>45</v>
      </c>
      <c r="B49" s="19"/>
      <c r="C49" s="4" t="s">
        <v>6627</v>
      </c>
      <c r="D49" s="4" t="s">
        <v>67</v>
      </c>
      <c r="E49" s="4" t="s">
        <v>152</v>
      </c>
      <c r="F49" s="8"/>
      <c r="G49" s="8">
        <v>10</v>
      </c>
      <c r="H49" s="8"/>
      <c r="I49" s="8">
        <v>5</v>
      </c>
      <c r="J49" s="8"/>
      <c r="K49" s="8">
        <v>5</v>
      </c>
      <c r="L49" s="18">
        <v>390</v>
      </c>
      <c r="M49" s="7">
        <f t="shared" si="1"/>
        <v>1950</v>
      </c>
      <c r="N49" s="4"/>
      <c r="O49" s="9"/>
    </row>
    <row r="50" spans="1:15" ht="20" customHeight="1" x14ac:dyDescent="0.2">
      <c r="A50" s="3">
        <v>46</v>
      </c>
      <c r="B50" s="19"/>
      <c r="C50" s="4" t="s">
        <v>6628</v>
      </c>
      <c r="D50" s="4" t="s">
        <v>67</v>
      </c>
      <c r="E50" s="4" t="s">
        <v>152</v>
      </c>
      <c r="F50" s="8"/>
      <c r="G50" s="8">
        <v>10</v>
      </c>
      <c r="H50" s="8"/>
      <c r="I50" s="8">
        <v>5</v>
      </c>
      <c r="J50" s="8"/>
      <c r="K50" s="8">
        <v>5</v>
      </c>
      <c r="L50" s="18">
        <v>390</v>
      </c>
      <c r="M50" s="7">
        <f t="shared" si="1"/>
        <v>1950</v>
      </c>
      <c r="N50" s="4"/>
      <c r="O50" s="9"/>
    </row>
    <row r="51" spans="1:15" ht="20" customHeight="1" x14ac:dyDescent="0.2">
      <c r="A51" s="3">
        <v>47</v>
      </c>
      <c r="B51" s="19"/>
      <c r="C51" s="4" t="s">
        <v>6629</v>
      </c>
      <c r="D51" s="4" t="s">
        <v>67</v>
      </c>
      <c r="E51" s="4" t="s">
        <v>152</v>
      </c>
      <c r="F51" s="8"/>
      <c r="G51" s="8">
        <v>10</v>
      </c>
      <c r="H51" s="8"/>
      <c r="I51" s="8">
        <v>10</v>
      </c>
      <c r="J51" s="8"/>
      <c r="K51" s="8">
        <v>0</v>
      </c>
      <c r="L51" s="18">
        <v>390</v>
      </c>
      <c r="M51" s="7">
        <f t="shared" si="1"/>
        <v>0</v>
      </c>
      <c r="N51" s="4"/>
      <c r="O51" s="9"/>
    </row>
    <row r="52" spans="1:15" ht="20" customHeight="1" x14ac:dyDescent="0.2">
      <c r="A52" s="3">
        <v>48</v>
      </c>
      <c r="B52" s="19"/>
      <c r="C52" s="4" t="s">
        <v>6630</v>
      </c>
      <c r="D52" s="4" t="s">
        <v>67</v>
      </c>
      <c r="E52" s="4" t="s">
        <v>152</v>
      </c>
      <c r="F52" s="8"/>
      <c r="G52" s="8">
        <v>10</v>
      </c>
      <c r="H52" s="8"/>
      <c r="I52" s="8">
        <v>10</v>
      </c>
      <c r="J52" s="8"/>
      <c r="K52" s="8">
        <v>0</v>
      </c>
      <c r="L52" s="18">
        <v>390</v>
      </c>
      <c r="M52" s="7">
        <f t="shared" si="1"/>
        <v>0</v>
      </c>
      <c r="N52" s="4"/>
      <c r="O52" s="9"/>
    </row>
    <row r="53" spans="1:15" ht="20" customHeight="1" x14ac:dyDescent="0.2">
      <c r="A53" s="3">
        <v>49</v>
      </c>
      <c r="B53" s="19"/>
      <c r="C53" s="4" t="s">
        <v>6631</v>
      </c>
      <c r="D53" s="4" t="s">
        <v>67</v>
      </c>
      <c r="E53" s="4" t="s">
        <v>152</v>
      </c>
      <c r="F53" s="8"/>
      <c r="G53" s="8">
        <v>40</v>
      </c>
      <c r="H53" s="8">
        <v>20</v>
      </c>
      <c r="I53" s="8">
        <v>10</v>
      </c>
      <c r="J53" s="8"/>
      <c r="K53" s="8">
        <v>10</v>
      </c>
      <c r="L53" s="18">
        <v>344.5</v>
      </c>
      <c r="M53" s="7">
        <f t="shared" si="1"/>
        <v>3445</v>
      </c>
      <c r="N53" s="4"/>
      <c r="O53" s="9"/>
    </row>
    <row r="54" spans="1:15" ht="20" customHeight="1" x14ac:dyDescent="0.2">
      <c r="A54" s="3">
        <v>50</v>
      </c>
      <c r="B54" s="19"/>
      <c r="C54" s="4" t="s">
        <v>6632</v>
      </c>
      <c r="D54" s="4" t="s">
        <v>67</v>
      </c>
      <c r="E54" s="4" t="s">
        <v>152</v>
      </c>
      <c r="F54" s="8"/>
      <c r="G54" s="8">
        <v>40</v>
      </c>
      <c r="H54" s="8">
        <v>10</v>
      </c>
      <c r="I54" s="8">
        <v>10</v>
      </c>
      <c r="J54" s="8"/>
      <c r="K54" s="8">
        <v>10</v>
      </c>
      <c r="L54" s="18">
        <v>344.5</v>
      </c>
      <c r="M54" s="7">
        <f t="shared" si="1"/>
        <v>3445</v>
      </c>
      <c r="N54" s="4"/>
      <c r="O54" s="9"/>
    </row>
    <row r="55" spans="1:15" ht="20" customHeight="1" x14ac:dyDescent="0.2">
      <c r="A55" s="3">
        <v>51</v>
      </c>
      <c r="B55" s="19"/>
      <c r="C55" s="4" t="s">
        <v>6633</v>
      </c>
      <c r="D55" s="4" t="s">
        <v>67</v>
      </c>
      <c r="E55" s="4" t="s">
        <v>152</v>
      </c>
      <c r="F55" s="8"/>
      <c r="G55" s="8">
        <v>40</v>
      </c>
      <c r="H55" s="8">
        <v>10</v>
      </c>
      <c r="I55" s="8">
        <v>10</v>
      </c>
      <c r="J55" s="8"/>
      <c r="K55" s="8">
        <v>10</v>
      </c>
      <c r="L55" s="18">
        <v>344.5</v>
      </c>
      <c r="M55" s="7">
        <f t="shared" si="1"/>
        <v>3445</v>
      </c>
      <c r="N55" s="4"/>
      <c r="O55" s="9"/>
    </row>
    <row r="56" spans="1:15" ht="20" customHeight="1" x14ac:dyDescent="0.2">
      <c r="A56" s="3">
        <v>52</v>
      </c>
      <c r="B56" s="19"/>
      <c r="C56" s="4" t="s">
        <v>6634</v>
      </c>
      <c r="D56" s="4" t="s">
        <v>67</v>
      </c>
      <c r="E56" s="4" t="s">
        <v>152</v>
      </c>
      <c r="F56" s="8"/>
      <c r="G56" s="8">
        <v>30</v>
      </c>
      <c r="H56" s="8">
        <v>30</v>
      </c>
      <c r="I56" s="8">
        <v>20</v>
      </c>
      <c r="J56" s="8"/>
      <c r="K56" s="8">
        <v>30</v>
      </c>
      <c r="L56" s="18">
        <v>214</v>
      </c>
      <c r="M56" s="7">
        <f t="shared" si="1"/>
        <v>6420</v>
      </c>
      <c r="N56" s="4"/>
      <c r="O56" s="9"/>
    </row>
    <row r="57" spans="1:15" ht="20" customHeight="1" x14ac:dyDescent="0.2">
      <c r="A57" s="3">
        <v>53</v>
      </c>
      <c r="B57" s="19"/>
      <c r="C57" s="4" t="s">
        <v>6635</v>
      </c>
      <c r="D57" s="4" t="s">
        <v>67</v>
      </c>
      <c r="E57" s="4" t="s">
        <v>152</v>
      </c>
      <c r="F57" s="8"/>
      <c r="G57" s="8">
        <v>30</v>
      </c>
      <c r="H57" s="8">
        <v>30</v>
      </c>
      <c r="I57" s="8">
        <v>20</v>
      </c>
      <c r="J57" s="8"/>
      <c r="K57" s="8">
        <v>30</v>
      </c>
      <c r="L57" s="18">
        <v>299.60000000000002</v>
      </c>
      <c r="M57" s="7">
        <f t="shared" si="1"/>
        <v>8988</v>
      </c>
      <c r="N57" s="4"/>
      <c r="O57" s="9"/>
    </row>
    <row r="58" spans="1:15" ht="20" customHeight="1" x14ac:dyDescent="0.2">
      <c r="A58" s="3">
        <v>54</v>
      </c>
      <c r="B58" s="19"/>
      <c r="C58" s="4" t="s">
        <v>6636</v>
      </c>
      <c r="D58" s="4" t="s">
        <v>67</v>
      </c>
      <c r="E58" s="4" t="s">
        <v>152</v>
      </c>
      <c r="F58" s="8"/>
      <c r="G58" s="8">
        <v>20</v>
      </c>
      <c r="H58" s="8"/>
      <c r="I58" s="8">
        <v>20</v>
      </c>
      <c r="J58" s="8"/>
      <c r="K58" s="8">
        <v>30</v>
      </c>
      <c r="L58" s="18">
        <v>214</v>
      </c>
      <c r="M58" s="7">
        <f t="shared" si="1"/>
        <v>6420</v>
      </c>
      <c r="N58" s="4"/>
      <c r="O58" s="9"/>
    </row>
    <row r="59" spans="1:15" ht="20" customHeight="1" x14ac:dyDescent="0.2">
      <c r="A59" s="3">
        <v>55</v>
      </c>
      <c r="B59" s="19"/>
      <c r="C59" s="4" t="s">
        <v>6637</v>
      </c>
      <c r="D59" s="4" t="s">
        <v>67</v>
      </c>
      <c r="E59" s="4" t="s">
        <v>152</v>
      </c>
      <c r="F59" s="8"/>
      <c r="G59" s="8">
        <v>20</v>
      </c>
      <c r="H59" s="8"/>
      <c r="I59" s="8">
        <v>20</v>
      </c>
      <c r="J59" s="8"/>
      <c r="K59" s="8">
        <v>30</v>
      </c>
      <c r="L59" s="18">
        <v>299.60000000000002</v>
      </c>
      <c r="M59" s="7">
        <f t="shared" si="1"/>
        <v>8988</v>
      </c>
      <c r="N59" s="4"/>
      <c r="O59" s="9"/>
    </row>
    <row r="60" spans="1:15" ht="20" customHeight="1" x14ac:dyDescent="0.2">
      <c r="A60" s="3">
        <v>56</v>
      </c>
      <c r="B60" s="19"/>
      <c r="C60" s="4" t="s">
        <v>6638</v>
      </c>
      <c r="D60" s="4" t="s">
        <v>67</v>
      </c>
      <c r="E60" s="4" t="s">
        <v>152</v>
      </c>
      <c r="F60" s="8"/>
      <c r="G60" s="8"/>
      <c r="H60" s="8">
        <v>20</v>
      </c>
      <c r="I60" s="8">
        <v>20</v>
      </c>
      <c r="J60" s="8"/>
      <c r="K60" s="8">
        <v>30</v>
      </c>
      <c r="L60" s="18">
        <v>599.20000000000005</v>
      </c>
      <c r="M60" s="7">
        <f t="shared" si="1"/>
        <v>17976</v>
      </c>
      <c r="N60" s="4"/>
      <c r="O60" s="9"/>
    </row>
    <row r="61" spans="1:15" ht="20" customHeight="1" x14ac:dyDescent="0.2">
      <c r="A61" s="3">
        <v>57</v>
      </c>
      <c r="B61" s="19"/>
      <c r="C61" s="4" t="s">
        <v>6639</v>
      </c>
      <c r="D61" s="4" t="s">
        <v>67</v>
      </c>
      <c r="E61" s="4" t="s">
        <v>152</v>
      </c>
      <c r="F61" s="8"/>
      <c r="G61" s="8"/>
      <c r="H61" s="8"/>
      <c r="I61" s="8">
        <v>20</v>
      </c>
      <c r="J61" s="8"/>
      <c r="K61" s="8">
        <v>30</v>
      </c>
      <c r="L61" s="18">
        <v>299.60000000000002</v>
      </c>
      <c r="M61" s="7">
        <f t="shared" si="1"/>
        <v>8988</v>
      </c>
      <c r="N61" s="4"/>
      <c r="O61" s="9"/>
    </row>
    <row r="62" spans="1:15" ht="20" customHeight="1" x14ac:dyDescent="0.2">
      <c r="A62" s="3">
        <v>58</v>
      </c>
      <c r="B62" s="19"/>
      <c r="C62" s="4" t="s">
        <v>6640</v>
      </c>
      <c r="D62" s="4" t="s">
        <v>67</v>
      </c>
      <c r="E62" s="4" t="s">
        <v>152</v>
      </c>
      <c r="F62" s="8"/>
      <c r="G62" s="8"/>
      <c r="H62" s="8"/>
      <c r="I62" s="8">
        <v>10</v>
      </c>
      <c r="J62" s="8"/>
      <c r="K62" s="8">
        <v>40</v>
      </c>
      <c r="L62" s="18">
        <v>299.60000000000002</v>
      </c>
      <c r="M62" s="7">
        <f t="shared" si="1"/>
        <v>11984</v>
      </c>
      <c r="N62" s="4"/>
      <c r="O62" s="9"/>
    </row>
    <row r="63" spans="1:15" ht="20" customHeight="1" x14ac:dyDescent="0.2">
      <c r="A63" s="3">
        <v>59</v>
      </c>
      <c r="B63" s="19"/>
      <c r="C63" s="4" t="s">
        <v>6641</v>
      </c>
      <c r="D63" s="4" t="s">
        <v>67</v>
      </c>
      <c r="E63" s="4" t="s">
        <v>152</v>
      </c>
      <c r="F63" s="8"/>
      <c r="G63" s="8"/>
      <c r="H63" s="8">
        <v>10</v>
      </c>
      <c r="I63" s="8">
        <v>20</v>
      </c>
      <c r="J63" s="8"/>
      <c r="K63" s="8">
        <v>30</v>
      </c>
      <c r="L63" s="18">
        <v>299.60000000000002</v>
      </c>
      <c r="M63" s="7">
        <f t="shared" si="1"/>
        <v>8988</v>
      </c>
      <c r="N63" s="4"/>
      <c r="O63" s="9"/>
    </row>
    <row r="64" spans="1:15" ht="20" customHeight="1" x14ac:dyDescent="0.2">
      <c r="A64" s="3">
        <v>60</v>
      </c>
      <c r="B64" s="19"/>
      <c r="C64" s="4" t="s">
        <v>6642</v>
      </c>
      <c r="D64" s="4" t="s">
        <v>67</v>
      </c>
      <c r="E64" s="4" t="s">
        <v>152</v>
      </c>
      <c r="F64" s="8"/>
      <c r="G64" s="8">
        <v>10</v>
      </c>
      <c r="H64" s="8"/>
      <c r="I64" s="8">
        <v>20</v>
      </c>
      <c r="J64" s="8"/>
      <c r="K64" s="8">
        <v>-10</v>
      </c>
      <c r="L64" s="18">
        <v>299.60000000000002</v>
      </c>
      <c r="M64" s="7">
        <f t="shared" si="1"/>
        <v>-2996</v>
      </c>
      <c r="N64" s="4"/>
      <c r="O64" s="9"/>
    </row>
    <row r="65" spans="1:15" ht="20" customHeight="1" x14ac:dyDescent="0.2">
      <c r="A65" s="3">
        <v>61</v>
      </c>
      <c r="B65" s="19"/>
      <c r="C65" s="4" t="s">
        <v>6643</v>
      </c>
      <c r="D65" s="4" t="s">
        <v>67</v>
      </c>
      <c r="E65" s="4" t="s">
        <v>152</v>
      </c>
      <c r="F65" s="8"/>
      <c r="G65" s="8">
        <v>20</v>
      </c>
      <c r="H65" s="8"/>
      <c r="I65" s="8"/>
      <c r="J65" s="8"/>
      <c r="K65" s="8">
        <v>20</v>
      </c>
      <c r="L65" s="18">
        <v>299.60000000000002</v>
      </c>
      <c r="M65" s="7">
        <f t="shared" si="1"/>
        <v>5992</v>
      </c>
      <c r="N65" s="4"/>
      <c r="O65" s="9"/>
    </row>
    <row r="66" spans="1:15" ht="20" customHeight="1" x14ac:dyDescent="0.2">
      <c r="A66" s="3">
        <v>62</v>
      </c>
      <c r="B66" s="19"/>
      <c r="C66" s="4" t="s">
        <v>6644</v>
      </c>
      <c r="D66" s="4" t="s">
        <v>67</v>
      </c>
      <c r="E66" s="4" t="s">
        <v>152</v>
      </c>
      <c r="F66" s="8"/>
      <c r="G66" s="8"/>
      <c r="H66" s="8"/>
      <c r="I66" s="8">
        <v>10</v>
      </c>
      <c r="J66" s="8"/>
      <c r="K66" s="8">
        <v>10</v>
      </c>
      <c r="L66" s="18">
        <v>299.60000000000002</v>
      </c>
      <c r="M66" s="7">
        <f t="shared" si="1"/>
        <v>2996</v>
      </c>
      <c r="N66" s="4"/>
      <c r="O66" s="9"/>
    </row>
    <row r="67" spans="1:15" ht="20" customHeight="1" x14ac:dyDescent="0.2">
      <c r="A67" s="3">
        <v>63</v>
      </c>
      <c r="B67" s="19"/>
      <c r="C67" s="4" t="s">
        <v>6645</v>
      </c>
      <c r="D67" s="4" t="s">
        <v>67</v>
      </c>
      <c r="E67" s="4" t="s">
        <v>152</v>
      </c>
      <c r="F67" s="8"/>
      <c r="G67" s="8"/>
      <c r="H67" s="8"/>
      <c r="I67" s="8">
        <v>10</v>
      </c>
      <c r="J67" s="8"/>
      <c r="K67" s="8">
        <v>10</v>
      </c>
      <c r="L67" s="18">
        <v>299.60000000000002</v>
      </c>
      <c r="M67" s="7">
        <f t="shared" si="1"/>
        <v>2996</v>
      </c>
      <c r="N67" s="4"/>
      <c r="O67" s="9"/>
    </row>
    <row r="68" spans="1:15" ht="20" customHeight="1" x14ac:dyDescent="0.2">
      <c r="A68" s="3">
        <v>64</v>
      </c>
      <c r="B68" s="19"/>
      <c r="C68" s="4" t="s">
        <v>6646</v>
      </c>
      <c r="D68" s="4" t="s">
        <v>67</v>
      </c>
      <c r="E68" s="4" t="s">
        <v>152</v>
      </c>
      <c r="F68" s="8"/>
      <c r="G68" s="8"/>
      <c r="H68" s="8"/>
      <c r="I68" s="8">
        <v>10</v>
      </c>
      <c r="J68" s="8"/>
      <c r="K68" s="8">
        <v>10</v>
      </c>
      <c r="L68" s="18">
        <v>299.60000000000002</v>
      </c>
      <c r="M68" s="7">
        <f t="shared" si="1"/>
        <v>2996</v>
      </c>
      <c r="N68" s="4"/>
      <c r="O68" s="9"/>
    </row>
    <row r="69" spans="1:15" ht="20" customHeight="1" x14ac:dyDescent="0.2">
      <c r="A69" s="3">
        <v>65</v>
      </c>
      <c r="B69" s="19"/>
      <c r="C69" s="4" t="s">
        <v>6647</v>
      </c>
      <c r="D69" s="4" t="s">
        <v>67</v>
      </c>
      <c r="E69" s="4" t="s">
        <v>152</v>
      </c>
      <c r="F69" s="8"/>
      <c r="G69" s="8">
        <v>70</v>
      </c>
      <c r="H69" s="8"/>
      <c r="I69" s="8">
        <v>10</v>
      </c>
      <c r="J69" s="8"/>
      <c r="K69" s="8">
        <v>20</v>
      </c>
      <c r="L69" s="18">
        <v>299.60000000000002</v>
      </c>
      <c r="M69" s="7">
        <f t="shared" ref="M69:M100" si="2">IF(OR(K69="",L69=""),"",K69*L69)</f>
        <v>5992</v>
      </c>
      <c r="N69" s="4"/>
      <c r="O69" s="9"/>
    </row>
    <row r="70" spans="1:15" ht="20" customHeight="1" x14ac:dyDescent="0.2">
      <c r="A70" s="3">
        <v>66</v>
      </c>
      <c r="B70" s="19"/>
      <c r="C70" s="4" t="s">
        <v>6648</v>
      </c>
      <c r="D70" s="4" t="s">
        <v>67</v>
      </c>
      <c r="E70" s="4" t="s">
        <v>152</v>
      </c>
      <c r="F70" s="8"/>
      <c r="G70" s="8">
        <v>50</v>
      </c>
      <c r="H70" s="8">
        <v>20</v>
      </c>
      <c r="I70" s="8">
        <v>20</v>
      </c>
      <c r="J70" s="8"/>
      <c r="K70" s="8">
        <v>10</v>
      </c>
      <c r="L70" s="18">
        <v>299.60000000000002</v>
      </c>
      <c r="M70" s="7">
        <f t="shared" si="2"/>
        <v>2996</v>
      </c>
      <c r="N70" s="4"/>
      <c r="O70" s="9"/>
    </row>
    <row r="71" spans="1:15" ht="20" customHeight="1" x14ac:dyDescent="0.2">
      <c r="A71" s="3">
        <v>67</v>
      </c>
      <c r="B71" s="19"/>
      <c r="C71" s="4" t="s">
        <v>6649</v>
      </c>
      <c r="D71" s="4" t="s">
        <v>67</v>
      </c>
      <c r="E71" s="4" t="s">
        <v>152</v>
      </c>
      <c r="F71" s="8"/>
      <c r="G71" s="8">
        <v>20</v>
      </c>
      <c r="H71" s="8">
        <v>20</v>
      </c>
      <c r="I71" s="8">
        <v>20</v>
      </c>
      <c r="J71" s="8"/>
      <c r="K71" s="8">
        <v>10</v>
      </c>
      <c r="L71" s="18">
        <v>299.60000000000002</v>
      </c>
      <c r="M71" s="7">
        <f t="shared" si="2"/>
        <v>2996</v>
      </c>
      <c r="N71" s="4"/>
      <c r="O71" s="9"/>
    </row>
    <row r="72" spans="1:15" ht="20" customHeight="1" x14ac:dyDescent="0.2">
      <c r="A72" s="3">
        <v>68</v>
      </c>
      <c r="B72" s="19"/>
      <c r="C72" s="4" t="s">
        <v>6650</v>
      </c>
      <c r="D72" s="4" t="s">
        <v>67</v>
      </c>
      <c r="E72" s="4" t="s">
        <v>152</v>
      </c>
      <c r="F72" s="8"/>
      <c r="G72" s="8">
        <v>100</v>
      </c>
      <c r="H72" s="8">
        <v>40</v>
      </c>
      <c r="I72" s="8">
        <v>20</v>
      </c>
      <c r="J72" s="8"/>
      <c r="K72" s="8">
        <v>30</v>
      </c>
      <c r="L72" s="18">
        <v>299.60000000000002</v>
      </c>
      <c r="M72" s="7">
        <f t="shared" si="2"/>
        <v>8988</v>
      </c>
      <c r="N72" s="4"/>
      <c r="O72" s="9"/>
    </row>
    <row r="73" spans="1:15" ht="20" customHeight="1" x14ac:dyDescent="0.2">
      <c r="A73" s="3">
        <v>69</v>
      </c>
      <c r="B73" s="19"/>
      <c r="C73" s="4" t="s">
        <v>6651</v>
      </c>
      <c r="D73" s="4" t="s">
        <v>67</v>
      </c>
      <c r="E73" s="4" t="s">
        <v>152</v>
      </c>
      <c r="F73" s="8"/>
      <c r="G73" s="8">
        <v>70</v>
      </c>
      <c r="H73" s="8">
        <v>10</v>
      </c>
      <c r="I73" s="8">
        <v>20</v>
      </c>
      <c r="J73" s="8"/>
      <c r="K73" s="8">
        <v>30</v>
      </c>
      <c r="L73" s="18">
        <v>299.60000000000002</v>
      </c>
      <c r="M73" s="7">
        <f t="shared" si="2"/>
        <v>8988</v>
      </c>
      <c r="N73" s="4"/>
      <c r="O73" s="9"/>
    </row>
    <row r="74" spans="1:15" ht="20" customHeight="1" x14ac:dyDescent="0.2">
      <c r="A74" s="3">
        <v>70</v>
      </c>
      <c r="B74" s="19"/>
      <c r="C74" s="4" t="s">
        <v>6162</v>
      </c>
      <c r="D74" s="4" t="s">
        <v>67</v>
      </c>
      <c r="E74" s="4" t="s">
        <v>152</v>
      </c>
      <c r="F74" s="8"/>
      <c r="G74" s="8">
        <v>5</v>
      </c>
      <c r="H74" s="8"/>
      <c r="I74" s="8">
        <v>10</v>
      </c>
      <c r="J74" s="8"/>
      <c r="K74" s="8">
        <v>0</v>
      </c>
      <c r="L74" s="18">
        <v>0</v>
      </c>
      <c r="M74" s="7">
        <f t="shared" si="2"/>
        <v>0</v>
      </c>
      <c r="N74" s="4"/>
      <c r="O74" s="9"/>
    </row>
    <row r="75" spans="1:15" ht="20" customHeight="1" x14ac:dyDescent="0.2">
      <c r="A75" s="3">
        <v>71</v>
      </c>
      <c r="B75" s="19"/>
      <c r="C75" s="4" t="s">
        <v>6164</v>
      </c>
      <c r="D75" s="4" t="s">
        <v>67</v>
      </c>
      <c r="E75" s="4" t="s">
        <v>152</v>
      </c>
      <c r="F75" s="8"/>
      <c r="G75" s="8">
        <v>5</v>
      </c>
      <c r="H75" s="8"/>
      <c r="I75" s="8">
        <v>10</v>
      </c>
      <c r="J75" s="8"/>
      <c r="K75" s="8">
        <v>20</v>
      </c>
      <c r="L75" s="18">
        <v>0</v>
      </c>
      <c r="M75" s="7">
        <f t="shared" si="2"/>
        <v>0</v>
      </c>
      <c r="N75" s="4"/>
      <c r="O75" s="9"/>
    </row>
    <row r="76" spans="1:15" ht="20" customHeight="1" x14ac:dyDescent="0.2">
      <c r="A76" s="3">
        <v>72</v>
      </c>
      <c r="B76" s="19"/>
      <c r="C76" s="4" t="s">
        <v>6652</v>
      </c>
      <c r="D76" s="4" t="s">
        <v>67</v>
      </c>
      <c r="E76" s="4" t="s">
        <v>152</v>
      </c>
      <c r="F76" s="8"/>
      <c r="G76" s="8">
        <v>10</v>
      </c>
      <c r="H76" s="8"/>
      <c r="I76" s="8">
        <v>10</v>
      </c>
      <c r="J76" s="8"/>
      <c r="K76" s="8">
        <v>20</v>
      </c>
      <c r="L76" s="18">
        <v>0</v>
      </c>
      <c r="M76" s="7">
        <f t="shared" si="2"/>
        <v>0</v>
      </c>
      <c r="N76" s="4"/>
      <c r="O76" s="9"/>
    </row>
    <row r="77" spans="1:15" ht="20" customHeight="1" x14ac:dyDescent="0.2">
      <c r="A77" s="3">
        <v>73</v>
      </c>
      <c r="B77" s="19"/>
      <c r="C77" s="4" t="s">
        <v>6168</v>
      </c>
      <c r="D77" s="4" t="s">
        <v>67</v>
      </c>
      <c r="E77" s="4" t="s">
        <v>152</v>
      </c>
      <c r="F77" s="8"/>
      <c r="G77" s="8">
        <v>10</v>
      </c>
      <c r="H77" s="8"/>
      <c r="I77" s="8">
        <v>10</v>
      </c>
      <c r="J77" s="8"/>
      <c r="K77" s="8">
        <v>20</v>
      </c>
      <c r="L77" s="18">
        <v>0</v>
      </c>
      <c r="M77" s="7">
        <f t="shared" si="2"/>
        <v>0</v>
      </c>
      <c r="N77" s="4"/>
      <c r="O77" s="9"/>
    </row>
    <row r="78" spans="1:15" ht="20" customHeight="1" x14ac:dyDescent="0.2">
      <c r="A78" s="3">
        <v>74</v>
      </c>
      <c r="B78" s="19"/>
      <c r="C78" s="4" t="s">
        <v>6653</v>
      </c>
      <c r="D78" s="4" t="s">
        <v>67</v>
      </c>
      <c r="E78" s="4" t="s">
        <v>152</v>
      </c>
      <c r="F78" s="8"/>
      <c r="G78" s="8">
        <v>110</v>
      </c>
      <c r="H78" s="8"/>
      <c r="I78" s="8">
        <v>10</v>
      </c>
      <c r="J78" s="8"/>
      <c r="K78" s="8">
        <v>40</v>
      </c>
      <c r="L78" s="18">
        <v>0</v>
      </c>
      <c r="M78" s="7">
        <f t="shared" si="2"/>
        <v>0</v>
      </c>
      <c r="N78" s="4"/>
      <c r="O78" s="9"/>
    </row>
    <row r="79" spans="1:15" ht="20" customHeight="1" x14ac:dyDescent="0.2">
      <c r="A79" s="3">
        <v>75</v>
      </c>
      <c r="B79" s="19"/>
      <c r="C79" s="4" t="s">
        <v>6654</v>
      </c>
      <c r="D79" s="4" t="s">
        <v>67</v>
      </c>
      <c r="E79" s="4" t="s">
        <v>152</v>
      </c>
      <c r="F79" s="8"/>
      <c r="G79" s="8">
        <v>210</v>
      </c>
      <c r="H79" s="8"/>
      <c r="I79" s="8">
        <v>10</v>
      </c>
      <c r="J79" s="8"/>
      <c r="K79" s="8">
        <v>40</v>
      </c>
      <c r="L79" s="18">
        <v>0</v>
      </c>
      <c r="M79" s="7">
        <f t="shared" si="2"/>
        <v>0</v>
      </c>
      <c r="N79" s="4"/>
      <c r="O79" s="9"/>
    </row>
    <row r="80" spans="1:15" ht="20" customHeight="1" x14ac:dyDescent="0.2">
      <c r="A80" s="3">
        <v>76</v>
      </c>
      <c r="B80" s="19"/>
      <c r="C80" s="4" t="s">
        <v>6655</v>
      </c>
      <c r="D80" s="4" t="s">
        <v>67</v>
      </c>
      <c r="E80" s="4" t="s">
        <v>152</v>
      </c>
      <c r="F80" s="8"/>
      <c r="G80" s="8">
        <v>210</v>
      </c>
      <c r="H80" s="8"/>
      <c r="I80" s="8">
        <v>10</v>
      </c>
      <c r="J80" s="8"/>
      <c r="K80" s="8">
        <v>40</v>
      </c>
      <c r="L80" s="18">
        <v>0</v>
      </c>
      <c r="M80" s="7">
        <f t="shared" si="2"/>
        <v>0</v>
      </c>
      <c r="N80" s="4"/>
      <c r="O80" s="9"/>
    </row>
    <row r="81" spans="1:15" ht="20" customHeight="1" x14ac:dyDescent="0.2">
      <c r="A81" s="3">
        <v>77</v>
      </c>
      <c r="B81" s="19"/>
      <c r="C81" s="4" t="s">
        <v>6656</v>
      </c>
      <c r="D81" s="4" t="s">
        <v>67</v>
      </c>
      <c r="E81" s="4" t="s">
        <v>152</v>
      </c>
      <c r="F81" s="8"/>
      <c r="G81" s="8"/>
      <c r="H81" s="8"/>
      <c r="I81" s="8"/>
      <c r="J81" s="8"/>
      <c r="K81" s="8">
        <v>50</v>
      </c>
      <c r="L81" s="18">
        <v>0</v>
      </c>
      <c r="M81" s="7">
        <f t="shared" si="2"/>
        <v>0</v>
      </c>
      <c r="N81" s="4"/>
      <c r="O81" s="9"/>
    </row>
    <row r="82" spans="1:15" ht="20" customHeight="1" x14ac:dyDescent="0.2">
      <c r="A82" s="3">
        <v>78</v>
      </c>
      <c r="B82" s="19"/>
      <c r="C82" s="4" t="s">
        <v>6657</v>
      </c>
      <c r="D82" s="4" t="s">
        <v>67</v>
      </c>
      <c r="E82" s="4" t="s">
        <v>152</v>
      </c>
      <c r="F82" s="8"/>
      <c r="G82" s="8"/>
      <c r="H82" s="8"/>
      <c r="I82" s="8">
        <v>10</v>
      </c>
      <c r="J82" s="8"/>
      <c r="K82" s="8">
        <v>40</v>
      </c>
      <c r="L82" s="18">
        <v>0</v>
      </c>
      <c r="M82" s="7">
        <f t="shared" si="2"/>
        <v>0</v>
      </c>
      <c r="N82" s="4"/>
      <c r="O82" s="9"/>
    </row>
    <row r="83" spans="1:15" ht="20" customHeight="1" x14ac:dyDescent="0.2">
      <c r="A83" s="3">
        <v>79</v>
      </c>
      <c r="B83" s="19"/>
      <c r="C83" s="4" t="s">
        <v>6658</v>
      </c>
      <c r="D83" s="4" t="s">
        <v>67</v>
      </c>
      <c r="E83" s="4" t="s">
        <v>152</v>
      </c>
      <c r="F83" s="8"/>
      <c r="G83" s="8"/>
      <c r="H83" s="8"/>
      <c r="I83" s="8">
        <v>10</v>
      </c>
      <c r="J83" s="8"/>
      <c r="K83" s="8">
        <v>40</v>
      </c>
      <c r="L83" s="18">
        <v>0</v>
      </c>
      <c r="M83" s="7">
        <f t="shared" si="2"/>
        <v>0</v>
      </c>
      <c r="N83" s="4"/>
      <c r="O83" s="9"/>
    </row>
    <row r="84" spans="1:15" ht="20" customHeight="1" x14ac:dyDescent="0.2">
      <c r="A84" s="3">
        <v>80</v>
      </c>
      <c r="B84" s="19"/>
      <c r="C84" s="4" t="s">
        <v>6659</v>
      </c>
      <c r="D84" s="4" t="s">
        <v>67</v>
      </c>
      <c r="E84" s="4" t="s">
        <v>152</v>
      </c>
      <c r="F84" s="8"/>
      <c r="G84" s="8"/>
      <c r="H84" s="8"/>
      <c r="I84" s="8">
        <v>10</v>
      </c>
      <c r="J84" s="8"/>
      <c r="K84" s="8">
        <v>490</v>
      </c>
      <c r="L84" s="18">
        <v>33</v>
      </c>
      <c r="M84" s="7">
        <f t="shared" si="2"/>
        <v>16170</v>
      </c>
      <c r="N84" s="4"/>
      <c r="O84" s="9"/>
    </row>
    <row r="85" spans="1:15" ht="20" customHeight="1" x14ac:dyDescent="0.2">
      <c r="A85" s="3">
        <v>81</v>
      </c>
      <c r="B85" s="19"/>
      <c r="C85" s="4" t="s">
        <v>6660</v>
      </c>
      <c r="D85" s="4" t="s">
        <v>67</v>
      </c>
      <c r="E85" s="4" t="s">
        <v>152</v>
      </c>
      <c r="F85" s="8"/>
      <c r="G85" s="8"/>
      <c r="H85" s="8"/>
      <c r="I85" s="8"/>
      <c r="J85" s="8"/>
      <c r="K85" s="8">
        <v>2000</v>
      </c>
      <c r="L85" s="18">
        <v>33</v>
      </c>
      <c r="M85" s="7">
        <f t="shared" si="2"/>
        <v>66000</v>
      </c>
      <c r="N85" s="4"/>
      <c r="O85" s="9"/>
    </row>
    <row r="86" spans="1:15" ht="20" customHeight="1" x14ac:dyDescent="0.2">
      <c r="A86" s="3">
        <v>82</v>
      </c>
      <c r="B86" s="19"/>
      <c r="C86" s="4" t="s">
        <v>6661</v>
      </c>
      <c r="D86" s="4" t="s">
        <v>67</v>
      </c>
      <c r="E86" s="4" t="s">
        <v>152</v>
      </c>
      <c r="F86" s="8"/>
      <c r="G86" s="8"/>
      <c r="H86" s="8"/>
      <c r="I86" s="8"/>
      <c r="J86" s="8"/>
      <c r="K86" s="8">
        <v>3000</v>
      </c>
      <c r="L86" s="18">
        <v>33</v>
      </c>
      <c r="M86" s="7">
        <f t="shared" si="2"/>
        <v>99000</v>
      </c>
      <c r="N86" s="4"/>
      <c r="O86" s="9"/>
    </row>
    <row r="87" spans="1:15" ht="20" customHeight="1" x14ac:dyDescent="0.2">
      <c r="A87" s="3">
        <v>83</v>
      </c>
      <c r="B87" s="19"/>
      <c r="C87" s="4" t="s">
        <v>6662</v>
      </c>
      <c r="D87" s="4" t="s">
        <v>67</v>
      </c>
      <c r="E87" s="4" t="s">
        <v>152</v>
      </c>
      <c r="F87" s="8"/>
      <c r="G87" s="8"/>
      <c r="H87" s="8"/>
      <c r="I87" s="8"/>
      <c r="J87" s="8"/>
      <c r="K87" s="8">
        <v>2500</v>
      </c>
      <c r="L87" s="18">
        <v>33</v>
      </c>
      <c r="M87" s="7">
        <f t="shared" si="2"/>
        <v>82500</v>
      </c>
      <c r="N87" s="4"/>
      <c r="O87" s="9"/>
    </row>
    <row r="88" spans="1:15" ht="20" customHeight="1" x14ac:dyDescent="0.2">
      <c r="A88" s="3">
        <v>84</v>
      </c>
      <c r="B88" s="19"/>
      <c r="C88" s="4" t="s">
        <v>6194</v>
      </c>
      <c r="D88" s="4" t="s">
        <v>67</v>
      </c>
      <c r="E88" s="4" t="s">
        <v>152</v>
      </c>
      <c r="F88" s="8"/>
      <c r="G88" s="8">
        <v>50</v>
      </c>
      <c r="H88" s="8"/>
      <c r="I88" s="8">
        <v>50</v>
      </c>
      <c r="J88" s="8"/>
      <c r="K88" s="8">
        <v>-50</v>
      </c>
      <c r="L88" s="18">
        <v>160</v>
      </c>
      <c r="M88" s="7">
        <f t="shared" si="2"/>
        <v>-8000</v>
      </c>
      <c r="N88" s="4"/>
      <c r="O88" s="9"/>
    </row>
    <row r="89" spans="1:15" ht="20" customHeight="1" x14ac:dyDescent="0.2">
      <c r="A89" s="3">
        <v>85</v>
      </c>
      <c r="B89" s="19"/>
      <c r="C89" s="4" t="s">
        <v>6663</v>
      </c>
      <c r="D89" s="4" t="s">
        <v>67</v>
      </c>
      <c r="E89" s="4" t="s">
        <v>152</v>
      </c>
      <c r="F89" s="8"/>
      <c r="G89" s="8">
        <v>50</v>
      </c>
      <c r="H89" s="8"/>
      <c r="I89" s="8">
        <v>50</v>
      </c>
      <c r="J89" s="8"/>
      <c r="K89" s="8">
        <v>-50</v>
      </c>
      <c r="L89" s="18">
        <v>145</v>
      </c>
      <c r="M89" s="7">
        <f t="shared" si="2"/>
        <v>-7250</v>
      </c>
      <c r="N89" s="4"/>
      <c r="O89" s="9"/>
    </row>
    <row r="90" spans="1:15" ht="20" customHeight="1" x14ac:dyDescent="0.2">
      <c r="A90" s="3">
        <v>86</v>
      </c>
      <c r="B90" s="19"/>
      <c r="C90" s="4" t="s">
        <v>6198</v>
      </c>
      <c r="D90" s="4" t="s">
        <v>67</v>
      </c>
      <c r="E90" s="4" t="s">
        <v>152</v>
      </c>
      <c r="F90" s="8"/>
      <c r="G90" s="8">
        <v>30</v>
      </c>
      <c r="H90" s="8"/>
      <c r="I90" s="8">
        <v>50</v>
      </c>
      <c r="J90" s="8"/>
      <c r="K90" s="8">
        <v>-50</v>
      </c>
      <c r="L90" s="18">
        <v>160</v>
      </c>
      <c r="M90" s="7">
        <f t="shared" si="2"/>
        <v>-8000</v>
      </c>
      <c r="N90" s="4"/>
      <c r="O90" s="9"/>
    </row>
    <row r="91" spans="1:15" ht="20" customHeight="1" x14ac:dyDescent="0.2">
      <c r="A91" s="3">
        <v>87</v>
      </c>
      <c r="B91" s="19"/>
      <c r="C91" s="4" t="s">
        <v>6664</v>
      </c>
      <c r="D91" s="4" t="s">
        <v>67</v>
      </c>
      <c r="E91" s="4" t="s">
        <v>152</v>
      </c>
      <c r="F91" s="8"/>
      <c r="G91" s="8">
        <v>30</v>
      </c>
      <c r="H91" s="8"/>
      <c r="I91" s="8"/>
      <c r="J91" s="8"/>
      <c r="K91" s="8">
        <v>0</v>
      </c>
      <c r="L91" s="18">
        <v>55</v>
      </c>
      <c r="M91" s="7">
        <f t="shared" si="2"/>
        <v>0</v>
      </c>
      <c r="N91" s="4"/>
      <c r="O91" s="9"/>
    </row>
    <row r="92" spans="1:15" ht="20" customHeight="1" x14ac:dyDescent="0.2">
      <c r="A92" s="3">
        <v>88</v>
      </c>
      <c r="B92" s="19"/>
      <c r="C92" s="4" t="s">
        <v>6665</v>
      </c>
      <c r="D92" s="4" t="s">
        <v>67</v>
      </c>
      <c r="E92" s="4" t="s">
        <v>152</v>
      </c>
      <c r="F92" s="8"/>
      <c r="G92" s="8">
        <v>30</v>
      </c>
      <c r="H92" s="8"/>
      <c r="I92" s="8"/>
      <c r="J92" s="8"/>
      <c r="K92" s="8">
        <v>0</v>
      </c>
      <c r="L92" s="18">
        <v>55</v>
      </c>
      <c r="M92" s="7">
        <f t="shared" si="2"/>
        <v>0</v>
      </c>
      <c r="N92" s="4"/>
      <c r="O92" s="9"/>
    </row>
    <row r="93" spans="1:15" ht="20" customHeight="1" x14ac:dyDescent="0.2">
      <c r="A93" s="3">
        <v>89</v>
      </c>
      <c r="B93" s="19"/>
      <c r="C93" s="4" t="s">
        <v>6666</v>
      </c>
      <c r="D93" s="4" t="s">
        <v>67</v>
      </c>
      <c r="E93" s="4" t="s">
        <v>152</v>
      </c>
      <c r="F93" s="8"/>
      <c r="G93" s="8">
        <v>30</v>
      </c>
      <c r="H93" s="8"/>
      <c r="I93" s="8"/>
      <c r="J93" s="8"/>
      <c r="K93" s="8">
        <v>0</v>
      </c>
      <c r="L93" s="18">
        <v>55</v>
      </c>
      <c r="M93" s="7">
        <f t="shared" si="2"/>
        <v>0</v>
      </c>
      <c r="N93" s="4"/>
      <c r="O93" s="9"/>
    </row>
    <row r="94" spans="1:15" ht="20" customHeight="1" x14ac:dyDescent="0.2">
      <c r="A94" s="3">
        <v>90</v>
      </c>
      <c r="B94" s="19"/>
      <c r="C94" s="4" t="s">
        <v>6667</v>
      </c>
      <c r="D94" s="4" t="s">
        <v>67</v>
      </c>
      <c r="E94" s="4" t="s">
        <v>152</v>
      </c>
      <c r="F94" s="8"/>
      <c r="G94" s="8">
        <v>70</v>
      </c>
      <c r="H94" s="8"/>
      <c r="I94" s="8"/>
      <c r="J94" s="8"/>
      <c r="K94" s="8">
        <v>0</v>
      </c>
      <c r="L94" s="18">
        <v>55</v>
      </c>
      <c r="M94" s="7">
        <f t="shared" si="2"/>
        <v>0</v>
      </c>
      <c r="N94" s="4"/>
      <c r="O94" s="9"/>
    </row>
    <row r="95" spans="1:15" ht="20" customHeight="1" x14ac:dyDescent="0.2">
      <c r="A95" s="3">
        <v>91</v>
      </c>
      <c r="B95" s="19"/>
      <c r="C95" s="4" t="s">
        <v>6668</v>
      </c>
      <c r="D95" s="4" t="s">
        <v>67</v>
      </c>
      <c r="E95" s="4" t="s">
        <v>152</v>
      </c>
      <c r="F95" s="8"/>
      <c r="G95" s="8">
        <v>90</v>
      </c>
      <c r="H95" s="8"/>
      <c r="I95" s="8"/>
      <c r="J95" s="8"/>
      <c r="K95" s="8">
        <v>0</v>
      </c>
      <c r="L95" s="18">
        <v>55</v>
      </c>
      <c r="M95" s="7">
        <f t="shared" si="2"/>
        <v>0</v>
      </c>
      <c r="N95" s="4"/>
      <c r="O95" s="9"/>
    </row>
    <row r="96" spans="1:15" ht="20" customHeight="1" x14ac:dyDescent="0.2">
      <c r="A96" s="3">
        <v>92</v>
      </c>
      <c r="B96" s="19"/>
      <c r="C96" s="4" t="s">
        <v>6669</v>
      </c>
      <c r="D96" s="4" t="s">
        <v>67</v>
      </c>
      <c r="E96" s="4" t="s">
        <v>152</v>
      </c>
      <c r="F96" s="8"/>
      <c r="G96" s="8">
        <v>50</v>
      </c>
      <c r="H96" s="8"/>
      <c r="I96" s="8"/>
      <c r="J96" s="8"/>
      <c r="K96" s="8">
        <v>0</v>
      </c>
      <c r="L96" s="18">
        <v>55</v>
      </c>
      <c r="M96" s="7">
        <f t="shared" si="2"/>
        <v>0</v>
      </c>
      <c r="N96" s="4"/>
      <c r="O96" s="9"/>
    </row>
    <row r="97" spans="1:15" ht="20" customHeight="1" x14ac:dyDescent="0.2">
      <c r="A97" s="3">
        <v>93</v>
      </c>
      <c r="B97" s="19"/>
      <c r="C97" s="4" t="s">
        <v>6670</v>
      </c>
      <c r="D97" s="4" t="s">
        <v>67</v>
      </c>
      <c r="E97" s="4" t="s">
        <v>152</v>
      </c>
      <c r="F97" s="8"/>
      <c r="G97" s="8">
        <v>30</v>
      </c>
      <c r="H97" s="8"/>
      <c r="I97" s="8"/>
      <c r="J97" s="8"/>
      <c r="K97" s="8">
        <v>0</v>
      </c>
      <c r="L97" s="18">
        <v>55</v>
      </c>
      <c r="M97" s="7">
        <f t="shared" si="2"/>
        <v>0</v>
      </c>
      <c r="N97" s="4"/>
      <c r="O97" s="9"/>
    </row>
    <row r="98" spans="1:15" ht="20" customHeight="1" x14ac:dyDescent="0.2">
      <c r="A98" s="3">
        <v>94</v>
      </c>
      <c r="B98" s="19"/>
      <c r="C98" s="4" t="s">
        <v>6671</v>
      </c>
      <c r="D98" s="4" t="s">
        <v>67</v>
      </c>
      <c r="E98" s="4" t="s">
        <v>152</v>
      </c>
      <c r="F98" s="8"/>
      <c r="G98" s="8">
        <v>50</v>
      </c>
      <c r="H98" s="8"/>
      <c r="I98" s="8"/>
      <c r="J98" s="8"/>
      <c r="K98" s="8">
        <v>0</v>
      </c>
      <c r="L98" s="18">
        <v>58.8</v>
      </c>
      <c r="M98" s="7">
        <f t="shared" si="2"/>
        <v>0</v>
      </c>
      <c r="N98" s="4"/>
      <c r="O98" s="9"/>
    </row>
    <row r="99" spans="1:15" ht="20" customHeight="1" x14ac:dyDescent="0.2">
      <c r="A99" s="3">
        <v>95</v>
      </c>
      <c r="B99" s="19"/>
      <c r="C99" s="4" t="s">
        <v>6672</v>
      </c>
      <c r="D99" s="4" t="s">
        <v>67</v>
      </c>
      <c r="E99" s="4" t="s">
        <v>152</v>
      </c>
      <c r="F99" s="8"/>
      <c r="G99" s="8">
        <v>50</v>
      </c>
      <c r="H99" s="8"/>
      <c r="I99" s="8"/>
      <c r="J99" s="8"/>
      <c r="K99" s="8">
        <v>0</v>
      </c>
      <c r="L99" s="18">
        <v>58.8</v>
      </c>
      <c r="M99" s="7">
        <f t="shared" si="2"/>
        <v>0</v>
      </c>
      <c r="N99" s="4"/>
      <c r="O99" s="9"/>
    </row>
    <row r="100" spans="1:15" ht="20" customHeight="1" x14ac:dyDescent="0.2">
      <c r="A100" s="3">
        <v>96</v>
      </c>
      <c r="B100" s="19"/>
      <c r="C100" s="4" t="s">
        <v>6673</v>
      </c>
      <c r="D100" s="4" t="s">
        <v>67</v>
      </c>
      <c r="E100" s="4" t="s">
        <v>152</v>
      </c>
      <c r="F100" s="8"/>
      <c r="G100" s="8">
        <v>100</v>
      </c>
      <c r="H100" s="8">
        <v>30</v>
      </c>
      <c r="I100" s="8"/>
      <c r="J100" s="8"/>
      <c r="K100" s="8">
        <v>0</v>
      </c>
      <c r="L100" s="18">
        <v>58.8</v>
      </c>
      <c r="M100" s="7">
        <f t="shared" si="2"/>
        <v>0</v>
      </c>
      <c r="N100" s="4"/>
      <c r="O100" s="9"/>
    </row>
    <row r="101" spans="1:15" ht="20" customHeight="1" x14ac:dyDescent="0.2">
      <c r="A101" s="3">
        <v>97</v>
      </c>
      <c r="B101" s="19"/>
      <c r="C101" s="4" t="s">
        <v>6674</v>
      </c>
      <c r="D101" s="4" t="s">
        <v>67</v>
      </c>
      <c r="E101" s="4" t="s">
        <v>152</v>
      </c>
      <c r="F101" s="8"/>
      <c r="G101" s="8">
        <v>100</v>
      </c>
      <c r="H101" s="8"/>
      <c r="I101" s="8"/>
      <c r="J101" s="8"/>
      <c r="K101" s="8">
        <v>0</v>
      </c>
      <c r="L101" s="18">
        <v>58.8</v>
      </c>
      <c r="M101" s="7">
        <f t="shared" ref="M101:M132" si="3">IF(OR(K101="",L101=""),"",K101*L101)</f>
        <v>0</v>
      </c>
      <c r="N101" s="4"/>
      <c r="O101" s="9"/>
    </row>
    <row r="102" spans="1:15" ht="20" customHeight="1" x14ac:dyDescent="0.2">
      <c r="A102" s="3">
        <v>98</v>
      </c>
      <c r="B102" s="19"/>
      <c r="C102" s="4" t="s">
        <v>6675</v>
      </c>
      <c r="D102" s="4" t="s">
        <v>67</v>
      </c>
      <c r="E102" s="4" t="s">
        <v>152</v>
      </c>
      <c r="F102" s="8"/>
      <c r="G102" s="8">
        <v>1400</v>
      </c>
      <c r="H102" s="8"/>
      <c r="I102" s="8"/>
      <c r="J102" s="8"/>
      <c r="K102" s="8">
        <v>0</v>
      </c>
      <c r="L102" s="18">
        <v>85.6</v>
      </c>
      <c r="M102" s="7">
        <f t="shared" si="3"/>
        <v>0</v>
      </c>
      <c r="N102" s="4"/>
      <c r="O102" s="9"/>
    </row>
    <row r="103" spans="1:15" ht="20" customHeight="1" x14ac:dyDescent="0.2">
      <c r="A103" s="3">
        <v>99</v>
      </c>
      <c r="B103" s="19"/>
      <c r="C103" s="4" t="s">
        <v>6676</v>
      </c>
      <c r="D103" s="4" t="s">
        <v>67</v>
      </c>
      <c r="E103" s="4" t="s">
        <v>152</v>
      </c>
      <c r="F103" s="8"/>
      <c r="G103" s="8">
        <v>2400</v>
      </c>
      <c r="H103" s="8"/>
      <c r="I103" s="8"/>
      <c r="J103" s="8"/>
      <c r="K103" s="8">
        <v>0</v>
      </c>
      <c r="L103" s="18">
        <v>85.6</v>
      </c>
      <c r="M103" s="7">
        <f t="shared" si="3"/>
        <v>0</v>
      </c>
      <c r="N103" s="4"/>
      <c r="O103" s="9"/>
    </row>
    <row r="104" spans="1:15" ht="20" customHeight="1" x14ac:dyDescent="0.2">
      <c r="A104" s="3">
        <v>100</v>
      </c>
      <c r="B104" s="19"/>
      <c r="C104" s="4" t="s">
        <v>6677</v>
      </c>
      <c r="D104" s="4" t="s">
        <v>67</v>
      </c>
      <c r="E104" s="4" t="s">
        <v>152</v>
      </c>
      <c r="F104" s="8"/>
      <c r="G104" s="8">
        <v>2100</v>
      </c>
      <c r="H104" s="8"/>
      <c r="I104" s="8"/>
      <c r="J104" s="8"/>
      <c r="K104" s="8">
        <v>0</v>
      </c>
      <c r="L104" s="18">
        <v>85.6</v>
      </c>
      <c r="M104" s="7">
        <f t="shared" si="3"/>
        <v>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6678</v>
      </c>
      <c r="D105" s="4" t="s">
        <v>67</v>
      </c>
      <c r="E105" s="4" t="s">
        <v>684</v>
      </c>
      <c r="F105" s="8"/>
      <c r="G105" s="8">
        <v>100</v>
      </c>
      <c r="H105" s="8">
        <v>20</v>
      </c>
      <c r="I105" s="8"/>
      <c r="J105" s="8"/>
      <c r="K105" s="8">
        <v>0</v>
      </c>
      <c r="L105" s="18">
        <v>800</v>
      </c>
      <c r="M105" s="7">
        <f t="shared" si="3"/>
        <v>0</v>
      </c>
      <c r="N105" s="4"/>
      <c r="O105" s="9"/>
    </row>
    <row r="106" spans="1:15" ht="20" customHeight="1" x14ac:dyDescent="0.2">
      <c r="A106" s="3">
        <v>102</v>
      </c>
      <c r="B106" s="19"/>
      <c r="C106" s="4" t="s">
        <v>6679</v>
      </c>
      <c r="D106" s="4" t="s">
        <v>67</v>
      </c>
      <c r="E106" s="4" t="s">
        <v>152</v>
      </c>
      <c r="F106" s="8"/>
      <c r="G106" s="8">
        <v>50</v>
      </c>
      <c r="H106" s="8"/>
      <c r="I106" s="8"/>
      <c r="J106" s="8"/>
      <c r="K106" s="8">
        <v>0</v>
      </c>
      <c r="L106" s="18">
        <v>50</v>
      </c>
      <c r="M106" s="7">
        <f t="shared" si="3"/>
        <v>0</v>
      </c>
      <c r="N106" s="4"/>
      <c r="O106" s="9"/>
    </row>
    <row r="107" spans="1:15" ht="20" customHeight="1" x14ac:dyDescent="0.2">
      <c r="A107" s="3">
        <v>103</v>
      </c>
      <c r="B107" s="19"/>
      <c r="C107" s="4" t="s">
        <v>6680</v>
      </c>
      <c r="D107" s="4" t="s">
        <v>67</v>
      </c>
      <c r="E107" s="4" t="s">
        <v>152</v>
      </c>
      <c r="F107" s="8"/>
      <c r="G107" s="8">
        <v>300</v>
      </c>
      <c r="H107" s="8">
        <v>100</v>
      </c>
      <c r="I107" s="8"/>
      <c r="J107" s="8"/>
      <c r="K107" s="8">
        <v>0</v>
      </c>
      <c r="L107" s="18">
        <v>50</v>
      </c>
      <c r="M107" s="7">
        <f t="shared" si="3"/>
        <v>0</v>
      </c>
      <c r="N107" s="4"/>
      <c r="O107" s="9"/>
    </row>
    <row r="108" spans="1:15" ht="20" customHeight="1" x14ac:dyDescent="0.2">
      <c r="A108" s="3">
        <v>104</v>
      </c>
      <c r="B108" s="19"/>
      <c r="C108" s="4" t="s">
        <v>6681</v>
      </c>
      <c r="D108" s="4" t="s">
        <v>67</v>
      </c>
      <c r="E108" s="4" t="s">
        <v>152</v>
      </c>
      <c r="F108" s="8"/>
      <c r="G108" s="8">
        <v>900</v>
      </c>
      <c r="H108" s="8">
        <v>200</v>
      </c>
      <c r="I108" s="8"/>
      <c r="J108" s="8"/>
      <c r="K108" s="8">
        <v>0</v>
      </c>
      <c r="L108" s="18">
        <v>50</v>
      </c>
      <c r="M108" s="7">
        <f t="shared" si="3"/>
        <v>0</v>
      </c>
      <c r="N108" s="4"/>
      <c r="O108" s="9"/>
    </row>
    <row r="109" spans="1:15" ht="20" customHeight="1" x14ac:dyDescent="0.2">
      <c r="A109" s="3">
        <v>105</v>
      </c>
      <c r="B109" s="19"/>
      <c r="C109" s="4" t="s">
        <v>6682</v>
      </c>
      <c r="D109" s="4" t="s">
        <v>67</v>
      </c>
      <c r="E109" s="4" t="s">
        <v>152</v>
      </c>
      <c r="F109" s="8"/>
      <c r="G109" s="8">
        <v>800</v>
      </c>
      <c r="H109" s="8">
        <v>100</v>
      </c>
      <c r="I109" s="8"/>
      <c r="J109" s="8"/>
      <c r="K109" s="8">
        <v>0</v>
      </c>
      <c r="L109" s="18">
        <v>50</v>
      </c>
      <c r="M109" s="7">
        <f t="shared" si="3"/>
        <v>0</v>
      </c>
      <c r="N109" s="4"/>
      <c r="O109" s="9"/>
    </row>
    <row r="110" spans="1:15" ht="20" customHeight="1" x14ac:dyDescent="0.2">
      <c r="A110" s="3">
        <v>106</v>
      </c>
      <c r="B110" s="19"/>
      <c r="C110" s="4" t="s">
        <v>6683</v>
      </c>
      <c r="D110" s="4" t="s">
        <v>67</v>
      </c>
      <c r="E110" s="4" t="s">
        <v>152</v>
      </c>
      <c r="F110" s="8"/>
      <c r="G110" s="8"/>
      <c r="H110" s="8">
        <v>200</v>
      </c>
      <c r="I110" s="8"/>
      <c r="J110" s="8"/>
      <c r="K110" s="8">
        <v>0</v>
      </c>
      <c r="L110" s="18">
        <v>50</v>
      </c>
      <c r="M110" s="7">
        <f t="shared" si="3"/>
        <v>0</v>
      </c>
      <c r="N110" s="4"/>
      <c r="O110" s="9"/>
    </row>
    <row r="111" spans="1:15" ht="20" customHeight="1" x14ac:dyDescent="0.2">
      <c r="A111" s="3">
        <v>107</v>
      </c>
      <c r="B111" s="19"/>
      <c r="C111" s="4" t="s">
        <v>6684</v>
      </c>
      <c r="D111" s="4" t="s">
        <v>67</v>
      </c>
      <c r="E111" s="4" t="s">
        <v>152</v>
      </c>
      <c r="F111" s="8"/>
      <c r="G111" s="8"/>
      <c r="H111" s="8">
        <v>400</v>
      </c>
      <c r="I111" s="8"/>
      <c r="J111" s="8"/>
      <c r="K111" s="8">
        <v>0</v>
      </c>
      <c r="L111" s="18">
        <v>50</v>
      </c>
      <c r="M111" s="7">
        <f t="shared" si="3"/>
        <v>0</v>
      </c>
      <c r="N111" s="4"/>
      <c r="O111" s="9"/>
    </row>
    <row r="112" spans="1:15" ht="20" customHeight="1" x14ac:dyDescent="0.2">
      <c r="A112" s="3">
        <v>108</v>
      </c>
      <c r="B112" s="19"/>
      <c r="C112" s="4" t="s">
        <v>6685</v>
      </c>
      <c r="D112" s="4" t="s">
        <v>67</v>
      </c>
      <c r="E112" s="4" t="s">
        <v>152</v>
      </c>
      <c r="F112" s="8"/>
      <c r="G112" s="8"/>
      <c r="H112" s="8">
        <v>200</v>
      </c>
      <c r="I112" s="8"/>
      <c r="J112" s="8"/>
      <c r="K112" s="8">
        <v>0</v>
      </c>
      <c r="L112" s="18">
        <v>50</v>
      </c>
      <c r="M112" s="7">
        <f t="shared" si="3"/>
        <v>0</v>
      </c>
      <c r="N112" s="4"/>
      <c r="O112" s="9"/>
    </row>
    <row r="113" spans="1:15" ht="22" customHeight="1" x14ac:dyDescent="0.35">
      <c r="A113" s="10" t="s">
        <v>86</v>
      </c>
      <c r="B113" s="20"/>
      <c r="C113" s="11"/>
      <c r="D113" s="11"/>
      <c r="E113" s="11"/>
      <c r="F113" s="11"/>
      <c r="G113" s="11"/>
      <c r="H113" s="11"/>
      <c r="I113" s="11"/>
      <c r="J113" s="11"/>
      <c r="K113" s="13">
        <f>SUM(K5:K112)</f>
        <v>30498</v>
      </c>
      <c r="L113" s="11"/>
      <c r="M113" s="13">
        <f>SUM(M5:M112)</f>
        <v>2037294</v>
      </c>
      <c r="N113" s="11"/>
      <c r="O113" s="11"/>
    </row>
    <row r="114" spans="1:15" ht="32" customHeight="1" x14ac:dyDescent="0.2">
      <c r="A114" s="23" t="s">
        <v>6686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</row>
  </sheetData>
  <autoFilter ref="A4:O112" xr:uid="{00000000-0009-0000-0000-000015000000}"/>
  <mergeCells count="5">
    <mergeCell ref="E2:G2"/>
    <mergeCell ref="I2:J2"/>
    <mergeCell ref="A1:O1"/>
    <mergeCell ref="F3:O3"/>
    <mergeCell ref="A114:O114"/>
  </mergeCells>
  <conditionalFormatting sqref="E3">
    <cfRule type="cellIs" dxfId="15" priority="1" operator="greaterThan">
      <formula>0.009</formula>
    </cfRule>
    <cfRule type="cellIs" dxfId="14" priority="2" operator="lessThan">
      <formula>-0.009</formula>
    </cfRule>
  </conditionalFormatting>
  <dataValidations count="1">
    <dataValidation type="list" allowBlank="1" sqref="O5:O112" xr:uid="{00000000-0002-0000-15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วิสัญญี · DBR/2570/0024</oddHeader>
    <oddFooter>&amp;Lส่งออกจากฐาน VPK-S1 วันที่ 12 ต.ค. 2569&amp;Rหน้า &amp;P / &amp;N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B6848"/>
    <pageSetUpPr fitToPage="1"/>
  </sheetPr>
  <dimension ref="A1:O14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6687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69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1732000</v>
      </c>
      <c r="D3" s="15" t="s">
        <v>94</v>
      </c>
      <c r="E3" s="17">
        <f>M13-C3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6688</v>
      </c>
      <c r="D5" s="4" t="s">
        <v>6689</v>
      </c>
      <c r="E5" s="4" t="s">
        <v>128</v>
      </c>
      <c r="F5" s="8"/>
      <c r="G5" s="8"/>
      <c r="H5" s="8"/>
      <c r="I5" s="8"/>
      <c r="J5" s="8"/>
      <c r="K5" s="8">
        <v>25</v>
      </c>
      <c r="L5" s="18">
        <v>9000</v>
      </c>
      <c r="M5" s="7">
        <f t="shared" ref="M5:M12" si="0">IF(OR(K5="",L5=""),"",K5*L5)</f>
        <v>225000</v>
      </c>
      <c r="N5" s="4"/>
      <c r="O5" s="9"/>
    </row>
    <row r="6" spans="1:15" ht="20" customHeight="1" x14ac:dyDescent="0.2">
      <c r="A6" s="3">
        <v>2</v>
      </c>
      <c r="B6" s="19"/>
      <c r="C6" s="4" t="s">
        <v>6690</v>
      </c>
      <c r="D6" s="4" t="s">
        <v>6689</v>
      </c>
      <c r="E6" s="4" t="s">
        <v>128</v>
      </c>
      <c r="F6" s="8"/>
      <c r="G6" s="8"/>
      <c r="H6" s="8"/>
      <c r="I6" s="8"/>
      <c r="J6" s="8"/>
      <c r="K6" s="8">
        <v>15</v>
      </c>
      <c r="L6" s="18">
        <v>12500</v>
      </c>
      <c r="M6" s="7">
        <f t="shared" si="0"/>
        <v>187500</v>
      </c>
      <c r="N6" s="4"/>
      <c r="O6" s="9"/>
    </row>
    <row r="7" spans="1:15" ht="20" customHeight="1" x14ac:dyDescent="0.2">
      <c r="A7" s="3">
        <v>3</v>
      </c>
      <c r="B7" s="19"/>
      <c r="C7" s="4" t="s">
        <v>6691</v>
      </c>
      <c r="D7" s="4" t="s">
        <v>6689</v>
      </c>
      <c r="E7" s="4" t="s">
        <v>128</v>
      </c>
      <c r="F7" s="8"/>
      <c r="G7" s="8"/>
      <c r="H7" s="8"/>
      <c r="I7" s="8"/>
      <c r="J7" s="8"/>
      <c r="K7" s="8">
        <v>20</v>
      </c>
      <c r="L7" s="18">
        <v>12500</v>
      </c>
      <c r="M7" s="7">
        <f t="shared" si="0"/>
        <v>250000</v>
      </c>
      <c r="N7" s="4"/>
      <c r="O7" s="9"/>
    </row>
    <row r="8" spans="1:15" ht="20" customHeight="1" x14ac:dyDescent="0.2">
      <c r="A8" s="3">
        <v>4</v>
      </c>
      <c r="B8" s="19"/>
      <c r="C8" s="4" t="s">
        <v>6692</v>
      </c>
      <c r="D8" s="4" t="s">
        <v>6689</v>
      </c>
      <c r="E8" s="4" t="s">
        <v>128</v>
      </c>
      <c r="F8" s="8"/>
      <c r="G8" s="8"/>
      <c r="H8" s="8"/>
      <c r="I8" s="8"/>
      <c r="J8" s="8"/>
      <c r="K8" s="8">
        <v>35</v>
      </c>
      <c r="L8" s="18">
        <v>9000</v>
      </c>
      <c r="M8" s="7">
        <f t="shared" si="0"/>
        <v>315000</v>
      </c>
      <c r="N8" s="4"/>
      <c r="O8" s="9"/>
    </row>
    <row r="9" spans="1:15" ht="20" customHeight="1" x14ac:dyDescent="0.2">
      <c r="A9" s="3">
        <v>5</v>
      </c>
      <c r="B9" s="19"/>
      <c r="C9" s="4" t="s">
        <v>6693</v>
      </c>
      <c r="D9" s="4" t="s">
        <v>6689</v>
      </c>
      <c r="E9" s="4" t="s">
        <v>128</v>
      </c>
      <c r="F9" s="8"/>
      <c r="G9" s="8"/>
      <c r="H9" s="8"/>
      <c r="I9" s="8"/>
      <c r="J9" s="8"/>
      <c r="K9" s="8">
        <v>12</v>
      </c>
      <c r="L9" s="18">
        <v>13500</v>
      </c>
      <c r="M9" s="7">
        <f t="shared" si="0"/>
        <v>162000</v>
      </c>
      <c r="N9" s="4"/>
      <c r="O9" s="9"/>
    </row>
    <row r="10" spans="1:15" ht="20" customHeight="1" x14ac:dyDescent="0.2">
      <c r="A10" s="3">
        <v>6</v>
      </c>
      <c r="B10" s="19"/>
      <c r="C10" s="4" t="s">
        <v>6694</v>
      </c>
      <c r="D10" s="4" t="s">
        <v>6689</v>
      </c>
      <c r="E10" s="4" t="s">
        <v>128</v>
      </c>
      <c r="F10" s="8"/>
      <c r="G10" s="8"/>
      <c r="H10" s="8"/>
      <c r="I10" s="8"/>
      <c r="J10" s="8"/>
      <c r="K10" s="8">
        <v>20</v>
      </c>
      <c r="L10" s="18">
        <v>9000</v>
      </c>
      <c r="M10" s="7">
        <f t="shared" si="0"/>
        <v>180000</v>
      </c>
      <c r="N10" s="4"/>
      <c r="O10" s="9"/>
    </row>
    <row r="11" spans="1:15" ht="20" customHeight="1" x14ac:dyDescent="0.2">
      <c r="A11" s="3">
        <v>7</v>
      </c>
      <c r="B11" s="19"/>
      <c r="C11" s="4" t="s">
        <v>6695</v>
      </c>
      <c r="D11" s="4" t="s">
        <v>6689</v>
      </c>
      <c r="E11" s="4" t="s">
        <v>128</v>
      </c>
      <c r="F11" s="8"/>
      <c r="G11" s="8"/>
      <c r="H11" s="8"/>
      <c r="I11" s="8"/>
      <c r="J11" s="8"/>
      <c r="K11" s="8">
        <v>15</v>
      </c>
      <c r="L11" s="18">
        <v>12500</v>
      </c>
      <c r="M11" s="7">
        <f t="shared" si="0"/>
        <v>187500</v>
      </c>
      <c r="N11" s="4"/>
      <c r="O11" s="9"/>
    </row>
    <row r="12" spans="1:15" ht="20" customHeight="1" x14ac:dyDescent="0.2">
      <c r="A12" s="3">
        <v>8</v>
      </c>
      <c r="B12" s="19"/>
      <c r="C12" s="4" t="s">
        <v>6696</v>
      </c>
      <c r="D12" s="4" t="s">
        <v>6689</v>
      </c>
      <c r="E12" s="4" t="s">
        <v>128</v>
      </c>
      <c r="F12" s="8"/>
      <c r="G12" s="8"/>
      <c r="H12" s="8"/>
      <c r="I12" s="8"/>
      <c r="J12" s="8"/>
      <c r="K12" s="8">
        <v>25</v>
      </c>
      <c r="L12" s="18">
        <v>9000</v>
      </c>
      <c r="M12" s="7">
        <f t="shared" si="0"/>
        <v>225000</v>
      </c>
      <c r="N12" s="4"/>
      <c r="O12" s="9"/>
    </row>
    <row r="13" spans="1:15" ht="22" customHeight="1" x14ac:dyDescent="0.35">
      <c r="A13" s="10" t="s">
        <v>86</v>
      </c>
      <c r="B13" s="20"/>
      <c r="C13" s="11"/>
      <c r="D13" s="11"/>
      <c r="E13" s="11"/>
      <c r="F13" s="11"/>
      <c r="G13" s="11"/>
      <c r="H13" s="11"/>
      <c r="I13" s="11"/>
      <c r="J13" s="11"/>
      <c r="K13" s="13">
        <f>SUM(K5:K12)</f>
        <v>167</v>
      </c>
      <c r="L13" s="11"/>
      <c r="M13" s="13">
        <f>SUM(M5:M12)</f>
        <v>1732000</v>
      </c>
      <c r="N13" s="11"/>
      <c r="O13" s="11"/>
    </row>
    <row r="14" spans="1:15" ht="32" customHeight="1" x14ac:dyDescent="0.2">
      <c r="A14" s="23" t="s">
        <v>6697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</sheetData>
  <autoFilter ref="A4:O12" xr:uid="{00000000-0009-0000-0000-000016000000}"/>
  <mergeCells count="5">
    <mergeCell ref="E2:G2"/>
    <mergeCell ref="I2:J2"/>
    <mergeCell ref="A14:O14"/>
    <mergeCell ref="A1:O1"/>
    <mergeCell ref="F3:O3"/>
  </mergeCells>
  <conditionalFormatting sqref="E3">
    <cfRule type="cellIs" dxfId="13" priority="1" operator="greaterThan">
      <formula>0.009</formula>
    </cfRule>
    <cfRule type="cellIs" dxfId="12" priority="2" operator="lessThan">
      <formula>-0.009</formula>
    </cfRule>
  </conditionalFormatting>
  <dataValidations count="1">
    <dataValidation type="list" allowBlank="1" sqref="O5:O12" xr:uid="{00000000-0002-0000-16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ENT · DBR/2570/0025</oddHeader>
    <oddFooter>&amp;Lส่งออกจากฐาน VPK-S1 วันที่ 12 ต.ค. 2569&amp;Rหน้า &amp;P / &amp;N</oddFooter>
  </headerFooter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B6848"/>
    <pageSetUpPr fitToPage="1"/>
  </sheetPr>
  <dimension ref="A1:O19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6698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71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1732000</v>
      </c>
      <c r="D3" s="15" t="s">
        <v>94</v>
      </c>
      <c r="E3" s="17">
        <f>M18-C3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6699</v>
      </c>
      <c r="D5" s="4" t="s">
        <v>6689</v>
      </c>
      <c r="E5" s="4" t="s">
        <v>271</v>
      </c>
      <c r="F5" s="8"/>
      <c r="G5" s="8">
        <v>5</v>
      </c>
      <c r="H5" s="8"/>
      <c r="I5" s="8"/>
      <c r="J5" s="8"/>
      <c r="K5" s="8">
        <v>0</v>
      </c>
      <c r="L5" s="18">
        <v>2500</v>
      </c>
      <c r="M5" s="7">
        <f t="shared" ref="M5:M17" si="0">IF(OR(K5="",L5=""),"",K5*L5)</f>
        <v>0</v>
      </c>
      <c r="N5" s="4"/>
      <c r="O5" s="9"/>
    </row>
    <row r="6" spans="1:15" ht="20" customHeight="1" x14ac:dyDescent="0.2">
      <c r="A6" s="3">
        <v>2</v>
      </c>
      <c r="B6" s="19"/>
      <c r="C6" s="4" t="s">
        <v>6700</v>
      </c>
      <c r="D6" s="4" t="s">
        <v>6689</v>
      </c>
      <c r="E6" s="4" t="s">
        <v>271</v>
      </c>
      <c r="F6" s="8"/>
      <c r="G6" s="8">
        <v>5</v>
      </c>
      <c r="H6" s="8"/>
      <c r="I6" s="8"/>
      <c r="J6" s="8"/>
      <c r="K6" s="8">
        <v>0</v>
      </c>
      <c r="L6" s="18">
        <v>2500</v>
      </c>
      <c r="M6" s="7">
        <f t="shared" si="0"/>
        <v>0</v>
      </c>
      <c r="N6" s="4"/>
      <c r="O6" s="9"/>
    </row>
    <row r="7" spans="1:15" ht="20" customHeight="1" x14ac:dyDescent="0.2">
      <c r="A7" s="3">
        <v>3</v>
      </c>
      <c r="B7" s="19"/>
      <c r="C7" s="4" t="s">
        <v>6701</v>
      </c>
      <c r="D7" s="4" t="s">
        <v>6689</v>
      </c>
      <c r="E7" s="4" t="s">
        <v>110</v>
      </c>
      <c r="F7" s="8"/>
      <c r="G7" s="8">
        <v>1</v>
      </c>
      <c r="H7" s="8"/>
      <c r="I7" s="8"/>
      <c r="J7" s="8"/>
      <c r="K7" s="8">
        <v>0</v>
      </c>
      <c r="L7" s="18">
        <v>2125</v>
      </c>
      <c r="M7" s="7">
        <f t="shared" si="0"/>
        <v>0</v>
      </c>
      <c r="N7" s="4"/>
      <c r="O7" s="9"/>
    </row>
    <row r="8" spans="1:15" ht="20" customHeight="1" x14ac:dyDescent="0.2">
      <c r="A8" s="3">
        <v>4</v>
      </c>
      <c r="B8" s="19"/>
      <c r="C8" s="4" t="s">
        <v>6702</v>
      </c>
      <c r="D8" s="4" t="s">
        <v>6689</v>
      </c>
      <c r="E8" s="4" t="s">
        <v>110</v>
      </c>
      <c r="F8" s="8">
        <v>6</v>
      </c>
      <c r="G8" s="8">
        <v>1</v>
      </c>
      <c r="H8" s="8"/>
      <c r="I8" s="8"/>
      <c r="J8" s="8"/>
      <c r="K8" s="8">
        <v>0</v>
      </c>
      <c r="L8" s="18">
        <v>2125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6703</v>
      </c>
      <c r="D9" s="4" t="s">
        <v>6689</v>
      </c>
      <c r="E9" s="4" t="s">
        <v>128</v>
      </c>
      <c r="F9" s="8">
        <v>40</v>
      </c>
      <c r="G9" s="8">
        <v>40</v>
      </c>
      <c r="H9" s="8">
        <v>26</v>
      </c>
      <c r="I9" s="8"/>
      <c r="J9" s="8"/>
      <c r="K9" s="8">
        <v>25</v>
      </c>
      <c r="L9" s="18">
        <v>9000</v>
      </c>
      <c r="M9" s="7">
        <f t="shared" si="0"/>
        <v>225000</v>
      </c>
      <c r="N9" s="4"/>
      <c r="O9" s="9"/>
    </row>
    <row r="10" spans="1:15" ht="20" customHeight="1" x14ac:dyDescent="0.2">
      <c r="A10" s="3">
        <v>6</v>
      </c>
      <c r="B10" s="19"/>
      <c r="C10" s="4" t="s">
        <v>6704</v>
      </c>
      <c r="D10" s="4" t="s">
        <v>6689</v>
      </c>
      <c r="E10" s="4" t="s">
        <v>128</v>
      </c>
      <c r="F10" s="8">
        <v>40</v>
      </c>
      <c r="G10" s="8">
        <v>40</v>
      </c>
      <c r="H10" s="8">
        <v>35</v>
      </c>
      <c r="I10" s="8"/>
      <c r="J10" s="8"/>
      <c r="K10" s="8">
        <v>35</v>
      </c>
      <c r="L10" s="18">
        <v>9000</v>
      </c>
      <c r="M10" s="7">
        <f t="shared" si="0"/>
        <v>315000</v>
      </c>
      <c r="N10" s="4"/>
      <c r="O10" s="9"/>
    </row>
    <row r="11" spans="1:15" ht="20" customHeight="1" x14ac:dyDescent="0.2">
      <c r="A11" s="3">
        <v>7</v>
      </c>
      <c r="B11" s="19"/>
      <c r="C11" s="4" t="s">
        <v>6705</v>
      </c>
      <c r="D11" s="4" t="s">
        <v>6689</v>
      </c>
      <c r="E11" s="4" t="s">
        <v>128</v>
      </c>
      <c r="F11" s="8">
        <v>9</v>
      </c>
      <c r="G11" s="8">
        <v>15</v>
      </c>
      <c r="H11" s="8">
        <v>22</v>
      </c>
      <c r="I11" s="8"/>
      <c r="J11" s="8"/>
      <c r="K11" s="8">
        <v>20</v>
      </c>
      <c r="L11" s="18">
        <v>12500</v>
      </c>
      <c r="M11" s="7">
        <f t="shared" si="0"/>
        <v>250000</v>
      </c>
      <c r="N11" s="4"/>
      <c r="O11" s="9"/>
    </row>
    <row r="12" spans="1:15" ht="20" customHeight="1" x14ac:dyDescent="0.2">
      <c r="A12" s="3">
        <v>8</v>
      </c>
      <c r="B12" s="19"/>
      <c r="C12" s="4" t="s">
        <v>6706</v>
      </c>
      <c r="D12" s="4" t="s">
        <v>6689</v>
      </c>
      <c r="E12" s="4" t="s">
        <v>128</v>
      </c>
      <c r="F12" s="8">
        <v>6</v>
      </c>
      <c r="G12" s="8">
        <v>15</v>
      </c>
      <c r="H12" s="8">
        <v>21</v>
      </c>
      <c r="I12" s="8"/>
      <c r="J12" s="8"/>
      <c r="K12" s="8">
        <v>15</v>
      </c>
      <c r="L12" s="18">
        <v>12500</v>
      </c>
      <c r="M12" s="7">
        <f t="shared" si="0"/>
        <v>187500</v>
      </c>
      <c r="N12" s="4"/>
      <c r="O12" s="9"/>
    </row>
    <row r="13" spans="1:15" ht="20" customHeight="1" x14ac:dyDescent="0.2">
      <c r="A13" s="3">
        <v>9</v>
      </c>
      <c r="B13" s="19"/>
      <c r="C13" s="4" t="s">
        <v>6707</v>
      </c>
      <c r="D13" s="4" t="s">
        <v>6689</v>
      </c>
      <c r="E13" s="4" t="s">
        <v>128</v>
      </c>
      <c r="F13" s="8">
        <v>6</v>
      </c>
      <c r="G13" s="8">
        <v>6</v>
      </c>
      <c r="H13" s="8">
        <v>4</v>
      </c>
      <c r="I13" s="8"/>
      <c r="J13" s="8"/>
      <c r="K13" s="8">
        <v>12</v>
      </c>
      <c r="L13" s="18">
        <v>13500</v>
      </c>
      <c r="M13" s="7">
        <f t="shared" si="0"/>
        <v>162000</v>
      </c>
      <c r="N13" s="4"/>
      <c r="O13" s="9"/>
    </row>
    <row r="14" spans="1:15" ht="20" customHeight="1" x14ac:dyDescent="0.2">
      <c r="A14" s="3">
        <v>10</v>
      </c>
      <c r="B14" s="19"/>
      <c r="C14" s="4" t="s">
        <v>6708</v>
      </c>
      <c r="D14" s="4" t="s">
        <v>6689</v>
      </c>
      <c r="E14" s="4" t="s">
        <v>128</v>
      </c>
      <c r="F14" s="8">
        <v>20</v>
      </c>
      <c r="G14" s="8">
        <v>17</v>
      </c>
      <c r="H14" s="8">
        <v>2</v>
      </c>
      <c r="I14" s="8"/>
      <c r="J14" s="8"/>
      <c r="K14" s="8">
        <v>20</v>
      </c>
      <c r="L14" s="18">
        <v>9000</v>
      </c>
      <c r="M14" s="7">
        <f t="shared" si="0"/>
        <v>180000</v>
      </c>
      <c r="N14" s="4"/>
      <c r="O14" s="9"/>
    </row>
    <row r="15" spans="1:15" ht="20" customHeight="1" x14ac:dyDescent="0.2">
      <c r="A15" s="3">
        <v>11</v>
      </c>
      <c r="B15" s="19"/>
      <c r="C15" s="4" t="s">
        <v>6709</v>
      </c>
      <c r="D15" s="4" t="s">
        <v>6689</v>
      </c>
      <c r="E15" s="4" t="s">
        <v>128</v>
      </c>
      <c r="F15" s="8">
        <v>9</v>
      </c>
      <c r="G15" s="8">
        <v>13</v>
      </c>
      <c r="H15" s="8">
        <v>12</v>
      </c>
      <c r="I15" s="8"/>
      <c r="J15" s="8"/>
      <c r="K15" s="8">
        <v>15</v>
      </c>
      <c r="L15" s="18">
        <v>12500</v>
      </c>
      <c r="M15" s="7">
        <f t="shared" si="0"/>
        <v>187500</v>
      </c>
      <c r="N15" s="4"/>
      <c r="O15" s="9"/>
    </row>
    <row r="16" spans="1:15" ht="20" customHeight="1" x14ac:dyDescent="0.2">
      <c r="A16" s="3">
        <v>12</v>
      </c>
      <c r="B16" s="19"/>
      <c r="C16" s="4" t="s">
        <v>6710</v>
      </c>
      <c r="D16" s="4" t="s">
        <v>6689</v>
      </c>
      <c r="E16" s="4" t="s">
        <v>128</v>
      </c>
      <c r="F16" s="8">
        <v>20</v>
      </c>
      <c r="G16" s="8">
        <v>24</v>
      </c>
      <c r="H16" s="8">
        <v>30</v>
      </c>
      <c r="I16" s="8"/>
      <c r="J16" s="8"/>
      <c r="K16" s="8">
        <v>25</v>
      </c>
      <c r="L16" s="18">
        <v>9000</v>
      </c>
      <c r="M16" s="7">
        <f t="shared" si="0"/>
        <v>225000</v>
      </c>
      <c r="N16" s="4"/>
      <c r="O16" s="9"/>
    </row>
    <row r="17" spans="1:15" ht="20" customHeight="1" x14ac:dyDescent="0.2">
      <c r="A17" s="3">
        <v>13</v>
      </c>
      <c r="B17" s="19"/>
      <c r="C17" s="4" t="s">
        <v>6711</v>
      </c>
      <c r="D17" s="4" t="s">
        <v>6689</v>
      </c>
      <c r="E17" s="4" t="s">
        <v>152</v>
      </c>
      <c r="F17" s="8"/>
      <c r="G17" s="8">
        <v>50</v>
      </c>
      <c r="H17" s="8"/>
      <c r="I17" s="8"/>
      <c r="J17" s="8"/>
      <c r="K17" s="8">
        <v>0</v>
      </c>
      <c r="L17" s="18">
        <v>180</v>
      </c>
      <c r="M17" s="7">
        <f t="shared" si="0"/>
        <v>0</v>
      </c>
      <c r="N17" s="4"/>
      <c r="O17" s="9"/>
    </row>
    <row r="18" spans="1:15" ht="22" customHeight="1" x14ac:dyDescent="0.35">
      <c r="A18" s="10" t="s">
        <v>86</v>
      </c>
      <c r="B18" s="20"/>
      <c r="C18" s="11"/>
      <c r="D18" s="11"/>
      <c r="E18" s="11"/>
      <c r="F18" s="11"/>
      <c r="G18" s="11"/>
      <c r="H18" s="11"/>
      <c r="I18" s="11"/>
      <c r="J18" s="11"/>
      <c r="K18" s="13">
        <f>SUM(K5:K17)</f>
        <v>167</v>
      </c>
      <c r="L18" s="11"/>
      <c r="M18" s="13">
        <f>SUM(M5:M17)</f>
        <v>1732000</v>
      </c>
      <c r="N18" s="11"/>
      <c r="O18" s="11"/>
    </row>
    <row r="19" spans="1:15" ht="32" customHeight="1" x14ac:dyDescent="0.2">
      <c r="A19" s="23" t="s">
        <v>6712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</sheetData>
  <autoFilter ref="A4:O17" xr:uid="{00000000-0009-0000-0000-000017000000}"/>
  <mergeCells count="5">
    <mergeCell ref="E2:G2"/>
    <mergeCell ref="I2:J2"/>
    <mergeCell ref="A19:O19"/>
    <mergeCell ref="A1:O1"/>
    <mergeCell ref="F3:O3"/>
  </mergeCells>
  <conditionalFormatting sqref="E3">
    <cfRule type="cellIs" dxfId="11" priority="1" operator="greaterThan">
      <formula>0.009</formula>
    </cfRule>
    <cfRule type="cellIs" dxfId="10" priority="2" operator="lessThan">
      <formula>-0.009</formula>
    </cfRule>
  </conditionalFormatting>
  <dataValidations count="1">
    <dataValidation type="list" allowBlank="1" sqref="O5:O17" xr:uid="{00000000-0002-0000-17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โสต ศอ นาสิก · DBR/2570/0026</oddHeader>
    <oddFooter>&amp;Lส่งออกจากฐาน VPK-S1 วันที่ 12 ต.ค. 2569&amp;Rหน้า &amp;P / &amp;N</oddFooter>
  </headerFooter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B6848"/>
    <pageSetUpPr fitToPage="1"/>
  </sheetPr>
  <dimension ref="A1:O188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6713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73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48900025.600000001</v>
      </c>
      <c r="D3" s="15" t="s">
        <v>94</v>
      </c>
      <c r="E3" s="17">
        <f>M187-C3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6714</v>
      </c>
      <c r="D5" s="4" t="s">
        <v>6715</v>
      </c>
      <c r="E5" s="4" t="s">
        <v>190</v>
      </c>
      <c r="F5" s="8">
        <v>1200</v>
      </c>
      <c r="G5" s="8">
        <v>500</v>
      </c>
      <c r="H5" s="8">
        <v>1100</v>
      </c>
      <c r="I5" s="8">
        <v>156</v>
      </c>
      <c r="J5" s="8"/>
      <c r="K5" s="8">
        <v>1200</v>
      </c>
      <c r="L5" s="18">
        <v>70</v>
      </c>
      <c r="M5" s="7">
        <f t="shared" ref="M5:M36" si="0">IF(OR(K5="",L5=""),"",K5*L5)</f>
        <v>84000</v>
      </c>
      <c r="N5" s="4"/>
      <c r="O5" s="9"/>
    </row>
    <row r="6" spans="1:15" ht="20" customHeight="1" x14ac:dyDescent="0.2">
      <c r="A6" s="3">
        <v>2</v>
      </c>
      <c r="B6" s="19"/>
      <c r="C6" s="4" t="s">
        <v>6716</v>
      </c>
      <c r="D6" s="4" t="s">
        <v>6715</v>
      </c>
      <c r="E6" s="4" t="s">
        <v>499</v>
      </c>
      <c r="F6" s="8">
        <v>6</v>
      </c>
      <c r="G6" s="8">
        <v>20</v>
      </c>
      <c r="H6" s="8">
        <v>20</v>
      </c>
      <c r="I6" s="8">
        <v>20</v>
      </c>
      <c r="J6" s="8"/>
      <c r="K6" s="8">
        <v>10</v>
      </c>
      <c r="L6" s="18">
        <v>115</v>
      </c>
      <c r="M6" s="7">
        <f t="shared" si="0"/>
        <v>1150</v>
      </c>
      <c r="N6" s="4" t="s">
        <v>6717</v>
      </c>
      <c r="O6" s="9"/>
    </row>
    <row r="7" spans="1:15" ht="20" customHeight="1" x14ac:dyDescent="0.2">
      <c r="A7" s="3">
        <v>3</v>
      </c>
      <c r="B7" s="19"/>
      <c r="C7" s="4" t="s">
        <v>6718</v>
      </c>
      <c r="D7" s="4" t="s">
        <v>6715</v>
      </c>
      <c r="E7" s="4" t="s">
        <v>499</v>
      </c>
      <c r="F7" s="8">
        <v>16</v>
      </c>
      <c r="G7" s="8">
        <v>10</v>
      </c>
      <c r="H7" s="8">
        <v>20</v>
      </c>
      <c r="I7" s="8">
        <v>10</v>
      </c>
      <c r="J7" s="8"/>
      <c r="K7" s="8">
        <v>10</v>
      </c>
      <c r="L7" s="18">
        <v>115</v>
      </c>
      <c r="M7" s="7">
        <f t="shared" si="0"/>
        <v>1150</v>
      </c>
      <c r="N7" s="4" t="s">
        <v>6719</v>
      </c>
      <c r="O7" s="9"/>
    </row>
    <row r="8" spans="1:15" ht="20" customHeight="1" x14ac:dyDescent="0.2">
      <c r="A8" s="3">
        <v>4</v>
      </c>
      <c r="B8" s="19"/>
      <c r="C8" s="4" t="s">
        <v>6720</v>
      </c>
      <c r="D8" s="4" t="s">
        <v>6715</v>
      </c>
      <c r="E8" s="4" t="s">
        <v>499</v>
      </c>
      <c r="F8" s="8">
        <v>20</v>
      </c>
      <c r="G8" s="8">
        <v>10</v>
      </c>
      <c r="H8" s="8">
        <v>20</v>
      </c>
      <c r="I8" s="8">
        <v>10</v>
      </c>
      <c r="J8" s="8"/>
      <c r="K8" s="8">
        <v>10</v>
      </c>
      <c r="L8" s="18">
        <v>115</v>
      </c>
      <c r="M8" s="7">
        <f t="shared" si="0"/>
        <v>1150</v>
      </c>
      <c r="N8" s="4" t="s">
        <v>6721</v>
      </c>
      <c r="O8" s="9"/>
    </row>
    <row r="9" spans="1:15" ht="20" customHeight="1" x14ac:dyDescent="0.2">
      <c r="A9" s="3">
        <v>5</v>
      </c>
      <c r="B9" s="19"/>
      <c r="C9" s="4" t="s">
        <v>6722</v>
      </c>
      <c r="D9" s="4" t="s">
        <v>6715</v>
      </c>
      <c r="E9" s="4" t="s">
        <v>499</v>
      </c>
      <c r="F9" s="8"/>
      <c r="G9" s="8"/>
      <c r="H9" s="8">
        <v>20</v>
      </c>
      <c r="I9" s="8">
        <v>20</v>
      </c>
      <c r="J9" s="8"/>
      <c r="K9" s="8">
        <v>10</v>
      </c>
      <c r="L9" s="18">
        <v>115</v>
      </c>
      <c r="M9" s="7">
        <f t="shared" si="0"/>
        <v>1150</v>
      </c>
      <c r="N9" s="4" t="s">
        <v>6723</v>
      </c>
      <c r="O9" s="9"/>
    </row>
    <row r="10" spans="1:15" ht="20" customHeight="1" x14ac:dyDescent="0.2">
      <c r="A10" s="3">
        <v>6</v>
      </c>
      <c r="B10" s="19"/>
      <c r="C10" s="4" t="s">
        <v>6724</v>
      </c>
      <c r="D10" s="4" t="s">
        <v>6715</v>
      </c>
      <c r="E10" s="4" t="s">
        <v>499</v>
      </c>
      <c r="F10" s="8"/>
      <c r="G10" s="8">
        <v>20</v>
      </c>
      <c r="H10" s="8">
        <v>20</v>
      </c>
      <c r="I10" s="8"/>
      <c r="J10" s="8"/>
      <c r="K10" s="8">
        <v>20</v>
      </c>
      <c r="L10" s="18">
        <v>115</v>
      </c>
      <c r="M10" s="7">
        <f t="shared" si="0"/>
        <v>2300</v>
      </c>
      <c r="N10" s="4" t="s">
        <v>6725</v>
      </c>
      <c r="O10" s="9"/>
    </row>
    <row r="11" spans="1:15" ht="20" customHeight="1" x14ac:dyDescent="0.2">
      <c r="A11" s="3">
        <v>7</v>
      </c>
      <c r="B11" s="19"/>
      <c r="C11" s="4" t="s">
        <v>6726</v>
      </c>
      <c r="D11" s="4" t="s">
        <v>6715</v>
      </c>
      <c r="E11" s="4" t="s">
        <v>499</v>
      </c>
      <c r="F11" s="8">
        <v>200</v>
      </c>
      <c r="G11" s="8">
        <v>200</v>
      </c>
      <c r="H11" s="8">
        <v>200</v>
      </c>
      <c r="I11" s="8">
        <v>200</v>
      </c>
      <c r="J11" s="8"/>
      <c r="K11" s="8">
        <v>200</v>
      </c>
      <c r="L11" s="18">
        <v>30</v>
      </c>
      <c r="M11" s="7">
        <f t="shared" si="0"/>
        <v>6000</v>
      </c>
      <c r="N11" s="4" t="s">
        <v>6727</v>
      </c>
      <c r="O11" s="9"/>
    </row>
    <row r="12" spans="1:15" ht="20" customHeight="1" x14ac:dyDescent="0.2">
      <c r="A12" s="3">
        <v>8</v>
      </c>
      <c r="B12" s="19"/>
      <c r="C12" s="4" t="s">
        <v>6728</v>
      </c>
      <c r="D12" s="4" t="s">
        <v>6715</v>
      </c>
      <c r="E12" s="4" t="s">
        <v>499</v>
      </c>
      <c r="F12" s="8">
        <v>200</v>
      </c>
      <c r="G12" s="8">
        <v>200</v>
      </c>
      <c r="H12" s="8">
        <v>150</v>
      </c>
      <c r="I12" s="8">
        <v>60</v>
      </c>
      <c r="J12" s="8"/>
      <c r="K12" s="8">
        <v>200</v>
      </c>
      <c r="L12" s="18">
        <v>16</v>
      </c>
      <c r="M12" s="7">
        <f t="shared" si="0"/>
        <v>3200</v>
      </c>
      <c r="N12" s="4" t="s">
        <v>6729</v>
      </c>
      <c r="O12" s="9"/>
    </row>
    <row r="13" spans="1:15" ht="20" customHeight="1" x14ac:dyDescent="0.2">
      <c r="A13" s="3">
        <v>9</v>
      </c>
      <c r="B13" s="19"/>
      <c r="C13" s="4" t="s">
        <v>6730</v>
      </c>
      <c r="D13" s="4" t="s">
        <v>6715</v>
      </c>
      <c r="E13" s="4" t="s">
        <v>499</v>
      </c>
      <c r="F13" s="8">
        <v>3000</v>
      </c>
      <c r="G13" s="8">
        <v>3000</v>
      </c>
      <c r="H13" s="8">
        <v>6000</v>
      </c>
      <c r="I13" s="8">
        <v>2000</v>
      </c>
      <c r="J13" s="8"/>
      <c r="K13" s="8">
        <v>6500</v>
      </c>
      <c r="L13" s="18">
        <v>16</v>
      </c>
      <c r="M13" s="7">
        <f t="shared" si="0"/>
        <v>104000</v>
      </c>
      <c r="N13" s="4" t="s">
        <v>6731</v>
      </c>
      <c r="O13" s="9"/>
    </row>
    <row r="14" spans="1:15" ht="20" customHeight="1" x14ac:dyDescent="0.2">
      <c r="A14" s="3">
        <v>10</v>
      </c>
      <c r="B14" s="19"/>
      <c r="C14" s="4" t="s">
        <v>6732</v>
      </c>
      <c r="D14" s="4" t="s">
        <v>6715</v>
      </c>
      <c r="E14" s="4" t="s">
        <v>499</v>
      </c>
      <c r="F14" s="8">
        <v>6000</v>
      </c>
      <c r="G14" s="8">
        <v>6000</v>
      </c>
      <c r="H14" s="8">
        <v>7500</v>
      </c>
      <c r="I14" s="8">
        <v>1500</v>
      </c>
      <c r="J14" s="8"/>
      <c r="K14" s="8">
        <v>8000</v>
      </c>
      <c r="L14" s="18">
        <v>16</v>
      </c>
      <c r="M14" s="7">
        <f t="shared" si="0"/>
        <v>128000</v>
      </c>
      <c r="N14" s="4" t="s">
        <v>6733</v>
      </c>
      <c r="O14" s="9"/>
    </row>
    <row r="15" spans="1:15" ht="20" customHeight="1" x14ac:dyDescent="0.2">
      <c r="A15" s="3">
        <v>11</v>
      </c>
      <c r="B15" s="19"/>
      <c r="C15" s="4" t="s">
        <v>6734</v>
      </c>
      <c r="D15" s="4" t="s">
        <v>6715</v>
      </c>
      <c r="E15" s="4" t="s">
        <v>499</v>
      </c>
      <c r="F15" s="8">
        <v>1100</v>
      </c>
      <c r="G15" s="8">
        <v>1100</v>
      </c>
      <c r="H15" s="8">
        <v>1200</v>
      </c>
      <c r="I15" s="8">
        <v>170</v>
      </c>
      <c r="J15" s="8"/>
      <c r="K15" s="8">
        <v>2000</v>
      </c>
      <c r="L15" s="18">
        <v>16</v>
      </c>
      <c r="M15" s="7">
        <f t="shared" si="0"/>
        <v>32000</v>
      </c>
      <c r="N15" s="4" t="s">
        <v>6735</v>
      </c>
      <c r="O15" s="9"/>
    </row>
    <row r="16" spans="1:15" ht="20" customHeight="1" x14ac:dyDescent="0.2">
      <c r="A16" s="3">
        <v>12</v>
      </c>
      <c r="B16" s="19"/>
      <c r="C16" s="4" t="s">
        <v>6736</v>
      </c>
      <c r="D16" s="4" t="s">
        <v>6715</v>
      </c>
      <c r="E16" s="4" t="s">
        <v>499</v>
      </c>
      <c r="F16" s="8">
        <v>200</v>
      </c>
      <c r="G16" s="8">
        <v>300</v>
      </c>
      <c r="H16" s="8">
        <v>700</v>
      </c>
      <c r="I16" s="8">
        <v>390</v>
      </c>
      <c r="J16" s="8"/>
      <c r="K16" s="8">
        <v>1000</v>
      </c>
      <c r="L16" s="18">
        <v>16</v>
      </c>
      <c r="M16" s="7">
        <f t="shared" si="0"/>
        <v>16000</v>
      </c>
      <c r="N16" s="4" t="s">
        <v>6737</v>
      </c>
      <c r="O16" s="9"/>
    </row>
    <row r="17" spans="1:15" ht="20" customHeight="1" x14ac:dyDescent="0.2">
      <c r="A17" s="3">
        <v>13</v>
      </c>
      <c r="B17" s="19"/>
      <c r="C17" s="4" t="s">
        <v>6738</v>
      </c>
      <c r="D17" s="4" t="s">
        <v>6715</v>
      </c>
      <c r="E17" s="4" t="s">
        <v>499</v>
      </c>
      <c r="F17" s="8">
        <v>200</v>
      </c>
      <c r="G17" s="8">
        <v>200</v>
      </c>
      <c r="H17" s="8">
        <v>200</v>
      </c>
      <c r="I17" s="8">
        <v>200</v>
      </c>
      <c r="J17" s="8"/>
      <c r="K17" s="8">
        <v>500</v>
      </c>
      <c r="L17" s="18">
        <v>16</v>
      </c>
      <c r="M17" s="7">
        <f t="shared" si="0"/>
        <v>8000</v>
      </c>
      <c r="N17" s="4" t="s">
        <v>6739</v>
      </c>
      <c r="O17" s="9"/>
    </row>
    <row r="18" spans="1:15" ht="20" customHeight="1" x14ac:dyDescent="0.2">
      <c r="A18" s="3">
        <v>14</v>
      </c>
      <c r="B18" s="19"/>
      <c r="C18" s="4" t="s">
        <v>6740</v>
      </c>
      <c r="D18" s="4" t="s">
        <v>6715</v>
      </c>
      <c r="E18" s="4" t="s">
        <v>499</v>
      </c>
      <c r="F18" s="8">
        <v>400</v>
      </c>
      <c r="G18" s="8">
        <v>400</v>
      </c>
      <c r="H18" s="8">
        <v>600</v>
      </c>
      <c r="I18" s="8">
        <v>520</v>
      </c>
      <c r="J18" s="8"/>
      <c r="K18" s="8">
        <v>1000</v>
      </c>
      <c r="L18" s="18">
        <v>30</v>
      </c>
      <c r="M18" s="7">
        <f t="shared" si="0"/>
        <v>30000</v>
      </c>
      <c r="N18" s="4" t="s">
        <v>6741</v>
      </c>
      <c r="O18" s="9"/>
    </row>
    <row r="19" spans="1:15" ht="20" customHeight="1" x14ac:dyDescent="0.2">
      <c r="A19" s="3">
        <v>15</v>
      </c>
      <c r="B19" s="19"/>
      <c r="C19" s="4" t="s">
        <v>6742</v>
      </c>
      <c r="D19" s="4" t="s">
        <v>6715</v>
      </c>
      <c r="E19" s="4" t="s">
        <v>499</v>
      </c>
      <c r="F19" s="8">
        <v>200</v>
      </c>
      <c r="G19" s="8">
        <v>200</v>
      </c>
      <c r="H19" s="8"/>
      <c r="I19" s="8">
        <v>70</v>
      </c>
      <c r="J19" s="8"/>
      <c r="K19" s="8">
        <v>200</v>
      </c>
      <c r="L19" s="18">
        <v>115</v>
      </c>
      <c r="M19" s="7">
        <f t="shared" si="0"/>
        <v>23000</v>
      </c>
      <c r="N19" s="4" t="s">
        <v>6743</v>
      </c>
      <c r="O19" s="9"/>
    </row>
    <row r="20" spans="1:15" ht="20" customHeight="1" x14ac:dyDescent="0.2">
      <c r="A20" s="3">
        <v>16</v>
      </c>
      <c r="B20" s="19"/>
      <c r="C20" s="4" t="s">
        <v>6744</v>
      </c>
      <c r="D20" s="4" t="s">
        <v>6715</v>
      </c>
      <c r="E20" s="4" t="s">
        <v>499</v>
      </c>
      <c r="F20" s="8">
        <v>600</v>
      </c>
      <c r="G20" s="8">
        <v>600</v>
      </c>
      <c r="H20" s="8"/>
      <c r="I20" s="8">
        <v>20</v>
      </c>
      <c r="J20" s="8"/>
      <c r="K20" s="8">
        <v>200</v>
      </c>
      <c r="L20" s="18">
        <v>30</v>
      </c>
      <c r="M20" s="7">
        <f t="shared" si="0"/>
        <v>6000</v>
      </c>
      <c r="N20" s="4" t="s">
        <v>6745</v>
      </c>
      <c r="O20" s="9"/>
    </row>
    <row r="21" spans="1:15" ht="20" customHeight="1" x14ac:dyDescent="0.2">
      <c r="A21" s="3">
        <v>17</v>
      </c>
      <c r="B21" s="19"/>
      <c r="C21" s="4" t="s">
        <v>6746</v>
      </c>
      <c r="D21" s="4" t="s">
        <v>6715</v>
      </c>
      <c r="E21" s="4" t="s">
        <v>271</v>
      </c>
      <c r="F21" s="8">
        <v>300</v>
      </c>
      <c r="G21" s="8">
        <v>300</v>
      </c>
      <c r="H21" s="8">
        <v>360</v>
      </c>
      <c r="I21" s="8">
        <v>72</v>
      </c>
      <c r="J21" s="8"/>
      <c r="K21" s="8">
        <v>400</v>
      </c>
      <c r="L21" s="18">
        <v>438.7</v>
      </c>
      <c r="M21" s="7">
        <f t="shared" si="0"/>
        <v>175480</v>
      </c>
      <c r="N21" s="4" t="s">
        <v>6747</v>
      </c>
      <c r="O21" s="9"/>
    </row>
    <row r="22" spans="1:15" ht="20" customHeight="1" x14ac:dyDescent="0.2">
      <c r="A22" s="3">
        <v>18</v>
      </c>
      <c r="B22" s="19"/>
      <c r="C22" s="4" t="s">
        <v>6748</v>
      </c>
      <c r="D22" s="4" t="s">
        <v>6715</v>
      </c>
      <c r="E22" s="4" t="s">
        <v>271</v>
      </c>
      <c r="F22" s="8">
        <v>200</v>
      </c>
      <c r="G22" s="8">
        <v>200</v>
      </c>
      <c r="H22" s="8">
        <v>540</v>
      </c>
      <c r="I22" s="8">
        <v>280</v>
      </c>
      <c r="J22" s="8"/>
      <c r="K22" s="8">
        <v>600</v>
      </c>
      <c r="L22" s="18">
        <v>438.7</v>
      </c>
      <c r="M22" s="7">
        <f t="shared" si="0"/>
        <v>263220</v>
      </c>
      <c r="N22" s="4" t="s">
        <v>6749</v>
      </c>
      <c r="O22" s="9"/>
    </row>
    <row r="23" spans="1:15" ht="20" customHeight="1" x14ac:dyDescent="0.2">
      <c r="A23" s="3">
        <v>19</v>
      </c>
      <c r="B23" s="19"/>
      <c r="C23" s="4" t="s">
        <v>6750</v>
      </c>
      <c r="D23" s="4" t="s">
        <v>6715</v>
      </c>
      <c r="E23" s="4" t="s">
        <v>196</v>
      </c>
      <c r="F23" s="8">
        <v>40</v>
      </c>
      <c r="G23" s="8">
        <v>40</v>
      </c>
      <c r="H23" s="8">
        <v>20</v>
      </c>
      <c r="I23" s="8">
        <v>25</v>
      </c>
      <c r="J23" s="8"/>
      <c r="K23" s="8">
        <v>40</v>
      </c>
      <c r="L23" s="18">
        <v>680</v>
      </c>
      <c r="M23" s="7">
        <f t="shared" si="0"/>
        <v>27200</v>
      </c>
      <c r="N23" s="4" t="s">
        <v>6751</v>
      </c>
      <c r="O23" s="9"/>
    </row>
    <row r="24" spans="1:15" ht="20" customHeight="1" x14ac:dyDescent="0.2">
      <c r="A24" s="3">
        <v>20</v>
      </c>
      <c r="B24" s="19"/>
      <c r="C24" s="4" t="s">
        <v>6752</v>
      </c>
      <c r="D24" s="4" t="s">
        <v>6715</v>
      </c>
      <c r="E24" s="4" t="s">
        <v>196</v>
      </c>
      <c r="F24" s="8">
        <v>20</v>
      </c>
      <c r="G24" s="8">
        <v>20</v>
      </c>
      <c r="H24" s="8">
        <v>10</v>
      </c>
      <c r="I24" s="8">
        <v>15</v>
      </c>
      <c r="J24" s="8"/>
      <c r="K24" s="8">
        <v>20</v>
      </c>
      <c r="L24" s="18">
        <v>680</v>
      </c>
      <c r="M24" s="7">
        <f t="shared" si="0"/>
        <v>13600</v>
      </c>
      <c r="N24" s="4" t="s">
        <v>6753</v>
      </c>
      <c r="O24" s="9"/>
    </row>
    <row r="25" spans="1:15" ht="20" customHeight="1" x14ac:dyDescent="0.2">
      <c r="A25" s="3">
        <v>21</v>
      </c>
      <c r="B25" s="19"/>
      <c r="C25" s="4" t="s">
        <v>6754</v>
      </c>
      <c r="D25" s="4" t="s">
        <v>6715</v>
      </c>
      <c r="E25" s="4" t="s">
        <v>196</v>
      </c>
      <c r="F25" s="8">
        <v>20</v>
      </c>
      <c r="G25" s="8">
        <v>20</v>
      </c>
      <c r="H25" s="8">
        <v>20</v>
      </c>
      <c r="I25" s="8">
        <v>10</v>
      </c>
      <c r="J25" s="8"/>
      <c r="K25" s="8">
        <v>20</v>
      </c>
      <c r="L25" s="18">
        <v>680</v>
      </c>
      <c r="M25" s="7">
        <f t="shared" si="0"/>
        <v>13600</v>
      </c>
      <c r="N25" s="4" t="s">
        <v>6755</v>
      </c>
      <c r="O25" s="9"/>
    </row>
    <row r="26" spans="1:15" ht="20" customHeight="1" x14ac:dyDescent="0.2">
      <c r="A26" s="3">
        <v>22</v>
      </c>
      <c r="B26" s="19"/>
      <c r="C26" s="4" t="s">
        <v>6756</v>
      </c>
      <c r="D26" s="4" t="s">
        <v>6715</v>
      </c>
      <c r="E26" s="4" t="s">
        <v>196</v>
      </c>
      <c r="F26" s="8">
        <v>10</v>
      </c>
      <c r="G26" s="8">
        <v>10</v>
      </c>
      <c r="H26" s="8">
        <v>35</v>
      </c>
      <c r="I26" s="8"/>
      <c r="J26" s="8"/>
      <c r="K26" s="8">
        <v>40</v>
      </c>
      <c r="L26" s="18">
        <v>680</v>
      </c>
      <c r="M26" s="7">
        <f t="shared" si="0"/>
        <v>27200</v>
      </c>
      <c r="N26" s="4" t="s">
        <v>6757</v>
      </c>
      <c r="O26" s="9"/>
    </row>
    <row r="27" spans="1:15" ht="20" customHeight="1" x14ac:dyDescent="0.2">
      <c r="A27" s="3">
        <v>23</v>
      </c>
      <c r="B27" s="19"/>
      <c r="C27" s="4" t="s">
        <v>6758</v>
      </c>
      <c r="D27" s="4" t="s">
        <v>6715</v>
      </c>
      <c r="E27" s="4" t="s">
        <v>499</v>
      </c>
      <c r="F27" s="8"/>
      <c r="G27" s="8"/>
      <c r="H27" s="8"/>
      <c r="I27" s="8">
        <v>20</v>
      </c>
      <c r="J27" s="8"/>
      <c r="K27" s="8">
        <v>10</v>
      </c>
      <c r="L27" s="18">
        <v>42</v>
      </c>
      <c r="M27" s="7">
        <f t="shared" si="0"/>
        <v>420</v>
      </c>
      <c r="N27" s="4" t="s">
        <v>6759</v>
      </c>
      <c r="O27" s="9"/>
    </row>
    <row r="28" spans="1:15" ht="20" customHeight="1" x14ac:dyDescent="0.2">
      <c r="A28" s="3">
        <v>24</v>
      </c>
      <c r="B28" s="19"/>
      <c r="C28" s="4" t="s">
        <v>6760</v>
      </c>
      <c r="D28" s="4" t="s">
        <v>6715</v>
      </c>
      <c r="E28" s="4" t="s">
        <v>499</v>
      </c>
      <c r="F28" s="8"/>
      <c r="G28" s="8"/>
      <c r="H28" s="8"/>
      <c r="I28" s="8">
        <v>20</v>
      </c>
      <c r="J28" s="8"/>
      <c r="K28" s="8">
        <v>10</v>
      </c>
      <c r="L28" s="18">
        <v>42</v>
      </c>
      <c r="M28" s="7">
        <f t="shared" si="0"/>
        <v>420</v>
      </c>
      <c r="N28" s="4" t="s">
        <v>6761</v>
      </c>
      <c r="O28" s="9"/>
    </row>
    <row r="29" spans="1:15" ht="20" customHeight="1" x14ac:dyDescent="0.2">
      <c r="A29" s="3">
        <v>25</v>
      </c>
      <c r="B29" s="19"/>
      <c r="C29" s="4" t="s">
        <v>6762</v>
      </c>
      <c r="D29" s="4" t="s">
        <v>6715</v>
      </c>
      <c r="E29" s="4" t="s">
        <v>499</v>
      </c>
      <c r="F29" s="8">
        <v>904</v>
      </c>
      <c r="G29" s="8">
        <v>1000</v>
      </c>
      <c r="H29" s="8">
        <v>1650</v>
      </c>
      <c r="I29" s="8">
        <v>200</v>
      </c>
      <c r="J29" s="8"/>
      <c r="K29" s="8">
        <v>2000</v>
      </c>
      <c r="L29" s="18">
        <v>42</v>
      </c>
      <c r="M29" s="7">
        <f t="shared" si="0"/>
        <v>84000</v>
      </c>
      <c r="N29" s="4" t="s">
        <v>6763</v>
      </c>
      <c r="O29" s="9"/>
    </row>
    <row r="30" spans="1:15" ht="20" customHeight="1" x14ac:dyDescent="0.2">
      <c r="A30" s="3">
        <v>26</v>
      </c>
      <c r="B30" s="19"/>
      <c r="C30" s="4" t="s">
        <v>6764</v>
      </c>
      <c r="D30" s="4" t="s">
        <v>6715</v>
      </c>
      <c r="E30" s="4" t="s">
        <v>499</v>
      </c>
      <c r="F30" s="8"/>
      <c r="G30" s="8"/>
      <c r="H30" s="8"/>
      <c r="I30" s="8">
        <v>20</v>
      </c>
      <c r="J30" s="8"/>
      <c r="K30" s="8">
        <v>10</v>
      </c>
      <c r="L30" s="18">
        <v>42</v>
      </c>
      <c r="M30" s="7">
        <f t="shared" si="0"/>
        <v>420</v>
      </c>
      <c r="N30" s="4" t="s">
        <v>6765</v>
      </c>
      <c r="O30" s="9"/>
    </row>
    <row r="31" spans="1:15" ht="20" customHeight="1" x14ac:dyDescent="0.2">
      <c r="A31" s="3">
        <v>27</v>
      </c>
      <c r="B31" s="19"/>
      <c r="C31" s="4" t="s">
        <v>6766</v>
      </c>
      <c r="D31" s="4" t="s">
        <v>6715</v>
      </c>
      <c r="E31" s="4" t="s">
        <v>190</v>
      </c>
      <c r="F31" s="8">
        <v>1400</v>
      </c>
      <c r="G31" s="8">
        <v>1500</v>
      </c>
      <c r="H31" s="8">
        <v>630</v>
      </c>
      <c r="I31" s="8">
        <v>140</v>
      </c>
      <c r="J31" s="8"/>
      <c r="K31" s="8">
        <v>1000</v>
      </c>
      <c r="L31" s="18">
        <v>165</v>
      </c>
      <c r="M31" s="7">
        <f t="shared" si="0"/>
        <v>165000</v>
      </c>
      <c r="N31" s="4" t="s">
        <v>6767</v>
      </c>
      <c r="O31" s="9"/>
    </row>
    <row r="32" spans="1:15" ht="20" customHeight="1" x14ac:dyDescent="0.2">
      <c r="A32" s="3">
        <v>28</v>
      </c>
      <c r="B32" s="19"/>
      <c r="C32" s="4" t="s">
        <v>6768</v>
      </c>
      <c r="D32" s="4" t="s">
        <v>6715</v>
      </c>
      <c r="E32" s="4" t="s">
        <v>190</v>
      </c>
      <c r="F32" s="8">
        <v>27000</v>
      </c>
      <c r="G32" s="8">
        <v>27000</v>
      </c>
      <c r="H32" s="8">
        <v>23040</v>
      </c>
      <c r="I32" s="8">
        <v>3600</v>
      </c>
      <c r="J32" s="8"/>
      <c r="K32" s="8">
        <v>25000</v>
      </c>
      <c r="L32" s="18">
        <v>19.89</v>
      </c>
      <c r="M32" s="7">
        <f t="shared" si="0"/>
        <v>497250</v>
      </c>
      <c r="N32" s="4" t="s">
        <v>6769</v>
      </c>
      <c r="O32" s="9"/>
    </row>
    <row r="33" spans="1:15" ht="20" customHeight="1" x14ac:dyDescent="0.2">
      <c r="A33" s="3">
        <v>29</v>
      </c>
      <c r="B33" s="19"/>
      <c r="C33" s="4" t="s">
        <v>6770</v>
      </c>
      <c r="D33" s="4" t="s">
        <v>6715</v>
      </c>
      <c r="E33" s="4" t="s">
        <v>110</v>
      </c>
      <c r="F33" s="8">
        <v>1000</v>
      </c>
      <c r="G33" s="8">
        <v>1000</v>
      </c>
      <c r="H33" s="8">
        <v>1100</v>
      </c>
      <c r="I33" s="8">
        <v>258</v>
      </c>
      <c r="J33" s="8"/>
      <c r="K33" s="8">
        <v>1000</v>
      </c>
      <c r="L33" s="18">
        <v>363.8</v>
      </c>
      <c r="M33" s="7">
        <f t="shared" si="0"/>
        <v>363800</v>
      </c>
      <c r="N33" s="4" t="s">
        <v>6771</v>
      </c>
      <c r="O33" s="9"/>
    </row>
    <row r="34" spans="1:15" ht="20" customHeight="1" x14ac:dyDescent="0.2">
      <c r="A34" s="3">
        <v>30</v>
      </c>
      <c r="B34" s="19"/>
      <c r="C34" s="4" t="s">
        <v>6772</v>
      </c>
      <c r="D34" s="4" t="s">
        <v>6715</v>
      </c>
      <c r="E34" s="4" t="s">
        <v>190</v>
      </c>
      <c r="F34" s="8">
        <v>15000</v>
      </c>
      <c r="G34" s="8">
        <v>15000</v>
      </c>
      <c r="H34" s="8">
        <v>10000</v>
      </c>
      <c r="I34" s="8">
        <v>4000</v>
      </c>
      <c r="J34" s="8"/>
      <c r="K34" s="8">
        <v>12000</v>
      </c>
      <c r="L34" s="18">
        <v>6</v>
      </c>
      <c r="M34" s="7">
        <f t="shared" si="0"/>
        <v>72000</v>
      </c>
      <c r="N34" s="4" t="s">
        <v>6773</v>
      </c>
      <c r="O34" s="9"/>
    </row>
    <row r="35" spans="1:15" ht="20" customHeight="1" x14ac:dyDescent="0.2">
      <c r="A35" s="3">
        <v>31</v>
      </c>
      <c r="B35" s="19"/>
      <c r="C35" s="4" t="s">
        <v>6774</v>
      </c>
      <c r="D35" s="4" t="s">
        <v>6715</v>
      </c>
      <c r="E35" s="4" t="s">
        <v>190</v>
      </c>
      <c r="F35" s="8">
        <v>64400</v>
      </c>
      <c r="G35" s="8">
        <v>65000</v>
      </c>
      <c r="H35" s="8">
        <v>75600</v>
      </c>
      <c r="I35" s="8">
        <v>7200</v>
      </c>
      <c r="J35" s="8"/>
      <c r="K35" s="8">
        <v>75000</v>
      </c>
      <c r="L35" s="18">
        <v>3</v>
      </c>
      <c r="M35" s="7">
        <f t="shared" si="0"/>
        <v>225000</v>
      </c>
      <c r="N35" s="4" t="s">
        <v>6775</v>
      </c>
      <c r="O35" s="9"/>
    </row>
    <row r="36" spans="1:15" ht="20" customHeight="1" x14ac:dyDescent="0.2">
      <c r="A36" s="3">
        <v>32</v>
      </c>
      <c r="B36" s="19"/>
      <c r="C36" s="4" t="s">
        <v>6776</v>
      </c>
      <c r="D36" s="4" t="s">
        <v>6715</v>
      </c>
      <c r="E36" s="4" t="s">
        <v>190</v>
      </c>
      <c r="F36" s="8">
        <v>900</v>
      </c>
      <c r="G36" s="8">
        <v>900</v>
      </c>
      <c r="H36" s="8">
        <v>500</v>
      </c>
      <c r="I36" s="8">
        <v>169</v>
      </c>
      <c r="J36" s="8"/>
      <c r="K36" s="8">
        <v>1000</v>
      </c>
      <c r="L36" s="18">
        <v>23</v>
      </c>
      <c r="M36" s="7">
        <f t="shared" si="0"/>
        <v>23000</v>
      </c>
      <c r="N36" s="4" t="s">
        <v>6777</v>
      </c>
      <c r="O36" s="9"/>
    </row>
    <row r="37" spans="1:15" ht="20" customHeight="1" x14ac:dyDescent="0.2">
      <c r="A37" s="3">
        <v>33</v>
      </c>
      <c r="B37" s="19"/>
      <c r="C37" s="4" t="s">
        <v>6778</v>
      </c>
      <c r="D37" s="4" t="s">
        <v>6715</v>
      </c>
      <c r="E37" s="4" t="s">
        <v>190</v>
      </c>
      <c r="F37" s="8">
        <v>2000</v>
      </c>
      <c r="G37" s="8">
        <v>2000</v>
      </c>
      <c r="H37" s="8">
        <v>400</v>
      </c>
      <c r="I37" s="8"/>
      <c r="J37" s="8"/>
      <c r="K37" s="8">
        <v>2000</v>
      </c>
      <c r="L37" s="18">
        <v>49</v>
      </c>
      <c r="M37" s="7">
        <f t="shared" ref="M37:M68" si="1">IF(OR(K37="",L37=""),"",K37*L37)</f>
        <v>98000</v>
      </c>
      <c r="N37" s="4" t="s">
        <v>6779</v>
      </c>
      <c r="O37" s="9"/>
    </row>
    <row r="38" spans="1:15" ht="20" customHeight="1" x14ac:dyDescent="0.2">
      <c r="A38" s="3">
        <v>34</v>
      </c>
      <c r="B38" s="19"/>
      <c r="C38" s="4" t="s">
        <v>6780</v>
      </c>
      <c r="D38" s="4" t="s">
        <v>6715</v>
      </c>
      <c r="E38" s="4" t="s">
        <v>190</v>
      </c>
      <c r="F38" s="8">
        <v>2000</v>
      </c>
      <c r="G38" s="8">
        <v>2000</v>
      </c>
      <c r="H38" s="8">
        <v>1000</v>
      </c>
      <c r="I38" s="8"/>
      <c r="J38" s="8"/>
      <c r="K38" s="8">
        <v>3000</v>
      </c>
      <c r="L38" s="18">
        <v>68</v>
      </c>
      <c r="M38" s="7">
        <f t="shared" si="1"/>
        <v>204000</v>
      </c>
      <c r="N38" s="4" t="s">
        <v>6781</v>
      </c>
      <c r="O38" s="9"/>
    </row>
    <row r="39" spans="1:15" ht="20" customHeight="1" x14ac:dyDescent="0.2">
      <c r="A39" s="3">
        <v>35</v>
      </c>
      <c r="B39" s="19"/>
      <c r="C39" s="4" t="s">
        <v>6782</v>
      </c>
      <c r="D39" s="4" t="s">
        <v>6715</v>
      </c>
      <c r="E39" s="4" t="s">
        <v>137</v>
      </c>
      <c r="F39" s="8">
        <v>1000</v>
      </c>
      <c r="G39" s="8">
        <v>1000</v>
      </c>
      <c r="H39" s="8">
        <v>800</v>
      </c>
      <c r="I39" s="8">
        <v>800</v>
      </c>
      <c r="J39" s="8"/>
      <c r="K39" s="8">
        <v>1000</v>
      </c>
      <c r="L39" s="18">
        <v>18</v>
      </c>
      <c r="M39" s="7">
        <f t="shared" si="1"/>
        <v>18000</v>
      </c>
      <c r="N39" s="4" t="s">
        <v>6783</v>
      </c>
      <c r="O39" s="9"/>
    </row>
    <row r="40" spans="1:15" ht="20" customHeight="1" x14ac:dyDescent="0.2">
      <c r="A40" s="3">
        <v>36</v>
      </c>
      <c r="B40" s="19"/>
      <c r="C40" s="4" t="s">
        <v>6784</v>
      </c>
      <c r="D40" s="4" t="s">
        <v>6715</v>
      </c>
      <c r="E40" s="4" t="s">
        <v>137</v>
      </c>
      <c r="F40" s="8">
        <v>1500</v>
      </c>
      <c r="G40" s="8">
        <v>1500</v>
      </c>
      <c r="H40" s="8">
        <v>2000</v>
      </c>
      <c r="I40" s="8">
        <v>1560</v>
      </c>
      <c r="J40" s="8"/>
      <c r="K40" s="8">
        <v>2300</v>
      </c>
      <c r="L40" s="18">
        <v>20</v>
      </c>
      <c r="M40" s="7">
        <f t="shared" si="1"/>
        <v>46000</v>
      </c>
      <c r="N40" s="4" t="s">
        <v>6785</v>
      </c>
      <c r="O40" s="9"/>
    </row>
    <row r="41" spans="1:15" ht="20" customHeight="1" x14ac:dyDescent="0.2">
      <c r="A41" s="3">
        <v>37</v>
      </c>
      <c r="B41" s="19"/>
      <c r="C41" s="4" t="s">
        <v>6786</v>
      </c>
      <c r="D41" s="4" t="s">
        <v>6715</v>
      </c>
      <c r="E41" s="4" t="s">
        <v>190</v>
      </c>
      <c r="F41" s="8">
        <v>43000</v>
      </c>
      <c r="G41" s="8">
        <v>60000</v>
      </c>
      <c r="H41" s="8">
        <v>40000</v>
      </c>
      <c r="I41" s="8"/>
      <c r="J41" s="8"/>
      <c r="K41" s="8">
        <v>50000</v>
      </c>
      <c r="L41" s="18">
        <v>2.25</v>
      </c>
      <c r="M41" s="7">
        <f t="shared" si="1"/>
        <v>112500</v>
      </c>
      <c r="N41" s="4" t="s">
        <v>6787</v>
      </c>
      <c r="O41" s="9"/>
    </row>
    <row r="42" spans="1:15" ht="20" customHeight="1" x14ac:dyDescent="0.2">
      <c r="A42" s="3">
        <v>38</v>
      </c>
      <c r="B42" s="19"/>
      <c r="C42" s="4" t="s">
        <v>6788</v>
      </c>
      <c r="D42" s="4" t="s">
        <v>6715</v>
      </c>
      <c r="E42" s="4" t="s">
        <v>190</v>
      </c>
      <c r="F42" s="8">
        <v>250000</v>
      </c>
      <c r="G42" s="8">
        <v>250000</v>
      </c>
      <c r="H42" s="8">
        <v>280000</v>
      </c>
      <c r="I42" s="8"/>
      <c r="J42" s="8"/>
      <c r="K42" s="8">
        <v>265000</v>
      </c>
      <c r="L42" s="18">
        <v>4.8</v>
      </c>
      <c r="M42" s="7">
        <f t="shared" si="1"/>
        <v>1272000</v>
      </c>
      <c r="N42" s="4" t="s">
        <v>6789</v>
      </c>
      <c r="O42" s="9"/>
    </row>
    <row r="43" spans="1:15" ht="20" customHeight="1" x14ac:dyDescent="0.2">
      <c r="A43" s="3">
        <v>39</v>
      </c>
      <c r="B43" s="19"/>
      <c r="C43" s="4" t="s">
        <v>6790</v>
      </c>
      <c r="D43" s="4" t="s">
        <v>6715</v>
      </c>
      <c r="E43" s="4" t="s">
        <v>190</v>
      </c>
      <c r="F43" s="8">
        <v>15000</v>
      </c>
      <c r="G43" s="8">
        <v>16000</v>
      </c>
      <c r="H43" s="8">
        <v>25500</v>
      </c>
      <c r="I43" s="8"/>
      <c r="J43" s="8"/>
      <c r="K43" s="8">
        <v>30000</v>
      </c>
      <c r="L43" s="18">
        <v>80</v>
      </c>
      <c r="M43" s="7">
        <f t="shared" si="1"/>
        <v>2400000</v>
      </c>
      <c r="N43" s="4" t="s">
        <v>6791</v>
      </c>
      <c r="O43" s="9"/>
    </row>
    <row r="44" spans="1:15" ht="20" customHeight="1" x14ac:dyDescent="0.2">
      <c r="A44" s="3">
        <v>40</v>
      </c>
      <c r="B44" s="19"/>
      <c r="C44" s="4" t="s">
        <v>6792</v>
      </c>
      <c r="D44" s="4" t="s">
        <v>6715</v>
      </c>
      <c r="E44" s="4" t="s">
        <v>190</v>
      </c>
      <c r="F44" s="8">
        <v>1500</v>
      </c>
      <c r="G44" s="8">
        <v>1500</v>
      </c>
      <c r="H44" s="8">
        <v>900</v>
      </c>
      <c r="I44" s="8">
        <v>600</v>
      </c>
      <c r="J44" s="8"/>
      <c r="K44" s="8">
        <v>1000</v>
      </c>
      <c r="L44" s="18">
        <v>70</v>
      </c>
      <c r="M44" s="7">
        <f t="shared" si="1"/>
        <v>70000</v>
      </c>
      <c r="N44" s="4" t="s">
        <v>6793</v>
      </c>
      <c r="O44" s="9"/>
    </row>
    <row r="45" spans="1:15" ht="20" customHeight="1" x14ac:dyDescent="0.2">
      <c r="A45" s="3">
        <v>41</v>
      </c>
      <c r="B45" s="19"/>
      <c r="C45" s="4" t="s">
        <v>6794</v>
      </c>
      <c r="D45" s="4" t="s">
        <v>6715</v>
      </c>
      <c r="E45" s="4" t="s">
        <v>271</v>
      </c>
      <c r="F45" s="8">
        <v>1000</v>
      </c>
      <c r="G45" s="8">
        <v>1000</v>
      </c>
      <c r="H45" s="8">
        <v>1760</v>
      </c>
      <c r="I45" s="8">
        <v>880</v>
      </c>
      <c r="J45" s="8"/>
      <c r="K45" s="8">
        <v>2000</v>
      </c>
      <c r="L45" s="18">
        <v>80</v>
      </c>
      <c r="M45" s="7">
        <f t="shared" si="1"/>
        <v>160000</v>
      </c>
      <c r="N45" s="4" t="s">
        <v>6795</v>
      </c>
      <c r="O45" s="9"/>
    </row>
    <row r="46" spans="1:15" ht="20" customHeight="1" x14ac:dyDescent="0.2">
      <c r="A46" s="3">
        <v>42</v>
      </c>
      <c r="B46" s="19"/>
      <c r="C46" s="4" t="s">
        <v>6796</v>
      </c>
      <c r="D46" s="4" t="s">
        <v>6715</v>
      </c>
      <c r="E46" s="4" t="s">
        <v>287</v>
      </c>
      <c r="F46" s="8"/>
      <c r="G46" s="8"/>
      <c r="H46" s="8">
        <v>2600</v>
      </c>
      <c r="I46" s="8"/>
      <c r="J46" s="8"/>
      <c r="K46" s="8">
        <v>3000</v>
      </c>
      <c r="L46" s="18">
        <v>173</v>
      </c>
      <c r="M46" s="7">
        <f t="shared" si="1"/>
        <v>519000</v>
      </c>
      <c r="N46" s="4" t="s">
        <v>6797</v>
      </c>
      <c r="O46" s="9"/>
    </row>
    <row r="47" spans="1:15" ht="20" customHeight="1" x14ac:dyDescent="0.2">
      <c r="A47" s="3">
        <v>43</v>
      </c>
      <c r="B47" s="19"/>
      <c r="C47" s="4" t="s">
        <v>6798</v>
      </c>
      <c r="D47" s="4" t="s">
        <v>6715</v>
      </c>
      <c r="E47" s="4" t="s">
        <v>137</v>
      </c>
      <c r="F47" s="8">
        <v>4180</v>
      </c>
      <c r="G47" s="8">
        <v>5000</v>
      </c>
      <c r="H47" s="8">
        <v>6120</v>
      </c>
      <c r="I47" s="8">
        <v>1536</v>
      </c>
      <c r="J47" s="8"/>
      <c r="K47" s="8">
        <v>7000</v>
      </c>
      <c r="L47" s="18">
        <v>224.7</v>
      </c>
      <c r="M47" s="7">
        <f t="shared" si="1"/>
        <v>1572900</v>
      </c>
      <c r="N47" s="4" t="s">
        <v>6799</v>
      </c>
      <c r="O47" s="9"/>
    </row>
    <row r="48" spans="1:15" ht="20" customHeight="1" x14ac:dyDescent="0.2">
      <c r="A48" s="3">
        <v>44</v>
      </c>
      <c r="B48" s="19"/>
      <c r="C48" s="4" t="s">
        <v>6800</v>
      </c>
      <c r="D48" s="4" t="s">
        <v>6715</v>
      </c>
      <c r="E48" s="4" t="s">
        <v>110</v>
      </c>
      <c r="F48" s="8">
        <v>100</v>
      </c>
      <c r="G48" s="8">
        <v>100</v>
      </c>
      <c r="H48" s="8">
        <v>220</v>
      </c>
      <c r="I48" s="8">
        <v>60</v>
      </c>
      <c r="J48" s="8"/>
      <c r="K48" s="8">
        <v>300</v>
      </c>
      <c r="L48" s="18">
        <v>342.4</v>
      </c>
      <c r="M48" s="7">
        <f t="shared" si="1"/>
        <v>102720</v>
      </c>
      <c r="N48" s="4" t="s">
        <v>6801</v>
      </c>
      <c r="O48" s="9"/>
    </row>
    <row r="49" spans="1:15" ht="20" customHeight="1" x14ac:dyDescent="0.2">
      <c r="A49" s="3">
        <v>45</v>
      </c>
      <c r="B49" s="19"/>
      <c r="C49" s="4" t="s">
        <v>6802</v>
      </c>
      <c r="D49" s="4" t="s">
        <v>6715</v>
      </c>
      <c r="E49" s="4" t="s">
        <v>110</v>
      </c>
      <c r="F49" s="8">
        <v>350</v>
      </c>
      <c r="G49" s="8">
        <v>350</v>
      </c>
      <c r="H49" s="8">
        <v>500</v>
      </c>
      <c r="I49" s="8">
        <v>120</v>
      </c>
      <c r="J49" s="8"/>
      <c r="K49" s="8">
        <v>500</v>
      </c>
      <c r="L49" s="18">
        <v>342.4</v>
      </c>
      <c r="M49" s="7">
        <f t="shared" si="1"/>
        <v>171200</v>
      </c>
      <c r="N49" s="4" t="s">
        <v>6803</v>
      </c>
      <c r="O49" s="9"/>
    </row>
    <row r="50" spans="1:15" ht="20" customHeight="1" x14ac:dyDescent="0.2">
      <c r="A50" s="3">
        <v>46</v>
      </c>
      <c r="B50" s="19"/>
      <c r="C50" s="4" t="s">
        <v>6804</v>
      </c>
      <c r="D50" s="4" t="s">
        <v>6715</v>
      </c>
      <c r="E50" s="4" t="s">
        <v>110</v>
      </c>
      <c r="F50" s="8">
        <v>30</v>
      </c>
      <c r="G50" s="8">
        <v>30</v>
      </c>
      <c r="H50" s="8">
        <v>10</v>
      </c>
      <c r="I50" s="8"/>
      <c r="J50" s="8"/>
      <c r="K50" s="8">
        <v>30</v>
      </c>
      <c r="L50" s="18">
        <v>941.6</v>
      </c>
      <c r="M50" s="7">
        <f t="shared" si="1"/>
        <v>28248</v>
      </c>
      <c r="N50" s="4" t="s">
        <v>6805</v>
      </c>
      <c r="O50" s="9"/>
    </row>
    <row r="51" spans="1:15" ht="20" customHeight="1" x14ac:dyDescent="0.2">
      <c r="A51" s="3">
        <v>47</v>
      </c>
      <c r="B51" s="19"/>
      <c r="C51" s="4" t="s">
        <v>6806</v>
      </c>
      <c r="D51" s="4" t="s">
        <v>6715</v>
      </c>
      <c r="E51" s="4" t="s">
        <v>110</v>
      </c>
      <c r="F51" s="8">
        <v>10</v>
      </c>
      <c r="G51" s="8">
        <v>10</v>
      </c>
      <c r="H51" s="8">
        <v>20</v>
      </c>
      <c r="I51" s="8"/>
      <c r="J51" s="8"/>
      <c r="K51" s="8">
        <v>10</v>
      </c>
      <c r="L51" s="18">
        <v>3648.7</v>
      </c>
      <c r="M51" s="7">
        <f t="shared" si="1"/>
        <v>36487</v>
      </c>
      <c r="N51" s="4" t="s">
        <v>6807</v>
      </c>
      <c r="O51" s="9"/>
    </row>
    <row r="52" spans="1:15" ht="20" customHeight="1" x14ac:dyDescent="0.2">
      <c r="A52" s="3">
        <v>48</v>
      </c>
      <c r="B52" s="19"/>
      <c r="C52" s="4" t="s">
        <v>6808</v>
      </c>
      <c r="D52" s="4" t="s">
        <v>6715</v>
      </c>
      <c r="E52" s="4" t="s">
        <v>110</v>
      </c>
      <c r="F52" s="8">
        <v>20</v>
      </c>
      <c r="G52" s="8">
        <v>20</v>
      </c>
      <c r="H52" s="8">
        <v>24</v>
      </c>
      <c r="I52" s="8"/>
      <c r="J52" s="8"/>
      <c r="K52" s="8">
        <v>24</v>
      </c>
      <c r="L52" s="18">
        <v>1198.4000000000001</v>
      </c>
      <c r="M52" s="7">
        <f t="shared" si="1"/>
        <v>28761.600000000002</v>
      </c>
      <c r="N52" s="4" t="s">
        <v>6809</v>
      </c>
      <c r="O52" s="9"/>
    </row>
    <row r="53" spans="1:15" ht="20" customHeight="1" x14ac:dyDescent="0.2">
      <c r="A53" s="3">
        <v>49</v>
      </c>
      <c r="B53" s="19"/>
      <c r="C53" s="4" t="s">
        <v>6810</v>
      </c>
      <c r="D53" s="4" t="s">
        <v>6715</v>
      </c>
      <c r="E53" s="4" t="s">
        <v>110</v>
      </c>
      <c r="F53" s="8">
        <v>602</v>
      </c>
      <c r="G53" s="8">
        <v>600</v>
      </c>
      <c r="H53" s="8">
        <v>750</v>
      </c>
      <c r="I53" s="8">
        <v>20</v>
      </c>
      <c r="J53" s="8"/>
      <c r="K53" s="8">
        <v>700</v>
      </c>
      <c r="L53" s="18">
        <v>278.2</v>
      </c>
      <c r="M53" s="7">
        <f t="shared" si="1"/>
        <v>194740</v>
      </c>
      <c r="N53" s="4" t="s">
        <v>6811</v>
      </c>
      <c r="O53" s="9"/>
    </row>
    <row r="54" spans="1:15" ht="20" customHeight="1" x14ac:dyDescent="0.2">
      <c r="A54" s="3">
        <v>50</v>
      </c>
      <c r="B54" s="19"/>
      <c r="C54" s="4" t="s">
        <v>6812</v>
      </c>
      <c r="D54" s="4" t="s">
        <v>6715</v>
      </c>
      <c r="E54" s="4" t="s">
        <v>110</v>
      </c>
      <c r="F54" s="8">
        <v>190</v>
      </c>
      <c r="G54" s="8">
        <v>479</v>
      </c>
      <c r="H54" s="8">
        <v>600</v>
      </c>
      <c r="I54" s="8">
        <v>227</v>
      </c>
      <c r="J54" s="8"/>
      <c r="K54" s="8">
        <v>500</v>
      </c>
      <c r="L54" s="18">
        <v>256.8</v>
      </c>
      <c r="M54" s="7">
        <f t="shared" si="1"/>
        <v>128400</v>
      </c>
      <c r="N54" s="4" t="s">
        <v>6813</v>
      </c>
      <c r="O54" s="9"/>
    </row>
    <row r="55" spans="1:15" ht="20" customHeight="1" x14ac:dyDescent="0.2">
      <c r="A55" s="3">
        <v>51</v>
      </c>
      <c r="B55" s="19"/>
      <c r="C55" s="4" t="s">
        <v>6814</v>
      </c>
      <c r="D55" s="4" t="s">
        <v>6715</v>
      </c>
      <c r="E55" s="4" t="s">
        <v>110</v>
      </c>
      <c r="F55" s="8">
        <v>200</v>
      </c>
      <c r="G55" s="8">
        <v>200</v>
      </c>
      <c r="H55" s="8">
        <v>220</v>
      </c>
      <c r="I55" s="8">
        <v>91</v>
      </c>
      <c r="J55" s="8"/>
      <c r="K55" s="8">
        <v>300</v>
      </c>
      <c r="L55" s="18">
        <v>321</v>
      </c>
      <c r="M55" s="7">
        <f t="shared" si="1"/>
        <v>96300</v>
      </c>
      <c r="N55" s="4" t="s">
        <v>6815</v>
      </c>
      <c r="O55" s="9"/>
    </row>
    <row r="56" spans="1:15" ht="20" customHeight="1" x14ac:dyDescent="0.2">
      <c r="A56" s="3">
        <v>52</v>
      </c>
      <c r="B56" s="19"/>
      <c r="C56" s="4" t="s">
        <v>6816</v>
      </c>
      <c r="D56" s="4" t="s">
        <v>6715</v>
      </c>
      <c r="E56" s="4" t="s">
        <v>110</v>
      </c>
      <c r="F56" s="8">
        <v>700</v>
      </c>
      <c r="G56" s="8">
        <v>700</v>
      </c>
      <c r="H56" s="8">
        <v>400</v>
      </c>
      <c r="I56" s="8">
        <v>295</v>
      </c>
      <c r="J56" s="8"/>
      <c r="K56" s="8">
        <v>1000</v>
      </c>
      <c r="L56" s="18">
        <v>47</v>
      </c>
      <c r="M56" s="7">
        <f t="shared" si="1"/>
        <v>47000</v>
      </c>
      <c r="N56" s="4" t="s">
        <v>6817</v>
      </c>
      <c r="O56" s="9"/>
    </row>
    <row r="57" spans="1:15" ht="20" customHeight="1" x14ac:dyDescent="0.2">
      <c r="A57" s="3">
        <v>53</v>
      </c>
      <c r="B57" s="19"/>
      <c r="C57" s="4" t="s">
        <v>6818</v>
      </c>
      <c r="D57" s="4" t="s">
        <v>6715</v>
      </c>
      <c r="E57" s="4" t="s">
        <v>110</v>
      </c>
      <c r="F57" s="8">
        <v>20</v>
      </c>
      <c r="G57" s="8">
        <v>30</v>
      </c>
      <c r="H57" s="8"/>
      <c r="I57" s="8">
        <v>19</v>
      </c>
      <c r="J57" s="8"/>
      <c r="K57" s="8">
        <v>0</v>
      </c>
      <c r="L57" s="18">
        <v>888.1</v>
      </c>
      <c r="M57" s="7">
        <f t="shared" si="1"/>
        <v>0</v>
      </c>
      <c r="N57" s="4" t="s">
        <v>6819</v>
      </c>
      <c r="O57" s="9"/>
    </row>
    <row r="58" spans="1:15" ht="20" customHeight="1" x14ac:dyDescent="0.2">
      <c r="A58" s="3">
        <v>54</v>
      </c>
      <c r="B58" s="19"/>
      <c r="C58" s="4" t="s">
        <v>6820</v>
      </c>
      <c r="D58" s="4" t="s">
        <v>6715</v>
      </c>
      <c r="E58" s="4" t="s">
        <v>110</v>
      </c>
      <c r="F58" s="8">
        <v>30</v>
      </c>
      <c r="G58" s="8">
        <v>40</v>
      </c>
      <c r="H58" s="8"/>
      <c r="I58" s="8">
        <v>15</v>
      </c>
      <c r="J58" s="8"/>
      <c r="K58" s="8">
        <v>0</v>
      </c>
      <c r="L58" s="18">
        <v>1177</v>
      </c>
      <c r="M58" s="7">
        <f t="shared" si="1"/>
        <v>0</v>
      </c>
      <c r="N58" s="4" t="s">
        <v>6821</v>
      </c>
      <c r="O58" s="9"/>
    </row>
    <row r="59" spans="1:15" ht="20" customHeight="1" x14ac:dyDescent="0.2">
      <c r="A59" s="3">
        <v>55</v>
      </c>
      <c r="B59" s="19"/>
      <c r="C59" s="4" t="s">
        <v>6822</v>
      </c>
      <c r="D59" s="4" t="s">
        <v>6715</v>
      </c>
      <c r="E59" s="4" t="s">
        <v>499</v>
      </c>
      <c r="F59" s="8">
        <v>8000</v>
      </c>
      <c r="G59" s="8">
        <v>8000</v>
      </c>
      <c r="H59" s="8">
        <v>17000</v>
      </c>
      <c r="I59" s="8">
        <v>11000</v>
      </c>
      <c r="J59" s="8"/>
      <c r="K59" s="8">
        <v>20000</v>
      </c>
      <c r="L59" s="18">
        <v>2.65</v>
      </c>
      <c r="M59" s="7">
        <f t="shared" si="1"/>
        <v>53000</v>
      </c>
      <c r="N59" s="4" t="s">
        <v>6823</v>
      </c>
      <c r="O59" s="9"/>
    </row>
    <row r="60" spans="1:15" ht="20" customHeight="1" x14ac:dyDescent="0.2">
      <c r="A60" s="3">
        <v>56</v>
      </c>
      <c r="B60" s="19"/>
      <c r="C60" s="4" t="s">
        <v>6824</v>
      </c>
      <c r="D60" s="4" t="s">
        <v>6715</v>
      </c>
      <c r="E60" s="4" t="s">
        <v>499</v>
      </c>
      <c r="F60" s="8">
        <v>10000</v>
      </c>
      <c r="G60" s="8">
        <v>10000</v>
      </c>
      <c r="H60" s="8"/>
      <c r="I60" s="8">
        <v>5000</v>
      </c>
      <c r="J60" s="8"/>
      <c r="K60" s="8">
        <v>10000</v>
      </c>
      <c r="L60" s="18">
        <v>2.65</v>
      </c>
      <c r="M60" s="7">
        <f t="shared" si="1"/>
        <v>26500</v>
      </c>
      <c r="N60" s="4" t="s">
        <v>6825</v>
      </c>
      <c r="O60" s="9"/>
    </row>
    <row r="61" spans="1:15" ht="20" customHeight="1" x14ac:dyDescent="0.2">
      <c r="A61" s="3">
        <v>57</v>
      </c>
      <c r="B61" s="19"/>
      <c r="C61" s="4" t="s">
        <v>6826</v>
      </c>
      <c r="D61" s="4" t="s">
        <v>6715</v>
      </c>
      <c r="E61" s="4" t="s">
        <v>499</v>
      </c>
      <c r="F61" s="8">
        <v>315000</v>
      </c>
      <c r="G61" s="8">
        <v>32000</v>
      </c>
      <c r="H61" s="8">
        <v>285000</v>
      </c>
      <c r="I61" s="8">
        <v>66000</v>
      </c>
      <c r="J61" s="8"/>
      <c r="K61" s="8">
        <v>420000</v>
      </c>
      <c r="L61" s="18">
        <v>2.65</v>
      </c>
      <c r="M61" s="7">
        <f t="shared" si="1"/>
        <v>1113000</v>
      </c>
      <c r="N61" s="4" t="s">
        <v>6827</v>
      </c>
      <c r="O61" s="9"/>
    </row>
    <row r="62" spans="1:15" ht="20" customHeight="1" x14ac:dyDescent="0.2">
      <c r="A62" s="3">
        <v>58</v>
      </c>
      <c r="B62" s="19"/>
      <c r="C62" s="4" t="s">
        <v>6828</v>
      </c>
      <c r="D62" s="4" t="s">
        <v>6715</v>
      </c>
      <c r="E62" s="4" t="s">
        <v>499</v>
      </c>
      <c r="F62" s="8">
        <v>10000</v>
      </c>
      <c r="G62" s="8">
        <v>10000</v>
      </c>
      <c r="H62" s="8">
        <v>7000</v>
      </c>
      <c r="I62" s="8">
        <v>1000</v>
      </c>
      <c r="J62" s="8"/>
      <c r="K62" s="8">
        <v>10000</v>
      </c>
      <c r="L62" s="18">
        <v>2.65</v>
      </c>
      <c r="M62" s="7">
        <f t="shared" si="1"/>
        <v>26500</v>
      </c>
      <c r="N62" s="4" t="s">
        <v>6829</v>
      </c>
      <c r="O62" s="9"/>
    </row>
    <row r="63" spans="1:15" ht="20" customHeight="1" x14ac:dyDescent="0.2">
      <c r="A63" s="3">
        <v>59</v>
      </c>
      <c r="B63" s="19"/>
      <c r="C63" s="4" t="s">
        <v>6830</v>
      </c>
      <c r="D63" s="4" t="s">
        <v>6715</v>
      </c>
      <c r="E63" s="4" t="s">
        <v>499</v>
      </c>
      <c r="F63" s="8">
        <v>8000</v>
      </c>
      <c r="G63" s="8">
        <v>8000</v>
      </c>
      <c r="H63" s="8">
        <v>10000</v>
      </c>
      <c r="I63" s="8">
        <v>6000</v>
      </c>
      <c r="J63" s="8"/>
      <c r="K63" s="8">
        <v>15000</v>
      </c>
      <c r="L63" s="18">
        <v>2.65</v>
      </c>
      <c r="M63" s="7">
        <f t="shared" si="1"/>
        <v>39750</v>
      </c>
      <c r="N63" s="4" t="s">
        <v>6831</v>
      </c>
      <c r="O63" s="9"/>
    </row>
    <row r="64" spans="1:15" ht="20" customHeight="1" x14ac:dyDescent="0.2">
      <c r="A64" s="3">
        <v>60</v>
      </c>
      <c r="B64" s="19"/>
      <c r="C64" s="4" t="s">
        <v>6832</v>
      </c>
      <c r="D64" s="4" t="s">
        <v>6715</v>
      </c>
      <c r="E64" s="4" t="s">
        <v>499</v>
      </c>
      <c r="F64" s="8">
        <v>25000</v>
      </c>
      <c r="G64" s="8">
        <v>25000</v>
      </c>
      <c r="H64" s="8">
        <v>31000</v>
      </c>
      <c r="I64" s="8">
        <v>6000</v>
      </c>
      <c r="J64" s="8"/>
      <c r="K64" s="8">
        <v>35000</v>
      </c>
      <c r="L64" s="18">
        <v>2.65</v>
      </c>
      <c r="M64" s="7">
        <f t="shared" si="1"/>
        <v>92750</v>
      </c>
      <c r="N64" s="4" t="s">
        <v>6833</v>
      </c>
      <c r="O64" s="9"/>
    </row>
    <row r="65" spans="1:15" ht="20" customHeight="1" x14ac:dyDescent="0.2">
      <c r="A65" s="3">
        <v>61</v>
      </c>
      <c r="B65" s="19"/>
      <c r="C65" s="4" t="s">
        <v>6834</v>
      </c>
      <c r="D65" s="4" t="s">
        <v>6715</v>
      </c>
      <c r="E65" s="4" t="s">
        <v>110</v>
      </c>
      <c r="F65" s="8">
        <v>2700</v>
      </c>
      <c r="G65" s="8">
        <v>2700</v>
      </c>
      <c r="H65" s="8">
        <v>3400</v>
      </c>
      <c r="I65" s="8">
        <v>438</v>
      </c>
      <c r="J65" s="8"/>
      <c r="K65" s="8">
        <v>3600</v>
      </c>
      <c r="L65" s="18">
        <v>50.9</v>
      </c>
      <c r="M65" s="7">
        <f t="shared" si="1"/>
        <v>183240</v>
      </c>
      <c r="N65" s="4" t="s">
        <v>6835</v>
      </c>
      <c r="O65" s="9"/>
    </row>
    <row r="66" spans="1:15" ht="20" customHeight="1" x14ac:dyDescent="0.2">
      <c r="A66" s="3">
        <v>62</v>
      </c>
      <c r="B66" s="19"/>
      <c r="C66" s="4" t="s">
        <v>6836</v>
      </c>
      <c r="D66" s="4" t="s">
        <v>6715</v>
      </c>
      <c r="E66" s="4" t="s">
        <v>110</v>
      </c>
      <c r="F66" s="8"/>
      <c r="G66" s="8"/>
      <c r="H66" s="8">
        <v>4400</v>
      </c>
      <c r="I66" s="8">
        <v>1182</v>
      </c>
      <c r="J66" s="8"/>
      <c r="K66" s="8">
        <v>4900</v>
      </c>
      <c r="L66" s="18">
        <v>50.9</v>
      </c>
      <c r="M66" s="7">
        <f t="shared" si="1"/>
        <v>249410</v>
      </c>
      <c r="N66" s="4" t="s">
        <v>6837</v>
      </c>
      <c r="O66" s="9"/>
    </row>
    <row r="67" spans="1:15" ht="20" customHeight="1" x14ac:dyDescent="0.2">
      <c r="A67" s="3">
        <v>63</v>
      </c>
      <c r="B67" s="19"/>
      <c r="C67" s="4" t="s">
        <v>6838</v>
      </c>
      <c r="D67" s="4" t="s">
        <v>6715</v>
      </c>
      <c r="E67" s="4" t="s">
        <v>110</v>
      </c>
      <c r="F67" s="8">
        <v>60</v>
      </c>
      <c r="G67" s="8">
        <v>1000</v>
      </c>
      <c r="H67" s="8"/>
      <c r="I67" s="8"/>
      <c r="J67" s="8"/>
      <c r="K67" s="8">
        <v>2200</v>
      </c>
      <c r="L67" s="18">
        <v>48.15</v>
      </c>
      <c r="M67" s="7">
        <f t="shared" si="1"/>
        <v>105930</v>
      </c>
      <c r="N67" s="4" t="s">
        <v>6839</v>
      </c>
      <c r="O67" s="9"/>
    </row>
    <row r="68" spans="1:15" ht="20" customHeight="1" x14ac:dyDescent="0.2">
      <c r="A68" s="3">
        <v>64</v>
      </c>
      <c r="B68" s="19"/>
      <c r="C68" s="4" t="s">
        <v>6840</v>
      </c>
      <c r="D68" s="4" t="s">
        <v>6715</v>
      </c>
      <c r="E68" s="4" t="s">
        <v>110</v>
      </c>
      <c r="F68" s="8">
        <v>6000</v>
      </c>
      <c r="G68" s="8">
        <v>6000</v>
      </c>
      <c r="H68" s="8">
        <v>4500</v>
      </c>
      <c r="I68" s="8">
        <v>547</v>
      </c>
      <c r="J68" s="8"/>
      <c r="K68" s="8">
        <v>3100</v>
      </c>
      <c r="L68" s="18">
        <v>45</v>
      </c>
      <c r="M68" s="7">
        <f t="shared" si="1"/>
        <v>139500</v>
      </c>
      <c r="N68" s="4" t="s">
        <v>6841</v>
      </c>
      <c r="O68" s="9"/>
    </row>
    <row r="69" spans="1:15" ht="20" customHeight="1" x14ac:dyDescent="0.2">
      <c r="A69" s="3">
        <v>65</v>
      </c>
      <c r="B69" s="19"/>
      <c r="C69" s="4" t="s">
        <v>6842</v>
      </c>
      <c r="D69" s="4" t="s">
        <v>6715</v>
      </c>
      <c r="E69" s="4" t="s">
        <v>110</v>
      </c>
      <c r="F69" s="8">
        <v>3500</v>
      </c>
      <c r="G69" s="8">
        <v>4000</v>
      </c>
      <c r="H69" s="8">
        <v>4100</v>
      </c>
      <c r="I69" s="8">
        <v>957</v>
      </c>
      <c r="J69" s="8"/>
      <c r="K69" s="8">
        <v>4800</v>
      </c>
      <c r="L69" s="18">
        <v>45</v>
      </c>
      <c r="M69" s="7">
        <f t="shared" ref="M69:M100" si="2">IF(OR(K69="",L69=""),"",K69*L69)</f>
        <v>216000</v>
      </c>
      <c r="N69" s="4" t="s">
        <v>6843</v>
      </c>
      <c r="O69" s="9"/>
    </row>
    <row r="70" spans="1:15" ht="20" customHeight="1" x14ac:dyDescent="0.2">
      <c r="A70" s="3">
        <v>66</v>
      </c>
      <c r="B70" s="19"/>
      <c r="C70" s="4" t="s">
        <v>6844</v>
      </c>
      <c r="D70" s="4" t="s">
        <v>6715</v>
      </c>
      <c r="E70" s="4" t="s">
        <v>110</v>
      </c>
      <c r="F70" s="8">
        <v>1000</v>
      </c>
      <c r="G70" s="8">
        <v>1500</v>
      </c>
      <c r="H70" s="8">
        <v>1200</v>
      </c>
      <c r="I70" s="8">
        <v>136</v>
      </c>
      <c r="J70" s="8"/>
      <c r="K70" s="8">
        <v>1200</v>
      </c>
      <c r="L70" s="18">
        <v>45</v>
      </c>
      <c r="M70" s="7">
        <f t="shared" si="2"/>
        <v>54000</v>
      </c>
      <c r="N70" s="4" t="s">
        <v>6845</v>
      </c>
      <c r="O70" s="9"/>
    </row>
    <row r="71" spans="1:15" ht="20" customHeight="1" x14ac:dyDescent="0.2">
      <c r="A71" s="3">
        <v>67</v>
      </c>
      <c r="B71" s="19"/>
      <c r="C71" s="4" t="s">
        <v>6846</v>
      </c>
      <c r="D71" s="4" t="s">
        <v>6715</v>
      </c>
      <c r="E71" s="4" t="s">
        <v>110</v>
      </c>
      <c r="F71" s="8">
        <v>1000</v>
      </c>
      <c r="G71" s="8">
        <v>1000</v>
      </c>
      <c r="H71" s="8">
        <v>700</v>
      </c>
      <c r="I71" s="8"/>
      <c r="J71" s="8"/>
      <c r="K71" s="8">
        <v>1000</v>
      </c>
      <c r="L71" s="18">
        <v>45</v>
      </c>
      <c r="M71" s="7">
        <f t="shared" si="2"/>
        <v>45000</v>
      </c>
      <c r="N71" s="4" t="s">
        <v>6847</v>
      </c>
      <c r="O71" s="9"/>
    </row>
    <row r="72" spans="1:15" ht="20" customHeight="1" x14ac:dyDescent="0.2">
      <c r="A72" s="3">
        <v>68</v>
      </c>
      <c r="B72" s="19"/>
      <c r="C72" s="4" t="s">
        <v>6848</v>
      </c>
      <c r="D72" s="4" t="s">
        <v>6715</v>
      </c>
      <c r="E72" s="4" t="s">
        <v>110</v>
      </c>
      <c r="F72" s="8">
        <v>1000</v>
      </c>
      <c r="G72" s="8">
        <v>1000</v>
      </c>
      <c r="H72" s="8">
        <v>500</v>
      </c>
      <c r="I72" s="8">
        <v>271</v>
      </c>
      <c r="J72" s="8"/>
      <c r="K72" s="8">
        <v>1000</v>
      </c>
      <c r="L72" s="18">
        <v>45</v>
      </c>
      <c r="M72" s="7">
        <f t="shared" si="2"/>
        <v>45000</v>
      </c>
      <c r="N72" s="4" t="s">
        <v>6849</v>
      </c>
      <c r="O72" s="9"/>
    </row>
    <row r="73" spans="1:15" ht="20" customHeight="1" x14ac:dyDescent="0.2">
      <c r="A73" s="3">
        <v>69</v>
      </c>
      <c r="B73" s="19"/>
      <c r="C73" s="4" t="s">
        <v>6850</v>
      </c>
      <c r="D73" s="4" t="s">
        <v>6715</v>
      </c>
      <c r="E73" s="4" t="s">
        <v>110</v>
      </c>
      <c r="F73" s="8">
        <v>60</v>
      </c>
      <c r="G73" s="8">
        <v>60</v>
      </c>
      <c r="H73" s="8">
        <v>20</v>
      </c>
      <c r="I73" s="8">
        <v>16</v>
      </c>
      <c r="J73" s="8"/>
      <c r="K73" s="8">
        <v>10</v>
      </c>
      <c r="L73" s="18">
        <v>69</v>
      </c>
      <c r="M73" s="7">
        <f t="shared" si="2"/>
        <v>690</v>
      </c>
      <c r="N73" s="4" t="s">
        <v>6851</v>
      </c>
      <c r="O73" s="9"/>
    </row>
    <row r="74" spans="1:15" ht="20" customHeight="1" x14ac:dyDescent="0.2">
      <c r="A74" s="3">
        <v>70</v>
      </c>
      <c r="B74" s="19"/>
      <c r="C74" s="4" t="s">
        <v>6852</v>
      </c>
      <c r="D74" s="4" t="s">
        <v>6715</v>
      </c>
      <c r="E74" s="4" t="s">
        <v>110</v>
      </c>
      <c r="F74" s="8"/>
      <c r="G74" s="8"/>
      <c r="H74" s="8"/>
      <c r="I74" s="8"/>
      <c r="J74" s="8"/>
      <c r="K74" s="8">
        <v>5</v>
      </c>
      <c r="L74" s="18">
        <v>535</v>
      </c>
      <c r="M74" s="7">
        <f t="shared" si="2"/>
        <v>2675</v>
      </c>
      <c r="N74" s="4" t="s">
        <v>6853</v>
      </c>
      <c r="O74" s="9"/>
    </row>
    <row r="75" spans="1:15" ht="20" customHeight="1" x14ac:dyDescent="0.2">
      <c r="A75" s="3">
        <v>71</v>
      </c>
      <c r="B75" s="19"/>
      <c r="C75" s="4" t="s">
        <v>6854</v>
      </c>
      <c r="D75" s="4" t="s">
        <v>6715</v>
      </c>
      <c r="E75" s="4" t="s">
        <v>110</v>
      </c>
      <c r="F75" s="8">
        <v>5</v>
      </c>
      <c r="G75" s="8">
        <v>5</v>
      </c>
      <c r="H75" s="8">
        <v>4</v>
      </c>
      <c r="I75" s="8">
        <v>2</v>
      </c>
      <c r="J75" s="8"/>
      <c r="K75" s="8">
        <v>5</v>
      </c>
      <c r="L75" s="18">
        <v>535</v>
      </c>
      <c r="M75" s="7">
        <f t="shared" si="2"/>
        <v>2675</v>
      </c>
      <c r="N75" s="4" t="s">
        <v>6855</v>
      </c>
      <c r="O75" s="9"/>
    </row>
    <row r="76" spans="1:15" ht="20" customHeight="1" x14ac:dyDescent="0.2">
      <c r="A76" s="3">
        <v>72</v>
      </c>
      <c r="B76" s="19"/>
      <c r="C76" s="4" t="s">
        <v>6856</v>
      </c>
      <c r="D76" s="4" t="s">
        <v>6715</v>
      </c>
      <c r="E76" s="4" t="s">
        <v>110</v>
      </c>
      <c r="F76" s="8"/>
      <c r="G76" s="8"/>
      <c r="H76" s="8">
        <v>2</v>
      </c>
      <c r="I76" s="8">
        <v>2</v>
      </c>
      <c r="J76" s="8"/>
      <c r="K76" s="8">
        <v>5</v>
      </c>
      <c r="L76" s="18">
        <v>535</v>
      </c>
      <c r="M76" s="7">
        <f t="shared" si="2"/>
        <v>2675</v>
      </c>
      <c r="N76" s="4" t="s">
        <v>6857</v>
      </c>
      <c r="O76" s="9"/>
    </row>
    <row r="77" spans="1:15" ht="20" customHeight="1" x14ac:dyDescent="0.2">
      <c r="A77" s="3">
        <v>73</v>
      </c>
      <c r="B77" s="19"/>
      <c r="C77" s="4" t="s">
        <v>6858</v>
      </c>
      <c r="D77" s="4" t="s">
        <v>6715</v>
      </c>
      <c r="E77" s="4" t="s">
        <v>110</v>
      </c>
      <c r="F77" s="8">
        <v>10</v>
      </c>
      <c r="G77" s="8">
        <v>10</v>
      </c>
      <c r="H77" s="8">
        <v>5</v>
      </c>
      <c r="I77" s="8"/>
      <c r="J77" s="8"/>
      <c r="K77" s="8">
        <v>10</v>
      </c>
      <c r="L77" s="18">
        <v>936.25</v>
      </c>
      <c r="M77" s="7">
        <f t="shared" si="2"/>
        <v>9362.5</v>
      </c>
      <c r="N77" s="4" t="s">
        <v>6859</v>
      </c>
      <c r="O77" s="9"/>
    </row>
    <row r="78" spans="1:15" ht="20" customHeight="1" x14ac:dyDescent="0.2">
      <c r="A78" s="3">
        <v>74</v>
      </c>
      <c r="B78" s="19"/>
      <c r="C78" s="4" t="s">
        <v>6860</v>
      </c>
      <c r="D78" s="4" t="s">
        <v>6715</v>
      </c>
      <c r="E78" s="4" t="s">
        <v>110</v>
      </c>
      <c r="F78" s="8"/>
      <c r="G78" s="8"/>
      <c r="H78" s="8"/>
      <c r="I78" s="8"/>
      <c r="J78" s="8"/>
      <c r="K78" s="8">
        <v>10</v>
      </c>
      <c r="L78" s="18">
        <v>856</v>
      </c>
      <c r="M78" s="7">
        <f t="shared" si="2"/>
        <v>8560</v>
      </c>
      <c r="N78" s="4" t="s">
        <v>6861</v>
      </c>
      <c r="O78" s="9"/>
    </row>
    <row r="79" spans="1:15" ht="20" customHeight="1" x14ac:dyDescent="0.2">
      <c r="A79" s="3">
        <v>75</v>
      </c>
      <c r="B79" s="19"/>
      <c r="C79" s="4" t="s">
        <v>6862</v>
      </c>
      <c r="D79" s="4" t="s">
        <v>6715</v>
      </c>
      <c r="E79" s="4" t="s">
        <v>110</v>
      </c>
      <c r="F79" s="8">
        <v>80</v>
      </c>
      <c r="G79" s="8">
        <v>80</v>
      </c>
      <c r="H79" s="8">
        <v>64</v>
      </c>
      <c r="I79" s="8">
        <v>12</v>
      </c>
      <c r="J79" s="8"/>
      <c r="K79" s="8">
        <v>100</v>
      </c>
      <c r="L79" s="18">
        <v>856</v>
      </c>
      <c r="M79" s="7">
        <f t="shared" si="2"/>
        <v>85600</v>
      </c>
      <c r="N79" s="4" t="s">
        <v>6863</v>
      </c>
      <c r="O79" s="9"/>
    </row>
    <row r="80" spans="1:15" ht="20" customHeight="1" x14ac:dyDescent="0.2">
      <c r="A80" s="3">
        <v>76</v>
      </c>
      <c r="B80" s="19"/>
      <c r="C80" s="4" t="s">
        <v>6864</v>
      </c>
      <c r="D80" s="4" t="s">
        <v>6715</v>
      </c>
      <c r="E80" s="4" t="s">
        <v>110</v>
      </c>
      <c r="F80" s="8">
        <v>90</v>
      </c>
      <c r="G80" s="8">
        <v>90</v>
      </c>
      <c r="H80" s="8">
        <v>100</v>
      </c>
      <c r="I80" s="8">
        <v>2</v>
      </c>
      <c r="J80" s="8"/>
      <c r="K80" s="8">
        <v>100</v>
      </c>
      <c r="L80" s="18">
        <v>1080.7</v>
      </c>
      <c r="M80" s="7">
        <f t="shared" si="2"/>
        <v>108070</v>
      </c>
      <c r="N80" s="4" t="s">
        <v>6865</v>
      </c>
      <c r="O80" s="9"/>
    </row>
    <row r="81" spans="1:15" ht="20" customHeight="1" x14ac:dyDescent="0.2">
      <c r="A81" s="3">
        <v>77</v>
      </c>
      <c r="B81" s="19"/>
      <c r="C81" s="4" t="s">
        <v>6866</v>
      </c>
      <c r="D81" s="4" t="s">
        <v>6715</v>
      </c>
      <c r="E81" s="4" t="s">
        <v>110</v>
      </c>
      <c r="F81" s="8">
        <v>30</v>
      </c>
      <c r="G81" s="8">
        <v>30</v>
      </c>
      <c r="H81" s="8">
        <v>150</v>
      </c>
      <c r="I81" s="8">
        <v>15</v>
      </c>
      <c r="J81" s="8"/>
      <c r="K81" s="8">
        <v>150</v>
      </c>
      <c r="L81" s="18">
        <v>2161.4</v>
      </c>
      <c r="M81" s="7">
        <f t="shared" si="2"/>
        <v>324210</v>
      </c>
      <c r="N81" s="4" t="s">
        <v>6867</v>
      </c>
      <c r="O81" s="9"/>
    </row>
    <row r="82" spans="1:15" ht="20" customHeight="1" x14ac:dyDescent="0.2">
      <c r="A82" s="3">
        <v>78</v>
      </c>
      <c r="B82" s="19"/>
      <c r="C82" s="4" t="s">
        <v>6868</v>
      </c>
      <c r="D82" s="4" t="s">
        <v>6715</v>
      </c>
      <c r="E82" s="4" t="s">
        <v>110</v>
      </c>
      <c r="F82" s="8">
        <v>600</v>
      </c>
      <c r="G82" s="8">
        <v>800</v>
      </c>
      <c r="H82" s="8"/>
      <c r="I82" s="8"/>
      <c r="J82" s="8"/>
      <c r="K82" s="8">
        <v>0</v>
      </c>
      <c r="L82" s="18">
        <v>102.72</v>
      </c>
      <c r="M82" s="7">
        <f t="shared" si="2"/>
        <v>0</v>
      </c>
      <c r="N82" s="4" t="s">
        <v>6869</v>
      </c>
      <c r="O82" s="9"/>
    </row>
    <row r="83" spans="1:15" ht="20" customHeight="1" x14ac:dyDescent="0.2">
      <c r="A83" s="3">
        <v>79</v>
      </c>
      <c r="B83" s="19"/>
      <c r="C83" s="4" t="s">
        <v>6870</v>
      </c>
      <c r="D83" s="4" t="s">
        <v>6715</v>
      </c>
      <c r="E83" s="4" t="s">
        <v>110</v>
      </c>
      <c r="F83" s="8">
        <v>1200</v>
      </c>
      <c r="G83" s="8">
        <v>1400</v>
      </c>
      <c r="H83" s="8">
        <v>120</v>
      </c>
      <c r="I83" s="8"/>
      <c r="J83" s="8"/>
      <c r="K83" s="8">
        <v>150</v>
      </c>
      <c r="L83" s="18">
        <v>100</v>
      </c>
      <c r="M83" s="7">
        <f t="shared" si="2"/>
        <v>15000</v>
      </c>
      <c r="N83" s="4" t="s">
        <v>6871</v>
      </c>
      <c r="O83" s="9"/>
    </row>
    <row r="84" spans="1:15" ht="20" customHeight="1" x14ac:dyDescent="0.2">
      <c r="A84" s="3">
        <v>80</v>
      </c>
      <c r="B84" s="19"/>
      <c r="C84" s="4" t="s">
        <v>6872</v>
      </c>
      <c r="D84" s="4" t="s">
        <v>6715</v>
      </c>
      <c r="E84" s="4" t="s">
        <v>190</v>
      </c>
      <c r="F84" s="8">
        <v>200</v>
      </c>
      <c r="G84" s="8">
        <v>300</v>
      </c>
      <c r="H84" s="8">
        <v>200</v>
      </c>
      <c r="I84" s="8">
        <v>230</v>
      </c>
      <c r="J84" s="8"/>
      <c r="K84" s="8">
        <v>800</v>
      </c>
      <c r="L84" s="18">
        <v>321</v>
      </c>
      <c r="M84" s="7">
        <f t="shared" si="2"/>
        <v>256800</v>
      </c>
      <c r="N84" s="4" t="s">
        <v>6873</v>
      </c>
      <c r="O84" s="9"/>
    </row>
    <row r="85" spans="1:15" ht="20" customHeight="1" x14ac:dyDescent="0.2">
      <c r="A85" s="3">
        <v>81</v>
      </c>
      <c r="B85" s="19"/>
      <c r="C85" s="4" t="s">
        <v>6874</v>
      </c>
      <c r="D85" s="4" t="s">
        <v>6715</v>
      </c>
      <c r="E85" s="4" t="s">
        <v>190</v>
      </c>
      <c r="F85" s="8">
        <v>1260</v>
      </c>
      <c r="G85" s="8">
        <v>1400</v>
      </c>
      <c r="H85" s="8">
        <v>1220</v>
      </c>
      <c r="I85" s="8">
        <v>10</v>
      </c>
      <c r="J85" s="8"/>
      <c r="K85" s="8">
        <v>1600</v>
      </c>
      <c r="L85" s="18">
        <v>368.08</v>
      </c>
      <c r="M85" s="7">
        <f t="shared" si="2"/>
        <v>588928</v>
      </c>
      <c r="N85" s="4" t="s">
        <v>6875</v>
      </c>
      <c r="O85" s="9"/>
    </row>
    <row r="86" spans="1:15" ht="20" customHeight="1" x14ac:dyDescent="0.2">
      <c r="A86" s="3">
        <v>82</v>
      </c>
      <c r="B86" s="19"/>
      <c r="C86" s="4" t="s">
        <v>6876</v>
      </c>
      <c r="D86" s="4" t="s">
        <v>6715</v>
      </c>
      <c r="E86" s="4" t="s">
        <v>190</v>
      </c>
      <c r="F86" s="8">
        <v>750</v>
      </c>
      <c r="G86" s="8">
        <v>833</v>
      </c>
      <c r="H86" s="8">
        <v>500</v>
      </c>
      <c r="I86" s="8">
        <v>65</v>
      </c>
      <c r="J86" s="8"/>
      <c r="K86" s="8">
        <v>850</v>
      </c>
      <c r="L86" s="18">
        <v>475.08</v>
      </c>
      <c r="M86" s="7">
        <f t="shared" si="2"/>
        <v>403818</v>
      </c>
      <c r="N86" s="4" t="s">
        <v>6875</v>
      </c>
      <c r="O86" s="9"/>
    </row>
    <row r="87" spans="1:15" ht="20" customHeight="1" x14ac:dyDescent="0.2">
      <c r="A87" s="3">
        <v>83</v>
      </c>
      <c r="B87" s="19"/>
      <c r="C87" s="4" t="s">
        <v>6877</v>
      </c>
      <c r="D87" s="4" t="s">
        <v>6715</v>
      </c>
      <c r="E87" s="4" t="s">
        <v>110</v>
      </c>
      <c r="F87" s="8">
        <v>50</v>
      </c>
      <c r="G87" s="8">
        <v>50</v>
      </c>
      <c r="H87" s="8">
        <v>150</v>
      </c>
      <c r="I87" s="8"/>
      <c r="J87" s="8"/>
      <c r="K87" s="8">
        <v>100</v>
      </c>
      <c r="L87" s="18">
        <v>401.25</v>
      </c>
      <c r="M87" s="7">
        <f t="shared" si="2"/>
        <v>40125</v>
      </c>
      <c r="N87" s="4" t="s">
        <v>6878</v>
      </c>
      <c r="O87" s="9"/>
    </row>
    <row r="88" spans="1:15" ht="20" customHeight="1" x14ac:dyDescent="0.2">
      <c r="A88" s="3">
        <v>84</v>
      </c>
      <c r="B88" s="19"/>
      <c r="C88" s="4" t="s">
        <v>6879</v>
      </c>
      <c r="D88" s="4" t="s">
        <v>6715</v>
      </c>
      <c r="E88" s="4" t="s">
        <v>110</v>
      </c>
      <c r="F88" s="8">
        <v>115</v>
      </c>
      <c r="G88" s="8">
        <v>120</v>
      </c>
      <c r="H88" s="8">
        <v>45</v>
      </c>
      <c r="I88" s="8"/>
      <c r="J88" s="8"/>
      <c r="K88" s="8">
        <v>50</v>
      </c>
      <c r="L88" s="18">
        <v>749.01</v>
      </c>
      <c r="M88" s="7">
        <f t="shared" si="2"/>
        <v>37450.5</v>
      </c>
      <c r="N88" s="4" t="s">
        <v>6880</v>
      </c>
      <c r="O88" s="9"/>
    </row>
    <row r="89" spans="1:15" ht="20" customHeight="1" x14ac:dyDescent="0.2">
      <c r="A89" s="3">
        <v>85</v>
      </c>
      <c r="B89" s="19"/>
      <c r="C89" s="4" t="s">
        <v>6881</v>
      </c>
      <c r="D89" s="4" t="s">
        <v>6715</v>
      </c>
      <c r="E89" s="4" t="s">
        <v>190</v>
      </c>
      <c r="F89" s="8"/>
      <c r="G89" s="8"/>
      <c r="H89" s="8"/>
      <c r="I89" s="8">
        <v>5</v>
      </c>
      <c r="J89" s="8"/>
      <c r="K89" s="8">
        <v>0</v>
      </c>
      <c r="L89" s="18">
        <v>75</v>
      </c>
      <c r="M89" s="7">
        <f t="shared" si="2"/>
        <v>0</v>
      </c>
      <c r="N89" s="4" t="s">
        <v>6882</v>
      </c>
      <c r="O89" s="9"/>
    </row>
    <row r="90" spans="1:15" ht="20" customHeight="1" x14ac:dyDescent="0.2">
      <c r="A90" s="3">
        <v>86</v>
      </c>
      <c r="B90" s="19"/>
      <c r="C90" s="4" t="s">
        <v>6883</v>
      </c>
      <c r="D90" s="4" t="s">
        <v>6715</v>
      </c>
      <c r="E90" s="4" t="s">
        <v>110</v>
      </c>
      <c r="F90" s="8">
        <v>30</v>
      </c>
      <c r="G90" s="8">
        <v>40</v>
      </c>
      <c r="H90" s="8">
        <v>120</v>
      </c>
      <c r="I90" s="8">
        <v>52</v>
      </c>
      <c r="J90" s="8"/>
      <c r="K90" s="8">
        <v>200</v>
      </c>
      <c r="L90" s="18">
        <v>1284</v>
      </c>
      <c r="M90" s="7">
        <f t="shared" si="2"/>
        <v>256800</v>
      </c>
      <c r="N90" s="4" t="s">
        <v>6869</v>
      </c>
      <c r="O90" s="9"/>
    </row>
    <row r="91" spans="1:15" ht="20" customHeight="1" x14ac:dyDescent="0.2">
      <c r="A91" s="3">
        <v>87</v>
      </c>
      <c r="B91" s="19"/>
      <c r="C91" s="4" t="s">
        <v>6884</v>
      </c>
      <c r="D91" s="4" t="s">
        <v>6715</v>
      </c>
      <c r="E91" s="4" t="s">
        <v>110</v>
      </c>
      <c r="F91" s="8">
        <v>200</v>
      </c>
      <c r="G91" s="8">
        <v>200</v>
      </c>
      <c r="H91" s="8">
        <v>355</v>
      </c>
      <c r="I91" s="8">
        <v>71</v>
      </c>
      <c r="J91" s="8"/>
      <c r="K91" s="8">
        <v>400</v>
      </c>
      <c r="L91" s="18">
        <v>1465.9</v>
      </c>
      <c r="M91" s="7">
        <f t="shared" si="2"/>
        <v>586360</v>
      </c>
      <c r="N91" s="4" t="s">
        <v>6871</v>
      </c>
      <c r="O91" s="9"/>
    </row>
    <row r="92" spans="1:15" ht="20" customHeight="1" x14ac:dyDescent="0.2">
      <c r="A92" s="3">
        <v>88</v>
      </c>
      <c r="B92" s="19"/>
      <c r="C92" s="4" t="s">
        <v>6885</v>
      </c>
      <c r="D92" s="4" t="s">
        <v>6715</v>
      </c>
      <c r="E92" s="4" t="s">
        <v>190</v>
      </c>
      <c r="F92" s="8">
        <v>400</v>
      </c>
      <c r="G92" s="8">
        <v>400</v>
      </c>
      <c r="H92" s="8">
        <v>200</v>
      </c>
      <c r="I92" s="8">
        <v>96</v>
      </c>
      <c r="J92" s="8"/>
      <c r="K92" s="8">
        <v>200</v>
      </c>
      <c r="L92" s="18">
        <v>12</v>
      </c>
      <c r="M92" s="7">
        <f t="shared" si="2"/>
        <v>2400</v>
      </c>
      <c r="N92" s="4" t="s">
        <v>6886</v>
      </c>
      <c r="O92" s="9"/>
    </row>
    <row r="93" spans="1:15" ht="20" customHeight="1" x14ac:dyDescent="0.2">
      <c r="A93" s="3">
        <v>89</v>
      </c>
      <c r="B93" s="19"/>
      <c r="C93" s="4" t="s">
        <v>6887</v>
      </c>
      <c r="D93" s="4" t="s">
        <v>6715</v>
      </c>
      <c r="E93" s="4" t="s">
        <v>190</v>
      </c>
      <c r="F93" s="8"/>
      <c r="G93" s="8"/>
      <c r="H93" s="8">
        <v>4000</v>
      </c>
      <c r="I93" s="8"/>
      <c r="J93" s="8"/>
      <c r="K93" s="8">
        <v>4000</v>
      </c>
      <c r="L93" s="18">
        <v>5.5</v>
      </c>
      <c r="M93" s="7">
        <f t="shared" si="2"/>
        <v>22000</v>
      </c>
      <c r="N93" s="4" t="s">
        <v>6888</v>
      </c>
      <c r="O93" s="9"/>
    </row>
    <row r="94" spans="1:15" ht="20" customHeight="1" x14ac:dyDescent="0.2">
      <c r="A94" s="3">
        <v>90</v>
      </c>
      <c r="B94" s="19"/>
      <c r="C94" s="4" t="s">
        <v>6889</v>
      </c>
      <c r="D94" s="4" t="s">
        <v>6715</v>
      </c>
      <c r="E94" s="4" t="s">
        <v>137</v>
      </c>
      <c r="F94" s="8">
        <v>240</v>
      </c>
      <c r="G94" s="8">
        <v>300</v>
      </c>
      <c r="H94" s="8">
        <v>80</v>
      </c>
      <c r="I94" s="8">
        <v>56</v>
      </c>
      <c r="J94" s="8"/>
      <c r="K94" s="8">
        <v>100</v>
      </c>
      <c r="L94" s="18">
        <v>95</v>
      </c>
      <c r="M94" s="7">
        <f t="shared" si="2"/>
        <v>9500</v>
      </c>
      <c r="N94" s="4" t="s">
        <v>6890</v>
      </c>
      <c r="O94" s="9"/>
    </row>
    <row r="95" spans="1:15" ht="20" customHeight="1" x14ac:dyDescent="0.2">
      <c r="A95" s="3">
        <v>91</v>
      </c>
      <c r="B95" s="19"/>
      <c r="C95" s="4" t="s">
        <v>6891</v>
      </c>
      <c r="D95" s="4" t="s">
        <v>6715</v>
      </c>
      <c r="E95" s="4" t="s">
        <v>190</v>
      </c>
      <c r="F95" s="8">
        <v>300</v>
      </c>
      <c r="G95" s="8">
        <v>300</v>
      </c>
      <c r="H95" s="8">
        <v>80</v>
      </c>
      <c r="I95" s="8">
        <v>12</v>
      </c>
      <c r="J95" s="8"/>
      <c r="K95" s="8">
        <v>100</v>
      </c>
      <c r="L95" s="18">
        <v>98</v>
      </c>
      <c r="M95" s="7">
        <f t="shared" si="2"/>
        <v>9800</v>
      </c>
      <c r="N95" s="4" t="s">
        <v>6892</v>
      </c>
      <c r="O95" s="9"/>
    </row>
    <row r="96" spans="1:15" ht="20" customHeight="1" x14ac:dyDescent="0.2">
      <c r="A96" s="3">
        <v>92</v>
      </c>
      <c r="B96" s="19"/>
      <c r="C96" s="4" t="s">
        <v>6893</v>
      </c>
      <c r="D96" s="4" t="s">
        <v>6715</v>
      </c>
      <c r="E96" s="4" t="s">
        <v>190</v>
      </c>
      <c r="F96" s="8"/>
      <c r="G96" s="8"/>
      <c r="H96" s="8"/>
      <c r="I96" s="8"/>
      <c r="J96" s="8"/>
      <c r="K96" s="8">
        <v>100</v>
      </c>
      <c r="L96" s="18">
        <v>98</v>
      </c>
      <c r="M96" s="7">
        <f t="shared" si="2"/>
        <v>9800</v>
      </c>
      <c r="N96" s="4" t="s">
        <v>6894</v>
      </c>
      <c r="O96" s="9"/>
    </row>
    <row r="97" spans="1:15" ht="20" customHeight="1" x14ac:dyDescent="0.2">
      <c r="A97" s="3">
        <v>93</v>
      </c>
      <c r="B97" s="19"/>
      <c r="C97" s="4" t="s">
        <v>6895</v>
      </c>
      <c r="D97" s="4" t="s">
        <v>6715</v>
      </c>
      <c r="E97" s="4" t="s">
        <v>190</v>
      </c>
      <c r="F97" s="8">
        <v>3100</v>
      </c>
      <c r="G97" s="8">
        <v>5000</v>
      </c>
      <c r="H97" s="8">
        <v>1000</v>
      </c>
      <c r="I97" s="8"/>
      <c r="J97" s="8"/>
      <c r="K97" s="8">
        <v>1500</v>
      </c>
      <c r="L97" s="18">
        <v>9</v>
      </c>
      <c r="M97" s="7">
        <f t="shared" si="2"/>
        <v>13500</v>
      </c>
      <c r="N97" s="4" t="s">
        <v>6896</v>
      </c>
      <c r="O97" s="9"/>
    </row>
    <row r="98" spans="1:15" ht="20" customHeight="1" x14ac:dyDescent="0.2">
      <c r="A98" s="3">
        <v>94</v>
      </c>
      <c r="B98" s="19"/>
      <c r="C98" s="4" t="s">
        <v>6897</v>
      </c>
      <c r="D98" s="4" t="s">
        <v>6715</v>
      </c>
      <c r="E98" s="4" t="s">
        <v>190</v>
      </c>
      <c r="F98" s="8">
        <v>85000</v>
      </c>
      <c r="G98" s="8">
        <v>100000</v>
      </c>
      <c r="H98" s="8">
        <v>90000</v>
      </c>
      <c r="I98" s="8"/>
      <c r="J98" s="8"/>
      <c r="K98" s="8">
        <v>85000</v>
      </c>
      <c r="L98" s="18">
        <v>6</v>
      </c>
      <c r="M98" s="7">
        <f t="shared" si="2"/>
        <v>510000</v>
      </c>
      <c r="N98" s="4" t="s">
        <v>6898</v>
      </c>
      <c r="O98" s="9"/>
    </row>
    <row r="99" spans="1:15" ht="20" customHeight="1" x14ac:dyDescent="0.2">
      <c r="A99" s="3">
        <v>95</v>
      </c>
      <c r="B99" s="19"/>
      <c r="C99" s="4" t="s">
        <v>6899</v>
      </c>
      <c r="D99" s="4" t="s">
        <v>6715</v>
      </c>
      <c r="E99" s="4" t="s">
        <v>190</v>
      </c>
      <c r="F99" s="8">
        <v>155000</v>
      </c>
      <c r="G99" s="8">
        <v>155000</v>
      </c>
      <c r="H99" s="8">
        <v>255000</v>
      </c>
      <c r="I99" s="8"/>
      <c r="J99" s="8"/>
      <c r="K99" s="8">
        <v>265000</v>
      </c>
      <c r="L99" s="18">
        <v>1</v>
      </c>
      <c r="M99" s="7">
        <f t="shared" si="2"/>
        <v>265000</v>
      </c>
      <c r="N99" s="4" t="s">
        <v>6900</v>
      </c>
      <c r="O99" s="9"/>
    </row>
    <row r="100" spans="1:15" ht="20" customHeight="1" x14ac:dyDescent="0.2">
      <c r="A100" s="3">
        <v>96</v>
      </c>
      <c r="B100" s="19"/>
      <c r="C100" s="4" t="s">
        <v>6901</v>
      </c>
      <c r="D100" s="4" t="s">
        <v>6715</v>
      </c>
      <c r="E100" s="4" t="s">
        <v>190</v>
      </c>
      <c r="F100" s="8">
        <v>105000</v>
      </c>
      <c r="G100" s="8">
        <v>120000</v>
      </c>
      <c r="H100" s="8">
        <v>310000</v>
      </c>
      <c r="I100" s="8"/>
      <c r="J100" s="8"/>
      <c r="K100" s="8">
        <v>315000</v>
      </c>
      <c r="L100" s="18">
        <v>1.8</v>
      </c>
      <c r="M100" s="7">
        <f t="shared" si="2"/>
        <v>567000</v>
      </c>
      <c r="N100" s="4" t="s">
        <v>6902</v>
      </c>
      <c r="O100" s="9"/>
    </row>
    <row r="101" spans="1:15" ht="20" customHeight="1" x14ac:dyDescent="0.2">
      <c r="A101" s="3">
        <v>97</v>
      </c>
      <c r="B101" s="19"/>
      <c r="C101" s="4" t="s">
        <v>6903</v>
      </c>
      <c r="D101" s="4" t="s">
        <v>6715</v>
      </c>
      <c r="E101" s="4" t="s">
        <v>190</v>
      </c>
      <c r="F101" s="8">
        <v>40000</v>
      </c>
      <c r="G101" s="8">
        <v>40000</v>
      </c>
      <c r="H101" s="8">
        <v>28000</v>
      </c>
      <c r="I101" s="8"/>
      <c r="J101" s="8"/>
      <c r="K101" s="8">
        <v>35000</v>
      </c>
      <c r="L101" s="18">
        <v>2.5</v>
      </c>
      <c r="M101" s="7">
        <f t="shared" ref="M101:M132" si="3">IF(OR(K101="",L101=""),"",K101*L101)</f>
        <v>87500</v>
      </c>
      <c r="N101" s="4" t="s">
        <v>6904</v>
      </c>
      <c r="O101" s="9"/>
    </row>
    <row r="102" spans="1:15" ht="20" customHeight="1" x14ac:dyDescent="0.2">
      <c r="A102" s="3">
        <v>98</v>
      </c>
      <c r="B102" s="19"/>
      <c r="C102" s="4" t="s">
        <v>6905</v>
      </c>
      <c r="D102" s="4" t="s">
        <v>6715</v>
      </c>
      <c r="E102" s="4" t="s">
        <v>190</v>
      </c>
      <c r="F102" s="8">
        <v>40000</v>
      </c>
      <c r="G102" s="8">
        <v>40000</v>
      </c>
      <c r="H102" s="8">
        <v>33000</v>
      </c>
      <c r="I102" s="8"/>
      <c r="J102" s="8"/>
      <c r="K102" s="8">
        <v>60000</v>
      </c>
      <c r="L102" s="18">
        <v>3</v>
      </c>
      <c r="M102" s="7">
        <f t="shared" si="3"/>
        <v>180000</v>
      </c>
      <c r="N102" s="4" t="s">
        <v>6906</v>
      </c>
      <c r="O102" s="9"/>
    </row>
    <row r="103" spans="1:15" ht="20" customHeight="1" x14ac:dyDescent="0.2">
      <c r="A103" s="3">
        <v>99</v>
      </c>
      <c r="B103" s="19"/>
      <c r="C103" s="4" t="s">
        <v>6907</v>
      </c>
      <c r="D103" s="4" t="s">
        <v>6715</v>
      </c>
      <c r="E103" s="4" t="s">
        <v>110</v>
      </c>
      <c r="F103" s="8">
        <v>200</v>
      </c>
      <c r="G103" s="8">
        <v>200</v>
      </c>
      <c r="H103" s="8">
        <v>700</v>
      </c>
      <c r="I103" s="8"/>
      <c r="J103" s="8"/>
      <c r="K103" s="8">
        <v>1200</v>
      </c>
      <c r="L103" s="18">
        <v>165</v>
      </c>
      <c r="M103" s="7">
        <f t="shared" si="3"/>
        <v>198000</v>
      </c>
      <c r="N103" s="4" t="s">
        <v>6908</v>
      </c>
      <c r="O103" s="9"/>
    </row>
    <row r="104" spans="1:15" ht="20" customHeight="1" x14ac:dyDescent="0.2">
      <c r="A104" s="3">
        <v>100</v>
      </c>
      <c r="B104" s="19"/>
      <c r="C104" s="4" t="s">
        <v>6909</v>
      </c>
      <c r="D104" s="4" t="s">
        <v>6715</v>
      </c>
      <c r="E104" s="4" t="s">
        <v>190</v>
      </c>
      <c r="F104" s="8">
        <v>3000</v>
      </c>
      <c r="G104" s="8">
        <v>3000</v>
      </c>
      <c r="H104" s="8">
        <v>250</v>
      </c>
      <c r="I104" s="8">
        <v>125</v>
      </c>
      <c r="J104" s="8"/>
      <c r="K104" s="8">
        <v>100</v>
      </c>
      <c r="L104" s="18">
        <v>18</v>
      </c>
      <c r="M104" s="7">
        <f t="shared" si="3"/>
        <v>1800</v>
      </c>
      <c r="N104" s="4"/>
      <c r="O104" s="9"/>
    </row>
    <row r="105" spans="1:15" ht="20" customHeight="1" x14ac:dyDescent="0.2">
      <c r="A105" s="3">
        <v>101</v>
      </c>
      <c r="B105" s="19"/>
      <c r="C105" s="4" t="s">
        <v>6910</v>
      </c>
      <c r="D105" s="4" t="s">
        <v>6715</v>
      </c>
      <c r="E105" s="4" t="s">
        <v>499</v>
      </c>
      <c r="F105" s="8">
        <v>2000</v>
      </c>
      <c r="G105" s="8">
        <v>2650</v>
      </c>
      <c r="H105" s="8">
        <v>3000</v>
      </c>
      <c r="I105" s="8">
        <v>2100</v>
      </c>
      <c r="J105" s="8"/>
      <c r="K105" s="8">
        <v>10000</v>
      </c>
      <c r="L105" s="18">
        <v>3.15</v>
      </c>
      <c r="M105" s="7">
        <f t="shared" si="3"/>
        <v>31500</v>
      </c>
      <c r="N105" s="4" t="s">
        <v>6911</v>
      </c>
      <c r="O105" s="9"/>
    </row>
    <row r="106" spans="1:15" ht="20" customHeight="1" x14ac:dyDescent="0.2">
      <c r="A106" s="3">
        <v>102</v>
      </c>
      <c r="B106" s="19"/>
      <c r="C106" s="4" t="s">
        <v>6912</v>
      </c>
      <c r="D106" s="4" t="s">
        <v>6715</v>
      </c>
      <c r="E106" s="4" t="s">
        <v>499</v>
      </c>
      <c r="F106" s="8">
        <v>77000</v>
      </c>
      <c r="G106" s="8">
        <v>80650</v>
      </c>
      <c r="H106" s="8">
        <v>84000</v>
      </c>
      <c r="I106" s="8">
        <v>23850</v>
      </c>
      <c r="J106" s="8"/>
      <c r="K106" s="8">
        <v>110000</v>
      </c>
      <c r="L106" s="18">
        <v>3.15</v>
      </c>
      <c r="M106" s="7">
        <f t="shared" si="3"/>
        <v>346500</v>
      </c>
      <c r="N106" s="4" t="s">
        <v>6913</v>
      </c>
      <c r="O106" s="9"/>
    </row>
    <row r="107" spans="1:15" ht="20" customHeight="1" x14ac:dyDescent="0.2">
      <c r="A107" s="3">
        <v>103</v>
      </c>
      <c r="B107" s="19"/>
      <c r="C107" s="4" t="s">
        <v>6914</v>
      </c>
      <c r="D107" s="4" t="s">
        <v>6715</v>
      </c>
      <c r="E107" s="4" t="s">
        <v>499</v>
      </c>
      <c r="F107" s="8">
        <v>21000</v>
      </c>
      <c r="G107" s="8">
        <v>31750</v>
      </c>
      <c r="H107" s="8">
        <v>39000</v>
      </c>
      <c r="I107" s="8">
        <v>15050</v>
      </c>
      <c r="J107" s="8"/>
      <c r="K107" s="8">
        <v>35000</v>
      </c>
      <c r="L107" s="18">
        <v>3.15</v>
      </c>
      <c r="M107" s="7">
        <f t="shared" si="3"/>
        <v>110250</v>
      </c>
      <c r="N107" s="4" t="s">
        <v>6915</v>
      </c>
      <c r="O107" s="9"/>
    </row>
    <row r="108" spans="1:15" ht="20" customHeight="1" x14ac:dyDescent="0.2">
      <c r="A108" s="3">
        <v>104</v>
      </c>
      <c r="B108" s="19"/>
      <c r="C108" s="4" t="s">
        <v>6916</v>
      </c>
      <c r="D108" s="4" t="s">
        <v>6715</v>
      </c>
      <c r="E108" s="4" t="s">
        <v>110</v>
      </c>
      <c r="F108" s="8">
        <v>40</v>
      </c>
      <c r="G108" s="8">
        <v>40</v>
      </c>
      <c r="H108" s="8">
        <v>40</v>
      </c>
      <c r="I108" s="8">
        <v>5</v>
      </c>
      <c r="J108" s="8"/>
      <c r="K108" s="8">
        <v>50</v>
      </c>
      <c r="L108" s="18">
        <v>1350</v>
      </c>
      <c r="M108" s="7">
        <f t="shared" si="3"/>
        <v>67500</v>
      </c>
      <c r="N108" s="4" t="s">
        <v>6917</v>
      </c>
      <c r="O108" s="9"/>
    </row>
    <row r="109" spans="1:15" ht="20" customHeight="1" x14ac:dyDescent="0.2">
      <c r="A109" s="3">
        <v>105</v>
      </c>
      <c r="B109" s="19"/>
      <c r="C109" s="4" t="s">
        <v>6918</v>
      </c>
      <c r="D109" s="4" t="s">
        <v>6715</v>
      </c>
      <c r="E109" s="4" t="s">
        <v>110</v>
      </c>
      <c r="F109" s="8">
        <v>40</v>
      </c>
      <c r="G109" s="8">
        <v>40</v>
      </c>
      <c r="H109" s="8">
        <v>80</v>
      </c>
      <c r="I109" s="8">
        <v>20</v>
      </c>
      <c r="J109" s="8"/>
      <c r="K109" s="8">
        <v>100</v>
      </c>
      <c r="L109" s="18">
        <v>1350</v>
      </c>
      <c r="M109" s="7">
        <f t="shared" si="3"/>
        <v>135000</v>
      </c>
      <c r="N109" s="4" t="s">
        <v>6919</v>
      </c>
      <c r="O109" s="9"/>
    </row>
    <row r="110" spans="1:15" ht="20" customHeight="1" x14ac:dyDescent="0.2">
      <c r="A110" s="3">
        <v>106</v>
      </c>
      <c r="B110" s="19"/>
      <c r="C110" s="4" t="s">
        <v>6920</v>
      </c>
      <c r="D110" s="4" t="s">
        <v>6715</v>
      </c>
      <c r="E110" s="4" t="s">
        <v>110</v>
      </c>
      <c r="F110" s="8">
        <v>20</v>
      </c>
      <c r="G110" s="8">
        <v>20</v>
      </c>
      <c r="H110" s="8">
        <v>320</v>
      </c>
      <c r="I110" s="8">
        <v>60</v>
      </c>
      <c r="J110" s="8"/>
      <c r="K110" s="8">
        <v>400</v>
      </c>
      <c r="L110" s="18">
        <v>1350</v>
      </c>
      <c r="M110" s="7">
        <f t="shared" si="3"/>
        <v>540000</v>
      </c>
      <c r="N110" s="4" t="s">
        <v>6921</v>
      </c>
      <c r="O110" s="9"/>
    </row>
    <row r="111" spans="1:15" ht="20" customHeight="1" x14ac:dyDescent="0.2">
      <c r="A111" s="3">
        <v>107</v>
      </c>
      <c r="B111" s="19"/>
      <c r="C111" s="4" t="s">
        <v>6922</v>
      </c>
      <c r="D111" s="4" t="s">
        <v>6715</v>
      </c>
      <c r="E111" s="4" t="s">
        <v>110</v>
      </c>
      <c r="F111" s="8">
        <v>1300</v>
      </c>
      <c r="G111" s="8">
        <v>1500</v>
      </c>
      <c r="H111" s="8">
        <v>640</v>
      </c>
      <c r="I111" s="8">
        <v>429</v>
      </c>
      <c r="J111" s="8"/>
      <c r="K111" s="8">
        <v>100</v>
      </c>
      <c r="L111" s="18">
        <v>78.900000000000006</v>
      </c>
      <c r="M111" s="7">
        <f t="shared" si="3"/>
        <v>7890.0000000000009</v>
      </c>
      <c r="N111" s="4" t="s">
        <v>6923</v>
      </c>
      <c r="O111" s="9"/>
    </row>
    <row r="112" spans="1:15" ht="20" customHeight="1" x14ac:dyDescent="0.2">
      <c r="A112" s="3">
        <v>108</v>
      </c>
      <c r="B112" s="19"/>
      <c r="C112" s="4" t="s">
        <v>6924</v>
      </c>
      <c r="D112" s="4" t="s">
        <v>6715</v>
      </c>
      <c r="E112" s="4" t="s">
        <v>110</v>
      </c>
      <c r="F112" s="8">
        <v>3660</v>
      </c>
      <c r="G112" s="8">
        <v>4000</v>
      </c>
      <c r="H112" s="8">
        <v>4300</v>
      </c>
      <c r="I112" s="8">
        <v>112</v>
      </c>
      <c r="J112" s="8"/>
      <c r="K112" s="8">
        <v>5000</v>
      </c>
      <c r="L112" s="18">
        <v>78.900000000000006</v>
      </c>
      <c r="M112" s="7">
        <f t="shared" si="3"/>
        <v>394500</v>
      </c>
      <c r="N112" s="4" t="s">
        <v>6925</v>
      </c>
      <c r="O112" s="9"/>
    </row>
    <row r="113" spans="1:15" ht="20" customHeight="1" x14ac:dyDescent="0.2">
      <c r="A113" s="3">
        <v>109</v>
      </c>
      <c r="B113" s="19"/>
      <c r="C113" s="4" t="s">
        <v>6926</v>
      </c>
      <c r="D113" s="4" t="s">
        <v>6715</v>
      </c>
      <c r="E113" s="4" t="s">
        <v>110</v>
      </c>
      <c r="F113" s="8">
        <v>34260</v>
      </c>
      <c r="G113" s="8">
        <v>40000</v>
      </c>
      <c r="H113" s="8">
        <v>40300</v>
      </c>
      <c r="I113" s="8">
        <v>572</v>
      </c>
      <c r="J113" s="8"/>
      <c r="K113" s="8">
        <v>50000</v>
      </c>
      <c r="L113" s="18">
        <v>78.900000000000006</v>
      </c>
      <c r="M113" s="7">
        <f t="shared" si="3"/>
        <v>3945000.0000000005</v>
      </c>
      <c r="N113" s="4" t="s">
        <v>6927</v>
      </c>
      <c r="O113" s="9"/>
    </row>
    <row r="114" spans="1:15" ht="20" customHeight="1" x14ac:dyDescent="0.2">
      <c r="A114" s="3">
        <v>110</v>
      </c>
      <c r="B114" s="19"/>
      <c r="C114" s="4" t="s">
        <v>6928</v>
      </c>
      <c r="D114" s="4" t="s">
        <v>6715</v>
      </c>
      <c r="E114" s="4" t="s">
        <v>110</v>
      </c>
      <c r="F114" s="8">
        <v>1000</v>
      </c>
      <c r="G114" s="8">
        <v>1000</v>
      </c>
      <c r="H114" s="8">
        <v>2200</v>
      </c>
      <c r="I114" s="8">
        <v>189</v>
      </c>
      <c r="J114" s="8"/>
      <c r="K114" s="8">
        <v>3000</v>
      </c>
      <c r="L114" s="18">
        <v>78.900000000000006</v>
      </c>
      <c r="M114" s="7">
        <f t="shared" si="3"/>
        <v>236700.00000000003</v>
      </c>
      <c r="N114" s="4" t="s">
        <v>6929</v>
      </c>
      <c r="O114" s="9"/>
    </row>
    <row r="115" spans="1:15" ht="20" customHeight="1" x14ac:dyDescent="0.2">
      <c r="A115" s="3">
        <v>111</v>
      </c>
      <c r="B115" s="19"/>
      <c r="C115" s="4" t="s">
        <v>6930</v>
      </c>
      <c r="D115" s="4" t="s">
        <v>6715</v>
      </c>
      <c r="E115" s="4" t="s">
        <v>110</v>
      </c>
      <c r="F115" s="8">
        <v>4800</v>
      </c>
      <c r="G115" s="8">
        <v>5000</v>
      </c>
      <c r="H115" s="8">
        <v>7500</v>
      </c>
      <c r="I115" s="8"/>
      <c r="J115" s="8"/>
      <c r="K115" s="8">
        <v>7500</v>
      </c>
      <c r="L115" s="18">
        <v>104</v>
      </c>
      <c r="M115" s="7">
        <f t="shared" si="3"/>
        <v>780000</v>
      </c>
      <c r="N115" s="4" t="s">
        <v>6931</v>
      </c>
      <c r="O115" s="9"/>
    </row>
    <row r="116" spans="1:15" ht="20" customHeight="1" x14ac:dyDescent="0.2">
      <c r="A116" s="3">
        <v>112</v>
      </c>
      <c r="B116" s="19"/>
      <c r="C116" s="4" t="s">
        <v>6932</v>
      </c>
      <c r="D116" s="4" t="s">
        <v>6715</v>
      </c>
      <c r="E116" s="4" t="s">
        <v>110</v>
      </c>
      <c r="F116" s="8"/>
      <c r="G116" s="8"/>
      <c r="H116" s="8"/>
      <c r="I116" s="8"/>
      <c r="J116" s="8"/>
      <c r="K116" s="8">
        <v>200</v>
      </c>
      <c r="L116" s="18">
        <v>104</v>
      </c>
      <c r="M116" s="7">
        <f t="shared" si="3"/>
        <v>20800</v>
      </c>
      <c r="N116" s="4" t="s">
        <v>6933</v>
      </c>
      <c r="O116" s="9"/>
    </row>
    <row r="117" spans="1:15" ht="20" customHeight="1" x14ac:dyDescent="0.2">
      <c r="A117" s="3">
        <v>113</v>
      </c>
      <c r="B117" s="19"/>
      <c r="C117" s="4" t="s">
        <v>6934</v>
      </c>
      <c r="D117" s="4" t="s">
        <v>6715</v>
      </c>
      <c r="E117" s="4" t="s">
        <v>110</v>
      </c>
      <c r="F117" s="8"/>
      <c r="G117" s="8"/>
      <c r="H117" s="8"/>
      <c r="I117" s="8"/>
      <c r="J117" s="8"/>
      <c r="K117" s="8">
        <v>300</v>
      </c>
      <c r="L117" s="18">
        <v>104</v>
      </c>
      <c r="M117" s="7">
        <f t="shared" si="3"/>
        <v>31200</v>
      </c>
      <c r="N117" s="4" t="s">
        <v>6935</v>
      </c>
      <c r="O117" s="9"/>
    </row>
    <row r="118" spans="1:15" ht="20" customHeight="1" x14ac:dyDescent="0.2">
      <c r="A118" s="3">
        <v>114</v>
      </c>
      <c r="B118" s="19"/>
      <c r="C118" s="4" t="s">
        <v>6936</v>
      </c>
      <c r="D118" s="4" t="s">
        <v>6715</v>
      </c>
      <c r="E118" s="4" t="s">
        <v>110</v>
      </c>
      <c r="F118" s="8">
        <v>40</v>
      </c>
      <c r="G118" s="8">
        <v>40</v>
      </c>
      <c r="H118" s="8">
        <v>240</v>
      </c>
      <c r="I118" s="8">
        <v>42</v>
      </c>
      <c r="J118" s="8"/>
      <c r="K118" s="8">
        <v>300</v>
      </c>
      <c r="L118" s="18">
        <v>145</v>
      </c>
      <c r="M118" s="7">
        <f t="shared" si="3"/>
        <v>43500</v>
      </c>
      <c r="N118" s="4" t="s">
        <v>6937</v>
      </c>
      <c r="O118" s="9"/>
    </row>
    <row r="119" spans="1:15" ht="20" customHeight="1" x14ac:dyDescent="0.2">
      <c r="A119" s="3">
        <v>115</v>
      </c>
      <c r="B119" s="19"/>
      <c r="C119" s="4" t="s">
        <v>6938</v>
      </c>
      <c r="D119" s="4" t="s">
        <v>6715</v>
      </c>
      <c r="E119" s="4" t="s">
        <v>110</v>
      </c>
      <c r="F119" s="8">
        <v>200</v>
      </c>
      <c r="G119" s="8">
        <v>200</v>
      </c>
      <c r="H119" s="8">
        <v>320</v>
      </c>
      <c r="I119" s="8">
        <v>26</v>
      </c>
      <c r="J119" s="8"/>
      <c r="K119" s="8">
        <v>300</v>
      </c>
      <c r="L119" s="18">
        <v>145</v>
      </c>
      <c r="M119" s="7">
        <f t="shared" si="3"/>
        <v>43500</v>
      </c>
      <c r="N119" s="4" t="s">
        <v>6939</v>
      </c>
      <c r="O119" s="9"/>
    </row>
    <row r="120" spans="1:15" ht="20" customHeight="1" x14ac:dyDescent="0.2">
      <c r="A120" s="3">
        <v>116</v>
      </c>
      <c r="B120" s="19"/>
      <c r="C120" s="4" t="s">
        <v>6940</v>
      </c>
      <c r="D120" s="4" t="s">
        <v>6715</v>
      </c>
      <c r="E120" s="4" t="s">
        <v>110</v>
      </c>
      <c r="F120" s="8">
        <v>600</v>
      </c>
      <c r="G120" s="8">
        <v>600</v>
      </c>
      <c r="H120" s="8">
        <v>1050</v>
      </c>
      <c r="I120" s="8">
        <v>194</v>
      </c>
      <c r="J120" s="8"/>
      <c r="K120" s="8">
        <v>1100</v>
      </c>
      <c r="L120" s="18">
        <v>145</v>
      </c>
      <c r="M120" s="7">
        <f t="shared" si="3"/>
        <v>159500</v>
      </c>
      <c r="N120" s="4" t="s">
        <v>6941</v>
      </c>
      <c r="O120" s="9"/>
    </row>
    <row r="121" spans="1:15" ht="20" customHeight="1" x14ac:dyDescent="0.2">
      <c r="A121" s="3">
        <v>117</v>
      </c>
      <c r="B121" s="19"/>
      <c r="C121" s="4" t="s">
        <v>6942</v>
      </c>
      <c r="D121" s="4" t="s">
        <v>6715</v>
      </c>
      <c r="E121" s="4" t="s">
        <v>154</v>
      </c>
      <c r="F121" s="8">
        <v>5500</v>
      </c>
      <c r="G121" s="8">
        <v>6000</v>
      </c>
      <c r="H121" s="8">
        <v>9500</v>
      </c>
      <c r="I121" s="8"/>
      <c r="J121" s="8"/>
      <c r="K121" s="8">
        <v>20000</v>
      </c>
      <c r="L121" s="18">
        <v>7</v>
      </c>
      <c r="M121" s="7">
        <f t="shared" si="3"/>
        <v>140000</v>
      </c>
      <c r="N121" s="4" t="s">
        <v>6943</v>
      </c>
      <c r="O121" s="9"/>
    </row>
    <row r="122" spans="1:15" ht="20" customHeight="1" x14ac:dyDescent="0.2">
      <c r="A122" s="3">
        <v>118</v>
      </c>
      <c r="B122" s="19"/>
      <c r="C122" s="4" t="s">
        <v>6944</v>
      </c>
      <c r="D122" s="4" t="s">
        <v>6715</v>
      </c>
      <c r="E122" s="4" t="s">
        <v>154</v>
      </c>
      <c r="F122" s="8">
        <v>155000</v>
      </c>
      <c r="G122" s="8">
        <v>160000</v>
      </c>
      <c r="H122" s="8">
        <v>165000</v>
      </c>
      <c r="I122" s="8"/>
      <c r="J122" s="8"/>
      <c r="K122" s="8">
        <v>200000</v>
      </c>
      <c r="L122" s="18">
        <v>7</v>
      </c>
      <c r="M122" s="7">
        <f t="shared" si="3"/>
        <v>1400000</v>
      </c>
      <c r="N122" s="4" t="s">
        <v>6945</v>
      </c>
      <c r="O122" s="9"/>
    </row>
    <row r="123" spans="1:15" ht="20" customHeight="1" x14ac:dyDescent="0.2">
      <c r="A123" s="3">
        <v>119</v>
      </c>
      <c r="B123" s="19"/>
      <c r="C123" s="4" t="s">
        <v>6946</v>
      </c>
      <c r="D123" s="4" t="s">
        <v>6715</v>
      </c>
      <c r="E123" s="4" t="s">
        <v>110</v>
      </c>
      <c r="F123" s="8">
        <v>280</v>
      </c>
      <c r="G123" s="8">
        <v>300</v>
      </c>
      <c r="H123" s="8">
        <v>360</v>
      </c>
      <c r="I123" s="8">
        <v>7</v>
      </c>
      <c r="J123" s="8"/>
      <c r="K123" s="8">
        <v>480</v>
      </c>
      <c r="L123" s="18">
        <v>950</v>
      </c>
      <c r="M123" s="7">
        <f t="shared" si="3"/>
        <v>456000</v>
      </c>
      <c r="N123" s="4" t="s">
        <v>6947</v>
      </c>
      <c r="O123" s="9"/>
    </row>
    <row r="124" spans="1:15" ht="20" customHeight="1" x14ac:dyDescent="0.2">
      <c r="A124" s="3">
        <v>120</v>
      </c>
      <c r="B124" s="19"/>
      <c r="C124" s="4" t="s">
        <v>6948</v>
      </c>
      <c r="D124" s="4" t="s">
        <v>6715</v>
      </c>
      <c r="E124" s="4" t="s">
        <v>110</v>
      </c>
      <c r="F124" s="8">
        <v>1550</v>
      </c>
      <c r="G124" s="8">
        <v>1600</v>
      </c>
      <c r="H124" s="8">
        <v>1590</v>
      </c>
      <c r="I124" s="8"/>
      <c r="J124" s="8"/>
      <c r="K124" s="8">
        <v>1890</v>
      </c>
      <c r="L124" s="18">
        <v>950</v>
      </c>
      <c r="M124" s="7">
        <f t="shared" si="3"/>
        <v>1795500</v>
      </c>
      <c r="N124" s="4" t="s">
        <v>6949</v>
      </c>
      <c r="O124" s="9"/>
    </row>
    <row r="125" spans="1:15" ht="20" customHeight="1" x14ac:dyDescent="0.2">
      <c r="A125" s="3">
        <v>121</v>
      </c>
      <c r="B125" s="19"/>
      <c r="C125" s="4" t="s">
        <v>6950</v>
      </c>
      <c r="D125" s="4" t="s">
        <v>6715</v>
      </c>
      <c r="E125" s="4" t="s">
        <v>110</v>
      </c>
      <c r="F125" s="8">
        <v>1250</v>
      </c>
      <c r="G125" s="8">
        <v>1300</v>
      </c>
      <c r="H125" s="8">
        <v>980</v>
      </c>
      <c r="I125" s="8">
        <v>38</v>
      </c>
      <c r="J125" s="8"/>
      <c r="K125" s="8">
        <v>1380</v>
      </c>
      <c r="L125" s="18">
        <v>950</v>
      </c>
      <c r="M125" s="7">
        <f t="shared" si="3"/>
        <v>1311000</v>
      </c>
      <c r="N125" s="4" t="s">
        <v>6951</v>
      </c>
      <c r="O125" s="9"/>
    </row>
    <row r="126" spans="1:15" ht="20" customHeight="1" x14ac:dyDescent="0.2">
      <c r="A126" s="3">
        <v>122</v>
      </c>
      <c r="B126" s="19"/>
      <c r="C126" s="4" t="s">
        <v>6952</v>
      </c>
      <c r="D126" s="4" t="s">
        <v>6715</v>
      </c>
      <c r="E126" s="4" t="s">
        <v>110</v>
      </c>
      <c r="F126" s="8">
        <v>650</v>
      </c>
      <c r="G126" s="8">
        <v>800</v>
      </c>
      <c r="H126" s="8">
        <v>620</v>
      </c>
      <c r="I126" s="8">
        <v>7</v>
      </c>
      <c r="J126" s="8"/>
      <c r="K126" s="8">
        <v>500</v>
      </c>
      <c r="L126" s="18">
        <v>950</v>
      </c>
      <c r="M126" s="7">
        <f t="shared" si="3"/>
        <v>475000</v>
      </c>
      <c r="N126" s="4" t="s">
        <v>6953</v>
      </c>
      <c r="O126" s="9"/>
    </row>
    <row r="127" spans="1:15" ht="20" customHeight="1" x14ac:dyDescent="0.2">
      <c r="A127" s="3">
        <v>123</v>
      </c>
      <c r="B127" s="19"/>
      <c r="C127" s="4" t="s">
        <v>6954</v>
      </c>
      <c r="D127" s="4" t="s">
        <v>6715</v>
      </c>
      <c r="E127" s="4" t="s">
        <v>110</v>
      </c>
      <c r="F127" s="8">
        <v>290</v>
      </c>
      <c r="G127" s="8">
        <v>500</v>
      </c>
      <c r="H127" s="8">
        <v>200</v>
      </c>
      <c r="I127" s="8">
        <v>4</v>
      </c>
      <c r="J127" s="8"/>
      <c r="K127" s="8">
        <v>180</v>
      </c>
      <c r="L127" s="18">
        <v>950</v>
      </c>
      <c r="M127" s="7">
        <f t="shared" si="3"/>
        <v>171000</v>
      </c>
      <c r="N127" s="4" t="s">
        <v>6955</v>
      </c>
      <c r="O127" s="9"/>
    </row>
    <row r="128" spans="1:15" ht="20" customHeight="1" x14ac:dyDescent="0.2">
      <c r="A128" s="3">
        <v>124</v>
      </c>
      <c r="B128" s="19"/>
      <c r="C128" s="4" t="s">
        <v>6956</v>
      </c>
      <c r="D128" s="4" t="s">
        <v>6715</v>
      </c>
      <c r="E128" s="4" t="s">
        <v>110</v>
      </c>
      <c r="F128" s="8">
        <v>150</v>
      </c>
      <c r="G128" s="8">
        <v>200</v>
      </c>
      <c r="H128" s="8">
        <v>130</v>
      </c>
      <c r="I128" s="8">
        <v>33</v>
      </c>
      <c r="J128" s="8"/>
      <c r="K128" s="8">
        <v>110</v>
      </c>
      <c r="L128" s="18">
        <v>950</v>
      </c>
      <c r="M128" s="7">
        <f t="shared" si="3"/>
        <v>104500</v>
      </c>
      <c r="N128" s="4" t="s">
        <v>6957</v>
      </c>
      <c r="O128" s="9"/>
    </row>
    <row r="129" spans="1:15" ht="20" customHeight="1" x14ac:dyDescent="0.2">
      <c r="A129" s="3">
        <v>125</v>
      </c>
      <c r="B129" s="19"/>
      <c r="C129" s="4" t="s">
        <v>6958</v>
      </c>
      <c r="D129" s="4" t="s">
        <v>6715</v>
      </c>
      <c r="E129" s="4" t="s">
        <v>110</v>
      </c>
      <c r="F129" s="8"/>
      <c r="G129" s="8">
        <v>5</v>
      </c>
      <c r="H129" s="8"/>
      <c r="I129" s="8"/>
      <c r="J129" s="8"/>
      <c r="K129" s="8">
        <v>5</v>
      </c>
      <c r="L129" s="18">
        <v>950</v>
      </c>
      <c r="M129" s="7">
        <f t="shared" si="3"/>
        <v>4750</v>
      </c>
      <c r="N129" s="4" t="s">
        <v>6959</v>
      </c>
      <c r="O129" s="9"/>
    </row>
    <row r="130" spans="1:15" ht="20" customHeight="1" x14ac:dyDescent="0.2">
      <c r="A130" s="3">
        <v>126</v>
      </c>
      <c r="B130" s="19"/>
      <c r="C130" s="4" t="s">
        <v>6960</v>
      </c>
      <c r="D130" s="4" t="s">
        <v>6715</v>
      </c>
      <c r="E130" s="4" t="s">
        <v>154</v>
      </c>
      <c r="F130" s="8"/>
      <c r="G130" s="8"/>
      <c r="H130" s="8">
        <v>20</v>
      </c>
      <c r="I130" s="8"/>
      <c r="J130" s="8"/>
      <c r="K130" s="8">
        <v>20</v>
      </c>
      <c r="L130" s="18">
        <v>150</v>
      </c>
      <c r="M130" s="7">
        <f t="shared" si="3"/>
        <v>3000</v>
      </c>
      <c r="N130" s="4" t="s">
        <v>6961</v>
      </c>
      <c r="O130" s="9"/>
    </row>
    <row r="131" spans="1:15" ht="20" customHeight="1" x14ac:dyDescent="0.2">
      <c r="A131" s="3">
        <v>127</v>
      </c>
      <c r="B131" s="19"/>
      <c r="C131" s="4" t="s">
        <v>6962</v>
      </c>
      <c r="D131" s="4" t="s">
        <v>6715</v>
      </c>
      <c r="E131" s="4" t="s">
        <v>154</v>
      </c>
      <c r="F131" s="8">
        <v>36</v>
      </c>
      <c r="G131" s="8">
        <v>36</v>
      </c>
      <c r="H131" s="8">
        <v>20</v>
      </c>
      <c r="I131" s="8">
        <v>1</v>
      </c>
      <c r="J131" s="8"/>
      <c r="K131" s="8">
        <v>20</v>
      </c>
      <c r="L131" s="18">
        <v>150</v>
      </c>
      <c r="M131" s="7">
        <f t="shared" si="3"/>
        <v>3000</v>
      </c>
      <c r="N131" s="4" t="s">
        <v>6963</v>
      </c>
      <c r="O131" s="9"/>
    </row>
    <row r="132" spans="1:15" ht="20" customHeight="1" x14ac:dyDescent="0.2">
      <c r="A132" s="3">
        <v>128</v>
      </c>
      <c r="B132" s="19"/>
      <c r="C132" s="4" t="s">
        <v>6964</v>
      </c>
      <c r="D132" s="4" t="s">
        <v>6715</v>
      </c>
      <c r="E132" s="4" t="s">
        <v>154</v>
      </c>
      <c r="F132" s="8">
        <v>36</v>
      </c>
      <c r="G132" s="8">
        <v>36</v>
      </c>
      <c r="H132" s="8">
        <v>20</v>
      </c>
      <c r="I132" s="8">
        <v>6</v>
      </c>
      <c r="J132" s="8"/>
      <c r="K132" s="8">
        <v>20</v>
      </c>
      <c r="L132" s="18">
        <v>150</v>
      </c>
      <c r="M132" s="7">
        <f t="shared" si="3"/>
        <v>3000</v>
      </c>
      <c r="N132" s="4" t="s">
        <v>6965</v>
      </c>
      <c r="O132" s="9"/>
    </row>
    <row r="133" spans="1:15" ht="20" customHeight="1" x14ac:dyDescent="0.2">
      <c r="A133" s="3">
        <v>129</v>
      </c>
      <c r="B133" s="19"/>
      <c r="C133" s="4" t="s">
        <v>6966</v>
      </c>
      <c r="D133" s="4" t="s">
        <v>6715</v>
      </c>
      <c r="E133" s="4" t="s">
        <v>110</v>
      </c>
      <c r="F133" s="8">
        <v>30</v>
      </c>
      <c r="G133" s="8">
        <v>30</v>
      </c>
      <c r="H133" s="8">
        <v>50</v>
      </c>
      <c r="I133" s="8"/>
      <c r="J133" s="8"/>
      <c r="K133" s="8">
        <v>70</v>
      </c>
      <c r="L133" s="18">
        <v>642</v>
      </c>
      <c r="M133" s="7">
        <f t="shared" ref="M133:M164" si="4">IF(OR(K133="",L133=""),"",K133*L133)</f>
        <v>44940</v>
      </c>
      <c r="N133" s="4" t="s">
        <v>6967</v>
      </c>
      <c r="O133" s="9"/>
    </row>
    <row r="134" spans="1:15" ht="20" customHeight="1" x14ac:dyDescent="0.2">
      <c r="A134" s="3">
        <v>130</v>
      </c>
      <c r="B134" s="19"/>
      <c r="C134" s="4" t="s">
        <v>6968</v>
      </c>
      <c r="D134" s="4" t="s">
        <v>6715</v>
      </c>
      <c r="E134" s="4" t="s">
        <v>110</v>
      </c>
      <c r="F134" s="8">
        <v>300</v>
      </c>
      <c r="G134" s="8">
        <v>300</v>
      </c>
      <c r="H134" s="8">
        <v>220</v>
      </c>
      <c r="I134" s="8"/>
      <c r="J134" s="8"/>
      <c r="K134" s="8">
        <v>240</v>
      </c>
      <c r="L134" s="18">
        <v>449.4</v>
      </c>
      <c r="M134" s="7">
        <f t="shared" si="4"/>
        <v>107856</v>
      </c>
      <c r="N134" s="4" t="s">
        <v>6969</v>
      </c>
      <c r="O134" s="9"/>
    </row>
    <row r="135" spans="1:15" ht="20" customHeight="1" x14ac:dyDescent="0.2">
      <c r="A135" s="3">
        <v>131</v>
      </c>
      <c r="B135" s="19"/>
      <c r="C135" s="4" t="s">
        <v>6970</v>
      </c>
      <c r="D135" s="4" t="s">
        <v>6715</v>
      </c>
      <c r="E135" s="4" t="s">
        <v>110</v>
      </c>
      <c r="F135" s="8">
        <v>24</v>
      </c>
      <c r="G135" s="8">
        <v>24</v>
      </c>
      <c r="H135" s="8">
        <v>36</v>
      </c>
      <c r="I135" s="8">
        <v>17</v>
      </c>
      <c r="J135" s="8"/>
      <c r="K135" s="8">
        <v>40</v>
      </c>
      <c r="L135" s="18">
        <v>1100</v>
      </c>
      <c r="M135" s="7">
        <f t="shared" si="4"/>
        <v>44000</v>
      </c>
      <c r="N135" s="4" t="s">
        <v>6971</v>
      </c>
      <c r="O135" s="9"/>
    </row>
    <row r="136" spans="1:15" ht="20" customHeight="1" x14ac:dyDescent="0.2">
      <c r="A136" s="3">
        <v>132</v>
      </c>
      <c r="B136" s="19"/>
      <c r="C136" s="4" t="s">
        <v>6972</v>
      </c>
      <c r="D136" s="4" t="s">
        <v>6715</v>
      </c>
      <c r="E136" s="4" t="s">
        <v>110</v>
      </c>
      <c r="F136" s="8">
        <v>96</v>
      </c>
      <c r="G136" s="8">
        <v>100</v>
      </c>
      <c r="H136" s="8">
        <v>12</v>
      </c>
      <c r="I136" s="8">
        <v>19</v>
      </c>
      <c r="J136" s="8"/>
      <c r="K136" s="8">
        <v>40</v>
      </c>
      <c r="L136" s="18">
        <v>1100</v>
      </c>
      <c r="M136" s="7">
        <f t="shared" si="4"/>
        <v>44000</v>
      </c>
      <c r="N136" s="4" t="s">
        <v>6973</v>
      </c>
      <c r="O136" s="9"/>
    </row>
    <row r="137" spans="1:15" ht="20" customHeight="1" x14ac:dyDescent="0.2">
      <c r="A137" s="3">
        <v>133</v>
      </c>
      <c r="B137" s="19"/>
      <c r="C137" s="4" t="s">
        <v>6974</v>
      </c>
      <c r="D137" s="4" t="s">
        <v>6715</v>
      </c>
      <c r="E137" s="4" t="s">
        <v>110</v>
      </c>
      <c r="F137" s="8">
        <v>60</v>
      </c>
      <c r="G137" s="8">
        <v>60</v>
      </c>
      <c r="H137" s="8">
        <v>60</v>
      </c>
      <c r="I137" s="8">
        <v>21</v>
      </c>
      <c r="J137" s="8"/>
      <c r="K137" s="8">
        <v>100</v>
      </c>
      <c r="L137" s="18">
        <v>1070</v>
      </c>
      <c r="M137" s="7">
        <f t="shared" si="4"/>
        <v>107000</v>
      </c>
      <c r="N137" s="4" t="s">
        <v>6975</v>
      </c>
      <c r="O137" s="9"/>
    </row>
    <row r="138" spans="1:15" ht="20" customHeight="1" x14ac:dyDescent="0.2">
      <c r="A138" s="3">
        <v>134</v>
      </c>
      <c r="B138" s="19"/>
      <c r="C138" s="4" t="s">
        <v>6976</v>
      </c>
      <c r="D138" s="4" t="s">
        <v>6715</v>
      </c>
      <c r="E138" s="4" t="s">
        <v>110</v>
      </c>
      <c r="F138" s="8">
        <v>200</v>
      </c>
      <c r="G138" s="8">
        <v>200</v>
      </c>
      <c r="H138" s="8">
        <v>360</v>
      </c>
      <c r="I138" s="8">
        <v>21</v>
      </c>
      <c r="J138" s="8"/>
      <c r="K138" s="8">
        <v>280</v>
      </c>
      <c r="L138" s="18">
        <v>449.4</v>
      </c>
      <c r="M138" s="7">
        <f t="shared" si="4"/>
        <v>125832</v>
      </c>
      <c r="N138" s="4" t="s">
        <v>6977</v>
      </c>
      <c r="O138" s="9"/>
    </row>
    <row r="139" spans="1:15" ht="20" customHeight="1" x14ac:dyDescent="0.2">
      <c r="A139" s="3">
        <v>135</v>
      </c>
      <c r="B139" s="19"/>
      <c r="C139" s="4" t="s">
        <v>6978</v>
      </c>
      <c r="D139" s="4" t="s">
        <v>6715</v>
      </c>
      <c r="E139" s="4" t="s">
        <v>110</v>
      </c>
      <c r="F139" s="8"/>
      <c r="G139" s="8"/>
      <c r="H139" s="8">
        <v>12</v>
      </c>
      <c r="I139" s="8">
        <v>4</v>
      </c>
      <c r="J139" s="8"/>
      <c r="K139" s="8">
        <v>20</v>
      </c>
      <c r="L139" s="18">
        <v>1070</v>
      </c>
      <c r="M139" s="7">
        <f t="shared" si="4"/>
        <v>21400</v>
      </c>
      <c r="N139" s="4" t="s">
        <v>6979</v>
      </c>
      <c r="O139" s="9"/>
    </row>
    <row r="140" spans="1:15" ht="20" customHeight="1" x14ac:dyDescent="0.2">
      <c r="A140" s="3">
        <v>136</v>
      </c>
      <c r="B140" s="19"/>
      <c r="C140" s="4" t="s">
        <v>6980</v>
      </c>
      <c r="D140" s="4" t="s">
        <v>6715</v>
      </c>
      <c r="E140" s="4" t="s">
        <v>110</v>
      </c>
      <c r="F140" s="8">
        <v>900</v>
      </c>
      <c r="G140" s="8">
        <v>900</v>
      </c>
      <c r="H140" s="8">
        <v>1660</v>
      </c>
      <c r="I140" s="8">
        <v>230</v>
      </c>
      <c r="J140" s="8"/>
      <c r="K140" s="8">
        <v>2400</v>
      </c>
      <c r="L140" s="18">
        <v>449.4</v>
      </c>
      <c r="M140" s="7">
        <f t="shared" si="4"/>
        <v>1078560</v>
      </c>
      <c r="N140" s="4" t="s">
        <v>6981</v>
      </c>
      <c r="O140" s="9"/>
    </row>
    <row r="141" spans="1:15" ht="20" customHeight="1" x14ac:dyDescent="0.2">
      <c r="A141" s="3">
        <v>137</v>
      </c>
      <c r="B141" s="19"/>
      <c r="C141" s="4" t="s">
        <v>6982</v>
      </c>
      <c r="D141" s="4" t="s">
        <v>6715</v>
      </c>
      <c r="E141" s="4" t="s">
        <v>110</v>
      </c>
      <c r="F141" s="8">
        <v>60</v>
      </c>
      <c r="G141" s="8">
        <v>60</v>
      </c>
      <c r="H141" s="8">
        <v>48</v>
      </c>
      <c r="I141" s="8">
        <v>12</v>
      </c>
      <c r="J141" s="8"/>
      <c r="K141" s="8">
        <v>60</v>
      </c>
      <c r="L141" s="18">
        <v>1070</v>
      </c>
      <c r="M141" s="7">
        <f t="shared" si="4"/>
        <v>64200</v>
      </c>
      <c r="N141" s="4" t="s">
        <v>6983</v>
      </c>
      <c r="O141" s="9"/>
    </row>
    <row r="142" spans="1:15" ht="20" customHeight="1" x14ac:dyDescent="0.2">
      <c r="A142" s="3">
        <v>138</v>
      </c>
      <c r="B142" s="19"/>
      <c r="C142" s="4" t="s">
        <v>6984</v>
      </c>
      <c r="D142" s="4" t="s">
        <v>6715</v>
      </c>
      <c r="E142" s="4" t="s">
        <v>110</v>
      </c>
      <c r="F142" s="8">
        <v>1500</v>
      </c>
      <c r="G142" s="8">
        <v>1500</v>
      </c>
      <c r="H142" s="8">
        <v>2500</v>
      </c>
      <c r="I142" s="8">
        <v>584</v>
      </c>
      <c r="J142" s="8"/>
      <c r="K142" s="8">
        <v>3900</v>
      </c>
      <c r="L142" s="18">
        <v>415</v>
      </c>
      <c r="M142" s="7">
        <f t="shared" si="4"/>
        <v>1618500</v>
      </c>
      <c r="N142" s="4" t="s">
        <v>6985</v>
      </c>
      <c r="O142" s="9"/>
    </row>
    <row r="143" spans="1:15" ht="20" customHeight="1" x14ac:dyDescent="0.2">
      <c r="A143" s="3">
        <v>139</v>
      </c>
      <c r="B143" s="19"/>
      <c r="C143" s="4" t="s">
        <v>6986</v>
      </c>
      <c r="D143" s="4" t="s">
        <v>6715</v>
      </c>
      <c r="E143" s="4" t="s">
        <v>110</v>
      </c>
      <c r="F143" s="8">
        <v>156</v>
      </c>
      <c r="G143" s="8">
        <v>160</v>
      </c>
      <c r="H143" s="8">
        <v>304</v>
      </c>
      <c r="I143" s="8">
        <v>1</v>
      </c>
      <c r="J143" s="8"/>
      <c r="K143" s="8">
        <v>400</v>
      </c>
      <c r="L143" s="18">
        <v>1070</v>
      </c>
      <c r="M143" s="7">
        <f t="shared" si="4"/>
        <v>428000</v>
      </c>
      <c r="N143" s="4" t="s">
        <v>6987</v>
      </c>
      <c r="O143" s="9"/>
    </row>
    <row r="144" spans="1:15" ht="20" customHeight="1" x14ac:dyDescent="0.2">
      <c r="A144" s="3">
        <v>140</v>
      </c>
      <c r="B144" s="19"/>
      <c r="C144" s="4" t="s">
        <v>6988</v>
      </c>
      <c r="D144" s="4" t="s">
        <v>6715</v>
      </c>
      <c r="E144" s="4" t="s">
        <v>271</v>
      </c>
      <c r="F144" s="8">
        <v>12200</v>
      </c>
      <c r="G144" s="8">
        <v>13000</v>
      </c>
      <c r="H144" s="8">
        <v>19400</v>
      </c>
      <c r="I144" s="8"/>
      <c r="J144" s="8"/>
      <c r="K144" s="8">
        <v>15000</v>
      </c>
      <c r="L144" s="18">
        <v>74.900000000000006</v>
      </c>
      <c r="M144" s="7">
        <f t="shared" si="4"/>
        <v>1123500</v>
      </c>
      <c r="N144" s="4" t="s">
        <v>6989</v>
      </c>
      <c r="O144" s="9"/>
    </row>
    <row r="145" spans="1:15" ht="20" customHeight="1" x14ac:dyDescent="0.2">
      <c r="A145" s="3">
        <v>141</v>
      </c>
      <c r="B145" s="19"/>
      <c r="C145" s="4" t="s">
        <v>6990</v>
      </c>
      <c r="D145" s="4" t="s">
        <v>6715</v>
      </c>
      <c r="E145" s="4" t="s">
        <v>499</v>
      </c>
      <c r="F145" s="8">
        <v>165000</v>
      </c>
      <c r="G145" s="8">
        <v>180000</v>
      </c>
      <c r="H145" s="8">
        <v>215000</v>
      </c>
      <c r="I145" s="8">
        <v>46502</v>
      </c>
      <c r="J145" s="8"/>
      <c r="K145" s="8">
        <v>300000</v>
      </c>
      <c r="L145" s="18">
        <v>11.75</v>
      </c>
      <c r="M145" s="7">
        <f t="shared" si="4"/>
        <v>3525000</v>
      </c>
      <c r="N145" s="4" t="s">
        <v>6991</v>
      </c>
      <c r="O145" s="9"/>
    </row>
    <row r="146" spans="1:15" ht="20" customHeight="1" x14ac:dyDescent="0.2">
      <c r="A146" s="3">
        <v>142</v>
      </c>
      <c r="B146" s="19"/>
      <c r="C146" s="4" t="s">
        <v>6992</v>
      </c>
      <c r="D146" s="4" t="s">
        <v>6715</v>
      </c>
      <c r="E146" s="4" t="s">
        <v>499</v>
      </c>
      <c r="F146" s="8">
        <v>8000</v>
      </c>
      <c r="G146" s="8">
        <v>8000</v>
      </c>
      <c r="H146" s="8">
        <v>5900</v>
      </c>
      <c r="I146" s="8"/>
      <c r="J146" s="8"/>
      <c r="K146" s="8">
        <v>10000</v>
      </c>
      <c r="L146" s="18">
        <v>15</v>
      </c>
      <c r="M146" s="7">
        <f t="shared" si="4"/>
        <v>150000</v>
      </c>
      <c r="N146" s="4" t="s">
        <v>6993</v>
      </c>
      <c r="O146" s="9"/>
    </row>
    <row r="147" spans="1:15" ht="20" customHeight="1" x14ac:dyDescent="0.2">
      <c r="A147" s="3">
        <v>143</v>
      </c>
      <c r="B147" s="19"/>
      <c r="C147" s="4" t="s">
        <v>6994</v>
      </c>
      <c r="D147" s="4" t="s">
        <v>6715</v>
      </c>
      <c r="E147" s="4" t="s">
        <v>196</v>
      </c>
      <c r="F147" s="8">
        <v>100</v>
      </c>
      <c r="G147" s="8">
        <v>200</v>
      </c>
      <c r="H147" s="8">
        <v>200</v>
      </c>
      <c r="I147" s="8"/>
      <c r="J147" s="8"/>
      <c r="K147" s="8">
        <v>200</v>
      </c>
      <c r="L147" s="18">
        <v>90</v>
      </c>
      <c r="M147" s="7">
        <f t="shared" si="4"/>
        <v>18000</v>
      </c>
      <c r="N147" s="4" t="s">
        <v>6995</v>
      </c>
      <c r="O147" s="9"/>
    </row>
    <row r="148" spans="1:15" ht="20" customHeight="1" x14ac:dyDescent="0.2">
      <c r="A148" s="3">
        <v>144</v>
      </c>
      <c r="B148" s="19"/>
      <c r="C148" s="4" t="s">
        <v>6996</v>
      </c>
      <c r="D148" s="4" t="s">
        <v>6715</v>
      </c>
      <c r="E148" s="4" t="s">
        <v>271</v>
      </c>
      <c r="F148" s="8">
        <v>13200</v>
      </c>
      <c r="G148" s="8">
        <v>14000</v>
      </c>
      <c r="H148" s="8">
        <v>13300</v>
      </c>
      <c r="I148" s="8"/>
      <c r="J148" s="8"/>
      <c r="K148" s="8">
        <v>18000</v>
      </c>
      <c r="L148" s="18">
        <v>85.6</v>
      </c>
      <c r="M148" s="7">
        <f t="shared" si="4"/>
        <v>1540800</v>
      </c>
      <c r="N148" s="4" t="s">
        <v>6997</v>
      </c>
      <c r="O148" s="9"/>
    </row>
    <row r="149" spans="1:15" ht="20" customHeight="1" x14ac:dyDescent="0.2">
      <c r="A149" s="3">
        <v>145</v>
      </c>
      <c r="B149" s="19"/>
      <c r="C149" s="4" t="s">
        <v>6998</v>
      </c>
      <c r="D149" s="4" t="s">
        <v>6715</v>
      </c>
      <c r="E149" s="4" t="s">
        <v>196</v>
      </c>
      <c r="F149" s="8">
        <v>9000</v>
      </c>
      <c r="G149" s="8">
        <v>10000</v>
      </c>
      <c r="H149" s="8">
        <v>22400</v>
      </c>
      <c r="I149" s="8">
        <v>3400</v>
      </c>
      <c r="J149" s="8"/>
      <c r="K149" s="8">
        <v>2000</v>
      </c>
      <c r="L149" s="18">
        <v>74.900000000000006</v>
      </c>
      <c r="M149" s="7">
        <f t="shared" si="4"/>
        <v>149800</v>
      </c>
      <c r="N149" s="4" t="s">
        <v>6999</v>
      </c>
      <c r="O149" s="9"/>
    </row>
    <row r="150" spans="1:15" ht="20" customHeight="1" x14ac:dyDescent="0.2">
      <c r="A150" s="3">
        <v>146</v>
      </c>
      <c r="B150" s="19"/>
      <c r="C150" s="4" t="s">
        <v>7000</v>
      </c>
      <c r="D150" s="4" t="s">
        <v>6715</v>
      </c>
      <c r="E150" s="4" t="s">
        <v>110</v>
      </c>
      <c r="F150" s="8">
        <v>150</v>
      </c>
      <c r="G150" s="8">
        <v>150</v>
      </c>
      <c r="H150" s="8">
        <v>50</v>
      </c>
      <c r="I150" s="8">
        <v>59</v>
      </c>
      <c r="J150" s="8"/>
      <c r="K150" s="8">
        <v>50</v>
      </c>
      <c r="L150" s="18">
        <v>135</v>
      </c>
      <c r="M150" s="7">
        <f t="shared" si="4"/>
        <v>6750</v>
      </c>
      <c r="N150" s="4" t="s">
        <v>7001</v>
      </c>
      <c r="O150" s="9"/>
    </row>
    <row r="151" spans="1:15" ht="20" customHeight="1" x14ac:dyDescent="0.2">
      <c r="A151" s="3">
        <v>147</v>
      </c>
      <c r="B151" s="19"/>
      <c r="C151" s="4" t="s">
        <v>7002</v>
      </c>
      <c r="D151" s="4" t="s">
        <v>6715</v>
      </c>
      <c r="E151" s="4" t="s">
        <v>110</v>
      </c>
      <c r="F151" s="8"/>
      <c r="G151" s="8"/>
      <c r="H151" s="8">
        <v>10</v>
      </c>
      <c r="I151" s="8">
        <v>4</v>
      </c>
      <c r="J151" s="8"/>
      <c r="K151" s="8">
        <v>20</v>
      </c>
      <c r="L151" s="18">
        <v>135</v>
      </c>
      <c r="M151" s="7">
        <f t="shared" si="4"/>
        <v>2700</v>
      </c>
      <c r="N151" s="4" t="s">
        <v>7003</v>
      </c>
      <c r="O151" s="9"/>
    </row>
    <row r="152" spans="1:15" ht="20" customHeight="1" x14ac:dyDescent="0.2">
      <c r="A152" s="3">
        <v>148</v>
      </c>
      <c r="B152" s="19"/>
      <c r="C152" s="4" t="s">
        <v>7004</v>
      </c>
      <c r="D152" s="4" t="s">
        <v>6715</v>
      </c>
      <c r="E152" s="4" t="s">
        <v>110</v>
      </c>
      <c r="F152" s="8">
        <v>50</v>
      </c>
      <c r="G152" s="8">
        <v>50</v>
      </c>
      <c r="H152" s="8">
        <v>45</v>
      </c>
      <c r="I152" s="8">
        <v>6</v>
      </c>
      <c r="J152" s="8"/>
      <c r="K152" s="8">
        <v>50</v>
      </c>
      <c r="L152" s="18">
        <v>145</v>
      </c>
      <c r="M152" s="7">
        <f t="shared" si="4"/>
        <v>7250</v>
      </c>
      <c r="N152" s="4" t="s">
        <v>7005</v>
      </c>
      <c r="O152" s="9"/>
    </row>
    <row r="153" spans="1:15" ht="20" customHeight="1" x14ac:dyDescent="0.2">
      <c r="A153" s="3">
        <v>149</v>
      </c>
      <c r="B153" s="19"/>
      <c r="C153" s="4" t="s">
        <v>7006</v>
      </c>
      <c r="D153" s="4" t="s">
        <v>6715</v>
      </c>
      <c r="E153" s="4" t="s">
        <v>110</v>
      </c>
      <c r="F153" s="8">
        <v>50</v>
      </c>
      <c r="G153" s="8">
        <v>50</v>
      </c>
      <c r="H153" s="8">
        <v>60</v>
      </c>
      <c r="I153" s="8"/>
      <c r="J153" s="8"/>
      <c r="K153" s="8">
        <v>100</v>
      </c>
      <c r="L153" s="18">
        <v>145</v>
      </c>
      <c r="M153" s="7">
        <f t="shared" si="4"/>
        <v>14500</v>
      </c>
      <c r="N153" s="4" t="s">
        <v>7005</v>
      </c>
      <c r="O153" s="9"/>
    </row>
    <row r="154" spans="1:15" ht="20" customHeight="1" x14ac:dyDescent="0.2">
      <c r="A154" s="3">
        <v>150</v>
      </c>
      <c r="B154" s="19"/>
      <c r="C154" s="4" t="s">
        <v>7007</v>
      </c>
      <c r="D154" s="4" t="s">
        <v>6715</v>
      </c>
      <c r="E154" s="4" t="s">
        <v>110</v>
      </c>
      <c r="F154" s="8">
        <v>700</v>
      </c>
      <c r="G154" s="8">
        <v>700</v>
      </c>
      <c r="H154" s="8">
        <v>1090</v>
      </c>
      <c r="I154" s="8">
        <v>168</v>
      </c>
      <c r="J154" s="8"/>
      <c r="K154" s="8">
        <v>1000</v>
      </c>
      <c r="L154" s="18">
        <v>679.45</v>
      </c>
      <c r="M154" s="7">
        <f t="shared" si="4"/>
        <v>679450</v>
      </c>
      <c r="N154" s="4" t="s">
        <v>7008</v>
      </c>
      <c r="O154" s="9"/>
    </row>
    <row r="155" spans="1:15" ht="20" customHeight="1" x14ac:dyDescent="0.2">
      <c r="A155" s="3">
        <v>151</v>
      </c>
      <c r="B155" s="19"/>
      <c r="C155" s="4" t="s">
        <v>7009</v>
      </c>
      <c r="D155" s="4" t="s">
        <v>6715</v>
      </c>
      <c r="E155" s="4" t="s">
        <v>110</v>
      </c>
      <c r="F155" s="8"/>
      <c r="G155" s="8"/>
      <c r="H155" s="8">
        <v>160</v>
      </c>
      <c r="I155" s="8">
        <v>58</v>
      </c>
      <c r="J155" s="8"/>
      <c r="K155" s="8">
        <v>200</v>
      </c>
      <c r="L155" s="18">
        <v>642</v>
      </c>
      <c r="M155" s="7">
        <f t="shared" si="4"/>
        <v>128400</v>
      </c>
      <c r="N155" s="4" t="s">
        <v>7010</v>
      </c>
      <c r="O155" s="9"/>
    </row>
    <row r="156" spans="1:15" ht="20" customHeight="1" x14ac:dyDescent="0.2">
      <c r="A156" s="3">
        <v>152</v>
      </c>
      <c r="B156" s="19"/>
      <c r="C156" s="4" t="s">
        <v>7011</v>
      </c>
      <c r="D156" s="4" t="s">
        <v>6715</v>
      </c>
      <c r="E156" s="4" t="s">
        <v>110</v>
      </c>
      <c r="F156" s="8">
        <v>40</v>
      </c>
      <c r="G156" s="8">
        <v>40</v>
      </c>
      <c r="H156" s="8">
        <v>100</v>
      </c>
      <c r="I156" s="8">
        <v>25</v>
      </c>
      <c r="J156" s="8"/>
      <c r="K156" s="8">
        <v>100</v>
      </c>
      <c r="L156" s="18">
        <v>2140</v>
      </c>
      <c r="M156" s="7">
        <f t="shared" si="4"/>
        <v>214000</v>
      </c>
      <c r="N156" s="4" t="s">
        <v>7012</v>
      </c>
      <c r="O156" s="9"/>
    </row>
    <row r="157" spans="1:15" ht="20" customHeight="1" x14ac:dyDescent="0.2">
      <c r="A157" s="3">
        <v>153</v>
      </c>
      <c r="B157" s="19"/>
      <c r="C157" s="4" t="s">
        <v>7013</v>
      </c>
      <c r="D157" s="4" t="s">
        <v>6715</v>
      </c>
      <c r="E157" s="4" t="s">
        <v>110</v>
      </c>
      <c r="F157" s="8"/>
      <c r="G157" s="8">
        <v>608</v>
      </c>
      <c r="H157" s="8">
        <v>1408</v>
      </c>
      <c r="I157" s="8">
        <v>208</v>
      </c>
      <c r="J157" s="8"/>
      <c r="K157" s="8">
        <v>1500</v>
      </c>
      <c r="L157" s="18">
        <v>230</v>
      </c>
      <c r="M157" s="7">
        <f t="shared" si="4"/>
        <v>345000</v>
      </c>
      <c r="N157" s="4" t="s">
        <v>7014</v>
      </c>
      <c r="O157" s="9"/>
    </row>
    <row r="158" spans="1:15" ht="20" customHeight="1" x14ac:dyDescent="0.2">
      <c r="A158" s="3">
        <v>154</v>
      </c>
      <c r="B158" s="19"/>
      <c r="C158" s="4" t="s">
        <v>7015</v>
      </c>
      <c r="D158" s="4" t="s">
        <v>6715</v>
      </c>
      <c r="E158" s="4" t="s">
        <v>110</v>
      </c>
      <c r="F158" s="8"/>
      <c r="G158" s="8"/>
      <c r="H158" s="8">
        <v>20</v>
      </c>
      <c r="I158" s="8">
        <v>10</v>
      </c>
      <c r="J158" s="8"/>
      <c r="K158" s="8">
        <v>20</v>
      </c>
      <c r="L158" s="18">
        <v>224.7</v>
      </c>
      <c r="M158" s="7">
        <f t="shared" si="4"/>
        <v>4494</v>
      </c>
      <c r="N158" s="4" t="s">
        <v>7016</v>
      </c>
      <c r="O158" s="9"/>
    </row>
    <row r="159" spans="1:15" ht="20" customHeight="1" x14ac:dyDescent="0.2">
      <c r="A159" s="3">
        <v>155</v>
      </c>
      <c r="B159" s="19"/>
      <c r="C159" s="4" t="s">
        <v>7017</v>
      </c>
      <c r="D159" s="4" t="s">
        <v>6715</v>
      </c>
      <c r="E159" s="4" t="s">
        <v>110</v>
      </c>
      <c r="F159" s="8">
        <v>30</v>
      </c>
      <c r="G159" s="8">
        <v>30</v>
      </c>
      <c r="H159" s="8">
        <v>20</v>
      </c>
      <c r="I159" s="8"/>
      <c r="J159" s="8"/>
      <c r="K159" s="8">
        <v>30</v>
      </c>
      <c r="L159" s="18">
        <v>224.7</v>
      </c>
      <c r="M159" s="7">
        <f t="shared" si="4"/>
        <v>6741</v>
      </c>
      <c r="N159" s="4" t="s">
        <v>7018</v>
      </c>
      <c r="O159" s="9"/>
    </row>
    <row r="160" spans="1:15" ht="20" customHeight="1" x14ac:dyDescent="0.2">
      <c r="A160" s="3">
        <v>156</v>
      </c>
      <c r="B160" s="19"/>
      <c r="C160" s="4" t="s">
        <v>7019</v>
      </c>
      <c r="D160" s="4" t="s">
        <v>6715</v>
      </c>
      <c r="E160" s="4" t="s">
        <v>110</v>
      </c>
      <c r="F160" s="8">
        <v>100</v>
      </c>
      <c r="G160" s="8">
        <v>157</v>
      </c>
      <c r="H160" s="8">
        <v>108</v>
      </c>
      <c r="I160" s="8">
        <v>38</v>
      </c>
      <c r="J160" s="8"/>
      <c r="K160" s="8">
        <v>100</v>
      </c>
      <c r="L160" s="18">
        <v>192.6</v>
      </c>
      <c r="M160" s="7">
        <f t="shared" si="4"/>
        <v>19260</v>
      </c>
      <c r="N160" s="4" t="s">
        <v>7020</v>
      </c>
      <c r="O160" s="9"/>
    </row>
    <row r="161" spans="1:15" ht="20" customHeight="1" x14ac:dyDescent="0.2">
      <c r="A161" s="3">
        <v>157</v>
      </c>
      <c r="B161" s="19"/>
      <c r="C161" s="4" t="s">
        <v>7021</v>
      </c>
      <c r="D161" s="4" t="s">
        <v>6715</v>
      </c>
      <c r="E161" s="4" t="s">
        <v>110</v>
      </c>
      <c r="F161" s="8">
        <v>4800</v>
      </c>
      <c r="G161" s="8">
        <v>5000</v>
      </c>
      <c r="H161" s="8">
        <v>5200</v>
      </c>
      <c r="I161" s="8"/>
      <c r="J161" s="8"/>
      <c r="K161" s="8">
        <v>5200</v>
      </c>
      <c r="L161" s="18">
        <v>171.2</v>
      </c>
      <c r="M161" s="7">
        <f t="shared" si="4"/>
        <v>890239.99999999988</v>
      </c>
      <c r="N161" s="4" t="s">
        <v>7022</v>
      </c>
      <c r="O161" s="9"/>
    </row>
    <row r="162" spans="1:15" ht="20" customHeight="1" x14ac:dyDescent="0.2">
      <c r="A162" s="3">
        <v>158</v>
      </c>
      <c r="B162" s="19"/>
      <c r="C162" s="4" t="s">
        <v>7023</v>
      </c>
      <c r="D162" s="4" t="s">
        <v>6715</v>
      </c>
      <c r="E162" s="4" t="s">
        <v>110</v>
      </c>
      <c r="F162" s="8">
        <v>120</v>
      </c>
      <c r="G162" s="8">
        <v>120</v>
      </c>
      <c r="H162" s="8">
        <v>108</v>
      </c>
      <c r="I162" s="8">
        <v>17</v>
      </c>
      <c r="J162" s="8"/>
      <c r="K162" s="8">
        <v>110</v>
      </c>
      <c r="L162" s="18">
        <v>192.6</v>
      </c>
      <c r="M162" s="7">
        <f t="shared" si="4"/>
        <v>21186</v>
      </c>
      <c r="N162" s="4" t="s">
        <v>7024</v>
      </c>
      <c r="O162" s="9"/>
    </row>
    <row r="163" spans="1:15" ht="20" customHeight="1" x14ac:dyDescent="0.2">
      <c r="A163" s="3">
        <v>159</v>
      </c>
      <c r="B163" s="19"/>
      <c r="C163" s="4" t="s">
        <v>7025</v>
      </c>
      <c r="D163" s="4" t="s">
        <v>6715</v>
      </c>
      <c r="E163" s="4" t="s">
        <v>110</v>
      </c>
      <c r="F163" s="8"/>
      <c r="G163" s="8"/>
      <c r="H163" s="8">
        <v>2050</v>
      </c>
      <c r="I163" s="8">
        <v>562</v>
      </c>
      <c r="J163" s="8"/>
      <c r="K163" s="8">
        <v>2100</v>
      </c>
      <c r="L163" s="18">
        <v>235.4</v>
      </c>
      <c r="M163" s="7">
        <f t="shared" si="4"/>
        <v>494340</v>
      </c>
      <c r="N163" s="4" t="s">
        <v>7026</v>
      </c>
      <c r="O163" s="9"/>
    </row>
    <row r="164" spans="1:15" ht="20" customHeight="1" x14ac:dyDescent="0.2">
      <c r="A164" s="3">
        <v>160</v>
      </c>
      <c r="B164" s="19"/>
      <c r="C164" s="4" t="s">
        <v>7027</v>
      </c>
      <c r="D164" s="4" t="s">
        <v>6715</v>
      </c>
      <c r="E164" s="4" t="s">
        <v>110</v>
      </c>
      <c r="F164" s="8">
        <v>110</v>
      </c>
      <c r="G164" s="8">
        <v>120</v>
      </c>
      <c r="H164" s="8">
        <v>300</v>
      </c>
      <c r="I164" s="8">
        <v>78</v>
      </c>
      <c r="J164" s="8"/>
      <c r="K164" s="8">
        <v>300</v>
      </c>
      <c r="L164" s="18">
        <v>224.7</v>
      </c>
      <c r="M164" s="7">
        <f t="shared" si="4"/>
        <v>67410</v>
      </c>
      <c r="N164" s="4" t="s">
        <v>7028</v>
      </c>
      <c r="O164" s="9"/>
    </row>
    <row r="165" spans="1:15" ht="20" customHeight="1" x14ac:dyDescent="0.2">
      <c r="A165" s="3">
        <v>161</v>
      </c>
      <c r="B165" s="19"/>
      <c r="C165" s="4" t="s">
        <v>7029</v>
      </c>
      <c r="D165" s="4" t="s">
        <v>6715</v>
      </c>
      <c r="E165" s="4" t="s">
        <v>110</v>
      </c>
      <c r="F165" s="8">
        <v>1350</v>
      </c>
      <c r="G165" s="8">
        <v>2000</v>
      </c>
      <c r="H165" s="8">
        <v>1660</v>
      </c>
      <c r="I165" s="8">
        <v>186</v>
      </c>
      <c r="J165" s="8"/>
      <c r="K165" s="8">
        <v>1700</v>
      </c>
      <c r="L165" s="18">
        <v>340.26</v>
      </c>
      <c r="M165" s="7">
        <f t="shared" ref="M165:M196" si="5">IF(OR(K165="",L165=""),"",K165*L165)</f>
        <v>578442</v>
      </c>
      <c r="N165" s="4" t="s">
        <v>7030</v>
      </c>
      <c r="O165" s="9"/>
    </row>
    <row r="166" spans="1:15" ht="20" customHeight="1" x14ac:dyDescent="0.2">
      <c r="A166" s="3">
        <v>162</v>
      </c>
      <c r="B166" s="19"/>
      <c r="C166" s="4" t="s">
        <v>7031</v>
      </c>
      <c r="D166" s="4" t="s">
        <v>6715</v>
      </c>
      <c r="E166" s="4" t="s">
        <v>110</v>
      </c>
      <c r="F166" s="8">
        <v>3160</v>
      </c>
      <c r="G166" s="8">
        <v>3300</v>
      </c>
      <c r="H166" s="8">
        <v>3200</v>
      </c>
      <c r="I166" s="8">
        <v>287</v>
      </c>
      <c r="J166" s="8"/>
      <c r="K166" s="8">
        <v>3500</v>
      </c>
      <c r="L166" s="18">
        <v>104.86</v>
      </c>
      <c r="M166" s="7">
        <f t="shared" si="5"/>
        <v>367010</v>
      </c>
      <c r="N166" s="4" t="s">
        <v>7032</v>
      </c>
      <c r="O166" s="9"/>
    </row>
    <row r="167" spans="1:15" ht="20" customHeight="1" x14ac:dyDescent="0.2">
      <c r="A167" s="3">
        <v>163</v>
      </c>
      <c r="B167" s="19"/>
      <c r="C167" s="4" t="s">
        <v>7033</v>
      </c>
      <c r="D167" s="4" t="s">
        <v>6715</v>
      </c>
      <c r="E167" s="4" t="s">
        <v>110</v>
      </c>
      <c r="F167" s="8">
        <v>82</v>
      </c>
      <c r="G167" s="8">
        <v>100</v>
      </c>
      <c r="H167" s="8">
        <v>72</v>
      </c>
      <c r="I167" s="8">
        <v>31</v>
      </c>
      <c r="J167" s="8"/>
      <c r="K167" s="8">
        <v>80</v>
      </c>
      <c r="L167" s="18">
        <v>144.44999999999999</v>
      </c>
      <c r="M167" s="7">
        <f t="shared" si="5"/>
        <v>11556</v>
      </c>
      <c r="N167" s="4" t="s">
        <v>7034</v>
      </c>
      <c r="O167" s="9"/>
    </row>
    <row r="168" spans="1:15" ht="20" customHeight="1" x14ac:dyDescent="0.2">
      <c r="A168" s="3">
        <v>164</v>
      </c>
      <c r="B168" s="19"/>
      <c r="C168" s="4" t="s">
        <v>7035</v>
      </c>
      <c r="D168" s="4" t="s">
        <v>6715</v>
      </c>
      <c r="E168" s="4" t="s">
        <v>110</v>
      </c>
      <c r="F168" s="8">
        <v>6700</v>
      </c>
      <c r="G168" s="8">
        <v>7000</v>
      </c>
      <c r="H168" s="8">
        <v>5000</v>
      </c>
      <c r="I168" s="8">
        <v>164</v>
      </c>
      <c r="J168" s="8"/>
      <c r="K168" s="8">
        <v>5000</v>
      </c>
      <c r="L168" s="18">
        <v>117.7</v>
      </c>
      <c r="M168" s="7">
        <f t="shared" si="5"/>
        <v>588500</v>
      </c>
      <c r="N168" s="4" t="s">
        <v>7036</v>
      </c>
      <c r="O168" s="9"/>
    </row>
    <row r="169" spans="1:15" ht="20" customHeight="1" x14ac:dyDescent="0.2">
      <c r="A169" s="3">
        <v>165</v>
      </c>
      <c r="B169" s="19"/>
      <c r="C169" s="4" t="s">
        <v>7037</v>
      </c>
      <c r="D169" s="4" t="s">
        <v>6715</v>
      </c>
      <c r="E169" s="4" t="s">
        <v>110</v>
      </c>
      <c r="F169" s="8">
        <v>60</v>
      </c>
      <c r="G169" s="8">
        <v>100</v>
      </c>
      <c r="H169" s="8"/>
      <c r="I169" s="8">
        <v>17</v>
      </c>
      <c r="J169" s="8"/>
      <c r="K169" s="8">
        <v>50</v>
      </c>
      <c r="L169" s="18">
        <v>160.5</v>
      </c>
      <c r="M169" s="7">
        <f t="shared" si="5"/>
        <v>8025</v>
      </c>
      <c r="N169" s="4" t="s">
        <v>7038</v>
      </c>
      <c r="O169" s="9"/>
    </row>
    <row r="170" spans="1:15" ht="20" customHeight="1" x14ac:dyDescent="0.2">
      <c r="A170" s="3">
        <v>166</v>
      </c>
      <c r="B170" s="19"/>
      <c r="C170" s="4" t="s">
        <v>7039</v>
      </c>
      <c r="D170" s="4" t="s">
        <v>6715</v>
      </c>
      <c r="E170" s="4" t="s">
        <v>110</v>
      </c>
      <c r="F170" s="8">
        <v>2170</v>
      </c>
      <c r="G170" s="8">
        <v>2200</v>
      </c>
      <c r="H170" s="8">
        <v>2700</v>
      </c>
      <c r="I170" s="8">
        <v>32</v>
      </c>
      <c r="J170" s="8"/>
      <c r="K170" s="8">
        <v>2700</v>
      </c>
      <c r="L170" s="18">
        <v>256.8</v>
      </c>
      <c r="M170" s="7">
        <f t="shared" si="5"/>
        <v>693360</v>
      </c>
      <c r="N170" s="4" t="s">
        <v>7040</v>
      </c>
      <c r="O170" s="9"/>
    </row>
    <row r="171" spans="1:15" ht="20" customHeight="1" x14ac:dyDescent="0.2">
      <c r="A171" s="3">
        <v>167</v>
      </c>
      <c r="B171" s="19"/>
      <c r="C171" s="4" t="s">
        <v>7041</v>
      </c>
      <c r="D171" s="4" t="s">
        <v>6715</v>
      </c>
      <c r="E171" s="4" t="s">
        <v>110</v>
      </c>
      <c r="F171" s="8"/>
      <c r="G171" s="8"/>
      <c r="H171" s="8">
        <v>48</v>
      </c>
      <c r="I171" s="8">
        <v>44</v>
      </c>
      <c r="J171" s="8"/>
      <c r="K171" s="8">
        <v>100</v>
      </c>
      <c r="L171" s="18">
        <v>535</v>
      </c>
      <c r="M171" s="7">
        <f t="shared" si="5"/>
        <v>53500</v>
      </c>
      <c r="N171" s="4" t="s">
        <v>7042</v>
      </c>
      <c r="O171" s="9"/>
    </row>
    <row r="172" spans="1:15" ht="20" customHeight="1" x14ac:dyDescent="0.2">
      <c r="A172" s="3">
        <v>168</v>
      </c>
      <c r="B172" s="19"/>
      <c r="C172" s="4" t="s">
        <v>7043</v>
      </c>
      <c r="D172" s="4" t="s">
        <v>6715</v>
      </c>
      <c r="E172" s="4" t="s">
        <v>152</v>
      </c>
      <c r="F172" s="8">
        <v>155</v>
      </c>
      <c r="G172" s="8">
        <v>200</v>
      </c>
      <c r="H172" s="8"/>
      <c r="I172" s="8"/>
      <c r="J172" s="8"/>
      <c r="K172" s="8">
        <v>0</v>
      </c>
      <c r="L172" s="18">
        <v>2450</v>
      </c>
      <c r="M172" s="7">
        <f t="shared" si="5"/>
        <v>0</v>
      </c>
      <c r="N172" s="4" t="s">
        <v>7044</v>
      </c>
      <c r="O172" s="9"/>
    </row>
    <row r="173" spans="1:15" ht="20" customHeight="1" x14ac:dyDescent="0.2">
      <c r="A173" s="3">
        <v>169</v>
      </c>
      <c r="B173" s="19"/>
      <c r="C173" s="4" t="s">
        <v>7045</v>
      </c>
      <c r="D173" s="4" t="s">
        <v>6715</v>
      </c>
      <c r="E173" s="4" t="s">
        <v>110</v>
      </c>
      <c r="F173" s="8"/>
      <c r="G173" s="8"/>
      <c r="H173" s="8">
        <v>14950</v>
      </c>
      <c r="I173" s="8">
        <v>1494</v>
      </c>
      <c r="J173" s="8"/>
      <c r="K173" s="8">
        <v>12020</v>
      </c>
      <c r="L173" s="18">
        <v>288.89999999999998</v>
      </c>
      <c r="M173" s="7">
        <f t="shared" si="5"/>
        <v>3472577.9999999995</v>
      </c>
      <c r="N173" s="4" t="s">
        <v>7046</v>
      </c>
      <c r="O173" s="9"/>
    </row>
    <row r="174" spans="1:15" ht="20" customHeight="1" x14ac:dyDescent="0.2">
      <c r="A174" s="3">
        <v>170</v>
      </c>
      <c r="B174" s="19"/>
      <c r="C174" s="4" t="s">
        <v>7047</v>
      </c>
      <c r="D174" s="4" t="s">
        <v>6715</v>
      </c>
      <c r="E174" s="4" t="s">
        <v>110</v>
      </c>
      <c r="F174" s="8">
        <v>160</v>
      </c>
      <c r="G174" s="8">
        <v>160</v>
      </c>
      <c r="H174" s="8">
        <v>100</v>
      </c>
      <c r="I174" s="8">
        <v>61</v>
      </c>
      <c r="J174" s="8"/>
      <c r="K174" s="8">
        <v>100</v>
      </c>
      <c r="L174" s="18">
        <v>540</v>
      </c>
      <c r="M174" s="7">
        <f t="shared" si="5"/>
        <v>54000</v>
      </c>
      <c r="N174" s="4" t="s">
        <v>7048</v>
      </c>
      <c r="O174" s="9"/>
    </row>
    <row r="175" spans="1:15" ht="20" customHeight="1" x14ac:dyDescent="0.2">
      <c r="A175" s="3">
        <v>171</v>
      </c>
      <c r="B175" s="19"/>
      <c r="C175" s="4" t="s">
        <v>7049</v>
      </c>
      <c r="D175" s="4" t="s">
        <v>6715</v>
      </c>
      <c r="E175" s="4" t="s">
        <v>110</v>
      </c>
      <c r="F175" s="8">
        <v>15</v>
      </c>
      <c r="G175" s="8">
        <v>20</v>
      </c>
      <c r="H175" s="8"/>
      <c r="I175" s="8">
        <v>3</v>
      </c>
      <c r="J175" s="8"/>
      <c r="K175" s="8">
        <v>20</v>
      </c>
      <c r="L175" s="18">
        <v>540</v>
      </c>
      <c r="M175" s="7">
        <f t="shared" si="5"/>
        <v>10800</v>
      </c>
      <c r="N175" s="4" t="s">
        <v>7050</v>
      </c>
      <c r="O175" s="9"/>
    </row>
    <row r="176" spans="1:15" ht="20" customHeight="1" x14ac:dyDescent="0.2">
      <c r="A176" s="3">
        <v>172</v>
      </c>
      <c r="B176" s="19"/>
      <c r="C176" s="4" t="s">
        <v>7051</v>
      </c>
      <c r="D176" s="4" t="s">
        <v>6715</v>
      </c>
      <c r="E176" s="4" t="s">
        <v>499</v>
      </c>
      <c r="F176" s="8">
        <v>828</v>
      </c>
      <c r="G176" s="8">
        <v>200</v>
      </c>
      <c r="H176" s="8"/>
      <c r="I176" s="8">
        <v>400</v>
      </c>
      <c r="J176" s="8"/>
      <c r="K176" s="8">
        <v>100</v>
      </c>
      <c r="L176" s="18">
        <v>10</v>
      </c>
      <c r="M176" s="7">
        <f t="shared" si="5"/>
        <v>1000</v>
      </c>
      <c r="N176" s="4" t="s">
        <v>7052</v>
      </c>
      <c r="O176" s="9"/>
    </row>
    <row r="177" spans="1:15" ht="20" customHeight="1" x14ac:dyDescent="0.2">
      <c r="A177" s="3">
        <v>173</v>
      </c>
      <c r="B177" s="19"/>
      <c r="C177" s="4" t="s">
        <v>7053</v>
      </c>
      <c r="D177" s="4" t="s">
        <v>6715</v>
      </c>
      <c r="E177" s="4" t="s">
        <v>499</v>
      </c>
      <c r="F177" s="8">
        <v>4500</v>
      </c>
      <c r="G177" s="8">
        <v>7200</v>
      </c>
      <c r="H177" s="8">
        <v>3300</v>
      </c>
      <c r="I177" s="8">
        <v>300</v>
      </c>
      <c r="J177" s="8"/>
      <c r="K177" s="8">
        <v>3500</v>
      </c>
      <c r="L177" s="18">
        <v>9</v>
      </c>
      <c r="M177" s="7">
        <f t="shared" si="5"/>
        <v>31500</v>
      </c>
      <c r="N177" s="4" t="s">
        <v>7054</v>
      </c>
      <c r="O177" s="9"/>
    </row>
    <row r="178" spans="1:15" ht="20" customHeight="1" x14ac:dyDescent="0.2">
      <c r="A178" s="3">
        <v>174</v>
      </c>
      <c r="B178" s="19"/>
      <c r="C178" s="4" t="s">
        <v>7055</v>
      </c>
      <c r="D178" s="4" t="s">
        <v>6715</v>
      </c>
      <c r="E178" s="4" t="s">
        <v>499</v>
      </c>
      <c r="F178" s="8">
        <v>850</v>
      </c>
      <c r="G178" s="8">
        <v>600</v>
      </c>
      <c r="H178" s="8"/>
      <c r="I178" s="8">
        <v>100</v>
      </c>
      <c r="J178" s="8"/>
      <c r="K178" s="8">
        <v>300</v>
      </c>
      <c r="L178" s="18">
        <v>10</v>
      </c>
      <c r="M178" s="7">
        <f t="shared" si="5"/>
        <v>3000</v>
      </c>
      <c r="N178" s="4" t="s">
        <v>7056</v>
      </c>
      <c r="O178" s="9"/>
    </row>
    <row r="179" spans="1:15" ht="20" customHeight="1" x14ac:dyDescent="0.2">
      <c r="A179" s="3">
        <v>175</v>
      </c>
      <c r="B179" s="19"/>
      <c r="C179" s="4" t="s">
        <v>7057</v>
      </c>
      <c r="D179" s="4" t="s">
        <v>6715</v>
      </c>
      <c r="E179" s="4" t="s">
        <v>499</v>
      </c>
      <c r="F179" s="8">
        <v>4500</v>
      </c>
      <c r="G179" s="8">
        <v>4400</v>
      </c>
      <c r="H179" s="8">
        <v>2800</v>
      </c>
      <c r="I179" s="8"/>
      <c r="J179" s="8"/>
      <c r="K179" s="8">
        <v>3000</v>
      </c>
      <c r="L179" s="18">
        <v>9</v>
      </c>
      <c r="M179" s="7">
        <f t="shared" si="5"/>
        <v>27000</v>
      </c>
      <c r="N179" s="4" t="s">
        <v>7058</v>
      </c>
      <c r="O179" s="9"/>
    </row>
    <row r="180" spans="1:15" ht="20" customHeight="1" x14ac:dyDescent="0.2">
      <c r="A180" s="3">
        <v>176</v>
      </c>
      <c r="B180" s="19"/>
      <c r="C180" s="4" t="s">
        <v>7059</v>
      </c>
      <c r="D180" s="4" t="s">
        <v>6715</v>
      </c>
      <c r="E180" s="4" t="s">
        <v>499</v>
      </c>
      <c r="F180" s="8">
        <v>500</v>
      </c>
      <c r="G180" s="8">
        <v>500</v>
      </c>
      <c r="H180" s="8"/>
      <c r="I180" s="8">
        <v>150</v>
      </c>
      <c r="J180" s="8"/>
      <c r="K180" s="8">
        <v>50</v>
      </c>
      <c r="L180" s="18">
        <v>8.1999999999999993</v>
      </c>
      <c r="M180" s="7">
        <f t="shared" si="5"/>
        <v>409.99999999999994</v>
      </c>
      <c r="N180" s="4" t="s">
        <v>7060</v>
      </c>
      <c r="O180" s="9"/>
    </row>
    <row r="181" spans="1:15" ht="20" customHeight="1" x14ac:dyDescent="0.2">
      <c r="A181" s="3">
        <v>177</v>
      </c>
      <c r="B181" s="19"/>
      <c r="C181" s="4" t="s">
        <v>7061</v>
      </c>
      <c r="D181" s="4" t="s">
        <v>6715</v>
      </c>
      <c r="E181" s="4" t="s">
        <v>499</v>
      </c>
      <c r="F181" s="8"/>
      <c r="G181" s="8"/>
      <c r="H181" s="8"/>
      <c r="I181" s="8">
        <v>250</v>
      </c>
      <c r="J181" s="8"/>
      <c r="K181" s="8">
        <v>1000</v>
      </c>
      <c r="L181" s="18">
        <v>8.1999999999999993</v>
      </c>
      <c r="M181" s="7">
        <f t="shared" si="5"/>
        <v>8200</v>
      </c>
      <c r="N181" s="4" t="s">
        <v>7062</v>
      </c>
      <c r="O181" s="9"/>
    </row>
    <row r="182" spans="1:15" ht="20" customHeight="1" x14ac:dyDescent="0.2">
      <c r="A182" s="3">
        <v>178</v>
      </c>
      <c r="B182" s="19"/>
      <c r="C182" s="4" t="s">
        <v>7063</v>
      </c>
      <c r="D182" s="4" t="s">
        <v>6715</v>
      </c>
      <c r="E182" s="4" t="s">
        <v>499</v>
      </c>
      <c r="F182" s="8">
        <v>5000</v>
      </c>
      <c r="G182" s="8">
        <v>5000</v>
      </c>
      <c r="H182" s="8">
        <v>3000</v>
      </c>
      <c r="I182" s="8"/>
      <c r="J182" s="8"/>
      <c r="K182" s="8">
        <v>5000</v>
      </c>
      <c r="L182" s="18">
        <v>8.1999999999999993</v>
      </c>
      <c r="M182" s="7">
        <f t="shared" si="5"/>
        <v>41000</v>
      </c>
      <c r="N182" s="4" t="s">
        <v>7064</v>
      </c>
      <c r="O182" s="9"/>
    </row>
    <row r="183" spans="1:15" ht="20" customHeight="1" x14ac:dyDescent="0.2">
      <c r="A183" s="3">
        <v>179</v>
      </c>
      <c r="B183" s="19"/>
      <c r="C183" s="4" t="s">
        <v>7065</v>
      </c>
      <c r="D183" s="4" t="s">
        <v>6715</v>
      </c>
      <c r="E183" s="4" t="s">
        <v>499</v>
      </c>
      <c r="F183" s="8">
        <v>7300</v>
      </c>
      <c r="G183" s="8">
        <v>7300</v>
      </c>
      <c r="H183" s="8">
        <v>6000</v>
      </c>
      <c r="I183" s="8">
        <v>500</v>
      </c>
      <c r="J183" s="8"/>
      <c r="K183" s="8">
        <v>10000</v>
      </c>
      <c r="L183" s="18">
        <v>8.1999999999999993</v>
      </c>
      <c r="M183" s="7">
        <f t="shared" si="5"/>
        <v>82000</v>
      </c>
      <c r="N183" s="4" t="s">
        <v>7066</v>
      </c>
      <c r="O183" s="9"/>
    </row>
    <row r="184" spans="1:15" ht="20" customHeight="1" x14ac:dyDescent="0.2">
      <c r="A184" s="3">
        <v>180</v>
      </c>
      <c r="B184" s="19"/>
      <c r="C184" s="4" t="s">
        <v>7067</v>
      </c>
      <c r="D184" s="4" t="s">
        <v>6715</v>
      </c>
      <c r="E184" s="4" t="s">
        <v>499</v>
      </c>
      <c r="F184" s="8"/>
      <c r="G184" s="8"/>
      <c r="H184" s="8">
        <v>100</v>
      </c>
      <c r="I184" s="8">
        <v>25</v>
      </c>
      <c r="J184" s="8"/>
      <c r="K184" s="8">
        <v>1500</v>
      </c>
      <c r="L184" s="18">
        <v>8.1999999999999993</v>
      </c>
      <c r="M184" s="7">
        <f t="shared" si="5"/>
        <v>12299.999999999998</v>
      </c>
      <c r="N184" s="4" t="s">
        <v>7068</v>
      </c>
      <c r="O184" s="9"/>
    </row>
    <row r="185" spans="1:15" ht="20" customHeight="1" x14ac:dyDescent="0.2">
      <c r="A185" s="3">
        <v>181</v>
      </c>
      <c r="B185" s="19"/>
      <c r="C185" s="4" t="s">
        <v>7069</v>
      </c>
      <c r="D185" s="4" t="s">
        <v>6715</v>
      </c>
      <c r="E185" s="4" t="s">
        <v>252</v>
      </c>
      <c r="F185" s="8">
        <v>13000</v>
      </c>
      <c r="G185" s="8">
        <v>14000</v>
      </c>
      <c r="H185" s="8">
        <v>15500</v>
      </c>
      <c r="I185" s="8">
        <v>720</v>
      </c>
      <c r="J185" s="8"/>
      <c r="K185" s="8">
        <v>20000</v>
      </c>
      <c r="L185" s="18">
        <v>14.5</v>
      </c>
      <c r="M185" s="7">
        <f t="shared" si="5"/>
        <v>290000</v>
      </c>
      <c r="N185" s="4" t="s">
        <v>7070</v>
      </c>
      <c r="O185" s="9"/>
    </row>
    <row r="186" spans="1:15" ht="20" customHeight="1" x14ac:dyDescent="0.2">
      <c r="A186" s="3">
        <v>182</v>
      </c>
      <c r="B186" s="19"/>
      <c r="C186" s="4" t="s">
        <v>7071</v>
      </c>
      <c r="D186" s="4" t="s">
        <v>6715</v>
      </c>
      <c r="E186" s="4" t="s">
        <v>110</v>
      </c>
      <c r="F186" s="8">
        <v>30</v>
      </c>
      <c r="G186" s="8">
        <v>40</v>
      </c>
      <c r="H186" s="8">
        <v>20</v>
      </c>
      <c r="I186" s="8">
        <v>12</v>
      </c>
      <c r="J186" s="8"/>
      <c r="K186" s="8">
        <v>30</v>
      </c>
      <c r="L186" s="18">
        <v>400</v>
      </c>
      <c r="M186" s="7">
        <f t="shared" si="5"/>
        <v>12000</v>
      </c>
      <c r="N186" s="4" t="s">
        <v>7072</v>
      </c>
      <c r="O186" s="9"/>
    </row>
    <row r="187" spans="1:15" ht="22" customHeight="1" x14ac:dyDescent="0.35">
      <c r="A187" s="10" t="s">
        <v>86</v>
      </c>
      <c r="B187" s="20"/>
      <c r="C187" s="11"/>
      <c r="D187" s="11"/>
      <c r="E187" s="11"/>
      <c r="F187" s="11"/>
      <c r="G187" s="11"/>
      <c r="H187" s="11"/>
      <c r="I187" s="11"/>
      <c r="J187" s="11"/>
      <c r="K187" s="13">
        <f>SUM(K5:K186)</f>
        <v>2693854</v>
      </c>
      <c r="L187" s="11"/>
      <c r="M187" s="13">
        <f>SUM(M5:M186)</f>
        <v>48900025.600000001</v>
      </c>
      <c r="N187" s="11"/>
      <c r="O187" s="11"/>
    </row>
    <row r="188" spans="1:15" ht="32" customHeight="1" x14ac:dyDescent="0.2">
      <c r="A188" s="23" t="s">
        <v>7073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</row>
  </sheetData>
  <autoFilter ref="A4:O186" xr:uid="{00000000-0009-0000-0000-000018000000}"/>
  <mergeCells count="5">
    <mergeCell ref="E2:G2"/>
    <mergeCell ref="I2:J2"/>
    <mergeCell ref="A1:O1"/>
    <mergeCell ref="A188:O188"/>
    <mergeCell ref="F3:O3"/>
  </mergeCells>
  <conditionalFormatting sqref="E3">
    <cfRule type="cellIs" dxfId="9" priority="1" operator="greaterThan">
      <formula>0.009</formula>
    </cfRule>
    <cfRule type="cellIs" dxfId="8" priority="2" operator="lessThan">
      <formula>-0.009</formula>
    </cfRule>
  </conditionalFormatting>
  <dataValidations count="1">
    <dataValidation type="list" allowBlank="1" sqref="O5:O186" xr:uid="{00000000-0002-0000-18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ทั่วไป · DBR/2570/0027</oddHeader>
    <oddFooter>&amp;Lส่งออกจากฐาน VPK-S1 วันที่ 12 ต.ค. 2569&amp;Rหน้า &amp;P / &amp;N</oddFooter>
  </headerFooter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B6848"/>
    <pageSetUpPr fitToPage="1"/>
  </sheetPr>
  <dimension ref="A1:O20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7074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75</v>
      </c>
      <c r="D2" s="14" t="s">
        <v>7</v>
      </c>
      <c r="E2" s="24" t="s">
        <v>16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76291.5</v>
      </c>
      <c r="D3" s="15" t="s">
        <v>94</v>
      </c>
      <c r="E3" s="17">
        <f>M19-C3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7075</v>
      </c>
      <c r="D5" s="4" t="s">
        <v>76</v>
      </c>
      <c r="E5" s="4" t="s">
        <v>110</v>
      </c>
      <c r="F5" s="8"/>
      <c r="G5" s="8"/>
      <c r="H5" s="8"/>
      <c r="I5" s="8"/>
      <c r="J5" s="8"/>
      <c r="K5" s="8">
        <v>10</v>
      </c>
      <c r="L5" s="18">
        <v>1106</v>
      </c>
      <c r="M5" s="7">
        <f t="shared" ref="M5:M18" si="0">IF(OR(K5="",L5=""),"",K5*L5)</f>
        <v>11060</v>
      </c>
      <c r="N5" s="4"/>
      <c r="O5" s="9"/>
    </row>
    <row r="6" spans="1:15" ht="20" customHeight="1" x14ac:dyDescent="0.2">
      <c r="A6" s="3">
        <v>2</v>
      </c>
      <c r="B6" s="19"/>
      <c r="C6" s="4" t="s">
        <v>7076</v>
      </c>
      <c r="D6" s="4" t="s">
        <v>76</v>
      </c>
      <c r="E6" s="4" t="s">
        <v>667</v>
      </c>
      <c r="F6" s="8"/>
      <c r="G6" s="8"/>
      <c r="H6" s="8"/>
      <c r="I6" s="8"/>
      <c r="J6" s="8"/>
      <c r="K6" s="8">
        <v>5</v>
      </c>
      <c r="L6" s="18">
        <v>6900</v>
      </c>
      <c r="M6" s="7">
        <f t="shared" si="0"/>
        <v>34500</v>
      </c>
      <c r="N6" s="4"/>
      <c r="O6" s="9"/>
    </row>
    <row r="7" spans="1:15" ht="20" customHeight="1" x14ac:dyDescent="0.2">
      <c r="A7" s="3">
        <v>3</v>
      </c>
      <c r="B7" s="19"/>
      <c r="C7" s="4" t="s">
        <v>7077</v>
      </c>
      <c r="D7" s="4" t="s">
        <v>76</v>
      </c>
      <c r="E7" s="4" t="s">
        <v>667</v>
      </c>
      <c r="F7" s="8"/>
      <c r="G7" s="8"/>
      <c r="H7" s="8"/>
      <c r="I7" s="8"/>
      <c r="J7" s="8"/>
      <c r="K7" s="8">
        <v>1</v>
      </c>
      <c r="L7" s="18">
        <v>3263.5</v>
      </c>
      <c r="M7" s="7">
        <f t="shared" si="0"/>
        <v>3263.5</v>
      </c>
      <c r="N7" s="4"/>
      <c r="O7" s="9"/>
    </row>
    <row r="8" spans="1:15" ht="20" customHeight="1" x14ac:dyDescent="0.2">
      <c r="A8" s="3">
        <v>4</v>
      </c>
      <c r="B8" s="19"/>
      <c r="C8" s="4" t="s">
        <v>7078</v>
      </c>
      <c r="D8" s="4" t="s">
        <v>76</v>
      </c>
      <c r="E8" s="4" t="s">
        <v>667</v>
      </c>
      <c r="F8" s="8"/>
      <c r="G8" s="8"/>
      <c r="H8" s="8"/>
      <c r="I8" s="8"/>
      <c r="J8" s="8"/>
      <c r="K8" s="8">
        <v>4</v>
      </c>
      <c r="L8" s="18">
        <v>1992</v>
      </c>
      <c r="M8" s="7">
        <f t="shared" si="0"/>
        <v>7968</v>
      </c>
      <c r="N8" s="4"/>
      <c r="O8" s="9"/>
    </row>
    <row r="9" spans="1:15" ht="20" customHeight="1" x14ac:dyDescent="0.2">
      <c r="A9" s="3">
        <v>5</v>
      </c>
      <c r="B9" s="19"/>
      <c r="C9" s="4" t="s">
        <v>7079</v>
      </c>
      <c r="D9" s="4" t="s">
        <v>76</v>
      </c>
      <c r="E9" s="4" t="s">
        <v>343</v>
      </c>
      <c r="F9" s="8"/>
      <c r="G9" s="8"/>
      <c r="H9" s="8"/>
      <c r="I9" s="8"/>
      <c r="J9" s="8"/>
      <c r="K9" s="8">
        <v>5</v>
      </c>
      <c r="L9" s="18">
        <v>1220</v>
      </c>
      <c r="M9" s="7">
        <f t="shared" si="0"/>
        <v>6100</v>
      </c>
      <c r="N9" s="4"/>
      <c r="O9" s="9"/>
    </row>
    <row r="10" spans="1:15" ht="20" customHeight="1" x14ac:dyDescent="0.2">
      <c r="A10" s="3">
        <v>6</v>
      </c>
      <c r="B10" s="19"/>
      <c r="C10" s="4" t="s">
        <v>7080</v>
      </c>
      <c r="D10" s="4" t="s">
        <v>76</v>
      </c>
      <c r="E10" s="4" t="s">
        <v>121</v>
      </c>
      <c r="F10" s="8"/>
      <c r="G10" s="8"/>
      <c r="H10" s="8"/>
      <c r="I10" s="8"/>
      <c r="J10" s="8"/>
      <c r="K10" s="8">
        <v>5</v>
      </c>
      <c r="L10" s="18">
        <v>550</v>
      </c>
      <c r="M10" s="7">
        <f t="shared" si="0"/>
        <v>2750</v>
      </c>
      <c r="N10" s="4"/>
      <c r="O10" s="9"/>
    </row>
    <row r="11" spans="1:15" ht="20" customHeight="1" x14ac:dyDescent="0.2">
      <c r="A11" s="3">
        <v>7</v>
      </c>
      <c r="B11" s="19"/>
      <c r="C11" s="4" t="s">
        <v>736</v>
      </c>
      <c r="D11" s="4" t="s">
        <v>76</v>
      </c>
      <c r="E11" s="4" t="s">
        <v>190</v>
      </c>
      <c r="F11" s="8"/>
      <c r="G11" s="8"/>
      <c r="H11" s="8"/>
      <c r="I11" s="8"/>
      <c r="J11" s="8"/>
      <c r="K11" s="8">
        <v>0</v>
      </c>
      <c r="L11" s="18">
        <v>92</v>
      </c>
      <c r="M11" s="7">
        <f t="shared" si="0"/>
        <v>0</v>
      </c>
      <c r="N11" s="4"/>
      <c r="O11" s="9"/>
    </row>
    <row r="12" spans="1:15" ht="20" customHeight="1" x14ac:dyDescent="0.2">
      <c r="A12" s="3">
        <v>8</v>
      </c>
      <c r="B12" s="19"/>
      <c r="C12" s="4" t="s">
        <v>7081</v>
      </c>
      <c r="D12" s="4" t="s">
        <v>76</v>
      </c>
      <c r="E12" s="4" t="s">
        <v>152</v>
      </c>
      <c r="F12" s="8"/>
      <c r="G12" s="8"/>
      <c r="H12" s="8"/>
      <c r="I12" s="8"/>
      <c r="J12" s="8"/>
      <c r="K12" s="8">
        <v>0</v>
      </c>
      <c r="L12" s="18">
        <v>180</v>
      </c>
      <c r="M12" s="7">
        <f t="shared" si="0"/>
        <v>0</v>
      </c>
      <c r="N12" s="4"/>
      <c r="O12" s="9"/>
    </row>
    <row r="13" spans="1:15" ht="20" customHeight="1" x14ac:dyDescent="0.2">
      <c r="A13" s="3">
        <v>9</v>
      </c>
      <c r="B13" s="19"/>
      <c r="C13" s="4" t="s">
        <v>7082</v>
      </c>
      <c r="D13" s="4" t="s">
        <v>76</v>
      </c>
      <c r="E13" s="4" t="s">
        <v>110</v>
      </c>
      <c r="F13" s="8"/>
      <c r="G13" s="8"/>
      <c r="H13" s="8"/>
      <c r="I13" s="8"/>
      <c r="J13" s="8"/>
      <c r="K13" s="8">
        <v>50</v>
      </c>
      <c r="L13" s="18">
        <v>213</v>
      </c>
      <c r="M13" s="7">
        <f t="shared" si="0"/>
        <v>10650</v>
      </c>
      <c r="N13" s="4"/>
      <c r="O13" s="9"/>
    </row>
    <row r="14" spans="1:15" ht="20" customHeight="1" x14ac:dyDescent="0.2">
      <c r="A14" s="3">
        <v>10</v>
      </c>
      <c r="B14" s="19"/>
      <c r="C14" s="4" t="s">
        <v>7083</v>
      </c>
      <c r="D14" s="4" t="s">
        <v>76</v>
      </c>
      <c r="E14" s="4" t="s">
        <v>196</v>
      </c>
      <c r="F14" s="8"/>
      <c r="G14" s="8"/>
      <c r="H14" s="8"/>
      <c r="I14" s="8"/>
      <c r="J14" s="8"/>
      <c r="K14" s="8">
        <v>0</v>
      </c>
      <c r="L14" s="18">
        <v>193.03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7084</v>
      </c>
      <c r="D15" s="4" t="s">
        <v>76</v>
      </c>
      <c r="E15" s="4" t="s">
        <v>196</v>
      </c>
      <c r="F15" s="8"/>
      <c r="G15" s="8"/>
      <c r="H15" s="8"/>
      <c r="I15" s="8"/>
      <c r="J15" s="8"/>
      <c r="K15" s="8">
        <v>0</v>
      </c>
      <c r="L15" s="18">
        <v>15000</v>
      </c>
      <c r="M15" s="7">
        <f t="shared" si="0"/>
        <v>0</v>
      </c>
      <c r="N15" s="4"/>
      <c r="O15" s="9"/>
    </row>
    <row r="16" spans="1:15" ht="20" customHeight="1" x14ac:dyDescent="0.2">
      <c r="A16" s="3">
        <v>12</v>
      </c>
      <c r="B16" s="19"/>
      <c r="C16" s="4" t="s">
        <v>7085</v>
      </c>
      <c r="D16" s="4" t="s">
        <v>76</v>
      </c>
      <c r="E16" s="4" t="s">
        <v>196</v>
      </c>
      <c r="F16" s="8"/>
      <c r="G16" s="8"/>
      <c r="H16" s="8"/>
      <c r="I16" s="8"/>
      <c r="J16" s="8"/>
      <c r="K16" s="8">
        <v>0</v>
      </c>
      <c r="L16" s="18">
        <v>5900</v>
      </c>
      <c r="M16" s="7">
        <f t="shared" si="0"/>
        <v>0</v>
      </c>
      <c r="N16" s="4"/>
      <c r="O16" s="9"/>
    </row>
    <row r="17" spans="1:15" ht="20" customHeight="1" x14ac:dyDescent="0.2">
      <c r="A17" s="3">
        <v>13</v>
      </c>
      <c r="B17" s="19"/>
      <c r="C17" s="4" t="s">
        <v>7086</v>
      </c>
      <c r="D17" s="4" t="s">
        <v>76</v>
      </c>
      <c r="E17" s="4" t="s">
        <v>196</v>
      </c>
      <c r="F17" s="8"/>
      <c r="G17" s="8"/>
      <c r="H17" s="8"/>
      <c r="I17" s="8"/>
      <c r="J17" s="8"/>
      <c r="K17" s="8">
        <v>0</v>
      </c>
      <c r="L17" s="18">
        <v>7400</v>
      </c>
      <c r="M17" s="7">
        <f t="shared" si="0"/>
        <v>0</v>
      </c>
      <c r="N17" s="4"/>
      <c r="O17" s="9"/>
    </row>
    <row r="18" spans="1:15" ht="20" customHeight="1" x14ac:dyDescent="0.2">
      <c r="A18" s="3">
        <v>14</v>
      </c>
      <c r="B18" s="19"/>
      <c r="C18" s="4" t="s">
        <v>7087</v>
      </c>
      <c r="D18" s="4" t="s">
        <v>76</v>
      </c>
      <c r="E18" s="4" t="s">
        <v>196</v>
      </c>
      <c r="F18" s="8"/>
      <c r="G18" s="8"/>
      <c r="H18" s="8"/>
      <c r="I18" s="8"/>
      <c r="J18" s="8"/>
      <c r="K18" s="8">
        <v>0</v>
      </c>
      <c r="L18" s="18">
        <v>3500</v>
      </c>
      <c r="M18" s="7">
        <f t="shared" si="0"/>
        <v>0</v>
      </c>
      <c r="N18" s="4"/>
      <c r="O18" s="9"/>
    </row>
    <row r="19" spans="1:15" ht="22" customHeight="1" x14ac:dyDescent="0.35">
      <c r="A19" s="10" t="s">
        <v>86</v>
      </c>
      <c r="B19" s="20"/>
      <c r="C19" s="11"/>
      <c r="D19" s="11"/>
      <c r="E19" s="11"/>
      <c r="F19" s="11"/>
      <c r="G19" s="11"/>
      <c r="H19" s="11"/>
      <c r="I19" s="11"/>
      <c r="J19" s="11"/>
      <c r="K19" s="13">
        <f>SUM(K5:K18)</f>
        <v>80</v>
      </c>
      <c r="L19" s="11"/>
      <c r="M19" s="13">
        <f>SUM(M5:M18)</f>
        <v>76291.5</v>
      </c>
      <c r="N19" s="11"/>
      <c r="O19" s="11"/>
    </row>
    <row r="20" spans="1:15" ht="32" customHeight="1" x14ac:dyDescent="0.2">
      <c r="A20" s="23" t="s">
        <v>7088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</sheetData>
  <autoFilter ref="A4:O18" xr:uid="{00000000-0009-0000-0000-000019000000}"/>
  <mergeCells count="5">
    <mergeCell ref="E2:G2"/>
    <mergeCell ref="A20:O20"/>
    <mergeCell ref="I2:J2"/>
    <mergeCell ref="A1:O1"/>
    <mergeCell ref="F3:O3"/>
  </mergeCells>
  <conditionalFormatting sqref="E3">
    <cfRule type="cellIs" dxfId="7" priority="1" operator="greaterThan">
      <formula>0.009</formula>
    </cfRule>
    <cfRule type="cellIs" dxfId="6" priority="2" operator="lessThan">
      <formula>-0.009</formula>
    </cfRule>
  </conditionalFormatting>
  <dataValidations count="1">
    <dataValidation type="list" allowBlank="1" sqref="O5:O18" xr:uid="{00000000-0002-0000-19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อื่นๆ · DBR/2570/0028</oddHeader>
    <oddFooter>&amp;Lส่งออกจากฐาน VPK-S1 วันที่ 12 ต.ค. 2569&amp;Rหน้า &amp;P / &amp;N</oddFooter>
  </headerFooter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B6848"/>
    <pageSetUpPr fitToPage="1"/>
  </sheetPr>
  <dimension ref="A1:O69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7089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77</v>
      </c>
      <c r="D2" s="14" t="s">
        <v>7</v>
      </c>
      <c r="E2" s="24" t="s">
        <v>79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246029.19</v>
      </c>
      <c r="D3" s="15" t="s">
        <v>94</v>
      </c>
      <c r="E3" s="17">
        <f>M68-C3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7090</v>
      </c>
      <c r="D5" s="4" t="s">
        <v>7091</v>
      </c>
      <c r="E5" s="4" t="s">
        <v>121</v>
      </c>
      <c r="F5" s="8"/>
      <c r="G5" s="8"/>
      <c r="H5" s="8"/>
      <c r="I5" s="8"/>
      <c r="J5" s="8"/>
      <c r="K5" s="8">
        <v>0</v>
      </c>
      <c r="L5" s="18">
        <v>4</v>
      </c>
      <c r="M5" s="7">
        <f t="shared" ref="M5:M36" si="0">IF(OR(K5="",L5=""),"",K5*L5)</f>
        <v>0</v>
      </c>
      <c r="N5" s="4"/>
      <c r="O5" s="9"/>
    </row>
    <row r="6" spans="1:15" ht="20" customHeight="1" x14ac:dyDescent="0.2">
      <c r="A6" s="3">
        <v>2</v>
      </c>
      <c r="B6" s="19"/>
      <c r="C6" s="4" t="s">
        <v>7092</v>
      </c>
      <c r="D6" s="4" t="s">
        <v>7091</v>
      </c>
      <c r="E6" s="4" t="s">
        <v>196</v>
      </c>
      <c r="F6" s="8"/>
      <c r="G6" s="8"/>
      <c r="H6" s="8"/>
      <c r="I6" s="8"/>
      <c r="J6" s="8"/>
      <c r="K6" s="8">
        <v>1</v>
      </c>
      <c r="L6" s="18">
        <v>8800</v>
      </c>
      <c r="M6" s="7">
        <f t="shared" si="0"/>
        <v>8800</v>
      </c>
      <c r="N6" s="4"/>
      <c r="O6" s="9"/>
    </row>
    <row r="7" spans="1:15" ht="20" customHeight="1" x14ac:dyDescent="0.2">
      <c r="A7" s="3">
        <v>3</v>
      </c>
      <c r="B7" s="19"/>
      <c r="C7" s="4" t="s">
        <v>7093</v>
      </c>
      <c r="D7" s="4" t="s">
        <v>7091</v>
      </c>
      <c r="E7" s="4" t="s">
        <v>121</v>
      </c>
      <c r="F7" s="8"/>
      <c r="G7" s="8"/>
      <c r="H7" s="8"/>
      <c r="I7" s="8"/>
      <c r="J7" s="8"/>
      <c r="K7" s="8">
        <v>1</v>
      </c>
      <c r="L7" s="18">
        <v>18240</v>
      </c>
      <c r="M7" s="7">
        <f t="shared" si="0"/>
        <v>18240</v>
      </c>
      <c r="N7" s="4"/>
      <c r="O7" s="9"/>
    </row>
    <row r="8" spans="1:15" ht="20" customHeight="1" x14ac:dyDescent="0.2">
      <c r="A8" s="3">
        <v>4</v>
      </c>
      <c r="B8" s="19"/>
      <c r="C8" s="4" t="s">
        <v>7094</v>
      </c>
      <c r="D8" s="4" t="s">
        <v>7091</v>
      </c>
      <c r="E8" s="4"/>
      <c r="F8" s="8"/>
      <c r="G8" s="8"/>
      <c r="H8" s="8"/>
      <c r="I8" s="8"/>
      <c r="J8" s="8"/>
      <c r="K8" s="8">
        <v>0</v>
      </c>
      <c r="L8" s="18">
        <v>12840</v>
      </c>
      <c r="M8" s="7">
        <f t="shared" si="0"/>
        <v>0</v>
      </c>
      <c r="N8" s="4"/>
      <c r="O8" s="9"/>
    </row>
    <row r="9" spans="1:15" ht="20" customHeight="1" x14ac:dyDescent="0.2">
      <c r="A9" s="3">
        <v>5</v>
      </c>
      <c r="B9" s="19"/>
      <c r="C9" s="4" t="s">
        <v>7095</v>
      </c>
      <c r="D9" s="4" t="s">
        <v>7091</v>
      </c>
      <c r="E9" s="4" t="s">
        <v>196</v>
      </c>
      <c r="F9" s="8"/>
      <c r="G9" s="8"/>
      <c r="H9" s="8"/>
      <c r="I9" s="8"/>
      <c r="J9" s="8"/>
      <c r="K9" s="8">
        <v>0</v>
      </c>
      <c r="L9" s="18">
        <v>11750</v>
      </c>
      <c r="M9" s="7">
        <f t="shared" si="0"/>
        <v>0</v>
      </c>
      <c r="N9" s="4"/>
      <c r="O9" s="9"/>
    </row>
    <row r="10" spans="1:15" ht="20" customHeight="1" x14ac:dyDescent="0.2">
      <c r="A10" s="3">
        <v>6</v>
      </c>
      <c r="B10" s="19"/>
      <c r="C10" s="4" t="s">
        <v>7096</v>
      </c>
      <c r="D10" s="4" t="s">
        <v>7091</v>
      </c>
      <c r="E10" s="4"/>
      <c r="F10" s="8"/>
      <c r="G10" s="8"/>
      <c r="H10" s="8"/>
      <c r="I10" s="8"/>
      <c r="J10" s="8"/>
      <c r="K10" s="8">
        <v>0</v>
      </c>
      <c r="L10" s="18">
        <v>6600</v>
      </c>
      <c r="M10" s="7">
        <f t="shared" si="0"/>
        <v>0</v>
      </c>
      <c r="N10" s="4"/>
      <c r="O10" s="9"/>
    </row>
    <row r="11" spans="1:15" ht="20" customHeight="1" x14ac:dyDescent="0.2">
      <c r="A11" s="3">
        <v>7</v>
      </c>
      <c r="B11" s="19"/>
      <c r="C11" s="4" t="s">
        <v>7097</v>
      </c>
      <c r="D11" s="4" t="s">
        <v>7091</v>
      </c>
      <c r="E11" s="4"/>
      <c r="F11" s="8"/>
      <c r="G11" s="8"/>
      <c r="H11" s="8"/>
      <c r="I11" s="8"/>
      <c r="J11" s="8"/>
      <c r="K11" s="8">
        <v>0</v>
      </c>
      <c r="L11" s="18">
        <v>2650</v>
      </c>
      <c r="M11" s="7">
        <f t="shared" si="0"/>
        <v>0</v>
      </c>
      <c r="N11" s="4"/>
      <c r="O11" s="9"/>
    </row>
    <row r="12" spans="1:15" ht="20" customHeight="1" x14ac:dyDescent="0.2">
      <c r="A12" s="3">
        <v>8</v>
      </c>
      <c r="B12" s="19"/>
      <c r="C12" s="4" t="s">
        <v>7098</v>
      </c>
      <c r="D12" s="4" t="s">
        <v>7091</v>
      </c>
      <c r="E12" s="4"/>
      <c r="F12" s="8"/>
      <c r="G12" s="8"/>
      <c r="H12" s="8"/>
      <c r="I12" s="8"/>
      <c r="J12" s="8"/>
      <c r="K12" s="8">
        <v>0</v>
      </c>
      <c r="L12" s="18">
        <v>5000</v>
      </c>
      <c r="M12" s="7">
        <f t="shared" si="0"/>
        <v>0</v>
      </c>
      <c r="N12" s="4"/>
      <c r="O12" s="9"/>
    </row>
    <row r="13" spans="1:15" ht="20" customHeight="1" x14ac:dyDescent="0.2">
      <c r="A13" s="3">
        <v>9</v>
      </c>
      <c r="B13" s="19"/>
      <c r="C13" s="4" t="s">
        <v>7099</v>
      </c>
      <c r="D13" s="4" t="s">
        <v>7091</v>
      </c>
      <c r="E13" s="4"/>
      <c r="F13" s="8"/>
      <c r="G13" s="8"/>
      <c r="H13" s="8"/>
      <c r="I13" s="8"/>
      <c r="J13" s="8"/>
      <c r="K13" s="8">
        <v>0</v>
      </c>
      <c r="L13" s="18">
        <v>19200</v>
      </c>
      <c r="M13" s="7">
        <f t="shared" si="0"/>
        <v>0</v>
      </c>
      <c r="N13" s="4"/>
      <c r="O13" s="9"/>
    </row>
    <row r="14" spans="1:15" ht="20" customHeight="1" x14ac:dyDescent="0.2">
      <c r="A14" s="3">
        <v>10</v>
      </c>
      <c r="B14" s="19"/>
      <c r="C14" s="4" t="s">
        <v>7100</v>
      </c>
      <c r="D14" s="4" t="s">
        <v>7091</v>
      </c>
      <c r="E14" s="4"/>
      <c r="F14" s="8"/>
      <c r="G14" s="8"/>
      <c r="H14" s="8"/>
      <c r="I14" s="8"/>
      <c r="J14" s="8"/>
      <c r="K14" s="8">
        <v>0</v>
      </c>
      <c r="L14" s="18">
        <v>19200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7101</v>
      </c>
      <c r="D15" s="4" t="s">
        <v>7091</v>
      </c>
      <c r="E15" s="4"/>
      <c r="F15" s="8"/>
      <c r="G15" s="8"/>
      <c r="H15" s="8"/>
      <c r="I15" s="8"/>
      <c r="J15" s="8"/>
      <c r="K15" s="8">
        <v>0</v>
      </c>
      <c r="L15" s="18">
        <v>19200</v>
      </c>
      <c r="M15" s="7">
        <f t="shared" si="0"/>
        <v>0</v>
      </c>
      <c r="N15" s="4"/>
      <c r="O15" s="9"/>
    </row>
    <row r="16" spans="1:15" ht="20" customHeight="1" x14ac:dyDescent="0.2">
      <c r="A16" s="3">
        <v>12</v>
      </c>
      <c r="B16" s="19"/>
      <c r="C16" s="4" t="s">
        <v>7102</v>
      </c>
      <c r="D16" s="4" t="s">
        <v>7091</v>
      </c>
      <c r="E16" s="4"/>
      <c r="F16" s="8"/>
      <c r="G16" s="8"/>
      <c r="H16" s="8"/>
      <c r="I16" s="8"/>
      <c r="J16" s="8"/>
      <c r="K16" s="8">
        <v>1</v>
      </c>
      <c r="L16" s="18">
        <v>23861</v>
      </c>
      <c r="M16" s="7">
        <f t="shared" si="0"/>
        <v>23861</v>
      </c>
      <c r="N16" s="4"/>
      <c r="O16" s="9"/>
    </row>
    <row r="17" spans="1:15" ht="20" customHeight="1" x14ac:dyDescent="0.2">
      <c r="A17" s="3">
        <v>13</v>
      </c>
      <c r="B17" s="19"/>
      <c r="C17" s="4" t="s">
        <v>7103</v>
      </c>
      <c r="D17" s="4" t="s">
        <v>7091</v>
      </c>
      <c r="E17" s="4" t="s">
        <v>196</v>
      </c>
      <c r="F17" s="8"/>
      <c r="G17" s="8"/>
      <c r="H17" s="8"/>
      <c r="I17" s="8"/>
      <c r="J17" s="8"/>
      <c r="K17" s="8">
        <v>2</v>
      </c>
      <c r="L17" s="18">
        <v>5450</v>
      </c>
      <c r="M17" s="7">
        <f t="shared" si="0"/>
        <v>10900</v>
      </c>
      <c r="N17" s="4"/>
      <c r="O17" s="9"/>
    </row>
    <row r="18" spans="1:15" ht="20" customHeight="1" x14ac:dyDescent="0.2">
      <c r="A18" s="3">
        <v>14</v>
      </c>
      <c r="B18" s="19"/>
      <c r="C18" s="4" t="s">
        <v>7104</v>
      </c>
      <c r="D18" s="4" t="s">
        <v>7091</v>
      </c>
      <c r="E18" s="4" t="s">
        <v>121</v>
      </c>
      <c r="F18" s="8"/>
      <c r="G18" s="8"/>
      <c r="H18" s="8"/>
      <c r="I18" s="8"/>
      <c r="J18" s="8"/>
      <c r="K18" s="8">
        <v>0</v>
      </c>
      <c r="L18" s="18">
        <v>256.8</v>
      </c>
      <c r="M18" s="7">
        <f t="shared" si="0"/>
        <v>0</v>
      </c>
      <c r="N18" s="4"/>
      <c r="O18" s="9"/>
    </row>
    <row r="19" spans="1:15" ht="20" customHeight="1" x14ac:dyDescent="0.2">
      <c r="A19" s="3">
        <v>15</v>
      </c>
      <c r="B19" s="19"/>
      <c r="C19" s="4" t="s">
        <v>7105</v>
      </c>
      <c r="D19" s="4" t="s">
        <v>7091</v>
      </c>
      <c r="E19" s="4" t="s">
        <v>121</v>
      </c>
      <c r="F19" s="8"/>
      <c r="G19" s="8"/>
      <c r="H19" s="8"/>
      <c r="I19" s="8"/>
      <c r="J19" s="8"/>
      <c r="K19" s="8">
        <v>1</v>
      </c>
      <c r="L19" s="18">
        <v>385.2</v>
      </c>
      <c r="M19" s="7">
        <f t="shared" si="0"/>
        <v>385.2</v>
      </c>
      <c r="N19" s="4"/>
      <c r="O19" s="9"/>
    </row>
    <row r="20" spans="1:15" ht="20" customHeight="1" x14ac:dyDescent="0.2">
      <c r="A20" s="3">
        <v>16</v>
      </c>
      <c r="B20" s="19"/>
      <c r="C20" s="4" t="s">
        <v>7106</v>
      </c>
      <c r="D20" s="4" t="s">
        <v>7091</v>
      </c>
      <c r="E20" s="4" t="s">
        <v>121</v>
      </c>
      <c r="F20" s="8"/>
      <c r="G20" s="8"/>
      <c r="H20" s="8"/>
      <c r="I20" s="8"/>
      <c r="J20" s="8"/>
      <c r="K20" s="8">
        <v>5</v>
      </c>
      <c r="L20" s="18">
        <v>154.80000000000001</v>
      </c>
      <c r="M20" s="7">
        <f t="shared" si="0"/>
        <v>774</v>
      </c>
      <c r="N20" s="4"/>
      <c r="O20" s="9"/>
    </row>
    <row r="21" spans="1:15" ht="20" customHeight="1" x14ac:dyDescent="0.2">
      <c r="A21" s="3">
        <v>17</v>
      </c>
      <c r="B21" s="19"/>
      <c r="C21" s="4" t="s">
        <v>7107</v>
      </c>
      <c r="D21" s="4" t="s">
        <v>7091</v>
      </c>
      <c r="E21" s="4" t="s">
        <v>121</v>
      </c>
      <c r="F21" s="8"/>
      <c r="G21" s="8"/>
      <c r="H21" s="8"/>
      <c r="I21" s="8"/>
      <c r="J21" s="8"/>
      <c r="K21" s="8">
        <v>2</v>
      </c>
      <c r="L21" s="18">
        <v>128.4</v>
      </c>
      <c r="M21" s="7">
        <f t="shared" si="0"/>
        <v>256.8</v>
      </c>
      <c r="N21" s="4"/>
      <c r="O21" s="9"/>
    </row>
    <row r="22" spans="1:15" ht="20" customHeight="1" x14ac:dyDescent="0.2">
      <c r="A22" s="3">
        <v>18</v>
      </c>
      <c r="B22" s="19"/>
      <c r="C22" s="4" t="s">
        <v>7108</v>
      </c>
      <c r="D22" s="4" t="s">
        <v>7091</v>
      </c>
      <c r="E22" s="4" t="s">
        <v>121</v>
      </c>
      <c r="F22" s="8"/>
      <c r="G22" s="8"/>
      <c r="H22" s="8"/>
      <c r="I22" s="8"/>
      <c r="J22" s="8"/>
      <c r="K22" s="8">
        <v>0</v>
      </c>
      <c r="L22" s="18">
        <v>28658.880000000001</v>
      </c>
      <c r="M22" s="7">
        <f t="shared" si="0"/>
        <v>0</v>
      </c>
      <c r="N22" s="4"/>
      <c r="O22" s="9"/>
    </row>
    <row r="23" spans="1:15" ht="20" customHeight="1" x14ac:dyDescent="0.2">
      <c r="A23" s="3">
        <v>19</v>
      </c>
      <c r="B23" s="19"/>
      <c r="C23" s="4" t="s">
        <v>7109</v>
      </c>
      <c r="D23" s="4" t="s">
        <v>7091</v>
      </c>
      <c r="E23" s="4" t="s">
        <v>121</v>
      </c>
      <c r="F23" s="8"/>
      <c r="G23" s="8"/>
      <c r="H23" s="8"/>
      <c r="I23" s="8"/>
      <c r="J23" s="8"/>
      <c r="K23" s="8">
        <v>0</v>
      </c>
      <c r="L23" s="18">
        <v>1479.16</v>
      </c>
      <c r="M23" s="7">
        <f t="shared" si="0"/>
        <v>0</v>
      </c>
      <c r="N23" s="4"/>
      <c r="O23" s="9"/>
    </row>
    <row r="24" spans="1:15" ht="20" customHeight="1" x14ac:dyDescent="0.2">
      <c r="A24" s="3">
        <v>20</v>
      </c>
      <c r="B24" s="19"/>
      <c r="C24" s="4" t="s">
        <v>7110</v>
      </c>
      <c r="D24" s="4" t="s">
        <v>7091</v>
      </c>
      <c r="E24" s="4" t="s">
        <v>121</v>
      </c>
      <c r="F24" s="8"/>
      <c r="G24" s="8"/>
      <c r="H24" s="8"/>
      <c r="I24" s="8"/>
      <c r="J24" s="8"/>
      <c r="K24" s="8">
        <v>0</v>
      </c>
      <c r="L24" s="18">
        <v>160.5</v>
      </c>
      <c r="M24" s="7">
        <f t="shared" si="0"/>
        <v>0</v>
      </c>
      <c r="N24" s="4"/>
      <c r="O24" s="9"/>
    </row>
    <row r="25" spans="1:15" ht="20" customHeight="1" x14ac:dyDescent="0.2">
      <c r="A25" s="3">
        <v>21</v>
      </c>
      <c r="B25" s="19"/>
      <c r="C25" s="4" t="s">
        <v>7111</v>
      </c>
      <c r="D25" s="4" t="s">
        <v>7091</v>
      </c>
      <c r="E25" s="4" t="s">
        <v>121</v>
      </c>
      <c r="F25" s="8"/>
      <c r="G25" s="8"/>
      <c r="H25" s="8"/>
      <c r="I25" s="8"/>
      <c r="J25" s="8"/>
      <c r="K25" s="8">
        <v>0</v>
      </c>
      <c r="L25" s="18">
        <v>577.79999999999995</v>
      </c>
      <c r="M25" s="7">
        <f t="shared" si="0"/>
        <v>0</v>
      </c>
      <c r="N25" s="4"/>
      <c r="O25" s="9"/>
    </row>
    <row r="26" spans="1:15" ht="20" customHeight="1" x14ac:dyDescent="0.2">
      <c r="A26" s="3">
        <v>22</v>
      </c>
      <c r="B26" s="19"/>
      <c r="C26" s="4" t="s">
        <v>7112</v>
      </c>
      <c r="D26" s="4" t="s">
        <v>7091</v>
      </c>
      <c r="E26" s="4" t="s">
        <v>121</v>
      </c>
      <c r="F26" s="8"/>
      <c r="G26" s="8"/>
      <c r="H26" s="8"/>
      <c r="I26" s="8"/>
      <c r="J26" s="8"/>
      <c r="K26" s="8">
        <v>0</v>
      </c>
      <c r="L26" s="18">
        <v>3852</v>
      </c>
      <c r="M26" s="7">
        <f t="shared" si="0"/>
        <v>0</v>
      </c>
      <c r="N26" s="4"/>
      <c r="O26" s="9"/>
    </row>
    <row r="27" spans="1:15" ht="20" customHeight="1" x14ac:dyDescent="0.2">
      <c r="A27" s="3">
        <v>23</v>
      </c>
      <c r="B27" s="19"/>
      <c r="C27" s="4" t="s">
        <v>7113</v>
      </c>
      <c r="D27" s="4" t="s">
        <v>7091</v>
      </c>
      <c r="E27" s="4" t="s">
        <v>121</v>
      </c>
      <c r="F27" s="8"/>
      <c r="G27" s="8"/>
      <c r="H27" s="8"/>
      <c r="I27" s="8"/>
      <c r="J27" s="8"/>
      <c r="K27" s="8">
        <v>0</v>
      </c>
      <c r="L27" s="18">
        <v>1848.97</v>
      </c>
      <c r="M27" s="7">
        <f t="shared" si="0"/>
        <v>0</v>
      </c>
      <c r="N27" s="4"/>
      <c r="O27" s="9"/>
    </row>
    <row r="28" spans="1:15" ht="20" customHeight="1" x14ac:dyDescent="0.2">
      <c r="A28" s="3">
        <v>24</v>
      </c>
      <c r="B28" s="19"/>
      <c r="C28" s="4" t="s">
        <v>7114</v>
      </c>
      <c r="D28" s="4" t="s">
        <v>7091</v>
      </c>
      <c r="E28" s="4" t="s">
        <v>121</v>
      </c>
      <c r="F28" s="8"/>
      <c r="G28" s="8"/>
      <c r="H28" s="8"/>
      <c r="I28" s="8"/>
      <c r="J28" s="8"/>
      <c r="K28" s="8">
        <v>1</v>
      </c>
      <c r="L28" s="18">
        <v>206.72</v>
      </c>
      <c r="M28" s="7">
        <f t="shared" si="0"/>
        <v>206.72</v>
      </c>
      <c r="N28" s="4"/>
      <c r="O28" s="9"/>
    </row>
    <row r="29" spans="1:15" ht="20" customHeight="1" x14ac:dyDescent="0.2">
      <c r="A29" s="3">
        <v>25</v>
      </c>
      <c r="B29" s="19"/>
      <c r="C29" s="4" t="s">
        <v>7115</v>
      </c>
      <c r="D29" s="4" t="s">
        <v>7091</v>
      </c>
      <c r="E29" s="4" t="s">
        <v>121</v>
      </c>
      <c r="F29" s="8"/>
      <c r="G29" s="8"/>
      <c r="H29" s="8"/>
      <c r="I29" s="8"/>
      <c r="J29" s="8"/>
      <c r="K29" s="8">
        <v>0</v>
      </c>
      <c r="L29" s="18">
        <v>107</v>
      </c>
      <c r="M29" s="7">
        <f t="shared" si="0"/>
        <v>0</v>
      </c>
      <c r="N29" s="4"/>
      <c r="O29" s="9"/>
    </row>
    <row r="30" spans="1:15" ht="20" customHeight="1" x14ac:dyDescent="0.2">
      <c r="A30" s="3">
        <v>26</v>
      </c>
      <c r="B30" s="19"/>
      <c r="C30" s="4" t="s">
        <v>7116</v>
      </c>
      <c r="D30" s="4" t="s">
        <v>7091</v>
      </c>
      <c r="E30" s="4"/>
      <c r="F30" s="8"/>
      <c r="G30" s="8"/>
      <c r="H30" s="8"/>
      <c r="I30" s="8"/>
      <c r="J30" s="8"/>
      <c r="K30" s="8">
        <v>0</v>
      </c>
      <c r="L30" s="18">
        <v>3200</v>
      </c>
      <c r="M30" s="7">
        <f t="shared" si="0"/>
        <v>0</v>
      </c>
      <c r="N30" s="4"/>
      <c r="O30" s="9"/>
    </row>
    <row r="31" spans="1:15" ht="20" customHeight="1" x14ac:dyDescent="0.2">
      <c r="A31" s="3">
        <v>27</v>
      </c>
      <c r="B31" s="19"/>
      <c r="C31" s="4" t="s">
        <v>7117</v>
      </c>
      <c r="D31" s="4" t="s">
        <v>7091</v>
      </c>
      <c r="E31" s="4" t="s">
        <v>196</v>
      </c>
      <c r="F31" s="8"/>
      <c r="G31" s="8"/>
      <c r="H31" s="8"/>
      <c r="I31" s="8"/>
      <c r="J31" s="8"/>
      <c r="K31" s="8">
        <v>4</v>
      </c>
      <c r="L31" s="18">
        <v>1860</v>
      </c>
      <c r="M31" s="7">
        <f t="shared" si="0"/>
        <v>7440</v>
      </c>
      <c r="N31" s="4"/>
      <c r="O31" s="9"/>
    </row>
    <row r="32" spans="1:15" ht="20" customHeight="1" x14ac:dyDescent="0.2">
      <c r="A32" s="3">
        <v>28</v>
      </c>
      <c r="B32" s="19"/>
      <c r="C32" s="4" t="s">
        <v>7118</v>
      </c>
      <c r="D32" s="4" t="s">
        <v>7091</v>
      </c>
      <c r="E32" s="4" t="s">
        <v>121</v>
      </c>
      <c r="F32" s="8"/>
      <c r="G32" s="8"/>
      <c r="H32" s="8"/>
      <c r="I32" s="8"/>
      <c r="J32" s="8"/>
      <c r="K32" s="8">
        <v>0</v>
      </c>
      <c r="L32" s="18">
        <v>1819</v>
      </c>
      <c r="M32" s="7">
        <f t="shared" si="0"/>
        <v>0</v>
      </c>
      <c r="N32" s="4"/>
      <c r="O32" s="9"/>
    </row>
    <row r="33" spans="1:15" ht="20" customHeight="1" x14ac:dyDescent="0.2">
      <c r="A33" s="3">
        <v>29</v>
      </c>
      <c r="B33" s="19"/>
      <c r="C33" s="4" t="s">
        <v>7119</v>
      </c>
      <c r="D33" s="4" t="s">
        <v>7091</v>
      </c>
      <c r="E33" s="4" t="s">
        <v>121</v>
      </c>
      <c r="F33" s="8"/>
      <c r="G33" s="8"/>
      <c r="H33" s="8"/>
      <c r="I33" s="8"/>
      <c r="J33" s="8"/>
      <c r="K33" s="8">
        <v>6</v>
      </c>
      <c r="L33" s="18">
        <v>1605</v>
      </c>
      <c r="M33" s="7">
        <f t="shared" si="0"/>
        <v>9630</v>
      </c>
      <c r="N33" s="4"/>
      <c r="O33" s="9"/>
    </row>
    <row r="34" spans="1:15" ht="20" customHeight="1" x14ac:dyDescent="0.2">
      <c r="A34" s="3">
        <v>30</v>
      </c>
      <c r="B34" s="19"/>
      <c r="C34" s="4" t="s">
        <v>7120</v>
      </c>
      <c r="D34" s="4" t="s">
        <v>7091</v>
      </c>
      <c r="E34" s="4" t="s">
        <v>121</v>
      </c>
      <c r="F34" s="8"/>
      <c r="G34" s="8"/>
      <c r="H34" s="8"/>
      <c r="I34" s="8"/>
      <c r="J34" s="8"/>
      <c r="K34" s="8">
        <v>1</v>
      </c>
      <c r="L34" s="18">
        <v>1700</v>
      </c>
      <c r="M34" s="7">
        <f t="shared" si="0"/>
        <v>1700</v>
      </c>
      <c r="N34" s="4"/>
      <c r="O34" s="9"/>
    </row>
    <row r="35" spans="1:15" ht="20" customHeight="1" x14ac:dyDescent="0.2">
      <c r="A35" s="3">
        <v>31</v>
      </c>
      <c r="B35" s="19"/>
      <c r="C35" s="4" t="s">
        <v>7121</v>
      </c>
      <c r="D35" s="4" t="s">
        <v>7091</v>
      </c>
      <c r="E35" s="4" t="s">
        <v>121</v>
      </c>
      <c r="F35" s="8"/>
      <c r="G35" s="8"/>
      <c r="H35" s="8"/>
      <c r="I35" s="8"/>
      <c r="J35" s="8"/>
      <c r="K35" s="8">
        <v>4</v>
      </c>
      <c r="L35" s="18">
        <v>583.15</v>
      </c>
      <c r="M35" s="7">
        <f t="shared" si="0"/>
        <v>2332.6</v>
      </c>
      <c r="N35" s="4"/>
      <c r="O35" s="9"/>
    </row>
    <row r="36" spans="1:15" ht="20" customHeight="1" x14ac:dyDescent="0.2">
      <c r="A36" s="3">
        <v>32</v>
      </c>
      <c r="B36" s="19"/>
      <c r="C36" s="4" t="s">
        <v>7122</v>
      </c>
      <c r="D36" s="4" t="s">
        <v>7091</v>
      </c>
      <c r="E36" s="4" t="s">
        <v>121</v>
      </c>
      <c r="F36" s="8"/>
      <c r="G36" s="8"/>
      <c r="H36" s="8"/>
      <c r="I36" s="8"/>
      <c r="J36" s="8"/>
      <c r="K36" s="8">
        <v>1</v>
      </c>
      <c r="L36" s="18">
        <v>1600</v>
      </c>
      <c r="M36" s="7">
        <f t="shared" si="0"/>
        <v>1600</v>
      </c>
      <c r="N36" s="4"/>
      <c r="O36" s="9"/>
    </row>
    <row r="37" spans="1:15" ht="20" customHeight="1" x14ac:dyDescent="0.2">
      <c r="A37" s="3">
        <v>33</v>
      </c>
      <c r="B37" s="19"/>
      <c r="C37" s="4" t="s">
        <v>7123</v>
      </c>
      <c r="D37" s="4" t="s">
        <v>7091</v>
      </c>
      <c r="E37" s="4" t="s">
        <v>121</v>
      </c>
      <c r="F37" s="8"/>
      <c r="G37" s="8"/>
      <c r="H37" s="8"/>
      <c r="I37" s="8"/>
      <c r="J37" s="8"/>
      <c r="K37" s="8">
        <v>2</v>
      </c>
      <c r="L37" s="18">
        <v>1008</v>
      </c>
      <c r="M37" s="7">
        <f t="shared" ref="M37:M68" si="1">IF(OR(K37="",L37=""),"",K37*L37)</f>
        <v>2016</v>
      </c>
      <c r="N37" s="4"/>
      <c r="O37" s="9"/>
    </row>
    <row r="38" spans="1:15" ht="20" customHeight="1" x14ac:dyDescent="0.2">
      <c r="A38" s="3">
        <v>34</v>
      </c>
      <c r="B38" s="19"/>
      <c r="C38" s="4" t="s">
        <v>7124</v>
      </c>
      <c r="D38" s="4" t="s">
        <v>7091</v>
      </c>
      <c r="E38" s="4" t="s">
        <v>121</v>
      </c>
      <c r="F38" s="8"/>
      <c r="G38" s="8"/>
      <c r="H38" s="8"/>
      <c r="I38" s="8"/>
      <c r="J38" s="8"/>
      <c r="K38" s="8">
        <v>1</v>
      </c>
      <c r="L38" s="18">
        <v>240</v>
      </c>
      <c r="M38" s="7">
        <f t="shared" si="1"/>
        <v>240</v>
      </c>
      <c r="N38" s="4"/>
      <c r="O38" s="9"/>
    </row>
    <row r="39" spans="1:15" ht="20" customHeight="1" x14ac:dyDescent="0.2">
      <c r="A39" s="3">
        <v>35</v>
      </c>
      <c r="B39" s="19"/>
      <c r="C39" s="4" t="s">
        <v>7125</v>
      </c>
      <c r="D39" s="4" t="s">
        <v>7091</v>
      </c>
      <c r="E39" s="4" t="s">
        <v>121</v>
      </c>
      <c r="F39" s="8"/>
      <c r="G39" s="8"/>
      <c r="H39" s="8"/>
      <c r="I39" s="8"/>
      <c r="J39" s="8"/>
      <c r="K39" s="8">
        <v>1</v>
      </c>
      <c r="L39" s="18">
        <v>256.8</v>
      </c>
      <c r="M39" s="7">
        <f t="shared" si="1"/>
        <v>256.8</v>
      </c>
      <c r="N39" s="4"/>
      <c r="O39" s="9"/>
    </row>
    <row r="40" spans="1:15" ht="20" customHeight="1" x14ac:dyDescent="0.2">
      <c r="A40" s="3">
        <v>36</v>
      </c>
      <c r="B40" s="19"/>
      <c r="C40" s="4" t="s">
        <v>7126</v>
      </c>
      <c r="D40" s="4" t="s">
        <v>7091</v>
      </c>
      <c r="E40" s="4"/>
      <c r="F40" s="8"/>
      <c r="G40" s="8"/>
      <c r="H40" s="8"/>
      <c r="I40" s="8"/>
      <c r="J40" s="8"/>
      <c r="K40" s="8">
        <v>0</v>
      </c>
      <c r="L40" s="18">
        <v>550</v>
      </c>
      <c r="M40" s="7">
        <f t="shared" si="1"/>
        <v>0</v>
      </c>
      <c r="N40" s="4"/>
      <c r="O40" s="9"/>
    </row>
    <row r="41" spans="1:15" ht="20" customHeight="1" x14ac:dyDescent="0.2">
      <c r="A41" s="3">
        <v>37</v>
      </c>
      <c r="B41" s="19"/>
      <c r="C41" s="4" t="s">
        <v>7127</v>
      </c>
      <c r="D41" s="4" t="s">
        <v>7091</v>
      </c>
      <c r="E41" s="4" t="s">
        <v>121</v>
      </c>
      <c r="F41" s="8"/>
      <c r="G41" s="8"/>
      <c r="H41" s="8"/>
      <c r="I41" s="8"/>
      <c r="J41" s="8"/>
      <c r="K41" s="8">
        <v>17</v>
      </c>
      <c r="L41" s="18">
        <v>300</v>
      </c>
      <c r="M41" s="7">
        <f t="shared" si="1"/>
        <v>5100</v>
      </c>
      <c r="N41" s="4"/>
      <c r="O41" s="9"/>
    </row>
    <row r="42" spans="1:15" ht="20" customHeight="1" x14ac:dyDescent="0.2">
      <c r="A42" s="3">
        <v>38</v>
      </c>
      <c r="B42" s="19"/>
      <c r="C42" s="4" t="s">
        <v>7128</v>
      </c>
      <c r="D42" s="4" t="s">
        <v>7091</v>
      </c>
      <c r="E42" s="4" t="s">
        <v>196</v>
      </c>
      <c r="F42" s="8"/>
      <c r="G42" s="8"/>
      <c r="H42" s="8"/>
      <c r="I42" s="8"/>
      <c r="J42" s="8"/>
      <c r="K42" s="8">
        <v>3</v>
      </c>
      <c r="L42" s="18">
        <v>2150</v>
      </c>
      <c r="M42" s="7">
        <f t="shared" si="1"/>
        <v>6450</v>
      </c>
      <c r="N42" s="4"/>
      <c r="O42" s="9"/>
    </row>
    <row r="43" spans="1:15" ht="20" customHeight="1" x14ac:dyDescent="0.2">
      <c r="A43" s="3">
        <v>39</v>
      </c>
      <c r="B43" s="19"/>
      <c r="C43" s="4" t="s">
        <v>7129</v>
      </c>
      <c r="D43" s="4" t="s">
        <v>7091</v>
      </c>
      <c r="E43" s="4" t="s">
        <v>121</v>
      </c>
      <c r="F43" s="8"/>
      <c r="G43" s="8"/>
      <c r="H43" s="8"/>
      <c r="I43" s="8"/>
      <c r="J43" s="8"/>
      <c r="K43" s="8">
        <v>1</v>
      </c>
      <c r="L43" s="18">
        <v>1155.5999999999999</v>
      </c>
      <c r="M43" s="7">
        <f t="shared" si="1"/>
        <v>1155.5999999999999</v>
      </c>
      <c r="N43" s="4"/>
      <c r="O43" s="9"/>
    </row>
    <row r="44" spans="1:15" ht="20" customHeight="1" x14ac:dyDescent="0.2">
      <c r="A44" s="3">
        <v>40</v>
      </c>
      <c r="B44" s="19"/>
      <c r="C44" s="4" t="s">
        <v>7130</v>
      </c>
      <c r="D44" s="4" t="s">
        <v>7091</v>
      </c>
      <c r="E44" s="4" t="s">
        <v>121</v>
      </c>
      <c r="F44" s="8"/>
      <c r="G44" s="8"/>
      <c r="H44" s="8"/>
      <c r="I44" s="8"/>
      <c r="J44" s="8"/>
      <c r="K44" s="8">
        <v>1</v>
      </c>
      <c r="L44" s="18">
        <v>3611.25</v>
      </c>
      <c r="M44" s="7">
        <f t="shared" si="1"/>
        <v>3611.25</v>
      </c>
      <c r="N44" s="4"/>
      <c r="O44" s="9"/>
    </row>
    <row r="45" spans="1:15" ht="20" customHeight="1" x14ac:dyDescent="0.2">
      <c r="A45" s="3">
        <v>41</v>
      </c>
      <c r="B45" s="19"/>
      <c r="C45" s="4" t="s">
        <v>7131</v>
      </c>
      <c r="D45" s="4" t="s">
        <v>7091</v>
      </c>
      <c r="E45" s="4" t="s">
        <v>121</v>
      </c>
      <c r="F45" s="8"/>
      <c r="G45" s="8"/>
      <c r="H45" s="8"/>
      <c r="I45" s="8"/>
      <c r="J45" s="8"/>
      <c r="K45" s="8">
        <v>3</v>
      </c>
      <c r="L45" s="18">
        <v>500</v>
      </c>
      <c r="M45" s="7">
        <f t="shared" si="1"/>
        <v>1500</v>
      </c>
      <c r="N45" s="4"/>
      <c r="O45" s="9"/>
    </row>
    <row r="46" spans="1:15" ht="20" customHeight="1" x14ac:dyDescent="0.2">
      <c r="A46" s="3">
        <v>42</v>
      </c>
      <c r="B46" s="19"/>
      <c r="C46" s="4" t="s">
        <v>7132</v>
      </c>
      <c r="D46" s="4" t="s">
        <v>7091</v>
      </c>
      <c r="E46" s="4" t="s">
        <v>121</v>
      </c>
      <c r="F46" s="8"/>
      <c r="G46" s="8"/>
      <c r="H46" s="8"/>
      <c r="I46" s="8"/>
      <c r="J46" s="8"/>
      <c r="K46" s="8">
        <v>1</v>
      </c>
      <c r="L46" s="18">
        <v>2500</v>
      </c>
      <c r="M46" s="7">
        <f t="shared" si="1"/>
        <v>2500</v>
      </c>
      <c r="N46" s="4"/>
      <c r="O46" s="9"/>
    </row>
    <row r="47" spans="1:15" ht="20" customHeight="1" x14ac:dyDescent="0.2">
      <c r="A47" s="3">
        <v>43</v>
      </c>
      <c r="B47" s="19"/>
      <c r="C47" s="4" t="s">
        <v>7133</v>
      </c>
      <c r="D47" s="4" t="s">
        <v>7091</v>
      </c>
      <c r="E47" s="4" t="s">
        <v>121</v>
      </c>
      <c r="F47" s="8"/>
      <c r="G47" s="8"/>
      <c r="H47" s="8"/>
      <c r="I47" s="8"/>
      <c r="J47" s="8"/>
      <c r="K47" s="8">
        <v>1</v>
      </c>
      <c r="L47" s="18">
        <v>250</v>
      </c>
      <c r="M47" s="7">
        <f t="shared" si="1"/>
        <v>250</v>
      </c>
      <c r="N47" s="4"/>
      <c r="O47" s="9"/>
    </row>
    <row r="48" spans="1:15" ht="20" customHeight="1" x14ac:dyDescent="0.2">
      <c r="A48" s="3">
        <v>44</v>
      </c>
      <c r="B48" s="19"/>
      <c r="C48" s="4" t="s">
        <v>7134</v>
      </c>
      <c r="D48" s="4" t="s">
        <v>7091</v>
      </c>
      <c r="E48" s="4" t="s">
        <v>121</v>
      </c>
      <c r="F48" s="8"/>
      <c r="G48" s="8"/>
      <c r="H48" s="8"/>
      <c r="I48" s="8"/>
      <c r="J48" s="8"/>
      <c r="K48" s="8">
        <v>2</v>
      </c>
      <c r="L48" s="18">
        <v>280</v>
      </c>
      <c r="M48" s="7">
        <f t="shared" si="1"/>
        <v>560</v>
      </c>
      <c r="N48" s="4"/>
      <c r="O48" s="9"/>
    </row>
    <row r="49" spans="1:15" ht="20" customHeight="1" x14ac:dyDescent="0.2">
      <c r="A49" s="3">
        <v>45</v>
      </c>
      <c r="B49" s="19"/>
      <c r="C49" s="4" t="s">
        <v>7135</v>
      </c>
      <c r="D49" s="4" t="s">
        <v>7091</v>
      </c>
      <c r="E49" s="4" t="s">
        <v>121</v>
      </c>
      <c r="F49" s="8"/>
      <c r="G49" s="8"/>
      <c r="H49" s="8"/>
      <c r="I49" s="8"/>
      <c r="J49" s="8"/>
      <c r="K49" s="8">
        <v>0</v>
      </c>
      <c r="L49" s="18">
        <v>1284</v>
      </c>
      <c r="M49" s="7">
        <f t="shared" si="1"/>
        <v>0</v>
      </c>
      <c r="N49" s="4"/>
      <c r="O49" s="9"/>
    </row>
    <row r="50" spans="1:15" ht="20" customHeight="1" x14ac:dyDescent="0.2">
      <c r="A50" s="3">
        <v>46</v>
      </c>
      <c r="B50" s="19"/>
      <c r="C50" s="4" t="s">
        <v>7136</v>
      </c>
      <c r="D50" s="4" t="s">
        <v>7091</v>
      </c>
      <c r="E50" s="4" t="s">
        <v>121</v>
      </c>
      <c r="F50" s="8"/>
      <c r="G50" s="8"/>
      <c r="H50" s="8"/>
      <c r="I50" s="8"/>
      <c r="J50" s="8"/>
      <c r="K50" s="8">
        <v>1</v>
      </c>
      <c r="L50" s="18">
        <v>535</v>
      </c>
      <c r="M50" s="7">
        <f t="shared" si="1"/>
        <v>535</v>
      </c>
      <c r="N50" s="4"/>
      <c r="O50" s="9"/>
    </row>
    <row r="51" spans="1:15" ht="20" customHeight="1" x14ac:dyDescent="0.2">
      <c r="A51" s="3">
        <v>47</v>
      </c>
      <c r="B51" s="19"/>
      <c r="C51" s="4" t="s">
        <v>7137</v>
      </c>
      <c r="D51" s="4" t="s">
        <v>7091</v>
      </c>
      <c r="E51" s="4" t="s">
        <v>121</v>
      </c>
      <c r="F51" s="8"/>
      <c r="G51" s="8"/>
      <c r="H51" s="8"/>
      <c r="I51" s="8"/>
      <c r="J51" s="8"/>
      <c r="K51" s="8">
        <v>1</v>
      </c>
      <c r="L51" s="18">
        <v>693.36</v>
      </c>
      <c r="M51" s="7">
        <f t="shared" si="1"/>
        <v>693.36</v>
      </c>
      <c r="N51" s="4"/>
      <c r="O51" s="9"/>
    </row>
    <row r="52" spans="1:15" ht="20" customHeight="1" x14ac:dyDescent="0.2">
      <c r="A52" s="3">
        <v>48</v>
      </c>
      <c r="B52" s="19"/>
      <c r="C52" s="4" t="s">
        <v>7138</v>
      </c>
      <c r="D52" s="4" t="s">
        <v>7091</v>
      </c>
      <c r="E52" s="4" t="s">
        <v>121</v>
      </c>
      <c r="F52" s="8"/>
      <c r="G52" s="8"/>
      <c r="H52" s="8"/>
      <c r="I52" s="8"/>
      <c r="J52" s="8"/>
      <c r="K52" s="8">
        <v>1</v>
      </c>
      <c r="L52" s="18">
        <v>1271.1600000000001</v>
      </c>
      <c r="M52" s="7">
        <f t="shared" si="1"/>
        <v>1271.1600000000001</v>
      </c>
      <c r="N52" s="4"/>
      <c r="O52" s="9"/>
    </row>
    <row r="53" spans="1:15" ht="20" customHeight="1" x14ac:dyDescent="0.2">
      <c r="A53" s="3">
        <v>49</v>
      </c>
      <c r="B53" s="19"/>
      <c r="C53" s="4" t="s">
        <v>7139</v>
      </c>
      <c r="D53" s="4" t="s">
        <v>7091</v>
      </c>
      <c r="E53" s="4" t="s">
        <v>121</v>
      </c>
      <c r="F53" s="8"/>
      <c r="G53" s="8"/>
      <c r="H53" s="8"/>
      <c r="I53" s="8"/>
      <c r="J53" s="8"/>
      <c r="K53" s="8">
        <v>1</v>
      </c>
      <c r="L53" s="18">
        <v>1733.4</v>
      </c>
      <c r="M53" s="7">
        <f t="shared" si="1"/>
        <v>1733.4</v>
      </c>
      <c r="N53" s="4"/>
      <c r="O53" s="9"/>
    </row>
    <row r="54" spans="1:15" ht="20" customHeight="1" x14ac:dyDescent="0.2">
      <c r="A54" s="3">
        <v>50</v>
      </c>
      <c r="B54" s="19"/>
      <c r="C54" s="4" t="s">
        <v>7140</v>
      </c>
      <c r="D54" s="4" t="s">
        <v>7091</v>
      </c>
      <c r="E54" s="4" t="s">
        <v>121</v>
      </c>
      <c r="F54" s="8"/>
      <c r="G54" s="8"/>
      <c r="H54" s="8"/>
      <c r="I54" s="8"/>
      <c r="J54" s="8"/>
      <c r="K54" s="8">
        <v>1</v>
      </c>
      <c r="L54" s="18">
        <v>2439.6</v>
      </c>
      <c r="M54" s="7">
        <f t="shared" si="1"/>
        <v>2439.6</v>
      </c>
      <c r="N54" s="4"/>
      <c r="O54" s="9"/>
    </row>
    <row r="55" spans="1:15" ht="20" customHeight="1" x14ac:dyDescent="0.2">
      <c r="A55" s="3">
        <v>51</v>
      </c>
      <c r="B55" s="19"/>
      <c r="C55" s="4" t="s">
        <v>7141</v>
      </c>
      <c r="D55" s="4" t="s">
        <v>7091</v>
      </c>
      <c r="E55" s="4" t="s">
        <v>121</v>
      </c>
      <c r="F55" s="8"/>
      <c r="G55" s="8"/>
      <c r="H55" s="8"/>
      <c r="I55" s="8"/>
      <c r="J55" s="8"/>
      <c r="K55" s="8">
        <v>1</v>
      </c>
      <c r="L55" s="18">
        <v>1805.63</v>
      </c>
      <c r="M55" s="7">
        <f t="shared" si="1"/>
        <v>1805.63</v>
      </c>
      <c r="N55" s="4"/>
      <c r="O55" s="9"/>
    </row>
    <row r="56" spans="1:15" ht="20" customHeight="1" x14ac:dyDescent="0.2">
      <c r="A56" s="3">
        <v>52</v>
      </c>
      <c r="B56" s="19"/>
      <c r="C56" s="4" t="s">
        <v>7142</v>
      </c>
      <c r="D56" s="4" t="s">
        <v>7091</v>
      </c>
      <c r="E56" s="4" t="s">
        <v>121</v>
      </c>
      <c r="F56" s="8"/>
      <c r="G56" s="8"/>
      <c r="H56" s="8"/>
      <c r="I56" s="8"/>
      <c r="J56" s="8"/>
      <c r="K56" s="8">
        <v>0</v>
      </c>
      <c r="L56" s="18">
        <v>4</v>
      </c>
      <c r="M56" s="7">
        <f t="shared" si="1"/>
        <v>0</v>
      </c>
      <c r="N56" s="4"/>
      <c r="O56" s="9"/>
    </row>
    <row r="57" spans="1:15" ht="20" customHeight="1" x14ac:dyDescent="0.2">
      <c r="A57" s="3">
        <v>53</v>
      </c>
      <c r="B57" s="19"/>
      <c r="C57" s="4" t="s">
        <v>7143</v>
      </c>
      <c r="D57" s="4" t="s">
        <v>7091</v>
      </c>
      <c r="E57" s="4" t="s">
        <v>121</v>
      </c>
      <c r="F57" s="8"/>
      <c r="G57" s="8"/>
      <c r="H57" s="8"/>
      <c r="I57" s="8"/>
      <c r="J57" s="8"/>
      <c r="K57" s="8">
        <v>0</v>
      </c>
      <c r="L57" s="18">
        <v>140</v>
      </c>
      <c r="M57" s="7">
        <f t="shared" si="1"/>
        <v>0</v>
      </c>
      <c r="N57" s="4"/>
      <c r="O57" s="9"/>
    </row>
    <row r="58" spans="1:15" ht="20" customHeight="1" x14ac:dyDescent="0.2">
      <c r="A58" s="3">
        <v>54</v>
      </c>
      <c r="B58" s="19"/>
      <c r="C58" s="4" t="s">
        <v>7144</v>
      </c>
      <c r="D58" s="4" t="s">
        <v>7091</v>
      </c>
      <c r="E58" s="4" t="s">
        <v>121</v>
      </c>
      <c r="F58" s="8"/>
      <c r="G58" s="8"/>
      <c r="H58" s="8"/>
      <c r="I58" s="8"/>
      <c r="J58" s="8"/>
      <c r="K58" s="8">
        <v>1</v>
      </c>
      <c r="L58" s="18">
        <v>2683.56</v>
      </c>
      <c r="M58" s="7">
        <f t="shared" si="1"/>
        <v>2683.56</v>
      </c>
      <c r="N58" s="4"/>
      <c r="O58" s="9"/>
    </row>
    <row r="59" spans="1:15" ht="20" customHeight="1" x14ac:dyDescent="0.2">
      <c r="A59" s="3">
        <v>55</v>
      </c>
      <c r="B59" s="19"/>
      <c r="C59" s="4" t="s">
        <v>7145</v>
      </c>
      <c r="D59" s="4" t="s">
        <v>7091</v>
      </c>
      <c r="E59" s="4" t="s">
        <v>121</v>
      </c>
      <c r="F59" s="8"/>
      <c r="G59" s="8"/>
      <c r="H59" s="8"/>
      <c r="I59" s="8"/>
      <c r="J59" s="8"/>
      <c r="K59" s="8">
        <v>1</v>
      </c>
      <c r="L59" s="18">
        <v>4785.04</v>
      </c>
      <c r="M59" s="7">
        <f t="shared" si="1"/>
        <v>4785.04</v>
      </c>
      <c r="N59" s="4"/>
      <c r="O59" s="9"/>
    </row>
    <row r="60" spans="1:15" ht="20" customHeight="1" x14ac:dyDescent="0.2">
      <c r="A60" s="3">
        <v>56</v>
      </c>
      <c r="B60" s="19"/>
      <c r="C60" s="4" t="s">
        <v>7146</v>
      </c>
      <c r="D60" s="4" t="s">
        <v>7091</v>
      </c>
      <c r="E60" s="4" t="s">
        <v>121</v>
      </c>
      <c r="F60" s="8"/>
      <c r="G60" s="8"/>
      <c r="H60" s="8"/>
      <c r="I60" s="8"/>
      <c r="J60" s="8"/>
      <c r="K60" s="8">
        <v>1</v>
      </c>
      <c r="L60" s="18">
        <v>8211.7900000000009</v>
      </c>
      <c r="M60" s="7">
        <f t="shared" si="1"/>
        <v>8211.7900000000009</v>
      </c>
      <c r="N60" s="4"/>
      <c r="O60" s="9"/>
    </row>
    <row r="61" spans="1:15" ht="20" customHeight="1" x14ac:dyDescent="0.2">
      <c r="A61" s="3">
        <v>57</v>
      </c>
      <c r="B61" s="19"/>
      <c r="C61" s="4" t="s">
        <v>7147</v>
      </c>
      <c r="D61" s="4" t="s">
        <v>7091</v>
      </c>
      <c r="E61" s="4"/>
      <c r="F61" s="8"/>
      <c r="G61" s="8"/>
      <c r="H61" s="8"/>
      <c r="I61" s="8"/>
      <c r="J61" s="8"/>
      <c r="K61" s="8">
        <v>1</v>
      </c>
      <c r="L61" s="18">
        <v>42372</v>
      </c>
      <c r="M61" s="7">
        <f t="shared" si="1"/>
        <v>42372</v>
      </c>
      <c r="N61" s="4"/>
      <c r="O61" s="9"/>
    </row>
    <row r="62" spans="1:15" ht="20" customHeight="1" x14ac:dyDescent="0.2">
      <c r="A62" s="3">
        <v>58</v>
      </c>
      <c r="B62" s="19"/>
      <c r="C62" s="4" t="s">
        <v>7148</v>
      </c>
      <c r="D62" s="4" t="s">
        <v>7091</v>
      </c>
      <c r="E62" s="4"/>
      <c r="F62" s="8"/>
      <c r="G62" s="8"/>
      <c r="H62" s="8"/>
      <c r="I62" s="8"/>
      <c r="J62" s="8"/>
      <c r="K62" s="8">
        <v>1</v>
      </c>
      <c r="L62" s="18">
        <v>9630</v>
      </c>
      <c r="M62" s="7">
        <f t="shared" si="1"/>
        <v>9630</v>
      </c>
      <c r="N62" s="4"/>
      <c r="O62" s="9"/>
    </row>
    <row r="63" spans="1:15" ht="20" customHeight="1" x14ac:dyDescent="0.2">
      <c r="A63" s="3">
        <v>59</v>
      </c>
      <c r="B63" s="19"/>
      <c r="C63" s="4" t="s">
        <v>7149</v>
      </c>
      <c r="D63" s="4" t="s">
        <v>7091</v>
      </c>
      <c r="E63" s="4" t="s">
        <v>121</v>
      </c>
      <c r="F63" s="8"/>
      <c r="G63" s="8"/>
      <c r="H63" s="8"/>
      <c r="I63" s="8"/>
      <c r="J63" s="8"/>
      <c r="K63" s="8">
        <v>1</v>
      </c>
      <c r="L63" s="18">
        <v>1155.5999999999999</v>
      </c>
      <c r="M63" s="7">
        <f t="shared" si="1"/>
        <v>1155.5999999999999</v>
      </c>
      <c r="N63" s="4"/>
      <c r="O63" s="9"/>
    </row>
    <row r="64" spans="1:15" ht="20" customHeight="1" x14ac:dyDescent="0.2">
      <c r="A64" s="3">
        <v>60</v>
      </c>
      <c r="B64" s="19"/>
      <c r="C64" s="4" t="s">
        <v>7150</v>
      </c>
      <c r="D64" s="4" t="s">
        <v>7091</v>
      </c>
      <c r="E64" s="4" t="s">
        <v>196</v>
      </c>
      <c r="F64" s="8"/>
      <c r="G64" s="8"/>
      <c r="H64" s="8"/>
      <c r="I64" s="8"/>
      <c r="J64" s="8"/>
      <c r="K64" s="8">
        <v>7</v>
      </c>
      <c r="L64" s="18">
        <v>2079</v>
      </c>
      <c r="M64" s="7">
        <f t="shared" si="1"/>
        <v>14553</v>
      </c>
      <c r="N64" s="4"/>
      <c r="O64" s="9"/>
    </row>
    <row r="65" spans="1:15" ht="20" customHeight="1" x14ac:dyDescent="0.2">
      <c r="A65" s="3">
        <v>61</v>
      </c>
      <c r="B65" s="19"/>
      <c r="C65" s="4" t="s">
        <v>7151</v>
      </c>
      <c r="D65" s="4" t="s">
        <v>7091</v>
      </c>
      <c r="E65" s="4" t="s">
        <v>196</v>
      </c>
      <c r="F65" s="8"/>
      <c r="G65" s="8"/>
      <c r="H65" s="8"/>
      <c r="I65" s="8"/>
      <c r="J65" s="8"/>
      <c r="K65" s="8">
        <v>7</v>
      </c>
      <c r="L65" s="18">
        <v>542</v>
      </c>
      <c r="M65" s="7">
        <f t="shared" si="1"/>
        <v>3794</v>
      </c>
      <c r="N65" s="4"/>
      <c r="O65" s="9"/>
    </row>
    <row r="66" spans="1:15" ht="20" customHeight="1" x14ac:dyDescent="0.2">
      <c r="A66" s="3">
        <v>62</v>
      </c>
      <c r="B66" s="19"/>
      <c r="C66" s="4" t="s">
        <v>7152</v>
      </c>
      <c r="D66" s="4" t="s">
        <v>7091</v>
      </c>
      <c r="E66" s="4" t="s">
        <v>121</v>
      </c>
      <c r="F66" s="8"/>
      <c r="G66" s="8"/>
      <c r="H66" s="8"/>
      <c r="I66" s="8"/>
      <c r="J66" s="8"/>
      <c r="K66" s="8">
        <v>0</v>
      </c>
      <c r="L66" s="18">
        <v>247.17</v>
      </c>
      <c r="M66" s="7">
        <f t="shared" si="1"/>
        <v>0</v>
      </c>
      <c r="N66" s="4"/>
      <c r="O66" s="9"/>
    </row>
    <row r="67" spans="1:15" ht="20" customHeight="1" x14ac:dyDescent="0.2">
      <c r="A67" s="3">
        <v>63</v>
      </c>
      <c r="B67" s="19"/>
      <c r="C67" s="4" t="s">
        <v>7153</v>
      </c>
      <c r="D67" s="4" t="s">
        <v>7091</v>
      </c>
      <c r="E67" s="4"/>
      <c r="F67" s="8"/>
      <c r="G67" s="8"/>
      <c r="H67" s="8"/>
      <c r="I67" s="8"/>
      <c r="J67" s="8"/>
      <c r="K67" s="8">
        <v>31</v>
      </c>
      <c r="L67" s="18">
        <v>1309.68</v>
      </c>
      <c r="M67" s="7">
        <f t="shared" si="1"/>
        <v>40600.080000000002</v>
      </c>
      <c r="N67" s="4"/>
      <c r="O67" s="9"/>
    </row>
    <row r="68" spans="1:15" ht="22" customHeight="1" x14ac:dyDescent="0.35">
      <c r="A68" s="10" t="s">
        <v>86</v>
      </c>
      <c r="B68" s="20"/>
      <c r="C68" s="11"/>
      <c r="D68" s="11"/>
      <c r="E68" s="11"/>
      <c r="F68" s="11"/>
      <c r="G68" s="11"/>
      <c r="H68" s="11"/>
      <c r="I68" s="11"/>
      <c r="J68" s="11"/>
      <c r="K68" s="13">
        <f>SUM(K5:K67)</f>
        <v>120</v>
      </c>
      <c r="L68" s="11"/>
      <c r="M68" s="13">
        <f>SUM(M5:M67)</f>
        <v>246029.19</v>
      </c>
      <c r="N68" s="11"/>
      <c r="O68" s="11"/>
    </row>
    <row r="69" spans="1:15" ht="32" customHeight="1" x14ac:dyDescent="0.2">
      <c r="A69" s="23" t="s">
        <v>7154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</row>
  </sheetData>
  <autoFilter ref="A4:O67" xr:uid="{00000000-0009-0000-0000-00001A000000}"/>
  <mergeCells count="5">
    <mergeCell ref="A69:O69"/>
    <mergeCell ref="E2:G2"/>
    <mergeCell ref="I2:J2"/>
    <mergeCell ref="A1:O1"/>
    <mergeCell ref="F3:O3"/>
  </mergeCells>
  <conditionalFormatting sqref="E3">
    <cfRule type="cellIs" dxfId="5" priority="1" operator="greaterThan">
      <formula>0.009</formula>
    </cfRule>
    <cfRule type="cellIs" dxfId="4" priority="2" operator="lessThan">
      <formula>-0.009</formula>
    </cfRule>
  </conditionalFormatting>
  <dataValidations count="1">
    <dataValidation type="list" allowBlank="1" sqref="O5:O67" xr:uid="{00000000-0002-0000-1A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โฆษณา · DBR/2570/0029</oddHeader>
    <oddFooter>&amp;Lส่งออกจากฐาน VPK-S1 วันที่ 12 ต.ค. 2569&amp;Rหน้า &amp;P / &amp;N</oddFooter>
  </headerFooter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B6848"/>
    <pageSetUpPr fitToPage="1"/>
  </sheetPr>
  <dimension ref="A1:O92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7155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80</v>
      </c>
      <c r="D2" s="14" t="s">
        <v>7</v>
      </c>
      <c r="E2" s="24" t="s">
        <v>82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961216.8</v>
      </c>
      <c r="D3" s="15" t="s">
        <v>94</v>
      </c>
      <c r="E3" s="17">
        <f>M91-C3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7156</v>
      </c>
      <c r="D5" s="4" t="s">
        <v>81</v>
      </c>
      <c r="E5" s="4"/>
      <c r="F5" s="8"/>
      <c r="G5" s="8"/>
      <c r="H5" s="8"/>
      <c r="I5" s="8"/>
      <c r="J5" s="8"/>
      <c r="K5" s="8">
        <v>20</v>
      </c>
      <c r="L5" s="18">
        <v>450</v>
      </c>
      <c r="M5" s="7">
        <f t="shared" ref="M5:M36" si="0">IF(OR(K5="",L5=""),"",K5*L5)</f>
        <v>9000</v>
      </c>
      <c r="N5" s="4"/>
      <c r="O5" s="9"/>
    </row>
    <row r="6" spans="1:15" ht="20" customHeight="1" x14ac:dyDescent="0.2">
      <c r="A6" s="3">
        <v>2</v>
      </c>
      <c r="B6" s="19"/>
      <c r="C6" s="4" t="s">
        <v>7157</v>
      </c>
      <c r="D6" s="4" t="s">
        <v>81</v>
      </c>
      <c r="E6" s="4"/>
      <c r="F6" s="8"/>
      <c r="G6" s="8"/>
      <c r="H6" s="8"/>
      <c r="I6" s="8"/>
      <c r="J6" s="8"/>
      <c r="K6" s="8">
        <v>2</v>
      </c>
      <c r="L6" s="18">
        <v>18939</v>
      </c>
      <c r="M6" s="7">
        <f t="shared" si="0"/>
        <v>37878</v>
      </c>
      <c r="N6" s="4"/>
      <c r="O6" s="9"/>
    </row>
    <row r="7" spans="1:15" ht="20" customHeight="1" x14ac:dyDescent="0.2">
      <c r="A7" s="3">
        <v>3</v>
      </c>
      <c r="B7" s="19"/>
      <c r="C7" s="4" t="s">
        <v>7158</v>
      </c>
      <c r="D7" s="4" t="s">
        <v>81</v>
      </c>
      <c r="E7" s="4"/>
      <c r="F7" s="8"/>
      <c r="G7" s="8"/>
      <c r="H7" s="8"/>
      <c r="I7" s="8"/>
      <c r="J7" s="8"/>
      <c r="K7" s="8">
        <v>2</v>
      </c>
      <c r="L7" s="18">
        <v>3210</v>
      </c>
      <c r="M7" s="7">
        <f t="shared" si="0"/>
        <v>6420</v>
      </c>
      <c r="N7" s="4"/>
      <c r="O7" s="9"/>
    </row>
    <row r="8" spans="1:15" ht="20" customHeight="1" x14ac:dyDescent="0.2">
      <c r="A8" s="3">
        <v>4</v>
      </c>
      <c r="B8" s="19"/>
      <c r="C8" s="4" t="s">
        <v>7159</v>
      </c>
      <c r="D8" s="4" t="s">
        <v>81</v>
      </c>
      <c r="E8" s="4"/>
      <c r="F8" s="8"/>
      <c r="G8" s="8"/>
      <c r="H8" s="8"/>
      <c r="I8" s="8"/>
      <c r="J8" s="8"/>
      <c r="K8" s="8">
        <v>12</v>
      </c>
      <c r="L8" s="18">
        <v>690</v>
      </c>
      <c r="M8" s="7">
        <f t="shared" si="0"/>
        <v>8280</v>
      </c>
      <c r="N8" s="4"/>
      <c r="O8" s="9"/>
    </row>
    <row r="9" spans="1:15" ht="20" customHeight="1" x14ac:dyDescent="0.2">
      <c r="A9" s="3">
        <v>5</v>
      </c>
      <c r="B9" s="19"/>
      <c r="C9" s="4" t="s">
        <v>7160</v>
      </c>
      <c r="D9" s="4" t="s">
        <v>81</v>
      </c>
      <c r="E9" s="4"/>
      <c r="F9" s="8"/>
      <c r="G9" s="8"/>
      <c r="H9" s="8"/>
      <c r="I9" s="8"/>
      <c r="J9" s="8"/>
      <c r="K9" s="8">
        <v>1</v>
      </c>
      <c r="L9" s="18">
        <v>642</v>
      </c>
      <c r="M9" s="7">
        <f t="shared" si="0"/>
        <v>642</v>
      </c>
      <c r="N9" s="4"/>
      <c r="O9" s="9"/>
    </row>
    <row r="10" spans="1:15" ht="20" customHeight="1" x14ac:dyDescent="0.2">
      <c r="A10" s="3">
        <v>6</v>
      </c>
      <c r="B10" s="19"/>
      <c r="C10" s="4" t="s">
        <v>7161</v>
      </c>
      <c r="D10" s="4" t="s">
        <v>81</v>
      </c>
      <c r="E10" s="4"/>
      <c r="F10" s="8"/>
      <c r="G10" s="8"/>
      <c r="H10" s="8"/>
      <c r="I10" s="8"/>
      <c r="J10" s="8"/>
      <c r="K10" s="8">
        <v>1</v>
      </c>
      <c r="L10" s="18">
        <v>663.4</v>
      </c>
      <c r="M10" s="7">
        <f t="shared" si="0"/>
        <v>663.4</v>
      </c>
      <c r="N10" s="4"/>
      <c r="O10" s="9"/>
    </row>
    <row r="11" spans="1:15" ht="20" customHeight="1" x14ac:dyDescent="0.2">
      <c r="A11" s="3">
        <v>7</v>
      </c>
      <c r="B11" s="19"/>
      <c r="C11" s="4" t="s">
        <v>7162</v>
      </c>
      <c r="D11" s="4" t="s">
        <v>81</v>
      </c>
      <c r="E11" s="4"/>
      <c r="F11" s="8"/>
      <c r="G11" s="8"/>
      <c r="H11" s="8"/>
      <c r="I11" s="8"/>
      <c r="J11" s="8"/>
      <c r="K11" s="8">
        <v>2</v>
      </c>
      <c r="L11" s="18">
        <v>3210</v>
      </c>
      <c r="M11" s="7">
        <f t="shared" si="0"/>
        <v>6420</v>
      </c>
      <c r="N11" s="4"/>
      <c r="O11" s="9"/>
    </row>
    <row r="12" spans="1:15" ht="20" customHeight="1" x14ac:dyDescent="0.2">
      <c r="A12" s="3">
        <v>8</v>
      </c>
      <c r="B12" s="19"/>
      <c r="C12" s="4" t="s">
        <v>7163</v>
      </c>
      <c r="D12" s="4" t="s">
        <v>81</v>
      </c>
      <c r="E12" s="4" t="s">
        <v>110</v>
      </c>
      <c r="F12" s="8"/>
      <c r="G12" s="8"/>
      <c r="H12" s="8"/>
      <c r="I12" s="8"/>
      <c r="J12" s="8"/>
      <c r="K12" s="8">
        <v>0</v>
      </c>
      <c r="L12" s="18">
        <v>900</v>
      </c>
      <c r="M12" s="7">
        <f t="shared" si="0"/>
        <v>0</v>
      </c>
      <c r="N12" s="4"/>
      <c r="O12" s="9"/>
    </row>
    <row r="13" spans="1:15" ht="20" customHeight="1" x14ac:dyDescent="0.2">
      <c r="A13" s="3">
        <v>9</v>
      </c>
      <c r="B13" s="19"/>
      <c r="C13" s="4" t="s">
        <v>7164</v>
      </c>
      <c r="D13" s="4" t="s">
        <v>81</v>
      </c>
      <c r="E13" s="4"/>
      <c r="F13" s="8"/>
      <c r="G13" s="8"/>
      <c r="H13" s="8"/>
      <c r="I13" s="8"/>
      <c r="J13" s="8"/>
      <c r="K13" s="8">
        <v>2</v>
      </c>
      <c r="L13" s="18">
        <v>14980</v>
      </c>
      <c r="M13" s="7">
        <f t="shared" si="0"/>
        <v>29960</v>
      </c>
      <c r="N13" s="4"/>
      <c r="O13" s="9"/>
    </row>
    <row r="14" spans="1:15" ht="20" customHeight="1" x14ac:dyDescent="0.2">
      <c r="A14" s="3">
        <v>10</v>
      </c>
      <c r="B14" s="19"/>
      <c r="C14" s="4" t="s">
        <v>7165</v>
      </c>
      <c r="D14" s="4" t="s">
        <v>81</v>
      </c>
      <c r="E14" s="4" t="s">
        <v>196</v>
      </c>
      <c r="F14" s="8"/>
      <c r="G14" s="8"/>
      <c r="H14" s="8"/>
      <c r="I14" s="8"/>
      <c r="J14" s="8"/>
      <c r="K14" s="8">
        <v>0</v>
      </c>
      <c r="L14" s="18">
        <v>15943</v>
      </c>
      <c r="M14" s="7">
        <f t="shared" si="0"/>
        <v>0</v>
      </c>
      <c r="N14" s="4"/>
      <c r="O14" s="9"/>
    </row>
    <row r="15" spans="1:15" ht="20" customHeight="1" x14ac:dyDescent="0.2">
      <c r="A15" s="3">
        <v>11</v>
      </c>
      <c r="B15" s="19"/>
      <c r="C15" s="4" t="s">
        <v>7166</v>
      </c>
      <c r="D15" s="4" t="s">
        <v>81</v>
      </c>
      <c r="E15" s="4"/>
      <c r="F15" s="8"/>
      <c r="G15" s="8"/>
      <c r="H15" s="8"/>
      <c r="I15" s="8"/>
      <c r="J15" s="8"/>
      <c r="K15" s="8">
        <v>3</v>
      </c>
      <c r="L15" s="18">
        <v>1100</v>
      </c>
      <c r="M15" s="7">
        <f t="shared" si="0"/>
        <v>3300</v>
      </c>
      <c r="N15" s="4"/>
      <c r="O15" s="9"/>
    </row>
    <row r="16" spans="1:15" ht="20" customHeight="1" x14ac:dyDescent="0.2">
      <c r="A16" s="3">
        <v>12</v>
      </c>
      <c r="B16" s="19"/>
      <c r="C16" s="4" t="s">
        <v>7167</v>
      </c>
      <c r="D16" s="4" t="s">
        <v>81</v>
      </c>
      <c r="E16" s="4" t="s">
        <v>152</v>
      </c>
      <c r="F16" s="8"/>
      <c r="G16" s="8"/>
      <c r="H16" s="8"/>
      <c r="I16" s="8"/>
      <c r="J16" s="8"/>
      <c r="K16" s="8">
        <v>0</v>
      </c>
      <c r="L16" s="18">
        <v>5290</v>
      </c>
      <c r="M16" s="7">
        <f t="shared" si="0"/>
        <v>0</v>
      </c>
      <c r="N16" s="4"/>
      <c r="O16" s="9"/>
    </row>
    <row r="17" spans="1:15" ht="20" customHeight="1" x14ac:dyDescent="0.2">
      <c r="A17" s="3">
        <v>13</v>
      </c>
      <c r="B17" s="19"/>
      <c r="C17" s="4" t="s">
        <v>7168</v>
      </c>
      <c r="D17" s="4" t="s">
        <v>81</v>
      </c>
      <c r="E17" s="4"/>
      <c r="F17" s="8"/>
      <c r="G17" s="8"/>
      <c r="H17" s="8"/>
      <c r="I17" s="8"/>
      <c r="J17" s="8"/>
      <c r="K17" s="8">
        <v>1</v>
      </c>
      <c r="L17" s="18">
        <v>2568</v>
      </c>
      <c r="M17" s="7">
        <f t="shared" si="0"/>
        <v>2568</v>
      </c>
      <c r="N17" s="4"/>
      <c r="O17" s="9"/>
    </row>
    <row r="18" spans="1:15" ht="20" customHeight="1" x14ac:dyDescent="0.2">
      <c r="A18" s="3">
        <v>14</v>
      </c>
      <c r="B18" s="19"/>
      <c r="C18" s="4" t="s">
        <v>7169</v>
      </c>
      <c r="D18" s="4" t="s">
        <v>81</v>
      </c>
      <c r="E18" s="4"/>
      <c r="F18" s="8"/>
      <c r="G18" s="8"/>
      <c r="H18" s="8"/>
      <c r="I18" s="8"/>
      <c r="J18" s="8"/>
      <c r="K18" s="8">
        <v>10</v>
      </c>
      <c r="L18" s="18">
        <v>246.1</v>
      </c>
      <c r="M18" s="7">
        <f t="shared" si="0"/>
        <v>2461</v>
      </c>
      <c r="N18" s="4"/>
      <c r="O18" s="9"/>
    </row>
    <row r="19" spans="1:15" ht="20" customHeight="1" x14ac:dyDescent="0.2">
      <c r="A19" s="3">
        <v>15</v>
      </c>
      <c r="B19" s="19"/>
      <c r="C19" s="4" t="s">
        <v>7170</v>
      </c>
      <c r="D19" s="4" t="s">
        <v>81</v>
      </c>
      <c r="E19" s="4"/>
      <c r="F19" s="8"/>
      <c r="G19" s="8"/>
      <c r="H19" s="8"/>
      <c r="I19" s="8"/>
      <c r="J19" s="8"/>
      <c r="K19" s="8">
        <v>10</v>
      </c>
      <c r="L19" s="18">
        <v>139.1</v>
      </c>
      <c r="M19" s="7">
        <f t="shared" si="0"/>
        <v>1391</v>
      </c>
      <c r="N19" s="4"/>
      <c r="O19" s="9"/>
    </row>
    <row r="20" spans="1:15" ht="20" customHeight="1" x14ac:dyDescent="0.2">
      <c r="A20" s="3">
        <v>16</v>
      </c>
      <c r="B20" s="19"/>
      <c r="C20" s="4" t="s">
        <v>7171</v>
      </c>
      <c r="D20" s="4" t="s">
        <v>81</v>
      </c>
      <c r="E20" s="4"/>
      <c r="F20" s="8"/>
      <c r="G20" s="8"/>
      <c r="H20" s="8"/>
      <c r="I20" s="8"/>
      <c r="J20" s="8"/>
      <c r="K20" s="8">
        <v>2</v>
      </c>
      <c r="L20" s="18">
        <v>2942.5</v>
      </c>
      <c r="M20" s="7">
        <f t="shared" si="0"/>
        <v>5885</v>
      </c>
      <c r="N20" s="4"/>
      <c r="O20" s="9"/>
    </row>
    <row r="21" spans="1:15" ht="20" customHeight="1" x14ac:dyDescent="0.2">
      <c r="A21" s="3">
        <v>17</v>
      </c>
      <c r="B21" s="19"/>
      <c r="C21" s="4" t="s">
        <v>7172</v>
      </c>
      <c r="D21" s="4" t="s">
        <v>81</v>
      </c>
      <c r="E21" s="4"/>
      <c r="F21" s="8"/>
      <c r="G21" s="8"/>
      <c r="H21" s="8"/>
      <c r="I21" s="8"/>
      <c r="J21" s="8"/>
      <c r="K21" s="8">
        <v>13</v>
      </c>
      <c r="L21" s="18">
        <v>128.4</v>
      </c>
      <c r="M21" s="7">
        <f t="shared" si="0"/>
        <v>1669.2</v>
      </c>
      <c r="N21" s="4"/>
      <c r="O21" s="9"/>
    </row>
    <row r="22" spans="1:15" ht="20" customHeight="1" x14ac:dyDescent="0.2">
      <c r="A22" s="3">
        <v>18</v>
      </c>
      <c r="B22" s="19"/>
      <c r="C22" s="4" t="s">
        <v>7173</v>
      </c>
      <c r="D22" s="4" t="s">
        <v>81</v>
      </c>
      <c r="E22" s="4" t="s">
        <v>196</v>
      </c>
      <c r="F22" s="8"/>
      <c r="G22" s="8"/>
      <c r="H22" s="8"/>
      <c r="I22" s="8"/>
      <c r="J22" s="8"/>
      <c r="K22" s="8">
        <v>0</v>
      </c>
      <c r="L22" s="18">
        <v>2100</v>
      </c>
      <c r="M22" s="7">
        <f t="shared" si="0"/>
        <v>0</v>
      </c>
      <c r="N22" s="4"/>
      <c r="O22" s="9"/>
    </row>
    <row r="23" spans="1:15" ht="20" customHeight="1" x14ac:dyDescent="0.2">
      <c r="A23" s="3">
        <v>19</v>
      </c>
      <c r="B23" s="19"/>
      <c r="C23" s="4" t="s">
        <v>7174</v>
      </c>
      <c r="D23" s="4" t="s">
        <v>81</v>
      </c>
      <c r="E23" s="4"/>
      <c r="F23" s="8"/>
      <c r="G23" s="8"/>
      <c r="H23" s="8"/>
      <c r="I23" s="8"/>
      <c r="J23" s="8"/>
      <c r="K23" s="8">
        <v>7</v>
      </c>
      <c r="L23" s="18">
        <v>4420</v>
      </c>
      <c r="M23" s="7">
        <f t="shared" si="0"/>
        <v>30940</v>
      </c>
      <c r="N23" s="4"/>
      <c r="O23" s="9"/>
    </row>
    <row r="24" spans="1:15" ht="20" customHeight="1" x14ac:dyDescent="0.2">
      <c r="A24" s="3">
        <v>20</v>
      </c>
      <c r="B24" s="19"/>
      <c r="C24" s="4" t="s">
        <v>7175</v>
      </c>
      <c r="D24" s="4" t="s">
        <v>81</v>
      </c>
      <c r="E24" s="4"/>
      <c r="F24" s="8"/>
      <c r="G24" s="8"/>
      <c r="H24" s="8"/>
      <c r="I24" s="8"/>
      <c r="J24" s="8"/>
      <c r="K24" s="8">
        <v>5</v>
      </c>
      <c r="L24" s="18">
        <v>1690</v>
      </c>
      <c r="M24" s="7">
        <f t="shared" si="0"/>
        <v>8450</v>
      </c>
      <c r="N24" s="4"/>
      <c r="O24" s="9"/>
    </row>
    <row r="25" spans="1:15" ht="20" customHeight="1" x14ac:dyDescent="0.2">
      <c r="A25" s="3">
        <v>21</v>
      </c>
      <c r="B25" s="19"/>
      <c r="C25" s="4" t="s">
        <v>7176</v>
      </c>
      <c r="D25" s="4" t="s">
        <v>81</v>
      </c>
      <c r="E25" s="4"/>
      <c r="F25" s="8"/>
      <c r="G25" s="8"/>
      <c r="H25" s="8"/>
      <c r="I25" s="8"/>
      <c r="J25" s="8"/>
      <c r="K25" s="8">
        <v>22</v>
      </c>
      <c r="L25" s="18">
        <v>299.60000000000002</v>
      </c>
      <c r="M25" s="7">
        <f t="shared" si="0"/>
        <v>6591.2000000000007</v>
      </c>
      <c r="N25" s="4"/>
      <c r="O25" s="9"/>
    </row>
    <row r="26" spans="1:15" ht="20" customHeight="1" x14ac:dyDescent="0.2">
      <c r="A26" s="3">
        <v>22</v>
      </c>
      <c r="B26" s="19"/>
      <c r="C26" s="4" t="s">
        <v>7177</v>
      </c>
      <c r="D26" s="4" t="s">
        <v>81</v>
      </c>
      <c r="E26" s="4"/>
      <c r="F26" s="8"/>
      <c r="G26" s="8"/>
      <c r="H26" s="8"/>
      <c r="I26" s="8"/>
      <c r="J26" s="8"/>
      <c r="K26" s="8">
        <v>3</v>
      </c>
      <c r="L26" s="18">
        <v>2621.5</v>
      </c>
      <c r="M26" s="7">
        <f t="shared" si="0"/>
        <v>7864.5</v>
      </c>
      <c r="N26" s="4"/>
      <c r="O26" s="9"/>
    </row>
    <row r="27" spans="1:15" ht="20" customHeight="1" x14ac:dyDescent="0.2">
      <c r="A27" s="3">
        <v>23</v>
      </c>
      <c r="B27" s="19"/>
      <c r="C27" s="4" t="s">
        <v>7178</v>
      </c>
      <c r="D27" s="4" t="s">
        <v>81</v>
      </c>
      <c r="E27" s="4"/>
      <c r="F27" s="8"/>
      <c r="G27" s="8"/>
      <c r="H27" s="8"/>
      <c r="I27" s="8"/>
      <c r="J27" s="8"/>
      <c r="K27" s="8">
        <v>20</v>
      </c>
      <c r="L27" s="18">
        <v>267.5</v>
      </c>
      <c r="M27" s="7">
        <f t="shared" si="0"/>
        <v>5350</v>
      </c>
      <c r="N27" s="4"/>
      <c r="O27" s="9"/>
    </row>
    <row r="28" spans="1:15" ht="20" customHeight="1" x14ac:dyDescent="0.2">
      <c r="A28" s="3">
        <v>24</v>
      </c>
      <c r="B28" s="19"/>
      <c r="C28" s="4" t="s">
        <v>7179</v>
      </c>
      <c r="D28" s="4" t="s">
        <v>81</v>
      </c>
      <c r="E28" s="4"/>
      <c r="F28" s="8"/>
      <c r="G28" s="8"/>
      <c r="H28" s="8"/>
      <c r="I28" s="8"/>
      <c r="J28" s="8"/>
      <c r="K28" s="8">
        <v>3</v>
      </c>
      <c r="L28" s="18">
        <v>535</v>
      </c>
      <c r="M28" s="7">
        <f t="shared" si="0"/>
        <v>1605</v>
      </c>
      <c r="N28" s="4"/>
      <c r="O28" s="9"/>
    </row>
    <row r="29" spans="1:15" ht="20" customHeight="1" x14ac:dyDescent="0.2">
      <c r="A29" s="3">
        <v>25</v>
      </c>
      <c r="B29" s="19"/>
      <c r="C29" s="4" t="s">
        <v>7180</v>
      </c>
      <c r="D29" s="4" t="s">
        <v>81</v>
      </c>
      <c r="E29" s="4"/>
      <c r="F29" s="8"/>
      <c r="G29" s="8"/>
      <c r="H29" s="8"/>
      <c r="I29" s="8"/>
      <c r="J29" s="8"/>
      <c r="K29" s="8">
        <v>3</v>
      </c>
      <c r="L29" s="18">
        <v>481.5</v>
      </c>
      <c r="M29" s="7">
        <f t="shared" si="0"/>
        <v>1444.5</v>
      </c>
      <c r="N29" s="4"/>
      <c r="O29" s="9"/>
    </row>
    <row r="30" spans="1:15" ht="20" customHeight="1" x14ac:dyDescent="0.2">
      <c r="A30" s="3">
        <v>26</v>
      </c>
      <c r="B30" s="19"/>
      <c r="C30" s="4" t="s">
        <v>7181</v>
      </c>
      <c r="D30" s="4" t="s">
        <v>81</v>
      </c>
      <c r="E30" s="4"/>
      <c r="F30" s="8"/>
      <c r="G30" s="8"/>
      <c r="H30" s="8"/>
      <c r="I30" s="8"/>
      <c r="J30" s="8"/>
      <c r="K30" s="8">
        <v>1</v>
      </c>
      <c r="L30" s="18">
        <v>2996</v>
      </c>
      <c r="M30" s="7">
        <f t="shared" si="0"/>
        <v>2996</v>
      </c>
      <c r="N30" s="4"/>
      <c r="O30" s="9"/>
    </row>
    <row r="31" spans="1:15" ht="20" customHeight="1" x14ac:dyDescent="0.2">
      <c r="A31" s="3">
        <v>27</v>
      </c>
      <c r="B31" s="19"/>
      <c r="C31" s="4" t="s">
        <v>7182</v>
      </c>
      <c r="D31" s="4" t="s">
        <v>81</v>
      </c>
      <c r="E31" s="4"/>
      <c r="F31" s="8"/>
      <c r="G31" s="8"/>
      <c r="H31" s="8"/>
      <c r="I31" s="8"/>
      <c r="J31" s="8"/>
      <c r="K31" s="8">
        <v>5</v>
      </c>
      <c r="L31" s="18">
        <v>2980</v>
      </c>
      <c r="M31" s="7">
        <f t="shared" si="0"/>
        <v>14900</v>
      </c>
      <c r="N31" s="4"/>
      <c r="O31" s="9"/>
    </row>
    <row r="32" spans="1:15" ht="20" customHeight="1" x14ac:dyDescent="0.2">
      <c r="A32" s="3">
        <v>28</v>
      </c>
      <c r="B32" s="19"/>
      <c r="C32" s="4" t="s">
        <v>7183</v>
      </c>
      <c r="D32" s="4" t="s">
        <v>81</v>
      </c>
      <c r="E32" s="4" t="s">
        <v>128</v>
      </c>
      <c r="F32" s="8"/>
      <c r="G32" s="8"/>
      <c r="H32" s="8"/>
      <c r="I32" s="8"/>
      <c r="J32" s="8"/>
      <c r="K32" s="8">
        <v>0</v>
      </c>
      <c r="L32" s="18">
        <v>2300</v>
      </c>
      <c r="M32" s="7">
        <f t="shared" si="0"/>
        <v>0</v>
      </c>
      <c r="N32" s="4"/>
      <c r="O32" s="9"/>
    </row>
    <row r="33" spans="1:15" ht="20" customHeight="1" x14ac:dyDescent="0.2">
      <c r="A33" s="3">
        <v>29</v>
      </c>
      <c r="B33" s="19"/>
      <c r="C33" s="4" t="s">
        <v>7184</v>
      </c>
      <c r="D33" s="4" t="s">
        <v>81</v>
      </c>
      <c r="E33" s="4" t="s">
        <v>196</v>
      </c>
      <c r="F33" s="8"/>
      <c r="G33" s="8"/>
      <c r="H33" s="8"/>
      <c r="I33" s="8"/>
      <c r="J33" s="8"/>
      <c r="K33" s="8">
        <v>0</v>
      </c>
      <c r="L33" s="18">
        <v>166385</v>
      </c>
      <c r="M33" s="7">
        <f t="shared" si="0"/>
        <v>0</v>
      </c>
      <c r="N33" s="4"/>
      <c r="O33" s="9"/>
    </row>
    <row r="34" spans="1:15" ht="20" customHeight="1" x14ac:dyDescent="0.2">
      <c r="A34" s="3">
        <v>30</v>
      </c>
      <c r="B34" s="19"/>
      <c r="C34" s="4" t="s">
        <v>7185</v>
      </c>
      <c r="D34" s="4" t="s">
        <v>81</v>
      </c>
      <c r="E34" s="4" t="s">
        <v>152</v>
      </c>
      <c r="F34" s="8"/>
      <c r="G34" s="8"/>
      <c r="H34" s="8"/>
      <c r="I34" s="8"/>
      <c r="J34" s="8"/>
      <c r="K34" s="8">
        <v>0</v>
      </c>
      <c r="L34" s="18">
        <v>450</v>
      </c>
      <c r="M34" s="7">
        <f t="shared" si="0"/>
        <v>0</v>
      </c>
      <c r="N34" s="4"/>
      <c r="O34" s="9"/>
    </row>
    <row r="35" spans="1:15" ht="20" customHeight="1" x14ac:dyDescent="0.2">
      <c r="A35" s="3">
        <v>31</v>
      </c>
      <c r="B35" s="19"/>
      <c r="C35" s="4" t="s">
        <v>7186</v>
      </c>
      <c r="D35" s="4" t="s">
        <v>81</v>
      </c>
      <c r="E35" s="4"/>
      <c r="F35" s="8"/>
      <c r="G35" s="8"/>
      <c r="H35" s="8"/>
      <c r="I35" s="8"/>
      <c r="J35" s="8"/>
      <c r="K35" s="8">
        <v>20</v>
      </c>
      <c r="L35" s="18">
        <v>450</v>
      </c>
      <c r="M35" s="7">
        <f t="shared" si="0"/>
        <v>9000</v>
      </c>
      <c r="N35" s="4"/>
      <c r="O35" s="9"/>
    </row>
    <row r="36" spans="1:15" ht="20" customHeight="1" x14ac:dyDescent="0.2">
      <c r="A36" s="3">
        <v>32</v>
      </c>
      <c r="B36" s="19"/>
      <c r="C36" s="4" t="s">
        <v>7187</v>
      </c>
      <c r="D36" s="4" t="s">
        <v>81</v>
      </c>
      <c r="E36" s="4"/>
      <c r="F36" s="8"/>
      <c r="G36" s="8"/>
      <c r="H36" s="8"/>
      <c r="I36" s="8"/>
      <c r="J36" s="8"/>
      <c r="K36" s="8">
        <v>30</v>
      </c>
      <c r="L36" s="18">
        <v>450</v>
      </c>
      <c r="M36" s="7">
        <f t="shared" si="0"/>
        <v>13500</v>
      </c>
      <c r="N36" s="4"/>
      <c r="O36" s="9"/>
    </row>
    <row r="37" spans="1:15" ht="20" customHeight="1" x14ac:dyDescent="0.2">
      <c r="A37" s="3">
        <v>33</v>
      </c>
      <c r="B37" s="19"/>
      <c r="C37" s="4" t="s">
        <v>7188</v>
      </c>
      <c r="D37" s="4" t="s">
        <v>81</v>
      </c>
      <c r="E37" s="4" t="s">
        <v>152</v>
      </c>
      <c r="F37" s="8"/>
      <c r="G37" s="8"/>
      <c r="H37" s="8"/>
      <c r="I37" s="8"/>
      <c r="J37" s="8"/>
      <c r="K37" s="8">
        <v>0</v>
      </c>
      <c r="L37" s="18">
        <v>420</v>
      </c>
      <c r="M37" s="7">
        <f t="shared" ref="M37:M68" si="1">IF(OR(K37="",L37=""),"",K37*L37)</f>
        <v>0</v>
      </c>
      <c r="N37" s="4"/>
      <c r="O37" s="9"/>
    </row>
    <row r="38" spans="1:15" ht="20" customHeight="1" x14ac:dyDescent="0.2">
      <c r="A38" s="3">
        <v>34</v>
      </c>
      <c r="B38" s="19"/>
      <c r="C38" s="4" t="s">
        <v>7189</v>
      </c>
      <c r="D38" s="4" t="s">
        <v>81</v>
      </c>
      <c r="E38" s="4"/>
      <c r="F38" s="8"/>
      <c r="G38" s="8"/>
      <c r="H38" s="8"/>
      <c r="I38" s="8"/>
      <c r="J38" s="8"/>
      <c r="K38" s="8">
        <v>30</v>
      </c>
      <c r="L38" s="18">
        <v>406.6</v>
      </c>
      <c r="M38" s="7">
        <f t="shared" si="1"/>
        <v>12198</v>
      </c>
      <c r="N38" s="4"/>
      <c r="O38" s="9"/>
    </row>
    <row r="39" spans="1:15" ht="20" customHeight="1" x14ac:dyDescent="0.2">
      <c r="A39" s="3">
        <v>35</v>
      </c>
      <c r="B39" s="19"/>
      <c r="C39" s="4" t="s">
        <v>7190</v>
      </c>
      <c r="D39" s="4" t="s">
        <v>81</v>
      </c>
      <c r="E39" s="4"/>
      <c r="F39" s="8"/>
      <c r="G39" s="8"/>
      <c r="H39" s="8"/>
      <c r="I39" s="8"/>
      <c r="J39" s="8"/>
      <c r="K39" s="8">
        <v>1</v>
      </c>
      <c r="L39" s="18">
        <v>30391</v>
      </c>
      <c r="M39" s="7">
        <f t="shared" si="1"/>
        <v>30391</v>
      </c>
      <c r="N39" s="4"/>
      <c r="O39" s="9"/>
    </row>
    <row r="40" spans="1:15" ht="20" customHeight="1" x14ac:dyDescent="0.2">
      <c r="A40" s="3">
        <v>36</v>
      </c>
      <c r="B40" s="19"/>
      <c r="C40" s="4" t="s">
        <v>7191</v>
      </c>
      <c r="D40" s="4" t="s">
        <v>81</v>
      </c>
      <c r="E40" s="4"/>
      <c r="F40" s="8"/>
      <c r="G40" s="8"/>
      <c r="H40" s="8"/>
      <c r="I40" s="8"/>
      <c r="J40" s="8"/>
      <c r="K40" s="8">
        <v>30</v>
      </c>
      <c r="L40" s="18">
        <v>428</v>
      </c>
      <c r="M40" s="7">
        <f t="shared" si="1"/>
        <v>12840</v>
      </c>
      <c r="N40" s="4"/>
      <c r="O40" s="9"/>
    </row>
    <row r="41" spans="1:15" ht="20" customHeight="1" x14ac:dyDescent="0.2">
      <c r="A41" s="3">
        <v>37</v>
      </c>
      <c r="B41" s="19"/>
      <c r="C41" s="4" t="s">
        <v>7192</v>
      </c>
      <c r="D41" s="4" t="s">
        <v>81</v>
      </c>
      <c r="E41" s="4"/>
      <c r="F41" s="8"/>
      <c r="G41" s="8"/>
      <c r="H41" s="8"/>
      <c r="I41" s="8"/>
      <c r="J41" s="8"/>
      <c r="K41" s="8">
        <v>3</v>
      </c>
      <c r="L41" s="18">
        <v>481.5</v>
      </c>
      <c r="M41" s="7">
        <f t="shared" si="1"/>
        <v>1444.5</v>
      </c>
      <c r="N41" s="4"/>
      <c r="O41" s="9"/>
    </row>
    <row r="42" spans="1:15" ht="20" customHeight="1" x14ac:dyDescent="0.2">
      <c r="A42" s="3">
        <v>38</v>
      </c>
      <c r="B42" s="19"/>
      <c r="C42" s="4" t="s">
        <v>7193</v>
      </c>
      <c r="D42" s="4" t="s">
        <v>81</v>
      </c>
      <c r="E42" s="4"/>
      <c r="F42" s="8"/>
      <c r="G42" s="8"/>
      <c r="H42" s="8"/>
      <c r="I42" s="8"/>
      <c r="J42" s="8"/>
      <c r="K42" s="8">
        <v>2</v>
      </c>
      <c r="L42" s="18">
        <v>580</v>
      </c>
      <c r="M42" s="7">
        <f t="shared" si="1"/>
        <v>1160</v>
      </c>
      <c r="N42" s="4"/>
      <c r="O42" s="9"/>
    </row>
    <row r="43" spans="1:15" ht="20" customHeight="1" x14ac:dyDescent="0.2">
      <c r="A43" s="3">
        <v>39</v>
      </c>
      <c r="B43" s="19"/>
      <c r="C43" s="4" t="s">
        <v>7194</v>
      </c>
      <c r="D43" s="4" t="s">
        <v>81</v>
      </c>
      <c r="E43" s="4"/>
      <c r="F43" s="8"/>
      <c r="G43" s="8"/>
      <c r="H43" s="8"/>
      <c r="I43" s="8"/>
      <c r="J43" s="8"/>
      <c r="K43" s="8">
        <v>10</v>
      </c>
      <c r="L43" s="18">
        <v>192.6</v>
      </c>
      <c r="M43" s="7">
        <f t="shared" si="1"/>
        <v>1926</v>
      </c>
      <c r="N43" s="4"/>
      <c r="O43" s="9"/>
    </row>
    <row r="44" spans="1:15" ht="20" customHeight="1" x14ac:dyDescent="0.2">
      <c r="A44" s="3">
        <v>40</v>
      </c>
      <c r="B44" s="19"/>
      <c r="C44" s="4" t="s">
        <v>7195</v>
      </c>
      <c r="D44" s="4" t="s">
        <v>81</v>
      </c>
      <c r="E44" s="4" t="s">
        <v>125</v>
      </c>
      <c r="F44" s="8"/>
      <c r="G44" s="8"/>
      <c r="H44" s="8"/>
      <c r="I44" s="8"/>
      <c r="J44" s="8"/>
      <c r="K44" s="8">
        <v>0</v>
      </c>
      <c r="L44" s="18">
        <v>3960</v>
      </c>
      <c r="M44" s="7">
        <f t="shared" si="1"/>
        <v>0</v>
      </c>
      <c r="N44" s="4"/>
      <c r="O44" s="9"/>
    </row>
    <row r="45" spans="1:15" ht="20" customHeight="1" x14ac:dyDescent="0.2">
      <c r="A45" s="3">
        <v>41</v>
      </c>
      <c r="B45" s="19"/>
      <c r="C45" s="4" t="s">
        <v>7196</v>
      </c>
      <c r="D45" s="4" t="s">
        <v>81</v>
      </c>
      <c r="E45" s="4" t="s">
        <v>125</v>
      </c>
      <c r="F45" s="8"/>
      <c r="G45" s="8"/>
      <c r="H45" s="8"/>
      <c r="I45" s="8"/>
      <c r="J45" s="8"/>
      <c r="K45" s="8">
        <v>0</v>
      </c>
      <c r="L45" s="18">
        <v>3650</v>
      </c>
      <c r="M45" s="7">
        <f t="shared" si="1"/>
        <v>0</v>
      </c>
      <c r="N45" s="4"/>
      <c r="O45" s="9"/>
    </row>
    <row r="46" spans="1:15" ht="20" customHeight="1" x14ac:dyDescent="0.2">
      <c r="A46" s="3">
        <v>42</v>
      </c>
      <c r="B46" s="19"/>
      <c r="C46" s="4" t="s">
        <v>7197</v>
      </c>
      <c r="D46" s="4" t="s">
        <v>81</v>
      </c>
      <c r="E46" s="4"/>
      <c r="F46" s="8"/>
      <c r="G46" s="8"/>
      <c r="H46" s="8"/>
      <c r="I46" s="8"/>
      <c r="J46" s="8"/>
      <c r="K46" s="8">
        <v>3</v>
      </c>
      <c r="L46" s="18">
        <v>3650</v>
      </c>
      <c r="M46" s="7">
        <f t="shared" si="1"/>
        <v>10950</v>
      </c>
      <c r="N46" s="4"/>
      <c r="O46" s="9"/>
    </row>
    <row r="47" spans="1:15" ht="20" customHeight="1" x14ac:dyDescent="0.2">
      <c r="A47" s="3">
        <v>43</v>
      </c>
      <c r="B47" s="19"/>
      <c r="C47" s="4" t="s">
        <v>7198</v>
      </c>
      <c r="D47" s="4" t="s">
        <v>81</v>
      </c>
      <c r="E47" s="4"/>
      <c r="F47" s="8"/>
      <c r="G47" s="8"/>
      <c r="H47" s="8"/>
      <c r="I47" s="8"/>
      <c r="J47" s="8"/>
      <c r="K47" s="8">
        <v>1</v>
      </c>
      <c r="L47" s="18">
        <v>950</v>
      </c>
      <c r="M47" s="7">
        <f t="shared" si="1"/>
        <v>950</v>
      </c>
      <c r="N47" s="4"/>
      <c r="O47" s="9"/>
    </row>
    <row r="48" spans="1:15" ht="20" customHeight="1" x14ac:dyDescent="0.2">
      <c r="A48" s="3">
        <v>44</v>
      </c>
      <c r="B48" s="19"/>
      <c r="C48" s="4" t="s">
        <v>7199</v>
      </c>
      <c r="D48" s="4" t="s">
        <v>81</v>
      </c>
      <c r="E48" s="4"/>
      <c r="F48" s="8"/>
      <c r="G48" s="8"/>
      <c r="H48" s="8"/>
      <c r="I48" s="8"/>
      <c r="J48" s="8"/>
      <c r="K48" s="8">
        <v>0</v>
      </c>
      <c r="L48" s="18">
        <v>970</v>
      </c>
      <c r="M48" s="7">
        <f t="shared" si="1"/>
        <v>0</v>
      </c>
      <c r="N48" s="4"/>
      <c r="O48" s="9"/>
    </row>
    <row r="49" spans="1:15" ht="20" customHeight="1" x14ac:dyDescent="0.2">
      <c r="A49" s="3">
        <v>45</v>
      </c>
      <c r="B49" s="19"/>
      <c r="C49" s="4" t="s">
        <v>7200</v>
      </c>
      <c r="D49" s="4" t="s">
        <v>81</v>
      </c>
      <c r="E49" s="4" t="s">
        <v>110</v>
      </c>
      <c r="F49" s="8"/>
      <c r="G49" s="8"/>
      <c r="H49" s="8"/>
      <c r="I49" s="8"/>
      <c r="J49" s="8"/>
      <c r="K49" s="8">
        <v>0</v>
      </c>
      <c r="L49" s="18">
        <v>500</v>
      </c>
      <c r="M49" s="7">
        <f t="shared" si="1"/>
        <v>0</v>
      </c>
      <c r="N49" s="4"/>
      <c r="O49" s="9"/>
    </row>
    <row r="50" spans="1:15" ht="20" customHeight="1" x14ac:dyDescent="0.2">
      <c r="A50" s="3">
        <v>46</v>
      </c>
      <c r="B50" s="19"/>
      <c r="C50" s="4" t="s">
        <v>7201</v>
      </c>
      <c r="D50" s="4" t="s">
        <v>81</v>
      </c>
      <c r="E50" s="4"/>
      <c r="F50" s="8"/>
      <c r="G50" s="8"/>
      <c r="H50" s="8"/>
      <c r="I50" s="8"/>
      <c r="J50" s="8"/>
      <c r="K50" s="8">
        <v>1</v>
      </c>
      <c r="L50" s="18">
        <v>500</v>
      </c>
      <c r="M50" s="7">
        <f t="shared" si="1"/>
        <v>500</v>
      </c>
      <c r="N50" s="4"/>
      <c r="O50" s="9"/>
    </row>
    <row r="51" spans="1:15" ht="20" customHeight="1" x14ac:dyDescent="0.2">
      <c r="A51" s="3">
        <v>47</v>
      </c>
      <c r="B51" s="19"/>
      <c r="C51" s="4" t="s">
        <v>7202</v>
      </c>
      <c r="D51" s="4" t="s">
        <v>81</v>
      </c>
      <c r="E51" s="4"/>
      <c r="F51" s="8"/>
      <c r="G51" s="8"/>
      <c r="H51" s="8"/>
      <c r="I51" s="8"/>
      <c r="J51" s="8"/>
      <c r="K51" s="8">
        <v>10</v>
      </c>
      <c r="L51" s="18">
        <v>481.5</v>
      </c>
      <c r="M51" s="7">
        <f t="shared" si="1"/>
        <v>4815</v>
      </c>
      <c r="N51" s="4"/>
      <c r="O51" s="9"/>
    </row>
    <row r="52" spans="1:15" ht="20" customHeight="1" x14ac:dyDescent="0.2">
      <c r="A52" s="3">
        <v>48</v>
      </c>
      <c r="B52" s="19"/>
      <c r="C52" s="4" t="s">
        <v>7203</v>
      </c>
      <c r="D52" s="4" t="s">
        <v>81</v>
      </c>
      <c r="E52" s="4"/>
      <c r="F52" s="8"/>
      <c r="G52" s="8"/>
      <c r="H52" s="8"/>
      <c r="I52" s="8"/>
      <c r="J52" s="8"/>
      <c r="K52" s="8">
        <v>2</v>
      </c>
      <c r="L52" s="18">
        <v>642</v>
      </c>
      <c r="M52" s="7">
        <f t="shared" si="1"/>
        <v>1284</v>
      </c>
      <c r="N52" s="4"/>
      <c r="O52" s="9"/>
    </row>
    <row r="53" spans="1:15" ht="20" customHeight="1" x14ac:dyDescent="0.2">
      <c r="A53" s="3">
        <v>49</v>
      </c>
      <c r="B53" s="19"/>
      <c r="C53" s="4" t="s">
        <v>7204</v>
      </c>
      <c r="D53" s="4" t="s">
        <v>81</v>
      </c>
      <c r="E53" s="4"/>
      <c r="F53" s="8"/>
      <c r="G53" s="8"/>
      <c r="H53" s="8"/>
      <c r="I53" s="8"/>
      <c r="J53" s="8"/>
      <c r="K53" s="8">
        <v>5</v>
      </c>
      <c r="L53" s="18">
        <v>524.29999999999995</v>
      </c>
      <c r="M53" s="7">
        <f t="shared" si="1"/>
        <v>2621.5</v>
      </c>
      <c r="N53" s="4"/>
      <c r="O53" s="9"/>
    </row>
    <row r="54" spans="1:15" ht="20" customHeight="1" x14ac:dyDescent="0.2">
      <c r="A54" s="3">
        <v>50</v>
      </c>
      <c r="B54" s="19"/>
      <c r="C54" s="4" t="s">
        <v>7205</v>
      </c>
      <c r="D54" s="4" t="s">
        <v>81</v>
      </c>
      <c r="E54" s="4" t="s">
        <v>152</v>
      </c>
      <c r="F54" s="8"/>
      <c r="G54" s="8"/>
      <c r="H54" s="8"/>
      <c r="I54" s="8"/>
      <c r="J54" s="8"/>
      <c r="K54" s="8">
        <v>0</v>
      </c>
      <c r="L54" s="18">
        <v>600</v>
      </c>
      <c r="M54" s="7">
        <f t="shared" si="1"/>
        <v>0</v>
      </c>
      <c r="N54" s="4"/>
      <c r="O54" s="9"/>
    </row>
    <row r="55" spans="1:15" ht="20" customHeight="1" x14ac:dyDescent="0.2">
      <c r="A55" s="3">
        <v>51</v>
      </c>
      <c r="B55" s="19"/>
      <c r="C55" s="4" t="s">
        <v>7206</v>
      </c>
      <c r="D55" s="4" t="s">
        <v>81</v>
      </c>
      <c r="E55" s="4"/>
      <c r="F55" s="8"/>
      <c r="G55" s="8"/>
      <c r="H55" s="8"/>
      <c r="I55" s="8"/>
      <c r="J55" s="8"/>
      <c r="K55" s="8">
        <v>12</v>
      </c>
      <c r="L55" s="18">
        <v>350</v>
      </c>
      <c r="M55" s="7">
        <f t="shared" si="1"/>
        <v>4200</v>
      </c>
      <c r="N55" s="4"/>
      <c r="O55" s="9"/>
    </row>
    <row r="56" spans="1:15" ht="20" customHeight="1" x14ac:dyDescent="0.2">
      <c r="A56" s="3">
        <v>52</v>
      </c>
      <c r="B56" s="19"/>
      <c r="C56" s="4" t="s">
        <v>7207</v>
      </c>
      <c r="D56" s="4" t="s">
        <v>81</v>
      </c>
      <c r="E56" s="4" t="s">
        <v>196</v>
      </c>
      <c r="F56" s="8"/>
      <c r="G56" s="8"/>
      <c r="H56" s="8"/>
      <c r="I56" s="8"/>
      <c r="J56" s="8"/>
      <c r="K56" s="8">
        <v>0</v>
      </c>
      <c r="L56" s="18">
        <v>9590</v>
      </c>
      <c r="M56" s="7">
        <f t="shared" si="1"/>
        <v>0</v>
      </c>
      <c r="N56" s="4"/>
      <c r="O56" s="9"/>
    </row>
    <row r="57" spans="1:15" ht="20" customHeight="1" x14ac:dyDescent="0.2">
      <c r="A57" s="3">
        <v>53</v>
      </c>
      <c r="B57" s="19"/>
      <c r="C57" s="4" t="s">
        <v>7208</v>
      </c>
      <c r="D57" s="4" t="s">
        <v>81</v>
      </c>
      <c r="E57" s="4"/>
      <c r="F57" s="8"/>
      <c r="G57" s="8"/>
      <c r="H57" s="8"/>
      <c r="I57" s="8"/>
      <c r="J57" s="8"/>
      <c r="K57" s="8">
        <v>1</v>
      </c>
      <c r="L57" s="18">
        <v>1790</v>
      </c>
      <c r="M57" s="7">
        <f t="shared" si="1"/>
        <v>1790</v>
      </c>
      <c r="N57" s="4"/>
      <c r="O57" s="9"/>
    </row>
    <row r="58" spans="1:15" ht="20" customHeight="1" x14ac:dyDescent="0.2">
      <c r="A58" s="3">
        <v>54</v>
      </c>
      <c r="B58" s="19"/>
      <c r="C58" s="4" t="s">
        <v>7209</v>
      </c>
      <c r="D58" s="4" t="s">
        <v>81</v>
      </c>
      <c r="E58" s="4" t="s">
        <v>152</v>
      </c>
      <c r="F58" s="8"/>
      <c r="G58" s="8"/>
      <c r="H58" s="8"/>
      <c r="I58" s="8"/>
      <c r="J58" s="8"/>
      <c r="K58" s="8">
        <v>0</v>
      </c>
      <c r="L58" s="18">
        <v>800</v>
      </c>
      <c r="M58" s="7">
        <f t="shared" si="1"/>
        <v>0</v>
      </c>
      <c r="N58" s="4"/>
      <c r="O58" s="9"/>
    </row>
    <row r="59" spans="1:15" ht="20" customHeight="1" x14ac:dyDescent="0.2">
      <c r="A59" s="3">
        <v>55</v>
      </c>
      <c r="B59" s="19"/>
      <c r="C59" s="4" t="s">
        <v>7210</v>
      </c>
      <c r="D59" s="4" t="s">
        <v>81</v>
      </c>
      <c r="E59" s="4"/>
      <c r="F59" s="8"/>
      <c r="G59" s="8"/>
      <c r="H59" s="8"/>
      <c r="I59" s="8"/>
      <c r="J59" s="8"/>
      <c r="K59" s="8">
        <v>5</v>
      </c>
      <c r="L59" s="18">
        <v>5885</v>
      </c>
      <c r="M59" s="7">
        <f t="shared" si="1"/>
        <v>29425</v>
      </c>
      <c r="N59" s="4"/>
      <c r="O59" s="9"/>
    </row>
    <row r="60" spans="1:15" ht="20" customHeight="1" x14ac:dyDescent="0.2">
      <c r="A60" s="3">
        <v>56</v>
      </c>
      <c r="B60" s="19"/>
      <c r="C60" s="4" t="s">
        <v>7211</v>
      </c>
      <c r="D60" s="4" t="s">
        <v>81</v>
      </c>
      <c r="E60" s="4"/>
      <c r="F60" s="8"/>
      <c r="G60" s="8"/>
      <c r="H60" s="8"/>
      <c r="I60" s="8"/>
      <c r="J60" s="8"/>
      <c r="K60" s="8">
        <v>5</v>
      </c>
      <c r="L60" s="18">
        <v>299.60000000000002</v>
      </c>
      <c r="M60" s="7">
        <f t="shared" si="1"/>
        <v>1498</v>
      </c>
      <c r="N60" s="4"/>
      <c r="O60" s="9"/>
    </row>
    <row r="61" spans="1:15" ht="20" customHeight="1" x14ac:dyDescent="0.2">
      <c r="A61" s="3">
        <v>57</v>
      </c>
      <c r="B61" s="19"/>
      <c r="C61" s="4" t="s">
        <v>7212</v>
      </c>
      <c r="D61" s="4" t="s">
        <v>81</v>
      </c>
      <c r="E61" s="4" t="s">
        <v>499</v>
      </c>
      <c r="F61" s="8"/>
      <c r="G61" s="8"/>
      <c r="H61" s="8"/>
      <c r="I61" s="8"/>
      <c r="J61" s="8"/>
      <c r="K61" s="8">
        <v>0</v>
      </c>
      <c r="L61" s="18">
        <v>2100</v>
      </c>
      <c r="M61" s="7">
        <f t="shared" si="1"/>
        <v>0</v>
      </c>
      <c r="N61" s="4"/>
      <c r="O61" s="9"/>
    </row>
    <row r="62" spans="1:15" ht="20" customHeight="1" x14ac:dyDescent="0.2">
      <c r="A62" s="3">
        <v>58</v>
      </c>
      <c r="B62" s="19"/>
      <c r="C62" s="4" t="s">
        <v>7213</v>
      </c>
      <c r="D62" s="4" t="s">
        <v>81</v>
      </c>
      <c r="E62" s="4"/>
      <c r="F62" s="8"/>
      <c r="G62" s="8"/>
      <c r="H62" s="8"/>
      <c r="I62" s="8"/>
      <c r="J62" s="8"/>
      <c r="K62" s="8">
        <v>2</v>
      </c>
      <c r="L62" s="18">
        <v>450</v>
      </c>
      <c r="M62" s="7">
        <f t="shared" si="1"/>
        <v>900</v>
      </c>
      <c r="N62" s="4"/>
      <c r="O62" s="9"/>
    </row>
    <row r="63" spans="1:15" ht="20" customHeight="1" x14ac:dyDescent="0.2">
      <c r="A63" s="3">
        <v>59</v>
      </c>
      <c r="B63" s="19"/>
      <c r="C63" s="4" t="s">
        <v>7214</v>
      </c>
      <c r="D63" s="4" t="s">
        <v>81</v>
      </c>
      <c r="E63" s="4" t="s">
        <v>110</v>
      </c>
      <c r="F63" s="8"/>
      <c r="G63" s="8"/>
      <c r="H63" s="8"/>
      <c r="I63" s="8"/>
      <c r="J63" s="8"/>
      <c r="K63" s="8">
        <v>0</v>
      </c>
      <c r="L63" s="18">
        <v>4280</v>
      </c>
      <c r="M63" s="7">
        <f t="shared" si="1"/>
        <v>0</v>
      </c>
      <c r="N63" s="4"/>
      <c r="O63" s="9"/>
    </row>
    <row r="64" spans="1:15" ht="20" customHeight="1" x14ac:dyDescent="0.2">
      <c r="A64" s="3">
        <v>60</v>
      </c>
      <c r="B64" s="19"/>
      <c r="C64" s="4" t="s">
        <v>7215</v>
      </c>
      <c r="D64" s="4" t="s">
        <v>81</v>
      </c>
      <c r="E64" s="4" t="s">
        <v>499</v>
      </c>
      <c r="F64" s="8"/>
      <c r="G64" s="8"/>
      <c r="H64" s="8"/>
      <c r="I64" s="8"/>
      <c r="J64" s="8"/>
      <c r="K64" s="8">
        <v>0</v>
      </c>
      <c r="L64" s="18">
        <v>1300</v>
      </c>
      <c r="M64" s="7">
        <f t="shared" si="1"/>
        <v>0</v>
      </c>
      <c r="N64" s="4"/>
      <c r="O64" s="9"/>
    </row>
    <row r="65" spans="1:15" ht="20" customHeight="1" x14ac:dyDescent="0.2">
      <c r="A65" s="3">
        <v>61</v>
      </c>
      <c r="B65" s="19"/>
      <c r="C65" s="4" t="s">
        <v>7216</v>
      </c>
      <c r="D65" s="4" t="s">
        <v>81</v>
      </c>
      <c r="E65" s="4" t="s">
        <v>499</v>
      </c>
      <c r="F65" s="8"/>
      <c r="G65" s="8"/>
      <c r="H65" s="8"/>
      <c r="I65" s="8"/>
      <c r="J65" s="8"/>
      <c r="K65" s="8">
        <v>0</v>
      </c>
      <c r="L65" s="18">
        <v>690</v>
      </c>
      <c r="M65" s="7">
        <f t="shared" si="1"/>
        <v>0</v>
      </c>
      <c r="N65" s="4"/>
      <c r="O65" s="9"/>
    </row>
    <row r="66" spans="1:15" ht="20" customHeight="1" x14ac:dyDescent="0.2">
      <c r="A66" s="3">
        <v>62</v>
      </c>
      <c r="B66" s="19"/>
      <c r="C66" s="4" t="s">
        <v>7217</v>
      </c>
      <c r="D66" s="4" t="s">
        <v>81</v>
      </c>
      <c r="E66" s="4" t="s">
        <v>499</v>
      </c>
      <c r="F66" s="8"/>
      <c r="G66" s="8"/>
      <c r="H66" s="8"/>
      <c r="I66" s="8"/>
      <c r="J66" s="8"/>
      <c r="K66" s="8">
        <v>0</v>
      </c>
      <c r="L66" s="18">
        <v>5880</v>
      </c>
      <c r="M66" s="7">
        <f t="shared" si="1"/>
        <v>0</v>
      </c>
      <c r="N66" s="4"/>
      <c r="O66" s="9"/>
    </row>
    <row r="67" spans="1:15" ht="20" customHeight="1" x14ac:dyDescent="0.2">
      <c r="A67" s="3">
        <v>63</v>
      </c>
      <c r="B67" s="19"/>
      <c r="C67" s="4" t="s">
        <v>7218</v>
      </c>
      <c r="D67" s="4" t="s">
        <v>81</v>
      </c>
      <c r="E67" s="4"/>
      <c r="F67" s="8"/>
      <c r="G67" s="8"/>
      <c r="H67" s="8"/>
      <c r="I67" s="8"/>
      <c r="J67" s="8"/>
      <c r="K67" s="8">
        <v>6</v>
      </c>
      <c r="L67" s="18">
        <v>3170</v>
      </c>
      <c r="M67" s="7">
        <f t="shared" si="1"/>
        <v>19020</v>
      </c>
      <c r="N67" s="4"/>
      <c r="O67" s="9"/>
    </row>
    <row r="68" spans="1:15" ht="20" customHeight="1" x14ac:dyDescent="0.2">
      <c r="A68" s="3">
        <v>64</v>
      </c>
      <c r="B68" s="19"/>
      <c r="C68" s="4" t="s">
        <v>7219</v>
      </c>
      <c r="D68" s="4" t="s">
        <v>81</v>
      </c>
      <c r="E68" s="4" t="s">
        <v>196</v>
      </c>
      <c r="F68" s="8"/>
      <c r="G68" s="8"/>
      <c r="H68" s="8"/>
      <c r="I68" s="8"/>
      <c r="J68" s="8"/>
      <c r="K68" s="8">
        <v>0</v>
      </c>
      <c r="L68" s="18">
        <v>3580</v>
      </c>
      <c r="M68" s="7">
        <f t="shared" si="1"/>
        <v>0</v>
      </c>
      <c r="N68" s="4"/>
      <c r="O68" s="9"/>
    </row>
    <row r="69" spans="1:15" ht="20" customHeight="1" x14ac:dyDescent="0.2">
      <c r="A69" s="3">
        <v>65</v>
      </c>
      <c r="B69" s="19"/>
      <c r="C69" s="4" t="s">
        <v>7220</v>
      </c>
      <c r="D69" s="4" t="s">
        <v>81</v>
      </c>
      <c r="E69" s="4" t="s">
        <v>196</v>
      </c>
      <c r="F69" s="8"/>
      <c r="G69" s="8"/>
      <c r="H69" s="8"/>
      <c r="I69" s="8"/>
      <c r="J69" s="8"/>
      <c r="K69" s="8">
        <v>0</v>
      </c>
      <c r="L69" s="18">
        <v>5490</v>
      </c>
      <c r="M69" s="7">
        <f t="shared" ref="M69:M100" si="2">IF(OR(K69="",L69=""),"",K69*L69)</f>
        <v>0</v>
      </c>
      <c r="N69" s="4"/>
      <c r="O69" s="9"/>
    </row>
    <row r="70" spans="1:15" ht="20" customHeight="1" x14ac:dyDescent="0.2">
      <c r="A70" s="3">
        <v>66</v>
      </c>
      <c r="B70" s="19"/>
      <c r="C70" s="4" t="s">
        <v>7221</v>
      </c>
      <c r="D70" s="4" t="s">
        <v>81</v>
      </c>
      <c r="E70" s="4"/>
      <c r="F70" s="8"/>
      <c r="G70" s="8"/>
      <c r="H70" s="8"/>
      <c r="I70" s="8"/>
      <c r="J70" s="8"/>
      <c r="K70" s="8">
        <v>15</v>
      </c>
      <c r="L70" s="18">
        <v>3650</v>
      </c>
      <c r="M70" s="7">
        <f t="shared" si="2"/>
        <v>54750</v>
      </c>
      <c r="N70" s="4"/>
      <c r="O70" s="9"/>
    </row>
    <row r="71" spans="1:15" ht="20" customHeight="1" x14ac:dyDescent="0.2">
      <c r="A71" s="3">
        <v>67</v>
      </c>
      <c r="B71" s="19"/>
      <c r="C71" s="4" t="s">
        <v>7222</v>
      </c>
      <c r="D71" s="4" t="s">
        <v>81</v>
      </c>
      <c r="E71" s="4" t="s">
        <v>196</v>
      </c>
      <c r="F71" s="8"/>
      <c r="G71" s="8"/>
      <c r="H71" s="8"/>
      <c r="I71" s="8"/>
      <c r="J71" s="8"/>
      <c r="K71" s="8">
        <v>0</v>
      </c>
      <c r="L71" s="18">
        <v>7100</v>
      </c>
      <c r="M71" s="7">
        <f t="shared" si="2"/>
        <v>0</v>
      </c>
      <c r="N71" s="4"/>
      <c r="O71" s="9"/>
    </row>
    <row r="72" spans="1:15" ht="20" customHeight="1" x14ac:dyDescent="0.2">
      <c r="A72" s="3">
        <v>68</v>
      </c>
      <c r="B72" s="19"/>
      <c r="C72" s="4" t="s">
        <v>7223</v>
      </c>
      <c r="D72" s="4" t="s">
        <v>81</v>
      </c>
      <c r="E72" s="4"/>
      <c r="F72" s="8"/>
      <c r="G72" s="8"/>
      <c r="H72" s="8"/>
      <c r="I72" s="8"/>
      <c r="J72" s="8"/>
      <c r="K72" s="8">
        <v>10</v>
      </c>
      <c r="L72" s="18">
        <v>100</v>
      </c>
      <c r="M72" s="7">
        <f t="shared" si="2"/>
        <v>1000</v>
      </c>
      <c r="N72" s="4"/>
      <c r="O72" s="9"/>
    </row>
    <row r="73" spans="1:15" ht="20" customHeight="1" x14ac:dyDescent="0.2">
      <c r="A73" s="3">
        <v>69</v>
      </c>
      <c r="B73" s="19"/>
      <c r="C73" s="4" t="s">
        <v>7224</v>
      </c>
      <c r="D73" s="4" t="s">
        <v>81</v>
      </c>
      <c r="E73" s="4"/>
      <c r="F73" s="8"/>
      <c r="G73" s="8"/>
      <c r="H73" s="8"/>
      <c r="I73" s="8"/>
      <c r="J73" s="8"/>
      <c r="K73" s="8">
        <v>1</v>
      </c>
      <c r="L73" s="18">
        <v>4280</v>
      </c>
      <c r="M73" s="7">
        <f t="shared" si="2"/>
        <v>4280</v>
      </c>
      <c r="N73" s="4"/>
      <c r="O73" s="9"/>
    </row>
    <row r="74" spans="1:15" ht="20" customHeight="1" x14ac:dyDescent="0.2">
      <c r="A74" s="3">
        <v>70</v>
      </c>
      <c r="B74" s="19"/>
      <c r="C74" s="4" t="s">
        <v>7225</v>
      </c>
      <c r="D74" s="4" t="s">
        <v>81</v>
      </c>
      <c r="E74" s="4" t="s">
        <v>125</v>
      </c>
      <c r="F74" s="8"/>
      <c r="G74" s="8"/>
      <c r="H74" s="8"/>
      <c r="I74" s="8"/>
      <c r="J74" s="8"/>
      <c r="K74" s="8">
        <v>0</v>
      </c>
      <c r="L74" s="18">
        <v>1150</v>
      </c>
      <c r="M74" s="7">
        <f t="shared" si="2"/>
        <v>0</v>
      </c>
      <c r="N74" s="4"/>
      <c r="O74" s="9"/>
    </row>
    <row r="75" spans="1:15" ht="20" customHeight="1" x14ac:dyDescent="0.2">
      <c r="A75" s="3">
        <v>71</v>
      </c>
      <c r="B75" s="19"/>
      <c r="C75" s="4" t="s">
        <v>7226</v>
      </c>
      <c r="D75" s="4" t="s">
        <v>81</v>
      </c>
      <c r="E75" s="4" t="s">
        <v>196</v>
      </c>
      <c r="F75" s="8"/>
      <c r="G75" s="8"/>
      <c r="H75" s="8"/>
      <c r="I75" s="8"/>
      <c r="J75" s="8"/>
      <c r="K75" s="8">
        <v>0</v>
      </c>
      <c r="L75" s="18">
        <v>1580</v>
      </c>
      <c r="M75" s="7">
        <f t="shared" si="2"/>
        <v>0</v>
      </c>
      <c r="N75" s="4"/>
      <c r="O75" s="9"/>
    </row>
    <row r="76" spans="1:15" ht="20" customHeight="1" x14ac:dyDescent="0.2">
      <c r="A76" s="3">
        <v>72</v>
      </c>
      <c r="B76" s="19"/>
      <c r="C76" s="4" t="s">
        <v>7227</v>
      </c>
      <c r="D76" s="4" t="s">
        <v>81</v>
      </c>
      <c r="E76" s="4"/>
      <c r="F76" s="8"/>
      <c r="G76" s="8"/>
      <c r="H76" s="8"/>
      <c r="I76" s="8"/>
      <c r="J76" s="8"/>
      <c r="K76" s="8">
        <v>10</v>
      </c>
      <c r="L76" s="18">
        <v>1177</v>
      </c>
      <c r="M76" s="7">
        <f t="shared" si="2"/>
        <v>11770</v>
      </c>
      <c r="N76" s="4"/>
      <c r="O76" s="9"/>
    </row>
    <row r="77" spans="1:15" ht="20" customHeight="1" x14ac:dyDescent="0.2">
      <c r="A77" s="3">
        <v>73</v>
      </c>
      <c r="B77" s="19"/>
      <c r="C77" s="4" t="s">
        <v>7228</v>
      </c>
      <c r="D77" s="4" t="s">
        <v>81</v>
      </c>
      <c r="E77" s="4"/>
      <c r="F77" s="8"/>
      <c r="G77" s="8"/>
      <c r="H77" s="8"/>
      <c r="I77" s="8"/>
      <c r="J77" s="8"/>
      <c r="K77" s="8">
        <v>1</v>
      </c>
      <c r="L77" s="18">
        <v>353100</v>
      </c>
      <c r="M77" s="7">
        <f t="shared" si="2"/>
        <v>353100</v>
      </c>
      <c r="N77" s="4"/>
      <c r="O77" s="9"/>
    </row>
    <row r="78" spans="1:15" ht="20" customHeight="1" x14ac:dyDescent="0.2">
      <c r="A78" s="3">
        <v>74</v>
      </c>
      <c r="B78" s="19"/>
      <c r="C78" s="4" t="s">
        <v>7229</v>
      </c>
      <c r="D78" s="4" t="s">
        <v>81</v>
      </c>
      <c r="E78" s="4"/>
      <c r="F78" s="8"/>
      <c r="G78" s="8"/>
      <c r="H78" s="8"/>
      <c r="I78" s="8"/>
      <c r="J78" s="8"/>
      <c r="K78" s="8">
        <v>1</v>
      </c>
      <c r="L78" s="18">
        <v>2800</v>
      </c>
      <c r="M78" s="7">
        <f t="shared" si="2"/>
        <v>2800</v>
      </c>
      <c r="N78" s="4"/>
      <c r="O78" s="9"/>
    </row>
    <row r="79" spans="1:15" ht="20" customHeight="1" x14ac:dyDescent="0.2">
      <c r="A79" s="3">
        <v>75</v>
      </c>
      <c r="B79" s="19"/>
      <c r="C79" s="4" t="s">
        <v>7230</v>
      </c>
      <c r="D79" s="4" t="s">
        <v>81</v>
      </c>
      <c r="E79" s="4"/>
      <c r="F79" s="8"/>
      <c r="G79" s="8"/>
      <c r="H79" s="8"/>
      <c r="I79" s="8"/>
      <c r="J79" s="8"/>
      <c r="K79" s="8">
        <v>8</v>
      </c>
      <c r="L79" s="18">
        <v>19902</v>
      </c>
      <c r="M79" s="7">
        <f t="shared" si="2"/>
        <v>159216</v>
      </c>
      <c r="N79" s="4"/>
      <c r="O79" s="9"/>
    </row>
    <row r="80" spans="1:15" ht="20" customHeight="1" x14ac:dyDescent="0.2">
      <c r="A80" s="3">
        <v>76</v>
      </c>
      <c r="B80" s="19"/>
      <c r="C80" s="4" t="s">
        <v>7231</v>
      </c>
      <c r="D80" s="4" t="s">
        <v>81</v>
      </c>
      <c r="E80" s="4" t="s">
        <v>196</v>
      </c>
      <c r="F80" s="8"/>
      <c r="G80" s="8"/>
      <c r="H80" s="8"/>
      <c r="I80" s="8"/>
      <c r="J80" s="8"/>
      <c r="K80" s="8">
        <v>0</v>
      </c>
      <c r="L80" s="18">
        <v>34500</v>
      </c>
      <c r="M80" s="7">
        <f t="shared" si="2"/>
        <v>0</v>
      </c>
      <c r="N80" s="4"/>
      <c r="O80" s="9"/>
    </row>
    <row r="81" spans="1:15" ht="20" customHeight="1" x14ac:dyDescent="0.2">
      <c r="A81" s="3">
        <v>77</v>
      </c>
      <c r="B81" s="19"/>
      <c r="C81" s="4" t="s">
        <v>7232</v>
      </c>
      <c r="D81" s="4" t="s">
        <v>81</v>
      </c>
      <c r="E81" s="4" t="s">
        <v>152</v>
      </c>
      <c r="F81" s="8"/>
      <c r="G81" s="8"/>
      <c r="H81" s="8"/>
      <c r="I81" s="8"/>
      <c r="J81" s="8"/>
      <c r="K81" s="8">
        <v>0</v>
      </c>
      <c r="L81" s="18">
        <v>650</v>
      </c>
      <c r="M81" s="7">
        <f t="shared" si="2"/>
        <v>0</v>
      </c>
      <c r="N81" s="4"/>
      <c r="O81" s="9"/>
    </row>
    <row r="82" spans="1:15" ht="20" customHeight="1" x14ac:dyDescent="0.2">
      <c r="A82" s="3">
        <v>78</v>
      </c>
      <c r="B82" s="19"/>
      <c r="C82" s="4" t="s">
        <v>7233</v>
      </c>
      <c r="D82" s="4" t="s">
        <v>81</v>
      </c>
      <c r="E82" s="4"/>
      <c r="F82" s="8"/>
      <c r="G82" s="8"/>
      <c r="H82" s="8"/>
      <c r="I82" s="8"/>
      <c r="J82" s="8"/>
      <c r="K82" s="8">
        <v>1</v>
      </c>
      <c r="L82" s="18">
        <v>1750</v>
      </c>
      <c r="M82" s="7">
        <f t="shared" si="2"/>
        <v>1750</v>
      </c>
      <c r="N82" s="4"/>
      <c r="O82" s="9"/>
    </row>
    <row r="83" spans="1:15" ht="20" customHeight="1" x14ac:dyDescent="0.2">
      <c r="A83" s="3">
        <v>79</v>
      </c>
      <c r="B83" s="19"/>
      <c r="C83" s="4" t="s">
        <v>7234</v>
      </c>
      <c r="D83" s="4" t="s">
        <v>81</v>
      </c>
      <c r="E83" s="4" t="s">
        <v>196</v>
      </c>
      <c r="F83" s="8"/>
      <c r="G83" s="8"/>
      <c r="H83" s="8"/>
      <c r="I83" s="8"/>
      <c r="J83" s="8"/>
      <c r="K83" s="8">
        <v>0</v>
      </c>
      <c r="L83" s="18">
        <v>10690</v>
      </c>
      <c r="M83" s="7">
        <f t="shared" si="2"/>
        <v>0</v>
      </c>
      <c r="N83" s="4"/>
      <c r="O83" s="9"/>
    </row>
    <row r="84" spans="1:15" ht="20" customHeight="1" x14ac:dyDescent="0.2">
      <c r="A84" s="3">
        <v>80</v>
      </c>
      <c r="B84" s="19"/>
      <c r="C84" s="4" t="s">
        <v>7235</v>
      </c>
      <c r="D84" s="4" t="s">
        <v>81</v>
      </c>
      <c r="E84" s="4"/>
      <c r="F84" s="8"/>
      <c r="G84" s="8"/>
      <c r="H84" s="8"/>
      <c r="I84" s="8"/>
      <c r="J84" s="8"/>
      <c r="K84" s="8">
        <v>5</v>
      </c>
      <c r="L84" s="18">
        <v>791.8</v>
      </c>
      <c r="M84" s="7">
        <f t="shared" si="2"/>
        <v>3959</v>
      </c>
      <c r="N84" s="4"/>
      <c r="O84" s="9"/>
    </row>
    <row r="85" spans="1:15" ht="20" customHeight="1" x14ac:dyDescent="0.2">
      <c r="A85" s="3">
        <v>81</v>
      </c>
      <c r="B85" s="19"/>
      <c r="C85" s="4" t="s">
        <v>7236</v>
      </c>
      <c r="D85" s="4" t="s">
        <v>81</v>
      </c>
      <c r="E85" s="4" t="s">
        <v>196</v>
      </c>
      <c r="F85" s="8"/>
      <c r="G85" s="8"/>
      <c r="H85" s="8"/>
      <c r="I85" s="8"/>
      <c r="J85" s="8"/>
      <c r="K85" s="8">
        <v>0</v>
      </c>
      <c r="L85" s="18">
        <v>2140</v>
      </c>
      <c r="M85" s="7">
        <f t="shared" si="2"/>
        <v>0</v>
      </c>
      <c r="N85" s="4"/>
      <c r="O85" s="9"/>
    </row>
    <row r="86" spans="1:15" ht="20" customHeight="1" x14ac:dyDescent="0.2">
      <c r="A86" s="3">
        <v>82</v>
      </c>
      <c r="B86" s="19"/>
      <c r="C86" s="4" t="s">
        <v>7237</v>
      </c>
      <c r="D86" s="4" t="s">
        <v>81</v>
      </c>
      <c r="E86" s="4" t="s">
        <v>128</v>
      </c>
      <c r="F86" s="8"/>
      <c r="G86" s="8"/>
      <c r="H86" s="8"/>
      <c r="I86" s="8"/>
      <c r="J86" s="8"/>
      <c r="K86" s="8">
        <v>0</v>
      </c>
      <c r="L86" s="18">
        <v>1150</v>
      </c>
      <c r="M86" s="7">
        <f t="shared" si="2"/>
        <v>0</v>
      </c>
      <c r="N86" s="4"/>
      <c r="O86" s="9"/>
    </row>
    <row r="87" spans="1:15" ht="20" customHeight="1" x14ac:dyDescent="0.2">
      <c r="A87" s="3">
        <v>83</v>
      </c>
      <c r="B87" s="19"/>
      <c r="C87" s="4" t="s">
        <v>7238</v>
      </c>
      <c r="D87" s="4" t="s">
        <v>81</v>
      </c>
      <c r="E87" s="4"/>
      <c r="F87" s="8"/>
      <c r="G87" s="8"/>
      <c r="H87" s="8"/>
      <c r="I87" s="8"/>
      <c r="J87" s="8"/>
      <c r="K87" s="8">
        <v>10</v>
      </c>
      <c r="L87" s="18">
        <v>1150</v>
      </c>
      <c r="M87" s="7">
        <f t="shared" si="2"/>
        <v>11500</v>
      </c>
      <c r="N87" s="4"/>
      <c r="O87" s="9"/>
    </row>
    <row r="88" spans="1:15" ht="20" customHeight="1" x14ac:dyDescent="0.2">
      <c r="A88" s="3">
        <v>84</v>
      </c>
      <c r="B88" s="19"/>
      <c r="C88" s="4" t="s">
        <v>7239</v>
      </c>
      <c r="D88" s="4" t="s">
        <v>81</v>
      </c>
      <c r="E88" s="4" t="s">
        <v>196</v>
      </c>
      <c r="F88" s="8"/>
      <c r="G88" s="8"/>
      <c r="H88" s="8"/>
      <c r="I88" s="8"/>
      <c r="J88" s="8"/>
      <c r="K88" s="8">
        <v>0</v>
      </c>
      <c r="L88" s="18">
        <v>4080</v>
      </c>
      <c r="M88" s="7">
        <f t="shared" si="2"/>
        <v>0</v>
      </c>
      <c r="N88" s="4"/>
      <c r="O88" s="9"/>
    </row>
    <row r="89" spans="1:15" ht="20" customHeight="1" x14ac:dyDescent="0.2">
      <c r="A89" s="3">
        <v>85</v>
      </c>
      <c r="B89" s="19"/>
      <c r="C89" s="4" t="s">
        <v>7240</v>
      </c>
      <c r="D89" s="4" t="s">
        <v>81</v>
      </c>
      <c r="E89" s="4" t="s">
        <v>196</v>
      </c>
      <c r="F89" s="8"/>
      <c r="G89" s="8"/>
      <c r="H89" s="8"/>
      <c r="I89" s="8"/>
      <c r="J89" s="8"/>
      <c r="K89" s="8">
        <v>0</v>
      </c>
      <c r="L89" s="18">
        <v>23125</v>
      </c>
      <c r="M89" s="7">
        <f t="shared" si="2"/>
        <v>0</v>
      </c>
      <c r="N89" s="4"/>
      <c r="O89" s="9"/>
    </row>
    <row r="90" spans="1:15" ht="20" customHeight="1" x14ac:dyDescent="0.2">
      <c r="A90" s="3">
        <v>86</v>
      </c>
      <c r="B90" s="19"/>
      <c r="C90" s="4" t="s">
        <v>7241</v>
      </c>
      <c r="D90" s="4" t="s">
        <v>81</v>
      </c>
      <c r="E90" s="4" t="s">
        <v>125</v>
      </c>
      <c r="F90" s="8"/>
      <c r="G90" s="8"/>
      <c r="H90" s="8"/>
      <c r="I90" s="8"/>
      <c r="J90" s="8"/>
      <c r="K90" s="8">
        <v>0</v>
      </c>
      <c r="L90" s="18">
        <v>2020</v>
      </c>
      <c r="M90" s="7">
        <f t="shared" si="2"/>
        <v>0</v>
      </c>
      <c r="N90" s="4"/>
      <c r="O90" s="9"/>
    </row>
    <row r="91" spans="1:15" ht="22" customHeight="1" x14ac:dyDescent="0.35">
      <c r="A91" s="10" t="s">
        <v>86</v>
      </c>
      <c r="B91" s="20"/>
      <c r="C91" s="11"/>
      <c r="D91" s="11"/>
      <c r="E91" s="11"/>
      <c r="F91" s="11"/>
      <c r="G91" s="11"/>
      <c r="H91" s="11"/>
      <c r="I91" s="11"/>
      <c r="J91" s="11"/>
      <c r="K91" s="13">
        <f>SUM(K5:K90)</f>
        <v>391</v>
      </c>
      <c r="L91" s="11"/>
      <c r="M91" s="13">
        <f>SUM(M5:M90)</f>
        <v>961216.8</v>
      </c>
      <c r="N91" s="11"/>
      <c r="O91" s="11"/>
    </row>
    <row r="92" spans="1:15" ht="32" customHeight="1" x14ac:dyDescent="0.2">
      <c r="A92" s="23" t="s">
        <v>7242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</sheetData>
  <autoFilter ref="A4:O90" xr:uid="{00000000-0009-0000-0000-00001B000000}"/>
  <mergeCells count="5">
    <mergeCell ref="E2:G2"/>
    <mergeCell ref="I2:J2"/>
    <mergeCell ref="A1:O1"/>
    <mergeCell ref="F3:O3"/>
    <mergeCell ref="A92:O92"/>
  </mergeCells>
  <conditionalFormatting sqref="E3">
    <cfRule type="cellIs" dxfId="3" priority="1" operator="greaterThan">
      <formula>0.009</formula>
    </cfRule>
    <cfRule type="cellIs" dxfId="2" priority="2" operator="lessThan">
      <formula>-0.009</formula>
    </cfRule>
  </conditionalFormatting>
  <dataValidations count="1">
    <dataValidation type="list" allowBlank="1" sqref="O5:O90" xr:uid="{00000000-0002-0000-1B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วัสดุคอมพิวเตอร์ · DBR/2570/0030</oddHeader>
    <oddFooter>&amp;Lส่งออกจากฐาน VPK-S1 วันที่ 12 ต.ค. 2569&amp;Rหน้า &amp;P / &amp;N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B6848"/>
    <pageSetUpPr fitToPage="1"/>
  </sheetPr>
  <dimension ref="A1:O41"/>
  <sheetViews>
    <sheetView showGridLines="0" zoomScale="11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46" customWidth="1"/>
    <col min="4" max="4" width="26" customWidth="1"/>
    <col min="5" max="8" width="16" customWidth="1"/>
    <col min="9" max="10" width="18" customWidth="1"/>
    <col min="11" max="11" width="15" customWidth="1"/>
    <col min="12" max="12" width="16" customWidth="1"/>
    <col min="13" max="13" width="18" customWidth="1"/>
    <col min="14" max="14" width="32" customWidth="1"/>
    <col min="15" max="15" width="16" customWidth="1"/>
  </cols>
  <sheetData>
    <row r="1" spans="1:15" ht="28" customHeight="1" x14ac:dyDescent="0.2">
      <c r="A1" s="26" t="s">
        <v>7243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2" customHeight="1" x14ac:dyDescent="0.2">
      <c r="A2" s="14" t="s">
        <v>5</v>
      </c>
      <c r="C2" s="1" t="s">
        <v>83</v>
      </c>
      <c r="D2" s="14" t="s">
        <v>7</v>
      </c>
      <c r="E2" s="24" t="s">
        <v>85</v>
      </c>
      <c r="F2" s="22"/>
      <c r="G2" s="22"/>
      <c r="H2" s="14" t="s">
        <v>89</v>
      </c>
      <c r="I2" s="24" t="s">
        <v>90</v>
      </c>
      <c r="J2" s="22"/>
      <c r="K2" s="14" t="s">
        <v>91</v>
      </c>
      <c r="L2" s="1">
        <v>2570</v>
      </c>
      <c r="N2" s="14" t="s">
        <v>92</v>
      </c>
      <c r="O2" s="1" t="s">
        <v>93</v>
      </c>
    </row>
    <row r="3" spans="1:15" ht="32" customHeight="1" x14ac:dyDescent="0.35">
      <c r="A3" s="15" t="s">
        <v>10</v>
      </c>
      <c r="C3" s="16">
        <v>2405640</v>
      </c>
      <c r="D3" s="15" t="s">
        <v>94</v>
      </c>
      <c r="E3" s="17">
        <f>M40-C3</f>
        <v>0</v>
      </c>
      <c r="F3" s="23" t="s">
        <v>95</v>
      </c>
      <c r="G3" s="22"/>
      <c r="H3" s="22"/>
      <c r="I3" s="22"/>
      <c r="J3" s="22"/>
      <c r="K3" s="22"/>
      <c r="L3" s="22"/>
      <c r="M3" s="22"/>
      <c r="N3" s="22"/>
      <c r="O3" s="22"/>
    </row>
    <row r="4" spans="1:15" ht="32" customHeight="1" x14ac:dyDescent="0.2">
      <c r="A4" s="2" t="s">
        <v>4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  <c r="N4" s="2" t="s">
        <v>13</v>
      </c>
      <c r="O4" s="2" t="s">
        <v>12</v>
      </c>
    </row>
    <row r="5" spans="1:15" ht="20" customHeight="1" x14ac:dyDescent="0.2">
      <c r="A5" s="3">
        <v>1</v>
      </c>
      <c r="B5" s="19"/>
      <c r="C5" s="4" t="s">
        <v>7244</v>
      </c>
      <c r="D5" s="4" t="s">
        <v>1206</v>
      </c>
      <c r="E5" s="4"/>
      <c r="F5" s="8"/>
      <c r="G5" s="8"/>
      <c r="H5" s="8"/>
      <c r="I5" s="8"/>
      <c r="J5" s="8"/>
      <c r="K5" s="8">
        <v>1</v>
      </c>
      <c r="L5" s="18">
        <v>361200</v>
      </c>
      <c r="M5" s="7">
        <f t="shared" ref="M5:M39" si="0">IF(OR(K5="",L5=""),"",K5*L5)</f>
        <v>361200</v>
      </c>
      <c r="N5" s="4" t="s">
        <v>7245</v>
      </c>
      <c r="O5" s="9"/>
    </row>
    <row r="6" spans="1:15" ht="20" customHeight="1" x14ac:dyDescent="0.2">
      <c r="A6" s="3">
        <v>2</v>
      </c>
      <c r="B6" s="19"/>
      <c r="C6" s="4" t="s">
        <v>7246</v>
      </c>
      <c r="D6" s="4" t="s">
        <v>1206</v>
      </c>
      <c r="E6" s="4"/>
      <c r="F6" s="8"/>
      <c r="G6" s="8"/>
      <c r="H6" s="8"/>
      <c r="I6" s="8"/>
      <c r="J6" s="8"/>
      <c r="K6" s="8">
        <v>1</v>
      </c>
      <c r="L6" s="18">
        <v>12000</v>
      </c>
      <c r="M6" s="7">
        <f t="shared" si="0"/>
        <v>12000</v>
      </c>
      <c r="N6" s="4" t="s">
        <v>7245</v>
      </c>
      <c r="O6" s="9"/>
    </row>
    <row r="7" spans="1:15" ht="20" customHeight="1" x14ac:dyDescent="0.2">
      <c r="A7" s="3">
        <v>3</v>
      </c>
      <c r="B7" s="19"/>
      <c r="C7" s="4" t="s">
        <v>7247</v>
      </c>
      <c r="D7" s="4" t="s">
        <v>6715</v>
      </c>
      <c r="E7" s="4"/>
      <c r="F7" s="8"/>
      <c r="G7" s="8"/>
      <c r="H7" s="8"/>
      <c r="I7" s="8"/>
      <c r="J7" s="8"/>
      <c r="K7" s="8">
        <v>1</v>
      </c>
      <c r="L7" s="18">
        <v>2250</v>
      </c>
      <c r="M7" s="7">
        <f t="shared" si="0"/>
        <v>2250</v>
      </c>
      <c r="N7" s="4" t="s">
        <v>7245</v>
      </c>
      <c r="O7" s="9"/>
    </row>
    <row r="8" spans="1:15" ht="20" customHeight="1" x14ac:dyDescent="0.2">
      <c r="A8" s="3">
        <v>4</v>
      </c>
      <c r="B8" s="19"/>
      <c r="C8" s="4" t="s">
        <v>7248</v>
      </c>
      <c r="D8" s="4" t="s">
        <v>6715</v>
      </c>
      <c r="E8" s="4"/>
      <c r="F8" s="8"/>
      <c r="G8" s="8"/>
      <c r="H8" s="8"/>
      <c r="I8" s="8"/>
      <c r="J8" s="8"/>
      <c r="K8" s="8">
        <v>1</v>
      </c>
      <c r="L8" s="18">
        <v>1750</v>
      </c>
      <c r="M8" s="7">
        <f t="shared" si="0"/>
        <v>1750</v>
      </c>
      <c r="N8" s="4" t="s">
        <v>7245</v>
      </c>
      <c r="O8" s="9"/>
    </row>
    <row r="9" spans="1:15" ht="20" customHeight="1" x14ac:dyDescent="0.2">
      <c r="A9" s="3">
        <v>5</v>
      </c>
      <c r="B9" s="19"/>
      <c r="C9" s="4" t="s">
        <v>7249</v>
      </c>
      <c r="D9" s="4" t="s">
        <v>6715</v>
      </c>
      <c r="E9" s="4"/>
      <c r="F9" s="8"/>
      <c r="G9" s="8"/>
      <c r="H9" s="8"/>
      <c r="I9" s="8"/>
      <c r="J9" s="8"/>
      <c r="K9" s="8">
        <v>1</v>
      </c>
      <c r="L9" s="18">
        <v>125000</v>
      </c>
      <c r="M9" s="7">
        <f t="shared" si="0"/>
        <v>125000</v>
      </c>
      <c r="N9" s="4" t="s">
        <v>7245</v>
      </c>
      <c r="O9" s="9"/>
    </row>
    <row r="10" spans="1:15" ht="20" customHeight="1" x14ac:dyDescent="0.2">
      <c r="A10" s="3">
        <v>6</v>
      </c>
      <c r="B10" s="19"/>
      <c r="C10" s="4" t="s">
        <v>7250</v>
      </c>
      <c r="D10" s="4" t="s">
        <v>6715</v>
      </c>
      <c r="E10" s="4"/>
      <c r="F10" s="8"/>
      <c r="G10" s="8"/>
      <c r="H10" s="8"/>
      <c r="I10" s="8"/>
      <c r="J10" s="8"/>
      <c r="K10" s="8">
        <v>1</v>
      </c>
      <c r="L10" s="18">
        <v>25000</v>
      </c>
      <c r="M10" s="7">
        <f t="shared" si="0"/>
        <v>25000</v>
      </c>
      <c r="N10" s="4" t="s">
        <v>7245</v>
      </c>
      <c r="O10" s="9"/>
    </row>
    <row r="11" spans="1:15" ht="20" customHeight="1" x14ac:dyDescent="0.2">
      <c r="A11" s="3">
        <v>7</v>
      </c>
      <c r="B11" s="19"/>
      <c r="C11" s="4" t="s">
        <v>7251</v>
      </c>
      <c r="D11" s="4" t="s">
        <v>6715</v>
      </c>
      <c r="E11" s="4"/>
      <c r="F11" s="8"/>
      <c r="G11" s="8"/>
      <c r="H11" s="8"/>
      <c r="I11" s="8"/>
      <c r="J11" s="8"/>
      <c r="K11" s="8">
        <v>1</v>
      </c>
      <c r="L11" s="18">
        <v>25000</v>
      </c>
      <c r="M11" s="7">
        <f t="shared" si="0"/>
        <v>25000</v>
      </c>
      <c r="N11" s="4" t="s">
        <v>7245</v>
      </c>
      <c r="O11" s="9"/>
    </row>
    <row r="12" spans="1:15" ht="20" customHeight="1" x14ac:dyDescent="0.2">
      <c r="A12" s="3">
        <v>8</v>
      </c>
      <c r="B12" s="19"/>
      <c r="C12" s="4" t="s">
        <v>7252</v>
      </c>
      <c r="D12" s="4" t="s">
        <v>6715</v>
      </c>
      <c r="E12" s="4"/>
      <c r="F12" s="8"/>
      <c r="G12" s="8"/>
      <c r="H12" s="8"/>
      <c r="I12" s="8"/>
      <c r="J12" s="8"/>
      <c r="K12" s="8">
        <v>1</v>
      </c>
      <c r="L12" s="18">
        <v>90000</v>
      </c>
      <c r="M12" s="7">
        <f t="shared" si="0"/>
        <v>90000</v>
      </c>
      <c r="N12" s="4" t="s">
        <v>7245</v>
      </c>
      <c r="O12" s="9"/>
    </row>
    <row r="13" spans="1:15" ht="20" customHeight="1" x14ac:dyDescent="0.2">
      <c r="A13" s="3">
        <v>9</v>
      </c>
      <c r="B13" s="19"/>
      <c r="C13" s="4" t="s">
        <v>7253</v>
      </c>
      <c r="D13" s="4" t="s">
        <v>6715</v>
      </c>
      <c r="E13" s="4"/>
      <c r="F13" s="8"/>
      <c r="G13" s="8"/>
      <c r="H13" s="8"/>
      <c r="I13" s="8"/>
      <c r="J13" s="8"/>
      <c r="K13" s="8">
        <v>1</v>
      </c>
      <c r="L13" s="18">
        <v>56000</v>
      </c>
      <c r="M13" s="7">
        <f t="shared" si="0"/>
        <v>56000</v>
      </c>
      <c r="N13" s="4" t="s">
        <v>7245</v>
      </c>
      <c r="O13" s="9"/>
    </row>
    <row r="14" spans="1:15" ht="20" customHeight="1" x14ac:dyDescent="0.2">
      <c r="A14" s="3">
        <v>10</v>
      </c>
      <c r="B14" s="19"/>
      <c r="C14" s="4" t="s">
        <v>7254</v>
      </c>
      <c r="D14" s="4" t="s">
        <v>6715</v>
      </c>
      <c r="E14" s="4"/>
      <c r="F14" s="8"/>
      <c r="G14" s="8"/>
      <c r="H14" s="8"/>
      <c r="I14" s="8"/>
      <c r="J14" s="8"/>
      <c r="K14" s="8">
        <v>1</v>
      </c>
      <c r="L14" s="18">
        <v>321000</v>
      </c>
      <c r="M14" s="7">
        <f t="shared" si="0"/>
        <v>321000</v>
      </c>
      <c r="N14" s="4" t="s">
        <v>7245</v>
      </c>
      <c r="O14" s="9"/>
    </row>
    <row r="15" spans="1:15" ht="20" customHeight="1" x14ac:dyDescent="0.2">
      <c r="A15" s="3">
        <v>11</v>
      </c>
      <c r="B15" s="19"/>
      <c r="C15" s="4" t="s">
        <v>7255</v>
      </c>
      <c r="D15" s="4" t="s">
        <v>6715</v>
      </c>
      <c r="E15" s="4"/>
      <c r="F15" s="8"/>
      <c r="G15" s="8"/>
      <c r="H15" s="8"/>
      <c r="I15" s="8"/>
      <c r="J15" s="8"/>
      <c r="K15" s="8">
        <v>1</v>
      </c>
      <c r="L15" s="18">
        <v>428000</v>
      </c>
      <c r="M15" s="7">
        <f t="shared" si="0"/>
        <v>428000</v>
      </c>
      <c r="N15" s="4" t="s">
        <v>7245</v>
      </c>
      <c r="O15" s="9"/>
    </row>
    <row r="16" spans="1:15" ht="20" customHeight="1" x14ac:dyDescent="0.2">
      <c r="A16" s="3">
        <v>12</v>
      </c>
      <c r="B16" s="19"/>
      <c r="C16" s="4" t="s">
        <v>7256</v>
      </c>
      <c r="D16" s="4" t="s">
        <v>6715</v>
      </c>
      <c r="E16" s="4"/>
      <c r="F16" s="8"/>
      <c r="G16" s="8"/>
      <c r="H16" s="8"/>
      <c r="I16" s="8"/>
      <c r="J16" s="8"/>
      <c r="K16" s="8">
        <v>1</v>
      </c>
      <c r="L16" s="18">
        <v>428000</v>
      </c>
      <c r="M16" s="7">
        <f t="shared" si="0"/>
        <v>428000</v>
      </c>
      <c r="N16" s="4" t="s">
        <v>7245</v>
      </c>
      <c r="O16" s="9"/>
    </row>
    <row r="17" spans="1:15" ht="20" customHeight="1" x14ac:dyDescent="0.2">
      <c r="A17" s="3">
        <v>13</v>
      </c>
      <c r="B17" s="19"/>
      <c r="C17" s="4" t="s">
        <v>7257</v>
      </c>
      <c r="D17" s="4" t="s">
        <v>6715</v>
      </c>
      <c r="E17" s="4"/>
      <c r="F17" s="8"/>
      <c r="G17" s="8"/>
      <c r="H17" s="8"/>
      <c r="I17" s="8"/>
      <c r="J17" s="8"/>
      <c r="K17" s="8">
        <v>1</v>
      </c>
      <c r="L17" s="18">
        <v>60000</v>
      </c>
      <c r="M17" s="7">
        <f t="shared" si="0"/>
        <v>60000</v>
      </c>
      <c r="N17" s="4" t="s">
        <v>7245</v>
      </c>
      <c r="O17" s="9"/>
    </row>
    <row r="18" spans="1:15" ht="20" customHeight="1" x14ac:dyDescent="0.2">
      <c r="A18" s="3">
        <v>14</v>
      </c>
      <c r="B18" s="19"/>
      <c r="C18" s="4" t="s">
        <v>7258</v>
      </c>
      <c r="D18" s="4" t="s">
        <v>6715</v>
      </c>
      <c r="E18" s="4"/>
      <c r="F18" s="8"/>
      <c r="G18" s="8"/>
      <c r="H18" s="8"/>
      <c r="I18" s="8"/>
      <c r="J18" s="8"/>
      <c r="K18" s="8">
        <v>1</v>
      </c>
      <c r="L18" s="18">
        <v>50000</v>
      </c>
      <c r="M18" s="7">
        <f t="shared" si="0"/>
        <v>50000</v>
      </c>
      <c r="N18" s="4" t="s">
        <v>7245</v>
      </c>
      <c r="O18" s="9"/>
    </row>
    <row r="19" spans="1:15" ht="20" customHeight="1" x14ac:dyDescent="0.2">
      <c r="A19" s="3">
        <v>15</v>
      </c>
      <c r="B19" s="19"/>
      <c r="C19" s="4" t="s">
        <v>7259</v>
      </c>
      <c r="D19" s="4" t="s">
        <v>6715</v>
      </c>
      <c r="E19" s="4"/>
      <c r="F19" s="8"/>
      <c r="G19" s="8"/>
      <c r="H19" s="8"/>
      <c r="I19" s="8"/>
      <c r="J19" s="8"/>
      <c r="K19" s="8">
        <v>1</v>
      </c>
      <c r="L19" s="18">
        <v>30000</v>
      </c>
      <c r="M19" s="7">
        <f t="shared" si="0"/>
        <v>30000</v>
      </c>
      <c r="N19" s="4" t="s">
        <v>7245</v>
      </c>
      <c r="O19" s="9"/>
    </row>
    <row r="20" spans="1:15" ht="20" customHeight="1" x14ac:dyDescent="0.2">
      <c r="A20" s="3">
        <v>16</v>
      </c>
      <c r="B20" s="19"/>
      <c r="C20" s="4" t="s">
        <v>7260</v>
      </c>
      <c r="D20" s="4" t="s">
        <v>6715</v>
      </c>
      <c r="E20" s="4"/>
      <c r="F20" s="8"/>
      <c r="G20" s="8"/>
      <c r="H20" s="8"/>
      <c r="I20" s="8"/>
      <c r="J20" s="8"/>
      <c r="K20" s="8">
        <v>1</v>
      </c>
      <c r="L20" s="18">
        <v>27000</v>
      </c>
      <c r="M20" s="7">
        <f t="shared" si="0"/>
        <v>27000</v>
      </c>
      <c r="N20" s="4" t="s">
        <v>7245</v>
      </c>
      <c r="O20" s="9"/>
    </row>
    <row r="21" spans="1:15" ht="20" customHeight="1" x14ac:dyDescent="0.2">
      <c r="A21" s="3">
        <v>17</v>
      </c>
      <c r="B21" s="19"/>
      <c r="C21" s="4" t="s">
        <v>7261</v>
      </c>
      <c r="D21" s="4" t="s">
        <v>6715</v>
      </c>
      <c r="E21" s="4"/>
      <c r="F21" s="8"/>
      <c r="G21" s="8"/>
      <c r="H21" s="8"/>
      <c r="I21" s="8"/>
      <c r="J21" s="8"/>
      <c r="K21" s="8">
        <v>1</v>
      </c>
      <c r="L21" s="18">
        <v>2400</v>
      </c>
      <c r="M21" s="7">
        <f t="shared" si="0"/>
        <v>2400</v>
      </c>
      <c r="N21" s="4" t="s">
        <v>7245</v>
      </c>
      <c r="O21" s="9"/>
    </row>
    <row r="22" spans="1:15" ht="20" customHeight="1" x14ac:dyDescent="0.2">
      <c r="A22" s="3">
        <v>18</v>
      </c>
      <c r="B22" s="19"/>
      <c r="C22" s="4" t="s">
        <v>7262</v>
      </c>
      <c r="D22" s="4" t="s">
        <v>6715</v>
      </c>
      <c r="E22" s="4"/>
      <c r="F22" s="8"/>
      <c r="G22" s="8"/>
      <c r="H22" s="8"/>
      <c r="I22" s="8"/>
      <c r="J22" s="8"/>
      <c r="K22" s="8">
        <v>1</v>
      </c>
      <c r="L22" s="18">
        <v>8250</v>
      </c>
      <c r="M22" s="7">
        <f t="shared" si="0"/>
        <v>8250</v>
      </c>
      <c r="N22" s="4" t="s">
        <v>7245</v>
      </c>
      <c r="O22" s="9"/>
    </row>
    <row r="23" spans="1:15" ht="20" customHeight="1" x14ac:dyDescent="0.2">
      <c r="A23" s="3">
        <v>19</v>
      </c>
      <c r="B23" s="19"/>
      <c r="C23" s="4" t="s">
        <v>7263</v>
      </c>
      <c r="D23" s="4" t="s">
        <v>6715</v>
      </c>
      <c r="E23" s="4"/>
      <c r="F23" s="8"/>
      <c r="G23" s="8"/>
      <c r="H23" s="8"/>
      <c r="I23" s="8"/>
      <c r="J23" s="8"/>
      <c r="K23" s="8">
        <v>1</v>
      </c>
      <c r="L23" s="18">
        <v>600</v>
      </c>
      <c r="M23" s="7">
        <f t="shared" si="0"/>
        <v>600</v>
      </c>
      <c r="N23" s="4" t="s">
        <v>7245</v>
      </c>
      <c r="O23" s="9"/>
    </row>
    <row r="24" spans="1:15" ht="20" customHeight="1" x14ac:dyDescent="0.2">
      <c r="A24" s="3">
        <v>20</v>
      </c>
      <c r="B24" s="19"/>
      <c r="C24" s="4" t="s">
        <v>7264</v>
      </c>
      <c r="D24" s="4" t="s">
        <v>6715</v>
      </c>
      <c r="E24" s="4"/>
      <c r="F24" s="8"/>
      <c r="G24" s="8"/>
      <c r="H24" s="8"/>
      <c r="I24" s="8"/>
      <c r="J24" s="8"/>
      <c r="K24" s="8">
        <v>1</v>
      </c>
      <c r="L24" s="18">
        <v>5800</v>
      </c>
      <c r="M24" s="7">
        <f t="shared" si="0"/>
        <v>5800</v>
      </c>
      <c r="N24" s="4" t="s">
        <v>7245</v>
      </c>
      <c r="O24" s="9"/>
    </row>
    <row r="25" spans="1:15" ht="20" customHeight="1" x14ac:dyDescent="0.2">
      <c r="A25" s="3">
        <v>21</v>
      </c>
      <c r="B25" s="19"/>
      <c r="C25" s="4" t="s">
        <v>7265</v>
      </c>
      <c r="D25" s="4" t="s">
        <v>6715</v>
      </c>
      <c r="E25" s="4"/>
      <c r="F25" s="8"/>
      <c r="G25" s="8"/>
      <c r="H25" s="8"/>
      <c r="I25" s="8"/>
      <c r="J25" s="8"/>
      <c r="K25" s="8">
        <v>1</v>
      </c>
      <c r="L25" s="18">
        <v>2400</v>
      </c>
      <c r="M25" s="7">
        <f t="shared" si="0"/>
        <v>2400</v>
      </c>
      <c r="N25" s="4" t="s">
        <v>7245</v>
      </c>
      <c r="O25" s="9"/>
    </row>
    <row r="26" spans="1:15" ht="20" customHeight="1" x14ac:dyDescent="0.2">
      <c r="A26" s="3">
        <v>22</v>
      </c>
      <c r="B26" s="19"/>
      <c r="C26" s="4" t="s">
        <v>7266</v>
      </c>
      <c r="D26" s="4" t="s">
        <v>6715</v>
      </c>
      <c r="E26" s="4"/>
      <c r="F26" s="8"/>
      <c r="G26" s="8"/>
      <c r="H26" s="8"/>
      <c r="I26" s="8"/>
      <c r="J26" s="8"/>
      <c r="K26" s="8">
        <v>1</v>
      </c>
      <c r="L26" s="18">
        <v>72000</v>
      </c>
      <c r="M26" s="7">
        <f t="shared" si="0"/>
        <v>72000</v>
      </c>
      <c r="N26" s="4" t="s">
        <v>7245</v>
      </c>
      <c r="O26" s="9"/>
    </row>
    <row r="27" spans="1:15" ht="20" customHeight="1" x14ac:dyDescent="0.2">
      <c r="A27" s="3">
        <v>23</v>
      </c>
      <c r="B27" s="19"/>
      <c r="C27" s="4" t="s">
        <v>7267</v>
      </c>
      <c r="D27" s="4" t="s">
        <v>6715</v>
      </c>
      <c r="E27" s="4"/>
      <c r="F27" s="8"/>
      <c r="G27" s="8"/>
      <c r="H27" s="8"/>
      <c r="I27" s="8"/>
      <c r="J27" s="8"/>
      <c r="K27" s="8">
        <v>1</v>
      </c>
      <c r="L27" s="18">
        <v>72000</v>
      </c>
      <c r="M27" s="7">
        <f t="shared" si="0"/>
        <v>72000</v>
      </c>
      <c r="N27" s="4" t="s">
        <v>7245</v>
      </c>
      <c r="O27" s="9"/>
    </row>
    <row r="28" spans="1:15" ht="20" customHeight="1" x14ac:dyDescent="0.2">
      <c r="A28" s="3">
        <v>24</v>
      </c>
      <c r="B28" s="19"/>
      <c r="C28" s="4" t="s">
        <v>7268</v>
      </c>
      <c r="D28" s="4" t="s">
        <v>6715</v>
      </c>
      <c r="E28" s="4"/>
      <c r="F28" s="8"/>
      <c r="G28" s="8"/>
      <c r="H28" s="8"/>
      <c r="I28" s="8"/>
      <c r="J28" s="8"/>
      <c r="K28" s="8">
        <v>1</v>
      </c>
      <c r="L28" s="18">
        <v>18000</v>
      </c>
      <c r="M28" s="7">
        <f t="shared" si="0"/>
        <v>18000</v>
      </c>
      <c r="N28" s="4" t="s">
        <v>7245</v>
      </c>
      <c r="O28" s="9"/>
    </row>
    <row r="29" spans="1:15" ht="20" customHeight="1" x14ac:dyDescent="0.2">
      <c r="A29" s="3">
        <v>25</v>
      </c>
      <c r="B29" s="19"/>
      <c r="C29" s="4" t="s">
        <v>7269</v>
      </c>
      <c r="D29" s="4" t="s">
        <v>6715</v>
      </c>
      <c r="E29" s="4"/>
      <c r="F29" s="8"/>
      <c r="G29" s="8"/>
      <c r="H29" s="8"/>
      <c r="I29" s="8"/>
      <c r="J29" s="8"/>
      <c r="K29" s="8">
        <v>1</v>
      </c>
      <c r="L29" s="18">
        <v>48000</v>
      </c>
      <c r="M29" s="7">
        <f t="shared" si="0"/>
        <v>48000</v>
      </c>
      <c r="N29" s="4" t="s">
        <v>7245</v>
      </c>
      <c r="O29" s="9"/>
    </row>
    <row r="30" spans="1:15" ht="20" customHeight="1" x14ac:dyDescent="0.2">
      <c r="A30" s="3">
        <v>26</v>
      </c>
      <c r="B30" s="19"/>
      <c r="C30" s="4" t="s">
        <v>7270</v>
      </c>
      <c r="D30" s="4" t="s">
        <v>6715</v>
      </c>
      <c r="E30" s="4"/>
      <c r="F30" s="8"/>
      <c r="G30" s="8"/>
      <c r="H30" s="8"/>
      <c r="I30" s="8"/>
      <c r="J30" s="8"/>
      <c r="K30" s="8">
        <v>1</v>
      </c>
      <c r="L30" s="18">
        <v>24000</v>
      </c>
      <c r="M30" s="7">
        <f t="shared" si="0"/>
        <v>24000</v>
      </c>
      <c r="N30" s="4" t="s">
        <v>7245</v>
      </c>
      <c r="O30" s="9"/>
    </row>
    <row r="31" spans="1:15" ht="20" customHeight="1" x14ac:dyDescent="0.2">
      <c r="A31" s="3">
        <v>27</v>
      </c>
      <c r="B31" s="19"/>
      <c r="C31" s="4" t="s">
        <v>7271</v>
      </c>
      <c r="D31" s="4" t="s">
        <v>6715</v>
      </c>
      <c r="E31" s="4"/>
      <c r="F31" s="8"/>
      <c r="G31" s="8"/>
      <c r="H31" s="8"/>
      <c r="I31" s="8"/>
      <c r="J31" s="8"/>
      <c r="K31" s="8">
        <v>1</v>
      </c>
      <c r="L31" s="18">
        <v>6000</v>
      </c>
      <c r="M31" s="7">
        <f t="shared" si="0"/>
        <v>6000</v>
      </c>
      <c r="N31" s="4" t="s">
        <v>7245</v>
      </c>
      <c r="O31" s="9"/>
    </row>
    <row r="32" spans="1:15" ht="20" customHeight="1" x14ac:dyDescent="0.2">
      <c r="A32" s="3">
        <v>28</v>
      </c>
      <c r="B32" s="19"/>
      <c r="C32" s="4" t="s">
        <v>7272</v>
      </c>
      <c r="D32" s="4" t="s">
        <v>6715</v>
      </c>
      <c r="E32" s="4"/>
      <c r="F32" s="8"/>
      <c r="G32" s="8"/>
      <c r="H32" s="8"/>
      <c r="I32" s="8"/>
      <c r="J32" s="8"/>
      <c r="K32" s="8">
        <v>1</v>
      </c>
      <c r="L32" s="18">
        <v>30000</v>
      </c>
      <c r="M32" s="7">
        <f t="shared" si="0"/>
        <v>30000</v>
      </c>
      <c r="N32" s="4" t="s">
        <v>7245</v>
      </c>
      <c r="O32" s="9"/>
    </row>
    <row r="33" spans="1:15" ht="20" customHeight="1" x14ac:dyDescent="0.2">
      <c r="A33" s="3">
        <v>29</v>
      </c>
      <c r="B33" s="19"/>
      <c r="C33" s="4" t="s">
        <v>7273</v>
      </c>
      <c r="D33" s="4" t="s">
        <v>6715</v>
      </c>
      <c r="E33" s="4"/>
      <c r="F33" s="8"/>
      <c r="G33" s="8"/>
      <c r="H33" s="8"/>
      <c r="I33" s="8"/>
      <c r="J33" s="8"/>
      <c r="K33" s="8">
        <v>1</v>
      </c>
      <c r="L33" s="18">
        <v>6600</v>
      </c>
      <c r="M33" s="7">
        <f t="shared" si="0"/>
        <v>6600</v>
      </c>
      <c r="N33" s="4" t="s">
        <v>7245</v>
      </c>
      <c r="O33" s="9"/>
    </row>
    <row r="34" spans="1:15" ht="20" customHeight="1" x14ac:dyDescent="0.2">
      <c r="A34" s="3">
        <v>30</v>
      </c>
      <c r="B34" s="19"/>
      <c r="C34" s="4" t="s">
        <v>7274</v>
      </c>
      <c r="D34" s="4" t="s">
        <v>6715</v>
      </c>
      <c r="E34" s="4"/>
      <c r="F34" s="8"/>
      <c r="G34" s="8"/>
      <c r="H34" s="8"/>
      <c r="I34" s="8"/>
      <c r="J34" s="8"/>
      <c r="K34" s="8">
        <v>1</v>
      </c>
      <c r="L34" s="18">
        <v>32000</v>
      </c>
      <c r="M34" s="7">
        <f t="shared" si="0"/>
        <v>32000</v>
      </c>
      <c r="N34" s="4" t="s">
        <v>7245</v>
      </c>
      <c r="O34" s="9"/>
    </row>
    <row r="35" spans="1:15" ht="20" customHeight="1" x14ac:dyDescent="0.2">
      <c r="A35" s="3">
        <v>31</v>
      </c>
      <c r="B35" s="19"/>
      <c r="C35" s="4" t="s">
        <v>7275</v>
      </c>
      <c r="D35" s="4" t="s">
        <v>6715</v>
      </c>
      <c r="E35" s="4"/>
      <c r="F35" s="8"/>
      <c r="G35" s="8"/>
      <c r="H35" s="8"/>
      <c r="I35" s="8"/>
      <c r="J35" s="8"/>
      <c r="K35" s="8">
        <v>1</v>
      </c>
      <c r="L35" s="18">
        <v>12000</v>
      </c>
      <c r="M35" s="7">
        <f t="shared" si="0"/>
        <v>12000</v>
      </c>
      <c r="N35" s="4" t="s">
        <v>7245</v>
      </c>
      <c r="O35" s="9"/>
    </row>
    <row r="36" spans="1:15" ht="20" customHeight="1" x14ac:dyDescent="0.2">
      <c r="A36" s="3">
        <v>32</v>
      </c>
      <c r="B36" s="19"/>
      <c r="C36" s="4" t="s">
        <v>7276</v>
      </c>
      <c r="D36" s="4" t="s">
        <v>6715</v>
      </c>
      <c r="E36" s="4"/>
      <c r="F36" s="8"/>
      <c r="G36" s="8"/>
      <c r="H36" s="8"/>
      <c r="I36" s="8"/>
      <c r="J36" s="8"/>
      <c r="K36" s="8">
        <v>1</v>
      </c>
      <c r="L36" s="18">
        <v>240</v>
      </c>
      <c r="M36" s="7">
        <f t="shared" si="0"/>
        <v>240</v>
      </c>
      <c r="N36" s="4" t="s">
        <v>7245</v>
      </c>
      <c r="O36" s="9"/>
    </row>
    <row r="37" spans="1:15" ht="20" customHeight="1" x14ac:dyDescent="0.2">
      <c r="A37" s="3">
        <v>33</v>
      </c>
      <c r="B37" s="19"/>
      <c r="C37" s="4" t="s">
        <v>7277</v>
      </c>
      <c r="D37" s="4" t="s">
        <v>6715</v>
      </c>
      <c r="E37" s="4"/>
      <c r="F37" s="8"/>
      <c r="G37" s="8"/>
      <c r="H37" s="8"/>
      <c r="I37" s="8"/>
      <c r="J37" s="8"/>
      <c r="K37" s="8">
        <v>1</v>
      </c>
      <c r="L37" s="18">
        <v>15000</v>
      </c>
      <c r="M37" s="7">
        <f t="shared" si="0"/>
        <v>15000</v>
      </c>
      <c r="N37" s="4" t="s">
        <v>7245</v>
      </c>
      <c r="O37" s="9"/>
    </row>
    <row r="38" spans="1:15" ht="20" customHeight="1" x14ac:dyDescent="0.2">
      <c r="A38" s="3">
        <v>34</v>
      </c>
      <c r="B38" s="19"/>
      <c r="C38" s="4" t="s">
        <v>7278</v>
      </c>
      <c r="D38" s="4" t="s">
        <v>6715</v>
      </c>
      <c r="E38" s="4"/>
      <c r="F38" s="8"/>
      <c r="G38" s="8"/>
      <c r="H38" s="8"/>
      <c r="I38" s="8"/>
      <c r="J38" s="8"/>
      <c r="K38" s="8">
        <v>1</v>
      </c>
      <c r="L38" s="18">
        <v>1750</v>
      </c>
      <c r="M38" s="7">
        <f t="shared" si="0"/>
        <v>1750</v>
      </c>
      <c r="N38" s="4" t="s">
        <v>7245</v>
      </c>
      <c r="O38" s="9"/>
    </row>
    <row r="39" spans="1:15" ht="20" customHeight="1" x14ac:dyDescent="0.2">
      <c r="A39" s="3">
        <v>35</v>
      </c>
      <c r="B39" s="19"/>
      <c r="C39" s="4" t="s">
        <v>7279</v>
      </c>
      <c r="D39" s="4" t="s">
        <v>6715</v>
      </c>
      <c r="E39" s="4"/>
      <c r="F39" s="8"/>
      <c r="G39" s="8"/>
      <c r="H39" s="8"/>
      <c r="I39" s="8"/>
      <c r="J39" s="8"/>
      <c r="K39" s="8">
        <v>1</v>
      </c>
      <c r="L39" s="18">
        <v>6400</v>
      </c>
      <c r="M39" s="7">
        <f t="shared" si="0"/>
        <v>6400</v>
      </c>
      <c r="N39" s="4" t="s">
        <v>7245</v>
      </c>
      <c r="O39" s="9"/>
    </row>
    <row r="40" spans="1:15" ht="22" customHeight="1" x14ac:dyDescent="0.35">
      <c r="A40" s="10" t="s">
        <v>86</v>
      </c>
      <c r="B40" s="20"/>
      <c r="C40" s="11"/>
      <c r="D40" s="11"/>
      <c r="E40" s="11"/>
      <c r="F40" s="11"/>
      <c r="G40" s="11"/>
      <c r="H40" s="11"/>
      <c r="I40" s="11"/>
      <c r="J40" s="11"/>
      <c r="K40" s="13">
        <f>SUM(K5:K39)</f>
        <v>35</v>
      </c>
      <c r="L40" s="11"/>
      <c r="M40" s="13">
        <f>SUM(M5:M39)</f>
        <v>2405640</v>
      </c>
      <c r="N40" s="11"/>
      <c r="O40" s="11"/>
    </row>
    <row r="41" spans="1:15" ht="32" customHeight="1" x14ac:dyDescent="0.2">
      <c r="A41" s="23" t="s">
        <v>7280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</sheetData>
  <autoFilter ref="A4:O39" xr:uid="{00000000-0009-0000-0000-00001C000000}"/>
  <mergeCells count="5">
    <mergeCell ref="E2:G2"/>
    <mergeCell ref="I2:J2"/>
    <mergeCell ref="A41:O41"/>
    <mergeCell ref="A1:O1"/>
    <mergeCell ref="F3:O3"/>
  </mergeCells>
  <conditionalFormatting sqref="E3">
    <cfRule type="cellIs" dxfId="1" priority="1" operator="greaterThan">
      <formula>0.009</formula>
    </cfRule>
    <cfRule type="cellIs" dxfId="0" priority="2" operator="lessThan">
      <formula>-0.009</formula>
    </cfRule>
  </conditionalFormatting>
  <dataValidations count="1">
    <dataValidation type="list" allowBlank="1" sqref="O5:O39" xr:uid="{00000000-0002-0000-1C00-000000000000}">
      <formula1>"ถูกต้อง,ต้องแก้ไข,ยังไม่ครบ,ข้าม"</formula1>
    </dataValidation>
  </dataValidations>
  <pageMargins left="0.4" right="0.4" top="0.55000000000000004" bottom="0.45" header="0.5" footer="0.5"/>
  <pageSetup paperSize="9" scale="70" fitToHeight="0" orientation="landscape"/>
  <headerFooter>
    <oddHeader>&amp;Lคำของบวัสดุ · Wellness · DBR/2570/0031</oddHeader>
    <oddFooter>&amp;Lส่งออกจากฐาน VPK-S1 วันที่ 12 ต.ค. 2569&amp;Rหน้า &amp;P /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29</vt:i4>
      </vt:variant>
    </vt:vector>
  </HeadingPairs>
  <TitlesOfParts>
    <vt:vector size="58" baseType="lpstr">
      <vt:lpstr>สรุปเพื่อยืนยัน</vt:lpstr>
      <vt:lpstr>วัสดุสำนักงาน</vt:lpstr>
      <vt:lpstr>งานบ้าน</vt:lpstr>
      <vt:lpstr>เชื้อเพลิง</vt:lpstr>
      <vt:lpstr>เครื่องแต่งกาย</vt:lpstr>
      <vt:lpstr>ออกซิเจนเหลว</vt:lpstr>
      <vt:lpstr>Lab</vt:lpstr>
      <vt:lpstr>LabCOVID</vt:lpstr>
      <vt:lpstr>พยาธิกายวิภาค</vt:lpstr>
      <vt:lpstr>ธนาคารเลือด</vt:lpstr>
      <vt:lpstr>ยา</vt:lpstr>
      <vt:lpstr>วัสดุเภสัชกรรม</vt:lpstr>
      <vt:lpstr>ทันตกรรม</vt:lpstr>
      <vt:lpstr>โภชนาการ</vt:lpstr>
      <vt:lpstr>แบบพิมพ์</vt:lpstr>
      <vt:lpstr>ซ่อมเครื่องมือแพทย์</vt:lpstr>
      <vt:lpstr>ผ่าตัด</vt:lpstr>
      <vt:lpstr>การพยาบาล</vt:lpstr>
      <vt:lpstr>เฝือก</vt:lpstr>
      <vt:lpstr>ไตเทียม</vt:lpstr>
      <vt:lpstr>ตรวจสวนหัวใจ</vt:lpstr>
      <vt:lpstr>วิสัญญี</vt:lpstr>
      <vt:lpstr>ENT</vt:lpstr>
      <vt:lpstr>โสต ศอ นาสิก</vt:lpstr>
      <vt:lpstr>ทั่วไป</vt:lpstr>
      <vt:lpstr>อื่นๆ</vt:lpstr>
      <vt:lpstr>โฆษณา</vt:lpstr>
      <vt:lpstr>วัสดุคอมพิวเตอร์</vt:lpstr>
      <vt:lpstr>Wellness</vt:lpstr>
      <vt:lpstr>ENT!Print_Titles</vt:lpstr>
      <vt:lpstr>Lab!Print_Titles</vt:lpstr>
      <vt:lpstr>LabCOVID!Print_Titles</vt:lpstr>
      <vt:lpstr>Wellness!Print_Titles</vt:lpstr>
      <vt:lpstr>การพยาบาล!Print_Titles</vt:lpstr>
      <vt:lpstr>เครื่องแต่งกาย!Print_Titles</vt:lpstr>
      <vt:lpstr>โฆษณา!Print_Titles</vt:lpstr>
      <vt:lpstr>งานบ้าน!Print_Titles</vt:lpstr>
      <vt:lpstr>เชื้อเพลิง!Print_Titles</vt:lpstr>
      <vt:lpstr>ซ่อมเครื่องมือแพทย์!Print_Titles</vt:lpstr>
      <vt:lpstr>ตรวจสวนหัวใจ!Print_Titles</vt:lpstr>
      <vt:lpstr>ไตเทียม!Print_Titles</vt:lpstr>
      <vt:lpstr>ทันตกรรม!Print_Titles</vt:lpstr>
      <vt:lpstr>ทั่วไป!Print_Titles</vt:lpstr>
      <vt:lpstr>ธนาคารเลือด!Print_Titles</vt:lpstr>
      <vt:lpstr>แบบพิมพ์!Print_Titles</vt:lpstr>
      <vt:lpstr>ผ่าตัด!Print_Titles</vt:lpstr>
      <vt:lpstr>เฝือก!Print_Titles</vt:lpstr>
      <vt:lpstr>พยาธิกายวิภาค!Print_Titles</vt:lpstr>
      <vt:lpstr>โภชนาการ!Print_Titles</vt:lpstr>
      <vt:lpstr>ยา!Print_Titles</vt:lpstr>
      <vt:lpstr>วัสดุคอมพิวเตอร์!Print_Titles</vt:lpstr>
      <vt:lpstr>วัสดุเภสัชกรรม!Print_Titles</vt:lpstr>
      <vt:lpstr>วัสดุสำนักงาน!Print_Titles</vt:lpstr>
      <vt:lpstr>วิสัญญี!Print_Titles</vt:lpstr>
      <vt:lpstr>สรุปเพื่อยืนยัน!Print_Titles</vt:lpstr>
      <vt:lpstr>'โสต ศอ นาสิก'!Print_Titles</vt:lpstr>
      <vt:lpstr>ออกซิเจนเหลว!Print_Titles</vt:lpstr>
      <vt:lpstr>อื่นๆ!Print_Titles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ยืนยันรายการคำของบวัสดุ ปี 2570</dc:title>
  <dc:creator>โรงพยาบาลวชิระภูเก็ต</dc:creator>
  <cp:lastModifiedBy>Chedtha Makaew</cp:lastModifiedBy>
  <dcterms:created xsi:type="dcterms:W3CDTF">2026-10-12T12:01:39Z</dcterms:created>
  <dcterms:modified xsi:type="dcterms:W3CDTF">2026-10-12T12:28:26Z</dcterms:modified>
</cp:coreProperties>
</file>