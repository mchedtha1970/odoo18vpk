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เพื่อยืนยัน" sheetId="1" state="visible" r:id="rId1"/>
    <sheet xmlns:r="http://schemas.openxmlformats.org/officeDocument/2006/relationships" name="กุมารเวชกรรม" sheetId="2" state="visible" r:id="rId2"/>
  </sheets>
  <definedNames>
    <definedName name="_xlnm._FilterDatabase" localSheetId="0" hidden="1">'สรุปเพื่อยืนยัน'!$A$5:$J$6</definedName>
    <definedName name="_xlnm.Print_Titles" localSheetId="0">'สรุปเพื่อยืนยัน'!$1:$4</definedName>
    <definedName name="_xlnm._FilterDatabase" localSheetId="1" hidden="1">'กุมารเวชกรรม'!$A$4:$N$7</definedName>
    <definedName name="_xlnm.Print_Titles" localSheetId="1">'กุมารเวชกรรม'!$1:$4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rompt"/>
      <b val="1"/>
      <color rgb="00123A56"/>
      <sz val="16"/>
    </font>
    <font>
      <name val="Prompt"/>
      <color rgb="002F3A48"/>
      <sz val="11"/>
    </font>
    <font>
      <name val="Prompt"/>
      <b val="1"/>
      <color rgb="002F3A48"/>
      <sz val="11"/>
    </font>
    <font>
      <name val="Prompt"/>
      <b val="1"/>
      <color rgb="00FFFFFF"/>
      <sz val="11"/>
    </font>
    <font>
      <name val="Prompt"/>
      <color rgb="005C6B7A"/>
      <sz val="10"/>
    </font>
    <font>
      <name val="Prompt"/>
      <b val="1"/>
      <color rgb="000F7A72"/>
      <sz val="14"/>
    </font>
  </fonts>
  <fills count="5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E5F5EA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3" borderId="0" pivotButton="0" quotePrefix="0" xfId="0"/>
    <xf numFmtId="0" fontId="2" fillId="4" borderId="1" applyAlignment="1" pivotButton="0" quotePrefix="0" xfId="0">
      <alignment horizontal="left" vertical="center" wrapText="1"/>
    </xf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VPK</author>
  </authors>
  <commentList>
    <comment ref="B3" authorId="0" shapeId="0">
      <text>
        <t>ยอดเอกสารในฐาน VPK-S1 วันที่ 12 ต.ค. 2569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F7A72"/>
    <outlinePr summaryBelow="1" summaryRight="1"/>
    <pageSetUpPr fitToPage="1"/>
  </sheetPr>
  <dimension ref="A1:J7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64" customWidth="1" min="4" max="4"/>
    <col width="16" customWidth="1" min="5" max="5"/>
    <col width="18" customWidth="1" min="6" max="6"/>
    <col width="18" customWidth="1" min="7" max="7"/>
    <col width="14" customWidth="1" min="8" max="8"/>
    <col width="16" customWidth="1" min="9" max="9"/>
    <col width="40" customWidth="1" min="10" max="10"/>
  </cols>
  <sheetData>
    <row r="1" ht="26" customHeight="1">
      <c r="A1" s="1" t="inlineStr">
        <is>
          <t>โรงพยาบาลวชิระภูเก็ต</t>
        </is>
      </c>
    </row>
    <row r="2">
      <c r="A2" s="2" t="inlineStr">
        <is>
          <t>ยืนยันรายการคำขอโครงการ ปีงบประมาณ 2570</t>
        </is>
      </c>
    </row>
    <row r="3" ht="34" customHeight="1">
      <c r="A3" s="3" t="inlineStr">
        <is>
          <t>ช่องสีเหลืองให้ผู้ใช้กรอกผลยืนยัน    ช่องสีเขียวเป็นสูตร    จำนวนรายการและยอดจากรายการดึงจากชีตของแต่ละคำขอ    ยอดในระบบคือยอดเอกสารในฐาน VPK-S1 วันที่ 12 ต.ค. 2569</t>
        </is>
      </c>
    </row>
    <row r="5" ht="30" customHeight="1">
      <c r="A5" s="4" t="inlineStr">
        <is>
          <t>ลำดับ</t>
        </is>
      </c>
      <c r="B5" s="4" t="inlineStr">
        <is>
          <t>เลขที่เอกสาร</t>
        </is>
      </c>
      <c r="C5" s="4" t="inlineStr">
        <is>
          <t>หน่วยงาน</t>
        </is>
      </c>
      <c r="D5" s="4" t="inlineStr">
        <is>
          <t>แหล่งข้อมูล</t>
        </is>
      </c>
      <c r="E5" s="4" t="inlineStr">
        <is>
          <t>จำนวนรายการ</t>
        </is>
      </c>
      <c r="F5" s="4" t="inlineStr">
        <is>
          <t>ยอดจากรายการ</t>
        </is>
      </c>
      <c r="G5" s="4" t="inlineStr">
        <is>
          <t>ยอดในระบบ</t>
        </is>
      </c>
      <c r="H5" s="4" t="inlineStr">
        <is>
          <t>ผลต่าง</t>
        </is>
      </c>
      <c r="I5" s="4" t="inlineStr">
        <is>
          <t>ผลยืนยัน</t>
        </is>
      </c>
      <c r="J5" s="4" t="inlineStr">
        <is>
          <t>หมายเหตุ</t>
        </is>
      </c>
    </row>
    <row r="6" ht="32" customHeight="1">
      <c r="A6" s="5" t="n">
        <v>1</v>
      </c>
      <c r="B6" s="6" t="inlineStr">
        <is>
          <t>DBR/2570/0034</t>
        </is>
      </c>
      <c r="C6" s="6" t="inlineStr">
        <is>
          <t>กลุ่มงาน กุมารเวชกรรม</t>
        </is>
      </c>
      <c r="D6" s="6" t="inlineStr">
        <is>
          <t>14.กลุ่มงานกุมารเวชกรรม.xls · แบบฟอร์ม โครงการ</t>
        </is>
      </c>
      <c r="E6" s="7">
        <f>COUNTA('กุมารเวชกรรม'!C5:C7)</f>
        <v/>
      </c>
      <c r="F6" s="8">
        <f>SUM('กุมารเวชกรรม'!I5:I7)</f>
        <v/>
      </c>
      <c r="G6" s="9" t="n">
        <v>164200</v>
      </c>
      <c r="H6" s="8">
        <f>F6-G6</f>
        <v/>
      </c>
      <c r="I6" s="10" t="n"/>
      <c r="J6" s="6" t="n"/>
    </row>
    <row r="7">
      <c r="A7" s="11" t="inlineStr">
        <is>
          <t>รวม</t>
        </is>
      </c>
      <c r="B7" s="11" t="n"/>
      <c r="C7" s="11" t="n"/>
      <c r="D7" s="11" t="n"/>
      <c r="E7" s="8">
        <f>SUM(E6:E6)</f>
        <v/>
      </c>
      <c r="F7" s="8">
        <f>SUM(F6:F6)</f>
        <v/>
      </c>
      <c r="G7" s="8">
        <f>SUM(G6:G6)</f>
        <v/>
      </c>
      <c r="H7" s="8">
        <f>F7-G7</f>
        <v/>
      </c>
      <c r="I7" s="11" t="n"/>
      <c r="J7" s="11" t="n"/>
    </row>
  </sheetData>
  <autoFilter ref="A5:J6"/>
  <mergeCells count="4">
    <mergeCell ref="A1:J1"/>
    <mergeCell ref="A7:D7"/>
    <mergeCell ref="A3:J3"/>
    <mergeCell ref="A2:J2"/>
  </mergeCells>
  <dataValidations count="1">
    <dataValidation sqref="I6" showDropDown="0" showInputMessage="0" showErrorMessage="1" allowBlank="1" errorTitle="ผลยืนยัน" error="เลือก ถูกต้อง, ต้องแก้ไข, ยังไม่ครบ หรือ ข้าม" type="list">
      <formula1>"ถูกต้อง,ต้องแก้ไข,ยังไม่ครบ,ข้าม"</formula1>
    </dataValidation>
  </dataValidations>
  <pageMargins left="0.4" right="0.4" top="0.6" bottom="0.5" header="0.5" footer="0.5"/>
  <pageSetup orientation="landscape" paperSize="9" fitToHeight="0" fitToWidth="1"/>
  <headerFooter>
    <oddHeader>&amp;Lโรงพยาบาลวชิระภูเก็ต&amp;Cยืนยันรายการคำขอโครงการ ปีงบประมาณ 2570</oddHeader>
    <oddFooter>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7A72"/>
    <outlinePr summaryBelow="1" summaryRight="1"/>
    <pageSetUpPr fitToPage="1"/>
  </sheetPr>
  <dimension ref="A1:N9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4" customWidth="1" min="3" max="3"/>
    <col width="18" customWidth="1" min="4" max="4"/>
    <col width="36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  <col width="36" customWidth="1" min="12" max="12"/>
    <col width="28" customWidth="1" min="13" max="13"/>
    <col width="16" customWidth="1" min="14" max="14"/>
  </cols>
  <sheetData>
    <row r="1" ht="26" customHeight="1">
      <c r="A1" s="1" t="inlineStr">
        <is>
          <t>โรงพยาบาลวชิระภูเก็ต · คำของบโครงการ ปี 2570 · กลุ่มงาน กุมารเวชกรรม</t>
        </is>
      </c>
    </row>
    <row r="2" ht="22" customHeight="1">
      <c r="A2" s="12" t="inlineStr">
        <is>
          <t>เลขที่เอกสาร  DBR/2570/0034    หน่วยงาน  กลุ่มงาน กุมารเวชกรรม    แหล่งเงิน  เงินบำรุง    ปีงบประมาณ  2570    สถานะ  ฉบับร่าง</t>
        </is>
      </c>
    </row>
    <row r="3">
      <c r="A3" s="13" t="inlineStr">
        <is>
          <t>ยอดในระบบ</t>
        </is>
      </c>
      <c r="B3" s="14" t="n">
        <v>164200</v>
      </c>
      <c r="C3" s="13" t="inlineStr">
        <is>
          <t>ผลต่างจากรายการ</t>
        </is>
      </c>
      <c r="D3" s="15">
        <f>I8-B3</f>
        <v/>
      </c>
    </row>
    <row r="4" ht="34" customHeight="1">
      <c r="A4" s="4" t="inlineStr">
        <is>
          <t>ลำดับ</t>
        </is>
      </c>
      <c r="B4" s="4" t="inlineStr">
        <is>
          <t>หมวดงบประมาณ</t>
        </is>
      </c>
      <c r="C4" s="4" t="inlineStr">
        <is>
          <t>รายการ/ชื่อโครงการ</t>
        </is>
      </c>
      <c r="D4" s="4" t="inlineStr">
        <is>
          <t>รายละเอียดค่าใช้จ่าย</t>
        </is>
      </c>
      <c r="E4" s="4" t="inlineStr">
        <is>
          <t>ระยะเวลาดำเนินการ</t>
        </is>
      </c>
      <c r="F4" s="4" t="inlineStr">
        <is>
          <t>กลุ่มเป้าหมาย</t>
        </is>
      </c>
      <c r="G4" s="4" t="inlineStr">
        <is>
          <t>จำนวนที่ขอตั้ง</t>
        </is>
      </c>
      <c r="H4" s="4" t="inlineStr">
        <is>
          <t>ราคาต่อหน่วย</t>
        </is>
      </c>
      <c r="I4" s="4" t="inlineStr">
        <is>
          <t>งบประมาณที่ขอ</t>
        </is>
      </c>
      <c r="J4" s="4" t="inlineStr">
        <is>
          <t>งบประมาณที่ได้รับ</t>
        </is>
      </c>
      <c r="K4" s="4" t="inlineStr">
        <is>
          <t>วัตถุประสงค์</t>
        </is>
      </c>
      <c r="L4" s="4" t="inlineStr">
        <is>
          <t>ประโยชน์ที่คาดว่าจะได้รับ</t>
        </is>
      </c>
      <c r="M4" s="4" t="inlineStr">
        <is>
          <t>ผู้รับผิดชอบ</t>
        </is>
      </c>
      <c r="N4" s="4" t="inlineStr">
        <is>
          <t>ผลยืนยัน</t>
        </is>
      </c>
    </row>
    <row r="5" ht="48" customHeight="1">
      <c r="A5" s="5" t="n">
        <v>1</v>
      </c>
      <c r="B5" s="6" t="inlineStr">
        <is>
          <t>หมวดค่าใช้สอย (โครงการ)</t>
        </is>
      </c>
      <c r="C5" s="6" t="inlineStr">
        <is>
          <t>โครงการ พัฒนาการดูแลทารกแรกเกิดตั้งแต่ในครรภ์</t>
        </is>
      </c>
      <c r="D5" s="6" t="inlineStr">
        <is>
          <t>ค่าอาหารกลางวัน</t>
        </is>
      </c>
      <c r="E5" s="6" t="inlineStr">
        <is>
          <t>ต.ค 69-ก.ย 70</t>
        </is>
      </c>
      <c r="F5" s="6" t="inlineStr">
        <is>
          <t>1.แพทย์กลุ่มงานกุมารเวชกรรม
2.แพทย์กลุ่มงานสูติ-นรีเวชกรรม
3.พทย์พี่เลี้ยงกลุ่มงานกุมารเวชกรรม
และกลุ่มงานสูติ-นรีเวชกรรม
จำนวน 40</t>
        </is>
      </c>
      <c r="G5" s="9" t="n">
        <v>1</v>
      </c>
      <c r="H5" s="9" t="n">
        <v>25000</v>
      </c>
      <c r="I5" s="8">
        <f>IF(OR(G5="",H5=""),"",G5*H5)</f>
        <v/>
      </c>
      <c r="J5" s="16" t="n"/>
      <c r="K5" s="6" t="inlineStr">
        <is>
          <t>1.เพื่อทบทวนอุบัติการณ์ความเสี่ยงในทารก
แรกเกิด ที่เกี่ยวข้องกับ  perinatal period
และพัฒนาแนวทางการดูแลรักษา
2. เพื่อทบทวนการเสียชีวิตในทารกแรกเกิด
และนำไปรับปรุงแนวทางการดูแลทารก
ตั้งแต่ในครรภ์ ระหว่างการคลอด
และหลังคลอด
3.เพื่อส่งต่อข้อมูลความเสี่ยง และเตรียมทีม
ในการดูแลทั้งมารดาและทารก</t>
        </is>
      </c>
      <c r="L5" s="6" t="inlineStr">
        <is>
          <t>1.ลดอัตราการเสียชีวิตทารกแรกเกิดอายุ
น้อยหรือเท่ากับ 28 วันต่อ 1,000 การเกิดมีชีพ
2. ลดอัตราการตายมารดาไทย ไม่เกิน
17 ต่อการเกิดมีชีพแสนคน
3.ลดอุบัติการณ์ความเสี่ยงในทารก
แรกเกิด ที่เกิดในช่วง perinatal period
4. พัฒนาแนวทางการดูแลมารดา
และทารก ตั้งแต่ก่อนคลอด ระหว่างการ
คลอดและหลังคลอด</t>
        </is>
      </c>
      <c r="M5" s="6" t="inlineStr">
        <is>
          <t>พญ.สิตาภา ภาษี</t>
        </is>
      </c>
      <c r="N5" s="10" t="n"/>
    </row>
    <row r="6" ht="48" customHeight="1">
      <c r="A6" s="5" t="n">
        <v>2</v>
      </c>
      <c r="B6" s="6" t="inlineStr">
        <is>
          <t>หมวดค่าใช้สอย (โครงการ)</t>
        </is>
      </c>
      <c r="C6" s="6" t="inlineStr">
        <is>
          <t>โครงการอบรม PALS สำหรับบุคลากรทางการแพทย์</t>
        </is>
      </c>
      <c r="D6" s="6" t="inlineStr">
        <is>
          <t>ค่าอาหารกลางวัน</t>
        </is>
      </c>
      <c r="E6" s="6" t="inlineStr">
        <is>
          <t>ต.ค 69-ก.ย 70</t>
        </is>
      </c>
      <c r="F6" s="6" t="inlineStr">
        <is>
          <t>1.แพทย์กลุ่มงานกุมารเวชกรรม
2.แพทย์พี่เลี้ยงกลุ่มงานกุมารเวชกรรม
3.พยาบาลวิชาชีพ
จำนวน 80</t>
        </is>
      </c>
      <c r="G6" s="9" t="n">
        <v>1</v>
      </c>
      <c r="H6" s="9" t="n">
        <v>30000</v>
      </c>
      <c r="I6" s="8">
        <f>IF(OR(G6="",H6=""),"",G6*H6)</f>
        <v/>
      </c>
      <c r="J6" s="16" t="n"/>
      <c r="K6" s="6" t="inlineStr">
        <is>
          <t>เพื่อพัฒนาและฟื้นฟูความรู้ทักษะแพทย์
และบุคลากรทางการแพทย์ในการช่วยฟื้น
คืนชีพขั้นสูงในเด็กให้มีประสิทธิภาพ</t>
        </is>
      </c>
      <c r="L6" s="6" t="inlineStr">
        <is>
          <t>1.ลดอัตราการเสียชีวิตในเด็ก
2.ลดภาวะแทรกซ้อนจากภาวะหัวใจ
หยุดเต้น</t>
        </is>
      </c>
      <c r="M6" s="6" t="inlineStr">
        <is>
          <t>นพ.นครินทร์ ตนคลัง</t>
        </is>
      </c>
      <c r="N6" s="10" t="n"/>
    </row>
    <row r="7" ht="48" customHeight="1">
      <c r="A7" s="5" t="n">
        <v>3</v>
      </c>
      <c r="B7" s="6" t="inlineStr">
        <is>
          <t>หมวดค่าใช้สอย (โครงการ)</t>
        </is>
      </c>
      <c r="C7" s="6" t="inlineStr">
        <is>
          <t>โครงการเพิ่มพูนความรู้ของแพทย์พี่เลี้ยงและแพทย์เพิ่มพูน ทักษะ</t>
        </is>
      </c>
      <c r="D7" s="6" t="inlineStr">
        <is>
          <t>ค่าอาหารกลางวัน</t>
        </is>
      </c>
      <c r="E7" s="6" t="inlineStr">
        <is>
          <t>ต.ค 69-ก.ย 70</t>
        </is>
      </c>
      <c r="F7" s="6" t="inlineStr">
        <is>
          <t>1.แพทย์กลุ่มงานกุมารเวชกรรม
2.แพทย์พี่เลี้ยงกลุ่มงานกุมารเวชกรรม
3.แพทย์เพิ่มพูนทักษะ
4.นักศึกษาแพทย์ชั้นปีที่ 6
จำนวน 30 คน/ครั้ง (สัปดาห์ละ 1 ครั้ง)</t>
        </is>
      </c>
      <c r="G7" s="9" t="n">
        <v>1</v>
      </c>
      <c r="H7" s="9" t="n">
        <v>109200</v>
      </c>
      <c r="I7" s="8">
        <f>IF(OR(G7="",H7=""),"",G7*H7)</f>
        <v/>
      </c>
      <c r="J7" s="16" t="n"/>
      <c r="K7" s="6" t="inlineStr">
        <is>
          <t>เพื่อเพิ่มพูนความรู้และอัปเดตความรู้ใหม่ใน
สาขากุมารเวชกรรมผ่านการทำ conference
และทบทวนเอกสารวิชาการต่างประเทศ</t>
        </is>
      </c>
      <c r="L7" s="6" t="inlineStr">
        <is>
          <t>ผู้ป่วยมีความปลอดภัยในการรักษาตาม
มาตรฐานวิชาชีพ</t>
        </is>
      </c>
      <c r="M7" s="6" t="inlineStr">
        <is>
          <t>นพ.นครินทร์ ตนคลัง</t>
        </is>
      </c>
      <c r="N7" s="10" t="n"/>
    </row>
    <row r="8">
      <c r="A8" s="11" t="inlineStr">
        <is>
          <t>รวม</t>
        </is>
      </c>
      <c r="B8" s="11" t="n"/>
      <c r="C8" s="11" t="n"/>
      <c r="D8" s="11" t="n"/>
      <c r="E8" s="11" t="n"/>
      <c r="F8" s="11" t="n"/>
      <c r="G8" s="11" t="n"/>
      <c r="H8" s="11" t="n"/>
      <c r="I8" s="17">
        <f>SUM(I5:I7)</f>
        <v/>
      </c>
      <c r="J8" s="11" t="n"/>
      <c r="K8" s="11" t="n"/>
      <c r="L8" s="11" t="n"/>
      <c r="M8" s="11" t="n"/>
      <c r="N8" s="11" t="n"/>
    </row>
    <row r="9" ht="36" customHeight="1">
      <c r="A9" s="3" t="inlineStr">
        <is>
          <t>ส่งออกจากฐาน VPK-S1 วันที่ 12 ต.ค. 2569 · 14.กลุ่มงานกุมารเวชกรรม.xls · แบบฟอร์ม โครงการ · ช่องเหลืองกรอกหรือแก้ได้ ช่องเขียวเป็นสูตร งบประมาณที่ขอ = จำนวนที่ขอตั้ง × ราคาต่อหน่วย ผลยืนยันเลือก ถูกต้อง / ต้องแก้ไข / ยังไม่ครบ / ข้าม</t>
        </is>
      </c>
    </row>
  </sheetData>
  <autoFilter ref="A4:N7"/>
  <mergeCells count="4">
    <mergeCell ref="A8:F8"/>
    <mergeCell ref="A9:N9"/>
    <mergeCell ref="A2:N2"/>
    <mergeCell ref="A1:N1"/>
  </mergeCells>
  <dataValidations count="1">
    <dataValidation sqref="N5:N7" showDropDown="0" showInputMessage="0" showErrorMessage="1" allowBlank="1" errorTitle="ผลยืนยัน" error="เลือก ถูกต้อง, ต้องแก้ไข, ยังไม่ครบ หรือ ข้าม" type="list">
      <formula1>"ถูกต้อง,ต้องแก้ไข,ยังไม่ครบ,ข้าม"</formula1>
    </dataValidation>
  </dataValidations>
  <pageMargins left="0.4" right="0.4" top="0.6" bottom="0.5" header="0.5" footer="0.5"/>
  <pageSetup orientation="landscape" paperSize="9" fitToHeight="0" fitToWidth="1"/>
  <headerFooter>
    <oddHeader>&amp;Lโรงพยาบาลวชิระภูเก็ต</oddHeader>
    <oddFooter>&amp;Rหน้า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2026-10-12T14:10:47Z</dcterms:created>
  <dcterms:modified xmlns:dcterms="http://purl.org/dc/terms/" xmlns:xsi="http://www.w3.org/2001/XMLSchema-instance" xsi:type="dcterms:W3CDTF">2026-10-12T14:10:47Z</dcterms:modified>
</cp:coreProperties>
</file>