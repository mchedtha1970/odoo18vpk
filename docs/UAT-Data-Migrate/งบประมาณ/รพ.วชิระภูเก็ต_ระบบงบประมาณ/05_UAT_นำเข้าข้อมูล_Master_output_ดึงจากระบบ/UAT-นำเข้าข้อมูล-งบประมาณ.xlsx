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กแผน" sheetId="1" state="visible" r:id="rId1"/>
    <sheet xmlns:r="http://schemas.openxmlformats.org/officeDocument/2006/relationships" name="ลำดับนำเข้า" sheetId="2" state="visible" r:id="rId2"/>
    <sheet xmlns:r="http://schemas.openxmlformats.org/officeDocument/2006/relationships" name="รายการข้อมูล" sheetId="3" state="visible" r:id="rId3"/>
    <sheet xmlns:r="http://schemas.openxmlformats.org/officeDocument/2006/relationships" name="บันทึกผลเคส" sheetId="4" state="visible" r:id="rId4"/>
    <sheet xmlns:r="http://schemas.openxmlformats.org/officeDocument/2006/relationships" name="บั๊ก" sheetId="5" state="visible" r:id="rId5"/>
    <sheet xmlns:r="http://schemas.openxmlformats.org/officeDocument/2006/relationships" name="สรุป" sheetId="6" state="visible" r:id="rId6"/>
  </sheets>
  <definedNames>
    <definedName name="_xlnm._FilterDatabase" localSheetId="3" hidden="1">'บันทึกผลเคส'!$A$1:$J$24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Prompt"/>
      <b val="1"/>
      <color rgb="000F7A72"/>
      <sz val="14"/>
    </font>
    <font>
      <name val="Prompt"/>
      <b val="1"/>
      <color rgb="00123A56"/>
      <sz val="20"/>
    </font>
    <font>
      <name val="Prompt"/>
      <color rgb="005B6878"/>
      <sz val="12"/>
    </font>
    <font>
      <name val="Prompt"/>
      <b val="1"/>
      <color rgb="00FFFFFF"/>
      <sz val="11"/>
    </font>
    <font>
      <name val="Prompt"/>
      <color rgb="002F3A48"/>
      <sz val="11"/>
    </font>
    <font>
      <name val="Prompt"/>
      <b val="1"/>
      <color rgb="000F7A72"/>
      <sz val="12"/>
    </font>
    <font>
      <name val="Prompt"/>
      <b val="1"/>
      <color rgb="002F3A48"/>
      <sz val="11"/>
    </font>
    <font>
      <name val="Prompt"/>
      <color rgb="002F3A48"/>
      <sz val="12"/>
    </font>
    <font>
      <name val="Prompt"/>
      <b val="1"/>
      <color rgb="00123A56"/>
      <sz val="18"/>
    </font>
    <font>
      <name val="Prompt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23A56"/>
      </patternFill>
    </fill>
    <fill>
      <patternFill patternType="solid">
        <fgColor rgb="00E5F5F3"/>
      </patternFill>
    </fill>
    <fill>
      <patternFill patternType="solid">
        <fgColor rgb="000F7A72"/>
      </patternFill>
    </fill>
    <fill>
      <patternFill patternType="solid">
        <fgColor rgb="00FDECDC"/>
      </patternFill>
    </fill>
    <fill>
      <patternFill patternType="solid">
        <fgColor rgb="00E8F1F8"/>
      </patternFill>
    </fill>
    <fill>
      <patternFill patternType="solid">
        <fgColor rgb="00B4433A"/>
      </patternFill>
    </fill>
  </fills>
  <borders count="2">
    <border>
      <left/>
      <right/>
      <top/>
      <bottom/>
      <diagonal/>
    </border>
    <border>
      <left style="thin">
        <color rgb="00D7DEE6"/>
      </left>
      <right style="thin">
        <color rgb="00D7DEE6"/>
      </right>
      <top style="thin">
        <color rgb="00D7DEE6"/>
      </top>
      <bottom style="thin">
        <color rgb="00D7DEE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9" fontId="5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9" fontId="10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Prompt"/>
        <b val="1"/>
        <color rgb="002C7A45"/>
        <sz val="11"/>
      </font>
      <fill>
        <patternFill patternType="solid">
          <fgColor rgb="00E5F5EA"/>
        </patternFill>
      </fill>
    </dxf>
    <dxf>
      <font>
        <name val="Prompt"/>
        <b val="1"/>
        <color rgb="00B4433A"/>
        <sz val="11"/>
      </font>
      <fill>
        <patternFill patternType="solid">
          <fgColor rgb="00FBECEA"/>
        </patternFill>
      </fill>
    </dxf>
    <dxf>
      <font>
        <name val="Prompt"/>
        <color rgb="005B6878"/>
        <sz val="11"/>
      </font>
      <fill>
        <patternFill patternType="solid">
          <fgColor rgb="00F6F8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2" customWidth="1" min="3" max="3"/>
    <col width="22" customWidth="1" min="4" max="4"/>
    <col width="18" customWidth="1" min="5" max="5"/>
    <col width="16" customWidth="1" min="6" max="6"/>
  </cols>
  <sheetData>
    <row r="2">
      <c r="B2" s="1" t="inlineStr">
        <is>
          <t>โรงพยาบาลวชิระภูเก็ต</t>
        </is>
      </c>
    </row>
    <row r="3">
      <c r="B3" s="2" t="inlineStr">
        <is>
          <t>แผน UAT นำเข้าข้อมูล ระบบงบประมาณ</t>
        </is>
      </c>
    </row>
    <row r="4">
      <c r="B4" s="3" t="inlineStr">
        <is>
          <t>ใช้คู่กับวิซาร์ด Import Budget Master · Template มีหลายชีตในไฟล์เดียว</t>
        </is>
      </c>
    </row>
    <row r="6">
      <c r="B6" s="4" t="inlineStr">
        <is>
          <t>ระบบ</t>
        </is>
      </c>
      <c r="C6" s="5" t="inlineStr">
        <is>
          <t>Odoo 18 · โมดูล vpk_budget</t>
        </is>
      </c>
    </row>
    <row r="7">
      <c r="B7" s="4" t="inlineStr">
        <is>
          <t>รหัสเอกสาร</t>
        </is>
      </c>
      <c r="C7" s="5" t="inlineStr">
        <is>
          <t>UAT-IMP-BUD-001</t>
        </is>
      </c>
    </row>
    <row r="8">
      <c r="B8" s="4" t="inlineStr">
        <is>
          <t>ฐานข้อมูล</t>
        </is>
      </c>
      <c r="C8" s="5" t="inlineStr">
        <is>
          <t>VPK-S1 / สำเนา UAT</t>
        </is>
      </c>
    </row>
    <row r="9">
      <c r="B9" s="4" t="inlineStr">
        <is>
          <t>รอบทดสอบ</t>
        </is>
      </c>
      <c r="C9" s="5" t="inlineStr">
        <is>
          <t>UAT นำเข้าข้อมูล ครั้งที่ 1</t>
        </is>
      </c>
    </row>
    <row r="10">
      <c r="B10" s="4" t="inlineStr">
        <is>
          <t>วันที่เริ่ม</t>
        </is>
      </c>
      <c r="C10" s="5" t="inlineStr"/>
    </row>
    <row r="11">
      <c r="B11" s="4" t="inlineStr">
        <is>
          <t>วันที่จบ</t>
        </is>
      </c>
      <c r="C11" s="5" t="inlineStr"/>
    </row>
    <row r="12">
      <c r="B12" s="4" t="inlineStr">
        <is>
          <t>ผู้ประสาน</t>
        </is>
      </c>
      <c r="C12" s="5" t="inlineStr"/>
    </row>
    <row r="13">
      <c r="B13" s="4" t="inlineStr">
        <is>
          <t>ชุดข้อมูลตัวอย่าง</t>
        </is>
      </c>
      <c r="C13" s="5" t="inlineStr">
        <is>
          <t>ปีงบ 2569 · หน่วยงานทดสอบ · เงินบำรุง</t>
        </is>
      </c>
    </row>
    <row r="16">
      <c r="B16" s="6" t="inlineStr">
        <is>
          <t>เกณฑ์ผ่าน: เคส P1 ผ่านทั้งหมด · ไม่มี Blocker · จำนวนในระบบตรงไฟล์ต้นทาง</t>
        </is>
      </c>
    </row>
    <row r="18" ht="28" customHeight="1">
      <c r="A18" s="7" t="inlineStr">
        <is>
          <t>ลำดับ</t>
        </is>
      </c>
      <c r="B18" s="7" t="inlineStr">
        <is>
          <t>ฝ่าย</t>
        </is>
      </c>
      <c r="C18" s="7" t="inlineStr">
        <is>
          <t>ผู้ทดสอบ</t>
        </is>
      </c>
      <c r="D18" s="7" t="inlineStr">
        <is>
          <t>ลงชื่อ</t>
        </is>
      </c>
      <c r="E18" s="7" t="inlineStr">
        <is>
          <t>วันที่</t>
        </is>
      </c>
      <c r="F18" s="7" t="inlineStr">
        <is>
          <t>ผ่านภาพรวม</t>
        </is>
      </c>
    </row>
    <row r="19">
      <c r="A19" s="8" t="n">
        <v>1</v>
      </c>
      <c r="B19" s="9" t="inlineStr">
        <is>
          <t>งานงบประมาณ</t>
        </is>
      </c>
      <c r="C19" s="5" t="inlineStr"/>
      <c r="D19" s="5" t="inlineStr"/>
      <c r="E19" s="5" t="inlineStr"/>
      <c r="F19" s="5" t="inlineStr"/>
    </row>
    <row r="20">
      <c r="A20" s="8" t="n">
        <v>2</v>
      </c>
      <c r="B20" s="9" t="inlineStr">
        <is>
          <t>หน่วยงาน</t>
        </is>
      </c>
      <c r="C20" s="5" t="inlineStr"/>
      <c r="D20" s="5" t="inlineStr"/>
      <c r="E20" s="5" t="inlineStr"/>
      <c r="F20" s="5" t="inlineStr"/>
    </row>
    <row r="21">
      <c r="A21" s="8" t="n">
        <v>3</v>
      </c>
      <c r="B21" s="9" t="inlineStr">
        <is>
          <t>IT</t>
        </is>
      </c>
      <c r="C21" s="5" t="inlineStr"/>
      <c r="D21" s="5" t="inlineStr"/>
      <c r="E21" s="5" t="inlineStr"/>
      <c r="F21" s="5" t="inlineStr"/>
    </row>
    <row r="23">
      <c r="B23" s="10" t="inlineStr">
        <is>
          <t>วิธีใช้
1) กรอกปกนี้  2) เดินตามชีต “ลำดับนำเข้า” ห้ามข้ามขั้นที่พึ่งพากัน
3) บันทึกผลใน “บันทึกผลเคส”  4) บั๊กใส่ชีต “บั๊ก”
เมนู: งบประมาณ → การกำหนดค่า → Import Budget Master
บัญชีอบรมงานงบ: uat.budget   รหัสผ่าน VpkUat@2569</t>
        </is>
      </c>
    </row>
    <row r="24"/>
    <row r="25"/>
    <row r="26"/>
  </sheetData>
  <mergeCells count="13">
    <mergeCell ref="B2:F2"/>
    <mergeCell ref="B3:F3"/>
    <mergeCell ref="B4:F4"/>
    <mergeCell ref="C6:E6"/>
    <mergeCell ref="C7:E7"/>
    <mergeCell ref="C8:E8"/>
    <mergeCell ref="C9:E9"/>
    <mergeCell ref="C10:E10"/>
    <mergeCell ref="C11:E11"/>
    <mergeCell ref="C12:E12"/>
    <mergeCell ref="C13:E13"/>
    <mergeCell ref="B16:F16"/>
    <mergeCell ref="B23:F26"/>
  </mergeCells>
  <pageMargins left="0.75" right="0.75" top="1" bottom="1" header="0.5" footer="0.5"/>
  <pageSetup orientation="landscape" paperSize="9" fitToHeight="1" fitToWidth="1"/>
  <headerFooter>
    <oddHeader>&amp;Lโรงพยาบาลวชิระภูเก็ต · UAT นำเข้าข้อมูล ระบบงบประมาณ</oddHeader>
    <oddFooter>&amp;Lเอกสารภายใน สำหรับทดสอบการนำเข้าข้อมูล&amp;Rหน้า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44" customWidth="1" min="3" max="3"/>
    <col width="38" customWidth="1" min="4" max="4"/>
    <col width="50" customWidth="1" min="5" max="5"/>
  </cols>
  <sheetData>
    <row r="1" ht="28" customHeight="1">
      <c r="A1" s="11" t="inlineStr">
        <is>
          <t>ขั้น</t>
        </is>
      </c>
      <c r="B1" s="11" t="inlineStr">
        <is>
          <t>ข้อมูลที่นำเข้า</t>
        </is>
      </c>
      <c r="C1" s="11" t="inlineStr">
        <is>
          <t>เมนู / วิซาร์ด</t>
        </is>
      </c>
      <c r="D1" s="11" t="inlineStr">
        <is>
          <t>ต้องมีก่อน</t>
        </is>
      </c>
      <c r="E1" s="11" t="inlineStr">
        <is>
          <t>จุดตรวจหลังนำเข้า</t>
        </is>
      </c>
    </row>
    <row r="2" ht="42" customHeight="1">
      <c r="A2" s="12" t="inlineStr">
        <is>
          <t>1</t>
        </is>
      </c>
      <c r="B2" s="5" t="inlineStr">
        <is>
          <t>แหล่งเงิน (FundSource)</t>
        </is>
      </c>
      <c r="C2" s="5" t="inlineStr">
        <is>
          <t>งบประมาณ → Import Budget Master</t>
        </is>
      </c>
      <c r="D2" s="5" t="inlineStr">
        <is>
          <t>บริษัท / สกุลเงิน THB</t>
        </is>
      </c>
      <c r="E2" s="5" t="inlineStr">
        <is>
          <t>มีเงินบำรุง เงินงบประมาณ ตาม code</t>
        </is>
      </c>
    </row>
    <row r="3" ht="42" customHeight="1">
      <c r="A3" s="12" t="inlineStr">
        <is>
          <t>2</t>
        </is>
      </c>
      <c r="B3" s="5" t="inlineStr">
        <is>
          <t>กลุ่มงบประมาณ-วัสดุ (BudgetGroup)</t>
        </is>
      </c>
      <c r="C3" s="5" t="inlineStr">
        <is>
          <t>ชีต BudgetGroup</t>
        </is>
      </c>
      <c r="D3" s="5" t="inlineStr">
        <is>
          <t>แหล่งเงินพร้อม</t>
        </is>
      </c>
      <c r="E3" s="5" t="inlineStr">
        <is>
          <t>มีกลุ่มยา เวชภัณฑ์ วัสดุทั่วไป</t>
        </is>
      </c>
    </row>
    <row r="4" ht="42" customHeight="1">
      <c r="A4" s="12" t="inlineStr">
        <is>
          <t>3</t>
        </is>
      </c>
      <c r="B4" s="5" t="inlineStr">
        <is>
          <t>ประเภทวัสดุย่อย (MaterialSubType)</t>
        </is>
      </c>
      <c r="C4" s="5" t="inlineStr">
        <is>
          <t>ชีต MaterialSubType</t>
        </is>
      </c>
      <c r="D4" s="5" t="inlineStr">
        <is>
          <t>BudgetGroup.code ตรง</t>
        </is>
      </c>
      <c r="E4" s="5" t="inlineStr">
        <is>
          <t>ประเภทย่อยผูกกลุ่มถูก</t>
        </is>
      </c>
    </row>
    <row r="5" ht="42" customHeight="1">
      <c r="A5" s="12" t="inlineStr">
        <is>
          <t>4</t>
        </is>
      </c>
      <c r="B5" s="5" t="inlineStr">
        <is>
          <t>ประเภทงบ (BudgetType)</t>
        </is>
      </c>
      <c r="C5" s="5" t="inlineStr">
        <is>
          <t>ชีต BudgetType</t>
        </is>
      </c>
      <c r="D5" s="5" t="inlineStr">
        <is>
          <t>section_key ครบ 4 ค่า</t>
        </is>
      </c>
      <c r="E5" s="5" t="inlineStr">
        <is>
          <t>วัสดุ / ครุภัณฑ์ / ก่อสร้าง / โครงการ</t>
        </is>
      </c>
    </row>
    <row r="6" ht="42" customHeight="1">
      <c r="A6" s="12" t="inlineStr">
        <is>
          <t>5</t>
        </is>
      </c>
      <c r="B6" s="5" t="inlineStr">
        <is>
          <t>ประเภทและกลุ่มครุภัณฑ์</t>
        </is>
      </c>
      <c r="C6" s="5" t="inlineStr">
        <is>
          <t>ชีต AssetType, AssetCategory</t>
        </is>
      </c>
      <c r="D6" s="5" t="inlineStr">
        <is>
          <t>BudgetType ครุภัณฑ์มีแล้ว</t>
        </is>
      </c>
      <c r="E6" s="5" t="inlineStr">
        <is>
          <t>เลือกได้ตอนตั้งงบครุภัณฑ์</t>
        </is>
      </c>
    </row>
    <row r="7" ht="42" customHeight="1">
      <c r="A7" s="12" t="inlineStr">
        <is>
          <t>6</t>
        </is>
      </c>
      <c r="B7" s="5" t="inlineStr">
        <is>
          <t>แบบฟอร์มคำของบ + บรรทัดประเภท</t>
        </is>
      </c>
      <c r="C7" s="5" t="inlineStr">
        <is>
          <t>ชีต FormType, FormTypeLine</t>
        </is>
      </c>
      <c r="D7" s="5" t="inlineStr">
        <is>
          <t>BudgetType ครบ</t>
        </is>
      </c>
      <c r="E7" s="5" t="inlineStr">
        <is>
          <t>เมนูเหลือ 4 แบบฟอร์ม</t>
        </is>
      </c>
    </row>
    <row r="8" ht="42" customHeight="1">
      <c r="A8" s="12" t="inlineStr">
        <is>
          <t>7</t>
        </is>
      </c>
      <c r="B8" s="5" t="inlineStr">
        <is>
          <t>หน่วยงานวิเคราะห์ / ศูนย์ต้นทุน</t>
        </is>
      </c>
      <c r="C8" s="5" t="inlineStr">
        <is>
          <t>บัญชีวิเคราะห์ (นำเข้าแยกหรือสร้างในระบบ)</t>
        </is>
      </c>
      <c r="D8" s="5" t="inlineStr">
        <is>
          <t>แผน Analytic หน่วยงาน</t>
        </is>
      </c>
      <c r="E8" s="5" t="inlineStr">
        <is>
          <t>หน่วยงานทดสอบมี code</t>
        </is>
      </c>
    </row>
    <row r="9" ht="42" customHeight="1">
      <c r="A9" s="12" t="inlineStr">
        <is>
          <t>8</t>
        </is>
      </c>
      <c r="B9" s="5" t="inlineStr">
        <is>
          <t>หมวดงบ + แผนประจำปี</t>
        </is>
      </c>
      <c r="C9" s="5" t="inlineStr">
        <is>
          <t>งบประมาณประจำปี</t>
        </is>
      </c>
      <c r="D9" s="5" t="inlineStr">
        <is>
          <t>แหล่งเงิน หน่วยงาน ประเภทงบ</t>
        </is>
      </c>
      <c r="E9" s="5" t="inlineStr">
        <is>
          <t>แผนปี 2569 ช่วงวันที่ถูกต้อง และ validate แล้ว</t>
        </is>
      </c>
    </row>
    <row r="11">
      <c r="A11" s="10" t="inlineStr">
        <is>
          <t>ลำดับชีตในไฟล์: FundSource → BudgetGroup → BudgetType → AssetType → AssetCategory → MaterialSubType → FormType → FormTypeLine   จับคู่ด้วย code (MaterialSubType จับคู่ร่วมกลุ่มงบ, FormTypeLine จับคู่ร่วมแบบฟอร์ม)</t>
        </is>
      </c>
    </row>
    <row r="12"/>
    <row r="13"/>
  </sheetData>
  <mergeCells count="1">
    <mergeCell ref="A11:E13"/>
  </mergeCells>
  <pageMargins left="0.75" right="0.75" top="1" bottom="1" header="0.5" footer="0.5"/>
  <pageSetup orientation="landscape" paperSize="9" fitToHeight="1" fitToWidth="1"/>
  <headerFooter>
    <oddHeader>&amp;Lโรงพยาบาลวชิระภูเก็ต · UAT นำเข้าข้อมูล ระบบงบประมาณ</oddHeader>
    <oddFooter>&amp;Lเอกสารภายใน สำหรับทดสอบการนำเข้าข้อมูล&amp;Rหน้า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48" customWidth="1" min="4" max="4"/>
    <col width="46" customWidth="1" min="5" max="5"/>
  </cols>
  <sheetData>
    <row r="1" ht="28" customHeight="1">
      <c r="A1" s="7" t="inlineStr">
        <is>
          <t>ชีต / โมเดล</t>
        </is>
      </c>
      <c r="B1" s="7" t="inlineStr">
        <is>
          <t>ชื่อไทย</t>
        </is>
      </c>
      <c r="C1" s="7" t="inlineStr">
        <is>
          <t>คีย์จับคู่</t>
        </is>
      </c>
      <c r="D1" s="7" t="inlineStr">
        <is>
          <t>ฟิลด์สำคัญ</t>
        </is>
      </c>
      <c r="E1" s="7" t="inlineStr">
        <is>
          <t>หมายเหตุ</t>
        </is>
      </c>
    </row>
    <row r="2" ht="40" customHeight="1">
      <c r="A2" s="5" t="inlineStr">
        <is>
          <t>FundSource</t>
        </is>
      </c>
      <c r="B2" s="5" t="inlineStr">
        <is>
          <t>แหล่งเงิน</t>
        </is>
      </c>
      <c r="C2" s="5" t="inlineStr">
        <is>
          <t>code</t>
        </is>
      </c>
      <c r="D2" s="5" t="inlineStr">
        <is>
          <t>code, name, sequence, active</t>
        </is>
      </c>
      <c r="E2" s="5" t="inlineStr">
        <is>
          <t>เช่น HOSP_MAINT = เงินบำรุง</t>
        </is>
      </c>
    </row>
    <row r="3" ht="40" customHeight="1">
      <c r="A3" s="5" t="inlineStr">
        <is>
          <t>BudgetGroup</t>
        </is>
      </c>
      <c r="B3" s="5" t="inlineStr">
        <is>
          <t>กลุ่มงบประมาณ-วัสดุ</t>
        </is>
      </c>
      <c r="C3" s="5" t="inlineStr">
        <is>
          <t>code</t>
        </is>
      </c>
      <c r="D3" s="5" t="inlineStr">
        <is>
          <t>code, name, active</t>
        </is>
      </c>
      <c r="E3" s="5" t="inlineStr">
        <is>
          <t>ใช้เฉพาะงบวัสดุ</t>
        </is>
      </c>
    </row>
    <row r="4" ht="40" customHeight="1">
      <c r="A4" s="5" t="inlineStr">
        <is>
          <t>MaterialSubType</t>
        </is>
      </c>
      <c r="B4" s="5" t="inlineStr">
        <is>
          <t>ประเภทวัสดุย่อย</t>
        </is>
      </c>
      <c r="C4" s="5" t="inlineStr">
        <is>
          <t>code + กลุ่มงบ</t>
        </is>
      </c>
      <c r="D4" s="5" t="inlineStr">
        <is>
          <t>code, name, budget_group_code</t>
        </is>
      </c>
      <c r="E4" s="5" t="inlineStr">
        <is>
          <t>ต้องชี้ BudgetGroup ที่มี</t>
        </is>
      </c>
    </row>
    <row r="5" ht="40" customHeight="1">
      <c r="A5" s="5" t="inlineStr">
        <is>
          <t>BudgetType</t>
        </is>
      </c>
      <c r="B5" s="5" t="inlineStr">
        <is>
          <t>ประเภทงบประมาณ</t>
        </is>
      </c>
      <c r="C5" s="5" t="inlineStr">
        <is>
          <t>code</t>
        </is>
      </c>
      <c r="D5" s="5" t="inlineStr">
        <is>
          <t>code, name, section_key</t>
        </is>
      </c>
      <c r="E5" s="5" t="inlineStr">
        <is>
          <t>material / asset / construction / project</t>
        </is>
      </c>
    </row>
    <row r="6" ht="40" customHeight="1">
      <c r="A6" s="5" t="inlineStr">
        <is>
          <t>AssetType / AssetCategory</t>
        </is>
      </c>
      <c r="B6" s="5" t="inlineStr">
        <is>
          <t>ประเภทและกลุ่มครุภัณฑ์</t>
        </is>
      </c>
      <c r="C6" s="5" t="inlineStr">
        <is>
          <t>code</t>
        </is>
      </c>
      <c r="D6" s="5" t="inlineStr">
        <is>
          <t>code, name</t>
        </is>
      </c>
      <c r="E6" s="5" t="inlineStr">
        <is>
          <t>ใช้กับแบบฟอร์มครุภัณฑ์</t>
        </is>
      </c>
    </row>
    <row r="7" ht="40" customHeight="1">
      <c r="A7" s="5" t="inlineStr">
        <is>
          <t>FormType</t>
        </is>
      </c>
      <c r="B7" s="5" t="inlineStr">
        <is>
          <t>แบบฟอร์มคำของบ</t>
        </is>
      </c>
      <c r="C7" s="5" t="inlineStr">
        <is>
          <t>code</t>
        </is>
      </c>
      <c r="D7" s="5" t="inlineStr">
        <is>
          <t>code, name, sequence</t>
        </is>
      </c>
      <c r="E7" s="5" t="inlineStr">
        <is>
          <t>ต้องเหลือ 4 ใบ</t>
        </is>
      </c>
    </row>
    <row r="8" ht="40" customHeight="1">
      <c r="A8" s="5" t="inlineStr">
        <is>
          <t>FormTypeLine</t>
        </is>
      </c>
      <c r="B8" s="5" t="inlineStr">
        <is>
          <t>ประเภทงบในแบบฟอร์ม</t>
        </is>
      </c>
      <c r="C8" s="5" t="inlineStr">
        <is>
          <t>form + budget type</t>
        </is>
      </c>
      <c r="D8" s="5" t="inlineStr">
        <is>
          <t>form_type_code, budget_type_code</t>
        </is>
      </c>
      <c r="E8" s="5" t="inlineStr">
        <is>
          <t>กำหนดแท็บในใบคำของบ</t>
        </is>
      </c>
    </row>
    <row r="9" ht="40" customHeight="1">
      <c r="A9" s="5" t="inlineStr">
        <is>
          <t>account.analytic.account</t>
        </is>
      </c>
      <c r="B9" s="5" t="inlineStr">
        <is>
          <t>หน่วยงาน / ศูนย์ต้นทุน</t>
        </is>
      </c>
      <c r="C9" s="5" t="inlineStr">
        <is>
          <t>code</t>
        </is>
      </c>
      <c r="D9" s="5" t="inlineStr">
        <is>
          <t>code, name, plan</t>
        </is>
      </c>
      <c r="E9" s="5" t="inlineStr">
        <is>
          <t>ต้องตรงตอนสร้างคำของบและ PR</t>
        </is>
      </c>
    </row>
    <row r="10" ht="40" customHeight="1">
      <c r="A10" s="5" t="inlineStr">
        <is>
          <t>crossovered.budget</t>
        </is>
      </c>
      <c r="B10" s="5" t="inlineStr">
        <is>
          <t>งบประมาณประจำปี</t>
        </is>
      </c>
      <c r="C10" s="5" t="inlineStr">
        <is>
          <t>ชื่อแผน + ปี</t>
        </is>
      </c>
      <c r="D10" s="5" t="inlineStr">
        <is>
          <t>name, date_from, date_to, state</t>
        </is>
      </c>
      <c r="E10" s="5" t="inlineStr">
        <is>
          <t>validate แล้วจึงใช้งบได้</t>
        </is>
      </c>
    </row>
    <row r="11" ht="40" customHeight="1">
      <c r="A11" s="5" t="inlineStr">
        <is>
          <t>account.budget.post</t>
        </is>
      </c>
      <c r="B11" s="5" t="inlineStr">
        <is>
          <t>หมวดงบประมาณ</t>
        </is>
      </c>
      <c r="C11" s="5" t="inlineStr">
        <is>
          <t>ชื่อ</t>
        </is>
      </c>
      <c r="D11" s="5" t="inlineStr">
        <is>
          <t>name, account_ids</t>
        </is>
      </c>
      <c r="E11" s="5" t="inlineStr">
        <is>
          <t>ใช้จับคู่ตอนเช็คงบบน PR</t>
        </is>
      </c>
    </row>
  </sheetData>
  <pageMargins left="0.75" right="0.75" top="1" bottom="1" header="0.5" footer="0.5"/>
  <pageSetup orientation="landscape" paperSize="9" fitToHeight="0" fitToWidth="1"/>
  <headerFooter>
    <oddHeader>&amp;Lโรงพยาบาลวชิระภูเก็ต · UAT นำเข้าข้อมูล ระบบงบประมาณ</oddHeader>
    <oddFooter>&amp;Lเอกสารภายใน สำหรับทดสอบการนำเข้าข้อมูล&amp;Rหน้า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6" customWidth="1" min="3" max="3"/>
    <col width="32" customWidth="1" min="4" max="4"/>
    <col width="52" customWidth="1" min="5" max="5"/>
    <col width="50" customWidth="1" min="6" max="6"/>
    <col width="12" customWidth="1" min="7" max="7"/>
    <col width="16" customWidth="1" min="8" max="8"/>
    <col width="14" customWidth="1" min="9" max="9"/>
    <col width="28" customWidth="1" min="10" max="10"/>
  </cols>
  <sheetData>
    <row r="1" ht="28" customHeight="1">
      <c r="A1" s="7" t="inlineStr">
        <is>
          <t>รหัส</t>
        </is>
      </c>
      <c r="B1" s="7" t="inlineStr">
        <is>
          <t>ชุด</t>
        </is>
      </c>
      <c r="C1" s="7" t="inlineStr">
        <is>
          <t>P</t>
        </is>
      </c>
      <c r="D1" s="7" t="inlineStr">
        <is>
          <t>หัวข้อ</t>
        </is>
      </c>
      <c r="E1" s="7" t="inlineStr">
        <is>
          <t>ขั้นตอนโดยย่อ</t>
        </is>
      </c>
      <c r="F1" s="7" t="inlineStr">
        <is>
          <t>ผลที่ต้องเห็น</t>
        </is>
      </c>
      <c r="G1" s="7" t="inlineStr">
        <is>
          <t>ผล</t>
        </is>
      </c>
      <c r="H1" s="7" t="inlineStr">
        <is>
          <t>ผู้ทดสอบ</t>
        </is>
      </c>
      <c r="I1" s="7" t="inlineStr">
        <is>
          <t>วันที่</t>
        </is>
      </c>
      <c r="J1" s="7" t="inlineStr">
        <is>
          <t>หลักฐาน/หมายเหตุ</t>
        </is>
      </c>
    </row>
    <row r="2" ht="46" customHeight="1">
      <c r="A2" s="12" t="inlineStr">
        <is>
          <t>A01</t>
        </is>
      </c>
      <c r="B2" s="5" t="inlineStr">
        <is>
          <t>A Template/สิทธิ์</t>
        </is>
      </c>
      <c r="C2" s="13" t="inlineStr">
        <is>
          <t>P1</t>
        </is>
      </c>
      <c r="D2" s="5" t="inlineStr">
        <is>
          <t>ดาวน์โหลด Template</t>
        </is>
      </c>
      <c r="E2" s="5" t="inlineStr">
        <is>
          <t>login uat.budget เปิด Import Budget Master กดดาวน์โหลด Template</t>
        </is>
      </c>
      <c r="F2" s="5" t="inlineStr">
        <is>
          <t>ได้ไฟล์ xlsx ครบชีต FundSource ถึง FormTypeLine</t>
        </is>
      </c>
    </row>
    <row r="3" ht="46" customHeight="1">
      <c r="A3" s="12" t="inlineStr">
        <is>
          <t>A02</t>
        </is>
      </c>
      <c r="B3" s="5" t="inlineStr">
        <is>
          <t>A Template/สิทธิ์</t>
        </is>
      </c>
      <c r="C3" s="13" t="inlineStr">
        <is>
          <t>P1</t>
        </is>
      </c>
      <c r="D3" s="5" t="inlineStr">
        <is>
          <t>หัวคอลัมน์จับคู่ได้</t>
        </is>
      </c>
      <c r="E3" s="5" t="inlineStr">
        <is>
          <t>เปิด Template ดูแถวหัว</t>
        </is>
      </c>
      <c r="F3" s="5" t="inlineStr">
        <is>
          <t>มีทั้งชื่อไทยและอังกฤษ เช่น code/รหัส name/ชื่อ</t>
        </is>
      </c>
    </row>
    <row r="4" ht="46" customHeight="1">
      <c r="A4" s="12" t="inlineStr">
        <is>
          <t>A03</t>
        </is>
      </c>
      <c r="B4" s="5" t="inlineStr">
        <is>
          <t>A Template/สิทธิ์</t>
        </is>
      </c>
      <c r="C4" s="13" t="inlineStr">
        <is>
          <t>P1</t>
        </is>
      </c>
      <c r="D4" s="5" t="inlineStr">
        <is>
          <t>หน่วยงานเข้าวิซาร์ดไม่ได้</t>
        </is>
      </c>
      <c r="E4" s="5" t="inlineStr">
        <is>
          <t>login uat.dept พยายามเปิด Import Budget Master</t>
        </is>
      </c>
      <c r="F4" s="5" t="inlineStr">
        <is>
          <t>เข้าไม่ได้ ตามสิทธิ์งานงบ</t>
        </is>
      </c>
    </row>
    <row r="5" ht="46" customHeight="1">
      <c r="A5" s="12" t="inlineStr">
        <is>
          <t>A04</t>
        </is>
      </c>
      <c r="B5" s="5" t="inlineStr">
        <is>
          <t>A Template/สิทธิ์</t>
        </is>
      </c>
      <c r="C5" s="14" t="inlineStr">
        <is>
          <t>P2</t>
        </is>
      </c>
      <c r="D5" s="5" t="inlineStr">
        <is>
          <t>ตัวอย่างใน Template อ่านรู้เรื่อง</t>
        </is>
      </c>
      <c r="E5" s="5" t="inlineStr">
        <is>
          <t>ดูแถวตัวอย่างเงินบำรุง / กลุ่มยา</t>
        </is>
      </c>
      <c r="F5" s="5" t="inlineStr">
        <is>
          <t>มีตัวอย่างครบทุกชีต</t>
        </is>
      </c>
    </row>
    <row r="6" ht="46" customHeight="1">
      <c r="A6" s="12" t="inlineStr">
        <is>
          <t>B01</t>
        </is>
      </c>
      <c r="B6" s="5" t="inlineStr">
        <is>
          <t>B นำเข้าผ่าน</t>
        </is>
      </c>
      <c r="C6" s="13" t="inlineStr">
        <is>
          <t>P1</t>
        </is>
      </c>
      <c r="D6" s="5" t="inlineStr">
        <is>
          <t>นำเข้าแหล่งเงิน</t>
        </is>
      </c>
      <c r="E6" s="5" t="inlineStr">
        <is>
          <t>กรอก FundSource อย่างน้อย 2 แหล่ง แล้ว Import</t>
        </is>
      </c>
      <c r="F6" s="5" t="inlineStr">
        <is>
          <t>สร้างสำเร็จ จำนวนตรงไฟล์ error = 0</t>
        </is>
      </c>
    </row>
    <row r="7" ht="46" customHeight="1">
      <c r="A7" s="12" t="inlineStr">
        <is>
          <t>B02</t>
        </is>
      </c>
      <c r="B7" s="5" t="inlineStr">
        <is>
          <t>B นำเข้าผ่าน</t>
        </is>
      </c>
      <c r="C7" s="13" t="inlineStr">
        <is>
          <t>P1</t>
        </is>
      </c>
      <c r="D7" s="5" t="inlineStr">
        <is>
          <t>นำเข้ากลุ่มวัสดุและประเภทย่อย</t>
        </is>
      </c>
      <c r="E7" s="5" t="inlineStr">
        <is>
          <t>BudgetGroup + MaterialSubType ที่ชี้กลุ่มถูก</t>
        </is>
      </c>
      <c r="F7" s="5" t="inlineStr">
        <is>
          <t>ประเภทย่อยอยู่กลุ่มที่ถูกต้อง</t>
        </is>
      </c>
    </row>
    <row r="8" ht="46" customHeight="1">
      <c r="A8" s="12" t="inlineStr">
        <is>
          <t>B03</t>
        </is>
      </c>
      <c r="B8" s="5" t="inlineStr">
        <is>
          <t>B นำเข้าผ่าน</t>
        </is>
      </c>
      <c r="C8" s="13" t="inlineStr">
        <is>
          <t>P1</t>
        </is>
      </c>
      <c r="D8" s="5" t="inlineStr">
        <is>
          <t>นำเข้าประเภทงบ 4 กลุ่ม</t>
        </is>
      </c>
      <c r="E8" s="5" t="inlineStr">
        <is>
          <t>BudgetType พร้อม section_key ครบ</t>
        </is>
      </c>
      <c r="F8" s="5" t="inlineStr">
        <is>
          <t>เลือกได้ครบตอนสร้างคำของบ</t>
        </is>
      </c>
    </row>
    <row r="9" ht="46" customHeight="1">
      <c r="A9" s="12" t="inlineStr">
        <is>
          <t>B04</t>
        </is>
      </c>
      <c r="B9" s="5" t="inlineStr">
        <is>
          <t>B นำเข้าผ่าน</t>
        </is>
      </c>
      <c r="C9" s="13" t="inlineStr">
        <is>
          <t>P1</t>
        </is>
      </c>
      <c r="D9" s="5" t="inlineStr">
        <is>
          <t>นำเข้าครุภัณฑ์ master</t>
        </is>
      </c>
      <c r="E9" s="5" t="inlineStr">
        <is>
          <t>AssetType + AssetCategory</t>
        </is>
      </c>
      <c r="F9" s="5" t="inlineStr">
        <is>
          <t>ปรากฏในแบบฟอร์มครุภัณฑ์</t>
        </is>
      </c>
    </row>
    <row r="10" ht="46" customHeight="1">
      <c r="A10" s="12" t="inlineStr">
        <is>
          <t>B05</t>
        </is>
      </c>
      <c r="B10" s="5" t="inlineStr">
        <is>
          <t>B นำเข้าผ่าน</t>
        </is>
      </c>
      <c r="C10" s="13" t="inlineStr">
        <is>
          <t>P1</t>
        </is>
      </c>
      <c r="D10" s="5" t="inlineStr">
        <is>
          <t>นำเข้าแบบฟอร์ม 4 ใบ</t>
        </is>
      </c>
      <c r="E10" s="5" t="inlineStr">
        <is>
          <t>FormType 4 ใบ และ FormTypeLine</t>
        </is>
      </c>
      <c r="F10" s="5" t="inlineStr">
        <is>
          <t>เมนูคำของบเหลือ 4 แบบฟอร์มตามชื่อที่กำหนด</t>
        </is>
      </c>
    </row>
    <row r="11" ht="46" customHeight="1">
      <c r="A11" s="12" t="inlineStr">
        <is>
          <t>B06</t>
        </is>
      </c>
      <c r="B11" s="5" t="inlineStr">
        <is>
          <t>B นำเข้าผ่าน</t>
        </is>
      </c>
      <c r="C11" s="13" t="inlineStr">
        <is>
          <t>P1</t>
        </is>
      </c>
      <c r="D11" s="5" t="inlineStr">
        <is>
          <t>สรุปจำนวนหลัง Import</t>
        </is>
      </c>
      <c r="E11" s="5" t="inlineStr">
        <is>
          <t>ดู created / updated / skipped / error</t>
        </is>
      </c>
      <c r="F11" s="5" t="inlineStr">
        <is>
          <t>error = 0 และจำนวนตรงแถวที่มีข้อมูล</t>
        </is>
      </c>
    </row>
    <row r="12" ht="46" customHeight="1">
      <c r="A12" s="12" t="inlineStr">
        <is>
          <t>C01</t>
        </is>
      </c>
      <c r="B12" s="5" t="inlineStr">
        <is>
          <t>C กติกา</t>
        </is>
      </c>
      <c r="C12" s="13" t="inlineStr">
        <is>
          <t>P1</t>
        </is>
      </c>
      <c r="D12" s="5" t="inlineStr">
        <is>
          <t>รหัสแหล่งเงินซ้ำ</t>
        </is>
      </c>
      <c r="E12" s="5" t="inlineStr">
        <is>
          <t>ใส่ FundSource code ซ้ำ แล้ว Import โหมดอัปเดต</t>
        </is>
      </c>
      <c r="F12" s="5" t="inlineStr">
        <is>
          <t>ไม่สร้างสองรายการ แถวหลังอัปเดตหรือข้าม</t>
        </is>
      </c>
    </row>
    <row r="13" ht="46" customHeight="1">
      <c r="A13" s="12" t="inlineStr">
        <is>
          <t>C02</t>
        </is>
      </c>
      <c r="B13" s="5" t="inlineStr">
        <is>
          <t>C กติกา</t>
        </is>
      </c>
      <c r="C13" s="13" t="inlineStr">
        <is>
          <t>P1</t>
        </is>
      </c>
      <c r="D13" s="5" t="inlineStr">
        <is>
          <t>ประเภทย่อยชี้กลุ่มที่ไม่มี</t>
        </is>
      </c>
      <c r="E13" s="5" t="inlineStr">
        <is>
          <t>budget_group_code ไม่มีในระบบ</t>
        </is>
      </c>
      <c r="F13" s="5" t="inlineStr">
        <is>
          <t>error แถวนั้น แถวอื่นยังเข้าได้</t>
        </is>
      </c>
    </row>
    <row r="14" ht="46" customHeight="1">
      <c r="A14" s="12" t="inlineStr">
        <is>
          <t>C03</t>
        </is>
      </c>
      <c r="B14" s="5" t="inlineStr">
        <is>
          <t>C กติกา</t>
        </is>
      </c>
      <c r="C14" s="13" t="inlineStr">
        <is>
          <t>P1</t>
        </is>
      </c>
      <c r="D14" s="5" t="inlineStr">
        <is>
          <t>section_key ผิด</t>
        </is>
      </c>
      <c r="E14" s="5" t="inlineStr">
        <is>
          <t>ใส่ค่าที่ไม่ใช่ 4 กลุ่ม</t>
        </is>
      </c>
      <c r="F14" s="5" t="inlineStr">
        <is>
          <t>ระบบไม่รับหรือไม่ผูกแบบฟอร์มได้</t>
        </is>
      </c>
    </row>
    <row r="15" ht="46" customHeight="1">
      <c r="A15" s="12" t="inlineStr">
        <is>
          <t>C04</t>
        </is>
      </c>
      <c r="B15" s="5" t="inlineStr">
        <is>
          <t>C กติกา</t>
        </is>
      </c>
      <c r="C15" s="13" t="inlineStr">
        <is>
          <t>P1</t>
        </is>
      </c>
      <c r="D15" s="5" t="inlineStr">
        <is>
          <t>FormTypeLine ชี้แบบฟอร์มไม่มี</t>
        </is>
      </c>
      <c r="E15" s="5" t="inlineStr">
        <is>
          <t>form_type_code ไม่มีใน FormType</t>
        </is>
      </c>
      <c r="F15" s="5" t="inlineStr">
        <is>
          <t>error ชัดเจน ไม่สร้างแท็บค้าง</t>
        </is>
      </c>
    </row>
    <row r="16" ht="46" customHeight="1">
      <c r="A16" s="12" t="inlineStr">
        <is>
          <t>C05</t>
        </is>
      </c>
      <c r="B16" s="5" t="inlineStr">
        <is>
          <t>C กติกา</t>
        </is>
      </c>
      <c r="C16" s="14" t="inlineStr">
        <is>
          <t>P2</t>
        </is>
      </c>
      <c r="D16" s="5" t="inlineStr">
        <is>
          <t>แถวไม่มี code</t>
        </is>
      </c>
      <c r="E16" s="5" t="inlineStr">
        <is>
          <t>มีแถวที่ code ว่าง</t>
        </is>
      </c>
      <c r="F16" s="5" t="inlineStr">
        <is>
          <t>ข้ามแถวว่าง ไม่ทำให้ทั้งไฟล์ล้ม</t>
        </is>
      </c>
    </row>
    <row r="17" ht="46" customHeight="1">
      <c r="A17" s="12" t="inlineStr">
        <is>
          <t>D01</t>
        </is>
      </c>
      <c r="B17" s="5" t="inlineStr">
        <is>
          <t>D ตรวจหน้าจอ</t>
        </is>
      </c>
      <c r="C17" s="13" t="inlineStr">
        <is>
          <t>P1</t>
        </is>
      </c>
      <c r="D17" s="5" t="inlineStr">
        <is>
          <t>เปิดเมนูแหล่งเงิน</t>
        </is>
      </c>
      <c r="E17" s="5" t="inlineStr">
        <is>
          <t>งบประมาณ → การกำหนดค่า → แหล่งเงิน</t>
        </is>
      </c>
      <c r="F17" s="5" t="inlineStr">
        <is>
          <t>รหัสและชื่อตรงไฟล์</t>
        </is>
      </c>
    </row>
    <row r="18" ht="46" customHeight="1">
      <c r="A18" s="12" t="inlineStr">
        <is>
          <t>D02</t>
        </is>
      </c>
      <c r="B18" s="5" t="inlineStr">
        <is>
          <t>D ตรวจหน้าจอ</t>
        </is>
      </c>
      <c r="C18" s="13" t="inlineStr">
        <is>
          <t>P1</t>
        </is>
      </c>
      <c r="D18" s="5" t="inlineStr">
        <is>
          <t>เปิดแบบฟอร์มคำของบ</t>
        </is>
      </c>
      <c r="E18" s="5" t="inlineStr">
        <is>
          <t>หน่วยงานสร้างคำของบ</t>
        </is>
      </c>
      <c r="F18" s="5" t="inlineStr">
        <is>
          <t>เลือกได้แค่ 4 ใบ แท็บรายการตรงประเภท</t>
        </is>
      </c>
    </row>
    <row r="19" ht="46" customHeight="1">
      <c r="A19" s="12" t="inlineStr">
        <is>
          <t>D03</t>
        </is>
      </c>
      <c r="B19" s="5" t="inlineStr">
        <is>
          <t>D ตรวจหน้าจอ</t>
        </is>
      </c>
      <c r="C19" s="13" t="inlineStr">
        <is>
          <t>P1</t>
        </is>
      </c>
      <c r="D19" s="5" t="inlineStr">
        <is>
          <t>สร้างคำของบวัสดุหลังนำเข้า</t>
        </is>
      </c>
      <c r="E19" s="5" t="inlineStr">
        <is>
          <t>เลือกหน่วยงาน แหล่งเงิน กลุ่มวัสดุ</t>
        </is>
      </c>
      <c r="F19" s="5" t="inlineStr">
        <is>
          <t>ค่าที่นำเข้าเลือกได้ ไม่ต้องสร้างมือซ้ำ</t>
        </is>
      </c>
    </row>
    <row r="20" ht="46" customHeight="1">
      <c r="A20" s="12" t="inlineStr">
        <is>
          <t>D04</t>
        </is>
      </c>
      <c r="B20" s="5" t="inlineStr">
        <is>
          <t>D ตรวจหน้าจอ</t>
        </is>
      </c>
      <c r="C20" s="14" t="inlineStr">
        <is>
          <t>P2</t>
        </is>
      </c>
      <c r="D20" s="5" t="inlineStr">
        <is>
          <t>รายการที่ปิดใช้งานไม่โชว์</t>
        </is>
      </c>
      <c r="E20" s="5" t="inlineStr">
        <is>
          <t>นำเข้าแถว active=0</t>
        </is>
      </c>
      <c r="F20" s="5" t="inlineStr">
        <is>
          <t>ไม่ขึ้นให้เลือกตอนสร้างคำขอ</t>
        </is>
      </c>
    </row>
    <row r="21" ht="46" customHeight="1">
      <c r="A21" s="12" t="inlineStr">
        <is>
          <t>E01</t>
        </is>
      </c>
      <c r="B21" s="5" t="inlineStr">
        <is>
          <t>E อัปเดต/แผนปี</t>
        </is>
      </c>
      <c r="C21" s="13" t="inlineStr">
        <is>
          <t>P1</t>
        </is>
      </c>
      <c r="D21" s="5" t="inlineStr">
        <is>
          <t>Import ซ้ำโหมดอัปเดต</t>
        </is>
      </c>
      <c r="E21" s="5" t="inlineStr">
        <is>
          <t>แก้ชื่อแหล่งเงิน แล้ว Import ตาม code</t>
        </is>
      </c>
      <c r="F21" s="5" t="inlineStr">
        <is>
          <t>ชื่อเปลี่ยน จำนวนรายการไม่เพิ่ม</t>
        </is>
      </c>
    </row>
    <row r="22" ht="46" customHeight="1">
      <c r="A22" s="12" t="inlineStr">
        <is>
          <t>E02</t>
        </is>
      </c>
      <c r="B22" s="5" t="inlineStr">
        <is>
          <t>E อัปเดต/แผนปี</t>
        </is>
      </c>
      <c r="C22" s="13" t="inlineStr">
        <is>
          <t>P1</t>
        </is>
      </c>
      <c r="D22" s="5" t="inlineStr">
        <is>
          <t>ผูกแผนประจำปีหลังมี master</t>
        </is>
      </c>
      <c r="E22" s="5" t="inlineStr">
        <is>
          <t>สร้างแผนปี 2569 ใส่หมวดและหน่วยงาน แล้ว validate</t>
        </is>
      </c>
      <c r="F22" s="5" t="inlineStr">
        <is>
          <t>PR เช็คงบเจอวงเงิน</t>
        </is>
      </c>
    </row>
    <row r="23" ht="46" customHeight="1">
      <c r="A23" s="12" t="inlineStr">
        <is>
          <t>E03</t>
        </is>
      </c>
      <c r="B23" s="5" t="inlineStr">
        <is>
          <t>E อัปเดต/แผนปี</t>
        </is>
      </c>
      <c r="C23" s="13" t="inlineStr">
        <is>
          <t>P1</t>
        </is>
      </c>
      <c r="D23" s="5" t="inlineStr">
        <is>
          <t>ห้ามใช้งบก่อนมีแผนที่อนุมัติ</t>
        </is>
      </c>
      <c r="E23" s="5" t="inlineStr">
        <is>
          <t>ลองเช็คงบบน PR ก่อนมีบรรทัดงบ</t>
        </is>
      </c>
      <c r="F23" s="5" t="inlineStr">
        <is>
          <t>ไม่เจอวงเงิน หรืองบไม่พอ</t>
        </is>
      </c>
    </row>
    <row r="24" ht="46" customHeight="1">
      <c r="A24" s="12" t="inlineStr">
        <is>
          <t>E04</t>
        </is>
      </c>
      <c r="B24" s="5" t="inlineStr">
        <is>
          <t>E อัปเดต/แผนปี</t>
        </is>
      </c>
      <c r="C24" s="14" t="inlineStr">
        <is>
          <t>P2</t>
        </is>
      </c>
      <c r="D24" s="5" t="inlineStr">
        <is>
          <t>เก็บ log เป็นหลักฐาน</t>
        </is>
      </c>
      <c r="E24" s="5" t="inlineStr">
        <is>
          <t>คัดลอก log จากวิซาร์ด</t>
        </is>
      </c>
      <c r="F24" s="5" t="inlineStr">
        <is>
          <t>มีวันที่ จำนวนสร้าง/อัปเดต และชื่อไฟล์ต้นทาง</t>
        </is>
      </c>
    </row>
  </sheetData>
  <autoFilter ref="A1:J24"/>
  <conditionalFormatting sqref="G2:G80">
    <cfRule type="cellIs" priority="1" operator="equal" dxfId="0">
      <formula>"ผ่าน"</formula>
    </cfRule>
    <cfRule type="cellIs" priority="2" operator="equal" dxfId="1">
      <formula>"ไม่ผ่าน"</formula>
    </cfRule>
    <cfRule type="cellIs" priority="3" operator="equal" dxfId="2">
      <formula>"ข้าม"</formula>
    </cfRule>
  </conditionalFormatting>
  <dataValidations count="1">
    <dataValidation sqref="G2:G80" showErrorMessage="1" showInputMessage="1" allowBlank="1" errorTitle="ผลทดสอบ" error="เลือก ผ่าน / ไม่ผ่าน / ข้าม" type="list">
      <formula1>"ผ่าน,ไม่ผ่าน,ข้าม"</formula1>
    </dataValidation>
  </dataValidations>
  <pageMargins left="0.75" right="0.75" top="1" bottom="1" header="0.5" footer="0.5"/>
  <pageSetup orientation="landscape" paperSize="9" fitToHeight="0" fitToWidth="1"/>
  <headerFooter>
    <oddHeader>&amp;Lโรงพยาบาลวชิระภูเก็ต · UAT นำเข้าข้อมูล ระบบงบประมาณ</oddHeader>
    <oddFooter>&amp;Lเอกสารภายใน สำหรับทดสอบการนำเข้าข้อมูล&amp;Rหน้า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32" customWidth="1" min="5" max="5"/>
    <col width="26" customWidth="1" min="6" max="6"/>
    <col width="26" customWidth="1" min="7" max="7"/>
    <col width="14" customWidth="1" min="8" max="8"/>
    <col width="14" customWidth="1" min="9" max="9"/>
    <col width="18" customWidth="1" min="10" max="10"/>
  </cols>
  <sheetData>
    <row r="1" ht="28" customHeight="1">
      <c r="A1" s="15" t="inlineStr">
        <is>
          <t>รหัสบั๊ก</t>
        </is>
      </c>
      <c r="B1" s="15" t="inlineStr">
        <is>
          <t>เคสที่พบ</t>
        </is>
      </c>
      <c r="C1" s="15" t="inlineStr">
        <is>
          <t>ระดับ</t>
        </is>
      </c>
      <c r="D1" s="15" t="inlineStr">
        <is>
          <t>สรุปปัญหา</t>
        </is>
      </c>
      <c r="E1" s="15" t="inlineStr">
        <is>
          <t>ขั้นตอนที่เกิด</t>
        </is>
      </c>
      <c r="F1" s="15" t="inlineStr">
        <is>
          <t>ผลที่คาด</t>
        </is>
      </c>
      <c r="G1" s="15" t="inlineStr">
        <is>
          <t>ผลที่เกิดจริง</t>
        </is>
      </c>
      <c r="H1" s="15" t="inlineStr">
        <is>
          <t>ผู้พบ</t>
        </is>
      </c>
      <c r="I1" s="15" t="inlineStr">
        <is>
          <t>วันที่</t>
        </is>
      </c>
      <c r="J1" s="15" t="inlineStr">
        <is>
          <t>สถานะแก้</t>
        </is>
      </c>
    </row>
    <row r="2">
      <c r="A2" s="12" t="inlineStr">
        <is>
          <t>BUG-01</t>
        </is>
      </c>
      <c r="B2" s="5" t="inlineStr"/>
      <c r="C2" s="12" t="inlineStr"/>
      <c r="D2" s="5" t="inlineStr"/>
      <c r="E2" s="5" t="inlineStr"/>
      <c r="F2" s="5" t="inlineStr"/>
      <c r="G2" s="5" t="inlineStr"/>
      <c r="H2" s="5" t="inlineStr"/>
      <c r="I2" s="12" t="inlineStr"/>
      <c r="J2" s="12" t="inlineStr"/>
    </row>
    <row r="3">
      <c r="A3" s="12" t="inlineStr">
        <is>
          <t>BUG-02</t>
        </is>
      </c>
      <c r="B3" s="5" t="inlineStr"/>
      <c r="C3" s="12" t="inlineStr"/>
      <c r="D3" s="5" t="inlineStr"/>
      <c r="E3" s="5" t="inlineStr"/>
      <c r="F3" s="5" t="inlineStr"/>
      <c r="G3" s="5" t="inlineStr"/>
      <c r="H3" s="5" t="inlineStr"/>
      <c r="I3" s="12" t="inlineStr"/>
      <c r="J3" s="12" t="inlineStr"/>
    </row>
    <row r="4">
      <c r="A4" s="12" t="inlineStr">
        <is>
          <t>BUG-03</t>
        </is>
      </c>
      <c r="B4" s="5" t="inlineStr"/>
      <c r="C4" s="12" t="inlineStr"/>
      <c r="D4" s="5" t="inlineStr"/>
      <c r="E4" s="5" t="inlineStr"/>
      <c r="F4" s="5" t="inlineStr"/>
      <c r="G4" s="5" t="inlineStr"/>
      <c r="H4" s="5" t="inlineStr"/>
      <c r="I4" s="12" t="inlineStr"/>
      <c r="J4" s="12" t="inlineStr"/>
    </row>
    <row r="5">
      <c r="A5" s="12" t="inlineStr">
        <is>
          <t>BUG-04</t>
        </is>
      </c>
      <c r="B5" s="5" t="inlineStr"/>
      <c r="C5" s="12" t="inlineStr"/>
      <c r="D5" s="5" t="inlineStr"/>
      <c r="E5" s="5" t="inlineStr"/>
      <c r="F5" s="5" t="inlineStr"/>
      <c r="G5" s="5" t="inlineStr"/>
      <c r="H5" s="5" t="inlineStr"/>
      <c r="I5" s="12" t="inlineStr"/>
      <c r="J5" s="12" t="inlineStr"/>
    </row>
    <row r="6">
      <c r="A6" s="12" t="inlineStr">
        <is>
          <t>BUG-05</t>
        </is>
      </c>
      <c r="B6" s="5" t="inlineStr"/>
      <c r="C6" s="12" t="inlineStr"/>
      <c r="D6" s="5" t="inlineStr"/>
      <c r="E6" s="5" t="inlineStr"/>
      <c r="F6" s="5" t="inlineStr"/>
      <c r="G6" s="5" t="inlineStr"/>
      <c r="H6" s="5" t="inlineStr"/>
      <c r="I6" s="12" t="inlineStr"/>
      <c r="J6" s="12" t="inlineStr"/>
    </row>
    <row r="7">
      <c r="A7" s="12" t="inlineStr">
        <is>
          <t>BUG-06</t>
        </is>
      </c>
      <c r="B7" s="5" t="inlineStr"/>
      <c r="C7" s="12" t="inlineStr"/>
      <c r="D7" s="5" t="inlineStr"/>
      <c r="E7" s="5" t="inlineStr"/>
      <c r="F7" s="5" t="inlineStr"/>
      <c r="G7" s="5" t="inlineStr"/>
      <c r="H7" s="5" t="inlineStr"/>
      <c r="I7" s="12" t="inlineStr"/>
      <c r="J7" s="12" t="inlineStr"/>
    </row>
    <row r="8">
      <c r="A8" s="12" t="inlineStr">
        <is>
          <t>BUG-07</t>
        </is>
      </c>
      <c r="B8" s="5" t="inlineStr"/>
      <c r="C8" s="12" t="inlineStr"/>
      <c r="D8" s="5" t="inlineStr"/>
      <c r="E8" s="5" t="inlineStr"/>
      <c r="F8" s="5" t="inlineStr"/>
      <c r="G8" s="5" t="inlineStr"/>
      <c r="H8" s="5" t="inlineStr"/>
      <c r="I8" s="12" t="inlineStr"/>
      <c r="J8" s="12" t="inlineStr"/>
    </row>
    <row r="9">
      <c r="A9" s="12" t="inlineStr">
        <is>
          <t>BUG-08</t>
        </is>
      </c>
      <c r="B9" s="5" t="inlineStr"/>
      <c r="C9" s="12" t="inlineStr"/>
      <c r="D9" s="5" t="inlineStr"/>
      <c r="E9" s="5" t="inlineStr"/>
      <c r="F9" s="5" t="inlineStr"/>
      <c r="G9" s="5" t="inlineStr"/>
      <c r="H9" s="5" t="inlineStr"/>
      <c r="I9" s="12" t="inlineStr"/>
      <c r="J9" s="12" t="inlineStr"/>
    </row>
    <row r="10">
      <c r="A10" s="12" t="inlineStr">
        <is>
          <t>BUG-09</t>
        </is>
      </c>
      <c r="B10" s="5" t="inlineStr"/>
      <c r="C10" s="12" t="inlineStr"/>
      <c r="D10" s="5" t="inlineStr"/>
      <c r="E10" s="5" t="inlineStr"/>
      <c r="F10" s="5" t="inlineStr"/>
      <c r="G10" s="5" t="inlineStr"/>
      <c r="H10" s="5" t="inlineStr"/>
      <c r="I10" s="12" t="inlineStr"/>
      <c r="J10" s="12" t="inlineStr"/>
    </row>
    <row r="11">
      <c r="A11" s="12" t="inlineStr">
        <is>
          <t>BUG-10</t>
        </is>
      </c>
      <c r="B11" s="5" t="inlineStr"/>
      <c r="C11" s="12" t="inlineStr"/>
      <c r="D11" s="5" t="inlineStr"/>
      <c r="E11" s="5" t="inlineStr"/>
      <c r="F11" s="5" t="inlineStr"/>
      <c r="G11" s="5" t="inlineStr"/>
      <c r="H11" s="5" t="inlineStr"/>
      <c r="I11" s="12" t="inlineStr"/>
      <c r="J11" s="12" t="inlineStr"/>
    </row>
    <row r="12">
      <c r="A12" s="12" t="inlineStr">
        <is>
          <t>BUG-11</t>
        </is>
      </c>
      <c r="B12" s="5" t="inlineStr"/>
      <c r="C12" s="12" t="inlineStr"/>
      <c r="D12" s="5" t="inlineStr"/>
      <c r="E12" s="5" t="inlineStr"/>
      <c r="F12" s="5" t="inlineStr"/>
      <c r="G12" s="5" t="inlineStr"/>
      <c r="H12" s="5" t="inlineStr"/>
      <c r="I12" s="12" t="inlineStr"/>
      <c r="J12" s="12" t="inlineStr"/>
    </row>
    <row r="13">
      <c r="A13" s="12" t="inlineStr">
        <is>
          <t>BUG-12</t>
        </is>
      </c>
      <c r="B13" s="5" t="inlineStr"/>
      <c r="C13" s="12" t="inlineStr"/>
      <c r="D13" s="5" t="inlineStr"/>
      <c r="E13" s="5" t="inlineStr"/>
      <c r="F13" s="5" t="inlineStr"/>
      <c r="G13" s="5" t="inlineStr"/>
      <c r="H13" s="5" t="inlineStr"/>
      <c r="I13" s="12" t="inlineStr"/>
      <c r="J13" s="12" t="inlineStr"/>
    </row>
    <row r="14">
      <c r="A14" s="12" t="inlineStr">
        <is>
          <t>BUG-13</t>
        </is>
      </c>
      <c r="B14" s="5" t="inlineStr"/>
      <c r="C14" s="12" t="inlineStr"/>
      <c r="D14" s="5" t="inlineStr"/>
      <c r="E14" s="5" t="inlineStr"/>
      <c r="F14" s="5" t="inlineStr"/>
      <c r="G14" s="5" t="inlineStr"/>
      <c r="H14" s="5" t="inlineStr"/>
      <c r="I14" s="12" t="inlineStr"/>
      <c r="J14" s="12" t="inlineStr"/>
    </row>
    <row r="15">
      <c r="A15" s="12" t="inlineStr">
        <is>
          <t>BUG-14</t>
        </is>
      </c>
      <c r="B15" s="5" t="inlineStr"/>
      <c r="C15" s="12" t="inlineStr"/>
      <c r="D15" s="5" t="inlineStr"/>
      <c r="E15" s="5" t="inlineStr"/>
      <c r="F15" s="5" t="inlineStr"/>
      <c r="G15" s="5" t="inlineStr"/>
      <c r="H15" s="5" t="inlineStr"/>
      <c r="I15" s="12" t="inlineStr"/>
      <c r="J15" s="12" t="inlineStr"/>
    </row>
    <row r="16">
      <c r="A16" s="12" t="inlineStr">
        <is>
          <t>BUG-15</t>
        </is>
      </c>
      <c r="B16" s="5" t="inlineStr"/>
      <c r="C16" s="12" t="inlineStr"/>
      <c r="D16" s="5" t="inlineStr"/>
      <c r="E16" s="5" t="inlineStr"/>
      <c r="F16" s="5" t="inlineStr"/>
      <c r="G16" s="5" t="inlineStr"/>
      <c r="H16" s="5" t="inlineStr"/>
      <c r="I16" s="12" t="inlineStr"/>
      <c r="J16" s="12" t="inlineStr"/>
    </row>
    <row r="17">
      <c r="A17" s="12" t="inlineStr">
        <is>
          <t>BUG-16</t>
        </is>
      </c>
      <c r="B17" s="5" t="inlineStr"/>
      <c r="C17" s="12" t="inlineStr"/>
      <c r="D17" s="5" t="inlineStr"/>
      <c r="E17" s="5" t="inlineStr"/>
      <c r="F17" s="5" t="inlineStr"/>
      <c r="G17" s="5" t="inlineStr"/>
      <c r="H17" s="5" t="inlineStr"/>
      <c r="I17" s="12" t="inlineStr"/>
      <c r="J17" s="12" t="inlineStr"/>
    </row>
    <row r="18">
      <c r="A18" s="12" t="inlineStr">
        <is>
          <t>BUG-17</t>
        </is>
      </c>
      <c r="B18" s="5" t="inlineStr"/>
      <c r="C18" s="12" t="inlineStr"/>
      <c r="D18" s="5" t="inlineStr"/>
      <c r="E18" s="5" t="inlineStr"/>
      <c r="F18" s="5" t="inlineStr"/>
      <c r="G18" s="5" t="inlineStr"/>
      <c r="H18" s="5" t="inlineStr"/>
      <c r="I18" s="12" t="inlineStr"/>
      <c r="J18" s="12" t="inlineStr"/>
    </row>
    <row r="19">
      <c r="A19" s="12" t="inlineStr">
        <is>
          <t>BUG-18</t>
        </is>
      </c>
      <c r="B19" s="5" t="inlineStr"/>
      <c r="C19" s="12" t="inlineStr"/>
      <c r="D19" s="5" t="inlineStr"/>
      <c r="E19" s="5" t="inlineStr"/>
      <c r="F19" s="5" t="inlineStr"/>
      <c r="G19" s="5" t="inlineStr"/>
      <c r="H19" s="5" t="inlineStr"/>
      <c r="I19" s="12" t="inlineStr"/>
      <c r="J19" s="12" t="inlineStr"/>
    </row>
    <row r="20">
      <c r="A20" s="12" t="inlineStr">
        <is>
          <t>BUG-19</t>
        </is>
      </c>
      <c r="B20" s="5" t="inlineStr"/>
      <c r="C20" s="12" t="inlineStr"/>
      <c r="D20" s="5" t="inlineStr"/>
      <c r="E20" s="5" t="inlineStr"/>
      <c r="F20" s="5" t="inlineStr"/>
      <c r="G20" s="5" t="inlineStr"/>
      <c r="H20" s="5" t="inlineStr"/>
      <c r="I20" s="12" t="inlineStr"/>
      <c r="J20" s="12" t="inlineStr"/>
    </row>
  </sheetData>
  <dataValidations count="2">
    <dataValidation sqref="C2:C20" showErrorMessage="1" showInputMessage="1" allowBlank="1" type="list">
      <formula1>"Blocker,Major,Minor,Cosmetic"</formula1>
    </dataValidation>
    <dataValidation sqref="J2:J20" showErrorMessage="1" showInputMessage="1" allowBlank="1" type="list">
      <formula1>"เปิด,กำลังแก้,แก้แล้วรอทดสอบซ้ำ,ปิด"</formula1>
    </dataValidation>
  </dataValidations>
  <pageMargins left="0.75" right="0.75" top="1" bottom="1" header="0.5" footer="0.5"/>
  <pageSetup orientation="landscape" paperSize="9" fitToHeight="1" fitToWidth="1"/>
  <headerFooter>
    <oddHeader>&amp;Lโรงพยาบาลวชิระภูเก็ต · UAT นำเข้าข้อมูล ระบบงบประมาณ</oddHeader>
    <oddFooter>&amp;Lเอกสารภายใน สำหรับทดสอบการนำเข้าข้อมูล&amp;Rหน้า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H1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2">
      <c r="B2" s="16" t="inlineStr">
        <is>
          <t>สรุปผลการนำเข้าข้อมูลระบบงบประมาณ</t>
        </is>
      </c>
    </row>
    <row r="4" ht="28" customHeight="1">
      <c r="A4" s="7" t="inlineStr"/>
      <c r="B4" s="7" t="inlineStr">
        <is>
          <t>ชุด</t>
        </is>
      </c>
      <c r="C4" s="7" t="inlineStr">
        <is>
          <t>ทั้งหมด</t>
        </is>
      </c>
      <c r="D4" s="7" t="inlineStr">
        <is>
          <t>ผ่าน</t>
        </is>
      </c>
      <c r="E4" s="7" t="inlineStr">
        <is>
          <t>ไม่ผ่าน</t>
        </is>
      </c>
      <c r="F4" s="7" t="inlineStr">
        <is>
          <t>ข้าม</t>
        </is>
      </c>
      <c r="G4" s="7" t="inlineStr">
        <is>
          <t>ยังไม่ทำ</t>
        </is>
      </c>
      <c r="H4" s="7" t="inlineStr">
        <is>
          <t>% ผ่าน P1</t>
        </is>
      </c>
    </row>
    <row r="5">
      <c r="A5" s="8" t="n">
        <v>1</v>
      </c>
      <c r="B5" s="9" t="inlineStr">
        <is>
          <t>A Template / สิทธิ์</t>
        </is>
      </c>
      <c r="C5" s="12">
        <f>COUNTIF('บันทึกผลเคส'!A:A,"A*")</f>
        <v/>
      </c>
      <c r="D5" s="12">
        <f>COUNTIFS('บันทึกผลเคส'!A:A,"A*",'บันทึกผลเคส'!G:G,"ผ่าน")</f>
        <v/>
      </c>
      <c r="E5" s="12">
        <f>COUNTIFS('บันทึกผลเคส'!A:A,"A*",'บันทึกผลเคส'!G:G,"ไม่ผ่าน")</f>
        <v/>
      </c>
      <c r="F5" s="12">
        <f>COUNTIFS('บันทึกผลเคส'!A:A,"A*",'บันทึกผลเคส'!G:G,"ข้าม")</f>
        <v/>
      </c>
      <c r="G5" s="12">
        <f>C5-D5-E5-F5</f>
        <v/>
      </c>
      <c r="H5" s="17">
        <f>IFERROR(COUNTIFS('บันทึกผลเคส'!A:A,"A*",'บันทึกผลเคส'!C:C,"P1",'บันทึกผลเคส'!G:G,"ผ่าน")/COUNTIFS('บันทึกผลเคส'!A:A,"A*",'บันทึกผลเคส'!C:C,"P1"),0)</f>
        <v/>
      </c>
    </row>
    <row r="6">
      <c r="A6" s="8" t="n">
        <v>2</v>
      </c>
      <c r="B6" s="9" t="inlineStr">
        <is>
          <t>B นำเข้าผ่าน</t>
        </is>
      </c>
      <c r="C6" s="12">
        <f>COUNTIF('บันทึกผลเคส'!A:A,"B*")</f>
        <v/>
      </c>
      <c r="D6" s="12">
        <f>COUNTIFS('บันทึกผลเคส'!A:A,"B*",'บันทึกผลเคส'!G:G,"ผ่าน")</f>
        <v/>
      </c>
      <c r="E6" s="12">
        <f>COUNTIFS('บันทึกผลเคส'!A:A,"B*",'บันทึกผลเคส'!G:G,"ไม่ผ่าน")</f>
        <v/>
      </c>
      <c r="F6" s="12">
        <f>COUNTIFS('บันทึกผลเคส'!A:A,"B*",'บันทึกผลเคส'!G:G,"ข้าม")</f>
        <v/>
      </c>
      <c r="G6" s="12">
        <f>C6-D6-E6-F6</f>
        <v/>
      </c>
      <c r="H6" s="17">
        <f>IFERROR(COUNTIFS('บันทึกผลเคส'!A:A,"B*",'บันทึกผลเคส'!C:C,"P1",'บันทึกผลเคส'!G:G,"ผ่าน")/COUNTIFS('บันทึกผลเคส'!A:A,"B*",'บันทึกผลเคส'!C:C,"P1"),0)</f>
        <v/>
      </c>
    </row>
    <row r="7">
      <c r="A7" s="8" t="n">
        <v>3</v>
      </c>
      <c r="B7" s="9" t="inlineStr">
        <is>
          <t>C กติกา</t>
        </is>
      </c>
      <c r="C7" s="12">
        <f>COUNTIF('บันทึกผลเคส'!A:A,"C*")</f>
        <v/>
      </c>
      <c r="D7" s="12">
        <f>COUNTIFS('บันทึกผลเคส'!A:A,"C*",'บันทึกผลเคส'!G:G,"ผ่าน")</f>
        <v/>
      </c>
      <c r="E7" s="12">
        <f>COUNTIFS('บันทึกผลเคส'!A:A,"C*",'บันทึกผลเคส'!G:G,"ไม่ผ่าน")</f>
        <v/>
      </c>
      <c r="F7" s="12">
        <f>COUNTIFS('บันทึกผลเคส'!A:A,"C*",'บันทึกผลเคส'!G:G,"ข้าม")</f>
        <v/>
      </c>
      <c r="G7" s="12">
        <f>C7-D7-E7-F7</f>
        <v/>
      </c>
      <c r="H7" s="17">
        <f>IFERROR(COUNTIFS('บันทึกผลเคส'!A:A,"C*",'บันทึกผลเคส'!C:C,"P1",'บันทึกผลเคส'!G:G,"ผ่าน")/COUNTIFS('บันทึกผลเคส'!A:A,"C*",'บันทึกผลเคส'!C:C,"P1"),0)</f>
        <v/>
      </c>
    </row>
    <row r="8">
      <c r="A8" s="8" t="n">
        <v>4</v>
      </c>
      <c r="B8" s="9" t="inlineStr">
        <is>
          <t>D ตรวจหน้าจอ</t>
        </is>
      </c>
      <c r="C8" s="12">
        <f>COUNTIF('บันทึกผลเคส'!A:A,"D*")</f>
        <v/>
      </c>
      <c r="D8" s="12">
        <f>COUNTIFS('บันทึกผลเคส'!A:A,"D*",'บันทึกผลเคส'!G:G,"ผ่าน")</f>
        <v/>
      </c>
      <c r="E8" s="12">
        <f>COUNTIFS('บันทึกผลเคส'!A:A,"D*",'บันทึกผลเคส'!G:G,"ไม่ผ่าน")</f>
        <v/>
      </c>
      <c r="F8" s="12">
        <f>COUNTIFS('บันทึกผลเคส'!A:A,"D*",'บันทึกผลเคส'!G:G,"ข้าม")</f>
        <v/>
      </c>
      <c r="G8" s="12">
        <f>C8-D8-E8-F8</f>
        <v/>
      </c>
      <c r="H8" s="17">
        <f>IFERROR(COUNTIFS('บันทึกผลเคส'!A:A,"D*",'บันทึกผลเคส'!C:C,"P1",'บันทึกผลเคส'!G:G,"ผ่าน")/COUNTIFS('บันทึกผลเคส'!A:A,"D*",'บันทึกผลเคส'!C:C,"P1"),0)</f>
        <v/>
      </c>
    </row>
    <row r="9">
      <c r="A9" s="8" t="n">
        <v>5</v>
      </c>
      <c r="B9" s="9" t="inlineStr">
        <is>
          <t>E อัปเดต / แผนปี</t>
        </is>
      </c>
      <c r="C9" s="12">
        <f>COUNTIF('บันทึกผลเคส'!A:A,"E*")</f>
        <v/>
      </c>
      <c r="D9" s="12">
        <f>COUNTIFS('บันทึกผลเคส'!A:A,"E*",'บันทึกผลเคส'!G:G,"ผ่าน")</f>
        <v/>
      </c>
      <c r="E9" s="12">
        <f>COUNTIFS('บันทึกผลเคส'!A:A,"E*",'บันทึกผลเคส'!G:G,"ไม่ผ่าน")</f>
        <v/>
      </c>
      <c r="F9" s="12">
        <f>COUNTIFS('บันทึกผลเคส'!A:A,"E*",'บันทึกผลเคส'!G:G,"ข้าม")</f>
        <v/>
      </c>
      <c r="G9" s="12">
        <f>C9-D9-E9-F9</f>
        <v/>
      </c>
      <c r="H9" s="17">
        <f>IFERROR(COUNTIFS('บันทึกผลเคส'!A:A,"E*",'บันทึกผลเคส'!C:C,"P1",'บันทึกผลเคส'!G:G,"ผ่าน")/COUNTIFS('บันทึกผลเคส'!A:A,"E*",'บันทึกผลเคส'!C:C,"P1"),0)</f>
        <v/>
      </c>
    </row>
    <row r="11">
      <c r="B11" s="18" t="inlineStr">
        <is>
          <t>รวมทุกชุด</t>
        </is>
      </c>
      <c r="C11" s="19">
        <f>SUM(C5:C9)</f>
        <v/>
      </c>
      <c r="D11" s="19">
        <f>SUM(D5:D9)</f>
        <v/>
      </c>
      <c r="E11" s="19">
        <f>SUM(E5:E9)</f>
        <v/>
      </c>
      <c r="F11" s="19">
        <f>SUM(F5:F9)</f>
        <v/>
      </c>
      <c r="G11" s="19">
        <f>SUM(G5:G9)</f>
        <v/>
      </c>
      <c r="H11" s="20">
        <f>IFERROR(COUNTIFS('บันทึกผลเคส'!C:C,"P1",'บันทึกผลเคส'!G:G,"ผ่าน")/COUNTIF('บันทึกผลเคส'!C:C,"P1"),0)</f>
        <v/>
      </c>
    </row>
    <row r="14">
      <c r="B14" s="21" t="inlineStr">
        <is>
          <t>ตัดสินใจ:  ผ่าน UAT นำเข้าและไป Go-Live ได้   /   ผ่านแบบมีเงื่อนไข   /   ต้องทดสอบซ้ำ
จำนวนต้นทาง vs ในระบบ: .................................................................
เงื่อนไขที่ค้าง: .................................................................
ลงนามผู้ประสาน: ....................................     วันที่: ................</t>
        </is>
      </c>
    </row>
    <row r="15"/>
    <row r="16"/>
    <row r="17"/>
  </sheetData>
  <mergeCells count="2">
    <mergeCell ref="B2:H2"/>
    <mergeCell ref="B14:H17"/>
  </mergeCells>
  <pageMargins left="0.75" right="0.75" top="1" bottom="1" header="0.5" footer="0.5"/>
  <pageSetup orientation="landscape" paperSize="9" fitToHeight="1" fitToWidth="1"/>
  <headerFooter>
    <oddHeader>&amp;Lโรงพยาบาลวชิระภูเก็ต · UAT นำเข้าข้อมูล ระบบงบประมาณ</oddHeader>
    <oddFooter>&amp;Lเอกสารภายใน สำหรับทดสอบการนำเข้าข้อมูล&amp;Rหน้า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2026-08-24T01:30:17Z</dcterms:created>
  <dcterms:modified xmlns:dcterms="http://purl.org/dc/terms/" xmlns:xsi="http://www.w3.org/2001/XMLSchema-instance" xsi:type="dcterms:W3CDTF">2026-08-24T01:30:17Z</dcterms:modified>
</cp:coreProperties>
</file>