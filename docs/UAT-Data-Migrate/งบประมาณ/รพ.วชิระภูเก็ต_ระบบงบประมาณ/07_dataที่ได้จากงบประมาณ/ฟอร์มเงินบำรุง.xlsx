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2ebe81abfde5fd/เอกสาร/"/>
    </mc:Choice>
  </mc:AlternateContent>
  <xr:revisionPtr revIDLastSave="0" documentId="13_ncr:1_{8A96EB81-BDFE-44B6-9E5E-FB64070AB41D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แผนรายรับ-รายจ่ายเงินบำรุง 1ปี" sheetId="22" state="hidden" r:id="rId1"/>
    <sheet name="แผนรายรับ-รายจ่ายเงินบำรุง 3 ปี" sheetId="4" state="hidden" r:id="rId2"/>
    <sheet name="สรุป รับ-จ่าย" sheetId="11" r:id="rId3"/>
    <sheet name="ประมาณการรายรับ" sheetId="12" r:id="rId4"/>
    <sheet name="ประมาณการรายจ่าย" sheetId="13" r:id="rId5"/>
    <sheet name="ครุภัณฑ์ แผน 68" sheetId="25" state="hidden" r:id="rId6"/>
    <sheet name="รายการครุภัณฑ์ปรับ" sheetId="32" state="hidden" r:id="rId7"/>
    <sheet name="สิ่งก่อสร้าง (25.10.67)" sheetId="29" state="hidden" r:id="rId8"/>
    <sheet name="รายละเอียดรายจ่าย" sheetId="14" r:id="rId9"/>
  </sheets>
  <externalReferences>
    <externalReference r:id="rId10"/>
  </externalReferences>
  <definedNames>
    <definedName name="_xlnm._FilterDatabase" localSheetId="5" hidden="1">'ครุภัณฑ์ แผน 68'!$H$1:$H$1181</definedName>
    <definedName name="_xlnm._FilterDatabase" localSheetId="0" hidden="1">'แผนรายรับ-รายจ่ายเงินบำรุง 1ปี'!$A$7:$P$77</definedName>
    <definedName name="_xlnm._FilterDatabase" localSheetId="1" hidden="1">'แผนรายรับ-รายจ่ายเงินบำรุง 3 ปี'!$A$7:$Q$77</definedName>
    <definedName name="_xlnm.Print_Area" localSheetId="5">'ครุภัณฑ์ แผน 68'!$A$1:$J$539</definedName>
    <definedName name="_xlnm.Print_Area" localSheetId="4">ประมาณการรายจ่าย!$A$1:$I$17</definedName>
    <definedName name="_xlnm.Print_Area" localSheetId="3">ประมาณการรายรับ!$A$1:$P$21</definedName>
    <definedName name="_xlnm.Print_Area" localSheetId="0">'แผนรายรับ-รายจ่ายเงินบำรุง 1ปี'!$A$1:$N$95</definedName>
    <definedName name="_xlnm.Print_Area" localSheetId="1">'แผนรายรับ-รายจ่ายเงินบำรุง 3 ปี'!$A$1:$O$94</definedName>
    <definedName name="_xlnm.Print_Area" localSheetId="6">รายการครุภัณฑ์ปรับ!$A$1:$G$383</definedName>
    <definedName name="_xlnm.Print_Area" localSheetId="8">รายละเอียดรายจ่าย!$A$1:$AT$206</definedName>
    <definedName name="_xlnm.Print_Area" localSheetId="7">'สิ่งก่อสร้าง (25.10.67)'!$A$1:$AB$50</definedName>
    <definedName name="_xlnm.Print_Titles" localSheetId="5">'ครุภัณฑ์ แผน 68'!$2:$2</definedName>
    <definedName name="_xlnm.Print_Titles" localSheetId="4">ประมาณการรายจ่าย!$B:$B</definedName>
    <definedName name="_xlnm.Print_Titles" localSheetId="3">ประมาณการรายรับ!$B:$B</definedName>
    <definedName name="_xlnm.Print_Titles" localSheetId="0">'แผนรายรับ-รายจ่ายเงินบำรุง 1ปี'!$1:$6</definedName>
    <definedName name="_xlnm.Print_Titles" localSheetId="1">'แผนรายรับ-รายจ่ายเงินบำรุง 3 ปี'!$1:$6</definedName>
    <definedName name="_xlnm.Print_Titles" localSheetId="8">รายละเอียดรายจ่าย!$B:$B,รายละเอียดรายจ่าย!$3:$4</definedName>
    <definedName name="_xlnm.Print_Titles" localSheetId="7">'สิ่งก่อสร้าง (25.10.67)'!$3:$3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2" l="1"/>
  <c r="AS206" i="14" l="1"/>
  <c r="AQ206" i="14" l="1"/>
  <c r="AP206" i="14"/>
  <c r="AN206" i="14" l="1"/>
  <c r="AL20" i="14" l="1"/>
  <c r="AL106" i="14"/>
  <c r="AL111" i="14"/>
  <c r="AL137" i="14"/>
  <c r="AL159" i="14"/>
  <c r="AL42" i="14"/>
  <c r="AL129" i="14"/>
  <c r="AL55" i="14"/>
  <c r="AL146" i="14"/>
  <c r="AL144" i="14" s="1"/>
  <c r="AJ191" i="14"/>
  <c r="AJ180" i="14" s="1"/>
  <c r="AI78" i="14" l="1"/>
  <c r="AE7" i="14" l="1"/>
  <c r="AI7" i="14" s="1"/>
  <c r="AE8" i="14"/>
  <c r="AI8" i="14" s="1"/>
  <c r="AE9" i="14"/>
  <c r="AI9" i="14" s="1"/>
  <c r="AE10" i="14"/>
  <c r="AI10" i="14" s="1"/>
  <c r="AE11" i="14"/>
  <c r="AI11" i="14" s="1"/>
  <c r="AE12" i="14"/>
  <c r="AE13" i="14"/>
  <c r="AE14" i="14"/>
  <c r="AI14" i="14" s="1"/>
  <c r="AE15" i="14"/>
  <c r="AI15" i="14" s="1"/>
  <c r="AE16" i="14"/>
  <c r="AI16" i="14" s="1"/>
  <c r="AE18" i="14"/>
  <c r="AE19" i="14"/>
  <c r="AI19" i="14" s="1"/>
  <c r="AE21" i="14"/>
  <c r="AI21" i="14" s="1"/>
  <c r="AE22" i="14"/>
  <c r="AI22" i="14" s="1"/>
  <c r="AE23" i="14"/>
  <c r="AI23" i="14" s="1"/>
  <c r="AE24" i="14"/>
  <c r="AI24" i="14" s="1"/>
  <c r="AE25" i="14"/>
  <c r="AI25" i="14" s="1"/>
  <c r="AE27" i="14"/>
  <c r="AI27" i="14" s="1"/>
  <c r="AE28" i="14"/>
  <c r="AI28" i="14" s="1"/>
  <c r="AE29" i="14"/>
  <c r="AI29" i="14" s="1"/>
  <c r="AE30" i="14"/>
  <c r="AI30" i="14" s="1"/>
  <c r="AE31" i="14"/>
  <c r="AI31" i="14" s="1"/>
  <c r="AE32" i="14"/>
  <c r="AI32" i="14" s="1"/>
  <c r="AE33" i="14"/>
  <c r="AI33" i="14" s="1"/>
  <c r="AE34" i="14"/>
  <c r="AI34" i="14" s="1"/>
  <c r="AE35" i="14"/>
  <c r="AI35" i="14" s="1"/>
  <c r="AE36" i="14"/>
  <c r="AI36" i="14" s="1"/>
  <c r="AE37" i="14"/>
  <c r="AI37" i="14" s="1"/>
  <c r="AE38" i="14"/>
  <c r="AI38" i="14" s="1"/>
  <c r="AE39" i="14"/>
  <c r="AI39" i="14" s="1"/>
  <c r="AI40" i="14"/>
  <c r="AE41" i="14"/>
  <c r="AI41" i="14" s="1"/>
  <c r="AE42" i="14"/>
  <c r="AI42" i="14" s="1"/>
  <c r="AE43" i="14"/>
  <c r="AI43" i="14" s="1"/>
  <c r="AE44" i="14"/>
  <c r="AI44" i="14" s="1"/>
  <c r="AE45" i="14"/>
  <c r="AI45" i="14" s="1"/>
  <c r="AE46" i="14"/>
  <c r="AI46" i="14" s="1"/>
  <c r="AE47" i="14"/>
  <c r="AI47" i="14" s="1"/>
  <c r="AE48" i="14"/>
  <c r="AI48" i="14" s="1"/>
  <c r="AE49" i="14"/>
  <c r="AI49" i="14" s="1"/>
  <c r="AE50" i="14"/>
  <c r="AI50" i="14" s="1"/>
  <c r="AE51" i="14"/>
  <c r="AI51" i="14" s="1"/>
  <c r="AE52" i="14"/>
  <c r="AI52" i="14" s="1"/>
  <c r="AE53" i="14"/>
  <c r="AI53" i="14" s="1"/>
  <c r="AE54" i="14"/>
  <c r="AI54" i="14" s="1"/>
  <c r="AE55" i="14"/>
  <c r="AI55" i="14" s="1"/>
  <c r="AE56" i="14"/>
  <c r="AI56" i="14" s="1"/>
  <c r="AE57" i="14"/>
  <c r="AI57" i="14" s="1"/>
  <c r="AE58" i="14"/>
  <c r="AI58" i="14" s="1"/>
  <c r="AE59" i="14"/>
  <c r="AI59" i="14" s="1"/>
  <c r="AI60" i="14"/>
  <c r="AE61" i="14"/>
  <c r="AI61" i="14" s="1"/>
  <c r="AE62" i="14"/>
  <c r="AI62" i="14" s="1"/>
  <c r="AI63" i="14"/>
  <c r="AE64" i="14"/>
  <c r="AI64" i="14" s="1"/>
  <c r="AE65" i="14"/>
  <c r="AI65" i="14" s="1"/>
  <c r="AE66" i="14"/>
  <c r="AI66" i="14" s="1"/>
  <c r="AE67" i="14"/>
  <c r="AI67" i="14" s="1"/>
  <c r="AE68" i="14"/>
  <c r="AI68" i="14" s="1"/>
  <c r="AE69" i="14"/>
  <c r="AI69" i="14" s="1"/>
  <c r="AE70" i="14"/>
  <c r="AI70" i="14" s="1"/>
  <c r="AE71" i="14"/>
  <c r="AI71" i="14" s="1"/>
  <c r="AE72" i="14"/>
  <c r="AI72" i="14" s="1"/>
  <c r="AI73" i="14"/>
  <c r="AI74" i="14"/>
  <c r="AI75" i="14"/>
  <c r="AI76" i="14"/>
  <c r="AI77" i="14"/>
  <c r="AI79" i="14"/>
  <c r="AI80" i="14"/>
  <c r="AI81" i="14"/>
  <c r="AI82" i="14"/>
  <c r="AI83" i="14"/>
  <c r="AI84" i="14"/>
  <c r="AI85" i="14"/>
  <c r="AI86" i="14"/>
  <c r="AE107" i="14"/>
  <c r="AI107" i="14" s="1"/>
  <c r="AE108" i="14"/>
  <c r="AI108" i="14" s="1"/>
  <c r="AE109" i="14"/>
  <c r="AI109" i="14" s="1"/>
  <c r="AE110" i="14"/>
  <c r="AI110" i="14" s="1"/>
  <c r="AE112" i="14"/>
  <c r="AI112" i="14" s="1"/>
  <c r="AE113" i="14"/>
  <c r="AI113" i="14" s="1"/>
  <c r="AE114" i="14"/>
  <c r="AI114" i="14" s="1"/>
  <c r="AE115" i="14"/>
  <c r="AI115" i="14" s="1"/>
  <c r="AE117" i="14"/>
  <c r="AI117" i="14" s="1"/>
  <c r="AI123" i="14"/>
  <c r="AI124" i="14"/>
  <c r="AE125" i="14"/>
  <c r="E4" i="29"/>
  <c r="E5" i="29"/>
  <c r="E6" i="29"/>
  <c r="E7" i="29"/>
  <c r="E8" i="29"/>
  <c r="E9" i="29"/>
  <c r="H44" i="32"/>
  <c r="AJ200" i="14"/>
  <c r="AL128" i="14"/>
  <c r="AL122" i="14"/>
  <c r="AJ176" i="14"/>
  <c r="AJ159" i="14"/>
  <c r="AJ144" i="14"/>
  <c r="AJ137" i="14"/>
  <c r="AJ111" i="14"/>
  <c r="AJ106" i="14"/>
  <c r="AJ26" i="14"/>
  <c r="AJ20" i="14"/>
  <c r="AJ6" i="14"/>
  <c r="AG199" i="14"/>
  <c r="AG4" i="14"/>
  <c r="AF4" i="14"/>
  <c r="O54" i="4"/>
  <c r="AI160" i="14"/>
  <c r="E382" i="32"/>
  <c r="E381" i="32"/>
  <c r="E380" i="32"/>
  <c r="E377" i="32"/>
  <c r="E371" i="32"/>
  <c r="E370" i="32"/>
  <c r="E369" i="32"/>
  <c r="E368" i="32"/>
  <c r="E366" i="32"/>
  <c r="E365" i="32"/>
  <c r="E363" i="32"/>
  <c r="E362" i="32"/>
  <c r="E361" i="32"/>
  <c r="E360" i="32"/>
  <c r="E359" i="32"/>
  <c r="E358" i="32"/>
  <c r="E357" i="32"/>
  <c r="E356" i="32"/>
  <c r="E354" i="32"/>
  <c r="E353" i="32"/>
  <c r="E352" i="32"/>
  <c r="E351" i="32"/>
  <c r="E350" i="32"/>
  <c r="E349" i="32"/>
  <c r="E347" i="32"/>
  <c r="E346" i="32"/>
  <c r="E345" i="32"/>
  <c r="E344" i="32"/>
  <c r="E343" i="32"/>
  <c r="E342" i="32"/>
  <c r="E341" i="32"/>
  <c r="E340" i="32"/>
  <c r="E339" i="32"/>
  <c r="E337" i="32"/>
  <c r="E336" i="32"/>
  <c r="E335" i="32"/>
  <c r="E334" i="32"/>
  <c r="E333" i="32"/>
  <c r="E332" i="32"/>
  <c r="E331" i="32"/>
  <c r="E330" i="32"/>
  <c r="E329" i="32"/>
  <c r="E328" i="32"/>
  <c r="E327" i="32"/>
  <c r="E326" i="32"/>
  <c r="E325" i="32"/>
  <c r="E324" i="32"/>
  <c r="E323" i="32"/>
  <c r="E322" i="32"/>
  <c r="E321" i="32"/>
  <c r="E320" i="32"/>
  <c r="E319" i="32"/>
  <c r="E318" i="32"/>
  <c r="E315" i="32"/>
  <c r="E314" i="32"/>
  <c r="E313" i="32"/>
  <c r="E312" i="32"/>
  <c r="E311" i="32"/>
  <c r="E306" i="32"/>
  <c r="E305" i="32"/>
  <c r="E304" i="32"/>
  <c r="E303" i="32"/>
  <c r="E302" i="32"/>
  <c r="E301" i="32"/>
  <c r="E300" i="32"/>
  <c r="E299" i="32"/>
  <c r="E298" i="32"/>
  <c r="E297" i="32"/>
  <c r="E296" i="32"/>
  <c r="E295" i="32"/>
  <c r="D294" i="32"/>
  <c r="E293" i="32"/>
  <c r="E292" i="32"/>
  <c r="E291" i="32"/>
  <c r="E290" i="32"/>
  <c r="E289" i="32"/>
  <c r="E288" i="32"/>
  <c r="E287" i="32"/>
  <c r="E281" i="32"/>
  <c r="E278" i="32"/>
  <c r="E274" i="32"/>
  <c r="AI146" i="14" s="1"/>
  <c r="E266" i="32"/>
  <c r="E265" i="32"/>
  <c r="E264" i="32"/>
  <c r="E263" i="32"/>
  <c r="E262" i="32"/>
  <c r="E261" i="32"/>
  <c r="E260" i="32"/>
  <c r="E259" i="32"/>
  <c r="E258" i="32"/>
  <c r="E257" i="32"/>
  <c r="E256" i="32"/>
  <c r="E253" i="32"/>
  <c r="E252" i="32"/>
  <c r="E251" i="32"/>
  <c r="E250" i="32"/>
  <c r="E249" i="32"/>
  <c r="E248" i="32"/>
  <c r="E247" i="32"/>
  <c r="E246" i="32"/>
  <c r="E245" i="32"/>
  <c r="E244" i="32"/>
  <c r="E243" i="32"/>
  <c r="E242" i="32"/>
  <c r="E241" i="32"/>
  <c r="E240" i="32"/>
  <c r="E239" i="32"/>
  <c r="E238" i="32"/>
  <c r="E237" i="32"/>
  <c r="E236" i="32"/>
  <c r="E235" i="32"/>
  <c r="E234" i="32"/>
  <c r="E233" i="32"/>
  <c r="E232" i="32"/>
  <c r="E231" i="32"/>
  <c r="E230" i="32"/>
  <c r="E229" i="32"/>
  <c r="E228" i="32"/>
  <c r="E227" i="32"/>
  <c r="E226" i="32"/>
  <c r="E225" i="32"/>
  <c r="E224" i="32"/>
  <c r="E223" i="32"/>
  <c r="E222" i="32"/>
  <c r="E221" i="32"/>
  <c r="E220" i="32"/>
  <c r="E219" i="32"/>
  <c r="E218" i="32"/>
  <c r="E217" i="32"/>
  <c r="E216" i="32"/>
  <c r="E215" i="32"/>
  <c r="E214" i="32"/>
  <c r="E213" i="32"/>
  <c r="E212" i="32"/>
  <c r="E211" i="32"/>
  <c r="E210" i="32"/>
  <c r="E209" i="32"/>
  <c r="E208" i="32"/>
  <c r="E207" i="32"/>
  <c r="E206" i="32"/>
  <c r="E205" i="32"/>
  <c r="E204" i="32"/>
  <c r="E203" i="32"/>
  <c r="E202" i="32"/>
  <c r="E201" i="32"/>
  <c r="E200" i="32"/>
  <c r="E199" i="32"/>
  <c r="E198" i="32"/>
  <c r="E197" i="32"/>
  <c r="E196" i="32"/>
  <c r="E195" i="32"/>
  <c r="E194" i="32"/>
  <c r="E193" i="32"/>
  <c r="E192" i="32"/>
  <c r="E191" i="32"/>
  <c r="E190" i="32"/>
  <c r="E189" i="32"/>
  <c r="E188" i="32"/>
  <c r="E187" i="32"/>
  <c r="E186" i="32"/>
  <c r="E185" i="32"/>
  <c r="E184" i="32"/>
  <c r="E183" i="32"/>
  <c r="E182" i="32"/>
  <c r="E181" i="32"/>
  <c r="E180" i="32"/>
  <c r="E179" i="32"/>
  <c r="E178" i="32"/>
  <c r="E176" i="32"/>
  <c r="E174" i="32"/>
  <c r="E172" i="32"/>
  <c r="E162" i="32"/>
  <c r="E161" i="32"/>
  <c r="E160" i="32"/>
  <c r="E159" i="32"/>
  <c r="E158" i="32"/>
  <c r="E157" i="32"/>
  <c r="E156" i="32"/>
  <c r="E155" i="32"/>
  <c r="E154" i="32"/>
  <c r="E153" i="32"/>
  <c r="E152" i="32"/>
  <c r="E151" i="32"/>
  <c r="E150" i="32"/>
  <c r="E149" i="32"/>
  <c r="E148" i="32"/>
  <c r="E147" i="32"/>
  <c r="E146" i="32"/>
  <c r="E145" i="32"/>
  <c r="E144" i="32"/>
  <c r="E119" i="32"/>
  <c r="E118" i="32"/>
  <c r="E117" i="32"/>
  <c r="E116" i="32"/>
  <c r="E115" i="32"/>
  <c r="E114" i="32"/>
  <c r="E113" i="32"/>
  <c r="E112" i="32"/>
  <c r="E110" i="32"/>
  <c r="E111" i="32"/>
  <c r="E108" i="32"/>
  <c r="E107" i="32"/>
  <c r="E106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D88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7" i="32"/>
  <c r="E16" i="32"/>
  <c r="E14" i="32"/>
  <c r="E12" i="32"/>
  <c r="E11" i="32"/>
  <c r="E10" i="32"/>
  <c r="E9" i="32"/>
  <c r="E8" i="32"/>
  <c r="E6" i="32"/>
  <c r="E5" i="32"/>
  <c r="E4" i="32"/>
  <c r="E3" i="32"/>
  <c r="E415" i="25"/>
  <c r="AI136" i="14"/>
  <c r="AI199" i="14"/>
  <c r="AI182" i="14"/>
  <c r="AI183" i="14"/>
  <c r="AI184" i="14"/>
  <c r="AI185" i="14"/>
  <c r="AI188" i="14"/>
  <c r="AI189" i="14"/>
  <c r="AI190" i="14"/>
  <c r="AI192" i="14"/>
  <c r="AI193" i="14"/>
  <c r="AI194" i="14"/>
  <c r="AI195" i="14"/>
  <c r="AI196" i="14"/>
  <c r="AI197" i="14"/>
  <c r="AI181" i="14"/>
  <c r="AI170" i="14"/>
  <c r="AI172" i="14"/>
  <c r="AI175" i="14"/>
  <c r="AI158" i="14"/>
  <c r="AI147" i="14"/>
  <c r="AI148" i="14"/>
  <c r="AI149" i="14"/>
  <c r="AI145" i="14"/>
  <c r="AI139" i="14"/>
  <c r="E37" i="29"/>
  <c r="E49" i="29"/>
  <c r="E31" i="29"/>
  <c r="E33" i="29" s="1"/>
  <c r="AI178" i="14" s="1"/>
  <c r="E32" i="29"/>
  <c r="A24" i="29"/>
  <c r="D33" i="29" s="1"/>
  <c r="AH206" i="14"/>
  <c r="AF6" i="14"/>
  <c r="AF20" i="14"/>
  <c r="AF26" i="14"/>
  <c r="AF106" i="14"/>
  <c r="AF111" i="14"/>
  <c r="AF144" i="14"/>
  <c r="AF159" i="14"/>
  <c r="AF176" i="14"/>
  <c r="H137" i="14"/>
  <c r="E449" i="25"/>
  <c r="E107" i="25"/>
  <c r="E453" i="25"/>
  <c r="E456" i="25"/>
  <c r="E441" i="25"/>
  <c r="E440" i="25"/>
  <c r="E439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65" i="25"/>
  <c r="E164" i="25"/>
  <c r="E163" i="25"/>
  <c r="E161" i="25"/>
  <c r="E148" i="25"/>
  <c r="D48" i="29"/>
  <c r="E48" i="29" s="1"/>
  <c r="E45" i="29"/>
  <c r="E23" i="29"/>
  <c r="E46" i="29"/>
  <c r="E51" i="29"/>
  <c r="E47" i="29"/>
  <c r="E44" i="29"/>
  <c r="AE151" i="14"/>
  <c r="AI151" i="14" s="1"/>
  <c r="AE152" i="14"/>
  <c r="AI152" i="14" s="1"/>
  <c r="AE153" i="14"/>
  <c r="AI153" i="14" s="1"/>
  <c r="AE154" i="14"/>
  <c r="AI154" i="14" s="1"/>
  <c r="AE155" i="14"/>
  <c r="AI155" i="14" s="1"/>
  <c r="AE150" i="14"/>
  <c r="AI150" i="14" s="1"/>
  <c r="AE129" i="14"/>
  <c r="AI129" i="14" s="1"/>
  <c r="AE126" i="14"/>
  <c r="AI126" i="14" s="1"/>
  <c r="AB74" i="14"/>
  <c r="E14" i="29"/>
  <c r="E106" i="25"/>
  <c r="AE118" i="14"/>
  <c r="AI118" i="14" s="1"/>
  <c r="AE119" i="14"/>
  <c r="AI119" i="14" s="1"/>
  <c r="AE120" i="14"/>
  <c r="AI120" i="14" s="1"/>
  <c r="AE121" i="14"/>
  <c r="AI121" i="14" s="1"/>
  <c r="AE169" i="14"/>
  <c r="AI169" i="14" s="1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273" i="25"/>
  <c r="E138" i="25"/>
  <c r="E139" i="25"/>
  <c r="E140" i="25"/>
  <c r="E141" i="25"/>
  <c r="E142" i="25"/>
  <c r="E143" i="25"/>
  <c r="E144" i="25"/>
  <c r="H113" i="25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8" i="25" s="1"/>
  <c r="H161" i="25" s="1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H112" i="25"/>
  <c r="H160" i="25" s="1"/>
  <c r="H248" i="25" s="1"/>
  <c r="H249" i="25" s="1"/>
  <c r="H250" i="25" s="1"/>
  <c r="H251" i="25" s="1"/>
  <c r="H252" i="25" s="1"/>
  <c r="H253" i="25" s="1"/>
  <c r="H254" i="25" s="1"/>
  <c r="H255" i="25" s="1"/>
  <c r="H256" i="25" s="1"/>
  <c r="H257" i="25" s="1"/>
  <c r="H258" i="25" s="1"/>
  <c r="H259" i="25" s="1"/>
  <c r="H260" i="25" s="1"/>
  <c r="H261" i="25" s="1"/>
  <c r="H262" i="25" s="1"/>
  <c r="H263" i="25" s="1"/>
  <c r="H264" i="25" s="1"/>
  <c r="H265" i="25" s="1"/>
  <c r="H266" i="25" s="1"/>
  <c r="H267" i="25" s="1"/>
  <c r="H268" i="25" s="1"/>
  <c r="H269" i="25" s="1"/>
  <c r="H270" i="25" s="1"/>
  <c r="H271" i="25" s="1"/>
  <c r="H272" i="25" s="1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53" i="25"/>
  <c r="E52" i="25"/>
  <c r="E51" i="25"/>
  <c r="E50" i="25"/>
  <c r="E49" i="25"/>
  <c r="E509" i="25"/>
  <c r="E510" i="25"/>
  <c r="E511" i="25"/>
  <c r="E512" i="25"/>
  <c r="E513" i="25"/>
  <c r="E514" i="25"/>
  <c r="E515" i="25"/>
  <c r="E516" i="25"/>
  <c r="E517" i="25"/>
  <c r="E518" i="25"/>
  <c r="E519" i="25"/>
  <c r="E520" i="25"/>
  <c r="E521" i="25"/>
  <c r="E522" i="25"/>
  <c r="E523" i="25"/>
  <c r="E524" i="25"/>
  <c r="E525" i="25"/>
  <c r="E526" i="25"/>
  <c r="E527" i="25"/>
  <c r="E528" i="25"/>
  <c r="E529" i="25"/>
  <c r="E530" i="25"/>
  <c r="E531" i="25"/>
  <c r="E532" i="25"/>
  <c r="E533" i="25"/>
  <c r="E534" i="25"/>
  <c r="E535" i="25"/>
  <c r="E536" i="25"/>
  <c r="E537" i="25"/>
  <c r="E53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48" i="25"/>
  <c r="E48" i="25"/>
  <c r="E47" i="25"/>
  <c r="E112" i="25"/>
  <c r="E46" i="25"/>
  <c r="E160" i="25"/>
  <c r="E45" i="25"/>
  <c r="E44" i="25"/>
  <c r="E43" i="25"/>
  <c r="H13" i="25"/>
  <c r="H14" i="25" s="1"/>
  <c r="H15" i="25"/>
  <c r="H16" i="25" s="1"/>
  <c r="H17" i="25" s="1"/>
  <c r="H18" i="25" s="1"/>
  <c r="H19" i="25" s="1"/>
  <c r="H20" i="25" s="1"/>
  <c r="H21" i="25" s="1"/>
  <c r="H22" i="25" s="1"/>
  <c r="H28" i="25" s="1"/>
  <c r="H39" i="25" s="1"/>
  <c r="H240" i="25" s="1"/>
  <c r="H5" i="25"/>
  <c r="H229" i="25" s="1"/>
  <c r="AE202" i="14"/>
  <c r="AI202" i="14" s="1"/>
  <c r="AE198" i="14"/>
  <c r="AI198" i="14" s="1"/>
  <c r="AE191" i="14"/>
  <c r="AE187" i="14"/>
  <c r="AI187" i="14" s="1"/>
  <c r="AE186" i="14"/>
  <c r="AI186" i="14" s="1"/>
  <c r="E13" i="29"/>
  <c r="E19" i="29"/>
  <c r="E12" i="29"/>
  <c r="AE205" i="14"/>
  <c r="E42" i="29"/>
  <c r="E43" i="29"/>
  <c r="E41" i="29"/>
  <c r="AE173" i="14"/>
  <c r="AI173" i="14" s="1"/>
  <c r="AE171" i="14"/>
  <c r="AI171" i="14" s="1"/>
  <c r="AE166" i="14"/>
  <c r="AI166" i="14" s="1"/>
  <c r="AE161" i="14"/>
  <c r="AI161" i="14" s="1"/>
  <c r="AE157" i="14"/>
  <c r="AI157" i="14" s="1"/>
  <c r="AE156" i="14"/>
  <c r="AI156" i="14" s="1"/>
  <c r="AE143" i="14"/>
  <c r="AI143" i="14" s="1"/>
  <c r="AE140" i="14"/>
  <c r="AE141" i="14"/>
  <c r="AI141" i="14" s="1"/>
  <c r="AE138" i="14"/>
  <c r="AE134" i="14"/>
  <c r="AI134" i="14" s="1"/>
  <c r="AE132" i="14"/>
  <c r="AE133" i="14"/>
  <c r="AI133" i="14" s="1"/>
  <c r="AE131" i="14"/>
  <c r="AI131" i="14" s="1"/>
  <c r="AE130" i="14"/>
  <c r="AI130" i="14" s="1"/>
  <c r="AE106" i="14"/>
  <c r="AE5" i="14"/>
  <c r="AG5" i="14" s="1"/>
  <c r="G21" i="12"/>
  <c r="AD5" i="14"/>
  <c r="E21" i="12"/>
  <c r="Y115" i="14"/>
  <c r="Y111" i="14" s="1"/>
  <c r="Y129" i="14"/>
  <c r="Y55" i="14"/>
  <c r="Y17" i="14" s="1"/>
  <c r="Y146" i="14"/>
  <c r="AC176" i="14"/>
  <c r="AC137" i="14"/>
  <c r="AC130" i="14"/>
  <c r="AC123" i="14"/>
  <c r="AC122" i="14" s="1"/>
  <c r="AC129" i="14"/>
  <c r="AC35" i="14"/>
  <c r="AC109" i="14"/>
  <c r="AC106" i="14" s="1"/>
  <c r="Y159" i="14"/>
  <c r="AC180" i="14"/>
  <c r="AC159" i="14"/>
  <c r="AC144" i="14"/>
  <c r="AC111" i="14"/>
  <c r="AC26" i="14"/>
  <c r="AC20" i="14"/>
  <c r="AC6" i="14"/>
  <c r="AB73" i="14"/>
  <c r="K14" i="13"/>
  <c r="K15" i="13"/>
  <c r="Z180" i="14"/>
  <c r="Z159" i="14"/>
  <c r="Z144" i="14"/>
  <c r="Z137" i="14"/>
  <c r="Z111" i="14"/>
  <c r="Z106" i="14"/>
  <c r="Z26" i="14"/>
  <c r="Z20" i="14"/>
  <c r="Z6" i="14"/>
  <c r="AA5" i="14"/>
  <c r="AB70" i="14"/>
  <c r="E561" i="25"/>
  <c r="E564" i="25" s="1"/>
  <c r="H559" i="25" s="1"/>
  <c r="AB7" i="14"/>
  <c r="AB8" i="14"/>
  <c r="AB9" i="14"/>
  <c r="AB10" i="14"/>
  <c r="AB12" i="14"/>
  <c r="AB13" i="14"/>
  <c r="AB14" i="14"/>
  <c r="AB15" i="14"/>
  <c r="AB16" i="14"/>
  <c r="AB18" i="14"/>
  <c r="AB19" i="14"/>
  <c r="AB21" i="14"/>
  <c r="AB22" i="14"/>
  <c r="AB23" i="14"/>
  <c r="AB24" i="14"/>
  <c r="AB25" i="14"/>
  <c r="AB27" i="14"/>
  <c r="AB28" i="14"/>
  <c r="AB29" i="14"/>
  <c r="AB30" i="14"/>
  <c r="AB34" i="14"/>
  <c r="AB36" i="14"/>
  <c r="AB37" i="14"/>
  <c r="AB38" i="14"/>
  <c r="AB39" i="14"/>
  <c r="AB40" i="14"/>
  <c r="AB41" i="14"/>
  <c r="AB43" i="14"/>
  <c r="AB44" i="14"/>
  <c r="AB45" i="14"/>
  <c r="AB46" i="14"/>
  <c r="AB47" i="14"/>
  <c r="AB48" i="14"/>
  <c r="AB49" i="14"/>
  <c r="AB50" i="14"/>
  <c r="AB51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71" i="14"/>
  <c r="AB72" i="14"/>
  <c r="AB107" i="14"/>
  <c r="AB108" i="14"/>
  <c r="AB110" i="14"/>
  <c r="AB112" i="14"/>
  <c r="AB113" i="14"/>
  <c r="AB114" i="14"/>
  <c r="AB115" i="14"/>
  <c r="AB117" i="14"/>
  <c r="AB118" i="14"/>
  <c r="AB119" i="14"/>
  <c r="AB120" i="14"/>
  <c r="AB121" i="14"/>
  <c r="AB123" i="14"/>
  <c r="AB124" i="14"/>
  <c r="AB125" i="14"/>
  <c r="AB126" i="14"/>
  <c r="AB127" i="14"/>
  <c r="AB129" i="14"/>
  <c r="AB130" i="14"/>
  <c r="AB131" i="14"/>
  <c r="AB132" i="14"/>
  <c r="AB133" i="14"/>
  <c r="AB134" i="14"/>
  <c r="AB136" i="14"/>
  <c r="AB138" i="14"/>
  <c r="AB139" i="14"/>
  <c r="AB140" i="14"/>
  <c r="AB141" i="14"/>
  <c r="AB142" i="14"/>
  <c r="AB143" i="14"/>
  <c r="AB145" i="14"/>
  <c r="AB146" i="14"/>
  <c r="AB147" i="14"/>
  <c r="AB148" i="14"/>
  <c r="AB149" i="14"/>
  <c r="AB150" i="14"/>
  <c r="AB151" i="14"/>
  <c r="AB152" i="14"/>
  <c r="AB153" i="14"/>
  <c r="AB154" i="14"/>
  <c r="AB155" i="14"/>
  <c r="AB156" i="14"/>
  <c r="AB157" i="14"/>
  <c r="AB161" i="14"/>
  <c r="AB166" i="14"/>
  <c r="AB170" i="14"/>
  <c r="AB172" i="14"/>
  <c r="AB173" i="14"/>
  <c r="AB174" i="14"/>
  <c r="AB181" i="14"/>
  <c r="AB187" i="14"/>
  <c r="AB196" i="14"/>
  <c r="AB205" i="14"/>
  <c r="AB5" i="14"/>
  <c r="E39" i="25"/>
  <c r="E40" i="25"/>
  <c r="E41" i="25"/>
  <c r="E42" i="25"/>
  <c r="E38" i="25"/>
  <c r="E40" i="29"/>
  <c r="E480" i="25"/>
  <c r="E146" i="25"/>
  <c r="E147" i="25" s="1"/>
  <c r="E111" i="25"/>
  <c r="X160" i="14" s="1"/>
  <c r="AB160" i="14" s="1"/>
  <c r="E137" i="25"/>
  <c r="D110" i="25"/>
  <c r="E20" i="25"/>
  <c r="E24" i="25"/>
  <c r="E26" i="25"/>
  <c r="E27" i="25"/>
  <c r="E5" i="25"/>
  <c r="E6" i="25"/>
  <c r="E23" i="25"/>
  <c r="E4" i="25"/>
  <c r="E19" i="25"/>
  <c r="E18" i="25"/>
  <c r="E7" i="25"/>
  <c r="E32" i="25"/>
  <c r="E29" i="25"/>
  <c r="E25" i="25"/>
  <c r="E136" i="25"/>
  <c r="E28" i="25"/>
  <c r="E34" i="25"/>
  <c r="E35" i="25"/>
  <c r="E230" i="25"/>
  <c r="E153" i="25"/>
  <c r="E156" i="25"/>
  <c r="E159" i="25"/>
  <c r="E154" i="25"/>
  <c r="E36" i="25"/>
  <c r="E155" i="25"/>
  <c r="E151" i="25"/>
  <c r="E33" i="25"/>
  <c r="E30" i="25"/>
  <c r="E31" i="25"/>
  <c r="E37" i="25"/>
  <c r="E158" i="25"/>
  <c r="E152" i="25"/>
  <c r="E150" i="25"/>
  <c r="E149" i="25"/>
  <c r="E12" i="25"/>
  <c r="E109" i="25"/>
  <c r="E11" i="25"/>
  <c r="E14" i="25"/>
  <c r="E13" i="25"/>
  <c r="E3" i="25"/>
  <c r="E229" i="25"/>
  <c r="E228" i="25"/>
  <c r="E16" i="25"/>
  <c r="E22" i="25"/>
  <c r="E10" i="25"/>
  <c r="E39" i="29"/>
  <c r="E22" i="29"/>
  <c r="E21" i="29"/>
  <c r="E20" i="29"/>
  <c r="E18" i="29"/>
  <c r="E17" i="29"/>
  <c r="E16" i="29"/>
  <c r="E15" i="29"/>
  <c r="AB169" i="14"/>
  <c r="AB168" i="14"/>
  <c r="AE168" i="14"/>
  <c r="AI168" i="14" s="1"/>
  <c r="AB163" i="14"/>
  <c r="AE176" i="14"/>
  <c r="X176" i="14"/>
  <c r="AB177" i="14"/>
  <c r="X180" i="14"/>
  <c r="H181" i="14"/>
  <c r="H180" i="14" s="1"/>
  <c r="F181" i="14"/>
  <c r="F180" i="14" s="1"/>
  <c r="X26" i="14"/>
  <c r="X20" i="14"/>
  <c r="L68" i="4"/>
  <c r="Q26" i="14"/>
  <c r="Q20" i="14"/>
  <c r="Q191" i="14"/>
  <c r="AB191" i="14" s="1"/>
  <c r="Q186" i="14"/>
  <c r="Q116" i="14"/>
  <c r="Q42" i="14"/>
  <c r="Q33" i="14"/>
  <c r="AB33" i="14" s="1"/>
  <c r="Q32" i="14"/>
  <c r="AB32" i="14" s="1"/>
  <c r="Q31" i="14"/>
  <c r="AB31" i="14" s="1"/>
  <c r="Q35" i="14"/>
  <c r="Q109" i="14"/>
  <c r="AB109" i="14" s="1"/>
  <c r="Q11" i="14"/>
  <c r="AB11" i="14" s="1"/>
  <c r="S55" i="14"/>
  <c r="S17" i="14" s="1"/>
  <c r="S156" i="14"/>
  <c r="S146" i="14"/>
  <c r="E552" i="25"/>
  <c r="E553" i="25"/>
  <c r="E551" i="25"/>
  <c r="E487" i="25"/>
  <c r="E488" i="25"/>
  <c r="E489" i="25"/>
  <c r="E490" i="25"/>
  <c r="E486" i="25"/>
  <c r="E479" i="25"/>
  <c r="E478" i="25"/>
  <c r="E477" i="25"/>
  <c r="E476" i="25"/>
  <c r="E475" i="25"/>
  <c r="E474" i="25"/>
  <c r="E473" i="25"/>
  <c r="E472" i="25"/>
  <c r="E471" i="25"/>
  <c r="E470" i="25"/>
  <c r="E468" i="25"/>
  <c r="E467" i="25"/>
  <c r="E466" i="25"/>
  <c r="E465" i="25"/>
  <c r="E464" i="25"/>
  <c r="E463" i="25"/>
  <c r="E462" i="25"/>
  <c r="B15" i="13"/>
  <c r="X201" i="14"/>
  <c r="X200" i="14" s="1"/>
  <c r="AD200" i="14" s="1"/>
  <c r="P159" i="14"/>
  <c r="L159" i="14"/>
  <c r="E432" i="25"/>
  <c r="E433" i="25"/>
  <c r="E434" i="25"/>
  <c r="E435" i="25"/>
  <c r="E436" i="25"/>
  <c r="E437" i="25"/>
  <c r="E438" i="25"/>
  <c r="E431" i="25"/>
  <c r="E504" i="25"/>
  <c r="E241" i="25"/>
  <c r="E242" i="25"/>
  <c r="E243" i="25"/>
  <c r="E244" i="25"/>
  <c r="E245" i="25"/>
  <c r="E246" i="25"/>
  <c r="E505" i="25"/>
  <c r="E247" i="25"/>
  <c r="E506" i="25"/>
  <c r="E507" i="25"/>
  <c r="E508" i="25"/>
  <c r="E496" i="25"/>
  <c r="E497" i="25"/>
  <c r="E498" i="25"/>
  <c r="E499" i="25"/>
  <c r="E500" i="25"/>
  <c r="E501" i="25"/>
  <c r="E502" i="25"/>
  <c r="E503" i="25"/>
  <c r="E495" i="25"/>
  <c r="X162" i="14"/>
  <c r="AB158" i="14"/>
  <c r="E240" i="25"/>
  <c r="E238" i="25"/>
  <c r="E234" i="25"/>
  <c r="E233" i="25"/>
  <c r="E232" i="25"/>
  <c r="X122" i="14"/>
  <c r="AB122" i="14" s="1"/>
  <c r="AB167" i="14"/>
  <c r="X6" i="14"/>
  <c r="AE6" i="14" s="1"/>
  <c r="U126" i="14"/>
  <c r="T126" i="14"/>
  <c r="T116" i="14" s="1"/>
  <c r="L21" i="12"/>
  <c r="K16" i="13"/>
  <c r="P26" i="14"/>
  <c r="P20" i="14"/>
  <c r="Q159" i="14"/>
  <c r="P158" i="14"/>
  <c r="R158" i="14" s="1"/>
  <c r="P156" i="14"/>
  <c r="R156" i="14" s="1"/>
  <c r="P143" i="14"/>
  <c r="R143" i="14" s="1"/>
  <c r="P141" i="14"/>
  <c r="R141" i="14" s="1"/>
  <c r="P140" i="14"/>
  <c r="P139" i="14"/>
  <c r="P126" i="14"/>
  <c r="R126" i="14" s="1"/>
  <c r="P121" i="14"/>
  <c r="R121" i="14" s="1"/>
  <c r="P118" i="14"/>
  <c r="R118" i="14" s="1"/>
  <c r="P122" i="14"/>
  <c r="R122" i="14" s="1"/>
  <c r="P144" i="14"/>
  <c r="R144" i="14" s="1"/>
  <c r="P128" i="14"/>
  <c r="R128" i="14" s="1"/>
  <c r="N56" i="22"/>
  <c r="N49" i="22"/>
  <c r="N28" i="22"/>
  <c r="N29" i="22"/>
  <c r="N31" i="22"/>
  <c r="L77" i="22"/>
  <c r="I77" i="22"/>
  <c r="H77" i="22"/>
  <c r="G77" i="22"/>
  <c r="F77" i="22"/>
  <c r="O67" i="22"/>
  <c r="O68" i="22" s="1"/>
  <c r="P62" i="22"/>
  <c r="L62" i="22"/>
  <c r="N62" i="22" s="1"/>
  <c r="K62" i="22"/>
  <c r="J61" i="22"/>
  <c r="L60" i="22"/>
  <c r="I60" i="22"/>
  <c r="I61" i="22" s="1"/>
  <c r="H60" i="22"/>
  <c r="H61" i="22" s="1"/>
  <c r="G60" i="22"/>
  <c r="G61" i="22" s="1"/>
  <c r="F60" i="22"/>
  <c r="F61" i="22" s="1"/>
  <c r="P58" i="22"/>
  <c r="I54" i="22"/>
  <c r="K54" i="22" s="1"/>
  <c r="G54" i="22"/>
  <c r="H53" i="22"/>
  <c r="P52" i="22"/>
  <c r="L52" i="22"/>
  <c r="N52" i="22" s="1"/>
  <c r="P48" i="22"/>
  <c r="K48" i="22"/>
  <c r="P47" i="22"/>
  <c r="K47" i="22"/>
  <c r="J46" i="22"/>
  <c r="H46" i="22"/>
  <c r="P45" i="22"/>
  <c r="K45" i="22"/>
  <c r="P44" i="22"/>
  <c r="K44" i="22"/>
  <c r="P43" i="22"/>
  <c r="L43" i="22"/>
  <c r="N43" i="22" s="1"/>
  <c r="K43" i="22"/>
  <c r="I42" i="22"/>
  <c r="K42" i="22" s="1"/>
  <c r="P41" i="22"/>
  <c r="K41" i="22"/>
  <c r="L39" i="22"/>
  <c r="I39" i="22"/>
  <c r="K39" i="22" s="1"/>
  <c r="I37" i="22"/>
  <c r="P37" i="22" s="1"/>
  <c r="H37" i="22"/>
  <c r="O36" i="22"/>
  <c r="J36" i="22"/>
  <c r="I36" i="22"/>
  <c r="H36" i="22"/>
  <c r="G36" i="22"/>
  <c r="O34" i="22"/>
  <c r="L34" i="22"/>
  <c r="J34" i="22"/>
  <c r="I34" i="22"/>
  <c r="H34" i="22"/>
  <c r="G34" i="22"/>
  <c r="P33" i="22"/>
  <c r="K33" i="22"/>
  <c r="P32" i="22"/>
  <c r="K32" i="22"/>
  <c r="P30" i="22"/>
  <c r="K30" i="22"/>
  <c r="P29" i="22"/>
  <c r="M29" i="22"/>
  <c r="K29" i="22"/>
  <c r="P27" i="22"/>
  <c r="K27" i="22"/>
  <c r="G24" i="22"/>
  <c r="P23" i="22"/>
  <c r="K23" i="22"/>
  <c r="F23" i="22"/>
  <c r="F24" i="22" s="1"/>
  <c r="P22" i="22"/>
  <c r="L22" i="22"/>
  <c r="M22" i="22" s="1"/>
  <c r="K22" i="22"/>
  <c r="P21" i="22"/>
  <c r="K21" i="22"/>
  <c r="O17" i="22"/>
  <c r="J17" i="22"/>
  <c r="P16" i="22"/>
  <c r="L16" i="22"/>
  <c r="M16" i="22" s="1"/>
  <c r="K16" i="22"/>
  <c r="P15" i="22"/>
  <c r="L15" i="22"/>
  <c r="M15" i="22" s="1"/>
  <c r="K15" i="22"/>
  <c r="H15" i="22"/>
  <c r="P14" i="22"/>
  <c r="L14" i="22"/>
  <c r="M14" i="22" s="1"/>
  <c r="K14" i="22"/>
  <c r="P13" i="22"/>
  <c r="L13" i="22"/>
  <c r="M13" i="22" s="1"/>
  <c r="K13" i="22"/>
  <c r="P12" i="22"/>
  <c r="K12" i="22"/>
  <c r="P11" i="22"/>
  <c r="K11" i="22"/>
  <c r="P10" i="22"/>
  <c r="L10" i="22"/>
  <c r="M10" i="22" s="1"/>
  <c r="K10" i="22"/>
  <c r="O9" i="22"/>
  <c r="L9" i="22"/>
  <c r="J9" i="22"/>
  <c r="I9" i="22"/>
  <c r="H9" i="22"/>
  <c r="L62" i="4"/>
  <c r="M62" i="4" s="1"/>
  <c r="L60" i="4"/>
  <c r="L52" i="4"/>
  <c r="M52" i="4" s="1"/>
  <c r="L43" i="4"/>
  <c r="M43" i="4" s="1"/>
  <c r="L39" i="4"/>
  <c r="L22" i="4"/>
  <c r="M22" i="4" s="1"/>
  <c r="L16" i="4"/>
  <c r="M16" i="4" s="1"/>
  <c r="L15" i="4"/>
  <c r="M15" i="4" s="1"/>
  <c r="L14" i="4"/>
  <c r="M14" i="4" s="1"/>
  <c r="L13" i="4"/>
  <c r="M13" i="4" s="1"/>
  <c r="L10" i="4"/>
  <c r="M10" i="4" s="1"/>
  <c r="L9" i="4"/>
  <c r="L57" i="22"/>
  <c r="N57" i="22" s="1"/>
  <c r="L57" i="4"/>
  <c r="G206" i="14"/>
  <c r="P199" i="14"/>
  <c r="K186" i="14"/>
  <c r="K181" i="14"/>
  <c r="P180" i="14"/>
  <c r="L180" i="14"/>
  <c r="E180" i="14"/>
  <c r="D180" i="14"/>
  <c r="L58" i="22"/>
  <c r="M58" i="22" s="1"/>
  <c r="L58" i="4"/>
  <c r="M58" i="4" s="1"/>
  <c r="L61" i="4"/>
  <c r="L61" i="22"/>
  <c r="H174" i="14"/>
  <c r="H159" i="14" s="1"/>
  <c r="R171" i="14"/>
  <c r="T169" i="14"/>
  <c r="T159" i="14" s="1"/>
  <c r="R169" i="14"/>
  <c r="K169" i="14"/>
  <c r="K159" i="14" s="1"/>
  <c r="R166" i="14"/>
  <c r="R162" i="14"/>
  <c r="R161" i="14"/>
  <c r="R160" i="14"/>
  <c r="U159" i="14"/>
  <c r="S159" i="14"/>
  <c r="N159" i="14"/>
  <c r="M159" i="14"/>
  <c r="I159" i="14"/>
  <c r="F159" i="14"/>
  <c r="E159" i="14"/>
  <c r="D159" i="14"/>
  <c r="R157" i="14"/>
  <c r="H155" i="14"/>
  <c r="H154" i="14"/>
  <c r="H152" i="14"/>
  <c r="H151" i="14"/>
  <c r="H150" i="14"/>
  <c r="H148" i="14"/>
  <c r="H146" i="14"/>
  <c r="F144" i="14"/>
  <c r="E144" i="14"/>
  <c r="D144" i="14"/>
  <c r="R142" i="14"/>
  <c r="L138" i="14"/>
  <c r="L206" i="14" s="1"/>
  <c r="F137" i="14"/>
  <c r="E137" i="14"/>
  <c r="D137" i="14"/>
  <c r="R136" i="14"/>
  <c r="X128" i="14"/>
  <c r="AB128" i="14" s="1"/>
  <c r="T137" i="14"/>
  <c r="X144" i="14"/>
  <c r="AB144" i="14" s="1"/>
  <c r="U128" i="14"/>
  <c r="U144" i="14"/>
  <c r="U137" i="14"/>
  <c r="T144" i="14"/>
  <c r="L45" i="4"/>
  <c r="M45" i="4" s="1"/>
  <c r="L45" i="22"/>
  <c r="M45" i="22" s="1"/>
  <c r="X137" i="14"/>
  <c r="AB137" i="14" s="1"/>
  <c r="L44" i="22"/>
  <c r="N44" i="22" s="1"/>
  <c r="L44" i="4"/>
  <c r="M44" i="4" s="1"/>
  <c r="R167" i="14"/>
  <c r="T128" i="14"/>
  <c r="R127" i="14"/>
  <c r="F122" i="14"/>
  <c r="E122" i="14"/>
  <c r="D122" i="14"/>
  <c r="R120" i="14"/>
  <c r="R119" i="14"/>
  <c r="R117" i="14"/>
  <c r="O116" i="14"/>
  <c r="N116" i="14"/>
  <c r="M116" i="14"/>
  <c r="K116" i="14"/>
  <c r="I116" i="14"/>
  <c r="R115" i="14"/>
  <c r="R114" i="14"/>
  <c r="R113" i="14"/>
  <c r="P111" i="14"/>
  <c r="X111" i="14"/>
  <c r="Q111" i="14"/>
  <c r="L111" i="14"/>
  <c r="K111" i="14"/>
  <c r="H111" i="14"/>
  <c r="F111" i="14"/>
  <c r="E111" i="14"/>
  <c r="D111" i="14"/>
  <c r="R110" i="14"/>
  <c r="K109" i="14"/>
  <c r="K106" i="14" s="1"/>
  <c r="R108" i="14"/>
  <c r="R107" i="14"/>
  <c r="P106" i="14"/>
  <c r="L106" i="14"/>
  <c r="H106" i="14"/>
  <c r="F106" i="14"/>
  <c r="E106" i="14"/>
  <c r="D106" i="14"/>
  <c r="R56" i="14"/>
  <c r="R52" i="14"/>
  <c r="R51" i="14"/>
  <c r="R50" i="14"/>
  <c r="R48" i="14"/>
  <c r="R47" i="14"/>
  <c r="R44" i="14"/>
  <c r="R43" i="14"/>
  <c r="K42" i="14"/>
  <c r="H42" i="14"/>
  <c r="R41" i="14"/>
  <c r="R39" i="14"/>
  <c r="R38" i="14"/>
  <c r="R37" i="14"/>
  <c r="R36" i="14"/>
  <c r="K35" i="14"/>
  <c r="H35" i="14"/>
  <c r="R34" i="14"/>
  <c r="K33" i="14"/>
  <c r="H33" i="14"/>
  <c r="K32" i="14"/>
  <c r="H32" i="14"/>
  <c r="K31" i="14"/>
  <c r="H31" i="14"/>
  <c r="R30" i="14"/>
  <c r="K30" i="14"/>
  <c r="R29" i="14"/>
  <c r="K29" i="14"/>
  <c r="R28" i="14"/>
  <c r="K28" i="14"/>
  <c r="R27" i="14"/>
  <c r="K27" i="14"/>
  <c r="R25" i="14"/>
  <c r="K25" i="14"/>
  <c r="R24" i="14"/>
  <c r="K24" i="14"/>
  <c r="R23" i="14"/>
  <c r="K23" i="14"/>
  <c r="R22" i="14"/>
  <c r="K22" i="14"/>
  <c r="R21" i="14"/>
  <c r="R19" i="14"/>
  <c r="R18" i="14"/>
  <c r="N17" i="14"/>
  <c r="M17" i="14"/>
  <c r="I17" i="14"/>
  <c r="F17" i="14"/>
  <c r="E17" i="14"/>
  <c r="D17" i="14"/>
  <c r="R16" i="14"/>
  <c r="K16" i="14"/>
  <c r="R15" i="14"/>
  <c r="R13" i="14"/>
  <c r="P12" i="14"/>
  <c r="K11" i="14"/>
  <c r="P10" i="14"/>
  <c r="R10" i="14" s="1"/>
  <c r="R9" i="14"/>
  <c r="K9" i="14"/>
  <c r="R8" i="14"/>
  <c r="R7" i="14"/>
  <c r="H6" i="14"/>
  <c r="F6" i="14"/>
  <c r="E6" i="14"/>
  <c r="D6" i="14"/>
  <c r="R5" i="14"/>
  <c r="L16" i="13"/>
  <c r="M21" i="12"/>
  <c r="F21" i="12"/>
  <c r="D21" i="12"/>
  <c r="C21" i="12"/>
  <c r="T122" i="14"/>
  <c r="L12" i="4"/>
  <c r="M12" i="4" s="1"/>
  <c r="L12" i="22"/>
  <c r="M12" i="22" s="1"/>
  <c r="L27" i="4"/>
  <c r="M27" i="4" s="1"/>
  <c r="L27" i="22"/>
  <c r="M27" i="22" s="1"/>
  <c r="L37" i="22"/>
  <c r="L37" i="4"/>
  <c r="R112" i="14"/>
  <c r="L36" i="4"/>
  <c r="L36" i="22"/>
  <c r="L32" i="22"/>
  <c r="M32" i="22" s="1"/>
  <c r="L32" i="4"/>
  <c r="M32" i="4" s="1"/>
  <c r="L48" i="22"/>
  <c r="N48" i="22" s="1"/>
  <c r="L48" i="4"/>
  <c r="M48" i="4" s="1"/>
  <c r="L47" i="4"/>
  <c r="M47" i="4" s="1"/>
  <c r="L47" i="22"/>
  <c r="N47" i="22" s="1"/>
  <c r="L33" i="22"/>
  <c r="M33" i="22" s="1"/>
  <c r="L33" i="4"/>
  <c r="M33" i="4" s="1"/>
  <c r="L11" i="22"/>
  <c r="M11" i="22" s="1"/>
  <c r="L11" i="4"/>
  <c r="M11" i="4" s="1"/>
  <c r="L23" i="4"/>
  <c r="M23" i="4" s="1"/>
  <c r="L23" i="22"/>
  <c r="N23" i="22" s="1"/>
  <c r="L17" i="22"/>
  <c r="L17" i="4"/>
  <c r="I67" i="22"/>
  <c r="L67" i="22" s="1"/>
  <c r="O77" i="4"/>
  <c r="L77" i="4"/>
  <c r="I77" i="4"/>
  <c r="H77" i="4"/>
  <c r="G77" i="4"/>
  <c r="F77" i="4"/>
  <c r="P67" i="4"/>
  <c r="P68" i="4" s="1"/>
  <c r="O65" i="4"/>
  <c r="Q62" i="4"/>
  <c r="K62" i="4"/>
  <c r="J61" i="4"/>
  <c r="I60" i="4"/>
  <c r="K60" i="4" s="1"/>
  <c r="H60" i="4"/>
  <c r="H61" i="4" s="1"/>
  <c r="G60" i="4"/>
  <c r="G61" i="4" s="1"/>
  <c r="F60" i="4"/>
  <c r="F61" i="4" s="1"/>
  <c r="Q58" i="4"/>
  <c r="I54" i="4"/>
  <c r="K54" i="4" s="1"/>
  <c r="G54" i="4"/>
  <c r="H53" i="4"/>
  <c r="Q52" i="4"/>
  <c r="Q48" i="4"/>
  <c r="N48" i="4"/>
  <c r="O48" i="4" s="1"/>
  <c r="K48" i="4"/>
  <c r="Q47" i="4"/>
  <c r="K47" i="4"/>
  <c r="J46" i="4"/>
  <c r="H46" i="4"/>
  <c r="Q45" i="4"/>
  <c r="N45" i="4"/>
  <c r="O45" i="4" s="1"/>
  <c r="K45" i="4"/>
  <c r="Q44" i="4"/>
  <c r="N44" i="4"/>
  <c r="O44" i="4" s="1"/>
  <c r="K44" i="4"/>
  <c r="Q43" i="4"/>
  <c r="N43" i="4"/>
  <c r="O43" i="4" s="1"/>
  <c r="K43" i="4"/>
  <c r="O42" i="4"/>
  <c r="N42" i="4"/>
  <c r="I42" i="4"/>
  <c r="Q42" i="4" s="1"/>
  <c r="Q41" i="4"/>
  <c r="N41" i="4"/>
  <c r="O41" i="4" s="1"/>
  <c r="K41" i="4"/>
  <c r="O39" i="4"/>
  <c r="N39" i="4"/>
  <c r="I39" i="4"/>
  <c r="Q39" i="4"/>
  <c r="I37" i="4"/>
  <c r="K37" i="4" s="1"/>
  <c r="H37" i="4"/>
  <c r="K39" i="4"/>
  <c r="P36" i="4"/>
  <c r="J36" i="4"/>
  <c r="I36" i="4"/>
  <c r="H36" i="4"/>
  <c r="G36" i="4"/>
  <c r="P34" i="4"/>
  <c r="L34" i="4"/>
  <c r="J34" i="4"/>
  <c r="I34" i="4"/>
  <c r="H34" i="4"/>
  <c r="G34" i="4"/>
  <c r="Q33" i="4"/>
  <c r="N33" i="4"/>
  <c r="O33" i="4" s="1"/>
  <c r="K33" i="4"/>
  <c r="Q32" i="4"/>
  <c r="N32" i="4"/>
  <c r="O32" i="4" s="1"/>
  <c r="K32" i="4"/>
  <c r="Q30" i="4"/>
  <c r="O30" i="4"/>
  <c r="K30" i="4"/>
  <c r="Q29" i="4"/>
  <c r="M29" i="4"/>
  <c r="K29" i="4"/>
  <c r="Q27" i="4"/>
  <c r="N27" i="4"/>
  <c r="O27" i="4" s="1"/>
  <c r="K27" i="4"/>
  <c r="G24" i="4"/>
  <c r="Q23" i="4"/>
  <c r="K23" i="4"/>
  <c r="F23" i="4"/>
  <c r="F24" i="4" s="1"/>
  <c r="Q22" i="4"/>
  <c r="O22" i="4"/>
  <c r="O24" i="4" s="1"/>
  <c r="K22" i="4"/>
  <c r="Q21" i="4"/>
  <c r="K21" i="4"/>
  <c r="P17" i="4"/>
  <c r="J17" i="4"/>
  <c r="Q16" i="4"/>
  <c r="K16" i="4"/>
  <c r="Q15" i="4"/>
  <c r="K15" i="4"/>
  <c r="H15" i="4"/>
  <c r="Q14" i="4"/>
  <c r="K14" i="4"/>
  <c r="Q13" i="4"/>
  <c r="K13" i="4"/>
  <c r="Q12" i="4"/>
  <c r="K12" i="4"/>
  <c r="Q11" i="4"/>
  <c r="K11" i="4"/>
  <c r="Q10" i="4"/>
  <c r="N10" i="4"/>
  <c r="N24" i="4" s="1"/>
  <c r="K10" i="4"/>
  <c r="P9" i="4"/>
  <c r="J9" i="4"/>
  <c r="I9" i="4"/>
  <c r="I17" i="4" s="1"/>
  <c r="H9" i="4"/>
  <c r="I67" i="4"/>
  <c r="L67" i="4" s="1"/>
  <c r="L53" i="22"/>
  <c r="N53" i="22" s="1"/>
  <c r="L53" i="4"/>
  <c r="D469" i="25"/>
  <c r="O24" i="22" l="1"/>
  <c r="P42" i="22"/>
  <c r="I46" i="22"/>
  <c r="P46" i="22" s="1"/>
  <c r="H17" i="22"/>
  <c r="H24" i="22" s="1"/>
  <c r="K37" i="22"/>
  <c r="Q17" i="4"/>
  <c r="Q54" i="4"/>
  <c r="N11" i="22"/>
  <c r="N22" i="22"/>
  <c r="Q9" i="4"/>
  <c r="M36" i="22"/>
  <c r="N37" i="22"/>
  <c r="P54" i="22"/>
  <c r="M9" i="4"/>
  <c r="H63" i="22"/>
  <c r="H64" i="22" s="1"/>
  <c r="O63" i="22"/>
  <c r="K36" i="22"/>
  <c r="P39" i="22"/>
  <c r="K46" i="22"/>
  <c r="G63" i="22"/>
  <c r="G64" i="22" s="1"/>
  <c r="G66" i="22" s="1"/>
  <c r="P36" i="22"/>
  <c r="E267" i="32"/>
  <c r="AI165" i="14" s="1"/>
  <c r="E355" i="32"/>
  <c r="O67" i="4"/>
  <c r="F63" i="22"/>
  <c r="F64" i="22" s="1"/>
  <c r="F66" i="22" s="1"/>
  <c r="F69" i="22" s="1"/>
  <c r="AE174" i="14"/>
  <c r="F26" i="12"/>
  <c r="L23" i="12"/>
  <c r="M23" i="22"/>
  <c r="N12" i="22"/>
  <c r="R31" i="14"/>
  <c r="Q34" i="4"/>
  <c r="J24" i="22"/>
  <c r="E108" i="25"/>
  <c r="AE163" i="14" s="1"/>
  <c r="E135" i="25"/>
  <c r="E227" i="25"/>
  <c r="E458" i="25"/>
  <c r="J63" i="4"/>
  <c r="E554" i="25"/>
  <c r="X199" i="14" s="1"/>
  <c r="AB199" i="14" s="1"/>
  <c r="H6" i="25"/>
  <c r="H10" i="25" s="1"/>
  <c r="H110" i="25" s="1"/>
  <c r="H244" i="25" s="1"/>
  <c r="H242" i="25" s="1"/>
  <c r="H239" i="25" s="1"/>
  <c r="P24" i="4"/>
  <c r="K21" i="12"/>
  <c r="E539" i="25"/>
  <c r="E481" i="25"/>
  <c r="S116" i="14"/>
  <c r="S206" i="14" s="1"/>
  <c r="E383" i="32"/>
  <c r="AL116" i="14"/>
  <c r="AL206" i="14"/>
  <c r="AJ17" i="14"/>
  <c r="L5" i="13"/>
  <c r="N34" i="22"/>
  <c r="G63" i="4"/>
  <c r="G64" i="4" s="1"/>
  <c r="G66" i="4" s="1"/>
  <c r="H65" i="4" s="1"/>
  <c r="P9" i="22"/>
  <c r="E316" i="25"/>
  <c r="AE167" i="14" s="1"/>
  <c r="E145" i="25"/>
  <c r="E316" i="32"/>
  <c r="K17" i="4"/>
  <c r="M34" i="4"/>
  <c r="E442" i="25"/>
  <c r="AE165" i="14" s="1"/>
  <c r="H106" i="25"/>
  <c r="L22" i="12"/>
  <c r="E307" i="32"/>
  <c r="J63" i="22"/>
  <c r="K9" i="22"/>
  <c r="J24" i="4"/>
  <c r="H17" i="4"/>
  <c r="H24" i="4" s="1"/>
  <c r="H63" i="4"/>
  <c r="P63" i="4"/>
  <c r="F63" i="4"/>
  <c r="F64" i="4" s="1"/>
  <c r="F66" i="4" s="1"/>
  <c r="F69" i="4" s="1"/>
  <c r="F23" i="12"/>
  <c r="AG176" i="14"/>
  <c r="AG106" i="14"/>
  <c r="E283" i="32"/>
  <c r="F283" i="32" s="1"/>
  <c r="E105" i="32"/>
  <c r="E109" i="32"/>
  <c r="E171" i="32"/>
  <c r="E10" i="29"/>
  <c r="AI177" i="14" s="1"/>
  <c r="AI176" i="14" s="1"/>
  <c r="J21" i="12"/>
  <c r="L21" i="22"/>
  <c r="M21" i="22" s="1"/>
  <c r="N10" i="22"/>
  <c r="L21" i="4"/>
  <c r="M21" i="4" s="1"/>
  <c r="M9" i="22"/>
  <c r="O80" i="4"/>
  <c r="O77" i="22"/>
  <c r="H65" i="22"/>
  <c r="G69" i="22"/>
  <c r="K61" i="22"/>
  <c r="I63" i="22"/>
  <c r="P63" i="22" s="1"/>
  <c r="P61" i="22"/>
  <c r="H245" i="25"/>
  <c r="H241" i="25"/>
  <c r="H162" i="25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07" i="25" s="1"/>
  <c r="H208" i="25" s="1"/>
  <c r="H209" i="25" s="1"/>
  <c r="H210" i="25" s="1"/>
  <c r="H211" i="25" s="1"/>
  <c r="H212" i="25" s="1"/>
  <c r="H213" i="25" s="1"/>
  <c r="H214" i="25" s="1"/>
  <c r="H215" i="25" s="1"/>
  <c r="H216" i="25" s="1"/>
  <c r="H217" i="25" s="1"/>
  <c r="H218" i="25" s="1"/>
  <c r="H219" i="25" s="1"/>
  <c r="H220" i="25" s="1"/>
  <c r="H221" i="25" s="1"/>
  <c r="H222" i="25" s="1"/>
  <c r="H223" i="25" s="1"/>
  <c r="H224" i="25" s="1"/>
  <c r="H225" i="25" s="1"/>
  <c r="H226" i="25" s="1"/>
  <c r="H273" i="25" s="1"/>
  <c r="H274" i="25" s="1"/>
  <c r="H275" i="25" s="1"/>
  <c r="H276" i="25" s="1"/>
  <c r="H277" i="25" s="1"/>
  <c r="H278" i="25" s="1"/>
  <c r="H279" i="25" s="1"/>
  <c r="H280" i="25" s="1"/>
  <c r="H281" i="25" s="1"/>
  <c r="H282" i="25" s="1"/>
  <c r="H283" i="25" s="1"/>
  <c r="H284" i="25" s="1"/>
  <c r="H285" i="25" s="1"/>
  <c r="H286" i="25" s="1"/>
  <c r="H287" i="25" s="1"/>
  <c r="H288" i="25" s="1"/>
  <c r="H289" i="25" s="1"/>
  <c r="H290" i="25" s="1"/>
  <c r="H291" i="25" s="1"/>
  <c r="H292" i="25" s="1"/>
  <c r="H293" i="25" s="1"/>
  <c r="H294" i="25" s="1"/>
  <c r="H295" i="25" s="1"/>
  <c r="H296" i="25" s="1"/>
  <c r="H297" i="25" s="1"/>
  <c r="H298" i="25" s="1"/>
  <c r="H299" i="25" s="1"/>
  <c r="H300" i="25" s="1"/>
  <c r="H301" i="25" s="1"/>
  <c r="H302" i="25" s="1"/>
  <c r="H303" i="25" s="1"/>
  <c r="H304" i="25" s="1"/>
  <c r="H305" i="25" s="1"/>
  <c r="H306" i="25" s="1"/>
  <c r="H307" i="25" s="1"/>
  <c r="H308" i="25" s="1"/>
  <c r="H309" i="25" s="1"/>
  <c r="H310" i="25" s="1"/>
  <c r="H311" i="25" s="1"/>
  <c r="H312" i="25" s="1"/>
  <c r="H313" i="25" s="1"/>
  <c r="H314" i="25" s="1"/>
  <c r="H315" i="25" s="1"/>
  <c r="H107" i="25"/>
  <c r="K36" i="4"/>
  <c r="M61" i="22"/>
  <c r="E254" i="32"/>
  <c r="AI167" i="14" s="1"/>
  <c r="E338" i="32"/>
  <c r="M17" i="4"/>
  <c r="K9" i="4"/>
  <c r="Q36" i="4"/>
  <c r="I46" i="4"/>
  <c r="K42" i="4"/>
  <c r="H21" i="12"/>
  <c r="M36" i="4"/>
  <c r="N13" i="22"/>
  <c r="N9" i="22"/>
  <c r="M60" i="4"/>
  <c r="M60" i="22"/>
  <c r="I24" i="4"/>
  <c r="N80" i="4" s="1"/>
  <c r="Q37" i="4"/>
  <c r="I61" i="4"/>
  <c r="Q61" i="4" s="1"/>
  <c r="P34" i="22"/>
  <c r="K60" i="22"/>
  <c r="N14" i="22"/>
  <c r="M39" i="4"/>
  <c r="M34" i="22"/>
  <c r="N39" i="22"/>
  <c r="E491" i="25"/>
  <c r="E24" i="29"/>
  <c r="Z17" i="14"/>
  <c r="K34" i="4"/>
  <c r="M37" i="4"/>
  <c r="I17" i="22"/>
  <c r="I24" i="22" s="1"/>
  <c r="K34" i="22"/>
  <c r="E50" i="29"/>
  <c r="E87" i="32"/>
  <c r="AI163" i="14" s="1"/>
  <c r="AI162" i="14" s="1"/>
  <c r="E348" i="32"/>
  <c r="E376" i="32"/>
  <c r="AG205" i="14"/>
  <c r="N68" i="4"/>
  <c r="O68" i="4"/>
  <c r="L68" i="22"/>
  <c r="I68" i="22"/>
  <c r="I68" i="4"/>
  <c r="N67" i="4"/>
  <c r="R109" i="14"/>
  <c r="N61" i="22"/>
  <c r="N36" i="22"/>
  <c r="L41" i="4"/>
  <c r="M41" i="4" s="1"/>
  <c r="N58" i="22"/>
  <c r="U116" i="14"/>
  <c r="U206" i="14" s="1"/>
  <c r="N33" i="22"/>
  <c r="M44" i="22"/>
  <c r="R32" i="14"/>
  <c r="AJ116" i="14"/>
  <c r="L30" i="4"/>
  <c r="M30" i="4" s="1"/>
  <c r="AC17" i="14"/>
  <c r="Y116" i="14"/>
  <c r="Y206" i="14" s="1"/>
  <c r="F116" i="14"/>
  <c r="F206" i="14" s="1"/>
  <c r="AE201" i="14"/>
  <c r="AI201" i="14" s="1"/>
  <c r="AI200" i="14" s="1"/>
  <c r="AI5" i="14"/>
  <c r="AK5" i="14" s="1"/>
  <c r="AF116" i="14"/>
  <c r="AI138" i="14"/>
  <c r="M43" i="22"/>
  <c r="M48" i="22"/>
  <c r="AA180" i="14"/>
  <c r="P6" i="14"/>
  <c r="I206" i="14"/>
  <c r="M62" i="22"/>
  <c r="AB26" i="14"/>
  <c r="M206" i="14"/>
  <c r="AI13" i="14"/>
  <c r="N206" i="14"/>
  <c r="N27" i="22"/>
  <c r="AI140" i="14"/>
  <c r="L41" i="22"/>
  <c r="X17" i="14"/>
  <c r="R111" i="14"/>
  <c r="H144" i="14"/>
  <c r="X159" i="14"/>
  <c r="AD159" i="14" s="1"/>
  <c r="AD180" i="14"/>
  <c r="T206" i="14"/>
  <c r="N45" i="22"/>
  <c r="R33" i="14"/>
  <c r="M39" i="22"/>
  <c r="K10" i="13"/>
  <c r="AI191" i="14"/>
  <c r="AI180" i="14" s="1"/>
  <c r="AD111" i="14"/>
  <c r="R11" i="14"/>
  <c r="Q106" i="14"/>
  <c r="K8" i="13" s="1"/>
  <c r="D116" i="14"/>
  <c r="D206" i="14" s="1"/>
  <c r="N60" i="22"/>
  <c r="Z116" i="14"/>
  <c r="Q6" i="14"/>
  <c r="K26" i="14"/>
  <c r="AB111" i="14"/>
  <c r="AA106" i="14"/>
  <c r="AC128" i="14"/>
  <c r="AC116" i="14" s="1"/>
  <c r="AK199" i="14"/>
  <c r="K11" i="13"/>
  <c r="M47" i="22"/>
  <c r="X116" i="14"/>
  <c r="K180" i="14"/>
  <c r="AB186" i="14"/>
  <c r="AD176" i="14"/>
  <c r="K12" i="13"/>
  <c r="R159" i="14"/>
  <c r="M52" i="22"/>
  <c r="AD106" i="14"/>
  <c r="K6" i="14"/>
  <c r="AA111" i="14"/>
  <c r="E116" i="14"/>
  <c r="E206" i="14" s="1"/>
  <c r="R12" i="14"/>
  <c r="K20" i="14"/>
  <c r="H17" i="14"/>
  <c r="L42" i="22"/>
  <c r="L42" i="4"/>
  <c r="M42" i="4" s="1"/>
  <c r="AF17" i="14"/>
  <c r="AI111" i="14"/>
  <c r="AE17" i="14"/>
  <c r="AI18" i="14"/>
  <c r="AI17" i="14" s="1"/>
  <c r="AE111" i="14"/>
  <c r="AG6" i="14"/>
  <c r="R42" i="14"/>
  <c r="AB42" i="14"/>
  <c r="AE180" i="14"/>
  <c r="AI12" i="14"/>
  <c r="AB200" i="14"/>
  <c r="P116" i="14"/>
  <c r="R35" i="14"/>
  <c r="AB35" i="14"/>
  <c r="AI106" i="14"/>
  <c r="AA6" i="14"/>
  <c r="M37" i="22"/>
  <c r="N32" i="22"/>
  <c r="L30" i="22"/>
  <c r="AB176" i="14"/>
  <c r="AA176" i="14"/>
  <c r="L11" i="13"/>
  <c r="AI125" i="14"/>
  <c r="AE122" i="14"/>
  <c r="AE128" i="14"/>
  <c r="AI132" i="14"/>
  <c r="P17" i="14"/>
  <c r="AD6" i="14"/>
  <c r="Q17" i="14"/>
  <c r="Q180" i="14"/>
  <c r="AB20" i="14"/>
  <c r="K5" i="13"/>
  <c r="AI205" i="14"/>
  <c r="N21" i="12"/>
  <c r="N15" i="22"/>
  <c r="N16" i="22"/>
  <c r="O64" i="22" l="1"/>
  <c r="P77" i="4"/>
  <c r="J22" i="12"/>
  <c r="P64" i="4"/>
  <c r="H66" i="22"/>
  <c r="I65" i="22" s="1"/>
  <c r="AI174" i="14"/>
  <c r="H22" i="12"/>
  <c r="H23" i="12"/>
  <c r="L24" i="22"/>
  <c r="M24" i="22" s="1"/>
  <c r="L24" i="4"/>
  <c r="M24" i="4" s="1"/>
  <c r="AE162" i="14"/>
  <c r="AE159" i="14" s="1"/>
  <c r="AG159" i="14" s="1"/>
  <c r="R6" i="14"/>
  <c r="AD199" i="14"/>
  <c r="H64" i="4"/>
  <c r="H66" i="4" s="1"/>
  <c r="I65" i="4" s="1"/>
  <c r="AJ206" i="14"/>
  <c r="Z206" i="14"/>
  <c r="F25" i="12"/>
  <c r="J23" i="12"/>
  <c r="G69" i="4"/>
  <c r="AE200" i="14"/>
  <c r="AG200" i="14" s="1"/>
  <c r="AA17" i="14"/>
  <c r="M61" i="4"/>
  <c r="N21" i="22"/>
  <c r="I80" i="22"/>
  <c r="I64" i="22"/>
  <c r="P24" i="22"/>
  <c r="P64" i="22" s="1"/>
  <c r="K24" i="22"/>
  <c r="K17" i="22"/>
  <c r="Q46" i="4"/>
  <c r="N46" i="4"/>
  <c r="K46" i="4"/>
  <c r="Q24" i="4"/>
  <c r="AF206" i="14"/>
  <c r="F24" i="12"/>
  <c r="M17" i="22"/>
  <c r="P17" i="22"/>
  <c r="I81" i="22"/>
  <c r="K63" i="22"/>
  <c r="I82" i="22"/>
  <c r="H69" i="4"/>
  <c r="K61" i="4"/>
  <c r="I80" i="4"/>
  <c r="I63" i="4"/>
  <c r="N17" i="22"/>
  <c r="K24" i="4"/>
  <c r="AD17" i="14"/>
  <c r="L12" i="13"/>
  <c r="AK200" i="14"/>
  <c r="K17" i="14"/>
  <c r="K206" i="14" s="1"/>
  <c r="H116" i="14"/>
  <c r="R106" i="14"/>
  <c r="AK17" i="14"/>
  <c r="L54" i="4"/>
  <c r="M54" i="4" s="1"/>
  <c r="M41" i="22"/>
  <c r="N41" i="22"/>
  <c r="AA159" i="14"/>
  <c r="AG17" i="14"/>
  <c r="AB159" i="14"/>
  <c r="L54" i="22"/>
  <c r="L10" i="13"/>
  <c r="L6" i="13"/>
  <c r="AB6" i="14"/>
  <c r="AB106" i="14"/>
  <c r="X206" i="14"/>
  <c r="AI6" i="14"/>
  <c r="P206" i="14"/>
  <c r="L46" i="4"/>
  <c r="M46" i="4" s="1"/>
  <c r="N42" i="22"/>
  <c r="M42" i="22"/>
  <c r="AA116" i="14"/>
  <c r="L9" i="13"/>
  <c r="L46" i="22"/>
  <c r="L63" i="22" s="1"/>
  <c r="AB116" i="14"/>
  <c r="L8" i="13"/>
  <c r="R17" i="14"/>
  <c r="Q206" i="14"/>
  <c r="AK180" i="14"/>
  <c r="AD116" i="14"/>
  <c r="AK111" i="14"/>
  <c r="R180" i="14"/>
  <c r="AB180" i="14"/>
  <c r="L15" i="13"/>
  <c r="AK106" i="14"/>
  <c r="M30" i="22"/>
  <c r="N30" i="22"/>
  <c r="AG180" i="14"/>
  <c r="AI122" i="14"/>
  <c r="AE116" i="14"/>
  <c r="AK176" i="14"/>
  <c r="AI128" i="14"/>
  <c r="R116" i="14"/>
  <c r="K9" i="13"/>
  <c r="AB17" i="14"/>
  <c r="AG111" i="14"/>
  <c r="AC206" i="14"/>
  <c r="N22" i="12"/>
  <c r="AA206" i="14" l="1"/>
  <c r="H69" i="22"/>
  <c r="AT206" i="14"/>
  <c r="AE206" i="14"/>
  <c r="AG206" i="14" s="1"/>
  <c r="AI159" i="14"/>
  <c r="AK159" i="14" s="1"/>
  <c r="L14" i="13"/>
  <c r="L7" i="13"/>
  <c r="O46" i="4"/>
  <c r="O63" i="4" s="1"/>
  <c r="N63" i="4"/>
  <c r="I81" i="4"/>
  <c r="I82" i="4"/>
  <c r="Q63" i="4"/>
  <c r="Q64" i="4" s="1"/>
  <c r="K63" i="4"/>
  <c r="I64" i="4"/>
  <c r="I66" i="4" s="1"/>
  <c r="I66" i="22"/>
  <c r="H206" i="14"/>
  <c r="AD206" i="14"/>
  <c r="AK6" i="14"/>
  <c r="L63" i="4"/>
  <c r="M63" i="4" s="1"/>
  <c r="AB206" i="14"/>
  <c r="N54" i="22"/>
  <c r="M54" i="22"/>
  <c r="K6" i="13"/>
  <c r="R206" i="14"/>
  <c r="M63" i="22"/>
  <c r="L64" i="22"/>
  <c r="M46" i="22"/>
  <c r="N46" i="22"/>
  <c r="K13" i="13"/>
  <c r="L13" i="13"/>
  <c r="AG116" i="14"/>
  <c r="K7" i="13"/>
  <c r="AI116" i="14"/>
  <c r="AM206" i="14" l="1"/>
  <c r="L65" i="22"/>
  <c r="L66" i="22" s="1"/>
  <c r="L69" i="22" s="1"/>
  <c r="O65" i="22"/>
  <c r="I69" i="22"/>
  <c r="N65" i="4"/>
  <c r="P65" i="4"/>
  <c r="L65" i="4"/>
  <c r="I69" i="4"/>
  <c r="N81" i="4"/>
  <c r="N82" i="4"/>
  <c r="O82" i="4"/>
  <c r="O81" i="4"/>
  <c r="O64" i="4"/>
  <c r="O66" i="4" s="1"/>
  <c r="O69" i="4" s="1"/>
  <c r="L64" i="4"/>
  <c r="AI206" i="14"/>
  <c r="AK206" i="14" s="1"/>
  <c r="AK116" i="14"/>
  <c r="AO206" i="14" l="1"/>
  <c r="L66" i="4"/>
  <c r="L69" i="4" s="1"/>
  <c r="Q65" i="4"/>
  <c r="Q66" i="4" s="1"/>
  <c r="Q69" i="4" s="1"/>
  <c r="P66" i="4"/>
  <c r="P69" i="4" s="1"/>
  <c r="P65" i="22"/>
  <c r="P66" i="22" s="1"/>
  <c r="P69" i="22" s="1"/>
  <c r="O66" i="22"/>
  <c r="O6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นัดถะณา  โคตรมณี</author>
  </authors>
  <commentList>
    <comment ref="AM187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ทุนพยาบาล</t>
        </r>
      </text>
    </comment>
    <comment ref="AQ196" authorId="0" shapeId="0" xr:uid="{C6CE78C8-3272-417E-ADBC-347CEAC6B23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เงินช่วยเหลือเบื้องต้นผู้รับบริการและให้บริการ</t>
        </r>
      </text>
    </comment>
  </commentList>
</comments>
</file>

<file path=xl/sharedStrings.xml><?xml version="1.0" encoding="utf-8"?>
<sst xmlns="http://schemas.openxmlformats.org/spreadsheetml/2006/main" count="3660" uniqueCount="1182">
  <si>
    <t>หน่วย : บาท</t>
  </si>
  <si>
    <t>ลำดับ</t>
  </si>
  <si>
    <t>รายการ</t>
  </si>
  <si>
    <t>รวม</t>
  </si>
  <si>
    <t>ครุภัณฑ์</t>
  </si>
  <si>
    <t>ข้อมูลย้อนหลัง 3 ปีงบประมาณ</t>
  </si>
  <si>
    <t>แผนปี 2567</t>
  </si>
  <si>
    <t>แผนปี 2568</t>
  </si>
  <si>
    <t xml:space="preserve"> รายรับ</t>
  </si>
  <si>
    <t>รายรับจากการดำเนินงาน</t>
  </si>
  <si>
    <t>รายรับค่ารักษาพยาบาลสำหรับโครงการสุขภาพถ้วนหน้า UC</t>
  </si>
  <si>
    <t>รายรับค่ารักษาพยาบาลสำหรับโครงการสุขภาพถ้วนหน้า UC งบลงทุน</t>
  </si>
  <si>
    <t>รายรับจากระบบปฏิบัติการฉุกเฉิน (EMS)</t>
  </si>
  <si>
    <t>รายรับค่ารักษาพยาบาลเบิกจ่ายตรงกรมบัญชีกลาง</t>
  </si>
  <si>
    <t>รายรับค่ารักษาพยาบาลผู้ป่วยเบิกต้นสังกัด</t>
  </si>
  <si>
    <t>รายรับค่ารักษาพยาบาลเบิกจาก อปท.</t>
  </si>
  <si>
    <t>รายรับค่ารักษาพยาบาลจากกองทุนประกันสังคม</t>
  </si>
  <si>
    <t>รายรับค่ารักษาพยาบาลแรงงานต่างด้าว</t>
  </si>
  <si>
    <t>รายรับค่ารักษาพยาบาลและการบริการอื่น</t>
  </si>
  <si>
    <t xml:space="preserve">รายรับอื่น </t>
  </si>
  <si>
    <t>รายรับเงินช่วยเหลือ</t>
  </si>
  <si>
    <t>รายรับเงินอุดหนุน</t>
  </si>
  <si>
    <t>รายรับจากการบริจาค</t>
  </si>
  <si>
    <t>รายรับดอกเบี้ยเงินฝากธนาคาร</t>
  </si>
  <si>
    <t>รายรับอื่น</t>
  </si>
  <si>
    <t>รวมรายรับ</t>
  </si>
  <si>
    <t xml:space="preserve"> รายจ่าย</t>
  </si>
  <si>
    <t>รายจ่ายบุคลากร</t>
  </si>
  <si>
    <t>ค่าจ้างลูกจ้างชั่วคราว / พนักงานกระทรวง</t>
  </si>
  <si>
    <t>ค่าตอบแทนเงินเพิ่มพิเศษไม่ทำเวชปฏิบัติส่วนตัว หรือปฏิบัติงาน รพ.เอกชน</t>
  </si>
  <si>
    <t>ค่าตอบแทนเบี้ยเลี้ยงเหมาจ่าย (ฉ.11)</t>
  </si>
  <si>
    <t>ค่าตอบแทนตามผลการปฏิบัติงาน (ฉ.12)</t>
  </si>
  <si>
    <t>เงินเพิ่ม (พ.ต.ส)</t>
  </si>
  <si>
    <t>ค่าตอบแทนเจ้าหน้าที่ปฏิบัติงานในคลินิกพิเศษเฉพาะทางนอกเวลาราชการ (SMC)</t>
  </si>
  <si>
    <t>เงินค่าใช้จ่ายบุคลากรอื่น</t>
  </si>
  <si>
    <t>รายจ่ายจากการดำเนินงาน</t>
  </si>
  <si>
    <t xml:space="preserve">ค่ายา </t>
  </si>
  <si>
    <t xml:space="preserve">    ค่าวัสดุการแพทย์</t>
  </si>
  <si>
    <t xml:space="preserve">    ค่าวัสดุวิทยาศาสตร์การแพทย์</t>
  </si>
  <si>
    <t xml:space="preserve">    ค่าวัสดุเภสัช</t>
  </si>
  <si>
    <t xml:space="preserve">    ค่าวัสดุทันตกรรม</t>
  </si>
  <si>
    <t xml:space="preserve">    ค่าวัสดุเอ็กซเรย์</t>
  </si>
  <si>
    <t>ค่าสาธารณูปโภค</t>
  </si>
  <si>
    <t>ค่าใช้สอย</t>
  </si>
  <si>
    <t>ค่าใช้จ่ายดำเนินงานอื่น</t>
  </si>
  <si>
    <t>ค่าที่ดินและสิ่งก่อสร้าง</t>
  </si>
  <si>
    <t>รวมรายจ่าย</t>
  </si>
  <si>
    <t>รายรับสูง(ต่ำกว่า)รายจ่ายสุทธิ</t>
  </si>
  <si>
    <t>บวกเงินคงเหลือสะสมยกมา</t>
  </si>
  <si>
    <t>เงินคงเหลือทั้งสิ้น(1)</t>
  </si>
  <si>
    <t>หักเงินกองทุนรอการจัดสรร(4)</t>
  </si>
  <si>
    <t>หักภาระผูกพัน(5)</t>
  </si>
  <si>
    <t>เงินคงเหลือทั้งสิ้น ประกอบด้วย</t>
  </si>
  <si>
    <t>เงินสด</t>
  </si>
  <si>
    <t>เงินฝากคลัง</t>
  </si>
  <si>
    <t>เงินฝากธนาคาร</t>
  </si>
  <si>
    <t>ประเภทประจำ</t>
  </si>
  <si>
    <t>ประเภทออมทรัพย์</t>
  </si>
  <si>
    <t>ประเภทกระแสรายวัน</t>
  </si>
  <si>
    <t>รวมเงินคงเหลือทั้งสิ้น(2)</t>
  </si>
  <si>
    <t>สมมติฐานในการจัดทำแผน</t>
  </si>
  <si>
    <t>รายรับแต่ละหมวด % เพิ่มในแต่ละปี (%)</t>
  </si>
  <si>
    <t>รายจ่ายแต่ละหมวด % เพิ่มในแต่ละปี (%)</t>
  </si>
  <si>
    <t>การลงทุน สัดส่วน % ต่อรายจ่าย (%)</t>
  </si>
  <si>
    <t>2. เงินคงเหลือทั้งสิ้น (1) ต้องเท่ากับยอดรวมเงินคงเหลือทั้งสิ้น (2)</t>
  </si>
  <si>
    <t>3. เงินคงเหลือทั้งสิ้นปีงบประมาณ 2565 (3)  ต้องเท่ากับยอดเงินคงเหลือสะสมยกมาในปีงบประมาณ 2566 (3)</t>
  </si>
  <si>
    <t>4. เงินกองทุน UC , กองทุนแรงงานต่างด้าว และกองทุนประกันสังคม ฯลฯ ที่รับไว้เพื่อรอจัดสรรให้กับบุคคลอื่น หรือหน่วยงานอื่น</t>
  </si>
  <si>
    <t>5. ภาระผูกพัน (5) ในรายงานการรับ - จ่ายเงินบำรุง ต้องเท่ากับ รวมภาระผูกพันทั้งสิ้น (5) ในรายละเอียดภาระผูกพันของหน่วยงาน</t>
  </si>
  <si>
    <t xml:space="preserve">               ลงชื่อ....................................                         ลงชื่อ...............................................................................</t>
  </si>
  <si>
    <t xml:space="preserve">ค่าตอบแทนอื่น </t>
  </si>
  <si>
    <t>ค่าครุภัณฑ์</t>
  </si>
  <si>
    <t xml:space="preserve">ค่าล่วงเวลางานบริการ / งานสนับสนุน </t>
  </si>
  <si>
    <t xml:space="preserve">  หมายเหตุ </t>
  </si>
  <si>
    <t xml:space="preserve">1. รายงานการรับ - จ่ายเงินบำรุง เป็นข้อมูลที่แสดงเงินสดรับและเงินสดจ่ายจากกิจกรรมดำเนินงานต่าง ๆ </t>
  </si>
  <si>
    <t>ค่าตอบแทนเจ้าหน้าที่ปฏิบัติงานของเจ้าหน้าที่ (นอกเวลา) ฉ5</t>
  </si>
  <si>
    <t>รายจ่ายอื่นๆ</t>
  </si>
  <si>
    <t>รายจ่ายอื่น</t>
  </si>
  <si>
    <t>รายจ่ายลงทุน</t>
  </si>
  <si>
    <t xml:space="preserve">   ค่าที่ดินและสิ่งก่อสร้างงบค่าเสื่อม</t>
  </si>
  <si>
    <t xml:space="preserve">   ค่าที่ดินและสิ่งก่อสร้างเงินบริจาค</t>
  </si>
  <si>
    <t xml:space="preserve">   ค่าที่ดินและสิ่งก่อสร้างเงินบำรุง</t>
  </si>
  <si>
    <t>ค่าเวชภัณฑ์มิใช่ยา</t>
  </si>
  <si>
    <t>เงินคงเหลือหลังหักตามข้อ (4) ข้อ(5)</t>
  </si>
  <si>
    <t xml:space="preserve">   ค่าครุภัณฑ์งบค่าเสื่อม</t>
  </si>
  <si>
    <t xml:space="preserve">   ค่าครุภัณฑ์เงินบริจาค</t>
  </si>
  <si>
    <t xml:space="preserve">   ค่าครุภัณฑ์งินบำรุง</t>
  </si>
  <si>
    <t>ค่าวัสดุ</t>
  </si>
  <si>
    <t>รายจ่ายสนับสนุน รพ.สต. รพช. รพท. รพศ. สสอ. สสจ.</t>
  </si>
  <si>
    <t>ค่าตอบแทนการปฏิบัติงานเวรผลัดบ่ายหรือผลัดดึกของเจ้าหน้าที่</t>
  </si>
  <si>
    <t>รายจ่าย</t>
  </si>
  <si>
    <t>งบกลาง (ไม่เกินร้อยละ 2-3.5 ของประมาณการรายจ่าย)</t>
  </si>
  <si>
    <t>แผนปี 2569</t>
  </si>
  <si>
    <t>2566</t>
  </si>
  <si>
    <t>2565</t>
  </si>
  <si>
    <t>2564</t>
  </si>
  <si>
    <t>สำนักงานสาธารณสุขจังหวัด...ภูเก็ต.....</t>
  </si>
  <si>
    <t xml:space="preserve"> โรงพยาบาล..วชิระภูเก็ต............</t>
  </si>
  <si>
    <t>เครื่อง warm สำหรับทำ sperm</t>
  </si>
  <si>
    <t>เครื่อง Centrifuge สำหรับทำ sperm</t>
  </si>
  <si>
    <t>ตัว incubator เก็บน้ำเชื้อ สำหรับทำ sperm</t>
  </si>
  <si>
    <t>ยูนิตทำฟัน</t>
  </si>
  <si>
    <t>ตู้เย็นเก็บน้ำยา 2-8 องศาเซลเซียส (Laboratory Refrigerator)</t>
  </si>
  <si>
    <t>ฉากกั้นรังสีแบบใส</t>
  </si>
  <si>
    <t>เครื่องล้างจานอัตโนมัติ</t>
  </si>
  <si>
    <t>ระบบจอดรถ อาคารจอดรถ 10 ชั้น พร้อมติดตั้ง</t>
  </si>
  <si>
    <t>การรื้อระบบเครื่องดูดควัน</t>
  </si>
  <si>
    <t>เครื่องคอมพิวเตอร์แม่ข่ายแบบที่ 1</t>
  </si>
  <si>
    <t>เครื่องวัดความดันโลหิตอัตโนมัติชนิดสอดแขนพร้อมรถเข็นขาตั้งครบชุด</t>
  </si>
  <si>
    <t>เครื่องวัดความดันโลหิตแบบอัตโนมัติ</t>
  </si>
  <si>
    <t>อุปกรณ์เจาะชิ้นเนื้อเต้านม (Magnum biopsy)</t>
  </si>
  <si>
    <t>เกย์ออกซิเจน อัตราการไหลต่ำ (low flow)</t>
  </si>
  <si>
    <t>ก็อกน้ำเซนเซอร์</t>
  </si>
  <si>
    <t>ไมโครโฟนไร้สาย รุ่น TOA</t>
  </si>
  <si>
    <t>อุปกรณ์-วัสดุ กระตุ้นพัฒนาการเด็ก</t>
  </si>
  <si>
    <t>ครุภัณฑ์งานบ้าน</t>
  </si>
  <si>
    <t>ครุภัณฑ์สำนักงาน</t>
  </si>
  <si>
    <t>ครุภัณฑ์คอมพิวเตอร์</t>
  </si>
  <si>
    <t>ครุภัณฑ์ไฟฟ้า</t>
  </si>
  <si>
    <t>คิดเป็น%</t>
  </si>
  <si>
    <t>ผลดำเนินงาน ไตรมาส 1   (ตค.-ธค.66)</t>
  </si>
  <si>
    <t xml:space="preserve">                    (ลงชื่อ)......................................ผู้รายงาน                   (ลงชื่อ).......................................ผู้เห็นชอบ</t>
  </si>
  <si>
    <t>คิดเป็น %</t>
  </si>
  <si>
    <t>แผนครึ่งปีหลัง
ปีงบ 67</t>
  </si>
  <si>
    <t>แผนปี 2567
(เดิม)</t>
  </si>
  <si>
    <t>รายรับจริง
ณ 31 มี.ค.67</t>
  </si>
  <si>
    <t>เปรียบเทียบ
แผน</t>
  </si>
  <si>
    <t>จำนวนเงิน (บาท)</t>
  </si>
  <si>
    <t>หมายเหตุ</t>
  </si>
  <si>
    <t xml:space="preserve"> </t>
  </si>
  <si>
    <t>รายรับ
ปี 2562</t>
  </si>
  <si>
    <t>รายรับ
ปี 2563</t>
  </si>
  <si>
    <t>รายรับเบิกจากคลัง</t>
  </si>
  <si>
    <t>ค่าธรรมเนียม 30 บาท</t>
  </si>
  <si>
    <t>ชำระเงินเอง (เงินสด + บัตรเครดิต)</t>
  </si>
  <si>
    <t>บัตรทอง(เหมาจ่าย) (OP+IP+PP)</t>
  </si>
  <si>
    <t>ปกส.</t>
  </si>
  <si>
    <t>พรบ.</t>
  </si>
  <si>
    <t>ดอกเบี้ยเงินฝากธนาคาร</t>
  </si>
  <si>
    <t>งบลงทุน uc</t>
  </si>
  <si>
    <t>เงินบริจาค</t>
  </si>
  <si>
    <t xml:space="preserve"> -</t>
  </si>
  <si>
    <t>รวมเงิน</t>
  </si>
  <si>
    <t>ค่าตอบแทน</t>
  </si>
  <si>
    <t xml:space="preserve"> ค่าสาธารณูปโภค</t>
  </si>
  <si>
    <t xml:space="preserve"> ค่าวัสดุ</t>
  </si>
  <si>
    <t xml:space="preserve"> ครุภัณฑ์</t>
  </si>
  <si>
    <t xml:space="preserve"> เงินอุดหนุน (ไม่ปฏิบัติเวช)</t>
  </si>
  <si>
    <t xml:space="preserve"> งบกลาง</t>
  </si>
  <si>
    <t>หมวดรายจ่าย</t>
  </si>
  <si>
    <t>รายจ่ายจริง
ปี 2562</t>
  </si>
  <si>
    <t>รายจ่ายจริง
ปี 2563</t>
  </si>
  <si>
    <t>รายจ่ายจริง
ปี 2564</t>
  </si>
  <si>
    <t xml:space="preserve">  แผนรายจ่าย
ปี 2565 </t>
  </si>
  <si>
    <t>รายจ่ายจริง
ปี 2565</t>
  </si>
  <si>
    <t>หนี้ค้าง  
ปี 2565</t>
  </si>
  <si>
    <t>แผนรายจ่าย
ปีงบฯ 2566</t>
  </si>
  <si>
    <t>ก่อหนี้/ตรวจรับ
ณ ก.ย.66</t>
  </si>
  <si>
    <t xml:space="preserve">
ก่อหนี้/ยังไม่
ตรวจรับ
ณ ก.ค.66
</t>
  </si>
  <si>
    <t>คิดเป็นร้อยละของแผน</t>
  </si>
  <si>
    <t>1.</t>
  </si>
  <si>
    <t>ค่าจ้างชั่วคราว</t>
  </si>
  <si>
    <t>P18</t>
  </si>
  <si>
    <t>2.</t>
  </si>
  <si>
    <t>P19</t>
  </si>
  <si>
    <t xml:space="preserve">ค่าตอบแทน (OT) </t>
  </si>
  <si>
    <t>ค่าตอบแทนสาขาขาดแคลน</t>
  </si>
  <si>
    <t>ค่าตอบแทนควบคุมงาน</t>
  </si>
  <si>
    <t>ค่าตอบแทน P4P</t>
  </si>
  <si>
    <t>ค่าตอบแทนชันสูตรพลิกศพ</t>
  </si>
  <si>
    <t>ค่าตอบแทน พตส.</t>
  </si>
  <si>
    <t>ค่าตอบแทน-ความเสี่ยง Covid-19</t>
  </si>
  <si>
    <t>P20</t>
  </si>
  <si>
    <t>ค่าตอบแทนปฏิบัติงานส่งต่อผู้ป่วยทางอากาศ</t>
  </si>
  <si>
    <t>ค่าตอบแทนแพทย์ผู้เชี่ยวชาญ (นอก รพ.)</t>
  </si>
  <si>
    <t>3.</t>
  </si>
  <si>
    <t>ค่ากำจัดขยะ</t>
  </si>
  <si>
    <t>P21</t>
  </si>
  <si>
    <t>ค่าธนาณัติ+ธรรมเนียม</t>
  </si>
  <si>
    <t>ค่าบำรุงรักษาซ่อมแซมทรัพย์สิน</t>
  </si>
  <si>
    <t xml:space="preserve"> - ค่าซ่อมแซมอาคารและสิ่งปลูกสร้าง
</t>
  </si>
  <si>
    <t xml:space="preserve"> - ค่าซ่อมแซมครุภัณฑ์ยานพาหนะ
</t>
  </si>
  <si>
    <t xml:space="preserve"> - ค่าซ่อมแซมครุภัณฑ์ไฟฟ้าและวิทยุ 
</t>
  </si>
  <si>
    <t xml:space="preserve"> - ค่าซ่อมแซมครุภัณฑ์วิทยาศาสตร์และการแพทย์ 
</t>
  </si>
  <si>
    <t xml:space="preserve"> - ค่าซ่อมแซมครุภัณฑ์อื่นๆ+ลิฟท์</t>
  </si>
  <si>
    <t>ค่าจ้างเหมาปรับปรุงและบำรุงรักษา</t>
  </si>
  <si>
    <t xml:space="preserve"> - ค่าจ้างเหมาบำรุงรักษาดูแลลิฟท์</t>
  </si>
  <si>
    <t xml:space="preserve"> - ค่าจ้างเหมาบำรุงรักษาเครื่องปรับอากาศ</t>
  </si>
  <si>
    <t>ค่าใช้จ่ายโครงการ + โครงการ PP</t>
  </si>
  <si>
    <t>P25</t>
  </si>
  <si>
    <t>ค่าพาหนะเดินทางไปราชการ+อบรม+ค่าลงทะเบียน</t>
  </si>
  <si>
    <t>P20,P21</t>
  </si>
  <si>
    <t>ค่าเบี้ยเลี้ยง+ค่าที่พัก</t>
  </si>
  <si>
    <t>ค่าสลายนิ่ว+ฟอกเลือด</t>
  </si>
  <si>
    <t>ค่าจ้างเหมาทำความสะอาด</t>
  </si>
  <si>
    <t>ค่าเช่าเครื่องเอกซเรย์</t>
  </si>
  <si>
    <t>*</t>
  </si>
  <si>
    <t xml:space="preserve">ค่าตรวจเอกซเรย์คอมพิวเตอร์ CT </t>
  </si>
  <si>
    <t xml:space="preserve">ค่าตรวจเอกซเรย์คอมพิวเตอร์ MRI </t>
  </si>
  <si>
    <t>ค่าจ้างเหมาบริการตรวจมวลกระดูก</t>
  </si>
  <si>
    <t>ค่าจ้างติดตั้งโปรแกรมสารสนเทศ  (ค่าจ้างเหมาอื่น) 
ค่าจ้างบำรุงรักษา ระบบ HOSXP</t>
  </si>
  <si>
    <t xml:space="preserve">ค่าเช่าอาคาร </t>
  </si>
  <si>
    <t>ค่าเช่าตู้คอนเทนเนอร์</t>
  </si>
  <si>
    <t>ค่าเช่าระบบจ่ายยา ค่าจ้างเหมาบริการทางการแพทย์</t>
  </si>
  <si>
    <t>ค่าเบี้ยประกันภัย</t>
  </si>
  <si>
    <t>ค่าจ้างเหมาบริการตรวจคัดกรองหาเชื้อโควิด 19</t>
  </si>
  <si>
    <t>ค่าจ้างเหมาอื่น</t>
  </si>
  <si>
    <t>ค่าจ้างบริการตรวจเอกซเรย์เคลื่อนที่พร้อมอ่านฟิล์ม</t>
  </si>
  <si>
    <t>4.</t>
  </si>
  <si>
    <t>P22</t>
  </si>
  <si>
    <t>ค่าไฟฟ้า</t>
  </si>
  <si>
    <t>ค่าน้ำประปา</t>
  </si>
  <si>
    <t>ค่าโทรศัพท์/บริการโทรคมนาคม</t>
  </si>
  <si>
    <t>ค่าฝากส่งไปรษณีย์</t>
  </si>
  <si>
    <t>5.</t>
  </si>
  <si>
    <t>เงินอุดหนุน</t>
  </si>
  <si>
    <t>เงินเพิ่มพิเศษสำหรับแพทย์</t>
  </si>
  <si>
    <t>เงินเพิ่มพิเศษสำหรับทันตแพทย์</t>
  </si>
  <si>
    <t>เงินเพิ่มพิเศษสำหรับเภสัชกร</t>
  </si>
  <si>
    <t>อื่น ๆ ฉีดยาศพ ค่าใช้จ่ายลักษณะอื่น</t>
  </si>
  <si>
    <t>6.</t>
  </si>
  <si>
    <t xml:space="preserve">ค่าวัสดุสำนักงาน </t>
  </si>
  <si>
    <t>P23</t>
  </si>
  <si>
    <t>ค่าวัสดุไฟฟ้า</t>
  </si>
  <si>
    <t xml:space="preserve">งานบ้าน + น้ำดื่ม </t>
  </si>
  <si>
    <t>วัสดุก่อสร้าง</t>
  </si>
  <si>
    <t>เชื้อเพลิง</t>
  </si>
  <si>
    <t xml:space="preserve"> - เชื้อเพลิงรถยนต์</t>
  </si>
  <si>
    <t xml:space="preserve"> - เชื้อเพลิงช่าง</t>
  </si>
  <si>
    <t xml:space="preserve"> - แก๊ส LPG</t>
  </si>
  <si>
    <t>เครื่องแต่งกาย (ซักฟอกและเครื่องตัดเย็บ)</t>
  </si>
  <si>
    <t>ค่าขอใช้ในการถ่ายรูป</t>
  </si>
  <si>
    <t>ค่าวัสดุวิทยาศาสตร์</t>
  </si>
  <si>
    <t>P16</t>
  </si>
  <si>
    <t xml:space="preserve"> - ออกซิเจนเหลว</t>
  </si>
  <si>
    <t xml:space="preserve"> -  LAB (ทั่วไป)</t>
  </si>
  <si>
    <t xml:space="preserve"> - พยาธิกายวิภาค</t>
  </si>
  <si>
    <t xml:space="preserve"> - ธนาคารเลือด</t>
  </si>
  <si>
    <t xml:space="preserve"> - ออกซิเจนถัง</t>
  </si>
  <si>
    <t>ค่าเวชภัณฑ์(ยา)+เอกซเรย์ (ยา)</t>
  </si>
  <si>
    <t>P14</t>
  </si>
  <si>
    <t>เวชภัณฑ์มิใช่ยา (วัสดุเภสัช+ทันตกรรม+เอกซเรย์)</t>
  </si>
  <si>
    <t>P15</t>
  </si>
  <si>
    <t xml:space="preserve"> - เวชภัณฑ์เภสัช</t>
  </si>
  <si>
    <t xml:space="preserve"> - ทันตกรรม</t>
  </si>
  <si>
    <t>P151</t>
  </si>
  <si>
    <t xml:space="preserve"> - เอกซเรย์ (เวชภัณฑ์+intervention)</t>
  </si>
  <si>
    <t>ค่าเครื่องบริโภค(โภชนาการ)</t>
  </si>
  <si>
    <t>ค่าหนังสือ</t>
  </si>
  <si>
    <t xml:space="preserve">ค่าแบบพิมพ์            </t>
  </si>
  <si>
    <t>ค่าวัสดุการแพทย์</t>
  </si>
  <si>
    <t xml:space="preserve"> - วัสดุการแพทย์ (ซ่อมเครื่องมือแพทย์)</t>
  </si>
  <si>
    <t xml:space="preserve"> - การแพทย์ผ่าตัด</t>
  </si>
  <si>
    <t xml:space="preserve"> - เวชภัณฑ์การพยาบาล</t>
  </si>
  <si>
    <t xml:space="preserve"> - เฝือก</t>
  </si>
  <si>
    <t xml:space="preserve"> - เวชศาสตร์ฟื้นฟู</t>
  </si>
  <si>
    <t xml:space="preserve"> - ไตเทียม</t>
  </si>
  <si>
    <t xml:space="preserve"> - โสต ศอ นาสิก ลาริงซ์</t>
  </si>
  <si>
    <t xml:space="preserve"> - จักษุ</t>
  </si>
  <si>
    <t xml:space="preserve"> - ตรวจสวนหัวใจ</t>
  </si>
  <si>
    <t xml:space="preserve"> - เวชภัณฑ์ทั่วไป</t>
  </si>
  <si>
    <t xml:space="preserve"> - วิสัญญี</t>
  </si>
  <si>
    <t xml:space="preserve">ค่าวัสดุอื่น ๆ </t>
  </si>
  <si>
    <t>วัสดุโฆษณาและเผยแพร่</t>
  </si>
  <si>
    <t>วัสดุคอมพิวเตอร์</t>
  </si>
  <si>
    <t>7.</t>
  </si>
  <si>
    <t>ครุภัณฑ์การแพทย์</t>
  </si>
  <si>
    <t xml:space="preserve"> - เงินนอกงบประมาณ (เงินบำรุง)</t>
  </si>
  <si>
    <t xml:space="preserve"> - เงินบริจาค</t>
  </si>
  <si>
    <t>ครุภัณฑ์โฆษณา (+ครุภัณฑ์อื่น)</t>
  </si>
  <si>
    <t>ครุภัณฑ์โรงงาน</t>
  </si>
  <si>
    <t>ครุภัณฑ์ก่อสร้าง</t>
  </si>
  <si>
    <t>ครุภัณฑ์ UC (งบค่าเสื่อม)</t>
  </si>
  <si>
    <t>8.</t>
  </si>
  <si>
    <t>ค่าที่ดิน และสิ่งก่อสร้างลิฟต์,อาคาร</t>
  </si>
  <si>
    <t>9.</t>
  </si>
  <si>
    <t>รายจ่ายอื่น ๆ (คืนค่ารักษา,จ่าย สอ.,ศูนย์บริการฯ)</t>
  </si>
  <si>
    <t>คืนเงินค่ารักษาพยาบาล</t>
  </si>
  <si>
    <t>งบลงทุน uc สอ.</t>
  </si>
  <si>
    <t xml:space="preserve">จัดสรรให้ สอ.เครือข่าย จัดสรร </t>
  </si>
  <si>
    <t>เงินสนับสนุน สอ.เกาะมะพร้าว, (สอ.เกาะโหลน)</t>
  </si>
  <si>
    <t>ทุนการศึกษาพยาบาล + นักรังสี</t>
  </si>
  <si>
    <t>คืนค่าใช้จ่ายโครงการ</t>
  </si>
  <si>
    <t>จัดสรรตามเกณฑ์ คุณภาพ QOF</t>
  </si>
  <si>
    <t>คืนค่ารักษาพยาบาลให้กรมบัญชีกลาง</t>
  </si>
  <si>
    <t>คืนเงินค่ารักษาพยาบาล (พรบ.)</t>
  </si>
  <si>
    <t>ค่าศึกษาความเป็นไปได้ (โครงการยกระดับฯ)</t>
  </si>
  <si>
    <t>ค่าศึกษาผลกระทบสิ่งแวดล้อมโครงการไม้ขาว</t>
  </si>
  <si>
    <t>คืนเงินค่าตอบแทน(Covid-19) เงิน งปม. งบกลาง-สสจ.ภูเก็ต</t>
  </si>
  <si>
    <t>10.</t>
  </si>
  <si>
    <t>11.</t>
  </si>
  <si>
    <t>งบกลาง</t>
  </si>
  <si>
    <t>จำนวน
(หน่วย)</t>
  </si>
  <si>
    <t>จำนวน 
(บาท/หน่วย)</t>
  </si>
  <si>
    <t>วงเงิน 
งบประมาณ (บาท)</t>
  </si>
  <si>
    <t>หน่วยงาน</t>
  </si>
  <si>
    <t xml:space="preserve">แหล่งงบ </t>
  </si>
  <si>
    <t>ในแผน/นอกแผน</t>
  </si>
  <si>
    <t>จะจ่ายได้ในปี</t>
  </si>
  <si>
    <t>วันที่รับหนังสือ (ก.ยุทธ์)</t>
  </si>
  <si>
    <t>เลขหนังสือ</t>
  </si>
  <si>
    <t>วันที่ ก.พัสดุรับหนังสือ</t>
  </si>
  <si>
    <t xml:space="preserve">วิธีการจัดซื้อ </t>
  </si>
  <si>
    <t>ผู้รับผิดชอบ</t>
  </si>
  <si>
    <t>1.จัดทำแผนการจัดซื้อจัดจ้าง</t>
  </si>
  <si>
    <t>2.แต่งตั้งคณะกรรมการกำหนดราคา</t>
  </si>
  <si>
    <t>3.รายงานผลการกำหนดราคากลาง
และรายละเอียดคุณลักษณะ</t>
  </si>
  <si>
    <t>4.รายงานขอซื้อขอจ้าง</t>
  </si>
  <si>
    <t>5.เผยแพร่ร่าง TOR</t>
  </si>
  <si>
    <t>6.รายงานผล
การเผยแพร่ร่าง TOR</t>
  </si>
  <si>
    <t>7.ประกาศเชิญชวน</t>
  </si>
  <si>
    <t>8.วันเสนอราคา</t>
  </si>
  <si>
    <t>9.รายงานผล
การพิจารณาเสนอราคา</t>
  </si>
  <si>
    <t>10.ระยะเวลาอุทธรณ์
ผลการพิจารณา</t>
  </si>
  <si>
    <t>11.จัดทำสัญญา/
ใบสั่งซื้อสั่งจ้าง</t>
  </si>
  <si>
    <t>12. ครบกำหนดส่งมอบ</t>
  </si>
  <si>
    <t>13.ส่งมอบ/
รายงานผลตรวจรับ</t>
  </si>
  <si>
    <t>14.เบิกจ่ายเงิน</t>
  </si>
  <si>
    <t>14.เบิกจ่ายแล้ว</t>
  </si>
  <si>
    <t>เภสัชกรรม</t>
  </si>
  <si>
    <t>เทคนิคการแพทย์
และพยาธิวิทยาคลินิก</t>
  </si>
  <si>
    <t>ห้องผ่าตัด</t>
  </si>
  <si>
    <t>กลุ่มงานโภชนศาสตร์</t>
  </si>
  <si>
    <t>กลุ่มงานเทคโนโลยีสารสนเทศ</t>
  </si>
  <si>
    <t>งานช่าง</t>
  </si>
  <si>
    <t>กลุ่มงานวิสัญญี</t>
  </si>
  <si>
    <t>-</t>
  </si>
  <si>
    <t>02.04.67</t>
  </si>
  <si>
    <t>กลุ่มงาน สูติ-นรีเวชกรรม</t>
  </si>
  <si>
    <t>กลุ่มงานทันตกรรม</t>
  </si>
  <si>
    <t>งานธนาคารเลือด</t>
  </si>
  <si>
    <t>งานกายภาพบำบัด</t>
  </si>
  <si>
    <t>งานซักฟอกและตัดเย็บ</t>
  </si>
  <si>
    <t>งานจ่ายกลาง</t>
  </si>
  <si>
    <t>Removal of Ethylene oxide by catalytic system 
(เครื่องระบายแก๊สเอทธิลีนออกไซด์ด้วยระบบการเร่งปฏิกิริยา)</t>
  </si>
  <si>
    <t>งานไตเทียม</t>
  </si>
  <si>
    <t>ศูนย์เครื่องมือแพทย์</t>
  </si>
  <si>
    <t>กลุ่มงาน โภชนศาสตร์</t>
  </si>
  <si>
    <t>กลุ่มงานรังสีวิทยา</t>
  </si>
  <si>
    <t>ระบบ Nurse Call อาคารหลวงพ่อแช่ม ชั้น5</t>
  </si>
  <si>
    <t>เครื่อง High flow oxygen</t>
  </si>
  <si>
    <t>Sick newborn (1/2)</t>
  </si>
  <si>
    <t>เครื่องช่วยหายใจชนิดไม่สอดใส่</t>
  </si>
  <si>
    <t xml:space="preserve"> NICU (2/2)</t>
  </si>
  <si>
    <t>เครื่องให้ความอบอุ่นทารกแรกเกิด</t>
  </si>
  <si>
    <t>NICU</t>
  </si>
  <si>
    <t>cath lab (0/2)</t>
  </si>
  <si>
    <t xml:space="preserve">เครื่องดมยาพร้อมเครื่องช่วยหายใจพร้อมเครื่องติดตามสัญญาณชีพ  </t>
  </si>
  <si>
    <t xml:space="preserve">เครื่องติดตามสัญญาณชีพห้องพักฟื้น  </t>
  </si>
  <si>
    <t>โคมไฟผ่าตัดใหญ่</t>
  </si>
  <si>
    <t>เตียงผ่าตัดทั่วไประบบไฟฟ้า</t>
  </si>
  <si>
    <t>กลุ่มงานสูติ-นรีเวชกรรม</t>
  </si>
  <si>
    <t>หอผู้ป่วยศัลยกรรมกระดูก</t>
  </si>
  <si>
    <t>ประตูบานคู่เปิดปิดอัตโนมัติ 2 ชุด</t>
  </si>
  <si>
    <t>ระบบเรียกพยาบาล Nurse call System</t>
  </si>
  <si>
    <t>09.04.67 เสนอหัวหน้าเจ้าหน้าที่</t>
  </si>
  <si>
    <t>เครื่องกระตุกหัวใจด้วยไฟฟ้า</t>
  </si>
  <si>
    <t>หอผู้ป่วยหนักอายุรกรรม</t>
  </si>
  <si>
    <t>เครื่องผลิตสุญญากาศทางการแพทย์ Vacuum Pump สงฆ์อาพาธ</t>
  </si>
  <si>
    <t>ไตเทียม</t>
  </si>
  <si>
    <t>22.03.67</t>
  </si>
  <si>
    <t>OPD อายุรกรรม</t>
  </si>
  <si>
    <t>กลุ่มการพยาบาล</t>
  </si>
  <si>
    <t>เครื่องวัดความถ่วงจำเพาะ (Reflactometer)</t>
  </si>
  <si>
    <t>เทคนิคการแพทย์และพยาธิวิทยาคลินิก</t>
  </si>
  <si>
    <t>กลุ่มการพยาบาล Echo(0/1)</t>
  </si>
  <si>
    <t>รังสีวิทยา</t>
  </si>
  <si>
    <t>OPD กุมารเวช</t>
  </si>
  <si>
    <t>จิตเวชและยาเสพติด</t>
  </si>
  <si>
    <t>EENT</t>
  </si>
  <si>
    <t>การแพทย์</t>
  </si>
  <si>
    <t>เครื่องทำน้ำอุ่น</t>
  </si>
  <si>
    <t>งานเวชนิทัศน์</t>
  </si>
  <si>
    <t>เครื่องสแกนเอกสาร</t>
  </si>
  <si>
    <t>หอผู้ป่วยร่มไทร</t>
  </si>
  <si>
    <t>กลุ่มงานบริหารทั่วไป</t>
  </si>
  <si>
    <t>งานผู้ป่วยนอก</t>
  </si>
  <si>
    <t>เก้าอี้สำนักงาน</t>
  </si>
  <si>
    <t>โทรศัพท์ไร้สาย</t>
  </si>
  <si>
    <t>งานประกันสุขภาพ</t>
  </si>
  <si>
    <t xml:space="preserve">รถเข็นสแตนเลสทำการพยาบาล 3 ลิ้นชัก </t>
  </si>
  <si>
    <t>รถเข็นสแตนเลส 2 ชั้น</t>
  </si>
  <si>
    <t xml:space="preserve">เก้าอี้ไม่มีล้อ ปรับขึ้นลงได้ </t>
  </si>
  <si>
    <t>เสาน้ำเกลือ</t>
  </si>
  <si>
    <t>Laryngoscope  ชนิดหลอด LED</t>
  </si>
  <si>
    <t>เครื่องอบอุ่นร่างกายชนิดเป่าลมร้อน</t>
  </si>
  <si>
    <t>โต๊ะจัดเครื่องมือ</t>
  </si>
  <si>
    <t>โต๊ะวางชุดทำความสะอาด</t>
  </si>
  <si>
    <t>เก้าอี้มีล้อหมุน ปรับขนาดได้</t>
  </si>
  <si>
    <t>โต๊ะเมโยจัดเครื่องมือ</t>
  </si>
  <si>
    <t>ถังขยะ มีล้อ</t>
  </si>
  <si>
    <t>ไม้รองขา</t>
  </si>
  <si>
    <t>โครงเหล็กใส่ถุงผ้า</t>
  </si>
  <si>
    <t>ชั้นวางของชนิด 4 ชั้น</t>
  </si>
  <si>
    <t>เบิกจ่ายแล้ว</t>
  </si>
  <si>
    <t>ทาสีอาคาร OPD  พื้นที่ประมาณ 15000 ตรม.</t>
  </si>
  <si>
    <t>04.05.67</t>
  </si>
  <si>
    <t xml:space="preserve">รายรับจริง ปี 2565
</t>
  </si>
  <si>
    <t>รายรับจริง
ปี 2564</t>
  </si>
  <si>
    <t>รายรับจริง ปี 2566</t>
  </si>
  <si>
    <t>ค่าตอบแทนอื่นๆ (ค่าตอบแทนกรรมการ+สปสช+ช่วยเหลือกรณีเสียชีวิต)</t>
  </si>
  <si>
    <t>แผนรายรับ - รายจ่ายเงินนอกงบประมาณ (เงินบำรุง)  ปีงบประมาณ 2567 : ครึ่งปีหลัง</t>
  </si>
  <si>
    <t>แผนรายรับ - รายจ่ายเงินนอกงบประมาณ (เงินบำรุง)  ปีงบประมาณ 2567 -2569</t>
  </si>
  <si>
    <t>แผนปีงบ 67
ครึ่งปีหลัง</t>
  </si>
  <si>
    <t>ส่วนต่าง
(บาท)</t>
  </si>
  <si>
    <t>โทรทัศน์ ขนาด 32 นิ้ว</t>
  </si>
  <si>
    <t>ซื้อที่ดิน 1 ไร่ 34 ตารางวา ตรงข้ามหน้าโรงพยาบาลวชิระภูเก็ต</t>
  </si>
  <si>
    <t>ศูนย์เวชศาสตร์ฟื้นฟูครบวงจร</t>
  </si>
  <si>
    <t>ระบบคิวผู้ป่วยนอก ออนไลน์</t>
  </si>
  <si>
    <t>รองปฐมภูมิ</t>
  </si>
  <si>
    <t>ค่าจ้างจัดทำป้ายภายในอาคารอายุรกรรม</t>
  </si>
  <si>
    <t>ค่าจ้างออกแบบ wellness center</t>
  </si>
  <si>
    <t>non COVID
(บาท)</t>
  </si>
  <si>
    <t>Covid
(บาท)</t>
  </si>
  <si>
    <t>เจ้าหนี้คงค้าง</t>
  </si>
  <si>
    <t>ค่ากำจัดปลวก</t>
  </si>
  <si>
    <t>ค่าเช่าเต็นท์ (ค่าจ้างเหมาอื่น)</t>
  </si>
  <si>
    <t>ครุภัณฑ์การเกษตร</t>
  </si>
  <si>
    <t>ก่อหนี้</t>
  </si>
  <si>
    <t>ประมาณการรายจ่าย
ปีงบฯ 2567</t>
  </si>
  <si>
    <t>กำแพงกันดินตึกอันดามันไปอาคารอุบัติเหตุ 10 ชั้น</t>
  </si>
  <si>
    <t>ทางเดินเชื่อมตึกอันดามันไปอาคารอุบัติเหตุ 10 ชั้น</t>
  </si>
  <si>
    <t xml:space="preserve">ปรับปรุงห้องพิเศษกุมารเวชกรรม </t>
  </si>
  <si>
    <t>จ้างปรับปรุงห้องตึก 298 พร้อมเฟอร์นิเจอร์ ชั้น 2-8</t>
  </si>
  <si>
    <t>ผ้าม่านสามัญ ตึก 298</t>
  </si>
  <si>
    <t>ระบบเติมอากาศในห้องคลอด</t>
  </si>
  <si>
    <t>ค่าปลูกป่าชดเชย สวนป่าขนุน</t>
  </si>
  <si>
    <t>รายจ่ายจริง
ปี 2566</t>
  </si>
  <si>
    <t>ค่าลิขสิทธิ์โปรแกรม QR Payment</t>
  </si>
  <si>
    <t xml:space="preserve">แผนจัดซื้อ ครุภัณฑ์ software AI
</t>
  </si>
  <si>
    <t>ลิขสิทธิ์โปรแกรม Navicate Premium</t>
  </si>
  <si>
    <t xml:space="preserve">ระบบ software ERP
</t>
  </si>
  <si>
    <t xml:space="preserve">ระบบ software : Cloud based Hospital Information System ต่อขยายจาก Dr.Module ให้ครอบคลุมทุกระบบในโรงพยาบาล 
</t>
  </si>
  <si>
    <t xml:space="preserve">Firewall (รวม WAF) VCH  สำหรับ data center </t>
  </si>
  <si>
    <t>ซอฟ์ทแวร์ลิขสิทธิ์ 400license สำหรับเครื่องคอมพิวเตอร์ (Clients)</t>
  </si>
  <si>
    <t>กลุ่มภารกิจ สุขภาพดิจิทัล</t>
  </si>
  <si>
    <t>คอมพิวเตอร์โน้ตบุ๊ก สำหรับงานประมวลผล</t>
  </si>
  <si>
    <t>ค่าจ้างที่ปรึกษาระบบ Network และ Server</t>
  </si>
  <si>
    <t>ระบบเครือข่าย อาคารอายุรกรรม 298</t>
  </si>
  <si>
    <t>เครื่องพิมพ์ Multifunction แบบฉีดหมึก (Inkjet)</t>
  </si>
  <si>
    <t>สแกนเนอร์ สำหรับงานเก็บเอกสารระดับศูนย์บริการ แบบที่ 2</t>
  </si>
  <si>
    <t>จอภาพแบบ LED หรือดีกว่า ขนาดไม่น้อยกว่า 23.5 นิ้ว</t>
  </si>
  <si>
    <t>เครื่องสำรองไฟฟ้า ขนาด 1 kVA</t>
  </si>
  <si>
    <t xml:space="preserve">เครื่องสำรองไฟฟ้า ขนาด 3 kVA </t>
  </si>
  <si>
    <t>QRCode / Barcode Reader</t>
  </si>
  <si>
    <t>เครื่องพิมพ์ชนิด Thermal Printer</t>
  </si>
  <si>
    <t>Hard disk SSD 1TB</t>
  </si>
  <si>
    <t>Power Supply Full watt</t>
  </si>
  <si>
    <t>Wire Combo Mouse Keyboard</t>
  </si>
  <si>
    <t xml:space="preserve">ATA 2ช่อง </t>
  </si>
  <si>
    <t>ATA 16ช่อง</t>
  </si>
  <si>
    <t xml:space="preserve">ATA 32ช่อง </t>
  </si>
  <si>
    <t xml:space="preserve">ATA 48ช่อง </t>
  </si>
  <si>
    <t xml:space="preserve">DECT IP Phone </t>
  </si>
  <si>
    <t xml:space="preserve">WIFI IP Phone </t>
  </si>
  <si>
    <t xml:space="preserve">IP Phone ตั้งโต๊ะ(มีสาย) </t>
  </si>
  <si>
    <t xml:space="preserve">HDD 2TB SATA 2.5" SDD </t>
  </si>
  <si>
    <t xml:space="preserve">HDD 4TB SATA 2.5" SDD </t>
  </si>
  <si>
    <t>switch</t>
  </si>
  <si>
    <t>เครื่องช่วยการทำงานของหัวใจและปอด (ECMO)</t>
  </si>
  <si>
    <t>โคมไฟผ่าตัดชนิดมีกล้อง 3 แขนติดเพดาน ซึ่งรองรับระบบกล้องถ่ายทอดสัญญาณภาพ</t>
  </si>
  <si>
    <t>เครื่องติดตามการทำงานของหัวใจและสัญญาณชีพ</t>
  </si>
  <si>
    <t xml:space="preserve">ชุดอุปกรณ์ควบคุมการดูดเลือดดำขณะผ่าตัด </t>
  </si>
  <si>
    <t>เครื่องวัดการแข็งตัวของเลือด (ACT Analyzed)</t>
  </si>
  <si>
    <t xml:space="preserve">เครื่องตรวจ ABG Electrolyte CBC </t>
  </si>
  <si>
    <t>เครื่องกรอความถี่สูง หัวกรอกากเพชร (Rota Pro)</t>
  </si>
  <si>
    <t>ลิ้นหัวใจเอออร์ติก</t>
  </si>
  <si>
    <t>OR CVT</t>
  </si>
  <si>
    <t>Cath Lab</t>
  </si>
  <si>
    <t xml:space="preserve"> - เงินบำรุง</t>
  </si>
  <si>
    <t xml:space="preserve"> - เงินบำรุงสมทบ งบ อบจ.</t>
  </si>
  <si>
    <t>ครุภัณฑ์ UC (เงินบำรุงสมทบงบค่าเสื่อม)</t>
  </si>
  <si>
    <t>ยังไม่ดำเนินการ</t>
  </si>
  <si>
    <t>งบค่าเสื่อม 68</t>
  </si>
  <si>
    <t>11.จัดทำสัญญา</t>
  </si>
  <si>
    <t>หอผู้ป่วยศัลยกรรมกระดูก 
(หลวงพ่อแช่ม ชั้น 5)</t>
  </si>
  <si>
    <t>ผลการดำเนินงาน</t>
  </si>
  <si>
    <t>จ้างติดตั้งเครื่องอบแก๊ส EO</t>
  </si>
  <si>
    <t xml:space="preserve">ค่า Maintenance+Activate ระบบสารสนเทศโรงพยาบาลโปรแกรม HosXP XE V4 </t>
  </si>
  <si>
    <t>12.</t>
  </si>
  <si>
    <t xml:space="preserve"> - เงินบำรุงสมทบ</t>
  </si>
  <si>
    <t>งานห้องผ่าตัด</t>
  </si>
  <si>
    <t>ประชาสัมพันธ์</t>
  </si>
  <si>
    <t xml:space="preserve">เครื่องดึงคอและหลังอัตโนมัติพร้อมเตียง </t>
  </si>
  <si>
    <t>เลนส์สำหรับผ่าตัดผ่านกล้องในช่องท้องชนิดวิดีทัศน์ 10 มม 30 องศา</t>
  </si>
  <si>
    <t>ชุดภาควัดสัญญาณชีพขณะเคลื่อนย้าย</t>
  </si>
  <si>
    <t>เครื่องจี้ห้ามเลือด เลาะเนื้อเยื่อ และเชื่อมปิดหลอดเลือดด้วยคลื่นความถี่สูง</t>
  </si>
  <si>
    <t>เครื่องติดตามการทำงานของหัวใจและสัญญาณชีพอัตโนมัติ</t>
  </si>
  <si>
    <t>เครื่องควบคุมระบบประกาศ</t>
  </si>
  <si>
    <t>กล่มงานเวชกรรมฟื้นฟู</t>
  </si>
  <si>
    <t>หอผู้ป่วยสงฆ์อาพาธ</t>
  </si>
  <si>
    <t>กลุ่มภารกิจสุขภาพดิจิทัล</t>
  </si>
  <si>
    <t>บริหารจัดการแรงงานต่างด้าว ประจำปีงบ 2568</t>
  </si>
  <si>
    <t>อยู่ระหว่างดำเนินการ</t>
  </si>
  <si>
    <t>ศูนย์ศุภนิมิตร</t>
  </si>
  <si>
    <t>ปรับปรุงพื้นบริเวณจุดถ่ายรูปผู้มารับบริการ</t>
  </si>
  <si>
    <t>คอมพิวเตอร์ All in one</t>
  </si>
  <si>
    <t>เครื่องอ่านบาร์โค้ด</t>
  </si>
  <si>
    <t>เครื่องพิมพ์สติ๊กเกอร์บาร์โค้ด</t>
  </si>
  <si>
    <t>ระบบ CCTV กล้องวงจรปิด</t>
  </si>
  <si>
    <t>เครื่องสำรองไฟ 2,000VA/1400W</t>
  </si>
  <si>
    <t>เครื่องคอมพิวเตอร์แม่ข่าย แบบที่ 1</t>
  </si>
  <si>
    <t>อุปกรณ์กระจายสัญญาณไร้สาย</t>
  </si>
  <si>
    <t>อุปกรณ์ป้องกันระบบเครือข่าย</t>
  </si>
  <si>
    <t>ค่าเช่าวงจรสื่อสารอินเตอร์เน็ต 1 ปี</t>
  </si>
  <si>
    <t>เครื่องวัดความดันโลหิตแบบอัตโนมัติชนิดสอดแขน</t>
  </si>
  <si>
    <t>เครื่องกระตุกไฟฟ้าหัวใจชนิดไบเฟสิค พร้อมเครื่องวัดออกซิเจนในเลือด</t>
  </si>
  <si>
    <t>รติพัฒน์ (0/1), 
อายุรกรรมชาย 2 (0/1)
ECHO (0/1)</t>
  </si>
  <si>
    <t>เครื่อง EKG 12 lead</t>
  </si>
  <si>
    <t>บริหารจัดการแรงงานต่างด้าว ปี 2567</t>
  </si>
  <si>
    <t>กล้องจุลทรรศน์ตรวจตาชนิดลำแสงแคบ พร้อม Adapter</t>
  </si>
  <si>
    <t>กลุ่มงานจักษุวิทยา</t>
  </si>
  <si>
    <t>ตู้อบเด็กสำหรับลำเลียงทารกแรกคลอด</t>
  </si>
  <si>
    <t>เครื่องสเปรย์ด้ามกรอฟัน</t>
  </si>
  <si>
    <t>Lens hopkins 0 องศา</t>
  </si>
  <si>
    <t xml:space="preserve">ชุดเครื่องมือผ่าตัดต่อมลูกหมาก (Resectoscope) ชนิด bipolarพร้อมเครื่องจี้ </t>
  </si>
  <si>
    <t>งบแผนใช้งบบริหารจัดการ 2.5% (เงินประกันสังคม)</t>
  </si>
  <si>
    <t>ค่าโปรแกรม HERP Copilot (ลูกหนี้) พร้อมบริการติดตั้ง</t>
  </si>
  <si>
    <t>งานประกันสังคม</t>
  </si>
  <si>
    <t>ค่าบริการวางระบบ ฝึกอบรม ตรวจสอบระบบฐานข้อมูล จัดทำชุด
ข้อมูลมาตฐานในการเรียกเก็บค่าบริการทางการแพทย์ และปรับปรุง
ระบบให้เข้ากับรูปแบบการให้บริการของโรงพยาบาล</t>
  </si>
  <si>
    <t>ค่าส่งยาทางไปรษณีย์ (ผู้ป่วยประกันสังคม)</t>
  </si>
  <si>
    <t>กลุ่มงานเภสัชกรรม</t>
  </si>
  <si>
    <t>งบบริหารจัดการ 2.5% (เงินประกันสังคม)</t>
  </si>
  <si>
    <t>งบบริหารจัดการแรงงานต่างด้าว</t>
  </si>
  <si>
    <t>ยกเลิก</t>
  </si>
  <si>
    <t>วัสดุยานพาหนะ</t>
  </si>
  <si>
    <t>ห้องแยกผู้ป่วยแพร่กระจายเชื้อ  MICU ชั้น 2 ตึก 298 (Negative)</t>
  </si>
  <si>
    <t>ห้องแยกผู้ป่วยแพร่กระจายเชื้อ MICU ชั้น 2-3  ตึก 298 (AIIR )</t>
  </si>
  <si>
    <t>ค่าจ้างออกแบบชั้นดาดฟ้า ตึก 298</t>
  </si>
  <si>
    <t>รอส่งมอบ</t>
  </si>
  <si>
    <t>ค่าย้ายเครื่อง cath lab</t>
  </si>
  <si>
    <t>จอ LED หน้า รพ.</t>
  </si>
  <si>
    <t>ปรับปรุงห้องตึก 298  (ดาดฟ้า)</t>
  </si>
  <si>
    <t xml:space="preserve">จ้างก่อสร้างงานเปลี่ยนกระเบื้องมุงหลังคาอาคารอันดามัน 5 ชั้น </t>
  </si>
  <si>
    <t>รายการครุภัณฑ์ งบ อบจ.</t>
  </si>
  <si>
    <t xml:space="preserve">วัสดุทางการแพทย์ เงินบำรุงสมทบ งบ อบจ. : การแพทย์ผ่าตัด </t>
  </si>
  <si>
    <t xml:space="preserve">รายจ่ายจริง 
ปี 2566 </t>
  </si>
  <si>
    <t xml:space="preserve"> - ค่าจ้างเหมาบำรุงรักษาครุภัณฑ์วิทยาศาสตร์และการแพทย์</t>
  </si>
  <si>
    <t>ค่าใช้สอยอื่น+ค่าตรวจสิ่งแวดล้อม+ค่าติดตั้งระบบจ่ายอากาศ+ค่าเฝ้าไข้พิเศษ</t>
  </si>
  <si>
    <t>ค่าเช่าชุดอุปกรณ์กระจายสัญญาณไร้สาย สำหรับห้องพิเศษ</t>
  </si>
  <si>
    <t>จ้างเหมาติดตั้งระบบสายสัญญาณคอมพิวเตอร์และโทรศัพท์ อาคาร 298เตียง (ส่วนขยาย)</t>
  </si>
  <si>
    <t>ค่าตรวจพยาธิ+วิเคราะห์ - ค่าจ้างตรวจทางห้องปฏิบัติการ (Lab)</t>
  </si>
  <si>
    <t>ค่าตรวจชิ้นเนื้อ ค่าจ้างตรวจทางห้องปฏิบัติการ (Lab กายวิภาค)</t>
  </si>
  <si>
    <t>ค่าตรวจวินิจฉัย ค่าจ้างตรวจทางห้องปฏิบัติการ (Lab กายวิภาค)</t>
  </si>
  <si>
    <t>กลุ่มการพยาบาล
(NICU 3 กุมาร 2 sick NB5)</t>
  </si>
  <si>
    <t>โต๊ะทำงาน พร้อมรางคีย์บอร์ด</t>
  </si>
  <si>
    <t>งานติดตั้งระบบ LAN ที่ศูนย์ตรวจสุขภาพแรงงานต่างด้าว</t>
  </si>
  <si>
    <t>อุปกรณ์กระจายสัญญาณ</t>
  </si>
  <si>
    <t>เก้าอี้แถวเหล็ก 4 ที่นั่ง สีฟ้า</t>
  </si>
  <si>
    <t>โต๊ะคอมพิวเตอร์ ขนาด 80 เซนติเมตร</t>
  </si>
  <si>
    <t>เก้าอี้ สำนักงาน</t>
  </si>
  <si>
    <t>สถานีและขยายเส้นทางระบบท่อลมรับ-ส่งพัสดุทางการแพทย์ จำนวน 1 ระบบ (2 สถานี)</t>
  </si>
  <si>
    <t xml:space="preserve">เครื่องพิมพ์ชนิดเลเซอร์ หรือชนิด LED ขาวดำชนิด Network แบบที่ 3 (40 หน้า/นาที) </t>
  </si>
  <si>
    <t>เครื่องช่วยผ่าตัดนำวิถี</t>
  </si>
  <si>
    <t>กลุ่มงานโสต ศอ นาสิก</t>
  </si>
  <si>
    <t>แผนกศัลยกรรมระบบประสาท</t>
  </si>
  <si>
    <t>cath lab</t>
  </si>
  <si>
    <t>แผนรายการสิ่งก่อสร้าง ประจำปีงบประมาณ พ.ศ. 2568 : เงินบริจาค</t>
  </si>
  <si>
    <t xml:space="preserve">เครื่องถ่างขยายช่องซี่โครง (Rib Spreader) </t>
  </si>
  <si>
    <t>แผนกศัลยกรรมทรวงอก</t>
  </si>
  <si>
    <t>เครื่องดึงคอและหลังอัตโนมัติพร้อมเตียงปรับระดับได้</t>
  </si>
  <si>
    <t>ตู้เย็นเก็บเลือด</t>
  </si>
  <si>
    <t>ตู้เย็นเก็บน้ำยาทางการแพทย์</t>
  </si>
  <si>
    <t>เครื่องเขย่าเลือด</t>
  </si>
  <si>
    <t xml:space="preserve">โต๊ะเมโย แบบ 4 ล้อ พร้อมถาด </t>
  </si>
  <si>
    <t>รายการครุภัณฑ์ ต่ำกว่า 1 แสนบาท : เงินบำรุง</t>
  </si>
  <si>
    <t>กล้องส่องตรวจช่องท้องชนิดวิดีทัศน์ ขนาด 10 มม มุมมองภาพ 30 องศา</t>
  </si>
  <si>
    <t>เครื่องแท็บเล็ต การเงินARI,แพทย์แผนไทย,กายภาพบำบัด,การเงินโลมา,Wound car ,เคมีบำบัด</t>
  </si>
  <si>
    <t>แผน</t>
  </si>
  <si>
    <t>เหลือ</t>
  </si>
  <si>
    <t>จ้างก่อสร้างงานเปลี่ยนกระเบื้องมุงหลังคาและซ่อมแซมโครงหลังคาอาคารศูนย์คอมพิวเตอร์และสโตกยูนิต 482 ตร.ม.</t>
  </si>
  <si>
    <t>งานก่อสร้างทางเดินเชื่อมระหว่างอาคารบ้านคุณพุ่ม ไปยังอาคารพักคนไข้ 298 เตียง</t>
  </si>
  <si>
    <t>ค่าจ้างออกแบบห้องแรงดันบวกสำหรับศูนย์ปลูกถ่ายเชลล์ต้นกำเนิดเม็ดเลือด</t>
  </si>
  <si>
    <t xml:space="preserve">เช่าครุภัณฑ์บริการ cloud storage เพื่อรองรับ software HIMS/ERP 
และรองรับ  Datawarehouse หรือระบบอื่นๆ 
</t>
  </si>
  <si>
    <t>วันที่ รับเอกสาร</t>
  </si>
  <si>
    <t>1/011/67(รหัส 01/68)</t>
  </si>
  <si>
    <t>ไตรมาส 1 (ต.ค.-ธ.ค.67)</t>
  </si>
  <si>
    <t xml:space="preserve"> - ค่าจ้างเหมาบำรุงรักษาครุภัณฑ์อื่นๆ/ค่า MA อุปกรณ์ป้องกันระบบเครือข่าย </t>
  </si>
  <si>
    <t xml:space="preserve">ค่าจ้างชั่วคราว </t>
  </si>
  <si>
    <t>ค่าใช้จ่ายอื่นๆ (โอนเงินผิดบัญชี/ค่าปรับ)</t>
  </si>
  <si>
    <t>รายรับ EMS</t>
  </si>
  <si>
    <t>ก่อสร้างและปรับปรุงห้องจ่ายยาผู้ป่วยนอกชั้น 1</t>
  </si>
  <si>
    <t>จ้างออกแบบปรับปรุงบริเวณด้านหลังจ่ายยา OPD และด้านหลังคลินิก ARI</t>
  </si>
  <si>
    <t>รายจ่าย ต.ค.67- มี.ค. 68</t>
  </si>
  <si>
    <t>หนี้ค้าง 
ณ 31 มี.ค.68</t>
  </si>
  <si>
    <t>รายรับจริง ปี 2567</t>
  </si>
  <si>
    <t xml:space="preserve">ประมาณการ
รายรับ 
 ปีงบฯ 2565 </t>
  </si>
  <si>
    <t>ประมาณการ
รายรับ 
 ปีงบฯ 2564</t>
  </si>
  <si>
    <t>รายรับ อปท.</t>
  </si>
  <si>
    <t>คำขอตั้ง
แผนวัสดุ</t>
  </si>
  <si>
    <t>แผนประมาณการรายจ่าย
 ปีงบฯ 2568</t>
  </si>
  <si>
    <t>แผนประมาณการรายจ่าย (ครึ่งปีหลัง)
 ปีงบฯ 2568</t>
  </si>
  <si>
    <t>ครุภัณฑ์ต่ำกว่าเกณฑ์ (ต่ำกว่า 10,000 บาท)</t>
  </si>
  <si>
    <t>จ้างออกแบบ MICU ตึก 298 ( 2 ชั้น ชั้น 2-3)</t>
  </si>
  <si>
    <t xml:space="preserve">ปรุงทางเดินหน้าห้องคลอด </t>
  </si>
  <si>
    <t xml:space="preserve">จ้างออกแบบอาคารลานม่วงขาว </t>
  </si>
  <si>
    <t xml:space="preserve">ปรับปรุงจุดนั่งพักคอยด้านหน้าประชาสัมพันธ์พร้อมก่อสร้างอาคารลานม่วงขาว </t>
  </si>
  <si>
    <t>ปรับปรุงห้องแลปชั้น 4 ตึก 10 ชั้น</t>
  </si>
  <si>
    <t>จ้างทาสีอาคารหอพัก F เจ้าหน้าที่ 4 ชั้น พื้นที่ประมาณ 2,815 ตรม</t>
  </si>
  <si>
    <t xml:space="preserve">จ้างออกแบบ ทางเดินเชื่อม ชั้น 1 จากตึกศรีพัชรินทรานุสร ไป ตึก อันดามัน </t>
  </si>
  <si>
    <t>ปรับปรุงห้องแรงดันบวกสำหรับศูนย์ปลูกถ่ายเซลล์ต้นกำเนิดเม็ดเลือด ชั้น 8 (ตึก 298 ) ฝั่งด้านห้องพิเศษ</t>
  </si>
  <si>
    <t>หนี้ค้าง 
ปี 2566</t>
  </si>
  <si>
    <t>หนี้ค้าง 
ปี 2567</t>
  </si>
  <si>
    <t>ศูนย์ Wellness Center</t>
  </si>
  <si>
    <t>12.ครบกำหนดส่งมอบ</t>
  </si>
  <si>
    <t>10.ระยะเวลาอุทธรณ์ผลการพิจารณา</t>
  </si>
  <si>
    <t>9.รายงานผลการพิจารณาเสนอราคา</t>
  </si>
  <si>
    <t>ส่งบันทึกข้อความให้พัสดุแล้ว</t>
  </si>
  <si>
    <t>แผนรายจ่ายรายการครุภัณฑ์ เงินบำรุง (ครึ่งปีหลัง) ประจำปีงบประมาณ พ.ศ. 2568</t>
  </si>
  <si>
    <t>ประเภทครุภัณฑ์</t>
  </si>
  <si>
    <t>งานบ้านงานครัว</t>
  </si>
  <si>
    <t>สำนักงาน</t>
  </si>
  <si>
    <t>คอมพิวเตอร์</t>
  </si>
  <si>
    <t>โฆษณาและเผยแพร่</t>
  </si>
  <si>
    <t>ยานพาหนะ</t>
  </si>
  <si>
    <t>รถพยาบาล (รถตู้) ปริมาตรกระบอกสูบไม่ต่ำกว่า 2,400 ซีซี 
หรือกำลังเครื่องยนต์สูงสุดไม่ต่ำกว่า 90 กิโลวัตต์</t>
  </si>
  <si>
    <t xml:space="preserve">ระบบ Server สำรอง ณ อาคารอุบัติเหตุ 10 ชั้น (Redundant site 30TB) 
</t>
  </si>
  <si>
    <t>หุ่นยนต์ฆ่าเชื้อโรคด้วยรังสียูวี ชนิดซี พร้อมชุดควบคุมการทำงานแบบระบะไกล</t>
  </si>
  <si>
    <t>งานศูนย์เครื่องมือแพทย์</t>
  </si>
  <si>
    <t>เครื่องตรวจคลื่นไฟฟ้าหัวใจพร้อมระบบวิเคราะห์ผลและจัดเก็บภาพในระบบเครือข่าย</t>
  </si>
  <si>
    <t>เครื่องช่วยหายใจควบคุมปริมาตรและความดันเคลื่อนย้ายได้</t>
  </si>
  <si>
    <t>รถเข็นแบบพับได้ ขนาด 48.5x40x86 cm.</t>
  </si>
  <si>
    <t>หน่วยบริการปฐมภูมิ สาขาหยี่เต้ง</t>
  </si>
  <si>
    <t>foot switch voluson e6</t>
  </si>
  <si>
    <t>งานผู้ป่วยนอก(OPD ฝากครรภ์)</t>
  </si>
  <si>
    <t>หอผู้ป่วยน้อมเกล้า 4</t>
  </si>
  <si>
    <t xml:space="preserve">เครื่องกระตุกไฟฟ้าหัวใจชนิดไบเฟสิค พร้อมภาควัดออกซิเจนและคาร์บอนไดออกไซด์ในเลือด </t>
  </si>
  <si>
    <t>งานอุบัติเหตุและฉุกเฉิน</t>
  </si>
  <si>
    <t>เครื่องวัดสัญญาณชีพอัตโนมัติ รุ่น EarlyVue VS30</t>
  </si>
  <si>
    <t>ระบบ HIS (ส่วนต่อขยาย)
1. VachiraPhuket Mobile Application (Patient profile, Patient identification, Patient Self-assessment, Patient health record, Lab &amp; radiology report, Appointment booking, Queue call), 
2. Queue management system
3. Pharmacy Safety Module
4. Reporting tool and dashboard
5. Foreign Workers Module
6. New Business Unit; counselling nephro
7. Home Health Care Module
8. Sub-stock inventory</t>
  </si>
  <si>
    <t>เครื่องคอมพิวเตอร์โน้ตบุ๊ก สำหรับงานประมวลผล</t>
  </si>
  <si>
    <t>เครื่องคอมพิวเตอร์ Acer AIO + Win11 Pro</t>
  </si>
  <si>
    <t>เครื่องคอมพิวเตอร์ สำหรับงานสำนักงาน * (จอแสดงภาพขนาดไม่น้อยกว่า 19 นิ้ว)</t>
  </si>
  <si>
    <t>เครื่องคอมพิวเตอร์ สำหรับงานประมวลผล แบบที่ 2</t>
  </si>
  <si>
    <t>คอมพิวเตอร์แท็บเล็ต แบบที่ 2</t>
  </si>
  <si>
    <t xml:space="preserve">เครื่องพิมพ์แบบใช้ความร้อน Thermal Printer </t>
  </si>
  <si>
    <t>เครื่องพิมพ์ Multifunction แบบฉีดหมึก (Inkjet) ขาวดำ</t>
  </si>
  <si>
    <t>เครื่องพิมพ์ Multifunction เลเซอร์ หรือ LED ขาวดำ</t>
  </si>
  <si>
    <t>เครื่องสำรองไฟ 1000VA/600W สำหรับกล้องวงจรปิด</t>
  </si>
  <si>
    <t>เครื่องพิมพ์เลเซอร์ หรือ LED ขาวดำ ชนิด Network แบบที่ 1</t>
  </si>
  <si>
    <t>เครื่องพิมพ์เลเซอร์ สำหรับห้องตรวจแพทย์</t>
  </si>
  <si>
    <t>เครื่องพิมพ์ชนิด Dot Matrix Printer แบบแคร่สั้น</t>
  </si>
  <si>
    <t>ลิขสิทธิ์โปรแกรมกราฟิก Adobe Photoshop และ Lightroom</t>
  </si>
  <si>
    <t>ลิขสิทธิ์โปรแกรมกราฟิก Adobe Firefly</t>
  </si>
  <si>
    <t>ลิขสิทธิ์โปรแกรมกราฟิก Adobe Premiere Pro</t>
  </si>
  <si>
    <t>ลิขสิทธิ์โปรแกรมกราฟิก Free pix</t>
  </si>
  <si>
    <t>ลิขสิทธิ์โปรแกรมกราฟิก Canvo pro</t>
  </si>
  <si>
    <t>ลิขสิทธิ์โปรแกรมกราฟิก Capcut</t>
  </si>
  <si>
    <t>ลิขสิทธิ์โปรแกรมกราฟิก Remini</t>
  </si>
  <si>
    <t>Distributor Switch ระบบ Network เพื่อใช้เป็น core switch อาคารบ้านคุณพุ่ม รองรับการเชื่อมต่อกับอาคาร 298</t>
  </si>
  <si>
    <t>เครื่องควบคุมแรงดันไฟฟ้าอัตโนมัติ 2000VA</t>
  </si>
  <si>
    <t>เครื่องพิมพ์บาร์โค้ดสำหรับพิมพ์ฉลากข้อมือผู้ป่วย Xprinter</t>
  </si>
  <si>
    <t>จ้างเหมาติดตั้งระบบ WiFi สำหรับบริการผู้ป่วย อาคารน้อมเกล้า พร้อมอุปกรณ์</t>
  </si>
  <si>
    <t>กล้องเว็บแคม  Full HD 1080p/30fps HD 720p/60fps</t>
  </si>
  <si>
    <t>อุปกรณ์กระจายสัญญาณ (L2 Switch) ขนาด 24 ช่อง</t>
  </si>
  <si>
    <t>จอภาพคอมพิวเตอร์ All in one (อะไหล่)</t>
  </si>
  <si>
    <t>จอภาพคอมพิวเตอร์โน้ตบุ๊ก (อะไหล่)</t>
  </si>
  <si>
    <t>อุปกรณ์อ่านบัตรแบบอเนกประสงค์ (Smart Card Reader)</t>
  </si>
  <si>
    <t>อุปกรณ์จัดเก็บข้อมูล Hard disk สำหรับกล้องวงจรปิด ขนาด 8TB</t>
  </si>
  <si>
    <t>อุปกรณ์จัดเก็บข้อมูลสำหรับเครื่องคอมพิวเตอร์ ชนิด SSD ขนาด 1TB</t>
  </si>
  <si>
    <t>Power Supply 600w (80+)</t>
  </si>
  <si>
    <t>Power Supply สำหรับเครื่องคอมพิวเตอร์ Lenovo</t>
  </si>
  <si>
    <t>ชุดหูฟังพร้อมไมค์</t>
  </si>
  <si>
    <t>Adapter Lenovo 20V 4.5A 90W หัว USB</t>
  </si>
  <si>
    <t>อุปกรณ์กระจายสัญญาณภาพ HDMI Splitter 4 port</t>
  </si>
  <si>
    <t>อุปกรณ์แปลงสัญญาณภาพ HDMI TO USB3.0</t>
  </si>
  <si>
    <t xml:space="preserve">หน่วยความจำเครื่องคอมพิวเตอร์ 16GB RAM for PC </t>
  </si>
  <si>
    <t>Graphic Card 4GB</t>
  </si>
  <si>
    <t>สาย CAT6 UTP (305m/Box) Indoor</t>
  </si>
  <si>
    <t>หัว Plug RJ45 CAT6 (ตัวผู้) 100/pack</t>
  </si>
  <si>
    <t>Ram NB DDR4 2666 32GB Kingston</t>
  </si>
  <si>
    <t>Raspberry Pi 4B 4GB Wireless Computer Kit-EU Plug</t>
  </si>
  <si>
    <t>Mini PC Stick</t>
  </si>
  <si>
    <t>Mini คอมพิวเตอร์ i7, RAM 8GB, SSD 1000GB</t>
  </si>
  <si>
    <t>อุปกรณ์กระจายสัญญาณ (L2 Switch) ขนาด 24 ช่อง 4x10G uplink</t>
  </si>
  <si>
    <t>อุปกรณ์ SFP Module สำหรับเชื่อมต่อ Uplink ระหว่างอุปกรณ์ 10 Gigabit Ethernet</t>
  </si>
  <si>
    <t>TP-Link Acher T9UH AX1800 WiFi6 หรือดีกว่า</t>
  </si>
  <si>
    <t>แบตเตอรี่สำหรับเครื่องสำรองไฟ 12V</t>
  </si>
  <si>
    <t>หัวชาร์จ 20V 2.25A หัว 4.0*1.7MM 45W</t>
  </si>
  <si>
    <t>หัวพิมพ์สีสำหรับเครื่องพิมพ์ CANON G4010</t>
  </si>
  <si>
    <t>หัวพิมพ์ขาวดำสำหรับเครื่องพิมพ์ CANON G4010</t>
  </si>
  <si>
    <t>เครื่องยกกระชับใบหน้าโดยไม่ต้องผ่าตัด ULTHERA</t>
  </si>
  <si>
    <t>เครื่องเลเซอร์คาร์บอนไดออกไซด์แบบ Ultra Pulse</t>
  </si>
  <si>
    <t>เครื่องวิเคราะห์สภาพผิวหน้า VISIA</t>
  </si>
  <si>
    <t>เครื่องพ่นลมเย็น</t>
  </si>
  <si>
    <t>เครื่องอุ่นเลือดและพลาสม่า</t>
  </si>
  <si>
    <t>เครื่องดมยาสลบชนิดซับซ้อน</t>
  </si>
  <si>
    <t>อุปกรณ์ในการช่วยใส่ท่อช่วยหายใจ (Laryngoscope)</t>
  </si>
  <si>
    <t>เครื่องควบคุมการให้สารละลายทางหลอดเลือด</t>
  </si>
  <si>
    <t>เครื่องช่วยใส่ท่อช่วยหายใจ (Laryngoscope)</t>
  </si>
  <si>
    <t>ชุดป้องกันรังสี</t>
  </si>
  <si>
    <t>เครื่องวัดเปอร์เซ็นความอิ่มตัวของออกซิเจนในเลือด</t>
  </si>
  <si>
    <t>เครื่องควบคุมการให้สารละลายทางหลอดเลือดโดยใช้กระบอกฉีดยา (Syrige Pump)</t>
  </si>
  <si>
    <t>ที่ล้างแผล</t>
  </si>
  <si>
    <t>โต๊ะเมโย แบบ 4 ล้อ พร้อมถาด</t>
  </si>
  <si>
    <t>เครื่องเป่ามือ</t>
  </si>
  <si>
    <t xml:space="preserve">เครื่องวัดออซิเจนปลายนิ้ว </t>
  </si>
  <si>
    <t>เครื่องชั่งน้ำหนัก แบบดิจิตอลพร้อมที่วัดส่วนสูง</t>
  </si>
  <si>
    <t>เครื่องวัดออกซิเจนในเลือดอัตโนมัติ ชนิดพกพา</t>
  </si>
  <si>
    <t>เครื่องวัดความดันและวัดปริมาณความอิ่มตัวของออกซิเจนในเลือด ชนิดพกพา</t>
  </si>
  <si>
    <t>ไฟอบแผลฝีเย็บ</t>
  </si>
  <si>
    <t>เครื่องวัดความดันโลหิตแบบอัตโนมัติพร้อมตัววัดความอิ่มตัวของออกซิเจน</t>
  </si>
  <si>
    <t>เครื่องวัดความดันโลหิตแบบอัตโนมัติพร้อมวัดความอิ่มตัวของออกซิเจน</t>
  </si>
  <si>
    <t>เครื่องชั่งน้ำหนักดิจิตอล พร้อมที่วัดส่วนสูง</t>
  </si>
  <si>
    <t>เครื่องชั่งน้ำหนักเด็กทารก</t>
  </si>
  <si>
    <t>Crib สำหรับเคลื่อย้ายทารก</t>
  </si>
  <si>
    <t>ตู้กักเก็บกลิ่นและไอสารระเหยทางเคมี</t>
  </si>
  <si>
    <t>เครื่องตัดและซีลซองบรรจุอุปกรณ์เครื่องมือแพทย์อัตโนมัติ</t>
  </si>
  <si>
    <t>เครื่องวัดคุณภาพน้ำ</t>
  </si>
  <si>
    <t xml:space="preserve">เครื่องควบคุมอุณหภูมิสารละลายทางสายน้ำเกลือ (การให้เลือด) </t>
  </si>
  <si>
    <t>กระดานรองหลังชนิดยาว พร้อมชุดล็อคศรีษะเข็มขัด</t>
  </si>
  <si>
    <t>เครื่อง Pulse Oximeter</t>
  </si>
  <si>
    <t>ชุดเพิ่มประสิทธิภาพเครื่องทดสอบสรรถภาพการทำงานของหัวใจขณะออกกำลังกาย</t>
  </si>
  <si>
    <t xml:space="preserve">เครื่องวัดกำลังเลนส์อัตโนมัติชนิดจอ LED </t>
  </si>
  <si>
    <t>เครื่องวัดสายตาแบบมือถือ ชนิดชารจ์ไฟได้</t>
  </si>
  <si>
    <t>สมุดสำหรับทดสอบสายตาเลื่อนราง (Stereoscopic tests Fly)</t>
  </si>
  <si>
    <t>ไฟฉายทดสอบตาเด็ก (Worth 4 Dot)</t>
  </si>
  <si>
    <t>เครื่องตรวจวัดความเครียดและสุขภาพของหลอดเลือด maxpulse</t>
  </si>
  <si>
    <t>เครื่องผนึกซองซีล</t>
  </si>
  <si>
    <t>เครื่องเขย่าปูน</t>
  </si>
  <si>
    <t>เครื่องขูดหินปูน</t>
  </si>
  <si>
    <t>โคมไฟผ่าตัดเล็กชนิดเคลื่อนย้าย</t>
  </si>
  <si>
    <t>อุปกรณ์ตัดชื้นเนื้อ (Biopsy)</t>
  </si>
  <si>
    <t>หัวตรวจเครื่องอัลตร้าซาวด์</t>
  </si>
  <si>
    <t>เครื่องให้ออกซิเจนด้วยอัตราการไหลสูง</t>
  </si>
  <si>
    <t>เครื่องดูดเสมหะ</t>
  </si>
  <si>
    <t>เครื่องชั่งน้ำหนักบุคคลพร้อมวัดส่งนสูง</t>
  </si>
  <si>
    <t xml:space="preserve">เครื่องวัดปริมาณความอิ่มตัวของออกซเจนปลายนิ้ว </t>
  </si>
  <si>
    <t>รถเข็นนั่งชนิดพับได้ มีเสาน้ำเกลือ</t>
  </si>
  <si>
    <t>งานผู้ป่วยนอก (แผนกกุมารเวช)</t>
  </si>
  <si>
    <t>งานผู้ป่วยนอก (วชิรคลินิก)</t>
  </si>
  <si>
    <t>งานผู้ป่วยนอก (ศัลยกรรมกระดูก)</t>
  </si>
  <si>
    <t>หอผู้ป่วยศัลยกรรมประสาท</t>
  </si>
  <si>
    <t>หอผู้ป่วยสูติกรรมหลังคลอด</t>
  </si>
  <si>
    <t>หอผู้ป่วยพิเศษอายุรกรรมชั้น 4</t>
  </si>
  <si>
    <t>หอผู้ป่วยกุมารเวชกรรม 1</t>
  </si>
  <si>
    <t>หอผู้ป่วยทารกแรกเกิด</t>
  </si>
  <si>
    <t>หอผู้ป่วยนรีเวชกรรม</t>
  </si>
  <si>
    <t>งานห้องคลอด</t>
  </si>
  <si>
    <t>ศูนย์หัวใจ</t>
  </si>
  <si>
    <t>กลุ่มงานนิติเวช</t>
  </si>
  <si>
    <t>กลุ่มงานเทคการแพทย์และพยาธิวิทยาคลินิก</t>
  </si>
  <si>
    <t>งานจิตเวชเด็ก</t>
  </si>
  <si>
    <t>งานเคลื่อนย้ายผู้ป่วย</t>
  </si>
  <si>
    <t>รายการใหม่ปรับแผน(ครึ่งปีหลัง)</t>
  </si>
  <si>
    <t>เครื่องวัดความยาวราก</t>
  </si>
  <si>
    <t xml:space="preserve">เตียงอาบน้ำศพ ขนาด 2x1x0.9 ม. </t>
  </si>
  <si>
    <t>เครื่องชั่งน้ำหนักศพที่สามารถชั่งได้พร้อมรถเข็น</t>
  </si>
  <si>
    <t>เครื่องชั่งน้ำหนักอวัยวะแบบดิจิตอล</t>
  </si>
  <si>
    <t>ตู้เย็น ขนาด 7.3Q</t>
  </si>
  <si>
    <t>เครื่องกรองน้ำแบบตั้งพื้นมีทั้งน้ำร้อนและน้ำเย็น</t>
  </si>
  <si>
    <t>โถสุขภัณฑ์แบบนั่งราบและชุดสายชำระ พร้อมติดตั้ง</t>
  </si>
  <si>
    <t>ผ้าม่านสำหรับกั้นเตียงผู้ป่วย</t>
  </si>
  <si>
    <t>หม้อต้มน้ำร้อน</t>
  </si>
  <si>
    <t>ไมโคเวฟ ขนาด 28 ลิตร</t>
  </si>
  <si>
    <t>เครื่องไมโครเวฟ</t>
  </si>
  <si>
    <t>ถังม็อบพื้น ขนาด 36 ลิตร</t>
  </si>
  <si>
    <t>เคาน์เตอร์และอ่างล้างอุปกรณ์</t>
  </si>
  <si>
    <t>ตู้แช่ทำความเย็น 1 ประตู ขนาด 17 คิว</t>
  </si>
  <si>
    <t>กระติกน้ำร้อนไฟฟ้า</t>
  </si>
  <si>
    <t>ตู้กดน้ำร้อน-น้ำเย็น 2 หัวก๊อก</t>
  </si>
  <si>
    <t xml:space="preserve">เตียงนอนขนาด 6 ฟุต </t>
  </si>
  <si>
    <t>เตียงนอนขนาด 3 ฟุต ครึ่ง</t>
  </si>
  <si>
    <t xml:space="preserve">ตู้เย็นสำหรับแช่ยา ขนาด 6.1Q </t>
  </si>
  <si>
    <t>ตู้เย็น ขนาด 7.3 คิว</t>
  </si>
  <si>
    <t>ตู้ล็อกเกอร์ LK-9 ขาวมุก BTR (9 ช่อง)</t>
  </si>
  <si>
    <t>เตียงเหล็ก 3.5 RUNA สีขาว</t>
  </si>
  <si>
    <t>ตู้เหล็กบานเลื่อนทึบ สีขาวมุก BTR</t>
  </si>
  <si>
    <t>ชุดโต๊ะอาหาร 6 ที่นั่ง</t>
  </si>
  <si>
    <t>ไมโครเวฟ ขนาด 20 ลิตร</t>
  </si>
  <si>
    <t>กลุ่มภารกิจด้านการพยาบาล</t>
  </si>
  <si>
    <t>งานเวชศาสตร์ใต้น้ำ</t>
  </si>
  <si>
    <t>กลุ่มงานอายุกรรม</t>
  </si>
  <si>
    <t>นอกแผนอนุมัติ เข้าแผน (ครึ่งปีหลัง)</t>
  </si>
  <si>
    <t>เครื่องขยายเสียง</t>
  </si>
  <si>
    <t>ไมโครโฟนแบบไร้สาย ชนิดมือถือ</t>
  </si>
  <si>
    <t>ไมโครโฟนคู่ไร้สาย</t>
  </si>
  <si>
    <t>ไมโครโฟนชนิดมือถือมีสาย สายไมโครโฟนยาว 5 เมตร</t>
  </si>
  <si>
    <t>งานผู้ป่วยนอก (นรีเวชกรรม)</t>
  </si>
  <si>
    <t>สายไมโครโฟนยาว 10 เมตร</t>
  </si>
  <si>
    <t>ชุดไมโครโฟนมือถือแบบมีสาย</t>
  </si>
  <si>
    <t>เครื่องปรับอากาศ ขนาด 18000 BTU</t>
  </si>
  <si>
    <t>เก้าอี้</t>
  </si>
  <si>
    <t>ชุดตู้เอกสาร</t>
  </si>
  <si>
    <t>โต๊ะวางคอมพิวเตอร์</t>
  </si>
  <si>
    <t>ตู้เอกสาร</t>
  </si>
  <si>
    <t>เครื่องปรับอากาศชนิดแขวนใต้ฝ้า ขนาด 36000 BTU</t>
  </si>
  <si>
    <t>ท่อน้ำยา ยาว 8 เมตร</t>
  </si>
  <si>
    <t>เครื่องปรับอากาศชนิดแขวนใต้ฝ้า ขนาด 18700 BTU</t>
  </si>
  <si>
    <t>ท่อน้ำยา ยาว 12 เมตร</t>
  </si>
  <si>
    <t>พัดลมโคจร</t>
  </si>
  <si>
    <t>ตู้ล็อกเกอร์</t>
  </si>
  <si>
    <t>โทรทัศน์ Smart TV ขนาด 32 นิ้ว</t>
  </si>
  <si>
    <t>เครื่องปรับอากาศแคเรียร์ ชนิดแขวนใต้ฝ้า</t>
  </si>
  <si>
    <t>เครื่องปรับอากาศ ชนิดแขวนใต้ฝ้า ขนาด 13000 BTU</t>
  </si>
  <si>
    <t>รถเข็นพับได้</t>
  </si>
  <si>
    <t>เครื่องปรับอากาศ ขนาด 18,000 BTU</t>
  </si>
  <si>
    <t>พัดลมระบายอากาศ</t>
  </si>
  <si>
    <t>เครื่องปรับอากาศ ชนิดแขวนใต้ฝ้าพร้อมติดตั้ง</t>
  </si>
  <si>
    <t xml:space="preserve">โทรศัพท์ไร้สาย </t>
  </si>
  <si>
    <t>พัดลมติดผนัง ขนาด 16 นิ้ว</t>
  </si>
  <si>
    <t>เครื่องปรับอากาศ ชนิดแขวนใต้ฝ้า</t>
  </si>
  <si>
    <t xml:space="preserve">Sofa bed </t>
  </si>
  <si>
    <t>พัดลมอุตสาหกรรมติดผนังมีรีโมทขนาด 20 นิ้ว</t>
  </si>
  <si>
    <t>พัดลมโคจร ขนาด 400 มม.</t>
  </si>
  <si>
    <t>เครื่องปรับอากาศคอยล์น้ำเย็นชนิดแขวนใต้ฝ้า ขนาด 54900 BTU</t>
  </si>
  <si>
    <t>รถเข็นสแตนเลสแบบคอกล้อม ขนาด W650xL950xH900 mm.</t>
  </si>
  <si>
    <t>ตู้วางรองเท้า  80 ซม.</t>
  </si>
  <si>
    <t>เครื่องปั๊มลม</t>
  </si>
  <si>
    <t xml:space="preserve">พัดลมโคจร ขนาด 16 นิ้ว </t>
  </si>
  <si>
    <t>เครื่องปรับอากาศชนิดแขวนใต้ฝ้า ขนาด 54900 BTU</t>
  </si>
  <si>
    <t>ตู้ลิ้นซักพลาสติก 4 ชั้น</t>
  </si>
  <si>
    <t>โทรทัศน์ขนาด 55 นิ้ว พร้อมอุปกรณ์ขาตั้ง</t>
  </si>
  <si>
    <t>รถเข็นเวชระเบียน (ล้อต่างประเทศ)</t>
  </si>
  <si>
    <t>เครื่องปรับอากาศชนิดติดผนัง ขนาด 18000 BTU</t>
  </si>
  <si>
    <t>ขาตั้งโทรทัศน์แบบมีล้อเลื่อน</t>
  </si>
  <si>
    <t>เครื่องทำลายเอกสาร</t>
  </si>
  <si>
    <t>โทรศัพท์เคลื่อนที่ ยี่ห้อ ViVo รุ่น 19s</t>
  </si>
  <si>
    <t xml:space="preserve">โทรศัพท์ Digital Attendant </t>
  </si>
  <si>
    <t>เตียงนอนพับได้</t>
  </si>
  <si>
    <t xml:space="preserve">เครื่องทำลายเอกสาร Deli 9918 paper Shredder NO BRAND </t>
  </si>
  <si>
    <t>โทรศัพท์ไร้สายแบบเดี่ยว</t>
  </si>
  <si>
    <t>โทรศัพท์ไร้สายแบบคู่</t>
  </si>
  <si>
    <t>เก้าอี้ สีดำ</t>
  </si>
  <si>
    <t>เครื่องปรับอากาศชนิดติดผนัง</t>
  </si>
  <si>
    <t>เครื่องปรับอากาศอิมิเน้น ชนิดแขวนใต้ฝ้า  ขนาด 30000 BTU พร้อมติดตั้ง</t>
  </si>
  <si>
    <t>งานผู้ป่วยนอก (ศัลยกรรม)</t>
  </si>
  <si>
    <t>หอผู้ป่วยหลวงพ่อแซ่ม 4</t>
  </si>
  <si>
    <t>หอผู้ป่วยหลวงพ่อแช่ม 2</t>
  </si>
  <si>
    <t>หอผู้ป่วยพิเศษอายุรกรรมชั้น 4,5</t>
  </si>
  <si>
    <t>หอผู้ป่วยอายุรกรรมหญิง</t>
  </si>
  <si>
    <t>หอผู้ป่วยหนักโรคหัวใจ</t>
  </si>
  <si>
    <t>หอผู้ป่วยจักษุ โสต ศอ นาสิก(EENT)</t>
  </si>
  <si>
    <t>หอผู้ป่วยห้องคลอด</t>
  </si>
  <si>
    <t>หอผู้ป่วยหนักศัลยกรรม</t>
  </si>
  <si>
    <t>หอผู้ป่วยอายุรกรรมชาย 1</t>
  </si>
  <si>
    <t>คลินิกเคมีบำบัด</t>
  </si>
  <si>
    <t>กลุ่มงานเวชระเบียนและข้อมูลทางการแพทย์</t>
  </si>
  <si>
    <t>กลุ่มงานเวชกรรมฟื้นฟู</t>
  </si>
  <si>
    <t>งานตรวจสุขภาพ</t>
  </si>
  <si>
    <t>กลุ่มงานเวชกรรมสังคม</t>
  </si>
  <si>
    <t>ศูนย์จรวจสุขภาพชุมชนนริศร</t>
  </si>
  <si>
    <t>กลุ่มงานพัฒนาทรัพยากรบุคคล</t>
  </si>
  <si>
    <t>กลุ่มงานพัสดุ</t>
  </si>
  <si>
    <t>กลุ่มงานจิตเวชและยาเสพติด</t>
  </si>
  <si>
    <t>กลุ่มงานกุมารเวชกรรม</t>
  </si>
  <si>
    <t>ศูนย์คุณภาพ</t>
  </si>
  <si>
    <t>เครื่องพิมพ์สติ๊กเกอร์</t>
  </si>
  <si>
    <t>เครื่องเคลือบบัตร A4</t>
  </si>
  <si>
    <t>เครืองมือสื่อสารชนิดแท็บเล็ต ขนาดกว้ง 10.4 นิ้ว ความละเอียด 1200/1920 พิกเซล ROM8/128GB</t>
  </si>
  <si>
    <t>กล้องเว็บแคม พร้อมขาตั้ง</t>
  </si>
  <si>
    <t>เครื่องคอมพิวเตอร์</t>
  </si>
  <si>
    <t>เครื่องให้บริการอัตโนมัติ KIOSK</t>
  </si>
  <si>
    <t>ฮาร์ดดิสสำหรับเครื่องคอมพิวเตอร์แม่ข่าย</t>
  </si>
  <si>
    <t>ซอฟต์แวร์ Cisco Hyperflex Data Platform Software</t>
  </si>
  <si>
    <t>อุปกรณ์จัดเก็บข้อมูล (Hard Disk)</t>
  </si>
  <si>
    <t xml:space="preserve">อุปกรณ์กระจายสัญญาณ Switch 24 port </t>
  </si>
  <si>
    <t xml:space="preserve">คอมพิวเตอร์ ASUS Expert Center </t>
  </si>
  <si>
    <t xml:space="preserve">UPS ขนาด 2KVA </t>
  </si>
  <si>
    <t>ซอฟต์แวร์ Cisco Intersight SaaS</t>
  </si>
  <si>
    <t>เครื่องพิมพ์แบบฉีกหมึก สำหรับกระดาษขนาด A3</t>
  </si>
  <si>
    <t>Rack UPS 3KVA สำหรับ Server</t>
  </si>
  <si>
    <t>เครื่องพิมพ์ Epson lnkjet L8050</t>
  </si>
  <si>
    <t>งานผู้ป่วยนอก (ห้องฉีดยา)</t>
  </si>
  <si>
    <t>กลุ่มภารกิจด้านปฐมภูมิ</t>
  </si>
  <si>
    <t>งานนิติกร</t>
  </si>
  <si>
    <t>กลุ่มงานสุขศึกษา</t>
  </si>
  <si>
    <t xml:space="preserve">ปรับปรุงห้องเอกซเรย์ ตึก 10 ชั้น </t>
  </si>
  <si>
    <t>ค่าอกแบบห้องชั้น 1 และห้องโลมา</t>
  </si>
  <si>
    <t>จ้างออกแบบห้องน้ำ ตึก OPD (ชั้น 3,4)</t>
  </si>
  <si>
    <t>รวมในงบ 25 ล้านบาท</t>
  </si>
  <si>
    <t>จ้างออกแบบห้องไตเทียม ตึก 298</t>
  </si>
  <si>
    <t>ระบบปรับอากาศในพื้นที่พักผู้ป่วยสามัญ ชั้น 2-7 ตึก 298</t>
  </si>
  <si>
    <t xml:space="preserve">รวมงบประมาณทั้งสิ้น
60,276,000  บาท
ปี 2568= 20,092,000 บาท
ปี 2569=40,184,000 บาท
</t>
  </si>
  <si>
    <t>ค่าเช่าเครื่องถ่ายเอกสาร + เครื่องพิมพ์ (ค่าจ้างเหมาอื่น) 
(เครื่องพิมพ์เช่าเลเซอร์ขาวดำ จำนวน 180 เครื่อง (รวมหมึกพิมพ์))</t>
  </si>
  <si>
    <t xml:space="preserve">ปรับปรุงห้องน้ำ OPD ชั้น 1,3,4 </t>
  </si>
  <si>
    <t>ซ่อมแซมอาคารศรีพัชรินทรานุสร</t>
  </si>
  <si>
    <t xml:space="preserve">ปรับปรุงห้องน้ำ (ห้องโลมา+ER ) </t>
  </si>
  <si>
    <t>รายจ่ายจริง 
ปี 2567</t>
  </si>
  <si>
    <t>ปรับปรุงคุณภาพอากาศภายในพื้นที่ตรวจผู้ป่วยนอก ชั้น 2 และชั้น 3  อาคารอุบัติเหตุฉุกเฉินและวิเคราะห์บำบัด 6 ชั้น</t>
  </si>
  <si>
    <t>เครื่องให้การรักษาด้วยแสงเลเซอร์ สำหรับรักษาความผิดปกติของเม็ดสี ริ้วรอย สิว 
ความไม่สม่ำเสมอของผิวและแผลเป็น</t>
  </si>
  <si>
    <t>ให้ใช้เครื่องที่ได้จากงบกองสลาก</t>
  </si>
  <si>
    <t>พัดลมติดผนัง ขนาด 18 นิ้ว (พื้นที่ส่วนรวม)</t>
  </si>
  <si>
    <t>โต๊ะทำงาน 8809B</t>
  </si>
  <si>
    <t>เก้าอี้ MA-U</t>
  </si>
  <si>
    <t xml:space="preserve">เครื่องปรับอากาศ ชนิดแขวนใต้ฝ้า ขนาด 13000 BTU </t>
  </si>
  <si>
    <t xml:space="preserve">เครื่องปรับอากาศ ชนิดแขวนใต้ฝ้า ขนาด 12500 BTU </t>
  </si>
  <si>
    <t>เครื่องปรับอากาศ ชนิดแขวนใต้ฝ้า ขนาด 48000 BTU</t>
  </si>
  <si>
    <t>เครื่องปรับอากาศ ชนิดแขวนใต้ฝ้า ขนาด 24000 BTU</t>
  </si>
  <si>
    <t>เครื่องปรับอากาศ ชนิดแขวนใต้ฝ้า ขนาด 12000 BTU</t>
  </si>
  <si>
    <t>เครื่องสำรองไฟ ขนาด 630 วัตต์</t>
  </si>
  <si>
    <t>เครื่องอ่านคิวอาร์โค้ดไร้สาย</t>
  </si>
  <si>
    <t>เครื่องพิมพ์เลเซอร์</t>
  </si>
  <si>
    <t xml:space="preserve">เครื่องสำรองไฟ ขนาด 630 วัตต์ </t>
  </si>
  <si>
    <t>เครื่องปริ้นเตอร์</t>
  </si>
  <si>
    <t xml:space="preserve">เครื่องคอมพิวเตอร์ All in one+ Windowa 11 Pro </t>
  </si>
  <si>
    <t>เครื่องพิมพ์  Multifunction</t>
  </si>
  <si>
    <t>Adobe Photoshop</t>
  </si>
  <si>
    <t>Adobe Lightroom</t>
  </si>
  <si>
    <t>Adobe Illustrator</t>
  </si>
  <si>
    <t>Adobe Acrobat Pro</t>
  </si>
  <si>
    <t>Canva Teams สำหรับ 3 Person</t>
  </si>
  <si>
    <t>Ferr Pik Premium (รายปีสำหรับ 1 คน)</t>
  </si>
  <si>
    <t>Cap Cut Pro (รายปี 1 account)</t>
  </si>
  <si>
    <t>เครื่องพิมพ์ canon PIXMA G4010</t>
  </si>
  <si>
    <t>เครื่องพิมพ์  Multifunction แบบฉีดหมึก</t>
  </si>
  <si>
    <t>ชนิดสายสวนแบบกางได้เอง (Self expandable)</t>
  </si>
  <si>
    <t>ชนิดสายสวนแบบต้องใช้บอลลูนกาง (Balloon expandable)</t>
  </si>
  <si>
    <t>ชุดเลื่อยตัดกระดูกหน้าอกแบบเดินหน้าถอยหลังระบบแบตเตอรี่</t>
  </si>
  <si>
    <t>ชุดเครื่องมือถ่างแผลแยกทรวงอก</t>
  </si>
  <si>
    <t>ชุดเครื่องมือพื้นฐานสำหรับการผ่าตัดหัวใจ</t>
  </si>
  <si>
    <t>กล้องส่องตรวจระบบทางเดินอาหาร ทางเดินน้ำดีและตับอ่อนด้วยคลื่นเสียงความถี่สูงพร้อมชุดควบคุมสัญญาณภาพ</t>
  </si>
  <si>
    <t>เครื่องรักษาโรคตาด้วยแสงเลเซอร์แบบแพทเทิน</t>
  </si>
  <si>
    <t>กลุ่มงานศัลยกรรมทั่วไป</t>
  </si>
  <si>
    <t>เครื่องสลายเนื้อเยื่อด้วยคลื่นความถี่สูง (CUSA )</t>
  </si>
  <si>
    <t>ตู้อุ่นน้ำเกลือ</t>
  </si>
  <si>
    <t>เครื่องปรับอากาศ ชนิดแขวนใต้ฝ้า ขนาด 36100 BTU</t>
  </si>
  <si>
    <t>เครื่องกำเนิดคลื่นวิทยุความถี่สูงสำหรับผ่าตัด ชนิด 2 ความถี่</t>
  </si>
  <si>
    <t>เครื่องดมยาสลบ</t>
  </si>
  <si>
    <t xml:space="preserve">เครื่องตรวจและวินิจฉัยภาพภายในหลอดเลือดหัวใจด้วยคลื่นอัลตราซาวด์ </t>
  </si>
  <si>
    <t xml:space="preserve"> - OPD นรีเวช/ศัลยกรรมทั่วไป/
/งานเอดส์+ให้คำปรึกษา+คลินิกวัณโรค/ ENT/วชิระคลินิก/ARI Clinic/ จุดคัดกรองโรค/จุดคัดกรองโรค/ตา
 - ศูนย์ศุภนิมิตร</t>
  </si>
  <si>
    <t xml:space="preserve">รวมงบประมาณทั้งสิ้น
100,460,000 บาท
ปี 2569= 20,092,000 บาท
ปี 2570-71=40,184,000 บาท
</t>
  </si>
  <si>
    <t xml:space="preserve"> - ปรับปรุงหอผู้ป่วยเคมีบำบัดเป็นระบบปรับอากาศ clean room positive pressure (class 100,000) ในพื้นที่หอผู้ป่วยเคมีบำบัด ชั้น 8 (ฝั่งสามัญ)
 - ปรับปรุงระบบปรับอากาศระบายอากาศ (clean room positive pressure) ห้องแยกผู้ป่วยเคมีบำบัด จำนวน 2 ห้อง
 - ติดตั้งตู้กักเก็บกลิ่นและไอระเหยทางสารเคมี ชั้น 8 ฝั่งสามัญ</t>
  </si>
  <si>
    <t>เครื่องคอมพิวเตอร์ Desktop (ซื้อได้ 8 เครื่อง ราคาขึ้น)</t>
  </si>
  <si>
    <t xml:space="preserve">ค่าซ่อมโครงสร้างอาคาร ตึก สงฆ์ </t>
  </si>
  <si>
    <t>ร้อยละ</t>
  </si>
  <si>
    <t>13.ส่งมอบ/รายงานผลตรวจรับ</t>
  </si>
  <si>
    <t>หนี้ค้าง ณ มิ.ย.68</t>
  </si>
  <si>
    <t>ขยายพื้นที่ด้านข้างอาคารจ่ายยาปุดจ้อ  (ออกแบบเสร็จแล้ว)</t>
  </si>
  <si>
    <t>ปรับปรุงห้องไตเทียม (ชั้น 1) +ที่พักคอย ตึก 298  (ออกแบบเสร็จแล้ว)</t>
  </si>
  <si>
    <r>
      <rPr>
        <sz val="16"/>
        <color rgb="FFFF0000"/>
        <rFont val="TH SarabunPSK"/>
        <family val="2"/>
      </rPr>
      <t>***</t>
    </r>
    <r>
      <rPr>
        <sz val="16"/>
        <rFont val="TH SarabunPSK"/>
        <family val="2"/>
      </rPr>
      <t>ปรับปรุงอาคาร 10 ชั้น ICU หัวใจ (ชั้น10)</t>
    </r>
  </si>
  <si>
    <t>อาคารรังสีรักษา (ราคาก่อสร้าง 421 ล้านบาท)</t>
  </si>
  <si>
    <t>ปรับปรุงห้องพิเศษ ตึก 298  จำนวน 40 ห้อง  (25 ล้านบาท)</t>
  </si>
  <si>
    <t>ปรับปรุงใช้ห้อง Cath lab ตึก 10 ชั้น  ชั้น 5</t>
  </si>
  <si>
    <t>ดำเนินการแล้ว</t>
  </si>
  <si>
    <t>ปี 2568</t>
  </si>
  <si>
    <t>ปี 2569</t>
  </si>
  <si>
    <t>ปรับปรุงห้องพิเศษตึกสูติกรรม  (อาจจะปรับราคา)</t>
  </si>
  <si>
    <t>แผนรายการสิ่งก่อสร้าง ประจำปีงบประมาณ พ.ศ. 2569 : เงินบำรุง</t>
  </si>
  <si>
    <t>รวมทั้งสิ้น</t>
  </si>
  <si>
    <t>เงินบริจาคอาคารรังสีรักษา</t>
  </si>
  <si>
    <t>เงินบริจาคเพื่อกิจการ</t>
  </si>
  <si>
    <t>ค่าจ้างติดฟิล์มกรองแสง ตึก 10 ชั้น  2.5 ลบ. ตั้งแผน ปี 2569</t>
  </si>
  <si>
    <t>จ้างปรับปรุงระบบปรับอากาศ หุ้มฉนวนกันความชื้น อาคารบ้านคุณพุ่มชั้น 5 
(ฝ่ายทรัพย์ ธุรการ พัสดุ และวิชาการ)</t>
  </si>
  <si>
    <t>จ้างปรับปรุงระบบปรับอากาศ หุ้มฉนวนกันความชื้น อาคารบ้านคุณพุ่มชั้น 6 
ห้องประชุมทั้งหมด</t>
  </si>
  <si>
    <t>รายการครุภัณฑ์ ตึกอายุรกรรม 298</t>
  </si>
  <si>
    <t>Laryngoscope</t>
  </si>
  <si>
    <t>อาคารอายุรกรรม 298</t>
  </si>
  <si>
    <t>Ventilator</t>
  </si>
  <si>
    <t xml:space="preserve">เกจ์ ออกซิเจน Pie line </t>
  </si>
  <si>
    <t>เกจ์ Suction</t>
  </si>
  <si>
    <t>EKG 12 lead</t>
  </si>
  <si>
    <t>เครื่อง Ultrasound mobile</t>
  </si>
  <si>
    <t>เครื่องติดตามการทำงานของหัวใจและสัญญานชีพอัตโนมัติขนาดใหญ่</t>
  </si>
  <si>
    <t>เครื่องติดตามการทำงานของหัวใจและสัญญานชีพอัตโนมัติขนาดใหญ่ (เฉพาะตัวลูก 6 parameter) เติมให้สามัญที่ยังขาดเฉพาะตัวลูก *** Phillip</t>
  </si>
  <si>
    <t>เตียงไฟฟ้า + โต๊ะคร่อมเตียง+ โต๊ะข้างเตียง สำหรับผู้ป่วยพิเศษ</t>
  </si>
  <si>
    <t>รถ Emergency</t>
  </si>
  <si>
    <t>รถสำหรับแจกยา</t>
  </si>
  <si>
    <t>Pad slide</t>
  </si>
  <si>
    <t>รถหัตถการ แบบมีลิ้นชัก</t>
  </si>
  <si>
    <t>รถหัตถการ size ใหญ่</t>
  </si>
  <si>
    <t>รถหัตถการ size เล็ก</t>
  </si>
  <si>
    <t>รถให้สารน้ำ</t>
  </si>
  <si>
    <t>รถเข็นแจกอาหาร</t>
  </si>
  <si>
    <t>รถเข็นของ</t>
  </si>
  <si>
    <t>เครื่องชั่งน้ำหนักและวัดส่วนสูง</t>
  </si>
  <si>
    <t>เครื่องชั่งน้ำหนักแบบดิจิทัล (เคลื่อนย้ายได้)</t>
  </si>
  <si>
    <t>เครื่องชั่งสารแบบดิจิตอล</t>
  </si>
  <si>
    <t>ชุดคอมพิวเตอร์ ชนิดตั้งโต๊ะ</t>
  </si>
  <si>
    <t>ชุดคอมพิวเตอร์ mobile</t>
  </si>
  <si>
    <t>เครื่อง Printer ที่มี scan + ถ่ายเอกสาร</t>
  </si>
  <si>
    <t>โต๊ะสำนักงาน + เก้าอี้</t>
  </si>
  <si>
    <t>โต๊ะประชุม + เก้าอี้ แบบ 10-12 คน</t>
  </si>
  <si>
    <t>เก้าอี้กลมสแตนเลสสำหรับญาติ</t>
  </si>
  <si>
    <t>เก้าอี้สำนักงานล้อเลื่อนมีพนักพิงปรับระดับได้</t>
  </si>
  <si>
    <t>เก้าอี้กลมล้อเลื่อนสแตนเลสปรับระดับได้ มีล้อ</t>
  </si>
  <si>
    <t>โทรศัพท์มีสาย</t>
  </si>
  <si>
    <t>กระดานไวท์บอร์ด size ใหญ่</t>
  </si>
  <si>
    <t>กระดานไวท์บอร์ด size กลาง</t>
  </si>
  <si>
    <t>ชั้นวางเอกสารขนาด 5 ชั้น</t>
  </si>
  <si>
    <t>นาฬิกาแขวน</t>
  </si>
  <si>
    <t>โทรทัศน์สำหรับห้องประชุม 55 นิ้ว</t>
  </si>
  <si>
    <t>ปลั๊กไฟ 3 ทาง</t>
  </si>
  <si>
    <t>โครงถังผ้าเปื้อน</t>
  </si>
  <si>
    <t>เครื่องน้ำร้อนน้ำเย็น COWAY</t>
  </si>
  <si>
    <t>เหยือกน้ำพลาสติกแบบมี scale</t>
  </si>
  <si>
    <t>เหยือกน้ำพลาสติกแบบไม่มี scale</t>
  </si>
  <si>
    <t>เครื่องทำน้ำอุ่นในห้องน้ำ</t>
  </si>
  <si>
    <t>ถังขยะพลาสติกแบบเหยียบ 18 ลิตร</t>
  </si>
  <si>
    <t>ถังขยะพลาสติกแบบเหยียบ 35 ลิตร</t>
  </si>
  <si>
    <t>ตู้เย็น แบบ 1 ประตู (สำหรับยา)</t>
  </si>
  <si>
    <t>ตู้เย็น แบบ 2 ประตู</t>
  </si>
  <si>
    <t>ไมโครเวฟ</t>
  </si>
  <si>
    <t>บันได 2 ชั้น สำหรับผู้ป่วย</t>
  </si>
  <si>
    <t>ราวตากผ้า</t>
  </si>
  <si>
    <t>ที่คว่ำจาน 2 ชั้น พร้อมฝาครอบ</t>
  </si>
  <si>
    <t>ถาดสแตนเลส</t>
  </si>
  <si>
    <t>Urenal</t>
  </si>
  <si>
    <t>กระติกน้ำร้อน (1 ใบ)</t>
  </si>
  <si>
    <t>โทรทัศน์</t>
  </si>
  <si>
    <t>ไดร์เป่าผม 1 เครื่อง + ถุง</t>
  </si>
  <si>
    <t>ไมโครเวฟ 1 เครื่อง</t>
  </si>
  <si>
    <t>ม่านแบบม้วน</t>
  </si>
  <si>
    <t xml:space="preserve">ตู้เย็นขนาด 5.5 คิว </t>
  </si>
  <si>
    <t>ตู้เซฟ</t>
  </si>
  <si>
    <t>ถ้วย (2 ใบ)</t>
  </si>
  <si>
    <t>จานใหญ่ (2 ใบ)</t>
  </si>
  <si>
    <t>แก้วใส (2 ใบ)</t>
  </si>
  <si>
    <t>ชุดกาแฟ + ช้อน (2 ชุด)</t>
  </si>
  <si>
    <t>ช้อนส้อมสแตนเลส (2 คู่)</t>
  </si>
  <si>
    <t>ช้อนกลาง สแตนเลส (2 อัน)</t>
  </si>
  <si>
    <t>เหยือกน้ำพลาสติก</t>
  </si>
  <si>
    <t>ที่คว่ำจาน (1 ใบ)</t>
  </si>
  <si>
    <t xml:space="preserve">ถาดพลาสติกวางแก้วน้ำ </t>
  </si>
  <si>
    <t>ขันสแตนเลส  (1 ใบ)</t>
  </si>
  <si>
    <t>กะละมัง สแตนเลส (1 ใบ)</t>
  </si>
  <si>
    <t>หม้อนอน (1 ใบ)</t>
  </si>
  <si>
    <t>กระบอกปัสสาวะ ( 1 ชิ้น)</t>
  </si>
  <si>
    <t>ผ้าเช็ดผม 2 ผืน</t>
  </si>
  <si>
    <t>ผ้าเช็ดตัว 2 ผืน</t>
  </si>
  <si>
    <t>ผ้าห่ม 2 ผืน</t>
  </si>
  <si>
    <t>หมอน ขนาด 1,200 กรัม</t>
  </si>
  <si>
    <t>หมอน ขนาด 800 กรัม</t>
  </si>
  <si>
    <t>ตะกร้าทิ้งผ้า</t>
  </si>
  <si>
    <t>ไม้แขวนเสื้อ 5 อัน / ห้อง</t>
  </si>
  <si>
    <t>ผ้าปูที่นอน</t>
  </si>
  <si>
    <t>ปลอกหมอน</t>
  </si>
  <si>
    <t>ผ้ากันเปื้อนหมอน</t>
  </si>
  <si>
    <t>ผ้าเช็ดเท้า</t>
  </si>
  <si>
    <t xml:space="preserve">ชามรูปไต พลาสติก </t>
  </si>
  <si>
    <t>ถังขยะ (ห้องน้ำ)</t>
  </si>
  <si>
    <t>ถังขยะ 2 ช่อง</t>
  </si>
  <si>
    <t>ตัวกดสบู่และแชมพู</t>
  </si>
  <si>
    <t>ตัวกดน้ำยาล้างจานแบบติดผนัง</t>
  </si>
  <si>
    <t>ครีมอาบน้ำ</t>
  </si>
  <si>
    <t>แชมพู ขนาด 5 ลิตร</t>
  </si>
  <si>
    <t>ชุดGift set</t>
  </si>
  <si>
    <t>ถาดสำหรับวางแพคเกจ</t>
  </si>
  <si>
    <t>จ้างเหมาตรวจชิ้นเนื้อศพ  5 รายการ 2 แสนบาท ปี 2569</t>
  </si>
  <si>
    <t>แผนรายจ่ายรายการครุภัณฑ์ เงินบำรุง  ประจำปีงบประมาณ พ.ศ. 2568</t>
  </si>
  <si>
    <t>เครื่องชั่งน้ำหนักบุคคลพร้อมวัดส่วนสูง</t>
  </si>
  <si>
    <t xml:space="preserve">เครื่องวัดปริมาณความอิ่มตัวของออกซิเจนปลายนิ้ว </t>
  </si>
  <si>
    <t>ครุภัณฑ์การแพทย์ รวมทั้งสิ้น</t>
  </si>
  <si>
    <t>ครุภัณฑ์งานบ้านงานครัว รวมทั้งสิ้น</t>
  </si>
  <si>
    <t>ครุภัณฑ์โฆษณาและเผยแพร่ รวมทั้งสิ้น</t>
  </si>
  <si>
    <t>ครุภัณฑ์ยานพาหนะ รวมทั้งสิ้น</t>
  </si>
  <si>
    <t>ครุภัณฑ์สำนักงาน รวมทั้งสิ้น</t>
  </si>
  <si>
    <t>ครุภัณฑ์คอมพิวเตอร์ รวมทั้งสิ้น</t>
  </si>
  <si>
    <t>วงเงินจัดซื้อ</t>
  </si>
  <si>
    <t>ดำเนินการครั้งที่ 2</t>
  </si>
  <si>
    <t>อยู่ระหว่างดำเนินการ(เอกสารมีแก้ไข)</t>
  </si>
  <si>
    <t>เหลือ 1 ตัว = 240,000 บาท</t>
  </si>
  <si>
    <t>เครื่องช่วยหายใจชนิดควบคุมปริมาตร และความดันพร้อมระบบหย่าเครื่องอัตโนมัติและประมวลผลพยาธิสภาพปอด พร้อมแสดงรูปภาพจำลองของคนไข้</t>
  </si>
  <si>
    <t>icu med</t>
  </si>
  <si>
    <t>แผนรายจ่ายรายการครุภัณฑ์ เงินบำรุง  ประจำปีงบประมาณ พ.ศ. 2569</t>
  </si>
  <si>
    <t>ตัว incubator เก็บน้ำเชื้อ สำหรับทำ sperm (วัสดุ)</t>
  </si>
  <si>
    <t>อุปกรณ์เจาะชิ้นเนื้อเต้านม (Magnum biopsy) (วัสดุ)</t>
  </si>
  <si>
    <t>แผนรายการสิ่งก่อสร้าง ประจำปีงบประมาณ พ.ศ. 2568 : เงินบำรุง</t>
  </si>
  <si>
    <t>ระบบ software ERP</t>
  </si>
  <si>
    <t>แผนจัดซื้อ ครุภัณฑ์ software AI</t>
  </si>
  <si>
    <t>Distributor Switch ระบบ Network เพื่อใช้เป็น core switch อาคารบ้านคุณพุ่ม 
รองรับการเชื่อมต่อกับอาคาร 298</t>
  </si>
  <si>
    <t xml:space="preserve"> - OPD นรีเวช/ศัลยกรรมทั่วไป/
/งานเอดส์+ให้คำปรึกษา+คลินิกวัณโรค/
ENT/วชิระคลินิก/ARI Clinic/จุดคัดกรองโรค/จุดคัดกรองโรค/ตา
 - ศูนย์ศุภนิมิตร</t>
  </si>
  <si>
    <t xml:space="preserve">รติพัฒน์ (0/1)
</t>
  </si>
  <si>
    <t>เครื่องแท็บเล็ต การเงินARI,แพทย์แผนไทย,กายภาพบำบัด,การเงินโลมา,
Wound car ,เคมีบำบัด</t>
  </si>
  <si>
    <t xml:space="preserve">ระบบ software : Cloud based Hospital Information System ต่อขยายจาก Dr.Module ให้ครอบคลุมทุกระบบในโรงพยาบาล </t>
  </si>
  <si>
    <t>แผนรายการสิ่งก่อสร้าง  : เงินบริจาคอาคารรังสีรักษา ประจำปีงบประมาณ 2569</t>
  </si>
  <si>
    <t>ค่าย้ายเครื่องเอกซเรย์ทั่วไป เครื่องเอกซเรย์ฟันและเครื่องเอกซเรย์ส่องตรวจ</t>
  </si>
  <si>
    <t>จัดจ้างพยาบาล Outource</t>
  </si>
  <si>
    <t>จ้างเหมาบริการตรวจติดตามการทำงานของเส้นประสาทระหว่างผ่าตัด 
(30,000 บาทต่อครั้ง * 100 ครั้งต่อปี)</t>
  </si>
  <si>
    <t>ค่าจ้างออกแบบอาคารพักคอยผู้ใช้บริการตึกอุบัติเหตุฉุกเฉินและศูนย์หัวใจ 10 ชั้น</t>
  </si>
  <si>
    <t>แผนประมาณการ
รายจ่าย ปีงบฯ2569</t>
  </si>
  <si>
    <t>2. ประมาณการรายรับ ปีงบประมาณ 2569</t>
  </si>
  <si>
    <t>ตามจ่ายเงินค่ารักษาพยาบาล + สงเคราะห์ชาวต่างชาติ</t>
  </si>
  <si>
    <t>บริษัทฯไม่สามารถเข้างานได้ รอทางเชื่อมระหว่างอาคารบ้านคุณพุ่มไปอาคาร298</t>
  </si>
  <si>
    <t>ดำเนินการ</t>
  </si>
  <si>
    <t>คืนบันทึกข้อความกลับแก้ไข</t>
  </si>
  <si>
    <t>รายการเดียวกับรายการที่ 5 หรือไม่</t>
  </si>
  <si>
    <t>ใบสั่งซื้อ</t>
  </si>
  <si>
    <t>ส่งมอบ 25 ก.ย. 68</t>
  </si>
  <si>
    <t>รายงานผลการพิจารณา</t>
  </si>
  <si>
    <t>ยกเลิกเนื่องจากเกิดความคลาดเคลื่อนในการจัดทำ TOR จึงรอบันทึกข้อความจากหน่วยงานเพื่อขอยกเลิก</t>
  </si>
  <si>
    <t>วัสดุ</t>
  </si>
  <si>
    <t>ทางศูนย์คอมทำมาบางส่วน</t>
  </si>
  <si>
    <t>ไม่ดำเนินการ</t>
  </si>
  <si>
    <t>ยกไป 69</t>
  </si>
  <si>
    <t>ยกไป 69 (รอระบบ HIS ใหม่)</t>
  </si>
  <si>
    <t>กำลังดำเนินการ</t>
  </si>
  <si>
    <t>ทางศูนย์คอมทำมาบางส่วน เบิกจ่ายแล้ว</t>
  </si>
  <si>
    <t>ทางศูนย์คอมทำมาบางส่วน เบิกจ่ายแล้ว 1 ตัว</t>
  </si>
  <si>
    <t>ฟรี</t>
  </si>
  <si>
    <t>เบิกจ่ายบางส่วน และบางส่วนไม่มีเอกสารที่พัสดุ</t>
  </si>
  <si>
    <t>ซื้อโคเวย์ เบิกจ่ายแล้ว</t>
  </si>
  <si>
    <t xml:space="preserve"> ปี 69 ปรับแผน 10,000,000บาท</t>
  </si>
  <si>
    <t>ปรับปรุงอาคารพักคอยสำหรับผู้มาใช้บริการตึกอุบัติเหตุฉุกเฉินและศูนย์หัวใจ 10 ชั้น ตลอดถึงงานภูมิสถาปัตย์พื้นที่ด้านข้างไปจนถึงงานออกแบบปรับปรุงทางเดินเชื่อมอาคารของเก่า</t>
  </si>
  <si>
    <t>ปรับปรุงห้องประชุมศูนย์คุณภาพ</t>
  </si>
  <si>
    <t>กรณีไม่รวมเงินบริจาค</t>
  </si>
  <si>
    <t>รายจ่ายจริง
ปี 2567</t>
  </si>
  <si>
    <t>รายรับจากบริษัท,ห้างร้าน +ต้นสังกัด</t>
  </si>
  <si>
    <r>
      <t xml:space="preserve">ผลการดำเนินงาน ณ 31 ก.ค. 67 </t>
    </r>
    <r>
      <rPr>
        <b/>
        <sz val="14"/>
        <color rgb="FFFF0000"/>
        <rFont val="TH Sarabun New"/>
        <family val="2"/>
      </rPr>
      <t>(ข้อมูลจากหน่วยจัดซื้อ)</t>
    </r>
  </si>
  <si>
    <t xml:space="preserve"> -  LAB (COVID-19(ATK)+FLU)</t>
  </si>
  <si>
    <t>รายรับประกันใน - ต่างประเทศ</t>
  </si>
  <si>
    <t>เพิ่มการรักษาสวนหัวใจไม่ส่งเอกชน ทบทวน DRG</t>
  </si>
  <si>
    <t>ต่างด้าว 51 ลบ.ต่างชาติ 90 ลบ.</t>
  </si>
  <si>
    <t>คลอดผู้ประกันตนสิทธิ์ประกันสังคมเหมาจ่าย 13000 บาท</t>
  </si>
  <si>
    <t>ยอดเรียกเก็บ 12ลบ.</t>
  </si>
  <si>
    <t>ครุภัณฑ์ยานพาหนะ (รถตู้พยาบาล)</t>
  </si>
  <si>
    <t>แผนปี 68 ยังไม่ได้ดำเนินการ</t>
  </si>
  <si>
    <t>แผนปี 68 =14202798.13 แผนปี 68 แต่ทำไปทันยกไป 69 =4386729+นอกแผน 69 ไตรมาส 3 3033900</t>
  </si>
  <si>
    <t>นอกแผน 69 ไตรมาส 3 81898</t>
  </si>
  <si>
    <t>นอกแผน 69 ไตรมาส 3 13940</t>
  </si>
  <si>
    <t xml:space="preserve"> - อาคารรังสีรักษา</t>
  </si>
  <si>
    <t xml:space="preserve"> - ค่าจ้างเหมาบริการลูกจ้าง</t>
  </si>
  <si>
    <t xml:space="preserve"> - เงินบริหารจัดการแรงงานต่างด้าว (ลงทุน)</t>
  </si>
  <si>
    <t xml:space="preserve"> - งบส่งเสริมสุขภาพและป้องกันโรคแรงงานต่างด้าว (โครงการฝังยาคุมกำเนิด)</t>
  </si>
  <si>
    <t>จ้างปรับปรุงระบบปรับอากาศ หุ้มฉนวนกันความชื้น อาคารบ้านคุณพุ่ม ชั้น 6 
(องค์กรแพทย์ เวชกรรมสังคมอาชีวเวชกรรม)</t>
  </si>
  <si>
    <t>แผนปี 68 แต่ทำไปทันยกไป 69 =664417.65+ อกแผน 69 ไตรมาส 3 3114036.56</t>
  </si>
  <si>
    <t>นอกแผน 69 ไตรมาส 3 4071390.55 , แผนปี68 13837460.72  ปี 68 ยกไป 69 14902000</t>
  </si>
  <si>
    <t>บัตรทอง (CENTRAL REIMBURSE+
กองทุนต่างๆ+covid)</t>
  </si>
  <si>
    <t>แรงงานต่างด้าว (กองทุนประกัน+ค่าตรวจ+
เรียกเก็บส่วนกลาง)</t>
  </si>
  <si>
    <t>จ้างออกแบบตึกอันดามัน</t>
  </si>
  <si>
    <t>จ้างออกแบบ ER เก่า</t>
  </si>
  <si>
    <t>จ้างออกแบบ ER ใหม่</t>
  </si>
  <si>
    <t>จ้างออกแบบตึกสงฆ์</t>
  </si>
  <si>
    <t>จ้างเหมาบริการ Sleep lab</t>
  </si>
  <si>
    <t>จ้างออกแบบห้องกายภาพบำบัด</t>
  </si>
  <si>
    <t>จ้างที่ปรึกษาศึกษาความเป็นไปได้ (โครงการยกระดับฯ)  (15 ล้านบาท)</t>
  </si>
  <si>
    <t>จ่ายศูนย์บริการเทศบาลนครภูเก็ต+รัษฎา+ศูนย์นริศร</t>
  </si>
  <si>
    <t xml:space="preserve"> - เงินบริจาคเพื่อใช้ในกิจการ รพ.วชิระภูเก็ต</t>
  </si>
  <si>
    <t>แผนปี 68 แต่ทำไปทันยกไป 69 =188027.02+920454 นอกแผน 69 ไตรมาส 3 110580+3900</t>
  </si>
  <si>
    <t>เช่าใช้เครื่องคอมพิวเตอร์ (clients) 900 เครื่อง (450 x 2) พร้อม license, anti-virus และ UPS แผนเช่าเครื่อง 3 ปี (ปี 2569-2571)  รวมเป็นเงิน 14,904,000 บาท</t>
  </si>
  <si>
    <t>รวมอยู่ในงบ 10 ล้านบาท</t>
  </si>
  <si>
    <t xml:space="preserve">จ้างติดตั้งสติกเกอร์C2 บริเวณกระจกด้านหน้าหอผู้ป่วยสามมัญทุกชั้น 
และบริเวณประตูทางเข้าหอผู้ป่วย RCU ตึก 298 </t>
  </si>
  <si>
    <t>จ้างออกแบบห้องผ่าตัดชั้น 5 (ไตรมาส 3 ราคา 5 % ของค่าก่อสร้าง 3.5 ลบ.)</t>
  </si>
  <si>
    <t>แผนประมาณการ
รายจ่าย 
ปีงบฯ 2568</t>
  </si>
  <si>
    <t>หนี้ค้าง ณ ก.ย.68</t>
  </si>
  <si>
    <t>EBITDA 20%</t>
  </si>
  <si>
    <t>เงินลงทุนได้</t>
  </si>
  <si>
    <t>สรุปแผนรายรับ - รายจ่ายเงินบำรุง โรงพยาบาลวชิระภูเก็ต ประจำปีงบประมาณ พ.ศ. 2569</t>
  </si>
  <si>
    <t>3. รวมเงินบำรุง คงเหลือ  ปีงบประมาณ 2569</t>
  </si>
  <si>
    <t>4. ประมาณการรายจ่าย ปีงบประมาณ 2569</t>
  </si>
  <si>
    <t>5. เงินบำรุง คงเหลือสุทธิ ปีงบประมาณ 2569</t>
  </si>
  <si>
    <t>ค่าจ้าง Market Research &amp; Business modelและ Service Design &amp; Service Biueprint</t>
  </si>
  <si>
    <t>รายรับจริง ปี 2568</t>
  </si>
  <si>
    <t>รายจ่าย ปี 2568</t>
  </si>
  <si>
    <t>หนี้ค้าง ณ ธ.ค.68</t>
  </si>
  <si>
    <t>(36 ลบ.+10ลบ+PMC3.6ลบ.+Wellness3 ลบ.)</t>
  </si>
  <si>
    <t>จ่ายค่าบริการทางกางแพทย์รพ.มหาราชนครศรีธรรมราช</t>
  </si>
  <si>
    <t>จ่ายสนับสนุน สสจ.สุราษฎร์ธานี+รพ.บ้านนาสาร+สสจ.ระนอง</t>
  </si>
  <si>
    <t>จ่ายสนับสนุน สสจ.สุราษฎร์ธานี = 600,000 บาท
จ่ายสนับสนุนรพ.บ้านนาสาร = 2,800,000 บาท
จ่ายสนับสนุนสสจ.ระนอง = 2,600,000 บาท</t>
  </si>
  <si>
    <t xml:space="preserve"> รายจ่ายอื่นๆ</t>
  </si>
  <si>
    <t>งบบริหารจัดการ 2.5%</t>
  </si>
  <si>
    <t>รายจ่ายจริง
ปี 2568</t>
  </si>
  <si>
    <t>70% = 17,146,016.19
10%= 5,450,000</t>
  </si>
  <si>
    <t>ผู้ประกันตน 121000 คน*1808 บาท</t>
  </si>
  <si>
    <t xml:space="preserve">จ่ายค่าทางเดินเชื่อมตึกอันดามันไปอาคารอุบัติเหตุ 10 ชั้น
ค่าอาคารรังสีรักษา = 41,982,193.76 บาท </t>
  </si>
  <si>
    <t>จ้างออกแบบตกแต่ง อาคาร 10 ชึ้น (LAB+ธนาคารเลือด)</t>
  </si>
  <si>
    <t xml:space="preserve">ค่าออกแบบ OPD+ห้องยา(ER เดิม) </t>
  </si>
  <si>
    <t xml:space="preserve"> รื้อ+ติดตั้ง c-arm (ค่าจ้างย้ายเครื่องเอกซ์เรย์หลอดเลือดและลำตัว = 4,500,000 บาท)</t>
  </si>
  <si>
    <t xml:space="preserve">จ้างออกแบบปรับปรุงพื้นที่บริเวณตึกสูติกรรมชั้น 4    </t>
  </si>
  <si>
    <t>ปรับปรุง ชั้น 4 ตึกอันดามัน  : ICCU  24 เตียง (ทาสี)</t>
  </si>
  <si>
    <t>ไตรมาส 1</t>
  </si>
  <si>
    <t>หนี้ค้าง ณ มี.ค.69</t>
  </si>
  <si>
    <t>ไตรมาส 2</t>
  </si>
  <si>
    <t xml:space="preserve">จ้างเหมาติดตั้งระบบสายสัญญาณคอมพิวเตอร์และโทรศัพท์พร้อมอุปกรณ์ภายในห้องคลอด </t>
  </si>
  <si>
    <t xml:space="preserve">จ้างออกแบบปรับปรุงศูนย์ส่องกล้องและห้องผ่าตัด ชั้น 5    </t>
  </si>
  <si>
    <t>ประมาณการ
แผนรายรับ 
ปีงบฯ 2569</t>
  </si>
  <si>
    <t xml:space="preserve">รายรับเงินบำรุง ปีงบประมาณ 2566 - 2569 ณ เดือนมีนาคม และแผนประมาณการรายรับเงินบำรุง (ปรับแผน) ปีงบประมาณ 2569 </t>
  </si>
  <si>
    <t xml:space="preserve">รายจ่ายเงินบำรุง ปีงบประมาณ 2566 - 2569 ณ เดือนมีนาคม และประมาณการแผนรายจ่ายเงินบำรุง  (ปรับแผน) ปีงบประมาณ 2569 </t>
  </si>
  <si>
    <t>รายละเอียดรายจ่ายและแผนประมาณการรายจ่าย (ปรับแผน) ปีงบประมาณ 2569</t>
  </si>
  <si>
    <t>แผนประมาณการรายจ่าย
(ปรับแผน)  ปีงบฯ 2569</t>
  </si>
  <si>
    <t xml:space="preserve">จ้างเหมาติดตั้งระบบสายสัญญาณเชื่อมต่ออาคารอุบัติเหตุ 10 ชั้น และ Data center </t>
  </si>
  <si>
    <t>ตัวเลข</t>
  </si>
  <si>
    <t>ค่าเช่าชุดแปลงสัญญาณภาพรังสี ,ค่าจ้างเหมาบำรุงรักษาครุภัณฑ์วิทยาศาสตร์และการแพทย์</t>
  </si>
  <si>
    <t>จ้างออกแบบ clean room positive pressure (class 100,000) ในพื้นที่หอผู้ป่วยเคมีบำบัด
ชั้น 8 (ฝั่งสามัญ) รวมในงบ 25 ล้านบาท</t>
  </si>
  <si>
    <t>1. เงินบำรุง คงเหลือ 31 มีนาคม 2569</t>
  </si>
  <si>
    <t xml:space="preserve"> - ศูนย์ Wellness </t>
  </si>
  <si>
    <t>เปรียบเทียบไตรมาส1 กับไตรมาส 2</t>
  </si>
  <si>
    <t>เพิ่มขึ้น
ร้อยละ</t>
  </si>
  <si>
    <t>ประมาณการ
แผนรายจ่าย (ปรับแผน)
ปีงบฯ 2569</t>
  </si>
  <si>
    <t>จ่ายแล้ว 4.5 ลบ. ต้องจ่าย......</t>
  </si>
  <si>
    <t xml:space="preserve"> ในแผนส่งเบิกจ่าย 100.87 ลบ.   นอกแผนส่งเบิกจ่าย 19.76 ลบ.</t>
  </si>
  <si>
    <t>(หนี้ค้าง .................................... บาท +
หนี้ยังไม่ได้รับ................................ บาท)</t>
  </si>
  <si>
    <t>เบ็ดเตล็ด  (ค่าจอดรถ + ค่าไฟเก็บจาก จนท.พยาบาล 
+ค่าใบรับรองแพทย์ต่างด้าว+ค่าใช้จ่ายโครงการต่างๆ)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</si>
</sst>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87" formatCode="_(* #,##0.00_);_(* \(#,##0.00\);_(* &quot;-&quot;??_);_(@_)"/>
    <numFmt numFmtId="188" formatCode="#,##0.00_ ;[Red]\-#,##0.00\ "/>
    <numFmt numFmtId="189" formatCode="#,##0.00_ ;\-#,##0.00\ "/>
    <numFmt numFmtId="190" formatCode="#,##0.\-"/>
    <numFmt numFmtId="191" formatCode="_-* #,##0.0_-;\-* #,##0.0_-;_-* &quot;-&quot;??_-;_-@_-"/>
    <numFmt numFmtId="192" formatCode="_-* #,##0_-;\-* #,##0_-;_-* &quot;-&quot;??_-;_-@_-"/>
    <numFmt numFmtId="193" formatCode="_-* #,##0_-;\-* #,##0_-;_-* &quot;-&quot;??_-;_-@"/>
    <numFmt numFmtId="194" formatCode="0.0"/>
  </numFmts>
  <fonts count="9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1"/>
      <color theme="1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6"/>
      <color rgb="FFFF0000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rgb="FFFF0000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sz val="18"/>
      <color rgb="FFFF0000"/>
      <name val="TH SarabunPSK"/>
      <family val="2"/>
    </font>
    <font>
      <sz val="16"/>
      <color rgb="FF000000"/>
      <name val="TH SarabunPSK"/>
      <family val="2"/>
    </font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4"/>
      <name val="Cordia New"/>
      <family val="2"/>
    </font>
    <font>
      <b/>
      <sz val="16"/>
      <name val="TH Sarabun New"/>
      <family val="2"/>
    </font>
    <font>
      <sz val="11"/>
      <color rgb="FF006100"/>
      <name val="Tahoma"/>
      <family val="2"/>
      <charset val="222"/>
      <scheme val="minor"/>
    </font>
    <font>
      <sz val="10"/>
      <name val="Arial"/>
      <family val="2"/>
    </font>
    <font>
      <sz val="14"/>
      <name val="Cordia New"/>
      <family val="2"/>
    </font>
    <font>
      <b/>
      <sz val="16"/>
      <color rgb="FF000000"/>
      <name val="TH SarabunPSK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4"/>
      <name val="Tahoma"/>
      <family val="2"/>
      <charset val="222"/>
    </font>
    <font>
      <b/>
      <sz val="13"/>
      <color indexed="54"/>
      <name val="Tahoma"/>
      <family val="2"/>
      <charset val="222"/>
    </font>
    <font>
      <b/>
      <sz val="11"/>
      <color indexed="54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sz val="11"/>
      <color theme="1"/>
      <name val="Tahoma"/>
      <family val="2"/>
      <scheme val="minor"/>
    </font>
    <font>
      <b/>
      <sz val="11"/>
      <color indexed="63"/>
      <name val="Tahoma"/>
      <family val="2"/>
      <charset val="222"/>
    </font>
    <font>
      <sz val="18"/>
      <color indexed="54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1"/>
      <color indexed="52"/>
      <name val="Tahoma"/>
      <family val="2"/>
      <charset val="222"/>
    </font>
    <font>
      <strike/>
      <sz val="16"/>
      <name val="TH SarabunPSK"/>
      <family val="2"/>
    </font>
    <font>
      <sz val="14"/>
      <color rgb="FF000000"/>
      <name val="TH SarabunPSK"/>
      <family val="2"/>
    </font>
    <font>
      <b/>
      <sz val="18"/>
      <color rgb="FF000000"/>
      <name val="TH SarabunPSK"/>
      <family val="2"/>
    </font>
    <font>
      <sz val="16"/>
      <name val="TH Sarabun New"/>
      <family val="2"/>
    </font>
    <font>
      <sz val="16"/>
      <color rgb="FF00B050"/>
      <name val="TH SarabunPSK"/>
      <family val="2"/>
    </font>
    <font>
      <sz val="16"/>
      <color rgb="FF000000"/>
      <name val="Tahoma"/>
      <family val="2"/>
      <scheme val="minor"/>
    </font>
    <font>
      <sz val="16"/>
      <color rgb="FF000000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trike/>
      <sz val="16"/>
      <color theme="1"/>
      <name val="TH SarabunPSK"/>
      <family val="2"/>
    </font>
    <font>
      <strike/>
      <sz val="16"/>
      <color rgb="FFFF0000"/>
      <name val="TH SarabunPSK"/>
      <family val="2"/>
    </font>
    <font>
      <strike/>
      <sz val="16"/>
      <color rgb="FF000000"/>
      <name val="TH SarabunPSK"/>
      <family val="2"/>
    </font>
    <font>
      <sz val="8"/>
      <name val="Tahoma"/>
      <family val="2"/>
      <charset val="222"/>
      <scheme val="minor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6"/>
      <color rgb="FFFF0000"/>
      <name val="Angsana New"/>
      <family val="1"/>
      <charset val="222"/>
    </font>
    <font>
      <b/>
      <sz val="16"/>
      <color rgb="FFFF0000"/>
      <name val="TH SarabunPSK"/>
      <family val="2"/>
      <charset val="222"/>
    </font>
    <font>
      <b/>
      <sz val="18"/>
      <color rgb="FF000000"/>
      <name val="Angsana New"/>
      <family val="1"/>
    </font>
    <font>
      <sz val="16"/>
      <color rgb="FF000000"/>
      <name val="Angsana New"/>
      <family val="1"/>
    </font>
    <font>
      <b/>
      <sz val="16"/>
      <color theme="1"/>
      <name val="Angsana New"/>
      <family val="1"/>
    </font>
    <font>
      <b/>
      <sz val="16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b/>
      <sz val="16"/>
      <color rgb="FF000000"/>
      <name val="Angsana New"/>
      <family val="1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sz val="16"/>
      <color rgb="FF00B050"/>
      <name val="Angsana New"/>
      <family val="1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b/>
      <sz val="14"/>
      <color rgb="FFFF0000"/>
      <name val="TH Sarabun New"/>
      <family val="2"/>
    </font>
    <font>
      <sz val="14"/>
      <color rgb="FFFF000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i/>
      <sz val="14"/>
      <name val="TH Sarabun Ne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b/>
      <sz val="12"/>
      <color rgb="FFFF0000"/>
      <name val="TH SarabunPSK"/>
      <family val="2"/>
    </font>
    <font>
      <b/>
      <sz val="14"/>
      <name val="TH Sarabun New"/>
      <family val="2"/>
      <charset val="222"/>
    </font>
    <font>
      <sz val="14"/>
      <name val="TH Sarabun New"/>
      <family val="2"/>
      <charset val="222"/>
    </font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rgb="FFFF0000"/>
      <name val="TH SarabunPSK"/>
      <family val="2"/>
    </font>
    <font>
      <sz val="16"/>
      <name val="TH Sarabun New"/>
      <family val="2"/>
    </font>
    <font>
      <sz val="14"/>
      <color rgb="FF000000"/>
      <name val="TH Sarabun New"/>
      <family val="2"/>
    </font>
    <font>
      <sz val="14"/>
      <color rgb="FFFF0000"/>
      <name val="TH Sarabun New"/>
      <family val="2"/>
      <charset val="222"/>
    </font>
  </fonts>
  <fills count="4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51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7" fillId="0" borderId="0"/>
    <xf numFmtId="0" fontId="16" fillId="0" borderId="0"/>
    <xf numFmtId="43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43" fontId="21" fillId="0" borderId="0" applyFont="0" applyFill="0" applyBorder="0" applyAlignment="0" applyProtection="0"/>
    <xf numFmtId="0" fontId="21" fillId="0" borderId="0"/>
    <xf numFmtId="43" fontId="18" fillId="0" borderId="0" applyFont="0" applyFill="0" applyBorder="0" applyAlignment="0" applyProtection="0"/>
    <xf numFmtId="0" fontId="21" fillId="0" borderId="0"/>
    <xf numFmtId="43" fontId="16" fillId="0" borderId="0" applyFont="0" applyFill="0" applyBorder="0" applyAlignment="0" applyProtection="0"/>
    <xf numFmtId="0" fontId="16" fillId="0" borderId="0"/>
    <xf numFmtId="0" fontId="22" fillId="0" borderId="0"/>
    <xf numFmtId="43" fontId="18" fillId="0" borderId="0" applyFont="0" applyFill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0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5" borderId="0" applyNumberFormat="0" applyBorder="0" applyAlignment="0" applyProtection="0"/>
    <xf numFmtId="0" fontId="24" fillId="17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8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19" borderId="0" applyNumberFormat="0" applyBorder="0" applyAlignment="0" applyProtection="0"/>
    <xf numFmtId="0" fontId="26" fillId="24" borderId="0" applyNumberFormat="0" applyBorder="0" applyAlignment="0" applyProtection="0"/>
    <xf numFmtId="0" fontId="27" fillId="16" borderId="27" applyNumberFormat="0" applyAlignment="0" applyProtection="0"/>
    <xf numFmtId="0" fontId="28" fillId="21" borderId="28" applyNumberFormat="0" applyAlignment="0" applyProtection="0"/>
    <xf numFmtId="0" fontId="29" fillId="0" borderId="0" applyNumberFormat="0" applyFill="0" applyBorder="0" applyAlignment="0" applyProtection="0"/>
    <xf numFmtId="0" fontId="30" fillId="14" borderId="0" applyNumberFormat="0" applyBorder="0" applyAlignment="0" applyProtection="0"/>
    <xf numFmtId="0" fontId="31" fillId="0" borderId="29" applyNumberFormat="0" applyFill="0" applyAlignment="0" applyProtection="0"/>
    <xf numFmtId="0" fontId="32" fillId="0" borderId="30" applyNumberFormat="0" applyFill="0" applyAlignment="0" applyProtection="0"/>
    <xf numFmtId="0" fontId="33" fillId="0" borderId="31" applyNumberFormat="0" applyFill="0" applyAlignment="0" applyProtection="0"/>
    <xf numFmtId="0" fontId="33" fillId="0" borderId="0" applyNumberFormat="0" applyFill="0" applyBorder="0" applyAlignment="0" applyProtection="0"/>
    <xf numFmtId="0" fontId="34" fillId="10" borderId="27" applyNumberFormat="0" applyAlignment="0" applyProtection="0"/>
    <xf numFmtId="0" fontId="35" fillId="17" borderId="0" applyNumberFormat="0" applyBorder="0" applyAlignment="0" applyProtection="0"/>
    <xf numFmtId="0" fontId="18" fillId="0" borderId="0"/>
    <xf numFmtId="0" fontId="17" fillId="0" borderId="0"/>
    <xf numFmtId="0" fontId="36" fillId="0" borderId="0"/>
    <xf numFmtId="0" fontId="17" fillId="12" borderId="32" applyNumberFormat="0" applyFont="0" applyAlignment="0" applyProtection="0"/>
    <xf numFmtId="0" fontId="37" fillId="16" borderId="33" applyNumberFormat="0" applyAlignment="0" applyProtection="0"/>
    <xf numFmtId="0" fontId="38" fillId="0" borderId="0" applyNumberFormat="0" applyFill="0" applyBorder="0" applyAlignment="0" applyProtection="0"/>
    <xf numFmtId="0" fontId="39" fillId="0" borderId="34" applyNumberFormat="0" applyFill="0" applyAlignment="0" applyProtection="0"/>
    <xf numFmtId="0" fontId="40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1" fillId="0" borderId="35" applyNumberFormat="0" applyFill="0" applyAlignment="0" applyProtection="0"/>
    <xf numFmtId="0" fontId="20" fillId="8" borderId="0" applyNumberFormat="0" applyBorder="0" applyAlignment="0" applyProtection="0"/>
    <xf numFmtId="0" fontId="21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47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16" borderId="45" applyNumberFormat="0" applyAlignment="0" applyProtection="0"/>
    <xf numFmtId="0" fontId="34" fillId="10" borderId="45" applyNumberFormat="0" applyAlignment="0" applyProtection="0"/>
    <xf numFmtId="0" fontId="17" fillId="12" borderId="46" applyNumberFormat="0" applyFont="0" applyAlignment="0" applyProtection="0"/>
    <xf numFmtId="0" fontId="37" fillId="16" borderId="47" applyNumberFormat="0" applyAlignment="0" applyProtection="0"/>
    <xf numFmtId="0" fontId="39" fillId="0" borderId="48" applyNumberFormat="0" applyFill="0" applyAlignment="0" applyProtection="0"/>
    <xf numFmtId="0" fontId="27" fillId="16" borderId="45" applyNumberFormat="0" applyAlignment="0" applyProtection="0"/>
    <xf numFmtId="0" fontId="34" fillId="10" borderId="45" applyNumberFormat="0" applyAlignment="0" applyProtection="0"/>
    <xf numFmtId="0" fontId="17" fillId="12" borderId="46" applyNumberFormat="0" applyFont="0" applyAlignment="0" applyProtection="0"/>
    <xf numFmtId="0" fontId="37" fillId="16" borderId="47" applyNumberFormat="0" applyAlignment="0" applyProtection="0"/>
    <xf numFmtId="0" fontId="39" fillId="0" borderId="48" applyNumberFormat="0" applyFill="0" applyAlignment="0" applyProtection="0"/>
    <xf numFmtId="0" fontId="27" fillId="16" borderId="45" applyNumberFormat="0" applyAlignment="0" applyProtection="0"/>
    <xf numFmtId="0" fontId="34" fillId="10" borderId="45" applyNumberFormat="0" applyAlignment="0" applyProtection="0"/>
    <xf numFmtId="0" fontId="27" fillId="16" borderId="45" applyNumberFormat="0" applyAlignment="0" applyProtection="0"/>
    <xf numFmtId="0" fontId="34" fillId="10" borderId="45" applyNumberFormat="0" applyAlignment="0" applyProtection="0"/>
    <xf numFmtId="0" fontId="17" fillId="12" borderId="46" applyNumberFormat="0" applyFont="0" applyAlignment="0" applyProtection="0"/>
    <xf numFmtId="0" fontId="39" fillId="0" borderId="48" applyNumberFormat="0" applyFill="0" applyAlignment="0" applyProtection="0"/>
    <xf numFmtId="0" fontId="39" fillId="0" borderId="48" applyNumberFormat="0" applyFill="0" applyAlignment="0" applyProtection="0"/>
    <xf numFmtId="0" fontId="17" fillId="12" borderId="46" applyNumberFormat="0" applyFont="0" applyAlignment="0" applyProtection="0"/>
    <xf numFmtId="0" fontId="39" fillId="0" borderId="48" applyNumberFormat="0" applyFill="0" applyAlignment="0" applyProtection="0"/>
    <xf numFmtId="0" fontId="37" fillId="16" borderId="47" applyNumberFormat="0" applyAlignment="0" applyProtection="0"/>
    <xf numFmtId="0" fontId="17" fillId="12" borderId="46" applyNumberFormat="0" applyFont="0" applyAlignment="0" applyProtection="0"/>
    <xf numFmtId="0" fontId="27" fillId="16" borderId="45" applyNumberFormat="0" applyAlignment="0" applyProtection="0"/>
    <xf numFmtId="0" fontId="34" fillId="10" borderId="45" applyNumberFormat="0" applyAlignment="0" applyProtection="0"/>
    <xf numFmtId="0" fontId="34" fillId="10" borderId="45" applyNumberFormat="0" applyAlignment="0" applyProtection="0"/>
    <xf numFmtId="0" fontId="27" fillId="16" borderId="45" applyNumberFormat="0" applyAlignment="0" applyProtection="0"/>
    <xf numFmtId="0" fontId="17" fillId="12" borderId="46" applyNumberFormat="0" applyFont="0" applyAlignment="0" applyProtection="0"/>
    <xf numFmtId="0" fontId="37" fillId="16" borderId="47" applyNumberFormat="0" applyAlignment="0" applyProtection="0"/>
    <xf numFmtId="0" fontId="39" fillId="0" borderId="48" applyNumberFormat="0" applyFill="0" applyAlignment="0" applyProtection="0"/>
    <xf numFmtId="0" fontId="37" fillId="16" borderId="47" applyNumberFormat="0" applyAlignment="0" applyProtection="0"/>
    <xf numFmtId="0" fontId="27" fillId="16" borderId="45" applyNumberFormat="0" applyAlignment="0" applyProtection="0"/>
    <xf numFmtId="0" fontId="37" fillId="16" borderId="47" applyNumberFormat="0" applyAlignment="0" applyProtection="0"/>
    <xf numFmtId="0" fontId="39" fillId="0" borderId="48" applyNumberFormat="0" applyFill="0" applyAlignment="0" applyProtection="0"/>
    <xf numFmtId="0" fontId="34" fillId="10" borderId="45" applyNumberFormat="0" applyAlignment="0" applyProtection="0"/>
    <xf numFmtId="0" fontId="37" fillId="16" borderId="47" applyNumberFormat="0" applyAlignment="0" applyProtection="0"/>
    <xf numFmtId="0" fontId="17" fillId="12" borderId="46" applyNumberFormat="0" applyFont="0" applyAlignment="0" applyProtection="0"/>
    <xf numFmtId="43" fontId="17" fillId="0" borderId="0" applyFont="0" applyFill="0" applyBorder="0" applyAlignment="0" applyProtection="0"/>
    <xf numFmtId="0" fontId="21" fillId="0" borderId="0"/>
    <xf numFmtId="0" fontId="24" fillId="13" borderId="0" applyNumberFormat="0" applyBorder="0" applyAlignment="0" applyProtection="0"/>
    <xf numFmtId="0" fontId="24" fillId="24" borderId="0" applyNumberFormat="0" applyBorder="0" applyAlignment="0" applyProtection="0"/>
    <xf numFmtId="0" fontId="24" fillId="14" borderId="0" applyNumberFormat="0" applyBorder="0" applyAlignment="0" applyProtection="0"/>
    <xf numFmtId="0" fontId="24" fillId="33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3" borderId="0" applyNumberFormat="0" applyBorder="0" applyAlignment="0" applyProtection="0"/>
    <xf numFmtId="0" fontId="24" fillId="22" borderId="0" applyNumberFormat="0" applyBorder="0" applyAlignment="0" applyProtection="0"/>
    <xf numFmtId="0" fontId="25" fillId="36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23" borderId="0" applyNumberFormat="0" applyBorder="0" applyAlignment="0" applyProtection="0"/>
    <xf numFmtId="0" fontId="25" fillId="39" borderId="0" applyNumberFormat="0" applyBorder="0" applyAlignment="0" applyProtection="0"/>
    <xf numFmtId="0" fontId="25" fillId="19" borderId="0" applyNumberFormat="0" applyBorder="0" applyAlignment="0" applyProtection="0"/>
    <xf numFmtId="0" fontId="25" fillId="37" borderId="0" applyNumberFormat="0" applyBorder="0" applyAlignment="0" applyProtection="0"/>
    <xf numFmtId="0" fontId="25" fillId="18" borderId="0" applyNumberFormat="0" applyBorder="0" applyAlignment="0" applyProtection="0"/>
    <xf numFmtId="0" fontId="25" fillId="20" borderId="0" applyNumberFormat="0" applyBorder="0" applyAlignment="0" applyProtection="0"/>
    <xf numFmtId="0" fontId="55" fillId="0" borderId="54" applyNumberFormat="0" applyFill="0" applyAlignment="0" applyProtection="0"/>
    <xf numFmtId="0" fontId="56" fillId="0" borderId="55" applyNumberFormat="0" applyFill="0" applyAlignment="0" applyProtection="0"/>
    <xf numFmtId="0" fontId="57" fillId="0" borderId="56" applyNumberFormat="0" applyFill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9" fillId="0" borderId="57" applyNumberFormat="0" applyFill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8" fillId="0" borderId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1590">
    <xf numFmtId="0" fontId="0" fillId="0" borderId="0" xfId="0"/>
    <xf numFmtId="0" fontId="3" fillId="0" borderId="0" xfId="1" applyFont="1"/>
    <xf numFmtId="0" fontId="4" fillId="0" borderId="0" xfId="1" applyFont="1"/>
    <xf numFmtId="43" fontId="3" fillId="0" borderId="0" xfId="2" applyFont="1" applyFill="1"/>
    <xf numFmtId="43" fontId="3" fillId="0" borderId="0" xfId="2" applyFont="1" applyFill="1" applyAlignment="1">
      <alignment horizontal="center" vertical="top"/>
    </xf>
    <xf numFmtId="49" fontId="3" fillId="0" borderId="10" xfId="2" applyNumberFormat="1" applyFont="1" applyFill="1" applyBorder="1" applyAlignment="1">
      <alignment horizontal="center"/>
    </xf>
    <xf numFmtId="43" fontId="3" fillId="0" borderId="5" xfId="2" applyFont="1" applyFill="1" applyBorder="1" applyAlignment="1">
      <alignment shrinkToFit="1"/>
    </xf>
    <xf numFmtId="43" fontId="4" fillId="0" borderId="0" xfId="2" applyFont="1" applyFill="1"/>
    <xf numFmtId="0" fontId="3" fillId="0" borderId="0" xfId="1" applyFont="1" applyAlignment="1">
      <alignment horizontal="left"/>
    </xf>
    <xf numFmtId="43" fontId="3" fillId="0" borderId="0" xfId="2" applyFont="1" applyFill="1" applyBorder="1" applyAlignment="1">
      <alignment horizontal="right" shrinkToFit="1"/>
    </xf>
    <xf numFmtId="43" fontId="3" fillId="0" borderId="0" xfId="2" applyFont="1" applyFill="1" applyBorder="1" applyAlignment="1">
      <alignment horizontal="right" vertical="top" shrinkToFit="1"/>
    </xf>
    <xf numFmtId="0" fontId="6" fillId="0" borderId="0" xfId="1" applyFont="1"/>
    <xf numFmtId="43" fontId="3" fillId="0" borderId="0" xfId="2" applyFont="1" applyFill="1" applyAlignment="1">
      <alignment horizontal="left" shrinkToFit="1"/>
    </xf>
    <xf numFmtId="43" fontId="4" fillId="0" borderId="0" xfId="2" applyFont="1" applyFill="1" applyAlignment="1">
      <alignment vertical="top"/>
    </xf>
    <xf numFmtId="43" fontId="4" fillId="0" borderId="0" xfId="2" applyFont="1" applyFill="1" applyAlignment="1"/>
    <xf numFmtId="9" fontId="3" fillId="0" borderId="0" xfId="3" applyFont="1" applyFill="1" applyBorder="1" applyAlignment="1">
      <alignment horizontal="right" shrinkToFit="1"/>
    </xf>
    <xf numFmtId="0" fontId="13" fillId="0" borderId="0" xfId="1" applyFont="1"/>
    <xf numFmtId="49" fontId="3" fillId="0" borderId="13" xfId="2" applyNumberFormat="1" applyFont="1" applyFill="1" applyBorder="1" applyAlignment="1">
      <alignment horizontal="center"/>
    </xf>
    <xf numFmtId="43" fontId="11" fillId="0" borderId="0" xfId="2" applyFont="1" applyFill="1" applyAlignment="1">
      <alignment horizontal="center" shrinkToFit="1"/>
    </xf>
    <xf numFmtId="9" fontId="11" fillId="2" borderId="5" xfId="3" applyFont="1" applyFill="1" applyBorder="1" applyAlignment="1">
      <alignment horizontal="right" shrinkToFit="1"/>
    </xf>
    <xf numFmtId="188" fontId="3" fillId="0" borderId="5" xfId="2" applyNumberFormat="1" applyFont="1" applyFill="1" applyBorder="1" applyAlignment="1">
      <alignment vertical="center" shrinkToFit="1"/>
    </xf>
    <xf numFmtId="188" fontId="4" fillId="0" borderId="5" xfId="2" applyNumberFormat="1" applyFont="1" applyFill="1" applyBorder="1" applyAlignment="1">
      <alignment vertical="center" shrinkToFit="1"/>
    </xf>
    <xf numFmtId="188" fontId="3" fillId="0" borderId="4" xfId="2" applyNumberFormat="1" applyFont="1" applyFill="1" applyBorder="1" applyAlignment="1">
      <alignment vertical="center" shrinkToFit="1"/>
    </xf>
    <xf numFmtId="188" fontId="3" fillId="0" borderId="10" xfId="2" applyNumberFormat="1" applyFont="1" applyFill="1" applyBorder="1" applyAlignment="1">
      <alignment vertical="center" shrinkToFit="1"/>
    </xf>
    <xf numFmtId="188" fontId="3" fillId="0" borderId="0" xfId="2" applyNumberFormat="1" applyFont="1" applyFill="1" applyBorder="1" applyAlignment="1">
      <alignment vertical="center" shrinkToFit="1"/>
    </xf>
    <xf numFmtId="188" fontId="3" fillId="0" borderId="11" xfId="2" applyNumberFormat="1" applyFont="1" applyFill="1" applyBorder="1" applyAlignment="1">
      <alignment vertical="center" shrinkToFit="1"/>
    </xf>
    <xf numFmtId="0" fontId="3" fillId="0" borderId="5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9" xfId="1" applyFont="1" applyBorder="1" applyAlignment="1">
      <alignment vertical="center"/>
    </xf>
    <xf numFmtId="0" fontId="4" fillId="0" borderId="5" xfId="1" applyFont="1" applyBorder="1" applyAlignment="1">
      <alignment horizontal="left" vertical="center" shrinkToFit="1"/>
    </xf>
    <xf numFmtId="0" fontId="4" fillId="0" borderId="5" xfId="1" applyFont="1" applyBorder="1" applyAlignment="1">
      <alignment vertical="center" shrinkToFit="1"/>
    </xf>
    <xf numFmtId="0" fontId="3" fillId="0" borderId="5" xfId="1" applyFont="1" applyBorder="1" applyAlignment="1">
      <alignment vertical="center" shrinkToFit="1"/>
    </xf>
    <xf numFmtId="0" fontId="3" fillId="0" borderId="1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43" fontId="4" fillId="0" borderId="0" xfId="2" applyFont="1" applyFill="1" applyAlignment="1">
      <alignment vertical="center"/>
    </xf>
    <xf numFmtId="0" fontId="4" fillId="0" borderId="4" xfId="1" applyFont="1" applyBorder="1" applyAlignment="1">
      <alignment vertical="center"/>
    </xf>
    <xf numFmtId="0" fontId="3" fillId="0" borderId="5" xfId="1" applyFont="1" applyBorder="1" applyAlignment="1">
      <alignment horizontal="right" vertical="center"/>
    </xf>
    <xf numFmtId="0" fontId="3" fillId="0" borderId="10" xfId="1" applyFont="1" applyBorder="1" applyAlignment="1">
      <alignment vertical="center"/>
    </xf>
    <xf numFmtId="0" fontId="3" fillId="0" borderId="5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88" fontId="3" fillId="0" borderId="5" xfId="2" applyNumberFormat="1" applyFont="1" applyFill="1" applyBorder="1" applyAlignment="1">
      <alignment horizontal="center" vertical="center" shrinkToFit="1"/>
    </xf>
    <xf numFmtId="0" fontId="3" fillId="4" borderId="19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43" fontId="3" fillId="4" borderId="5" xfId="2" applyFont="1" applyFill="1" applyBorder="1" applyAlignment="1">
      <alignment vertical="center"/>
    </xf>
    <xf numFmtId="0" fontId="3" fillId="4" borderId="9" xfId="1" applyFont="1" applyFill="1" applyBorder="1" applyAlignment="1">
      <alignment vertical="center"/>
    </xf>
    <xf numFmtId="188" fontId="3" fillId="4" borderId="5" xfId="2" applyNumberFormat="1" applyFont="1" applyFill="1" applyBorder="1" applyAlignment="1">
      <alignment vertical="center" shrinkToFit="1"/>
    </xf>
    <xf numFmtId="0" fontId="3" fillId="4" borderId="5" xfId="1" applyFont="1" applyFill="1" applyBorder="1" applyAlignment="1">
      <alignment vertical="center" shrinkToFit="1"/>
    </xf>
    <xf numFmtId="0" fontId="3" fillId="4" borderId="1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188" fontId="3" fillId="4" borderId="5" xfId="2" applyNumberFormat="1" applyFont="1" applyFill="1" applyBorder="1" applyAlignment="1">
      <alignment horizontal="center" vertical="center" shrinkToFit="1"/>
    </xf>
    <xf numFmtId="188" fontId="3" fillId="4" borderId="2" xfId="2" applyNumberFormat="1" applyFont="1" applyFill="1" applyBorder="1" applyAlignment="1">
      <alignment vertical="center" shrinkToFit="1"/>
    </xf>
    <xf numFmtId="0" fontId="3" fillId="0" borderId="0" xfId="1" applyFont="1" applyAlignment="1">
      <alignment horizontal="center"/>
    </xf>
    <xf numFmtId="0" fontId="3" fillId="6" borderId="12" xfId="1" applyFont="1" applyFill="1" applyBorder="1" applyAlignment="1">
      <alignment vertical="center"/>
    </xf>
    <xf numFmtId="0" fontId="3" fillId="6" borderId="5" xfId="1" applyFont="1" applyFill="1" applyBorder="1" applyAlignment="1">
      <alignment vertical="center"/>
    </xf>
    <xf numFmtId="0" fontId="3" fillId="6" borderId="5" xfId="1" applyFont="1" applyFill="1" applyBorder="1" applyAlignment="1">
      <alignment vertical="center" shrinkToFit="1"/>
    </xf>
    <xf numFmtId="43" fontId="3" fillId="0" borderId="5" xfId="2" applyFont="1" applyFill="1" applyBorder="1" applyAlignment="1">
      <alignment horizontal="left" vertical="top" shrinkToFit="1"/>
    </xf>
    <xf numFmtId="43" fontId="1" fillId="0" borderId="5" xfId="2" applyFont="1" applyFill="1" applyBorder="1" applyAlignment="1">
      <alignment vertical="top" shrinkToFit="1"/>
    </xf>
    <xf numFmtId="43" fontId="3" fillId="0" borderId="5" xfId="2" applyFont="1" applyFill="1" applyBorder="1" applyAlignment="1">
      <alignment vertical="top" shrinkToFit="1"/>
    </xf>
    <xf numFmtId="189" fontId="3" fillId="0" borderId="5" xfId="2" applyNumberFormat="1" applyFont="1" applyFill="1" applyBorder="1" applyAlignment="1">
      <alignment vertical="center" shrinkToFit="1"/>
    </xf>
    <xf numFmtId="187" fontId="3" fillId="0" borderId="5" xfId="2" applyNumberFormat="1" applyFont="1" applyFill="1" applyBorder="1" applyAlignment="1">
      <alignment vertical="center" shrinkToFit="1"/>
    </xf>
    <xf numFmtId="43" fontId="3" fillId="0" borderId="4" xfId="2" applyFont="1" applyFill="1" applyBorder="1" applyAlignment="1">
      <alignment shrinkToFit="1"/>
    </xf>
    <xf numFmtId="43" fontId="4" fillId="0" borderId="5" xfId="2" applyFont="1" applyFill="1" applyBorder="1" applyAlignment="1">
      <alignment shrinkToFit="1"/>
    </xf>
    <xf numFmtId="189" fontId="3" fillId="0" borderId="5" xfId="2" applyNumberFormat="1" applyFont="1" applyFill="1" applyBorder="1" applyAlignment="1">
      <alignment horizontal="center" vertical="center" shrinkToFit="1"/>
    </xf>
    <xf numFmtId="4" fontId="3" fillId="0" borderId="5" xfId="2" applyNumberFormat="1" applyFont="1" applyFill="1" applyBorder="1" applyAlignment="1">
      <alignment vertical="center" shrinkToFit="1"/>
    </xf>
    <xf numFmtId="188" fontId="1" fillId="0" borderId="5" xfId="2" applyNumberFormat="1" applyFont="1" applyFill="1" applyBorder="1" applyAlignment="1">
      <alignment horizontal="center" vertical="center" shrinkToFit="1"/>
    </xf>
    <xf numFmtId="0" fontId="4" fillId="0" borderId="0" xfId="1" applyFont="1" applyAlignment="1">
      <alignment shrinkToFit="1"/>
    </xf>
    <xf numFmtId="0" fontId="4" fillId="0" borderId="3" xfId="1" applyFont="1" applyBorder="1" applyAlignment="1">
      <alignment vertical="top"/>
    </xf>
    <xf numFmtId="0" fontId="4" fillId="0" borderId="5" xfId="1" applyFont="1" applyBorder="1" applyAlignment="1">
      <alignment vertical="top"/>
    </xf>
    <xf numFmtId="0" fontId="4" fillId="0" borderId="5" xfId="1" applyFont="1" applyBorder="1" applyAlignment="1">
      <alignment vertical="top" shrinkToFit="1"/>
    </xf>
    <xf numFmtId="188" fontId="3" fillId="0" borderId="5" xfId="2" applyNumberFormat="1" applyFont="1" applyFill="1" applyBorder="1" applyAlignment="1">
      <alignment vertical="top" shrinkToFit="1"/>
    </xf>
    <xf numFmtId="188" fontId="3" fillId="0" borderId="5" xfId="2" applyNumberFormat="1" applyFont="1" applyFill="1" applyBorder="1" applyAlignment="1">
      <alignment horizontal="center" vertical="top" shrinkToFit="1"/>
    </xf>
    <xf numFmtId="188" fontId="4" fillId="0" borderId="5" xfId="1" applyNumberFormat="1" applyFont="1" applyBorder="1" applyAlignment="1">
      <alignment vertical="center"/>
    </xf>
    <xf numFmtId="2" fontId="4" fillId="0" borderId="5" xfId="1" applyNumberFormat="1" applyFont="1" applyBorder="1" applyAlignment="1">
      <alignment vertical="center"/>
    </xf>
    <xf numFmtId="43" fontId="4" fillId="0" borderId="5" xfId="4" applyFont="1" applyBorder="1" applyAlignment="1">
      <alignment vertical="center"/>
    </xf>
    <xf numFmtId="0" fontId="3" fillId="5" borderId="1" xfId="1" applyFont="1" applyFill="1" applyBorder="1" applyAlignment="1">
      <alignment horizontal="right" vertical="center" shrinkToFit="1"/>
    </xf>
    <xf numFmtId="188" fontId="3" fillId="5" borderId="5" xfId="2" applyNumberFormat="1" applyFont="1" applyFill="1" applyBorder="1" applyAlignment="1">
      <alignment vertical="center" shrinkToFit="1"/>
    </xf>
    <xf numFmtId="2" fontId="3" fillId="5" borderId="5" xfId="1" applyNumberFormat="1" applyFont="1" applyFill="1" applyBorder="1" applyAlignment="1">
      <alignment vertical="center"/>
    </xf>
    <xf numFmtId="43" fontId="4" fillId="0" borderId="5" xfId="4" applyFont="1" applyBorder="1" applyAlignment="1">
      <alignment vertical="top"/>
    </xf>
    <xf numFmtId="188" fontId="4" fillId="0" borderId="0" xfId="1" applyNumberFormat="1" applyFont="1" applyAlignment="1">
      <alignment vertical="center"/>
    </xf>
    <xf numFmtId="43" fontId="4" fillId="0" borderId="5" xfId="1" applyNumberFormat="1" applyFont="1" applyBorder="1" applyAlignment="1">
      <alignment vertical="center"/>
    </xf>
    <xf numFmtId="43" fontId="4" fillId="0" borderId="5" xfId="4" applyFont="1" applyFill="1" applyBorder="1" applyAlignment="1">
      <alignment vertical="center"/>
    </xf>
    <xf numFmtId="187" fontId="4" fillId="0" borderId="5" xfId="1" applyNumberFormat="1" applyFont="1" applyBorder="1" applyAlignment="1">
      <alignment vertical="center"/>
    </xf>
    <xf numFmtId="0" fontId="4" fillId="5" borderId="4" xfId="1" applyFont="1" applyFill="1" applyBorder="1" applyAlignment="1">
      <alignment vertical="center"/>
    </xf>
    <xf numFmtId="0" fontId="3" fillId="5" borderId="5" xfId="1" applyFont="1" applyFill="1" applyBorder="1" applyAlignment="1">
      <alignment vertical="center"/>
    </xf>
    <xf numFmtId="0" fontId="3" fillId="5" borderId="5" xfId="1" applyFont="1" applyFill="1" applyBorder="1" applyAlignment="1">
      <alignment horizontal="right" vertical="center"/>
    </xf>
    <xf numFmtId="2" fontId="4" fillId="5" borderId="5" xfId="1" applyNumberFormat="1" applyFont="1" applyFill="1" applyBorder="1" applyAlignment="1">
      <alignment vertical="center"/>
    </xf>
    <xf numFmtId="0" fontId="3" fillId="4" borderId="18" xfId="1" applyFont="1" applyFill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3" fillId="4" borderId="4" xfId="1" applyFont="1" applyFill="1" applyBorder="1" applyAlignment="1">
      <alignment vertical="center" shrinkToFit="1"/>
    </xf>
    <xf numFmtId="188" fontId="3" fillId="4" borderId="4" xfId="2" applyNumberFormat="1" applyFont="1" applyFill="1" applyBorder="1" applyAlignment="1">
      <alignment vertical="center" shrinkToFit="1"/>
    </xf>
    <xf numFmtId="0" fontId="4" fillId="0" borderId="4" xfId="1" applyFont="1" applyBorder="1" applyAlignment="1">
      <alignment vertical="top"/>
    </xf>
    <xf numFmtId="0" fontId="3" fillId="0" borderId="4" xfId="1" applyFont="1" applyBorder="1" applyAlignment="1">
      <alignment horizontal="right" vertical="center"/>
    </xf>
    <xf numFmtId="43" fontId="7" fillId="0" borderId="4" xfId="4" applyFont="1" applyFill="1" applyBorder="1" applyAlignment="1">
      <alignment vertical="center"/>
    </xf>
    <xf numFmtId="2" fontId="4" fillId="0" borderId="4" xfId="1" applyNumberFormat="1" applyFont="1" applyBorder="1" applyAlignment="1">
      <alignment vertical="center"/>
    </xf>
    <xf numFmtId="0" fontId="4" fillId="0" borderId="16" xfId="1" applyFont="1" applyBorder="1" applyAlignment="1">
      <alignment vertical="center"/>
    </xf>
    <xf numFmtId="43" fontId="3" fillId="0" borderId="0" xfId="4" applyFont="1" applyAlignment="1">
      <alignment vertical="center"/>
    </xf>
    <xf numFmtId="43" fontId="3" fillId="0" borderId="0" xfId="4" applyFont="1" applyFill="1" applyAlignment="1">
      <alignment vertical="center"/>
    </xf>
    <xf numFmtId="0" fontId="4" fillId="0" borderId="16" xfId="1" applyFont="1" applyBorder="1" applyAlignment="1">
      <alignment vertical="top"/>
    </xf>
    <xf numFmtId="188" fontId="3" fillId="5" borderId="5" xfId="2" applyNumberFormat="1" applyFont="1" applyFill="1" applyBorder="1" applyAlignment="1">
      <alignment horizontal="center" vertical="center" shrinkToFit="1"/>
    </xf>
    <xf numFmtId="0" fontId="1" fillId="0" borderId="5" xfId="17" applyFont="1" applyBorder="1" applyAlignment="1">
      <alignment horizontal="center" vertical="center" wrapText="1"/>
    </xf>
    <xf numFmtId="0" fontId="7" fillId="0" borderId="5" xfId="17" applyFont="1" applyBorder="1" applyAlignment="1">
      <alignment horizontal="center" vertical="top"/>
    </xf>
    <xf numFmtId="0" fontId="7" fillId="0" borderId="0" xfId="17" applyFont="1" applyAlignment="1">
      <alignment horizontal="left" vertical="top"/>
    </xf>
    <xf numFmtId="0" fontId="7" fillId="0" borderId="0" xfId="17" applyFont="1" applyAlignment="1">
      <alignment vertical="top"/>
    </xf>
    <xf numFmtId="0" fontId="4" fillId="0" borderId="5" xfId="17" applyFont="1" applyBorder="1" applyAlignment="1">
      <alignment horizontal="center" vertical="top"/>
    </xf>
    <xf numFmtId="0" fontId="4" fillId="0" borderId="5" xfId="17" applyFont="1" applyBorder="1" applyAlignment="1">
      <alignment horizontal="left" vertical="top" wrapText="1"/>
    </xf>
    <xf numFmtId="0" fontId="7" fillId="0" borderId="0" xfId="17" applyFont="1" applyAlignment="1">
      <alignment horizontal="center" vertical="top"/>
    </xf>
    <xf numFmtId="0" fontId="15" fillId="0" borderId="0" xfId="17" applyFont="1" applyAlignment="1">
      <alignment vertical="top"/>
    </xf>
    <xf numFmtId="0" fontId="15" fillId="0" borderId="0" xfId="17" applyFont="1" applyAlignment="1">
      <alignment horizontal="right" vertical="top"/>
    </xf>
    <xf numFmtId="4" fontId="7" fillId="0" borderId="0" xfId="17" applyNumberFormat="1" applyFont="1" applyAlignment="1">
      <alignment horizontal="right" vertical="top"/>
    </xf>
    <xf numFmtId="0" fontId="7" fillId="0" borderId="0" xfId="17" applyFont="1" applyAlignment="1">
      <alignment horizontal="right" vertical="top"/>
    </xf>
    <xf numFmtId="0" fontId="15" fillId="0" borderId="0" xfId="17" applyFont="1" applyAlignment="1">
      <alignment horizontal="left" vertical="top"/>
    </xf>
    <xf numFmtId="43" fontId="3" fillId="0" borderId="0" xfId="2" applyFont="1" applyFill="1" applyAlignment="1">
      <alignment horizontal="right"/>
    </xf>
    <xf numFmtId="9" fontId="11" fillId="2" borderId="0" xfId="3" applyFont="1" applyFill="1" applyBorder="1" applyAlignment="1">
      <alignment horizontal="right" shrinkToFit="1"/>
    </xf>
    <xf numFmtId="0" fontId="12" fillId="0" borderId="0" xfId="10" applyFont="1" applyAlignment="1">
      <alignment horizontal="center" vertical="center"/>
    </xf>
    <xf numFmtId="0" fontId="4" fillId="0" borderId="0" xfId="10" applyFont="1" applyAlignment="1">
      <alignment horizontal="center" vertical="center"/>
    </xf>
    <xf numFmtId="0" fontId="4" fillId="0" borderId="0" xfId="10" applyFont="1" applyAlignment="1">
      <alignment vertical="center"/>
    </xf>
    <xf numFmtId="0" fontId="3" fillId="0" borderId="0" xfId="10" applyFont="1" applyAlignment="1">
      <alignment horizontal="center" vertical="center"/>
    </xf>
    <xf numFmtId="43" fontId="4" fillId="0" borderId="0" xfId="4" applyFont="1" applyAlignment="1">
      <alignment vertical="center"/>
    </xf>
    <xf numFmtId="43" fontId="10" fillId="0" borderId="0" xfId="10" applyNumberFormat="1" applyFont="1" applyAlignment="1">
      <alignment horizontal="left" vertical="center"/>
    </xf>
    <xf numFmtId="0" fontId="10" fillId="0" borderId="0" xfId="10" applyFont="1" applyAlignment="1">
      <alignment horizontal="center" vertical="center"/>
    </xf>
    <xf numFmtId="0" fontId="4" fillId="0" borderId="0" xfId="10" applyFont="1" applyAlignment="1">
      <alignment horizontal="right" vertical="center"/>
    </xf>
    <xf numFmtId="43" fontId="4" fillId="0" borderId="5" xfId="18" applyFont="1" applyFill="1" applyBorder="1" applyAlignment="1">
      <alignment horizontal="left" vertical="top"/>
    </xf>
    <xf numFmtId="49" fontId="3" fillId="0" borderId="5" xfId="2" applyNumberFormat="1" applyFont="1" applyFill="1" applyBorder="1" applyAlignment="1">
      <alignment horizontal="center"/>
    </xf>
    <xf numFmtId="43" fontId="3" fillId="0" borderId="5" xfId="4" applyFont="1" applyBorder="1" applyAlignment="1">
      <alignment vertical="center"/>
    </xf>
    <xf numFmtId="0" fontId="3" fillId="5" borderId="5" xfId="1" applyFont="1" applyFill="1" applyBorder="1" applyAlignment="1">
      <alignment horizontal="right" vertical="center" shrinkToFit="1"/>
    </xf>
    <xf numFmtId="43" fontId="3" fillId="0" borderId="5" xfId="4" applyFont="1" applyFill="1" applyBorder="1" applyAlignment="1">
      <alignment vertical="center"/>
    </xf>
    <xf numFmtId="0" fontId="4" fillId="5" borderId="5" xfId="1" applyFont="1" applyFill="1" applyBorder="1" applyAlignment="1">
      <alignment vertical="center"/>
    </xf>
    <xf numFmtId="188" fontId="3" fillId="7" borderId="5" xfId="2" applyNumberFormat="1" applyFont="1" applyFill="1" applyBorder="1" applyAlignment="1">
      <alignment vertical="center" shrinkToFit="1"/>
    </xf>
    <xf numFmtId="4" fontId="19" fillId="7" borderId="5" xfId="10" applyNumberFormat="1" applyFont="1" applyFill="1" applyBorder="1" applyAlignment="1">
      <alignment horizontal="center" vertical="center"/>
    </xf>
    <xf numFmtId="4" fontId="3" fillId="7" borderId="5" xfId="1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top"/>
    </xf>
    <xf numFmtId="0" fontId="7" fillId="0" borderId="36" xfId="0" applyFont="1" applyBorder="1" applyAlignment="1">
      <alignment vertical="top"/>
    </xf>
    <xf numFmtId="0" fontId="15" fillId="0" borderId="36" xfId="17" applyFont="1" applyBorder="1" applyAlignment="1">
      <alignment horizontal="left" vertical="top" wrapText="1"/>
    </xf>
    <xf numFmtId="0" fontId="7" fillId="0" borderId="36" xfId="17" applyFont="1" applyBorder="1" applyAlignment="1">
      <alignment horizontal="left" vertical="top"/>
    </xf>
    <xf numFmtId="43" fontId="7" fillId="0" borderId="36" xfId="18" applyFont="1" applyBorder="1" applyAlignment="1">
      <alignment horizontal="right" vertical="top"/>
    </xf>
    <xf numFmtId="0" fontId="7" fillId="0" borderId="36" xfId="17" applyFont="1" applyBorder="1" applyAlignment="1">
      <alignment horizontal="center" vertical="top"/>
    </xf>
    <xf numFmtId="0" fontId="7" fillId="0" borderId="36" xfId="0" applyFont="1" applyBorder="1" applyAlignment="1">
      <alignment horizontal="left" vertical="top"/>
    </xf>
    <xf numFmtId="0" fontId="15" fillId="0" borderId="36" xfId="17" applyFont="1" applyBorder="1" applyAlignment="1">
      <alignment horizontal="left" vertical="top"/>
    </xf>
    <xf numFmtId="0" fontId="15" fillId="0" borderId="36" xfId="17" applyFont="1" applyBorder="1" applyAlignment="1">
      <alignment horizontal="center" vertical="top"/>
    </xf>
    <xf numFmtId="0" fontId="7" fillId="25" borderId="36" xfId="0" applyFont="1" applyFill="1" applyBorder="1"/>
    <xf numFmtId="0" fontId="7" fillId="0" borderId="36" xfId="17" applyFont="1" applyBorder="1" applyAlignment="1">
      <alignment horizontal="left" vertical="top" wrapText="1"/>
    </xf>
    <xf numFmtId="0" fontId="4" fillId="0" borderId="36" xfId="17" applyFont="1" applyBorder="1" applyAlignment="1">
      <alignment horizontal="left" vertical="top" wrapText="1"/>
    </xf>
    <xf numFmtId="0" fontId="4" fillId="0" borderId="36" xfId="17" applyFont="1" applyBorder="1" applyAlignment="1">
      <alignment horizontal="center" vertical="top"/>
    </xf>
    <xf numFmtId="4" fontId="7" fillId="0" borderId="36" xfId="17" applyNumberFormat="1" applyFont="1" applyBorder="1" applyAlignment="1">
      <alignment horizontal="right" vertical="top"/>
    </xf>
    <xf numFmtId="43" fontId="4" fillId="0" borderId="36" xfId="18" applyFont="1" applyFill="1" applyBorder="1" applyAlignment="1">
      <alignment horizontal="left" vertical="top"/>
    </xf>
    <xf numFmtId="0" fontId="7" fillId="0" borderId="36" xfId="17" applyFont="1" applyBorder="1" applyAlignment="1">
      <alignment vertical="top"/>
    </xf>
    <xf numFmtId="0" fontId="15" fillId="0" borderId="36" xfId="17" applyFont="1" applyBorder="1" applyAlignment="1">
      <alignment vertical="top"/>
    </xf>
    <xf numFmtId="0" fontId="4" fillId="0" borderId="36" xfId="17" applyFont="1" applyBorder="1" applyAlignment="1">
      <alignment vertical="top"/>
    </xf>
    <xf numFmtId="0" fontId="4" fillId="0" borderId="36" xfId="0" applyFont="1" applyBorder="1" applyAlignment="1">
      <alignment horizontal="center" vertical="top"/>
    </xf>
    <xf numFmtId="43" fontId="7" fillId="0" borderId="36" xfId="4" applyFont="1" applyBorder="1" applyAlignment="1">
      <alignment vertical="top"/>
    </xf>
    <xf numFmtId="0" fontId="10" fillId="0" borderId="36" xfId="17" applyFont="1" applyBorder="1" applyAlignment="1">
      <alignment vertical="top"/>
    </xf>
    <xf numFmtId="0" fontId="1" fillId="0" borderId="36" xfId="17" applyFont="1" applyBorder="1" applyAlignment="1">
      <alignment horizontal="center" vertical="center" wrapText="1"/>
    </xf>
    <xf numFmtId="0" fontId="10" fillId="0" borderId="0" xfId="17" applyFont="1" applyAlignment="1">
      <alignment vertical="top"/>
    </xf>
    <xf numFmtId="0" fontId="4" fillId="0" borderId="0" xfId="17" applyFont="1" applyAlignment="1">
      <alignment vertical="top"/>
    </xf>
    <xf numFmtId="4" fontId="23" fillId="0" borderId="0" xfId="17" applyNumberFormat="1" applyFont="1" applyAlignment="1">
      <alignment horizontal="right" vertical="top"/>
    </xf>
    <xf numFmtId="0" fontId="7" fillId="0" borderId="37" xfId="17" applyFont="1" applyBorder="1" applyAlignment="1">
      <alignment vertical="top"/>
    </xf>
    <xf numFmtId="0" fontId="1" fillId="0" borderId="38" xfId="17" applyFont="1" applyBorder="1" applyAlignment="1">
      <alignment horizontal="center" vertical="center" wrapText="1"/>
    </xf>
    <xf numFmtId="0" fontId="1" fillId="0" borderId="38" xfId="17" applyFont="1" applyBorder="1" applyAlignment="1">
      <alignment horizontal="center" vertical="top" wrapText="1"/>
    </xf>
    <xf numFmtId="43" fontId="4" fillId="0" borderId="36" xfId="4" applyFont="1" applyFill="1" applyBorder="1" applyAlignment="1">
      <alignment horizontal="center" vertical="top"/>
    </xf>
    <xf numFmtId="0" fontId="4" fillId="0" borderId="36" xfId="0" applyFont="1" applyBorder="1" applyAlignment="1">
      <alignment vertical="top" wrapText="1"/>
    </xf>
    <xf numFmtId="0" fontId="15" fillId="0" borderId="36" xfId="0" applyFont="1" applyBorder="1" applyAlignment="1">
      <alignment vertical="top" wrapText="1"/>
    </xf>
    <xf numFmtId="0" fontId="15" fillId="0" borderId="36" xfId="0" applyFont="1" applyBorder="1" applyAlignment="1">
      <alignment horizontal="center" vertical="top" wrapText="1"/>
    </xf>
    <xf numFmtId="0" fontId="7" fillId="0" borderId="37" xfId="17" applyFont="1" applyBorder="1" applyAlignment="1">
      <alignment horizontal="right" vertical="top"/>
    </xf>
    <xf numFmtId="0" fontId="1" fillId="0" borderId="0" xfId="17" applyFont="1" applyAlignment="1">
      <alignment vertical="top"/>
    </xf>
    <xf numFmtId="0" fontId="1" fillId="0" borderId="36" xfId="17" applyFont="1" applyBorder="1" applyAlignment="1">
      <alignment horizontal="center" vertical="top" wrapText="1"/>
    </xf>
    <xf numFmtId="43" fontId="7" fillId="0" borderId="36" xfId="4" applyFont="1" applyBorder="1" applyAlignment="1">
      <alignment horizontal="right" vertical="top"/>
    </xf>
    <xf numFmtId="0" fontId="7" fillId="0" borderId="36" xfId="0" applyFont="1" applyBorder="1" applyAlignment="1">
      <alignment vertical="center" wrapText="1"/>
    </xf>
    <xf numFmtId="0" fontId="7" fillId="0" borderId="36" xfId="0" applyFont="1" applyBorder="1" applyAlignment="1">
      <alignment vertical="center"/>
    </xf>
    <xf numFmtId="0" fontId="7" fillId="0" borderId="36" xfId="0" applyFont="1" applyBorder="1" applyAlignment="1">
      <alignment vertical="top" wrapText="1"/>
    </xf>
    <xf numFmtId="4" fontId="4" fillId="0" borderId="36" xfId="17" applyNumberFormat="1" applyFont="1" applyBorder="1" applyAlignment="1">
      <alignment horizontal="right" vertical="top"/>
    </xf>
    <xf numFmtId="0" fontId="4" fillId="0" borderId="36" xfId="17" applyFont="1" applyBorder="1" applyAlignment="1">
      <alignment horizontal="left" vertical="top"/>
    </xf>
    <xf numFmtId="43" fontId="4" fillId="0" borderId="36" xfId="4" applyFont="1" applyBorder="1" applyAlignment="1">
      <alignment horizontal="right" vertical="top"/>
    </xf>
    <xf numFmtId="0" fontId="4" fillId="0" borderId="36" xfId="17" applyFont="1" applyBorder="1" applyAlignment="1">
      <alignment vertical="top" wrapText="1"/>
    </xf>
    <xf numFmtId="43" fontId="7" fillId="0" borderId="36" xfId="4" applyFont="1" applyBorder="1" applyAlignment="1">
      <alignment horizontal="left"/>
    </xf>
    <xf numFmtId="0" fontId="7" fillId="0" borderId="36" xfId="17" applyFont="1" applyBorder="1"/>
    <xf numFmtId="43" fontId="7" fillId="0" borderId="36" xfId="4" applyFont="1" applyBorder="1" applyAlignment="1">
      <alignment horizontal="left" vertical="top"/>
    </xf>
    <xf numFmtId="4" fontId="15" fillId="0" borderId="36" xfId="0" applyNumberFormat="1" applyFont="1" applyBorder="1" applyAlignment="1">
      <alignment horizontal="center" vertical="top" wrapText="1"/>
    </xf>
    <xf numFmtId="0" fontId="15" fillId="0" borderId="36" xfId="0" applyFont="1" applyBorder="1" applyAlignment="1">
      <alignment horizontal="center" vertical="center" wrapText="1"/>
    </xf>
    <xf numFmtId="0" fontId="15" fillId="0" borderId="36" xfId="0" applyFont="1" applyBorder="1" applyAlignment="1">
      <alignment vertical="center" wrapText="1"/>
    </xf>
    <xf numFmtId="3" fontId="15" fillId="0" borderId="36" xfId="0" applyNumberFormat="1" applyFont="1" applyBorder="1" applyAlignment="1">
      <alignment horizontal="right" vertical="center" wrapText="1"/>
    </xf>
    <xf numFmtId="3" fontId="15" fillId="0" borderId="36" xfId="0" applyNumberFormat="1" applyFont="1" applyBorder="1" applyAlignment="1">
      <alignment horizontal="right" vertical="top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right" vertical="center" wrapText="1"/>
    </xf>
    <xf numFmtId="43" fontId="7" fillId="0" borderId="36" xfId="4" applyFont="1" applyBorder="1" applyAlignment="1">
      <alignment vertical="center"/>
    </xf>
    <xf numFmtId="0" fontId="7" fillId="0" borderId="36" xfId="0" applyFont="1" applyBorder="1" applyAlignment="1">
      <alignment horizontal="left" vertical="center"/>
    </xf>
    <xf numFmtId="0" fontId="15" fillId="0" borderId="36" xfId="0" applyFont="1" applyBorder="1" applyAlignment="1">
      <alignment horizontal="left"/>
    </xf>
    <xf numFmtId="0" fontId="15" fillId="0" borderId="36" xfId="0" applyFont="1" applyBorder="1" applyAlignment="1">
      <alignment horizontal="center"/>
    </xf>
    <xf numFmtId="4" fontId="7" fillId="0" borderId="36" xfId="0" applyNumberFormat="1" applyFont="1" applyBorder="1" applyAlignment="1">
      <alignment horizontal="right"/>
    </xf>
    <xf numFmtId="4" fontId="15" fillId="0" borderId="36" xfId="0" applyNumberFormat="1" applyFont="1" applyBorder="1" applyAlignment="1">
      <alignment horizontal="right"/>
    </xf>
    <xf numFmtId="0" fontId="15" fillId="0" borderId="36" xfId="0" applyFont="1" applyBorder="1" applyAlignment="1">
      <alignment horizontal="left" vertical="top"/>
    </xf>
    <xf numFmtId="0" fontId="15" fillId="0" borderId="36" xfId="0" applyFont="1" applyBorder="1" applyAlignment="1">
      <alignment horizontal="center" vertical="top"/>
    </xf>
    <xf numFmtId="4" fontId="15" fillId="0" borderId="36" xfId="0" applyNumberFormat="1" applyFont="1" applyBorder="1" applyAlignment="1">
      <alignment horizontal="right" vertical="top"/>
    </xf>
    <xf numFmtId="0" fontId="15" fillId="0" borderId="36" xfId="0" applyFont="1" applyBorder="1" applyAlignment="1">
      <alignment horizontal="left" vertical="top" wrapText="1"/>
    </xf>
    <xf numFmtId="43" fontId="4" fillId="0" borderId="36" xfId="4" applyFont="1" applyFill="1" applyBorder="1" applyAlignment="1">
      <alignment horizontal="center"/>
    </xf>
    <xf numFmtId="0" fontId="4" fillId="0" borderId="36" xfId="0" applyFont="1" applyBorder="1"/>
    <xf numFmtId="43" fontId="7" fillId="0" borderId="36" xfId="17" applyNumberFormat="1" applyFont="1" applyBorder="1" applyAlignment="1">
      <alignment horizontal="right" vertical="top"/>
    </xf>
    <xf numFmtId="0" fontId="4" fillId="0" borderId="36" xfId="0" applyFont="1" applyBorder="1" applyAlignment="1">
      <alignment vertical="top"/>
    </xf>
    <xf numFmtId="43" fontId="15" fillId="0" borderId="36" xfId="4" applyFont="1" applyBorder="1" applyAlignment="1">
      <alignment horizontal="center" vertical="top"/>
    </xf>
    <xf numFmtId="43" fontId="4" fillId="0" borderId="36" xfId="18" applyFont="1" applyFill="1" applyBorder="1" applyAlignment="1">
      <alignment horizontal="right" vertical="top"/>
    </xf>
    <xf numFmtId="43" fontId="4" fillId="0" borderId="36" xfId="4" applyFont="1" applyFill="1" applyBorder="1" applyAlignment="1">
      <alignment horizontal="right" vertical="top"/>
    </xf>
    <xf numFmtId="0" fontId="12" fillId="0" borderId="5" xfId="10" applyFont="1" applyBorder="1" applyAlignment="1">
      <alignment horizontal="center" vertical="center" wrapText="1"/>
    </xf>
    <xf numFmtId="0" fontId="12" fillId="0" borderId="5" xfId="10" applyFont="1" applyBorder="1" applyAlignment="1">
      <alignment horizontal="center" vertical="center"/>
    </xf>
    <xf numFmtId="43" fontId="14" fillId="0" borderId="5" xfId="10" applyNumberFormat="1" applyFont="1" applyBorder="1" applyAlignment="1">
      <alignment horizontal="left" vertical="center"/>
    </xf>
    <xf numFmtId="0" fontId="14" fillId="0" borderId="5" xfId="10" applyFont="1" applyBorder="1" applyAlignment="1">
      <alignment horizontal="center" vertical="center"/>
    </xf>
    <xf numFmtId="0" fontId="13" fillId="0" borderId="5" xfId="10" applyFont="1" applyBorder="1" applyAlignment="1">
      <alignment vertical="center"/>
    </xf>
    <xf numFmtId="0" fontId="1" fillId="0" borderId="36" xfId="17" applyFont="1" applyBorder="1" applyAlignment="1">
      <alignment horizontal="center" vertical="top"/>
    </xf>
    <xf numFmtId="0" fontId="7" fillId="0" borderId="36" xfId="17" applyFont="1" applyBorder="1" applyAlignment="1">
      <alignment horizontal="right" vertical="top"/>
    </xf>
    <xf numFmtId="0" fontId="15" fillId="0" borderId="0" xfId="0" applyFont="1" applyAlignment="1">
      <alignment horizontal="center" vertical="top" wrapText="1"/>
    </xf>
    <xf numFmtId="0" fontId="15" fillId="0" borderId="36" xfId="17" applyFont="1" applyBorder="1" applyAlignment="1">
      <alignment horizontal="right" vertical="top"/>
    </xf>
    <xf numFmtId="0" fontId="23" fillId="0" borderId="36" xfId="0" applyFont="1" applyBorder="1" applyAlignment="1">
      <alignment horizontal="center" vertical="center" wrapText="1"/>
    </xf>
    <xf numFmtId="0" fontId="1" fillId="0" borderId="0" xfId="17" applyFont="1" applyAlignment="1">
      <alignment horizontal="center" vertical="top"/>
    </xf>
    <xf numFmtId="0" fontId="1" fillId="0" borderId="37" xfId="17" applyFont="1" applyBorder="1" applyAlignment="1">
      <alignment horizontal="center" vertical="top"/>
    </xf>
    <xf numFmtId="0" fontId="7" fillId="0" borderId="37" xfId="17" applyFont="1" applyBorder="1" applyAlignment="1">
      <alignment horizontal="center" vertical="top"/>
    </xf>
    <xf numFmtId="43" fontId="7" fillId="0" borderId="0" xfId="17" applyNumberFormat="1" applyFont="1" applyAlignment="1">
      <alignment vertical="top"/>
    </xf>
    <xf numFmtId="0" fontId="4" fillId="0" borderId="0" xfId="17" applyFont="1" applyAlignment="1">
      <alignment horizontal="left" vertical="top"/>
    </xf>
    <xf numFmtId="0" fontId="4" fillId="0" borderId="36" xfId="17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43" fontId="4" fillId="0" borderId="36" xfId="4" applyFont="1" applyBorder="1" applyAlignment="1">
      <alignment horizontal="left"/>
    </xf>
    <xf numFmtId="0" fontId="4" fillId="0" borderId="36" xfId="17" applyFont="1" applyBorder="1"/>
    <xf numFmtId="43" fontId="4" fillId="0" borderId="36" xfId="4" applyFont="1" applyBorder="1" applyAlignment="1">
      <alignment horizontal="left" vertical="top"/>
    </xf>
    <xf numFmtId="43" fontId="4" fillId="0" borderId="0" xfId="4" applyFont="1" applyAlignment="1">
      <alignment horizontal="right" vertical="top"/>
    </xf>
    <xf numFmtId="0" fontId="10" fillId="0" borderId="36" xfId="17" applyFont="1" applyBorder="1" applyAlignment="1">
      <alignment horizontal="left" vertical="top"/>
    </xf>
    <xf numFmtId="0" fontId="4" fillId="7" borderId="36" xfId="0" applyFont="1" applyFill="1" applyBorder="1" applyAlignment="1">
      <alignment horizontal="center" vertical="top"/>
    </xf>
    <xf numFmtId="0" fontId="15" fillId="7" borderId="36" xfId="17" applyFont="1" applyFill="1" applyBorder="1" applyAlignment="1">
      <alignment vertical="top"/>
    </xf>
    <xf numFmtId="0" fontId="7" fillId="7" borderId="0" xfId="17" applyFont="1" applyFill="1" applyAlignment="1">
      <alignment horizontal="left" vertical="top"/>
    </xf>
    <xf numFmtId="0" fontId="7" fillId="7" borderId="0" xfId="17" applyFont="1" applyFill="1" applyAlignment="1">
      <alignment vertical="top"/>
    </xf>
    <xf numFmtId="0" fontId="15" fillId="7" borderId="0" xfId="17" applyFont="1" applyFill="1" applyAlignment="1">
      <alignment vertical="top"/>
    </xf>
    <xf numFmtId="0" fontId="7" fillId="7" borderId="36" xfId="17" applyFont="1" applyFill="1" applyBorder="1" applyAlignment="1">
      <alignment horizontal="center" vertical="top"/>
    </xf>
    <xf numFmtId="0" fontId="4" fillId="7" borderId="36" xfId="0" applyFont="1" applyFill="1" applyBorder="1" applyAlignment="1">
      <alignment vertical="top" wrapText="1"/>
    </xf>
    <xf numFmtId="43" fontId="4" fillId="7" borderId="36" xfId="4" applyFont="1" applyFill="1" applyBorder="1" applyAlignment="1">
      <alignment horizontal="right" vertical="top" wrapText="1" shrinkToFit="1"/>
    </xf>
    <xf numFmtId="0" fontId="4" fillId="7" borderId="36" xfId="0" applyFont="1" applyFill="1" applyBorder="1" applyAlignment="1">
      <alignment horizontal="left" vertical="top" wrapText="1" shrinkToFit="1"/>
    </xf>
    <xf numFmtId="0" fontId="4" fillId="7" borderId="36" xfId="0" applyFont="1" applyFill="1" applyBorder="1" applyAlignment="1">
      <alignment horizontal="center" vertical="top" wrapText="1"/>
    </xf>
    <xf numFmtId="43" fontId="4" fillId="7" borderId="36" xfId="4" applyFont="1" applyFill="1" applyBorder="1" applyAlignment="1">
      <alignment horizontal="center" vertical="top" wrapText="1"/>
    </xf>
    <xf numFmtId="0" fontId="15" fillId="7" borderId="36" xfId="0" applyFont="1" applyFill="1" applyBorder="1" applyAlignment="1">
      <alignment vertical="top" wrapText="1"/>
    </xf>
    <xf numFmtId="0" fontId="15" fillId="7" borderId="36" xfId="0" applyFont="1" applyFill="1" applyBorder="1" applyAlignment="1">
      <alignment horizontal="center" vertical="top" wrapText="1"/>
    </xf>
    <xf numFmtId="43" fontId="7" fillId="7" borderId="36" xfId="4" applyFont="1" applyFill="1" applyBorder="1" applyAlignment="1">
      <alignment horizontal="right" vertical="top"/>
    </xf>
    <xf numFmtId="43" fontId="15" fillId="7" borderId="36" xfId="4" applyFont="1" applyFill="1" applyBorder="1" applyAlignment="1">
      <alignment horizontal="center" vertical="top" wrapText="1"/>
    </xf>
    <xf numFmtId="0" fontId="7" fillId="0" borderId="36" xfId="17" applyFont="1" applyBorder="1" applyAlignment="1">
      <alignment horizontal="center"/>
    </xf>
    <xf numFmtId="0" fontId="7" fillId="0" borderId="36" xfId="0" applyFont="1" applyBorder="1" applyAlignment="1">
      <alignment horizontal="left" shrinkToFit="1"/>
    </xf>
    <xf numFmtId="0" fontId="7" fillId="0" borderId="36" xfId="0" applyFont="1" applyBorder="1" applyAlignment="1">
      <alignment horizontal="left"/>
    </xf>
    <xf numFmtId="0" fontId="7" fillId="0" borderId="36" xfId="0" applyFont="1" applyBorder="1" applyAlignment="1">
      <alignment wrapText="1"/>
    </xf>
    <xf numFmtId="0" fontId="1" fillId="0" borderId="0" xfId="17" applyFont="1" applyAlignment="1">
      <alignment horizontal="center" vertical="center" wrapText="1"/>
    </xf>
    <xf numFmtId="43" fontId="43" fillId="0" borderId="0" xfId="18" applyFont="1" applyFill="1" applyBorder="1" applyAlignment="1">
      <alignment horizontal="left" vertical="top" wrapText="1"/>
    </xf>
    <xf numFmtId="3" fontId="43" fillId="0" borderId="0" xfId="0" applyNumberFormat="1" applyFont="1" applyAlignment="1">
      <alignment horizontal="left" vertical="top" wrapText="1"/>
    </xf>
    <xf numFmtId="3" fontId="8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4" fontId="15" fillId="0" borderId="36" xfId="17" applyNumberFormat="1" applyFont="1" applyBorder="1" applyAlignment="1">
      <alignment horizontal="right" vertical="top"/>
    </xf>
    <xf numFmtId="4" fontId="7" fillId="0" borderId="36" xfId="17" applyNumberFormat="1" applyFont="1" applyBorder="1" applyAlignment="1">
      <alignment horizontal="right"/>
    </xf>
    <xf numFmtId="43" fontId="4" fillId="0" borderId="36" xfId="4" applyFont="1" applyFill="1" applyBorder="1" applyAlignment="1">
      <alignment horizontal="right" vertical="top" wrapText="1" shrinkToFit="1"/>
    </xf>
    <xf numFmtId="43" fontId="4" fillId="0" borderId="36" xfId="11" applyFont="1" applyFill="1" applyBorder="1" applyAlignment="1">
      <alignment horizontal="right" vertical="top" wrapText="1" shrinkToFit="1"/>
    </xf>
    <xf numFmtId="43" fontId="4" fillId="0" borderId="36" xfId="4" applyFont="1" applyFill="1" applyBorder="1" applyAlignment="1">
      <alignment horizontal="center" vertical="top" wrapText="1"/>
    </xf>
    <xf numFmtId="43" fontId="7" fillId="0" borderId="36" xfId="4" applyFont="1" applyFill="1" applyBorder="1" applyAlignment="1">
      <alignment horizontal="right" vertical="top" wrapText="1"/>
    </xf>
    <xf numFmtId="43" fontId="15" fillId="0" borderId="36" xfId="4" applyFont="1" applyFill="1" applyBorder="1" applyAlignment="1">
      <alignment horizontal="center" vertical="top" wrapText="1"/>
    </xf>
    <xf numFmtId="43" fontId="7" fillId="0" borderId="36" xfId="4" applyFont="1" applyFill="1" applyBorder="1" applyAlignment="1">
      <alignment horizontal="right" vertical="top"/>
    </xf>
    <xf numFmtId="0" fontId="7" fillId="0" borderId="36" xfId="17" applyFont="1" applyBorder="1" applyAlignment="1">
      <alignment vertical="top" wrapText="1" shrinkToFit="1"/>
    </xf>
    <xf numFmtId="43" fontId="7" fillId="0" borderId="36" xfId="18" applyFont="1" applyFill="1" applyBorder="1" applyAlignment="1">
      <alignment horizontal="right" vertical="top"/>
    </xf>
    <xf numFmtId="0" fontId="15" fillId="0" borderId="0" xfId="17" applyFont="1" applyAlignment="1">
      <alignment horizontal="center" vertical="top"/>
    </xf>
    <xf numFmtId="0" fontId="15" fillId="0" borderId="0" xfId="0" applyFont="1" applyAlignment="1">
      <alignment vertical="top" wrapText="1"/>
    </xf>
    <xf numFmtId="43" fontId="7" fillId="0" borderId="36" xfId="4" applyFont="1" applyFill="1" applyBorder="1"/>
    <xf numFmtId="0" fontId="7" fillId="0" borderId="36" xfId="0" applyFont="1" applyBorder="1" applyAlignment="1">
      <alignment horizontal="center" vertical="top" wrapText="1"/>
    </xf>
    <xf numFmtId="4" fontId="7" fillId="0" borderId="36" xfId="0" applyNumberFormat="1" applyFont="1" applyBorder="1" applyAlignment="1">
      <alignment horizontal="right" vertical="top" wrapText="1"/>
    </xf>
    <xf numFmtId="191" fontId="7" fillId="0" borderId="36" xfId="4" applyNumberFormat="1" applyFont="1" applyFill="1" applyBorder="1"/>
    <xf numFmtId="43" fontId="7" fillId="0" borderId="36" xfId="4" applyFont="1" applyFill="1" applyBorder="1" applyAlignment="1">
      <alignment horizontal="center"/>
    </xf>
    <xf numFmtId="43" fontId="4" fillId="0" borderId="36" xfId="4" applyFont="1" applyFill="1" applyBorder="1" applyAlignment="1">
      <alignment vertical="top"/>
    </xf>
    <xf numFmtId="4" fontId="4" fillId="0" borderId="36" xfId="0" applyNumberFormat="1" applyFont="1" applyBorder="1" applyAlignment="1">
      <alignment vertical="top"/>
    </xf>
    <xf numFmtId="4" fontId="4" fillId="0" borderId="36" xfId="0" applyNumberFormat="1" applyFont="1" applyBorder="1"/>
    <xf numFmtId="43" fontId="4" fillId="0" borderId="36" xfId="4" applyFont="1" applyFill="1" applyBorder="1"/>
    <xf numFmtId="43" fontId="7" fillId="0" borderId="36" xfId="4" applyFont="1" applyFill="1" applyBorder="1" applyAlignment="1">
      <alignment vertical="top"/>
    </xf>
    <xf numFmtId="0" fontId="4" fillId="0" borderId="36" xfId="0" applyFont="1" applyBorder="1" applyAlignment="1">
      <alignment horizontal="left"/>
    </xf>
    <xf numFmtId="43" fontId="7" fillId="0" borderId="36" xfId="4" applyFont="1" applyFill="1" applyBorder="1" applyAlignment="1">
      <alignment horizontal="center" vertical="top"/>
    </xf>
    <xf numFmtId="0" fontId="4" fillId="25" borderId="36" xfId="17" applyFont="1" applyFill="1" applyBorder="1" applyAlignment="1">
      <alignment horizontal="center" vertical="top"/>
    </xf>
    <xf numFmtId="0" fontId="4" fillId="25" borderId="36" xfId="17" applyFont="1" applyFill="1" applyBorder="1"/>
    <xf numFmtId="0" fontId="7" fillId="25" borderId="36" xfId="17" applyFont="1" applyFill="1" applyBorder="1" applyAlignment="1">
      <alignment horizontal="left" vertical="top"/>
    </xf>
    <xf numFmtId="0" fontId="7" fillId="25" borderId="0" xfId="17" applyFont="1" applyFill="1" applyAlignment="1">
      <alignment horizontal="left" vertical="top"/>
    </xf>
    <xf numFmtId="0" fontId="7" fillId="25" borderId="0" xfId="17" applyFont="1" applyFill="1" applyAlignment="1">
      <alignment vertical="top"/>
    </xf>
    <xf numFmtId="0" fontId="15" fillId="25" borderId="0" xfId="17" applyFont="1" applyFill="1" applyAlignment="1">
      <alignment vertical="top"/>
    </xf>
    <xf numFmtId="0" fontId="7" fillId="25" borderId="36" xfId="17" applyFont="1" applyFill="1" applyBorder="1"/>
    <xf numFmtId="0" fontId="7" fillId="25" borderId="36" xfId="17" applyFont="1" applyFill="1" applyBorder="1" applyAlignment="1">
      <alignment horizontal="center"/>
    </xf>
    <xf numFmtId="4" fontId="1" fillId="25" borderId="36" xfId="17" applyNumberFormat="1" applyFont="1" applyFill="1" applyBorder="1" applyAlignment="1">
      <alignment horizontal="right"/>
    </xf>
    <xf numFmtId="4" fontId="3" fillId="25" borderId="36" xfId="4" applyNumberFormat="1" applyFont="1" applyFill="1" applyBorder="1" applyAlignment="1">
      <alignment horizontal="right"/>
    </xf>
    <xf numFmtId="0" fontId="7" fillId="25" borderId="36" xfId="17" applyFont="1" applyFill="1" applyBorder="1" applyAlignment="1">
      <alignment horizontal="center" vertical="top"/>
    </xf>
    <xf numFmtId="0" fontId="7" fillId="25" borderId="36" xfId="17" applyFont="1" applyFill="1" applyBorder="1" applyAlignment="1">
      <alignment vertical="top" wrapText="1" shrinkToFit="1"/>
    </xf>
    <xf numFmtId="43" fontId="1" fillId="25" borderId="36" xfId="4" applyFont="1" applyFill="1" applyBorder="1" applyAlignment="1">
      <alignment horizontal="right" vertical="top"/>
    </xf>
    <xf numFmtId="0" fontId="7" fillId="25" borderId="36" xfId="17" applyFont="1" applyFill="1" applyBorder="1" applyAlignment="1">
      <alignment vertical="top"/>
    </xf>
    <xf numFmtId="43" fontId="4" fillId="0" borderId="36" xfId="4" applyFont="1" applyBorder="1" applyAlignment="1">
      <alignment horizontal="center" vertical="top"/>
    </xf>
    <xf numFmtId="0" fontId="7" fillId="25" borderId="36" xfId="0" applyFont="1" applyFill="1" applyBorder="1" applyAlignment="1">
      <alignment horizontal="center"/>
    </xf>
    <xf numFmtId="43" fontId="1" fillId="25" borderId="36" xfId="4" applyFont="1" applyFill="1" applyBorder="1" applyAlignment="1">
      <alignment horizontal="right"/>
    </xf>
    <xf numFmtId="43" fontId="3" fillId="25" borderId="36" xfId="4" applyFont="1" applyFill="1" applyBorder="1"/>
    <xf numFmtId="0" fontId="4" fillId="25" borderId="36" xfId="17" applyFont="1" applyFill="1" applyBorder="1" applyAlignment="1">
      <alignment vertical="top"/>
    </xf>
    <xf numFmtId="4" fontId="4" fillId="0" borderId="36" xfId="4" applyNumberFormat="1" applyFont="1" applyFill="1" applyBorder="1" applyAlignment="1">
      <alignment horizontal="right"/>
    </xf>
    <xf numFmtId="0" fontId="4" fillId="25" borderId="36" xfId="0" applyFont="1" applyFill="1" applyBorder="1" applyAlignment="1">
      <alignment vertical="top"/>
    </xf>
    <xf numFmtId="0" fontId="46" fillId="25" borderId="36" xfId="0" applyFont="1" applyFill="1" applyBorder="1" applyAlignment="1">
      <alignment horizontal="center" vertical="top"/>
    </xf>
    <xf numFmtId="43" fontId="3" fillId="25" borderId="36" xfId="4" applyFont="1" applyFill="1" applyBorder="1" applyAlignment="1">
      <alignment horizontal="right" vertical="top"/>
    </xf>
    <xf numFmtId="43" fontId="3" fillId="25" borderId="36" xfId="4" applyFont="1" applyFill="1" applyBorder="1" applyAlignment="1">
      <alignment vertical="top"/>
    </xf>
    <xf numFmtId="0" fontId="46" fillId="25" borderId="36" xfId="0" applyFont="1" applyFill="1" applyBorder="1" applyAlignment="1">
      <alignment vertical="top"/>
    </xf>
    <xf numFmtId="4" fontId="4" fillId="0" borderId="36" xfId="4" applyNumberFormat="1" applyFont="1" applyBorder="1" applyAlignment="1">
      <alignment horizontal="right"/>
    </xf>
    <xf numFmtId="4" fontId="4" fillId="0" borderId="36" xfId="4" applyNumberFormat="1" applyFont="1" applyBorder="1" applyAlignment="1">
      <alignment horizontal="right" vertical="top"/>
    </xf>
    <xf numFmtId="4" fontId="3" fillId="25" borderId="36" xfId="4" applyNumberFormat="1" applyFont="1" applyFill="1" applyBorder="1" applyAlignment="1">
      <alignment horizontal="right" vertical="top"/>
    </xf>
    <xf numFmtId="43" fontId="3" fillId="25" borderId="36" xfId="4" applyFont="1" applyFill="1" applyBorder="1" applyAlignment="1">
      <alignment horizontal="right" vertical="top" indent="1"/>
    </xf>
    <xf numFmtId="43" fontId="4" fillId="0" borderId="36" xfId="4" applyFont="1" applyFill="1" applyBorder="1" applyAlignment="1">
      <alignment horizontal="right" vertical="top" wrapText="1"/>
    </xf>
    <xf numFmtId="0" fontId="15" fillId="27" borderId="36" xfId="0" applyFont="1" applyFill="1" applyBorder="1" applyAlignment="1">
      <alignment vertical="top" wrapText="1"/>
    </xf>
    <xf numFmtId="0" fontId="15" fillId="27" borderId="36" xfId="0" applyFont="1" applyFill="1" applyBorder="1" applyAlignment="1">
      <alignment horizontal="center" vertical="top" wrapText="1"/>
    </xf>
    <xf numFmtId="192" fontId="7" fillId="27" borderId="36" xfId="4" applyNumberFormat="1" applyFont="1" applyFill="1" applyBorder="1" applyAlignment="1">
      <alignment horizontal="center" vertical="top" wrapText="1"/>
    </xf>
    <xf numFmtId="193" fontId="15" fillId="27" borderId="36" xfId="0" applyNumberFormat="1" applyFont="1" applyFill="1" applyBorder="1" applyAlignment="1">
      <alignment horizontal="center" vertical="top" wrapText="1"/>
    </xf>
    <xf numFmtId="43" fontId="3" fillId="0" borderId="0" xfId="4" applyFont="1" applyFill="1" applyBorder="1" applyAlignment="1">
      <alignment horizontal="right" vertical="top"/>
    </xf>
    <xf numFmtId="43" fontId="3" fillId="0" borderId="0" xfId="17" applyNumberFormat="1" applyFont="1" applyAlignment="1">
      <alignment horizontal="right" vertical="top"/>
    </xf>
    <xf numFmtId="0" fontId="4" fillId="0" borderId="0" xfId="17" applyFont="1" applyAlignment="1">
      <alignment horizontal="right" vertical="top"/>
    </xf>
    <xf numFmtId="0" fontId="3" fillId="0" borderId="38" xfId="17" applyFont="1" applyBorder="1" applyAlignment="1">
      <alignment horizontal="center" vertical="top" wrapText="1"/>
    </xf>
    <xf numFmtId="43" fontId="4" fillId="7" borderId="36" xfId="4" applyFont="1" applyFill="1" applyBorder="1" applyAlignment="1">
      <alignment horizontal="right" vertical="top"/>
    </xf>
    <xf numFmtId="0" fontId="15" fillId="27" borderId="36" xfId="0" applyFont="1" applyFill="1" applyBorder="1" applyAlignment="1">
      <alignment vertical="top" shrinkToFit="1"/>
    </xf>
    <xf numFmtId="43" fontId="3" fillId="0" borderId="36" xfId="17" applyNumberFormat="1" applyFont="1" applyBorder="1" applyAlignment="1">
      <alignment horizontal="right" vertical="top"/>
    </xf>
    <xf numFmtId="0" fontId="3" fillId="0" borderId="36" xfId="17" applyFont="1" applyBorder="1" applyAlignment="1">
      <alignment horizontal="center" vertical="top" wrapText="1"/>
    </xf>
    <xf numFmtId="3" fontId="4" fillId="0" borderId="36" xfId="0" applyNumberFormat="1" applyFont="1" applyBorder="1" applyAlignment="1">
      <alignment horizontal="right" vertical="center" wrapText="1"/>
    </xf>
    <xf numFmtId="3" fontId="4" fillId="0" borderId="36" xfId="0" applyNumberFormat="1" applyFont="1" applyBorder="1" applyAlignment="1">
      <alignment horizontal="right" vertical="top" wrapText="1"/>
    </xf>
    <xf numFmtId="3" fontId="3" fillId="0" borderId="36" xfId="0" applyNumberFormat="1" applyFont="1" applyBorder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43" fontId="4" fillId="0" borderId="36" xfId="0" applyNumberFormat="1" applyFont="1" applyBorder="1" applyAlignment="1">
      <alignment vertical="center"/>
    </xf>
    <xf numFmtId="43" fontId="4" fillId="0" borderId="36" xfId="0" applyNumberFormat="1" applyFont="1" applyBorder="1" applyAlignment="1">
      <alignment vertical="top"/>
    </xf>
    <xf numFmtId="43" fontId="3" fillId="0" borderId="37" xfId="17" applyNumberFormat="1" applyFont="1" applyBorder="1" applyAlignment="1">
      <alignment horizontal="right" vertical="top"/>
    </xf>
    <xf numFmtId="4" fontId="4" fillId="0" borderId="36" xfId="0" applyNumberFormat="1" applyFont="1" applyBorder="1" applyAlignment="1">
      <alignment horizontal="left" vertical="top"/>
    </xf>
    <xf numFmtId="4" fontId="3" fillId="0" borderId="36" xfId="17" applyNumberFormat="1" applyFont="1" applyBorder="1" applyAlignment="1">
      <alignment horizontal="right" vertical="top"/>
    </xf>
    <xf numFmtId="4" fontId="3" fillId="0" borderId="0" xfId="17" applyNumberFormat="1" applyFont="1" applyAlignment="1">
      <alignment horizontal="right" vertical="top"/>
    </xf>
    <xf numFmtId="43" fontId="23" fillId="0" borderId="0" xfId="4" applyFont="1" applyFill="1" applyBorder="1" applyAlignment="1">
      <alignment horizontal="center" vertical="top" wrapText="1"/>
    </xf>
    <xf numFmtId="0" fontId="7" fillId="0" borderId="36" xfId="0" applyFont="1" applyBorder="1"/>
    <xf numFmtId="0" fontId="7" fillId="0" borderId="36" xfId="0" applyFont="1" applyBorder="1" applyAlignment="1">
      <alignment horizontal="center"/>
    </xf>
    <xf numFmtId="2" fontId="7" fillId="0" borderId="36" xfId="0" applyNumberFormat="1" applyFont="1" applyBorder="1"/>
    <xf numFmtId="4" fontId="4" fillId="0" borderId="36" xfId="0" applyNumberFormat="1" applyFont="1" applyBorder="1" applyAlignment="1">
      <alignment horizontal="right" vertical="top" wrapText="1"/>
    </xf>
    <xf numFmtId="0" fontId="7" fillId="0" borderId="36" xfId="0" applyFont="1" applyBorder="1" applyAlignment="1">
      <alignment horizontal="left" vertical="top" wrapText="1"/>
    </xf>
    <xf numFmtId="43" fontId="7" fillId="0" borderId="36" xfId="0" applyNumberFormat="1" applyFont="1" applyBorder="1"/>
    <xf numFmtId="192" fontId="7" fillId="0" borderId="36" xfId="4" applyNumberFormat="1" applyFont="1" applyFill="1" applyBorder="1" applyAlignment="1">
      <alignment horizontal="center" vertical="top" wrapText="1"/>
    </xf>
    <xf numFmtId="193" fontId="15" fillId="0" borderId="36" xfId="0" applyNumberFormat="1" applyFont="1" applyBorder="1" applyAlignment="1">
      <alignment horizontal="center" vertical="top" wrapText="1"/>
    </xf>
    <xf numFmtId="43" fontId="4" fillId="0" borderId="36" xfId="103" applyFont="1" applyFill="1" applyBorder="1" applyAlignment="1">
      <alignment horizontal="left" vertical="top"/>
    </xf>
    <xf numFmtId="0" fontId="4" fillId="0" borderId="36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 shrinkToFit="1"/>
    </xf>
    <xf numFmtId="0" fontId="4" fillId="0" borderId="36" xfId="0" applyFont="1" applyBorder="1" applyAlignment="1">
      <alignment wrapText="1"/>
    </xf>
    <xf numFmtId="0" fontId="4" fillId="0" borderId="36" xfId="0" applyFont="1" applyBorder="1" applyAlignment="1">
      <alignment horizontal="center" vertical="top" wrapText="1"/>
    </xf>
    <xf numFmtId="0" fontId="10" fillId="0" borderId="0" xfId="17" applyFont="1" applyAlignment="1">
      <alignment horizontal="left" vertical="top"/>
    </xf>
    <xf numFmtId="43" fontId="4" fillId="0" borderId="36" xfId="18" applyFont="1" applyBorder="1" applyAlignment="1">
      <alignment horizontal="justify"/>
    </xf>
    <xf numFmtId="0" fontId="3" fillId="0" borderId="36" xfId="17" applyFont="1" applyBorder="1" applyAlignment="1">
      <alignment horizontal="center" vertical="center" wrapText="1"/>
    </xf>
    <xf numFmtId="0" fontId="4" fillId="0" borderId="36" xfId="17" applyFont="1" applyBorder="1" applyAlignment="1">
      <alignment horizontal="justify"/>
    </xf>
    <xf numFmtId="0" fontId="4" fillId="0" borderId="36" xfId="95" applyFont="1" applyBorder="1" applyAlignment="1">
      <alignment horizontal="center" vertical="top"/>
    </xf>
    <xf numFmtId="43" fontId="7" fillId="0" borderId="36" xfId="4" applyFont="1" applyFill="1" applyBorder="1" applyAlignment="1">
      <alignment vertical="center"/>
    </xf>
    <xf numFmtId="0" fontId="4" fillId="0" borderId="36" xfId="95" applyFont="1" applyBorder="1" applyAlignment="1">
      <alignment horizontal="left" vertical="top" wrapText="1"/>
    </xf>
    <xf numFmtId="43" fontId="4" fillId="0" borderId="36" xfId="17" applyNumberFormat="1" applyFont="1" applyBorder="1"/>
    <xf numFmtId="0" fontId="7" fillId="0" borderId="36" xfId="0" applyFont="1" applyBorder="1" applyAlignment="1">
      <alignment horizontal="center" wrapText="1"/>
    </xf>
    <xf numFmtId="4" fontId="7" fillId="0" borderId="36" xfId="0" applyNumberFormat="1" applyFont="1" applyBorder="1" applyAlignment="1">
      <alignment horizontal="right" wrapText="1"/>
    </xf>
    <xf numFmtId="43" fontId="4" fillId="0" borderId="36" xfId="18" applyFont="1" applyBorder="1"/>
    <xf numFmtId="43" fontId="4" fillId="0" borderId="36" xfId="18" applyFont="1" applyBorder="1" applyAlignment="1">
      <alignment horizontal="justify" vertical="top"/>
    </xf>
    <xf numFmtId="43" fontId="4" fillId="0" borderId="36" xfId="17" applyNumberFormat="1" applyFont="1" applyBorder="1" applyAlignment="1">
      <alignment vertical="top"/>
    </xf>
    <xf numFmtId="0" fontId="4" fillId="0" borderId="36" xfId="17" applyFont="1" applyBorder="1" applyAlignment="1">
      <alignment horizontal="justify" vertical="top"/>
    </xf>
    <xf numFmtId="0" fontId="4" fillId="0" borderId="36" xfId="0" applyFont="1" applyBorder="1" applyAlignment="1">
      <alignment horizontal="left" vertical="top"/>
    </xf>
    <xf numFmtId="0" fontId="48" fillId="0" borderId="5" xfId="0" applyFont="1" applyBorder="1" applyAlignment="1">
      <alignment vertical="center" wrapText="1"/>
    </xf>
    <xf numFmtId="0" fontId="48" fillId="0" borderId="1" xfId="0" applyFont="1" applyBorder="1" applyAlignment="1">
      <alignment vertical="center" wrapText="1"/>
    </xf>
    <xf numFmtId="3" fontId="49" fillId="0" borderId="5" xfId="0" applyNumberFormat="1" applyFont="1" applyBorder="1"/>
    <xf numFmtId="0" fontId="48" fillId="0" borderId="0" xfId="0" applyFont="1" applyAlignment="1">
      <alignment vertical="center" wrapText="1"/>
    </xf>
    <xf numFmtId="3" fontId="49" fillId="0" borderId="0" xfId="0" applyNumberFormat="1" applyFont="1"/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3" fontId="15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0" fontId="15" fillId="0" borderId="5" xfId="17" applyFont="1" applyBorder="1" applyAlignment="1">
      <alignment vertical="top"/>
    </xf>
    <xf numFmtId="0" fontId="15" fillId="0" borderId="5" xfId="17" applyFont="1" applyBorder="1" applyAlignment="1">
      <alignment horizontal="center" vertical="top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wrapText="1"/>
    </xf>
    <xf numFmtId="0" fontId="7" fillId="0" borderId="5" xfId="0" applyFont="1" applyBorder="1" applyAlignment="1">
      <alignment horizontal="center" wrapText="1"/>
    </xf>
    <xf numFmtId="4" fontId="7" fillId="0" borderId="5" xfId="0" applyNumberFormat="1" applyFont="1" applyBorder="1" applyAlignment="1">
      <alignment horizontal="right" wrapText="1"/>
    </xf>
    <xf numFmtId="4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right" vertical="top" wrapText="1"/>
    </xf>
    <xf numFmtId="0" fontId="7" fillId="0" borderId="4" xfId="17" applyFont="1" applyBorder="1" applyAlignment="1">
      <alignment vertical="top"/>
    </xf>
    <xf numFmtId="0" fontId="1" fillId="0" borderId="4" xfId="17" applyFont="1" applyBorder="1" applyAlignment="1">
      <alignment horizontal="center" vertical="top"/>
    </xf>
    <xf numFmtId="0" fontId="7" fillId="0" borderId="4" xfId="17" applyFont="1" applyBorder="1" applyAlignment="1">
      <alignment horizontal="center" vertical="top"/>
    </xf>
    <xf numFmtId="0" fontId="7" fillId="0" borderId="4" xfId="17" applyFont="1" applyBorder="1" applyAlignment="1">
      <alignment horizontal="right" vertical="top"/>
    </xf>
    <xf numFmtId="43" fontId="3" fillId="0" borderId="4" xfId="17" applyNumberFormat="1" applyFont="1" applyBorder="1" applyAlignment="1">
      <alignment horizontal="right" vertical="top"/>
    </xf>
    <xf numFmtId="0" fontId="8" fillId="0" borderId="5" xfId="0" applyFont="1" applyBorder="1" applyAlignment="1">
      <alignment vertical="top" wrapText="1"/>
    </xf>
    <xf numFmtId="43" fontId="23" fillId="0" borderId="0" xfId="17" applyNumberFormat="1" applyFont="1" applyAlignment="1">
      <alignment vertical="top"/>
    </xf>
    <xf numFmtId="4" fontId="50" fillId="0" borderId="0" xfId="0" applyNumberFormat="1" applyFont="1"/>
    <xf numFmtId="0" fontId="4" fillId="0" borderId="5" xfId="0" applyFont="1" applyBorder="1"/>
    <xf numFmtId="0" fontId="10" fillId="0" borderId="36" xfId="17" applyFont="1" applyBorder="1" applyAlignment="1">
      <alignment vertical="top" wrapText="1"/>
    </xf>
    <xf numFmtId="0" fontId="10" fillId="0" borderId="36" xfId="0" applyFont="1" applyBorder="1"/>
    <xf numFmtId="0" fontId="10" fillId="0" borderId="36" xfId="0" applyFont="1" applyBorder="1" applyAlignment="1">
      <alignment vertical="top"/>
    </xf>
    <xf numFmtId="191" fontId="4" fillId="0" borderId="36" xfId="4" applyNumberFormat="1" applyFont="1" applyFill="1" applyBorder="1" applyAlignment="1">
      <alignment vertical="top"/>
    </xf>
    <xf numFmtId="0" fontId="7" fillId="29" borderId="0" xfId="17" applyFont="1" applyFill="1" applyAlignment="1">
      <alignment horizontal="left" vertical="top"/>
    </xf>
    <xf numFmtId="0" fontId="7" fillId="31" borderId="36" xfId="17" applyFont="1" applyFill="1" applyBorder="1" applyAlignment="1">
      <alignment vertical="top"/>
    </xf>
    <xf numFmtId="0" fontId="15" fillId="31" borderId="36" xfId="17" applyFont="1" applyFill="1" applyBorder="1" applyAlignment="1">
      <alignment horizontal="center" vertical="top"/>
    </xf>
    <xf numFmtId="43" fontId="15" fillId="31" borderId="36" xfId="4" applyFont="1" applyFill="1" applyBorder="1" applyAlignment="1">
      <alignment horizontal="right" vertical="top"/>
    </xf>
    <xf numFmtId="43" fontId="4" fillId="31" borderId="36" xfId="4" applyFont="1" applyFill="1" applyBorder="1" applyAlignment="1">
      <alignment vertical="top" wrapText="1"/>
    </xf>
    <xf numFmtId="0" fontId="15" fillId="31" borderId="36" xfId="17" applyFont="1" applyFill="1" applyBorder="1" applyAlignment="1">
      <alignment vertical="top"/>
    </xf>
    <xf numFmtId="0" fontId="7" fillId="31" borderId="0" xfId="17" applyFont="1" applyFill="1" applyAlignment="1">
      <alignment vertical="top"/>
    </xf>
    <xf numFmtId="0" fontId="15" fillId="31" borderId="0" xfId="17" applyFont="1" applyFill="1" applyAlignment="1">
      <alignment vertical="top"/>
    </xf>
    <xf numFmtId="0" fontId="4" fillId="32" borderId="36" xfId="17" applyFont="1" applyFill="1" applyBorder="1" applyAlignment="1">
      <alignment horizontal="left" vertical="top" wrapText="1"/>
    </xf>
    <xf numFmtId="0" fontId="4" fillId="32" borderId="36" xfId="17" applyFont="1" applyFill="1" applyBorder="1" applyAlignment="1">
      <alignment horizontal="center" vertical="top"/>
    </xf>
    <xf numFmtId="43" fontId="4" fillId="32" borderId="36" xfId="18" applyFont="1" applyFill="1" applyBorder="1" applyAlignment="1">
      <alignment horizontal="left" vertical="top"/>
    </xf>
    <xf numFmtId="0" fontId="4" fillId="32" borderId="36" xfId="17" applyFont="1" applyFill="1" applyBorder="1" applyAlignment="1">
      <alignment horizontal="left" vertical="top"/>
    </xf>
    <xf numFmtId="0" fontId="15" fillId="32" borderId="0" xfId="17" applyFont="1" applyFill="1" applyAlignment="1">
      <alignment vertical="top"/>
    </xf>
    <xf numFmtId="0" fontId="7" fillId="32" borderId="36" xfId="17" applyFont="1" applyFill="1" applyBorder="1" applyAlignment="1">
      <alignment vertical="top"/>
    </xf>
    <xf numFmtId="0" fontId="7" fillId="32" borderId="36" xfId="17" applyFont="1" applyFill="1" applyBorder="1" applyAlignment="1">
      <alignment horizontal="center" vertical="top"/>
    </xf>
    <xf numFmtId="43" fontId="7" fillId="32" borderId="36" xfId="4" applyFont="1" applyFill="1" applyBorder="1" applyAlignment="1">
      <alignment horizontal="right" vertical="top"/>
    </xf>
    <xf numFmtId="0" fontId="7" fillId="32" borderId="0" xfId="17" applyFont="1" applyFill="1" applyAlignment="1">
      <alignment vertical="top"/>
    </xf>
    <xf numFmtId="43" fontId="7" fillId="32" borderId="36" xfId="18" applyFont="1" applyFill="1" applyBorder="1" applyAlignment="1">
      <alignment horizontal="left" vertical="top"/>
    </xf>
    <xf numFmtId="0" fontId="4" fillId="32" borderId="36" xfId="17" applyFont="1" applyFill="1" applyBorder="1" applyAlignment="1">
      <alignment vertical="top"/>
    </xf>
    <xf numFmtId="43" fontId="4" fillId="32" borderId="36" xfId="4" applyFont="1" applyFill="1" applyBorder="1" applyAlignment="1">
      <alignment horizontal="right" vertical="top"/>
    </xf>
    <xf numFmtId="4" fontId="4" fillId="32" borderId="36" xfId="17" applyNumberFormat="1" applyFont="1" applyFill="1" applyBorder="1" applyAlignment="1">
      <alignment horizontal="right" vertical="top"/>
    </xf>
    <xf numFmtId="0" fontId="10" fillId="32" borderId="36" xfId="17" applyFont="1" applyFill="1" applyBorder="1" applyAlignment="1">
      <alignment vertical="top"/>
    </xf>
    <xf numFmtId="0" fontId="10" fillId="32" borderId="36" xfId="17" applyFont="1" applyFill="1" applyBorder="1" applyAlignment="1">
      <alignment horizontal="left" vertical="top"/>
    </xf>
    <xf numFmtId="0" fontId="4" fillId="32" borderId="36" xfId="95" applyFont="1" applyFill="1" applyBorder="1" applyAlignment="1">
      <alignment horizontal="left" vertical="top" wrapText="1"/>
    </xf>
    <xf numFmtId="0" fontId="4" fillId="32" borderId="36" xfId="95" applyFont="1" applyFill="1" applyBorder="1" applyAlignment="1">
      <alignment horizontal="center" vertical="top"/>
    </xf>
    <xf numFmtId="43" fontId="4" fillId="32" borderId="36" xfId="103" applyFont="1" applyFill="1" applyBorder="1" applyAlignment="1">
      <alignment horizontal="left" vertical="top"/>
    </xf>
    <xf numFmtId="43" fontId="4" fillId="32" borderId="36" xfId="90" applyFont="1" applyFill="1" applyBorder="1" applyAlignment="1">
      <alignment horizontal="left" vertical="top" wrapText="1"/>
    </xf>
    <xf numFmtId="0" fontId="7" fillId="32" borderId="36" xfId="0" applyFont="1" applyFill="1" applyBorder="1"/>
    <xf numFmtId="0" fontId="15" fillId="32" borderId="36" xfId="17" applyFont="1" applyFill="1" applyBorder="1" applyAlignment="1">
      <alignment horizontal="center" vertical="top"/>
    </xf>
    <xf numFmtId="43" fontId="15" fillId="32" borderId="36" xfId="17" applyNumberFormat="1" applyFont="1" applyFill="1" applyBorder="1" applyAlignment="1">
      <alignment vertical="top"/>
    </xf>
    <xf numFmtId="0" fontId="7" fillId="32" borderId="0" xfId="17" applyFont="1" applyFill="1" applyAlignment="1">
      <alignment horizontal="left" vertical="top"/>
    </xf>
    <xf numFmtId="43" fontId="7" fillId="0" borderId="0" xfId="4" applyFont="1" applyFill="1" applyAlignment="1">
      <alignment horizontal="right" vertical="top"/>
    </xf>
    <xf numFmtId="0" fontId="7" fillId="28" borderId="0" xfId="17" applyFont="1" applyFill="1" applyAlignment="1">
      <alignment horizontal="left" vertical="top"/>
    </xf>
    <xf numFmtId="0" fontId="1" fillId="0" borderId="50" xfId="17" applyFont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top" wrapText="1"/>
    </xf>
    <xf numFmtId="0" fontId="7" fillId="0" borderId="36" xfId="0" applyFont="1" applyBorder="1" applyAlignment="1">
      <alignment horizontal="right" wrapText="1"/>
    </xf>
    <xf numFmtId="43" fontId="7" fillId="0" borderId="36" xfId="18" applyFont="1" applyFill="1" applyBorder="1" applyAlignment="1">
      <alignment horizontal="left" vertical="top"/>
    </xf>
    <xf numFmtId="0" fontId="7" fillId="32" borderId="36" xfId="0" applyFont="1" applyFill="1" applyBorder="1" applyAlignment="1">
      <alignment horizontal="right" wrapText="1"/>
    </xf>
    <xf numFmtId="0" fontId="7" fillId="31" borderId="36" xfId="17" applyFont="1" applyFill="1" applyBorder="1" applyAlignment="1">
      <alignment horizontal="center" vertical="top"/>
    </xf>
    <xf numFmtId="0" fontId="7" fillId="31" borderId="36" xfId="0" applyFont="1" applyFill="1" applyBorder="1" applyAlignment="1">
      <alignment horizontal="right" wrapText="1"/>
    </xf>
    <xf numFmtId="0" fontId="7" fillId="32" borderId="36" xfId="17" applyFont="1" applyFill="1" applyBorder="1" applyAlignment="1">
      <alignment horizontal="left" vertical="top"/>
    </xf>
    <xf numFmtId="0" fontId="51" fillId="32" borderId="36" xfId="17" applyFont="1" applyFill="1" applyBorder="1" applyAlignment="1">
      <alignment horizontal="center" vertical="top"/>
    </xf>
    <xf numFmtId="0" fontId="42" fillId="32" borderId="36" xfId="95" applyFont="1" applyFill="1" applyBorder="1" applyAlignment="1">
      <alignment horizontal="left" vertical="top" wrapText="1"/>
    </xf>
    <xf numFmtId="0" fontId="42" fillId="32" borderId="36" xfId="95" applyFont="1" applyFill="1" applyBorder="1" applyAlignment="1">
      <alignment horizontal="center" vertical="top"/>
    </xf>
    <xf numFmtId="43" fontId="42" fillId="32" borderId="36" xfId="103" applyFont="1" applyFill="1" applyBorder="1" applyAlignment="1">
      <alignment horizontal="left" vertical="top"/>
    </xf>
    <xf numFmtId="43" fontId="42" fillId="32" borderId="36" xfId="4" applyFont="1" applyFill="1" applyBorder="1" applyAlignment="1">
      <alignment horizontal="right" vertical="top"/>
    </xf>
    <xf numFmtId="0" fontId="52" fillId="32" borderId="36" xfId="17" applyFont="1" applyFill="1" applyBorder="1" applyAlignment="1">
      <alignment vertical="top"/>
    </xf>
    <xf numFmtId="0" fontId="52" fillId="32" borderId="36" xfId="17" applyFont="1" applyFill="1" applyBorder="1" applyAlignment="1">
      <alignment horizontal="left" vertical="top"/>
    </xf>
    <xf numFmtId="0" fontId="53" fillId="32" borderId="0" xfId="17" applyFont="1" applyFill="1" applyAlignment="1">
      <alignment vertical="top"/>
    </xf>
    <xf numFmtId="0" fontId="7" fillId="0" borderId="14" xfId="17" applyFont="1" applyBorder="1" applyAlignment="1">
      <alignment horizontal="center" vertical="top"/>
    </xf>
    <xf numFmtId="0" fontId="7" fillId="0" borderId="14" xfId="17" applyFont="1" applyBorder="1" applyAlignment="1">
      <alignment vertical="top"/>
    </xf>
    <xf numFmtId="43" fontId="7" fillId="0" borderId="14" xfId="17" applyNumberFormat="1" applyFont="1" applyBorder="1" applyAlignment="1">
      <alignment horizontal="right" vertical="top"/>
    </xf>
    <xf numFmtId="0" fontId="7" fillId="0" borderId="14" xfId="17" applyFont="1" applyBorder="1" applyAlignment="1">
      <alignment horizontal="left" vertical="top"/>
    </xf>
    <xf numFmtId="0" fontId="1" fillId="0" borderId="16" xfId="17" applyFont="1" applyBorder="1" applyAlignment="1">
      <alignment horizontal="right" vertical="top"/>
    </xf>
    <xf numFmtId="43" fontId="3" fillId="0" borderId="16" xfId="4" applyFont="1" applyFill="1" applyBorder="1" applyAlignment="1">
      <alignment horizontal="right" vertical="top"/>
    </xf>
    <xf numFmtId="0" fontId="10" fillId="0" borderId="16" xfId="17" applyFont="1" applyBorder="1" applyAlignment="1">
      <alignment vertical="top"/>
    </xf>
    <xf numFmtId="0" fontId="10" fillId="0" borderId="16" xfId="17" applyFont="1" applyBorder="1" applyAlignment="1">
      <alignment horizontal="left" vertical="top"/>
    </xf>
    <xf numFmtId="43" fontId="1" fillId="0" borderId="14" xfId="4" applyFont="1" applyBorder="1" applyAlignment="1">
      <alignment horizontal="right" vertical="top"/>
    </xf>
    <xf numFmtId="43" fontId="3" fillId="0" borderId="14" xfId="4" applyFont="1" applyFill="1" applyBorder="1" applyAlignment="1">
      <alignment horizontal="right" vertical="top"/>
    </xf>
    <xf numFmtId="0" fontId="10" fillId="0" borderId="14" xfId="17" applyFont="1" applyBorder="1" applyAlignment="1">
      <alignment vertical="top"/>
    </xf>
    <xf numFmtId="0" fontId="10" fillId="0" borderId="14" xfId="17" applyFont="1" applyBorder="1" applyAlignment="1">
      <alignment horizontal="left" vertical="top"/>
    </xf>
    <xf numFmtId="43" fontId="4" fillId="0" borderId="14" xfId="18" applyFont="1" applyFill="1" applyBorder="1" applyAlignment="1">
      <alignment horizontal="left" vertical="top"/>
    </xf>
    <xf numFmtId="0" fontId="4" fillId="0" borderId="14" xfId="17" applyFont="1" applyBorder="1" applyAlignment="1">
      <alignment horizontal="left" vertical="top"/>
    </xf>
    <xf numFmtId="0" fontId="7" fillId="0" borderId="14" xfId="0" applyFont="1" applyBorder="1" applyAlignment="1">
      <alignment horizontal="right" wrapText="1"/>
    </xf>
    <xf numFmtId="0" fontId="10" fillId="0" borderId="36" xfId="0" applyFont="1" applyBorder="1" applyAlignment="1">
      <alignment horizontal="left" wrapText="1"/>
    </xf>
    <xf numFmtId="43" fontId="1" fillId="0" borderId="0" xfId="4" applyFont="1" applyBorder="1" applyAlignment="1">
      <alignment horizontal="right" vertical="top"/>
    </xf>
    <xf numFmtId="43" fontId="7" fillId="0" borderId="0" xfId="17" applyNumberFormat="1" applyFont="1" applyAlignment="1">
      <alignment horizontal="right" vertical="top"/>
    </xf>
    <xf numFmtId="0" fontId="1" fillId="0" borderId="0" xfId="17" applyFont="1" applyAlignment="1">
      <alignment horizontal="right" vertical="top"/>
    </xf>
    <xf numFmtId="0" fontId="59" fillId="0" borderId="0" xfId="0" applyFont="1" applyAlignment="1">
      <alignment wrapText="1"/>
    </xf>
    <xf numFmtId="0" fontId="60" fillId="0" borderId="0" xfId="17" applyFont="1" applyAlignment="1">
      <alignment horizontal="right" vertical="top"/>
    </xf>
    <xf numFmtId="43" fontId="60" fillId="0" borderId="0" xfId="4" applyFont="1" applyBorder="1" applyAlignment="1">
      <alignment horizontal="right" vertical="top"/>
    </xf>
    <xf numFmtId="0" fontId="62" fillId="0" borderId="0" xfId="95" applyFont="1" applyAlignment="1">
      <alignment horizontal="left" vertical="center"/>
    </xf>
    <xf numFmtId="0" fontId="62" fillId="0" borderId="0" xfId="95" applyFont="1" applyAlignment="1">
      <alignment vertical="center"/>
    </xf>
    <xf numFmtId="0" fontId="63" fillId="0" borderId="36" xfId="95" applyFont="1" applyBorder="1" applyAlignment="1">
      <alignment horizontal="center" vertical="center" wrapText="1"/>
    </xf>
    <xf numFmtId="0" fontId="64" fillId="0" borderId="36" xfId="95" applyFont="1" applyBorder="1" applyAlignment="1">
      <alignment horizontal="center" vertical="center" wrapText="1"/>
    </xf>
    <xf numFmtId="0" fontId="65" fillId="0" borderId="0" xfId="95" applyFont="1" applyAlignment="1">
      <alignment horizontal="left" vertical="center"/>
    </xf>
    <xf numFmtId="0" fontId="65" fillId="0" borderId="0" xfId="95" applyFont="1" applyAlignment="1">
      <alignment vertical="center"/>
    </xf>
    <xf numFmtId="0" fontId="66" fillId="0" borderId="36" xfId="95" applyFont="1" applyBorder="1" applyAlignment="1">
      <alignment horizontal="center" vertical="center"/>
    </xf>
    <xf numFmtId="0" fontId="66" fillId="0" borderId="36" xfId="95" applyFont="1" applyBorder="1" applyAlignment="1">
      <alignment horizontal="left" vertical="center" wrapText="1"/>
    </xf>
    <xf numFmtId="4" fontId="66" fillId="0" borderId="36" xfId="95" applyNumberFormat="1" applyFont="1" applyBorder="1" applyAlignment="1">
      <alignment horizontal="right" vertical="center"/>
    </xf>
    <xf numFmtId="0" fontId="67" fillId="0" borderId="0" xfId="95" applyFont="1" applyAlignment="1">
      <alignment horizontal="left" vertical="top" wrapText="1"/>
    </xf>
    <xf numFmtId="0" fontId="65" fillId="0" borderId="36" xfId="95" applyFont="1" applyBorder="1" applyAlignment="1">
      <alignment horizontal="left" vertical="center"/>
    </xf>
    <xf numFmtId="0" fontId="65" fillId="0" borderId="36" xfId="95" applyFont="1" applyBorder="1" applyAlignment="1">
      <alignment horizontal="center" vertical="center"/>
    </xf>
    <xf numFmtId="4" fontId="65" fillId="0" borderId="36" xfId="95" applyNumberFormat="1" applyFont="1" applyBorder="1" applyAlignment="1">
      <alignment horizontal="right" vertical="center"/>
    </xf>
    <xf numFmtId="0" fontId="65" fillId="0" borderId="36" xfId="95" applyFont="1" applyBorder="1" applyAlignment="1">
      <alignment horizontal="left" vertical="center" wrapText="1"/>
    </xf>
    <xf numFmtId="0" fontId="66" fillId="0" borderId="0" xfId="95" applyFont="1" applyAlignment="1">
      <alignment horizontal="left" vertical="top"/>
    </xf>
    <xf numFmtId="0" fontId="65" fillId="0" borderId="36" xfId="0" applyFont="1" applyBorder="1" applyAlignment="1">
      <alignment vertical="center"/>
    </xf>
    <xf numFmtId="0" fontId="65" fillId="0" borderId="36" xfId="0" applyFont="1" applyBorder="1" applyAlignment="1">
      <alignment horizontal="center" vertical="center"/>
    </xf>
    <xf numFmtId="43" fontId="65" fillId="0" borderId="36" xfId="4" applyFont="1" applyFill="1" applyBorder="1" applyAlignment="1">
      <alignment horizontal="left" vertical="center"/>
    </xf>
    <xf numFmtId="43" fontId="66" fillId="0" borderId="36" xfId="4" applyFont="1" applyFill="1" applyBorder="1" applyAlignment="1">
      <alignment horizontal="left" vertical="center"/>
    </xf>
    <xf numFmtId="0" fontId="66" fillId="0" borderId="36" xfId="95" applyFont="1" applyBorder="1" applyAlignment="1">
      <alignment horizontal="center" vertical="top"/>
    </xf>
    <xf numFmtId="0" fontId="66" fillId="0" borderId="36" xfId="95" applyFont="1" applyBorder="1" applyAlignment="1">
      <alignment horizontal="left" vertical="top" wrapText="1"/>
    </xf>
    <xf numFmtId="4" fontId="66" fillId="0" borderId="36" xfId="95" applyNumberFormat="1" applyFont="1" applyBorder="1" applyAlignment="1">
      <alignment horizontal="right" vertical="top"/>
    </xf>
    <xf numFmtId="0" fontId="65" fillId="0" borderId="36" xfId="95" applyFont="1" applyBorder="1" applyAlignment="1">
      <alignment horizontal="left" vertical="top" wrapText="1"/>
    </xf>
    <xf numFmtId="0" fontId="65" fillId="0" borderId="0" xfId="95" applyFont="1" applyAlignment="1">
      <alignment horizontal="left" vertical="top"/>
    </xf>
    <xf numFmtId="0" fontId="65" fillId="0" borderId="0" xfId="95" applyFont="1" applyAlignment="1">
      <alignment vertical="top"/>
    </xf>
    <xf numFmtId="0" fontId="62" fillId="0" borderId="0" xfId="95" applyFont="1" applyAlignment="1">
      <alignment vertical="top"/>
    </xf>
    <xf numFmtId="0" fontId="66" fillId="0" borderId="36" xfId="95" applyFont="1" applyBorder="1" applyAlignment="1">
      <alignment horizontal="left" vertical="center"/>
    </xf>
    <xf numFmtId="0" fontId="66" fillId="0" borderId="36" xfId="95" applyFont="1" applyBorder="1" applyAlignment="1">
      <alignment vertical="center"/>
    </xf>
    <xf numFmtId="43" fontId="66" fillId="0" borderId="36" xfId="18" applyFont="1" applyFill="1" applyBorder="1" applyAlignment="1">
      <alignment horizontal="left" vertical="center"/>
    </xf>
    <xf numFmtId="43" fontId="66" fillId="0" borderId="36" xfId="4" applyFont="1" applyFill="1" applyBorder="1" applyAlignment="1">
      <alignment vertical="center"/>
    </xf>
    <xf numFmtId="0" fontId="66" fillId="0" borderId="0" xfId="95" applyFont="1" applyAlignment="1">
      <alignment horizontal="left" vertical="center"/>
    </xf>
    <xf numFmtId="0" fontId="66" fillId="0" borderId="36" xfId="95" applyFont="1" applyBorder="1" applyAlignment="1">
      <alignment horizontal="left" vertical="top"/>
    </xf>
    <xf numFmtId="0" fontId="67" fillId="0" borderId="0" xfId="95" applyFont="1" applyAlignment="1">
      <alignment horizontal="left" vertical="center"/>
    </xf>
    <xf numFmtId="0" fontId="62" fillId="0" borderId="36" xfId="95" applyFont="1" applyBorder="1" applyAlignment="1">
      <alignment horizontal="left" vertical="center"/>
    </xf>
    <xf numFmtId="0" fontId="62" fillId="0" borderId="36" xfId="95" applyFont="1" applyBorder="1" applyAlignment="1">
      <alignment horizontal="center" vertical="center"/>
    </xf>
    <xf numFmtId="4" fontId="62" fillId="0" borderId="36" xfId="95" applyNumberFormat="1" applyFont="1" applyBorder="1" applyAlignment="1">
      <alignment horizontal="right" vertical="center"/>
    </xf>
    <xf numFmtId="0" fontId="62" fillId="0" borderId="36" xfId="95" applyFont="1" applyBorder="1" applyAlignment="1">
      <alignment horizontal="left" vertical="center" wrapText="1"/>
    </xf>
    <xf numFmtId="43" fontId="65" fillId="0" borderId="36" xfId="4" applyFont="1" applyFill="1" applyBorder="1" applyAlignment="1">
      <alignment vertical="center"/>
    </xf>
    <xf numFmtId="0" fontId="65" fillId="0" borderId="36" xfId="0" applyFont="1" applyBorder="1" applyAlignment="1">
      <alignment vertical="center" wrapText="1"/>
    </xf>
    <xf numFmtId="0" fontId="65" fillId="0" borderId="36" xfId="0" applyFont="1" applyBorder="1" applyAlignment="1">
      <alignment horizontal="center" vertical="center" wrapText="1"/>
    </xf>
    <xf numFmtId="4" fontId="65" fillId="0" borderId="36" xfId="0" applyNumberFormat="1" applyFont="1" applyBorder="1" applyAlignment="1">
      <alignment horizontal="right" vertical="center" wrapText="1"/>
    </xf>
    <xf numFmtId="0" fontId="66" fillId="0" borderId="36" xfId="95" applyFont="1" applyBorder="1" applyAlignment="1">
      <alignment vertical="center" wrapText="1"/>
    </xf>
    <xf numFmtId="43" fontId="62" fillId="0" borderId="36" xfId="4" applyFont="1" applyFill="1" applyBorder="1" applyAlignment="1">
      <alignment horizontal="center" vertical="center"/>
    </xf>
    <xf numFmtId="43" fontId="66" fillId="0" borderId="36" xfId="4" applyFont="1" applyFill="1" applyBorder="1" applyAlignment="1">
      <alignment horizontal="center" vertical="center"/>
    </xf>
    <xf numFmtId="0" fontId="62" fillId="0" borderId="36" xfId="95" applyFont="1" applyBorder="1" applyAlignment="1">
      <alignment vertical="center"/>
    </xf>
    <xf numFmtId="0" fontId="66" fillId="0" borderId="36" xfId="0" applyFont="1" applyBorder="1" applyAlignment="1">
      <alignment vertical="center"/>
    </xf>
    <xf numFmtId="0" fontId="66" fillId="0" borderId="36" xfId="0" applyFont="1" applyBorder="1" applyAlignment="1">
      <alignment vertical="center" wrapText="1"/>
    </xf>
    <xf numFmtId="0" fontId="66" fillId="0" borderId="36" xfId="0" applyFont="1" applyBorder="1" applyAlignment="1">
      <alignment horizontal="center" vertical="center"/>
    </xf>
    <xf numFmtId="191" fontId="66" fillId="0" borderId="36" xfId="4" applyNumberFormat="1" applyFont="1" applyFill="1" applyBorder="1" applyAlignment="1">
      <alignment vertical="center"/>
    </xf>
    <xf numFmtId="0" fontId="65" fillId="0" borderId="36" xfId="0" applyFont="1" applyBorder="1" applyAlignment="1">
      <alignment vertical="top" wrapText="1"/>
    </xf>
    <xf numFmtId="0" fontId="65" fillId="0" borderId="36" xfId="0" applyFont="1" applyBorder="1" applyAlignment="1">
      <alignment horizontal="center" vertical="top"/>
    </xf>
    <xf numFmtId="43" fontId="65" fillId="0" borderId="36" xfId="4" applyFont="1" applyFill="1" applyBorder="1" applyAlignment="1">
      <alignment vertical="top"/>
    </xf>
    <xf numFmtId="43" fontId="66" fillId="0" borderId="36" xfId="4" applyFont="1" applyFill="1" applyBorder="1" applyAlignment="1">
      <alignment vertical="top"/>
    </xf>
    <xf numFmtId="0" fontId="65" fillId="0" borderId="36" xfId="0" applyFont="1" applyBorder="1" applyAlignment="1">
      <alignment vertical="top"/>
    </xf>
    <xf numFmtId="0" fontId="66" fillId="0" borderId="36" xfId="95" applyFont="1" applyBorder="1" applyAlignment="1">
      <alignment vertical="top"/>
    </xf>
    <xf numFmtId="4" fontId="66" fillId="0" borderId="36" xfId="0" applyNumberFormat="1" applyFont="1" applyBorder="1" applyAlignment="1">
      <alignment vertical="center"/>
    </xf>
    <xf numFmtId="191" fontId="65" fillId="0" borderId="36" xfId="4" applyNumberFormat="1" applyFont="1" applyFill="1" applyBorder="1" applyAlignment="1">
      <alignment vertical="center"/>
    </xf>
    <xf numFmtId="0" fontId="65" fillId="0" borderId="36" xfId="0" applyFont="1" applyBorder="1" applyAlignment="1">
      <alignment horizontal="left" vertical="center"/>
    </xf>
    <xf numFmtId="43" fontId="65" fillId="0" borderId="36" xfId="4" applyFont="1" applyFill="1" applyBorder="1" applyAlignment="1">
      <alignment horizontal="center" vertical="center"/>
    </xf>
    <xf numFmtId="43" fontId="66" fillId="0" borderId="36" xfId="4" applyFont="1" applyFill="1" applyBorder="1" applyAlignment="1">
      <alignment horizontal="right" vertical="center"/>
    </xf>
    <xf numFmtId="43" fontId="64" fillId="0" borderId="36" xfId="4" applyFont="1" applyFill="1" applyBorder="1" applyAlignment="1">
      <alignment horizontal="right" vertical="center"/>
    </xf>
    <xf numFmtId="43" fontId="66" fillId="0" borderId="36" xfId="18" applyFont="1" applyFill="1" applyBorder="1" applyAlignment="1">
      <alignment horizontal="right" vertical="center"/>
    </xf>
    <xf numFmtId="0" fontId="65" fillId="0" borderId="36" xfId="95" applyFont="1" applyBorder="1" applyAlignment="1">
      <alignment vertical="center"/>
    </xf>
    <xf numFmtId="43" fontId="65" fillId="0" borderId="36" xfId="4" applyFont="1" applyFill="1" applyBorder="1" applyAlignment="1">
      <alignment horizontal="right" vertical="center"/>
    </xf>
    <xf numFmtId="4" fontId="66" fillId="0" borderId="36" xfId="4" applyNumberFormat="1" applyFont="1" applyFill="1" applyBorder="1" applyAlignment="1">
      <alignment horizontal="right" vertical="center"/>
    </xf>
    <xf numFmtId="0" fontId="66" fillId="0" borderId="36" xfId="0" applyFont="1" applyBorder="1" applyAlignment="1">
      <alignment horizontal="left" vertical="center"/>
    </xf>
    <xf numFmtId="43" fontId="64" fillId="0" borderId="36" xfId="4" applyFont="1" applyFill="1" applyBorder="1" applyAlignment="1">
      <alignment vertical="center"/>
    </xf>
    <xf numFmtId="4" fontId="64" fillId="0" borderId="36" xfId="4" applyNumberFormat="1" applyFont="1" applyFill="1" applyBorder="1" applyAlignment="1">
      <alignment horizontal="right" vertical="center"/>
    </xf>
    <xf numFmtId="0" fontId="65" fillId="0" borderId="36" xfId="95" applyFont="1" applyBorder="1" applyAlignment="1">
      <alignment vertical="top" wrapText="1" shrinkToFit="1"/>
    </xf>
    <xf numFmtId="0" fontId="65" fillId="0" borderId="36" xfId="95" applyFont="1" applyBorder="1" applyAlignment="1">
      <alignment horizontal="center" vertical="top"/>
    </xf>
    <xf numFmtId="43" fontId="65" fillId="0" borderId="36" xfId="4" applyFont="1" applyFill="1" applyBorder="1" applyAlignment="1">
      <alignment horizontal="right" vertical="top"/>
    </xf>
    <xf numFmtId="4" fontId="66" fillId="0" borderId="36" xfId="4" applyNumberFormat="1" applyFont="1" applyFill="1" applyBorder="1" applyAlignment="1">
      <alignment horizontal="right" vertical="top"/>
    </xf>
    <xf numFmtId="0" fontId="65" fillId="0" borderId="36" xfId="95" applyFont="1" applyBorder="1" applyAlignment="1">
      <alignment vertical="top"/>
    </xf>
    <xf numFmtId="43" fontId="66" fillId="0" borderId="36" xfId="18" applyFont="1" applyFill="1" applyBorder="1" applyAlignment="1">
      <alignment horizontal="justify" vertical="center"/>
    </xf>
    <xf numFmtId="43" fontId="66" fillId="0" borderId="36" xfId="95" applyNumberFormat="1" applyFont="1" applyBorder="1" applyAlignment="1">
      <alignment vertical="center"/>
    </xf>
    <xf numFmtId="4" fontId="66" fillId="0" borderId="36" xfId="0" applyNumberFormat="1" applyFont="1" applyBorder="1" applyAlignment="1">
      <alignment horizontal="right" vertical="center" wrapText="1"/>
    </xf>
    <xf numFmtId="0" fontId="65" fillId="0" borderId="36" xfId="0" applyFont="1" applyBorder="1" applyAlignment="1">
      <alignment horizontal="left" vertical="top"/>
    </xf>
    <xf numFmtId="43" fontId="65" fillId="0" borderId="36" xfId="4" applyFont="1" applyFill="1" applyBorder="1" applyAlignment="1">
      <alignment horizontal="center" vertical="top"/>
    </xf>
    <xf numFmtId="0" fontId="65" fillId="0" borderId="36" xfId="0" applyFont="1" applyBorder="1" applyAlignment="1">
      <alignment horizontal="left" vertical="top" wrapText="1"/>
    </xf>
    <xf numFmtId="2" fontId="65" fillId="0" borderId="36" xfId="0" applyNumberFormat="1" applyFont="1" applyBorder="1" applyAlignment="1">
      <alignment vertical="center"/>
    </xf>
    <xf numFmtId="43" fontId="63" fillId="0" borderId="36" xfId="4" applyFont="1" applyFill="1" applyBorder="1" applyAlignment="1">
      <alignment vertical="center"/>
    </xf>
    <xf numFmtId="43" fontId="65" fillId="0" borderId="36" xfId="4" applyFont="1" applyFill="1" applyBorder="1" applyAlignment="1">
      <alignment horizontal="left" vertical="top"/>
    </xf>
    <xf numFmtId="43" fontId="66" fillId="0" borderId="36" xfId="4" applyFont="1" applyFill="1" applyBorder="1" applyAlignment="1">
      <alignment horizontal="left" vertical="top"/>
    </xf>
    <xf numFmtId="43" fontId="66" fillId="0" borderId="36" xfId="4" applyFont="1" applyFill="1" applyBorder="1" applyAlignment="1">
      <alignment horizontal="right" vertical="center" wrapText="1" shrinkToFit="1"/>
    </xf>
    <xf numFmtId="43" fontId="66" fillId="0" borderId="36" xfId="11" applyFont="1" applyFill="1" applyBorder="1" applyAlignment="1">
      <alignment horizontal="right" vertical="center" wrapText="1" shrinkToFit="1"/>
    </xf>
    <xf numFmtId="0" fontId="66" fillId="0" borderId="36" xfId="0" applyFont="1" applyBorder="1" applyAlignment="1">
      <alignment horizontal="left" vertical="center" wrapText="1" shrinkToFit="1"/>
    </xf>
    <xf numFmtId="0" fontId="66" fillId="7" borderId="0" xfId="95" applyFont="1" applyFill="1" applyAlignment="1">
      <alignment horizontal="left" vertical="center"/>
    </xf>
    <xf numFmtId="0" fontId="66" fillId="0" borderId="36" xfId="0" applyFont="1" applyBorder="1" applyAlignment="1">
      <alignment horizontal="center" vertical="center" wrapText="1"/>
    </xf>
    <xf numFmtId="43" fontId="66" fillId="0" borderId="36" xfId="4" applyFont="1" applyFill="1" applyBorder="1" applyAlignment="1">
      <alignment horizontal="center" vertical="center" wrapText="1"/>
    </xf>
    <xf numFmtId="0" fontId="66" fillId="0" borderId="36" xfId="0" applyFont="1" applyBorder="1" applyAlignment="1">
      <alignment vertical="top" wrapText="1"/>
    </xf>
    <xf numFmtId="0" fontId="66" fillId="0" borderId="36" xfId="0" applyFont="1" applyBorder="1" applyAlignment="1">
      <alignment horizontal="center" vertical="top"/>
    </xf>
    <xf numFmtId="43" fontId="66" fillId="0" borderId="36" xfId="4" applyFont="1" applyFill="1" applyBorder="1" applyAlignment="1">
      <alignment horizontal="right" vertical="top" wrapText="1" shrinkToFit="1"/>
    </xf>
    <xf numFmtId="0" fontId="62" fillId="0" borderId="36" xfId="95" applyFont="1" applyBorder="1" applyAlignment="1">
      <alignment vertical="top"/>
    </xf>
    <xf numFmtId="0" fontId="66" fillId="7" borderId="0" xfId="95" applyFont="1" applyFill="1" applyAlignment="1">
      <alignment horizontal="left" vertical="top"/>
    </xf>
    <xf numFmtId="0" fontId="62" fillId="0" borderId="36" xfId="0" applyFont="1" applyBorder="1" applyAlignment="1">
      <alignment vertical="center" wrapText="1"/>
    </xf>
    <xf numFmtId="0" fontId="62" fillId="0" borderId="36" xfId="0" applyFont="1" applyBorder="1" applyAlignment="1">
      <alignment horizontal="center" vertical="center" wrapText="1"/>
    </xf>
    <xf numFmtId="43" fontId="65" fillId="0" borderId="36" xfId="4" applyFont="1" applyFill="1" applyBorder="1" applyAlignment="1">
      <alignment horizontal="right" vertical="center" wrapText="1"/>
    </xf>
    <xf numFmtId="43" fontId="66" fillId="0" borderId="36" xfId="4" applyFont="1" applyFill="1" applyBorder="1" applyAlignment="1">
      <alignment horizontal="right" vertical="center" wrapText="1"/>
    </xf>
    <xf numFmtId="43" fontId="62" fillId="0" borderId="36" xfId="4" applyFont="1" applyFill="1" applyBorder="1" applyAlignment="1">
      <alignment horizontal="center" vertical="center" wrapText="1"/>
    </xf>
    <xf numFmtId="193" fontId="62" fillId="0" borderId="36" xfId="0" applyNumberFormat="1" applyFont="1" applyBorder="1" applyAlignment="1">
      <alignment horizontal="center" vertical="center" wrapText="1"/>
    </xf>
    <xf numFmtId="0" fontId="67" fillId="7" borderId="0" xfId="95" applyFont="1" applyFill="1" applyAlignment="1">
      <alignment horizontal="left" vertical="center"/>
    </xf>
    <xf numFmtId="0" fontId="65" fillId="0" borderId="36" xfId="0" applyFont="1" applyBorder="1" applyAlignment="1">
      <alignment horizontal="center" vertical="top" wrapText="1"/>
    </xf>
    <xf numFmtId="4" fontId="65" fillId="0" borderId="36" xfId="0" applyNumberFormat="1" applyFont="1" applyBorder="1" applyAlignment="1">
      <alignment horizontal="right" vertical="top" wrapText="1"/>
    </xf>
    <xf numFmtId="43" fontId="66" fillId="0" borderId="36" xfId="4" applyFont="1" applyFill="1" applyBorder="1" applyAlignment="1">
      <alignment horizontal="right" vertical="top"/>
    </xf>
    <xf numFmtId="43" fontId="65" fillId="0" borderId="36" xfId="18" applyFont="1" applyFill="1" applyBorder="1" applyAlignment="1">
      <alignment horizontal="right" vertical="center"/>
    </xf>
    <xf numFmtId="0" fontId="66" fillId="0" borderId="36" xfId="0" applyFont="1" applyBorder="1" applyAlignment="1">
      <alignment horizontal="left" vertical="top" wrapText="1"/>
    </xf>
    <xf numFmtId="43" fontId="66" fillId="0" borderId="36" xfId="4" applyFont="1" applyFill="1" applyBorder="1" applyAlignment="1">
      <alignment horizontal="center" vertical="top"/>
    </xf>
    <xf numFmtId="43" fontId="66" fillId="0" borderId="36" xfId="11" applyFont="1" applyFill="1" applyBorder="1" applyAlignment="1">
      <alignment horizontal="right" vertical="top" wrapText="1" shrinkToFit="1"/>
    </xf>
    <xf numFmtId="192" fontId="65" fillId="0" borderId="36" xfId="4" applyNumberFormat="1" applyFont="1" applyFill="1" applyBorder="1" applyAlignment="1">
      <alignment horizontal="center" vertical="center" wrapText="1"/>
    </xf>
    <xf numFmtId="0" fontId="65" fillId="0" borderId="37" xfId="95" applyFont="1" applyBorder="1" applyAlignment="1">
      <alignment vertical="center"/>
    </xf>
    <xf numFmtId="3" fontId="62" fillId="0" borderId="36" xfId="0" applyNumberFormat="1" applyFont="1" applyBorder="1" applyAlignment="1">
      <alignment horizontal="right" vertical="center" wrapText="1"/>
    </xf>
    <xf numFmtId="3" fontId="66" fillId="0" borderId="36" xfId="0" applyNumberFormat="1" applyFont="1" applyBorder="1" applyAlignment="1">
      <alignment horizontal="right" vertical="center" wrapText="1"/>
    </xf>
    <xf numFmtId="0" fontId="62" fillId="0" borderId="50" xfId="0" applyFont="1" applyBorder="1" applyAlignment="1">
      <alignment vertical="center" wrapText="1"/>
    </xf>
    <xf numFmtId="3" fontId="65" fillId="0" borderId="36" xfId="0" applyNumberFormat="1" applyFont="1" applyBorder="1" applyAlignment="1">
      <alignment vertical="center"/>
    </xf>
    <xf numFmtId="0" fontId="68" fillId="0" borderId="36" xfId="0" applyFont="1" applyBorder="1" applyAlignment="1">
      <alignment horizontal="center" vertical="center" wrapText="1"/>
    </xf>
    <xf numFmtId="3" fontId="64" fillId="0" borderId="36" xfId="0" applyNumberFormat="1" applyFont="1" applyBorder="1" applyAlignment="1">
      <alignment horizontal="right" vertical="center" wrapText="1"/>
    </xf>
    <xf numFmtId="0" fontId="62" fillId="0" borderId="0" xfId="0" applyFont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3" fontId="62" fillId="0" borderId="0" xfId="0" applyNumberFormat="1" applyFont="1" applyAlignment="1">
      <alignment horizontal="right" vertical="center" wrapText="1"/>
    </xf>
    <xf numFmtId="3" fontId="66" fillId="0" borderId="0" xfId="0" applyNumberFormat="1" applyFont="1" applyAlignment="1">
      <alignment horizontal="right" vertical="center" wrapText="1"/>
    </xf>
    <xf numFmtId="0" fontId="63" fillId="0" borderId="0" xfId="95" applyFont="1" applyAlignment="1">
      <alignment horizontal="center" vertical="center" wrapText="1"/>
    </xf>
    <xf numFmtId="0" fontId="62" fillId="0" borderId="50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2" fillId="0" borderId="0" xfId="95" applyFont="1" applyAlignment="1">
      <alignment horizontal="center" vertical="center"/>
    </xf>
    <xf numFmtId="3" fontId="65" fillId="0" borderId="0" xfId="0" applyNumberFormat="1" applyFont="1" applyAlignment="1">
      <alignment vertical="center"/>
    </xf>
    <xf numFmtId="4" fontId="63" fillId="0" borderId="0" xfId="0" applyNumberFormat="1" applyFont="1" applyAlignment="1">
      <alignment vertical="center"/>
    </xf>
    <xf numFmtId="0" fontId="63" fillId="0" borderId="4" xfId="95" applyFont="1" applyBorder="1" applyAlignment="1">
      <alignment horizontal="center" vertical="center"/>
    </xf>
    <xf numFmtId="0" fontId="63" fillId="0" borderId="36" xfId="95" applyFont="1" applyBorder="1" applyAlignment="1">
      <alignment horizontal="center" vertical="center"/>
    </xf>
    <xf numFmtId="4" fontId="69" fillId="0" borderId="36" xfId="0" applyNumberFormat="1" applyFont="1" applyBorder="1" applyAlignment="1">
      <alignment horizontal="right" vertical="center" wrapText="1"/>
    </xf>
    <xf numFmtId="0" fontId="69" fillId="0" borderId="36" xfId="0" applyFont="1" applyBorder="1" applyAlignment="1">
      <alignment vertical="center" wrapText="1"/>
    </xf>
    <xf numFmtId="192" fontId="70" fillId="0" borderId="36" xfId="4" applyNumberFormat="1" applyFont="1" applyFill="1" applyBorder="1" applyAlignment="1">
      <alignment horizontal="right" vertical="center" wrapText="1"/>
    </xf>
    <xf numFmtId="192" fontId="69" fillId="0" borderId="36" xfId="4" applyNumberFormat="1" applyFont="1" applyFill="1" applyBorder="1" applyAlignment="1">
      <alignment horizontal="right" vertical="center"/>
    </xf>
    <xf numFmtId="3" fontId="69" fillId="0" borderId="36" xfId="0" applyNumberFormat="1" applyFont="1" applyBorder="1" applyAlignment="1">
      <alignment horizontal="right" vertical="top"/>
    </xf>
    <xf numFmtId="0" fontId="62" fillId="0" borderId="0" xfId="95" applyFont="1" applyAlignment="1">
      <alignment horizontal="left" vertical="top"/>
    </xf>
    <xf numFmtId="3" fontId="69" fillId="0" borderId="36" xfId="0" applyNumberFormat="1" applyFont="1" applyBorder="1" applyAlignment="1">
      <alignment horizontal="right" vertical="center"/>
    </xf>
    <xf numFmtId="0" fontId="65" fillId="0" borderId="4" xfId="95" applyFont="1" applyBorder="1" applyAlignment="1">
      <alignment vertical="center"/>
    </xf>
    <xf numFmtId="0" fontId="65" fillId="0" borderId="4" xfId="95" applyFont="1" applyBorder="1" applyAlignment="1">
      <alignment horizontal="center" vertical="center"/>
    </xf>
    <xf numFmtId="0" fontId="65" fillId="0" borderId="4" xfId="95" applyFont="1" applyBorder="1" applyAlignment="1">
      <alignment horizontal="right" vertical="center"/>
    </xf>
    <xf numFmtId="43" fontId="64" fillId="0" borderId="4" xfId="95" applyNumberFormat="1" applyFont="1" applyBorder="1" applyAlignment="1">
      <alignment horizontal="right" vertical="center"/>
    </xf>
    <xf numFmtId="43" fontId="65" fillId="0" borderId="4" xfId="95" applyNumberFormat="1" applyFont="1" applyBorder="1" applyAlignment="1">
      <alignment vertical="center"/>
    </xf>
    <xf numFmtId="0" fontId="63" fillId="0" borderId="4" xfId="95" applyFont="1" applyBorder="1" applyAlignment="1">
      <alignment horizontal="center" vertical="center" wrapText="1"/>
    </xf>
    <xf numFmtId="0" fontId="64" fillId="0" borderId="4" xfId="95" applyFont="1" applyBorder="1" applyAlignment="1">
      <alignment horizontal="center" vertical="center" wrapText="1"/>
    </xf>
    <xf numFmtId="0" fontId="62" fillId="0" borderId="36" xfId="0" applyFont="1" applyBorder="1" applyAlignment="1">
      <alignment horizontal="left" vertical="center"/>
    </xf>
    <xf numFmtId="0" fontId="62" fillId="0" borderId="36" xfId="0" applyFont="1" applyBorder="1" applyAlignment="1">
      <alignment horizontal="center" vertical="center"/>
    </xf>
    <xf numFmtId="4" fontId="65" fillId="0" borderId="36" xfId="0" applyNumberFormat="1" applyFont="1" applyBorder="1" applyAlignment="1">
      <alignment horizontal="right" vertical="center"/>
    </xf>
    <xf numFmtId="4" fontId="66" fillId="0" borderId="36" xfId="0" applyNumberFormat="1" applyFont="1" applyBorder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65" fillId="28" borderId="36" xfId="0" applyFont="1" applyFill="1" applyBorder="1" applyAlignment="1">
      <alignment horizontal="center" vertical="center"/>
    </xf>
    <xf numFmtId="0" fontId="62" fillId="28" borderId="36" xfId="0" applyFont="1" applyFill="1" applyBorder="1" applyAlignment="1">
      <alignment horizontal="left" vertical="center"/>
    </xf>
    <xf numFmtId="0" fontId="62" fillId="28" borderId="36" xfId="0" applyFont="1" applyFill="1" applyBorder="1" applyAlignment="1">
      <alignment horizontal="center" vertical="center"/>
    </xf>
    <xf numFmtId="4" fontId="62" fillId="28" borderId="36" xfId="0" applyNumberFormat="1" applyFont="1" applyFill="1" applyBorder="1" applyAlignment="1">
      <alignment horizontal="right" vertical="center"/>
    </xf>
    <xf numFmtId="4" fontId="66" fillId="28" borderId="36" xfId="0" applyNumberFormat="1" applyFont="1" applyFill="1" applyBorder="1" applyAlignment="1">
      <alignment horizontal="left" vertical="center"/>
    </xf>
    <xf numFmtId="192" fontId="62" fillId="0" borderId="0" xfId="4" applyNumberFormat="1" applyFont="1" applyAlignment="1">
      <alignment horizontal="left" vertical="center"/>
    </xf>
    <xf numFmtId="4" fontId="62" fillId="0" borderId="36" xfId="0" applyNumberFormat="1" applyFont="1" applyBorder="1" applyAlignment="1">
      <alignment horizontal="right" vertical="center"/>
    </xf>
    <xf numFmtId="43" fontId="62" fillId="0" borderId="0" xfId="4" applyFont="1" applyAlignment="1">
      <alignment horizontal="left" vertical="center"/>
    </xf>
    <xf numFmtId="0" fontId="62" fillId="0" borderId="36" xfId="0" applyFont="1" applyBorder="1" applyAlignment="1">
      <alignment horizontal="left" vertical="top"/>
    </xf>
    <xf numFmtId="0" fontId="62" fillId="0" borderId="36" xfId="0" applyFont="1" applyBorder="1" applyAlignment="1">
      <alignment horizontal="center" vertical="top"/>
    </xf>
    <xf numFmtId="4" fontId="62" fillId="0" borderId="36" xfId="0" applyNumberFormat="1" applyFont="1" applyBorder="1" applyAlignment="1">
      <alignment horizontal="right" vertical="top"/>
    </xf>
    <xf numFmtId="4" fontId="66" fillId="0" borderId="36" xfId="0" applyNumberFormat="1" applyFont="1" applyBorder="1" applyAlignment="1">
      <alignment horizontal="left" vertical="top"/>
    </xf>
    <xf numFmtId="0" fontId="62" fillId="0" borderId="3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62" fillId="0" borderId="36" xfId="0" applyFont="1" applyBorder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4" fontId="66" fillId="0" borderId="36" xfId="0" applyNumberFormat="1" applyFont="1" applyBorder="1" applyAlignment="1">
      <alignment horizontal="right" vertical="top"/>
    </xf>
    <xf numFmtId="0" fontId="65" fillId="0" borderId="36" xfId="95" applyFont="1" applyBorder="1" applyAlignment="1">
      <alignment horizontal="right" vertical="center"/>
    </xf>
    <xf numFmtId="4" fontId="64" fillId="0" borderId="36" xfId="95" applyNumberFormat="1" applyFont="1" applyBorder="1" applyAlignment="1">
      <alignment horizontal="right" vertical="center"/>
    </xf>
    <xf numFmtId="0" fontId="63" fillId="0" borderId="0" xfId="95" applyFont="1" applyAlignment="1">
      <alignment horizontal="center" vertical="center"/>
    </xf>
    <xf numFmtId="0" fontId="65" fillId="0" borderId="0" xfId="95" applyFont="1" applyAlignment="1">
      <alignment horizontal="center" vertical="center"/>
    </xf>
    <xf numFmtId="0" fontId="65" fillId="0" borderId="0" xfId="95" applyFont="1" applyAlignment="1">
      <alignment horizontal="right" vertical="center"/>
    </xf>
    <xf numFmtId="4" fontId="64" fillId="0" borderId="0" xfId="95" applyNumberFormat="1" applyFont="1" applyAlignment="1">
      <alignment horizontal="right" vertical="center"/>
    </xf>
    <xf numFmtId="4" fontId="62" fillId="0" borderId="36" xfId="0" applyNumberFormat="1" applyFont="1" applyBorder="1" applyAlignment="1">
      <alignment horizontal="center" vertical="center" wrapText="1"/>
    </xf>
    <xf numFmtId="43" fontId="64" fillId="0" borderId="36" xfId="95" applyNumberFormat="1" applyFont="1" applyBorder="1" applyAlignment="1">
      <alignment horizontal="right" vertical="center"/>
    </xf>
    <xf numFmtId="0" fontId="66" fillId="0" borderId="36" xfId="95" applyFont="1" applyBorder="1" applyAlignment="1">
      <alignment horizontal="justify" vertical="center"/>
    </xf>
    <xf numFmtId="43" fontId="66" fillId="0" borderId="36" xfId="18" applyFont="1" applyFill="1" applyBorder="1" applyAlignment="1">
      <alignment vertical="center"/>
    </xf>
    <xf numFmtId="0" fontId="71" fillId="0" borderId="36" xfId="0" applyFont="1" applyBorder="1" applyAlignment="1">
      <alignment vertical="center"/>
    </xf>
    <xf numFmtId="2" fontId="66" fillId="0" borderId="36" xfId="0" applyNumberFormat="1" applyFont="1" applyBorder="1" applyAlignment="1">
      <alignment vertical="center"/>
    </xf>
    <xf numFmtId="43" fontId="66" fillId="0" borderId="36" xfId="0" applyNumberFormat="1" applyFont="1" applyBorder="1" applyAlignment="1">
      <alignment vertical="center"/>
    </xf>
    <xf numFmtId="0" fontId="66" fillId="0" borderId="36" xfId="0" applyFont="1" applyBorder="1" applyAlignment="1">
      <alignment horizontal="left" vertical="center" wrapText="1"/>
    </xf>
    <xf numFmtId="0" fontId="62" fillId="0" borderId="36" xfId="0" applyFont="1" applyBorder="1" applyAlignment="1">
      <alignment vertical="top" wrapText="1"/>
    </xf>
    <xf numFmtId="0" fontId="62" fillId="0" borderId="36" xfId="0" applyFont="1" applyBorder="1" applyAlignment="1">
      <alignment horizontal="center" vertical="top" wrapText="1"/>
    </xf>
    <xf numFmtId="43" fontId="62" fillId="0" borderId="36" xfId="4" applyFont="1" applyFill="1" applyBorder="1" applyAlignment="1">
      <alignment horizontal="center" vertical="top" wrapText="1"/>
    </xf>
    <xf numFmtId="0" fontId="66" fillId="0" borderId="36" xfId="0" applyFont="1" applyBorder="1" applyAlignment="1">
      <alignment horizontal="center" vertical="top" wrapText="1"/>
    </xf>
    <xf numFmtId="3" fontId="66" fillId="0" borderId="36" xfId="0" applyNumberFormat="1" applyFont="1" applyBorder="1" applyAlignment="1">
      <alignment horizontal="right" vertical="top" wrapText="1"/>
    </xf>
    <xf numFmtId="43" fontId="64" fillId="0" borderId="0" xfId="4" applyFont="1" applyFill="1" applyBorder="1" applyAlignment="1">
      <alignment horizontal="right" vertical="center"/>
    </xf>
    <xf numFmtId="0" fontId="62" fillId="0" borderId="4" xfId="95" applyFont="1" applyBorder="1" applyAlignment="1">
      <alignment vertical="center"/>
    </xf>
    <xf numFmtId="0" fontId="66" fillId="0" borderId="0" xfId="95" applyFont="1" applyAlignment="1">
      <alignment horizontal="right" vertical="center"/>
    </xf>
    <xf numFmtId="0" fontId="62" fillId="0" borderId="0" xfId="95" applyFont="1" applyAlignment="1">
      <alignment horizontal="right" vertical="center"/>
    </xf>
    <xf numFmtId="0" fontId="6" fillId="0" borderId="0" xfId="17" applyFont="1" applyAlignment="1">
      <alignment horizontal="right" vertical="top"/>
    </xf>
    <xf numFmtId="43" fontId="6" fillId="0" borderId="0" xfId="4" applyFont="1" applyAlignment="1">
      <alignment horizontal="right" vertical="top"/>
    </xf>
    <xf numFmtId="0" fontId="45" fillId="0" borderId="0" xfId="0" applyFont="1"/>
    <xf numFmtId="0" fontId="19" fillId="0" borderId="16" xfId="0" applyFont="1" applyBorder="1" applyAlignment="1">
      <alignment horizontal="center"/>
    </xf>
    <xf numFmtId="0" fontId="19" fillId="0" borderId="0" xfId="0" applyFont="1" applyAlignment="1">
      <alignment horizontal="center"/>
    </xf>
    <xf numFmtId="43" fontId="45" fillId="0" borderId="0" xfId="4" applyFont="1" applyFill="1"/>
    <xf numFmtId="43" fontId="19" fillId="0" borderId="4" xfId="4" applyFont="1" applyFill="1" applyBorder="1" applyAlignment="1">
      <alignment horizontal="center" vertical="center" wrapText="1" shrinkToFit="1"/>
    </xf>
    <xf numFmtId="43" fontId="45" fillId="0" borderId="0" xfId="0" applyNumberFormat="1" applyFont="1" applyAlignment="1">
      <alignment vertical="center"/>
    </xf>
    <xf numFmtId="43" fontId="45" fillId="0" borderId="20" xfId="11" applyFont="1" applyFill="1" applyBorder="1" applyAlignment="1">
      <alignment vertical="center"/>
    </xf>
    <xf numFmtId="43" fontId="45" fillId="0" borderId="20" xfId="4" applyFont="1" applyFill="1" applyBorder="1" applyAlignment="1">
      <alignment vertical="center"/>
    </xf>
    <xf numFmtId="0" fontId="45" fillId="0" borderId="0" xfId="0" applyFont="1" applyAlignment="1">
      <alignment vertical="center"/>
    </xf>
    <xf numFmtId="43" fontId="45" fillId="0" borderId="21" xfId="4" applyFont="1" applyFill="1" applyBorder="1" applyAlignment="1">
      <alignment horizontal="center" vertical="center"/>
    </xf>
    <xf numFmtId="43" fontId="45" fillId="0" borderId="21" xfId="4" applyFont="1" applyFill="1" applyBorder="1" applyAlignment="1">
      <alignment vertical="center"/>
    </xf>
    <xf numFmtId="43" fontId="45" fillId="0" borderId="21" xfId="0" applyNumberFormat="1" applyFont="1" applyBorder="1" applyAlignment="1">
      <alignment vertical="center"/>
    </xf>
    <xf numFmtId="0" fontId="45" fillId="0" borderId="21" xfId="0" applyFont="1" applyBorder="1" applyAlignment="1">
      <alignment horizontal="left" vertical="center" shrinkToFit="1"/>
    </xf>
    <xf numFmtId="43" fontId="45" fillId="0" borderId="21" xfId="11" applyFont="1" applyFill="1" applyBorder="1" applyAlignment="1">
      <alignment vertical="center"/>
    </xf>
    <xf numFmtId="189" fontId="45" fillId="0" borderId="21" xfId="4" applyNumberFormat="1" applyFont="1" applyFill="1" applyBorder="1" applyAlignment="1">
      <alignment vertical="center"/>
    </xf>
    <xf numFmtId="2" fontId="45" fillId="0" borderId="21" xfId="4" applyNumberFormat="1" applyFont="1" applyFill="1" applyBorder="1" applyAlignment="1">
      <alignment vertical="center"/>
    </xf>
    <xf numFmtId="43" fontId="45" fillId="0" borderId="23" xfId="0" applyNumberFormat="1" applyFont="1" applyBorder="1" applyAlignment="1">
      <alignment vertical="center"/>
    </xf>
    <xf numFmtId="43" fontId="19" fillId="0" borderId="36" xfId="0" applyNumberFormat="1" applyFont="1" applyBorder="1" applyAlignment="1">
      <alignment vertical="center" shrinkToFit="1"/>
    </xf>
    <xf numFmtId="0" fontId="45" fillId="0" borderId="0" xfId="0" applyFont="1" applyAlignment="1">
      <alignment vertical="center" shrinkToFit="1"/>
    </xf>
    <xf numFmtId="0" fontId="19" fillId="0" borderId="37" xfId="0" applyFont="1" applyBorder="1" applyAlignment="1">
      <alignment horizontal="center" vertical="center" shrinkToFit="1"/>
    </xf>
    <xf numFmtId="43" fontId="19" fillId="0" borderId="37" xfId="0" applyNumberFormat="1" applyFont="1" applyBorder="1" applyAlignment="1">
      <alignment horizontal="center" vertical="center" shrinkToFit="1"/>
    </xf>
    <xf numFmtId="43" fontId="19" fillId="0" borderId="37" xfId="4" applyFont="1" applyFill="1" applyBorder="1" applyAlignment="1">
      <alignment vertical="center" shrinkToFit="1"/>
    </xf>
    <xf numFmtId="43" fontId="19" fillId="0" borderId="36" xfId="4" applyFont="1" applyFill="1" applyBorder="1" applyAlignment="1">
      <alignment vertical="center" shrinkToFit="1"/>
    </xf>
    <xf numFmtId="43" fontId="19" fillId="30" borderId="37" xfId="0" applyNumberFormat="1" applyFont="1" applyFill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43" fontId="19" fillId="0" borderId="0" xfId="0" applyNumberFormat="1" applyFont="1" applyAlignment="1">
      <alignment horizontal="center" vertical="center" shrinkToFit="1"/>
    </xf>
    <xf numFmtId="43" fontId="19" fillId="0" borderId="0" xfId="4" applyFont="1" applyFill="1" applyBorder="1" applyAlignment="1">
      <alignment vertical="center" shrinkToFit="1"/>
    </xf>
    <xf numFmtId="43" fontId="45" fillId="0" borderId="0" xfId="0" applyNumberFormat="1" applyFont="1" applyAlignment="1">
      <alignment vertical="center" shrinkToFit="1"/>
    </xf>
    <xf numFmtId="43" fontId="19" fillId="0" borderId="0" xfId="4" applyFont="1" applyFill="1" applyBorder="1" applyAlignment="1">
      <alignment shrinkToFit="1"/>
    </xf>
    <xf numFmtId="0" fontId="19" fillId="0" borderId="0" xfId="0" applyFont="1" applyAlignment="1">
      <alignment horizontal="right"/>
    </xf>
    <xf numFmtId="43" fontId="19" fillId="0" borderId="0" xfId="0" applyNumberFormat="1" applyFont="1"/>
    <xf numFmtId="0" fontId="45" fillId="0" borderId="0" xfId="4" applyNumberFormat="1" applyFont="1" applyFill="1"/>
    <xf numFmtId="0" fontId="45" fillId="0" borderId="0" xfId="4" applyNumberFormat="1" applyFont="1" applyFill="1" applyAlignment="1">
      <alignment horizontal="right"/>
    </xf>
    <xf numFmtId="0" fontId="45" fillId="0" borderId="0" xfId="0" applyFont="1" applyAlignment="1">
      <alignment horizontal="left"/>
    </xf>
    <xf numFmtId="43" fontId="45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left" vertical="center" shrinkToFit="1"/>
    </xf>
    <xf numFmtId="43" fontId="45" fillId="0" borderId="0" xfId="4" applyFont="1" applyAlignment="1">
      <alignment vertical="center" shrinkToFit="1"/>
    </xf>
    <xf numFmtId="43" fontId="45" fillId="0" borderId="24" xfId="4" applyFont="1" applyFill="1" applyBorder="1" applyAlignment="1">
      <alignment vertical="center"/>
    </xf>
    <xf numFmtId="43" fontId="45" fillId="0" borderId="21" xfId="4" applyFont="1" applyFill="1" applyBorder="1" applyAlignment="1">
      <alignment horizontal="left" vertical="center"/>
    </xf>
    <xf numFmtId="43" fontId="49" fillId="0" borderId="21" xfId="4" applyFont="1" applyFill="1" applyBorder="1" applyAlignment="1">
      <alignment vertical="center"/>
    </xf>
    <xf numFmtId="0" fontId="45" fillId="0" borderId="21" xfId="0" applyFont="1" applyBorder="1" applyAlignment="1">
      <alignment horizontal="left" vertical="center"/>
    </xf>
    <xf numFmtId="4" fontId="45" fillId="0" borderId="21" xfId="0" applyNumberFormat="1" applyFont="1" applyBorder="1" applyAlignment="1">
      <alignment horizontal="right" vertical="center"/>
    </xf>
    <xf numFmtId="189" fontId="45" fillId="0" borderId="21" xfId="12" applyNumberFormat="1" applyFont="1" applyBorder="1" applyAlignment="1">
      <alignment vertical="center"/>
    </xf>
    <xf numFmtId="189" fontId="45" fillId="0" borderId="21" xfId="0" applyNumberFormat="1" applyFont="1" applyBorder="1" applyAlignment="1">
      <alignment vertical="center"/>
    </xf>
    <xf numFmtId="189" fontId="45" fillId="0" borderId="21" xfId="0" applyNumberFormat="1" applyFont="1" applyBorder="1" applyAlignment="1">
      <alignment horizontal="right" vertical="center"/>
    </xf>
    <xf numFmtId="189" fontId="45" fillId="0" borderId="23" xfId="12" applyNumberFormat="1" applyFont="1" applyBorder="1" applyAlignment="1">
      <alignment vertical="center"/>
    </xf>
    <xf numFmtId="189" fontId="45" fillId="0" borderId="23" xfId="0" applyNumberFormat="1" applyFont="1" applyBorder="1" applyAlignment="1">
      <alignment horizontal="right" vertical="center"/>
    </xf>
    <xf numFmtId="0" fontId="19" fillId="0" borderId="36" xfId="0" applyFont="1" applyBorder="1" applyAlignment="1">
      <alignment horizontal="center" vertical="center" shrinkToFit="1"/>
    </xf>
    <xf numFmtId="43" fontId="19" fillId="0" borderId="36" xfId="0" applyNumberFormat="1" applyFont="1" applyBorder="1" applyAlignment="1">
      <alignment horizontal="center" vertical="center" shrinkToFit="1"/>
    </xf>
    <xf numFmtId="43" fontId="19" fillId="0" borderId="4" xfId="0" applyNumberFormat="1" applyFont="1" applyBorder="1" applyAlignment="1">
      <alignment vertical="center"/>
    </xf>
    <xf numFmtId="43" fontId="45" fillId="0" borderId="0" xfId="4" applyFont="1" applyFill="1" applyAlignment="1">
      <alignment vertical="center" shrinkToFit="1"/>
    </xf>
    <xf numFmtId="43" fontId="45" fillId="0" borderId="0" xfId="0" applyNumberFormat="1" applyFont="1"/>
    <xf numFmtId="0" fontId="19" fillId="0" borderId="0" xfId="0" applyFont="1" applyAlignment="1">
      <alignment vertical="top" wrapText="1"/>
    </xf>
    <xf numFmtId="0" fontId="45" fillId="0" borderId="0" xfId="0" applyFont="1" applyAlignment="1">
      <alignment vertical="top"/>
    </xf>
    <xf numFmtId="43" fontId="45" fillId="0" borderId="0" xfId="0" applyNumberFormat="1" applyFont="1" applyAlignment="1">
      <alignment vertical="top"/>
    </xf>
    <xf numFmtId="43" fontId="45" fillId="7" borderId="0" xfId="0" applyNumberFormat="1" applyFont="1" applyFill="1" applyAlignment="1">
      <alignment vertical="top"/>
    </xf>
    <xf numFmtId="4" fontId="45" fillId="0" borderId="0" xfId="0" applyNumberFormat="1" applyFont="1"/>
    <xf numFmtId="0" fontId="74" fillId="0" borderId="0" xfId="9" applyFont="1" applyAlignment="1">
      <alignment horizontal="center" vertical="center" shrinkToFit="1"/>
    </xf>
    <xf numFmtId="0" fontId="75" fillId="0" borderId="0" xfId="9" applyFont="1" applyAlignment="1">
      <alignment vertical="center" shrinkToFit="1"/>
    </xf>
    <xf numFmtId="0" fontId="74" fillId="0" borderId="0" xfId="9" applyFont="1" applyAlignment="1">
      <alignment horizontal="left" vertical="center" shrinkToFit="1"/>
    </xf>
    <xf numFmtId="0" fontId="74" fillId="26" borderId="36" xfId="9" applyFont="1" applyFill="1" applyBorder="1" applyAlignment="1">
      <alignment horizontal="center" vertical="center" wrapText="1" shrinkToFit="1"/>
    </xf>
    <xf numFmtId="49" fontId="74" fillId="0" borderId="5" xfId="9" applyNumberFormat="1" applyFont="1" applyBorder="1" applyAlignment="1">
      <alignment horizontal="right" vertical="center" shrinkToFit="1"/>
    </xf>
    <xf numFmtId="43" fontId="74" fillId="0" borderId="5" xfId="4" applyFont="1" applyFill="1" applyBorder="1" applyAlignment="1">
      <alignment horizontal="center" vertical="center" shrinkToFit="1"/>
    </xf>
    <xf numFmtId="43" fontId="74" fillId="0" borderId="5" xfId="4" applyFont="1" applyFill="1" applyBorder="1" applyAlignment="1">
      <alignment vertical="center"/>
    </xf>
    <xf numFmtId="43" fontId="74" fillId="0" borderId="36" xfId="4" applyFont="1" applyFill="1" applyBorder="1" applyAlignment="1">
      <alignment vertical="center"/>
    </xf>
    <xf numFmtId="43" fontId="74" fillId="0" borderId="0" xfId="4" applyFont="1" applyFill="1" applyBorder="1" applyAlignment="1">
      <alignment horizontal="left" vertical="center"/>
    </xf>
    <xf numFmtId="43" fontId="74" fillId="0" borderId="40" xfId="4" applyFont="1" applyFill="1" applyBorder="1" applyAlignment="1">
      <alignment vertical="center"/>
    </xf>
    <xf numFmtId="190" fontId="74" fillId="0" borderId="0" xfId="9" applyNumberFormat="1" applyFont="1" applyAlignment="1">
      <alignment vertical="center" wrapText="1" shrinkToFit="1"/>
    </xf>
    <xf numFmtId="0" fontId="74" fillId="0" borderId="0" xfId="9" applyFont="1" applyAlignment="1">
      <alignment vertical="center" shrinkToFit="1"/>
    </xf>
    <xf numFmtId="0" fontId="74" fillId="0" borderId="5" xfId="9" applyFont="1" applyBorder="1" applyAlignment="1">
      <alignment vertical="center" shrinkToFit="1"/>
    </xf>
    <xf numFmtId="0" fontId="75" fillId="0" borderId="5" xfId="9" applyFont="1" applyBorder="1" applyAlignment="1">
      <alignment horizontal="center" vertical="center" shrinkToFit="1"/>
    </xf>
    <xf numFmtId="43" fontId="74" fillId="0" borderId="5" xfId="13" applyFont="1" applyFill="1" applyBorder="1" applyAlignment="1">
      <alignment horizontal="center" vertical="center" shrinkToFit="1"/>
    </xf>
    <xf numFmtId="43" fontId="75" fillId="0" borderId="5" xfId="4" applyFont="1" applyFill="1" applyBorder="1" applyAlignment="1">
      <alignment horizontal="center" vertical="center" shrinkToFit="1"/>
    </xf>
    <xf numFmtId="43" fontId="74" fillId="26" borderId="5" xfId="4" applyFont="1" applyFill="1" applyBorder="1" applyAlignment="1">
      <alignment horizontal="center" vertical="center" shrinkToFit="1"/>
    </xf>
    <xf numFmtId="43" fontId="74" fillId="26" borderId="36" xfId="4" applyFont="1" applyFill="1" applyBorder="1" applyAlignment="1">
      <alignment horizontal="center" vertical="center" shrinkToFit="1"/>
    </xf>
    <xf numFmtId="43" fontId="74" fillId="0" borderId="36" xfId="4" applyFont="1" applyFill="1" applyBorder="1" applyAlignment="1">
      <alignment horizontal="center" vertical="center" shrinkToFit="1"/>
    </xf>
    <xf numFmtId="43" fontId="74" fillId="0" borderId="40" xfId="4" applyFont="1" applyFill="1" applyBorder="1" applyAlignment="1">
      <alignment horizontal="center" vertical="center" shrinkToFit="1"/>
    </xf>
    <xf numFmtId="49" fontId="75" fillId="0" borderId="24" xfId="9" applyNumberFormat="1" applyFont="1" applyBorder="1" applyAlignment="1">
      <alignment horizontal="right" vertical="center" shrinkToFit="1"/>
    </xf>
    <xf numFmtId="0" fontId="75" fillId="0" borderId="20" xfId="9" applyFont="1" applyBorder="1" applyAlignment="1">
      <alignment vertical="center" shrinkToFit="1"/>
    </xf>
    <xf numFmtId="0" fontId="75" fillId="0" borderId="20" xfId="9" applyFont="1" applyBorder="1" applyAlignment="1">
      <alignment horizontal="center" vertical="center" shrinkToFit="1"/>
    </xf>
    <xf numFmtId="43" fontId="75" fillId="0" borderId="24" xfId="4" applyFont="1" applyFill="1" applyBorder="1" applyAlignment="1">
      <alignment horizontal="center" vertical="center" shrinkToFit="1"/>
    </xf>
    <xf numFmtId="43" fontId="75" fillId="0" borderId="20" xfId="13" applyFont="1" applyFill="1" applyBorder="1" applyAlignment="1">
      <alignment horizontal="center" vertical="center" shrinkToFit="1"/>
    </xf>
    <xf numFmtId="43" fontId="75" fillId="0" borderId="20" xfId="4" applyFont="1" applyFill="1" applyBorder="1" applyAlignment="1">
      <alignment horizontal="center" vertical="center" shrinkToFit="1"/>
    </xf>
    <xf numFmtId="43" fontId="74" fillId="0" borderId="20" xfId="4" applyFont="1" applyFill="1" applyBorder="1" applyAlignment="1">
      <alignment horizontal="center" vertical="center" shrinkToFit="1"/>
    </xf>
    <xf numFmtId="43" fontId="74" fillId="0" borderId="20" xfId="4" applyFont="1" applyFill="1" applyBorder="1" applyAlignment="1">
      <alignment vertical="center"/>
    </xf>
    <xf numFmtId="43" fontId="75" fillId="26" borderId="20" xfId="4" applyFont="1" applyFill="1" applyBorder="1" applyAlignment="1">
      <alignment horizontal="center" vertical="center" shrinkToFit="1"/>
    </xf>
    <xf numFmtId="189" fontId="75" fillId="0" borderId="53" xfId="4" applyNumberFormat="1" applyFont="1" applyFill="1" applyBorder="1" applyAlignment="1">
      <alignment horizontal="right" vertical="center" shrinkToFit="1"/>
    </xf>
    <xf numFmtId="43" fontId="75" fillId="0" borderId="53" xfId="4" applyFont="1" applyFill="1" applyBorder="1" applyAlignment="1">
      <alignment horizontal="center" vertical="center" shrinkToFit="1"/>
    </xf>
    <xf numFmtId="43" fontId="74" fillId="0" borderId="53" xfId="4" applyFont="1" applyFill="1" applyBorder="1" applyAlignment="1">
      <alignment horizontal="center" vertical="center" shrinkToFit="1"/>
    </xf>
    <xf numFmtId="49" fontId="75" fillId="0" borderId="21" xfId="9" applyNumberFormat="1" applyFont="1" applyBorder="1" applyAlignment="1">
      <alignment horizontal="right" vertical="center" shrinkToFit="1"/>
    </xf>
    <xf numFmtId="0" fontId="75" fillId="0" borderId="21" xfId="9" applyFont="1" applyBorder="1" applyAlignment="1">
      <alignment vertical="center" shrinkToFit="1"/>
    </xf>
    <xf numFmtId="0" fontId="75" fillId="0" borderId="21" xfId="9" applyFont="1" applyBorder="1" applyAlignment="1">
      <alignment horizontal="center" vertical="center" shrinkToFit="1"/>
    </xf>
    <xf numFmtId="43" fontId="75" fillId="0" borderId="21" xfId="4" applyFont="1" applyFill="1" applyBorder="1" applyAlignment="1">
      <alignment horizontal="center" vertical="center" shrinkToFit="1"/>
    </xf>
    <xf numFmtId="43" fontId="75" fillId="0" borderId="21" xfId="13" applyFont="1" applyFill="1" applyBorder="1" applyAlignment="1">
      <alignment horizontal="center" vertical="center" shrinkToFit="1"/>
    </xf>
    <xf numFmtId="43" fontId="74" fillId="0" borderId="21" xfId="4" applyFont="1" applyFill="1" applyBorder="1" applyAlignment="1">
      <alignment horizontal="center" vertical="center" shrinkToFit="1"/>
    </xf>
    <xf numFmtId="43" fontId="74" fillId="0" borderId="21" xfId="4" applyFont="1" applyFill="1" applyBorder="1" applyAlignment="1">
      <alignment vertical="center"/>
    </xf>
    <xf numFmtId="43" fontId="75" fillId="26" borderId="21" xfId="4" applyFont="1" applyFill="1" applyBorder="1" applyAlignment="1">
      <alignment horizontal="center" vertical="center" shrinkToFit="1"/>
    </xf>
    <xf numFmtId="189" fontId="75" fillId="0" borderId="51" xfId="4" applyNumberFormat="1" applyFont="1" applyFill="1" applyBorder="1" applyAlignment="1">
      <alignment horizontal="right" vertical="center" shrinkToFit="1"/>
    </xf>
    <xf numFmtId="43" fontId="75" fillId="0" borderId="51" xfId="4" applyFont="1" applyFill="1" applyBorder="1" applyAlignment="1">
      <alignment horizontal="center" vertical="center" shrinkToFit="1"/>
    </xf>
    <xf numFmtId="43" fontId="74" fillId="0" borderId="51" xfId="4" applyFont="1" applyFill="1" applyBorder="1" applyAlignment="1">
      <alignment horizontal="center" vertical="center" shrinkToFit="1"/>
    </xf>
    <xf numFmtId="190" fontId="75" fillId="0" borderId="0" xfId="9" applyNumberFormat="1" applyFont="1" applyAlignment="1">
      <alignment horizontal="left" vertical="center" shrinkToFit="1"/>
    </xf>
    <xf numFmtId="0" fontId="75" fillId="0" borderId="21" xfId="9" applyFont="1" applyBorder="1" applyAlignment="1">
      <alignment vertical="center" wrapText="1" shrinkToFit="1"/>
    </xf>
    <xf numFmtId="189" fontId="75" fillId="0" borderId="21" xfId="4" applyNumberFormat="1" applyFont="1" applyFill="1" applyBorder="1" applyAlignment="1">
      <alignment horizontal="right" vertical="center" shrinkToFit="1"/>
    </xf>
    <xf numFmtId="190" fontId="75" fillId="0" borderId="51" xfId="9" applyNumberFormat="1" applyFont="1" applyBorder="1" applyAlignment="1">
      <alignment vertical="center" shrinkToFit="1"/>
    </xf>
    <xf numFmtId="41" fontId="75" fillId="0" borderId="21" xfId="9" applyNumberFormat="1" applyFont="1" applyBorder="1" applyAlignment="1">
      <alignment vertical="center" shrinkToFit="1"/>
    </xf>
    <xf numFmtId="189" fontId="75" fillId="0" borderId="21" xfId="4" applyNumberFormat="1" applyFont="1" applyFill="1" applyBorder="1" applyAlignment="1">
      <alignment horizontal="center" vertical="center" shrinkToFit="1"/>
    </xf>
    <xf numFmtId="49" fontId="75" fillId="0" borderId="11" xfId="9" applyNumberFormat="1" applyFont="1" applyBorder="1" applyAlignment="1">
      <alignment horizontal="right" vertical="center" shrinkToFit="1"/>
    </xf>
    <xf numFmtId="0" fontId="75" fillId="0" borderId="23" xfId="9" applyFont="1" applyBorder="1" applyAlignment="1">
      <alignment vertical="center" shrinkToFit="1"/>
    </xf>
    <xf numFmtId="0" fontId="75" fillId="0" borderId="23" xfId="9" applyFont="1" applyBorder="1" applyAlignment="1">
      <alignment horizontal="center" vertical="center" shrinkToFit="1"/>
    </xf>
    <xf numFmtId="43" fontId="75" fillId="0" borderId="23" xfId="4" applyFont="1" applyFill="1" applyBorder="1" applyAlignment="1">
      <alignment horizontal="center" vertical="center" shrinkToFit="1"/>
    </xf>
    <xf numFmtId="41" fontId="75" fillId="0" borderId="23" xfId="9" applyNumberFormat="1" applyFont="1" applyBorder="1" applyAlignment="1">
      <alignment vertical="center" shrinkToFit="1"/>
    </xf>
    <xf numFmtId="43" fontId="75" fillId="0" borderId="23" xfId="13" applyFont="1" applyFill="1" applyBorder="1" applyAlignment="1">
      <alignment horizontal="center" vertical="center" shrinkToFit="1"/>
    </xf>
    <xf numFmtId="43" fontId="74" fillId="0" borderId="23" xfId="4" applyFont="1" applyFill="1" applyBorder="1" applyAlignment="1">
      <alignment horizontal="center" vertical="center" shrinkToFit="1"/>
    </xf>
    <xf numFmtId="43" fontId="74" fillId="0" borderId="23" xfId="4" applyFont="1" applyFill="1" applyBorder="1" applyAlignment="1">
      <alignment vertical="center"/>
    </xf>
    <xf numFmtId="43" fontId="75" fillId="26" borderId="23" xfId="4" applyFont="1" applyFill="1" applyBorder="1" applyAlignment="1">
      <alignment horizontal="center" vertical="center" shrinkToFit="1"/>
    </xf>
    <xf numFmtId="43" fontId="75" fillId="0" borderId="52" xfId="4" applyFont="1" applyFill="1" applyBorder="1" applyAlignment="1">
      <alignment horizontal="right" vertical="center" shrinkToFit="1"/>
    </xf>
    <xf numFmtId="43" fontId="75" fillId="0" borderId="52" xfId="4" applyFont="1" applyFill="1" applyBorder="1" applyAlignment="1">
      <alignment horizontal="center" vertical="center" shrinkToFit="1"/>
    </xf>
    <xf numFmtId="43" fontId="74" fillId="0" borderId="52" xfId="4" applyFont="1" applyFill="1" applyBorder="1" applyAlignment="1">
      <alignment horizontal="center" vertical="center" shrinkToFit="1"/>
    </xf>
    <xf numFmtId="43" fontId="74" fillId="0" borderId="0" xfId="4" applyFont="1" applyFill="1" applyBorder="1" applyAlignment="1">
      <alignment horizontal="center" vertical="center" shrinkToFit="1"/>
    </xf>
    <xf numFmtId="43" fontId="76" fillId="0" borderId="40" xfId="4" applyFont="1" applyFill="1" applyBorder="1" applyAlignment="1">
      <alignment horizontal="center" vertical="center" shrinkToFit="1"/>
    </xf>
    <xf numFmtId="49" fontId="74" fillId="0" borderId="24" xfId="9" applyNumberFormat="1" applyFont="1" applyBorder="1" applyAlignment="1">
      <alignment horizontal="right" vertical="center" shrinkToFit="1"/>
    </xf>
    <xf numFmtId="0" fontId="75" fillId="0" borderId="24" xfId="9" applyFont="1" applyBorder="1" applyAlignment="1">
      <alignment horizontal="left" vertical="center"/>
    </xf>
    <xf numFmtId="0" fontId="75" fillId="0" borderId="11" xfId="9" applyFont="1" applyBorder="1" applyAlignment="1">
      <alignment horizontal="center" vertical="center" shrinkToFit="1"/>
    </xf>
    <xf numFmtId="43" fontId="74" fillId="0" borderId="24" xfId="4" applyFont="1" applyFill="1" applyBorder="1" applyAlignment="1">
      <alignment horizontal="center" vertical="center" shrinkToFit="1"/>
    </xf>
    <xf numFmtId="0" fontId="74" fillId="0" borderId="53" xfId="9" applyFont="1" applyBorder="1" applyAlignment="1">
      <alignment vertical="center" shrinkToFit="1"/>
    </xf>
    <xf numFmtId="0" fontId="75" fillId="0" borderId="21" xfId="9" applyFont="1" applyBorder="1" applyAlignment="1">
      <alignment horizontal="left" vertical="center"/>
    </xf>
    <xf numFmtId="0" fontId="75" fillId="0" borderId="21" xfId="9" applyFont="1" applyBorder="1" applyAlignment="1">
      <alignment horizontal="center" vertical="center"/>
    </xf>
    <xf numFmtId="0" fontId="74" fillId="0" borderId="51" xfId="9" applyFont="1" applyBorder="1" applyAlignment="1">
      <alignment vertical="center" shrinkToFit="1"/>
    </xf>
    <xf numFmtId="49" fontId="74" fillId="25" borderId="24" xfId="9" applyNumberFormat="1" applyFont="1" applyFill="1" applyBorder="1" applyAlignment="1">
      <alignment horizontal="right" vertical="center" shrinkToFit="1"/>
    </xf>
    <xf numFmtId="0" fontId="74" fillId="25" borderId="21" xfId="9" applyFont="1" applyFill="1" applyBorder="1" applyAlignment="1">
      <alignment horizontal="left" vertical="center"/>
    </xf>
    <xf numFmtId="0" fontId="75" fillId="25" borderId="21" xfId="9" applyFont="1" applyFill="1" applyBorder="1" applyAlignment="1">
      <alignment horizontal="center" vertical="center"/>
    </xf>
    <xf numFmtId="43" fontId="74" fillId="25" borderId="24" xfId="4" applyFont="1" applyFill="1" applyBorder="1" applyAlignment="1">
      <alignment horizontal="center" vertical="center" shrinkToFit="1"/>
    </xf>
    <xf numFmtId="43" fontId="74" fillId="25" borderId="21" xfId="13" applyFont="1" applyFill="1" applyBorder="1" applyAlignment="1">
      <alignment horizontal="center" vertical="center" shrinkToFit="1"/>
    </xf>
    <xf numFmtId="43" fontId="74" fillId="25" borderId="21" xfId="4" applyFont="1" applyFill="1" applyBorder="1" applyAlignment="1">
      <alignment horizontal="center" vertical="center" shrinkToFit="1"/>
    </xf>
    <xf numFmtId="43" fontId="75" fillId="25" borderId="21" xfId="4" applyFont="1" applyFill="1" applyBorder="1" applyAlignment="1">
      <alignment horizontal="center" vertical="center" shrinkToFit="1"/>
    </xf>
    <xf numFmtId="43" fontId="74" fillId="25" borderId="0" xfId="4" applyFont="1" applyFill="1" applyBorder="1" applyAlignment="1">
      <alignment horizontal="left" vertical="center"/>
    </xf>
    <xf numFmtId="43" fontId="74" fillId="25" borderId="51" xfId="4" applyFont="1" applyFill="1" applyBorder="1" applyAlignment="1">
      <alignment horizontal="center" vertical="center" shrinkToFit="1"/>
    </xf>
    <xf numFmtId="0" fontId="74" fillId="25" borderId="51" xfId="9" applyFont="1" applyFill="1" applyBorder="1" applyAlignment="1">
      <alignment vertical="center" shrinkToFit="1"/>
    </xf>
    <xf numFmtId="49" fontId="74" fillId="0" borderId="24" xfId="9" applyNumberFormat="1" applyFont="1" applyBorder="1" applyAlignment="1">
      <alignment horizontal="right" vertical="top" shrinkToFit="1"/>
    </xf>
    <xf numFmtId="0" fontId="75" fillId="0" borderId="21" xfId="9" applyFont="1" applyBorder="1" applyAlignment="1">
      <alignment horizontal="left" vertical="top" wrapText="1"/>
    </xf>
    <xf numFmtId="0" fontId="75" fillId="0" borderId="22" xfId="9" applyFont="1" applyBorder="1" applyAlignment="1">
      <alignment horizontal="center" vertical="top"/>
    </xf>
    <xf numFmtId="43" fontId="75" fillId="0" borderId="22" xfId="4" applyFont="1" applyFill="1" applyBorder="1" applyAlignment="1">
      <alignment horizontal="center" vertical="center" shrinkToFit="1"/>
    </xf>
    <xf numFmtId="43" fontId="75" fillId="0" borderId="21" xfId="13" applyFont="1" applyFill="1" applyBorder="1" applyAlignment="1">
      <alignment horizontal="center" vertical="top" shrinkToFit="1"/>
    </xf>
    <xf numFmtId="43" fontId="75" fillId="0" borderId="21" xfId="4" applyFont="1" applyFill="1" applyBorder="1" applyAlignment="1">
      <alignment horizontal="center" vertical="top" shrinkToFit="1"/>
    </xf>
    <xf numFmtId="43" fontId="75" fillId="26" borderId="21" xfId="4" applyFont="1" applyFill="1" applyBorder="1" applyAlignment="1">
      <alignment horizontal="center" vertical="top" shrinkToFit="1"/>
    </xf>
    <xf numFmtId="43" fontId="75" fillId="0" borderId="51" xfId="4" applyFont="1" applyFill="1" applyBorder="1" applyAlignment="1">
      <alignment horizontal="center" vertical="top" shrinkToFit="1"/>
    </xf>
    <xf numFmtId="0" fontId="74" fillId="0" borderId="51" xfId="9" applyFont="1" applyBorder="1" applyAlignment="1">
      <alignment vertical="top" shrinkToFit="1"/>
    </xf>
    <xf numFmtId="0" fontId="74" fillId="0" borderId="0" xfId="9" applyFont="1" applyAlignment="1">
      <alignment vertical="top" shrinkToFit="1"/>
    </xf>
    <xf numFmtId="49" fontId="74" fillId="0" borderId="21" xfId="9" applyNumberFormat="1" applyFont="1" applyBorder="1" applyAlignment="1">
      <alignment horizontal="right" vertical="top" shrinkToFit="1"/>
    </xf>
    <xf numFmtId="0" fontId="75" fillId="0" borderId="21" xfId="9" applyFont="1" applyBorder="1" applyAlignment="1">
      <alignment horizontal="center" vertical="top"/>
    </xf>
    <xf numFmtId="0" fontId="75" fillId="0" borderId="21" xfId="9" applyFont="1" applyBorder="1" applyAlignment="1">
      <alignment horizontal="left" vertical="top"/>
    </xf>
    <xf numFmtId="49" fontId="74" fillId="25" borderId="21" xfId="9" applyNumberFormat="1" applyFont="1" applyFill="1" applyBorder="1" applyAlignment="1">
      <alignment horizontal="right" vertical="center" shrinkToFit="1"/>
    </xf>
    <xf numFmtId="0" fontId="74" fillId="25" borderId="21" xfId="10" applyFont="1" applyFill="1" applyBorder="1" applyAlignment="1">
      <alignment horizontal="left" vertical="center"/>
    </xf>
    <xf numFmtId="0" fontId="75" fillId="25" borderId="21" xfId="9" applyFont="1" applyFill="1" applyBorder="1" applyAlignment="1">
      <alignment horizontal="center" vertical="center" shrinkToFit="1"/>
    </xf>
    <xf numFmtId="49" fontId="74" fillId="0" borderId="21" xfId="9" applyNumberFormat="1" applyFont="1" applyBorder="1" applyAlignment="1">
      <alignment horizontal="right" vertical="center" shrinkToFit="1"/>
    </xf>
    <xf numFmtId="43" fontId="75" fillId="0" borderId="21" xfId="13" applyFont="1" applyFill="1" applyBorder="1" applyAlignment="1">
      <alignment horizontal="right" vertical="center" wrapText="1" shrinkToFit="1"/>
    </xf>
    <xf numFmtId="43" fontId="75" fillId="0" borderId="21" xfId="4" applyFont="1" applyFill="1" applyBorder="1" applyAlignment="1">
      <alignment horizontal="right" vertical="center" wrapText="1" shrinkToFit="1"/>
    </xf>
    <xf numFmtId="189" fontId="75" fillId="0" borderId="21" xfId="4" applyNumberFormat="1" applyFont="1" applyFill="1" applyBorder="1" applyAlignment="1">
      <alignment horizontal="center" vertical="center" wrapText="1" shrinkToFit="1"/>
    </xf>
    <xf numFmtId="189" fontId="75" fillId="0" borderId="21" xfId="4" applyNumberFormat="1" applyFont="1" applyFill="1" applyBorder="1" applyAlignment="1">
      <alignment horizontal="right" vertical="center" wrapText="1" shrinkToFit="1"/>
    </xf>
    <xf numFmtId="43" fontId="75" fillId="26" borderId="21" xfId="4" applyFont="1" applyFill="1" applyBorder="1" applyAlignment="1">
      <alignment horizontal="right" vertical="center" wrapText="1" shrinkToFit="1"/>
    </xf>
    <xf numFmtId="43" fontId="75" fillId="0" borderId="51" xfId="4" applyFont="1" applyFill="1" applyBorder="1" applyAlignment="1">
      <alignment horizontal="right" vertical="center" wrapText="1" shrinkToFit="1"/>
    </xf>
    <xf numFmtId="0" fontId="75" fillId="0" borderId="21" xfId="9" applyFont="1" applyBorder="1" applyAlignment="1">
      <alignment horizontal="left" vertical="center" wrapText="1"/>
    </xf>
    <xf numFmtId="189" fontId="75" fillId="0" borderId="22" xfId="4" applyNumberFormat="1" applyFont="1" applyFill="1" applyBorder="1" applyAlignment="1">
      <alignment horizontal="center" vertical="center" shrinkToFit="1"/>
    </xf>
    <xf numFmtId="43" fontId="75" fillId="0" borderId="21" xfId="4" applyFont="1" applyFill="1" applyBorder="1" applyAlignment="1">
      <alignment vertical="center" shrinkToFit="1"/>
    </xf>
    <xf numFmtId="43" fontId="75" fillId="26" borderId="21" xfId="4" applyFont="1" applyFill="1" applyBorder="1" applyAlignment="1">
      <alignment vertical="center" shrinkToFit="1"/>
    </xf>
    <xf numFmtId="49" fontId="74" fillId="0" borderId="23" xfId="9" applyNumberFormat="1" applyFont="1" applyBorder="1" applyAlignment="1">
      <alignment horizontal="right" vertical="center" shrinkToFit="1"/>
    </xf>
    <xf numFmtId="189" fontId="75" fillId="0" borderId="23" xfId="4" applyNumberFormat="1" applyFont="1" applyFill="1" applyBorder="1" applyAlignment="1">
      <alignment horizontal="center" vertical="center" shrinkToFit="1"/>
    </xf>
    <xf numFmtId="43" fontId="75" fillId="0" borderId="23" xfId="4" applyFont="1" applyFill="1" applyBorder="1" applyAlignment="1">
      <alignment vertical="center" shrinkToFit="1"/>
    </xf>
    <xf numFmtId="43" fontId="75" fillId="26" borderId="23" xfId="4" applyFont="1" applyFill="1" applyBorder="1" applyAlignment="1">
      <alignment vertical="center" shrinkToFit="1"/>
    </xf>
    <xf numFmtId="0" fontId="75" fillId="0" borderId="24" xfId="9" applyFont="1" applyBorder="1" applyAlignment="1">
      <alignment horizontal="center" vertical="center" shrinkToFit="1"/>
    </xf>
    <xf numFmtId="189" fontId="75" fillId="0" borderId="24" xfId="4" applyNumberFormat="1" applyFont="1" applyFill="1" applyBorder="1" applyAlignment="1">
      <alignment horizontal="center" vertical="center" shrinkToFit="1"/>
    </xf>
    <xf numFmtId="43" fontId="74" fillId="0" borderId="25" xfId="4" applyFont="1" applyFill="1" applyBorder="1" applyAlignment="1">
      <alignment horizontal="left" vertical="center"/>
    </xf>
    <xf numFmtId="0" fontId="74" fillId="0" borderId="25" xfId="9" applyFont="1" applyBorder="1" applyAlignment="1">
      <alignment vertical="center" shrinkToFit="1"/>
    </xf>
    <xf numFmtId="0" fontId="75" fillId="0" borderId="21" xfId="9" applyFont="1" applyBorder="1" applyAlignment="1">
      <alignment horizontal="center" vertical="top" shrinkToFit="1"/>
    </xf>
    <xf numFmtId="43" fontId="74" fillId="0" borderId="26" xfId="4" applyFont="1" applyFill="1" applyBorder="1" applyAlignment="1">
      <alignment horizontal="left" vertical="center"/>
    </xf>
    <xf numFmtId="0" fontId="74" fillId="0" borderId="26" xfId="9" applyFont="1" applyBorder="1" applyAlignment="1">
      <alignment vertical="top" shrinkToFit="1"/>
    </xf>
    <xf numFmtId="189" fontId="75" fillId="0" borderId="21" xfId="4" applyNumberFormat="1" applyFont="1" applyFill="1" applyBorder="1" applyAlignment="1">
      <alignment horizontal="center" vertical="top" shrinkToFit="1"/>
    </xf>
    <xf numFmtId="43" fontId="75" fillId="0" borderId="21" xfId="13" applyFont="1" applyFill="1" applyBorder="1" applyAlignment="1">
      <alignment vertical="top" shrinkToFit="1"/>
    </xf>
    <xf numFmtId="43" fontId="75" fillId="0" borderId="21" xfId="4" applyFont="1" applyFill="1" applyBorder="1" applyAlignment="1">
      <alignment vertical="top" shrinkToFit="1"/>
    </xf>
    <xf numFmtId="43" fontId="75" fillId="26" borderId="21" xfId="4" applyFont="1" applyFill="1" applyBorder="1" applyAlignment="1">
      <alignment vertical="top" shrinkToFit="1"/>
    </xf>
    <xf numFmtId="43" fontId="74" fillId="0" borderId="21" xfId="4" applyFont="1" applyFill="1" applyBorder="1" applyAlignment="1">
      <alignment horizontal="left" vertical="center"/>
    </xf>
    <xf numFmtId="0" fontId="74" fillId="0" borderId="21" xfId="9" applyFont="1" applyBorder="1" applyAlignment="1">
      <alignment vertical="center" shrinkToFit="1"/>
    </xf>
    <xf numFmtId="0" fontId="74" fillId="0" borderId="26" xfId="9" applyFont="1" applyBorder="1" applyAlignment="1">
      <alignment vertical="center" shrinkToFit="1"/>
    </xf>
    <xf numFmtId="43" fontId="74" fillId="0" borderId="49" xfId="4" applyFont="1" applyFill="1" applyBorder="1" applyAlignment="1">
      <alignment horizontal="left" vertical="center"/>
    </xf>
    <xf numFmtId="0" fontId="74" fillId="0" borderId="49" xfId="9" applyFont="1" applyBorder="1" applyAlignment="1">
      <alignment vertical="center" shrinkToFit="1"/>
    </xf>
    <xf numFmtId="43" fontId="75" fillId="0" borderId="0" xfId="4" applyFont="1" applyAlignment="1">
      <alignment vertical="center" shrinkToFit="1"/>
    </xf>
    <xf numFmtId="49" fontId="75" fillId="0" borderId="21" xfId="9" applyNumberFormat="1" applyFont="1" applyBorder="1" applyAlignment="1">
      <alignment horizontal="right" vertical="top" shrinkToFit="1"/>
    </xf>
    <xf numFmtId="43" fontId="75" fillId="0" borderId="21" xfId="4" applyFont="1" applyFill="1" applyBorder="1" applyAlignment="1">
      <alignment horizontal="right" vertical="top" wrapText="1" shrinkToFit="1"/>
    </xf>
    <xf numFmtId="43" fontId="75" fillId="0" borderId="21" xfId="4" applyFont="1" applyFill="1" applyBorder="1" applyAlignment="1">
      <alignment horizontal="center" vertical="top" wrapText="1" shrinkToFit="1"/>
    </xf>
    <xf numFmtId="43" fontId="75" fillId="0" borderId="51" xfId="4" applyFont="1" applyFill="1" applyBorder="1" applyAlignment="1">
      <alignment horizontal="center" vertical="top" wrapText="1" shrinkToFit="1"/>
    </xf>
    <xf numFmtId="0" fontId="75" fillId="0" borderId="0" xfId="9" applyFont="1" applyAlignment="1">
      <alignment vertical="top" shrinkToFit="1"/>
    </xf>
    <xf numFmtId="0" fontId="75" fillId="0" borderId="21" xfId="9" applyFont="1" applyBorder="1" applyAlignment="1">
      <alignment horizontal="left" vertical="top" wrapText="1" shrinkToFit="1"/>
    </xf>
    <xf numFmtId="0" fontId="75" fillId="0" borderId="21" xfId="9" applyFont="1" applyBorder="1" applyAlignment="1">
      <alignment vertical="top" shrinkToFit="1"/>
    </xf>
    <xf numFmtId="0" fontId="75" fillId="0" borderId="51" xfId="9" applyFont="1" applyBorder="1" applyAlignment="1">
      <alignment vertical="top" shrinkToFit="1"/>
    </xf>
    <xf numFmtId="189" fontId="75" fillId="0" borderId="21" xfId="4" applyNumberFormat="1" applyFont="1" applyFill="1" applyBorder="1" applyAlignment="1">
      <alignment vertical="center" shrinkToFit="1"/>
    </xf>
    <xf numFmtId="0" fontId="75" fillId="0" borderId="51" xfId="9" applyFont="1" applyBorder="1" applyAlignment="1">
      <alignment vertical="center" shrinkToFit="1"/>
    </xf>
    <xf numFmtId="189" fontId="75" fillId="0" borderId="21" xfId="13" applyNumberFormat="1" applyFont="1" applyFill="1" applyBorder="1" applyAlignment="1">
      <alignment horizontal="center" vertical="center" shrinkToFit="1"/>
    </xf>
    <xf numFmtId="0" fontId="75" fillId="0" borderId="21" xfId="9" applyFont="1" applyBorder="1" applyAlignment="1">
      <alignment horizontal="left" vertical="center" wrapText="1" shrinkToFit="1"/>
    </xf>
    <xf numFmtId="0" fontId="75" fillId="0" borderId="21" xfId="9" applyFont="1" applyBorder="1" applyAlignment="1">
      <alignment horizontal="left" vertical="center" shrinkToFit="1"/>
    </xf>
    <xf numFmtId="189" fontId="75" fillId="0" borderId="21" xfId="4" applyNumberFormat="1" applyFont="1" applyFill="1" applyBorder="1" applyAlignment="1">
      <alignment horizontal="right" vertical="top" shrinkToFit="1"/>
    </xf>
    <xf numFmtId="43" fontId="74" fillId="0" borderId="0" xfId="4" applyFont="1" applyFill="1" applyBorder="1" applyAlignment="1">
      <alignment horizontal="left" vertical="top"/>
    </xf>
    <xf numFmtId="43" fontId="75" fillId="0" borderId="21" xfId="4" applyFont="1" applyBorder="1" applyAlignment="1">
      <alignment vertical="top" shrinkToFit="1"/>
    </xf>
    <xf numFmtId="2" fontId="75" fillId="0" borderId="51" xfId="4" applyNumberFormat="1" applyFont="1" applyFill="1" applyBorder="1" applyAlignment="1">
      <alignment horizontal="right" vertical="center" wrapText="1" shrinkToFit="1"/>
    </xf>
    <xf numFmtId="0" fontId="75" fillId="7" borderId="0" xfId="9" applyFont="1" applyFill="1" applyAlignment="1">
      <alignment vertical="top" shrinkToFit="1"/>
    </xf>
    <xf numFmtId="43" fontId="75" fillId="0" borderId="21" xfId="4" applyFont="1" applyBorder="1" applyAlignment="1">
      <alignment vertical="center" shrinkToFit="1"/>
    </xf>
    <xf numFmtId="0" fontId="75" fillId="7" borderId="0" xfId="9" applyFont="1" applyFill="1" applyAlignment="1">
      <alignment vertical="center" shrinkToFit="1"/>
    </xf>
    <xf numFmtId="43" fontId="75" fillId="0" borderId="21" xfId="9" applyNumberFormat="1" applyFont="1" applyBorder="1" applyAlignment="1">
      <alignment horizontal="right" vertical="center" shrinkToFit="1"/>
    </xf>
    <xf numFmtId="43" fontId="75" fillId="0" borderId="21" xfId="9" applyNumberFormat="1" applyFont="1" applyBorder="1" applyAlignment="1">
      <alignment horizontal="center" vertical="center" shrinkToFit="1"/>
    </xf>
    <xf numFmtId="43" fontId="75" fillId="0" borderId="21" xfId="9" applyNumberFormat="1" applyFont="1" applyBorder="1" applyAlignment="1">
      <alignment horizontal="right" vertical="top" shrinkToFit="1"/>
    </xf>
    <xf numFmtId="43" fontId="75" fillId="0" borderId="21" xfId="9" applyNumberFormat="1" applyFont="1" applyBorder="1" applyAlignment="1">
      <alignment horizontal="center" vertical="top" shrinkToFit="1"/>
    </xf>
    <xf numFmtId="43" fontId="75" fillId="0" borderId="20" xfId="4" applyFont="1" applyFill="1" applyBorder="1" applyAlignment="1">
      <alignment horizontal="center" vertical="top" shrinkToFit="1"/>
    </xf>
    <xf numFmtId="189" fontId="75" fillId="0" borderId="51" xfId="4" applyNumberFormat="1" applyFont="1" applyFill="1" applyBorder="1" applyAlignment="1">
      <alignment horizontal="right" vertical="center" wrapText="1" shrinkToFit="1"/>
    </xf>
    <xf numFmtId="0" fontId="75" fillId="0" borderId="21" xfId="0" applyFont="1" applyBorder="1" applyAlignment="1">
      <alignment horizontal="left" vertical="top" wrapText="1"/>
    </xf>
    <xf numFmtId="189" fontId="75" fillId="0" borderId="23" xfId="4" applyNumberFormat="1" applyFont="1" applyFill="1" applyBorder="1" applyAlignment="1">
      <alignment horizontal="right" vertical="center" shrinkToFit="1"/>
    </xf>
    <xf numFmtId="0" fontId="77" fillId="0" borderId="0" xfId="9" applyFont="1" applyAlignment="1">
      <alignment vertical="top" shrinkToFit="1"/>
    </xf>
    <xf numFmtId="0" fontId="75" fillId="0" borderId="21" xfId="0" applyFont="1" applyBorder="1" applyAlignment="1">
      <alignment horizontal="left" vertical="top" wrapText="1" shrinkToFit="1"/>
    </xf>
    <xf numFmtId="0" fontId="75" fillId="0" borderId="25" xfId="9" applyFont="1" applyBorder="1" applyAlignment="1">
      <alignment vertical="center" shrinkToFit="1"/>
    </xf>
    <xf numFmtId="0" fontId="75" fillId="0" borderId="26" xfId="9" applyFont="1" applyBorder="1" applyAlignment="1">
      <alignment vertical="top" shrinkToFit="1"/>
    </xf>
    <xf numFmtId="0" fontId="75" fillId="0" borderId="49" xfId="9" applyFont="1" applyBorder="1" applyAlignment="1">
      <alignment vertical="top" shrinkToFit="1"/>
    </xf>
    <xf numFmtId="0" fontId="75" fillId="0" borderId="21" xfId="0" applyFont="1" applyBorder="1" applyAlignment="1">
      <alignment vertical="top" wrapText="1"/>
    </xf>
    <xf numFmtId="2" fontId="75" fillId="0" borderId="21" xfId="4" applyNumberFormat="1" applyFont="1" applyFill="1" applyBorder="1" applyAlignment="1">
      <alignment horizontal="right" vertical="center" wrapText="1" shrinkToFit="1"/>
    </xf>
    <xf numFmtId="43" fontId="78" fillId="0" borderId="21" xfId="9" applyNumberFormat="1" applyFont="1" applyBorder="1" applyAlignment="1">
      <alignment horizontal="right" vertical="center" shrinkToFit="1"/>
    </xf>
    <xf numFmtId="0" fontId="78" fillId="0" borderId="21" xfId="0" applyFont="1" applyBorder="1" applyAlignment="1">
      <alignment vertical="top" wrapText="1"/>
    </xf>
    <xf numFmtId="43" fontId="78" fillId="0" borderId="21" xfId="9" applyNumberFormat="1" applyFont="1" applyBorder="1" applyAlignment="1">
      <alignment horizontal="center" vertical="center" shrinkToFit="1"/>
    </xf>
    <xf numFmtId="43" fontId="78" fillId="0" borderId="21" xfId="4" applyFont="1" applyFill="1" applyBorder="1" applyAlignment="1">
      <alignment horizontal="center" vertical="center" shrinkToFit="1"/>
    </xf>
    <xf numFmtId="43" fontId="78" fillId="0" borderId="21" xfId="13" applyFont="1" applyFill="1" applyBorder="1" applyAlignment="1">
      <alignment horizontal="center" vertical="center" shrinkToFit="1"/>
    </xf>
    <xf numFmtId="0" fontId="78" fillId="0" borderId="21" xfId="9" applyFont="1" applyBorder="1" applyAlignment="1">
      <alignment vertical="center" shrinkToFit="1"/>
    </xf>
    <xf numFmtId="189" fontId="78" fillId="0" borderId="21" xfId="4" applyNumberFormat="1" applyFont="1" applyFill="1" applyBorder="1" applyAlignment="1">
      <alignment horizontal="right" vertical="center" shrinkToFit="1"/>
    </xf>
    <xf numFmtId="43" fontId="79" fillId="0" borderId="21" xfId="4" applyFont="1" applyFill="1" applyBorder="1" applyAlignment="1">
      <alignment horizontal="left" vertical="center"/>
    </xf>
    <xf numFmtId="43" fontId="78" fillId="0" borderId="51" xfId="4" applyFont="1" applyFill="1" applyBorder="1" applyAlignment="1">
      <alignment horizontal="center" vertical="center" shrinkToFit="1"/>
    </xf>
    <xf numFmtId="0" fontId="78" fillId="0" borderId="0" xfId="9" applyFont="1" applyAlignment="1">
      <alignment vertical="center" shrinkToFit="1"/>
    </xf>
    <xf numFmtId="43" fontId="78" fillId="26" borderId="21" xfId="4" applyFont="1" applyFill="1" applyBorder="1" applyAlignment="1">
      <alignment horizontal="center" vertical="center" shrinkToFit="1"/>
    </xf>
    <xf numFmtId="189" fontId="75" fillId="0" borderId="51" xfId="4" applyNumberFormat="1" applyFont="1" applyFill="1" applyBorder="1" applyAlignment="1">
      <alignment horizontal="right" vertical="top" shrinkToFit="1"/>
    </xf>
    <xf numFmtId="2" fontId="75" fillId="0" borderId="51" xfId="4" applyNumberFormat="1" applyFont="1" applyFill="1" applyBorder="1" applyAlignment="1">
      <alignment horizontal="right" vertical="top" shrinkToFit="1"/>
    </xf>
    <xf numFmtId="0" fontId="75" fillId="0" borderId="21" xfId="17" applyFont="1" applyBorder="1" applyAlignment="1">
      <alignment horizontal="left" vertical="top" wrapText="1"/>
    </xf>
    <xf numFmtId="43" fontId="75" fillId="0" borderId="21" xfId="18" applyFont="1" applyFill="1" applyBorder="1" applyAlignment="1">
      <alignment horizontal="left" vertical="top"/>
    </xf>
    <xf numFmtId="43" fontId="74" fillId="0" borderId="21" xfId="4" applyFont="1" applyFill="1" applyBorder="1" applyAlignment="1">
      <alignment horizontal="left" vertical="top"/>
    </xf>
    <xf numFmtId="43" fontId="74" fillId="0" borderId="23" xfId="4" applyFont="1" applyFill="1" applyBorder="1" applyAlignment="1">
      <alignment horizontal="left" vertical="center"/>
    </xf>
    <xf numFmtId="0" fontId="75" fillId="0" borderId="24" xfId="9" applyFont="1" applyBorder="1" applyAlignment="1">
      <alignment vertical="center" shrinkToFit="1"/>
    </xf>
    <xf numFmtId="43" fontId="74" fillId="0" borderId="24" xfId="4" applyFont="1" applyFill="1" applyBorder="1" applyAlignment="1">
      <alignment horizontal="left" vertical="center"/>
    </xf>
    <xf numFmtId="43" fontId="75" fillId="0" borderId="44" xfId="4" applyFont="1" applyFill="1" applyBorder="1" applyAlignment="1">
      <alignment horizontal="center" vertical="center" shrinkToFit="1"/>
    </xf>
    <xf numFmtId="0" fontId="78" fillId="0" borderId="21" xfId="88" applyFont="1" applyBorder="1" applyAlignment="1">
      <alignment vertical="top" wrapText="1"/>
    </xf>
    <xf numFmtId="43" fontId="77" fillId="0" borderId="21" xfId="9" applyNumberFormat="1" applyFont="1" applyBorder="1" applyAlignment="1">
      <alignment horizontal="center" vertical="center" shrinkToFit="1"/>
    </xf>
    <xf numFmtId="43" fontId="77" fillId="0" borderId="21" xfId="4" applyFont="1" applyFill="1" applyBorder="1" applyAlignment="1">
      <alignment horizontal="center" vertical="center" shrinkToFit="1"/>
    </xf>
    <xf numFmtId="43" fontId="77" fillId="0" borderId="21" xfId="13" applyFont="1" applyFill="1" applyBorder="1" applyAlignment="1">
      <alignment horizontal="center" vertical="center" shrinkToFit="1"/>
    </xf>
    <xf numFmtId="43" fontId="77" fillId="26" borderId="21" xfId="4" applyFont="1" applyFill="1" applyBorder="1" applyAlignment="1">
      <alignment horizontal="center" vertical="center" shrinkToFit="1"/>
    </xf>
    <xf numFmtId="0" fontId="75" fillId="0" borderId="22" xfId="9" applyFont="1" applyBorder="1" applyAlignment="1">
      <alignment vertical="center" shrinkToFit="1"/>
    </xf>
    <xf numFmtId="43" fontId="74" fillId="0" borderId="22" xfId="4" applyFont="1" applyFill="1" applyBorder="1" applyAlignment="1">
      <alignment horizontal="left" vertical="center"/>
    </xf>
    <xf numFmtId="189" fontId="77" fillId="0" borderId="21" xfId="4" applyNumberFormat="1" applyFont="1" applyFill="1" applyBorder="1" applyAlignment="1">
      <alignment horizontal="right" vertical="center" shrinkToFit="1"/>
    </xf>
    <xf numFmtId="43" fontId="76" fillId="0" borderId="21" xfId="4" applyFont="1" applyFill="1" applyBorder="1" applyAlignment="1">
      <alignment horizontal="left" vertical="center"/>
    </xf>
    <xf numFmtId="49" fontId="74" fillId="0" borderId="36" xfId="9" applyNumberFormat="1" applyFont="1" applyBorder="1" applyAlignment="1">
      <alignment horizontal="right" vertical="center" shrinkToFit="1"/>
    </xf>
    <xf numFmtId="0" fontId="74" fillId="0" borderId="36" xfId="9" applyFont="1" applyBorder="1" applyAlignment="1">
      <alignment vertical="center"/>
    </xf>
    <xf numFmtId="0" fontId="75" fillId="0" borderId="36" xfId="9" applyFont="1" applyBorder="1" applyAlignment="1">
      <alignment horizontal="center" vertical="center" shrinkToFit="1"/>
    </xf>
    <xf numFmtId="189" fontId="74" fillId="0" borderId="36" xfId="4" applyNumberFormat="1" applyFont="1" applyFill="1" applyBorder="1" applyAlignment="1">
      <alignment horizontal="center" vertical="center" shrinkToFit="1"/>
    </xf>
    <xf numFmtId="43" fontId="74" fillId="0" borderId="36" xfId="13" applyFont="1" applyFill="1" applyBorder="1" applyAlignment="1">
      <alignment horizontal="center" vertical="center" shrinkToFit="1"/>
    </xf>
    <xf numFmtId="43" fontId="75" fillId="0" borderId="36" xfId="4" applyFont="1" applyFill="1" applyBorder="1" applyAlignment="1">
      <alignment horizontal="center" vertical="top" shrinkToFit="1"/>
    </xf>
    <xf numFmtId="189" fontId="75" fillId="0" borderId="36" xfId="4" applyNumberFormat="1" applyFont="1" applyFill="1" applyBorder="1" applyAlignment="1">
      <alignment horizontal="center" vertical="center" shrinkToFit="1"/>
    </xf>
    <xf numFmtId="43" fontId="74" fillId="0" borderId="36" xfId="4" applyFont="1" applyFill="1" applyBorder="1" applyAlignment="1">
      <alignment horizontal="left" vertical="center"/>
    </xf>
    <xf numFmtId="43" fontId="75" fillId="0" borderId="24" xfId="4" applyFont="1" applyFill="1" applyBorder="1" applyAlignment="1">
      <alignment horizontal="center" vertical="top" shrinkToFit="1"/>
    </xf>
    <xf numFmtId="43" fontId="75" fillId="0" borderId="21" xfId="4" applyFont="1" applyFill="1" applyBorder="1" applyAlignment="1">
      <alignment horizontal="right" vertical="center" shrinkToFit="1"/>
    </xf>
    <xf numFmtId="43" fontId="75" fillId="0" borderId="21" xfId="13" applyFont="1" applyFill="1" applyBorder="1" applyAlignment="1">
      <alignment horizontal="right" vertical="center" shrinkToFit="1"/>
    </xf>
    <xf numFmtId="43" fontId="75" fillId="26" borderId="21" xfId="4" applyFont="1" applyFill="1" applyBorder="1" applyAlignment="1">
      <alignment horizontal="right" vertical="center" shrinkToFit="1"/>
    </xf>
    <xf numFmtId="43" fontId="75" fillId="0" borderId="51" xfId="4" applyFont="1" applyFill="1" applyBorder="1" applyAlignment="1">
      <alignment horizontal="right" vertical="center" shrinkToFit="1"/>
    </xf>
    <xf numFmtId="49" fontId="75" fillId="0" borderId="23" xfId="9" applyNumberFormat="1" applyFont="1" applyBorder="1" applyAlignment="1">
      <alignment horizontal="right" vertical="center" shrinkToFit="1"/>
    </xf>
    <xf numFmtId="43" fontId="75" fillId="0" borderId="23" xfId="4" applyFont="1" applyFill="1" applyBorder="1" applyAlignment="1">
      <alignment horizontal="right" vertical="center" shrinkToFit="1"/>
    </xf>
    <xf numFmtId="43" fontId="75" fillId="0" borderId="23" xfId="13" applyFont="1" applyFill="1" applyBorder="1" applyAlignment="1">
      <alignment horizontal="right" vertical="center" shrinkToFit="1"/>
    </xf>
    <xf numFmtId="43" fontId="75" fillId="0" borderId="23" xfId="4" applyFont="1" applyFill="1" applyBorder="1" applyAlignment="1">
      <alignment horizontal="center" vertical="top" shrinkToFit="1"/>
    </xf>
    <xf numFmtId="43" fontId="75" fillId="26" borderId="23" xfId="4" applyFont="1" applyFill="1" applyBorder="1" applyAlignment="1">
      <alignment horizontal="right" vertical="center" shrinkToFit="1"/>
    </xf>
    <xf numFmtId="189" fontId="74" fillId="0" borderId="5" xfId="4" applyNumberFormat="1" applyFont="1" applyFill="1" applyBorder="1" applyAlignment="1">
      <alignment horizontal="center" vertical="center" shrinkToFit="1"/>
    </xf>
    <xf numFmtId="43" fontId="75" fillId="0" borderId="4" xfId="4" applyFont="1" applyFill="1" applyBorder="1" applyAlignment="1">
      <alignment horizontal="center" vertical="top" shrinkToFit="1"/>
    </xf>
    <xf numFmtId="4" fontId="75" fillId="0" borderId="1" xfId="14" applyNumberFormat="1" applyFont="1" applyBorder="1" applyAlignment="1">
      <alignment vertical="center" shrinkToFit="1"/>
    </xf>
    <xf numFmtId="43" fontId="75" fillId="0" borderId="24" xfId="4" applyFont="1" applyFill="1" applyBorder="1" applyAlignment="1">
      <alignment horizontal="right" vertical="center" shrinkToFit="1"/>
    </xf>
    <xf numFmtId="43" fontId="75" fillId="0" borderId="20" xfId="13" applyFont="1" applyFill="1" applyBorder="1" applyAlignment="1">
      <alignment horizontal="right" vertical="center" shrinkToFit="1"/>
    </xf>
    <xf numFmtId="189" fontId="75" fillId="0" borderId="20" xfId="4" applyNumberFormat="1" applyFont="1" applyFill="1" applyBorder="1" applyAlignment="1">
      <alignment horizontal="center" vertical="center" shrinkToFit="1"/>
    </xf>
    <xf numFmtId="43" fontId="75" fillId="0" borderId="20" xfId="4" applyFont="1" applyFill="1" applyBorder="1" applyAlignment="1">
      <alignment horizontal="right" vertical="center" shrinkToFit="1"/>
    </xf>
    <xf numFmtId="43" fontId="75" fillId="26" borderId="20" xfId="4" applyFont="1" applyFill="1" applyBorder="1" applyAlignment="1">
      <alignment horizontal="right" vertical="center" shrinkToFit="1"/>
    </xf>
    <xf numFmtId="189" fontId="75" fillId="0" borderId="20" xfId="4" applyNumberFormat="1" applyFont="1" applyFill="1" applyBorder="1" applyAlignment="1">
      <alignment horizontal="right" vertical="center" shrinkToFit="1"/>
    </xf>
    <xf numFmtId="43" fontId="75" fillId="0" borderId="53" xfId="4" applyFont="1" applyFill="1" applyBorder="1" applyAlignment="1">
      <alignment horizontal="right" vertical="center" shrinkToFit="1"/>
    </xf>
    <xf numFmtId="0" fontId="75" fillId="0" borderId="22" xfId="9" applyFont="1" applyBorder="1" applyAlignment="1">
      <alignment horizontal="center" vertical="center" shrinkToFit="1"/>
    </xf>
    <xf numFmtId="43" fontId="75" fillId="0" borderId="22" xfId="4" applyFont="1" applyFill="1" applyBorder="1" applyAlignment="1">
      <alignment horizontal="right" vertical="center" shrinkToFit="1"/>
    </xf>
    <xf numFmtId="43" fontId="75" fillId="0" borderId="22" xfId="13" applyFont="1" applyFill="1" applyBorder="1" applyAlignment="1">
      <alignment horizontal="right" vertical="center" shrinkToFit="1"/>
    </xf>
    <xf numFmtId="43" fontId="75" fillId="0" borderId="22" xfId="4" applyFont="1" applyFill="1" applyBorder="1" applyAlignment="1">
      <alignment horizontal="center" vertical="top" shrinkToFit="1"/>
    </xf>
    <xf numFmtId="43" fontId="75" fillId="26" borderId="22" xfId="4" applyFont="1" applyFill="1" applyBorder="1" applyAlignment="1">
      <alignment horizontal="right" vertical="center" shrinkToFit="1"/>
    </xf>
    <xf numFmtId="43" fontId="75" fillId="0" borderId="43" xfId="4" applyFont="1" applyFill="1" applyBorder="1" applyAlignment="1">
      <alignment horizontal="right" vertical="center" shrinkToFit="1"/>
    </xf>
    <xf numFmtId="0" fontId="74" fillId="0" borderId="36" xfId="9" applyFont="1" applyBorder="1" applyAlignment="1">
      <alignment vertical="center" shrinkToFit="1"/>
    </xf>
    <xf numFmtId="4" fontId="74" fillId="0" borderId="36" xfId="4" applyNumberFormat="1" applyFont="1" applyFill="1" applyBorder="1" applyAlignment="1">
      <alignment horizontal="right" vertical="center" wrapText="1" shrinkToFit="1"/>
    </xf>
    <xf numFmtId="43" fontId="74" fillId="0" borderId="36" xfId="13" applyFont="1" applyFill="1" applyBorder="1" applyAlignment="1">
      <alignment horizontal="right" vertical="center" wrapText="1" shrinkToFit="1"/>
    </xf>
    <xf numFmtId="43" fontId="74" fillId="0" borderId="36" xfId="4" applyFont="1" applyFill="1" applyBorder="1" applyAlignment="1">
      <alignment horizontal="right" vertical="center" wrapText="1" shrinkToFit="1"/>
    </xf>
    <xf numFmtId="43" fontId="74" fillId="0" borderId="36" xfId="4" applyFont="1" applyFill="1" applyBorder="1" applyAlignment="1">
      <alignment horizontal="right" wrapText="1" shrinkToFit="1"/>
    </xf>
    <xf numFmtId="43" fontId="74" fillId="26" borderId="36" xfId="4" applyFont="1" applyFill="1" applyBorder="1" applyAlignment="1">
      <alignment horizontal="right" vertical="center" wrapText="1" shrinkToFit="1"/>
    </xf>
    <xf numFmtId="43" fontId="74" fillId="0" borderId="0" xfId="9" applyNumberFormat="1" applyFont="1" applyAlignment="1">
      <alignment vertical="center" shrinkToFit="1"/>
    </xf>
    <xf numFmtId="43" fontId="74" fillId="0" borderId="21" xfId="13" applyFont="1" applyFill="1" applyBorder="1" applyAlignment="1">
      <alignment horizontal="center" vertical="center" shrinkToFit="1"/>
    </xf>
    <xf numFmtId="43" fontId="74" fillId="26" borderId="21" xfId="4" applyFont="1" applyFill="1" applyBorder="1" applyAlignment="1">
      <alignment horizontal="center" vertical="center" shrinkToFit="1"/>
    </xf>
    <xf numFmtId="49" fontId="75" fillId="25" borderId="21" xfId="9" applyNumberFormat="1" applyFont="1" applyFill="1" applyBorder="1" applyAlignment="1">
      <alignment horizontal="right" vertical="center" shrinkToFit="1"/>
    </xf>
    <xf numFmtId="0" fontId="75" fillId="25" borderId="21" xfId="9" applyFont="1" applyFill="1" applyBorder="1" applyAlignment="1">
      <alignment vertical="center" shrinkToFit="1"/>
    </xf>
    <xf numFmtId="43" fontId="75" fillId="25" borderId="21" xfId="4" applyFont="1" applyFill="1" applyBorder="1" applyAlignment="1">
      <alignment horizontal="center" vertical="top" shrinkToFit="1"/>
    </xf>
    <xf numFmtId="189" fontId="75" fillId="25" borderId="21" xfId="4" applyNumberFormat="1" applyFont="1" applyFill="1" applyBorder="1" applyAlignment="1">
      <alignment horizontal="center" vertical="center" shrinkToFit="1"/>
    </xf>
    <xf numFmtId="189" fontId="75" fillId="25" borderId="21" xfId="4" applyNumberFormat="1" applyFont="1" applyFill="1" applyBorder="1" applyAlignment="1">
      <alignment horizontal="right" vertical="center" shrinkToFit="1"/>
    </xf>
    <xf numFmtId="0" fontId="75" fillId="25" borderId="0" xfId="9" applyFont="1" applyFill="1" applyAlignment="1">
      <alignment vertical="center" shrinkToFit="1"/>
    </xf>
    <xf numFmtId="0" fontId="75" fillId="0" borderId="16" xfId="9" applyFont="1" applyBorder="1" applyAlignment="1">
      <alignment vertical="center" shrinkToFit="1"/>
    </xf>
    <xf numFmtId="43" fontId="80" fillId="0" borderId="21" xfId="4" applyFont="1" applyFill="1" applyBorder="1" applyAlignment="1">
      <alignment horizontal="center" vertical="center" shrinkToFit="1"/>
    </xf>
    <xf numFmtId="43" fontId="74" fillId="25" borderId="26" xfId="4" applyFont="1" applyFill="1" applyBorder="1" applyAlignment="1">
      <alignment horizontal="left" vertical="center"/>
    </xf>
    <xf numFmtId="43" fontId="75" fillId="0" borderId="21" xfId="4" applyFont="1" applyFill="1" applyBorder="1" applyAlignment="1">
      <alignment horizontal="left" vertical="center" shrinkToFit="1"/>
    </xf>
    <xf numFmtId="43" fontId="75" fillId="0" borderId="21" xfId="15" applyFont="1" applyFill="1" applyBorder="1" applyAlignment="1">
      <alignment horizontal="right" vertical="center"/>
    </xf>
    <xf numFmtId="189" fontId="74" fillId="25" borderId="21" xfId="4" applyNumberFormat="1" applyFont="1" applyFill="1" applyBorder="1" applyAlignment="1">
      <alignment horizontal="center" vertical="center" shrinkToFit="1"/>
    </xf>
    <xf numFmtId="43" fontId="74" fillId="25" borderId="21" xfId="4" applyFont="1" applyFill="1" applyBorder="1" applyAlignment="1">
      <alignment horizontal="left" vertical="center"/>
    </xf>
    <xf numFmtId="4" fontId="75" fillId="40" borderId="21" xfId="189" applyNumberFormat="1" applyFont="1" applyFill="1" applyBorder="1" applyAlignment="1">
      <alignment horizontal="right" vertical="center"/>
    </xf>
    <xf numFmtId="189" fontId="75" fillId="0" borderId="21" xfId="9" applyNumberFormat="1" applyFont="1" applyBorder="1" applyAlignment="1">
      <alignment vertical="center" shrinkToFit="1"/>
    </xf>
    <xf numFmtId="189" fontId="75" fillId="0" borderId="21" xfId="12" applyNumberFormat="1" applyFont="1" applyBorder="1"/>
    <xf numFmtId="43" fontId="75" fillId="7" borderId="21" xfId="4" applyFont="1" applyFill="1" applyBorder="1" applyAlignment="1">
      <alignment horizontal="center" vertical="center" shrinkToFit="1"/>
    </xf>
    <xf numFmtId="43" fontId="75" fillId="0" borderId="21" xfId="4" applyFont="1" applyFill="1" applyBorder="1" applyAlignment="1">
      <alignment horizontal="left" vertical="center" wrapText="1" shrinkToFit="1"/>
    </xf>
    <xf numFmtId="43" fontId="74" fillId="0" borderId="21" xfId="4" applyFont="1" applyFill="1" applyBorder="1" applyAlignment="1">
      <alignment vertical="center" shrinkToFit="1"/>
    </xf>
    <xf numFmtId="43" fontId="74" fillId="26" borderId="21" xfId="4" applyFont="1" applyFill="1" applyBorder="1" applyAlignment="1">
      <alignment vertical="center" shrinkToFit="1"/>
    </xf>
    <xf numFmtId="43" fontId="75" fillId="0" borderId="21" xfId="13" applyFont="1" applyFill="1" applyBorder="1" applyAlignment="1">
      <alignment vertical="center" shrinkToFit="1"/>
    </xf>
    <xf numFmtId="0" fontId="75" fillId="0" borderId="26" xfId="9" applyFont="1" applyBorder="1" applyAlignment="1">
      <alignment vertical="center" shrinkToFit="1"/>
    </xf>
    <xf numFmtId="43" fontId="74" fillId="0" borderId="23" xfId="13" applyFont="1" applyFill="1" applyBorder="1" applyAlignment="1">
      <alignment horizontal="center" vertical="center" shrinkToFit="1"/>
    </xf>
    <xf numFmtId="43" fontId="74" fillId="26" borderId="23" xfId="4" applyFont="1" applyFill="1" applyBorder="1" applyAlignment="1">
      <alignment horizontal="center" vertical="center" shrinkToFit="1"/>
    </xf>
    <xf numFmtId="43" fontId="75" fillId="0" borderId="23" xfId="4" applyFont="1" applyFill="1" applyBorder="1" applyAlignment="1">
      <alignment horizontal="left" vertical="center" shrinkToFit="1"/>
    </xf>
    <xf numFmtId="4" fontId="74" fillId="0" borderId="5" xfId="9" applyNumberFormat="1" applyFont="1" applyBorder="1" applyAlignment="1">
      <alignment horizontal="right" vertical="center"/>
    </xf>
    <xf numFmtId="43" fontId="74" fillId="0" borderId="5" xfId="13" applyFont="1" applyFill="1" applyBorder="1" applyAlignment="1">
      <alignment horizontal="right" vertical="center"/>
    </xf>
    <xf numFmtId="43" fontId="74" fillId="0" borderId="5" xfId="4" applyFont="1" applyFill="1" applyBorder="1" applyAlignment="1">
      <alignment horizontal="right" vertical="center"/>
    </xf>
    <xf numFmtId="43" fontId="74" fillId="26" borderId="5" xfId="4" applyFont="1" applyFill="1" applyBorder="1" applyAlignment="1">
      <alignment horizontal="right" vertical="center"/>
    </xf>
    <xf numFmtId="43" fontId="74" fillId="26" borderId="36" xfId="4" applyFont="1" applyFill="1" applyBorder="1" applyAlignment="1">
      <alignment horizontal="right" vertical="center"/>
    </xf>
    <xf numFmtId="43" fontId="74" fillId="0" borderId="36" xfId="4" applyFont="1" applyFill="1" applyBorder="1" applyAlignment="1">
      <alignment horizontal="right" vertical="center"/>
    </xf>
    <xf numFmtId="43" fontId="74" fillId="0" borderId="40" xfId="4" applyFont="1" applyFill="1" applyBorder="1" applyAlignment="1">
      <alignment horizontal="right" vertical="center"/>
    </xf>
    <xf numFmtId="49" fontId="75" fillId="0" borderId="20" xfId="9" applyNumberFormat="1" applyFont="1" applyBorder="1" applyAlignment="1">
      <alignment horizontal="right" vertical="center" shrinkToFit="1"/>
    </xf>
    <xf numFmtId="43" fontId="75" fillId="0" borderId="20" xfId="4" applyFont="1" applyFill="1" applyBorder="1" applyAlignment="1">
      <alignment vertical="center" shrinkToFit="1"/>
    </xf>
    <xf numFmtId="4" fontId="75" fillId="0" borderId="21" xfId="4" applyNumberFormat="1" applyFont="1" applyFill="1" applyBorder="1" applyAlignment="1">
      <alignment vertical="center" shrinkToFit="1"/>
    </xf>
    <xf numFmtId="4" fontId="75" fillId="0" borderId="21" xfId="13" applyNumberFormat="1" applyFont="1" applyFill="1" applyBorder="1" applyAlignment="1">
      <alignment vertical="center" shrinkToFit="1"/>
    </xf>
    <xf numFmtId="4" fontId="75" fillId="26" borderId="21" xfId="4" applyNumberFormat="1" applyFont="1" applyFill="1" applyBorder="1" applyAlignment="1">
      <alignment horizontal="right" vertical="center" shrinkToFit="1"/>
    </xf>
    <xf numFmtId="4" fontId="74" fillId="0" borderId="21" xfId="13" applyNumberFormat="1" applyFont="1" applyFill="1" applyBorder="1" applyAlignment="1">
      <alignment vertical="center" shrinkToFit="1"/>
    </xf>
    <xf numFmtId="4" fontId="74" fillId="0" borderId="21" xfId="4" applyNumberFormat="1" applyFont="1" applyFill="1" applyBorder="1" applyAlignment="1">
      <alignment vertical="center" shrinkToFit="1"/>
    </xf>
    <xf numFmtId="4" fontId="74" fillId="26" borderId="21" xfId="4" applyNumberFormat="1" applyFont="1" applyFill="1" applyBorder="1" applyAlignment="1">
      <alignment horizontal="right" vertical="center" shrinkToFit="1"/>
    </xf>
    <xf numFmtId="4" fontId="76" fillId="0" borderId="21" xfId="4" applyNumberFormat="1" applyFont="1" applyFill="1" applyBorder="1" applyAlignment="1">
      <alignment vertical="center" wrapText="1" shrinkToFit="1"/>
    </xf>
    <xf numFmtId="4" fontId="74" fillId="0" borderId="21" xfId="4" applyNumberFormat="1" applyFont="1" applyFill="1" applyBorder="1" applyAlignment="1">
      <alignment vertical="center" wrapText="1" shrinkToFit="1"/>
    </xf>
    <xf numFmtId="4" fontId="75" fillId="0" borderId="21" xfId="4" applyNumberFormat="1" applyFont="1" applyFill="1" applyBorder="1" applyAlignment="1">
      <alignment vertical="center" wrapText="1" shrinkToFit="1"/>
    </xf>
    <xf numFmtId="2" fontId="75" fillId="0" borderId="21" xfId="4" applyNumberFormat="1" applyFont="1" applyFill="1" applyBorder="1" applyAlignment="1">
      <alignment vertical="center" shrinkToFit="1"/>
    </xf>
    <xf numFmtId="2" fontId="75" fillId="0" borderId="21" xfId="9" applyNumberFormat="1" applyFont="1" applyBorder="1" applyAlignment="1">
      <alignment vertical="center" shrinkToFit="1"/>
    </xf>
    <xf numFmtId="43" fontId="75" fillId="0" borderId="21" xfId="9" applyNumberFormat="1" applyFont="1" applyBorder="1" applyAlignment="1">
      <alignment vertical="center" shrinkToFit="1"/>
    </xf>
    <xf numFmtId="189" fontId="75" fillId="0" borderId="51" xfId="9" applyNumberFormat="1" applyFont="1" applyBorder="1" applyAlignment="1">
      <alignment vertical="center" shrinkToFit="1"/>
    </xf>
    <xf numFmtId="4" fontId="75" fillId="0" borderId="21" xfId="5" applyNumberFormat="1" applyFont="1" applyBorder="1" applyAlignment="1">
      <alignment vertical="top"/>
    </xf>
    <xf numFmtId="43" fontId="75" fillId="0" borderId="21" xfId="5" applyNumberFormat="1" applyFont="1" applyBorder="1" applyAlignment="1">
      <alignment vertical="top"/>
    </xf>
    <xf numFmtId="4" fontId="75" fillId="26" borderId="21" xfId="5" applyNumberFormat="1" applyFont="1" applyFill="1" applyBorder="1" applyAlignment="1">
      <alignment horizontal="right" vertical="top"/>
    </xf>
    <xf numFmtId="4" fontId="75" fillId="0" borderId="21" xfId="9" applyNumberFormat="1" applyFont="1" applyBorder="1" applyAlignment="1">
      <alignment vertical="center" shrinkToFit="1"/>
    </xf>
    <xf numFmtId="4" fontId="75" fillId="0" borderId="25" xfId="9" applyNumberFormat="1" applyFont="1" applyBorder="1" applyAlignment="1">
      <alignment vertical="center" shrinkToFit="1"/>
    </xf>
    <xf numFmtId="4" fontId="75" fillId="0" borderId="21" xfId="4" applyNumberFormat="1" applyFont="1" applyFill="1" applyBorder="1" applyAlignment="1">
      <alignment horizontal="right" vertical="center" shrinkToFit="1"/>
    </xf>
    <xf numFmtId="4" fontId="75" fillId="0" borderId="21" xfId="4" applyNumberFormat="1" applyFont="1" applyFill="1" applyBorder="1" applyAlignment="1">
      <alignment horizontal="center" vertical="center" shrinkToFit="1"/>
    </xf>
    <xf numFmtId="2" fontId="75" fillId="0" borderId="21" xfId="4" applyNumberFormat="1" applyFont="1" applyFill="1" applyBorder="1" applyAlignment="1">
      <alignment horizontal="center" vertical="center" shrinkToFit="1"/>
    </xf>
    <xf numFmtId="4" fontId="77" fillId="0" borderId="21" xfId="4" applyNumberFormat="1" applyFont="1" applyFill="1" applyBorder="1" applyAlignment="1">
      <alignment vertical="center" shrinkToFit="1"/>
    </xf>
    <xf numFmtId="2" fontId="75" fillId="0" borderId="23" xfId="4" applyNumberFormat="1" applyFont="1" applyFill="1" applyBorder="1" applyAlignment="1">
      <alignment vertical="center" shrinkToFit="1"/>
    </xf>
    <xf numFmtId="4" fontId="75" fillId="0" borderId="23" xfId="4" applyNumberFormat="1" applyFont="1" applyFill="1" applyBorder="1" applyAlignment="1">
      <alignment vertical="center" shrinkToFit="1"/>
    </xf>
    <xf numFmtId="189" fontId="74" fillId="0" borderId="5" xfId="4" applyNumberFormat="1" applyFont="1" applyFill="1" applyBorder="1" applyAlignment="1">
      <alignment vertical="center" shrinkToFit="1"/>
    </xf>
    <xf numFmtId="43" fontId="74" fillId="26" borderId="5" xfId="4" applyFont="1" applyFill="1" applyBorder="1" applyAlignment="1">
      <alignment vertical="center" shrinkToFit="1"/>
    </xf>
    <xf numFmtId="43" fontId="74" fillId="0" borderId="5" xfId="4" applyFont="1" applyFill="1" applyBorder="1" applyAlignment="1">
      <alignment vertical="center" shrinkToFit="1"/>
    </xf>
    <xf numFmtId="43" fontId="74" fillId="0" borderId="8" xfId="4" applyFont="1" applyFill="1" applyBorder="1" applyAlignment="1">
      <alignment horizontal="left" vertical="center"/>
    </xf>
    <xf numFmtId="43" fontId="74" fillId="0" borderId="40" xfId="4" applyFont="1" applyFill="1" applyBorder="1" applyAlignment="1">
      <alignment vertical="center" shrinkToFit="1"/>
    </xf>
    <xf numFmtId="189" fontId="75" fillId="0" borderId="24" xfId="4" applyNumberFormat="1" applyFont="1" applyFill="1" applyBorder="1" applyAlignment="1">
      <alignment vertical="center" shrinkToFit="1"/>
    </xf>
    <xf numFmtId="189" fontId="75" fillId="0" borderId="23" xfId="4" applyNumberFormat="1" applyFont="1" applyFill="1" applyBorder="1" applyAlignment="1">
      <alignment vertical="center" shrinkToFit="1"/>
    </xf>
    <xf numFmtId="49" fontId="74" fillId="0" borderId="20" xfId="9" applyNumberFormat="1" applyFont="1" applyBorder="1" applyAlignment="1">
      <alignment horizontal="right" vertical="center" shrinkToFit="1"/>
    </xf>
    <xf numFmtId="43" fontId="75" fillId="0" borderId="20" xfId="4" applyFont="1" applyBorder="1" applyAlignment="1">
      <alignment vertical="center" shrinkToFit="1"/>
    </xf>
    <xf numFmtId="0" fontId="74" fillId="0" borderId="20" xfId="9" applyFont="1" applyBorder="1" applyAlignment="1">
      <alignment vertical="center" shrinkToFit="1"/>
    </xf>
    <xf numFmtId="189" fontId="75" fillId="0" borderId="20" xfId="4" applyNumberFormat="1" applyFont="1" applyFill="1" applyBorder="1" applyAlignment="1">
      <alignment vertical="center" shrinkToFit="1"/>
    </xf>
    <xf numFmtId="189" fontId="75" fillId="0" borderId="53" xfId="4" applyNumberFormat="1" applyFont="1" applyFill="1" applyBorder="1" applyAlignment="1">
      <alignment vertical="center" shrinkToFit="1"/>
    </xf>
    <xf numFmtId="189" fontId="75" fillId="0" borderId="51" xfId="4" applyNumberFormat="1" applyFont="1" applyFill="1" applyBorder="1" applyAlignment="1">
      <alignment vertical="center" shrinkToFit="1"/>
    </xf>
    <xf numFmtId="43" fontId="75" fillId="0" borderId="21" xfId="13" applyFont="1" applyFill="1" applyBorder="1" applyAlignment="1"/>
    <xf numFmtId="189" fontId="75" fillId="0" borderId="21" xfId="4" applyNumberFormat="1" applyFont="1" applyFill="1" applyBorder="1" applyAlignment="1"/>
    <xf numFmtId="189" fontId="75" fillId="0" borderId="21" xfId="4" applyNumberFormat="1" applyFont="1" applyFill="1" applyBorder="1" applyAlignment="1">
      <alignment horizontal="center"/>
    </xf>
    <xf numFmtId="43" fontId="75" fillId="0" borderId="21" xfId="4" applyFont="1" applyFill="1" applyBorder="1" applyAlignment="1"/>
    <xf numFmtId="43" fontId="75" fillId="0" borderId="51" xfId="4" applyFont="1" applyFill="1" applyBorder="1" applyAlignment="1"/>
    <xf numFmtId="43" fontId="75" fillId="26" borderId="21" xfId="4" applyFont="1" applyFill="1" applyBorder="1" applyAlignment="1"/>
    <xf numFmtId="49" fontId="74" fillId="0" borderId="23" xfId="9" applyNumberFormat="1" applyFont="1" applyBorder="1" applyAlignment="1">
      <alignment horizontal="right" vertical="top" shrinkToFit="1"/>
    </xf>
    <xf numFmtId="0" fontId="75" fillId="0" borderId="23" xfId="9" applyFont="1" applyBorder="1" applyAlignment="1">
      <alignment vertical="top" shrinkToFit="1"/>
    </xf>
    <xf numFmtId="0" fontId="75" fillId="0" borderId="23" xfId="9" applyFont="1" applyBorder="1" applyAlignment="1">
      <alignment horizontal="center" vertical="top" shrinkToFit="1"/>
    </xf>
    <xf numFmtId="43" fontId="75" fillId="0" borderId="23" xfId="13" applyFont="1" applyFill="1" applyBorder="1" applyAlignment="1">
      <alignment vertical="top"/>
    </xf>
    <xf numFmtId="43" fontId="75" fillId="0" borderId="23" xfId="4" applyFont="1" applyFill="1" applyBorder="1" applyAlignment="1">
      <alignment vertical="top"/>
    </xf>
    <xf numFmtId="189" fontId="75" fillId="0" borderId="23" xfId="4" applyNumberFormat="1" applyFont="1" applyFill="1" applyBorder="1" applyAlignment="1">
      <alignment horizontal="center"/>
    </xf>
    <xf numFmtId="43" fontId="75" fillId="26" borderId="23" xfId="4" applyFont="1" applyFill="1" applyBorder="1" applyAlignment="1">
      <alignment vertical="top"/>
    </xf>
    <xf numFmtId="189" fontId="75" fillId="0" borderId="52" xfId="4" applyNumberFormat="1" applyFont="1" applyFill="1" applyBorder="1" applyAlignment="1">
      <alignment vertical="center" shrinkToFit="1"/>
    </xf>
    <xf numFmtId="43" fontId="75" fillId="0" borderId="52" xfId="4" applyFont="1" applyFill="1" applyBorder="1" applyAlignment="1">
      <alignment vertical="top"/>
    </xf>
    <xf numFmtId="189" fontId="74" fillId="0" borderId="5" xfId="13" applyNumberFormat="1" applyFont="1" applyFill="1" applyBorder="1" applyAlignment="1">
      <alignment horizontal="center" vertical="center" shrinkToFit="1"/>
    </xf>
    <xf numFmtId="189" fontId="74" fillId="0" borderId="24" xfId="4" applyNumberFormat="1" applyFont="1" applyFill="1" applyBorder="1" applyAlignment="1">
      <alignment horizontal="center" vertical="center" shrinkToFit="1"/>
    </xf>
    <xf numFmtId="189" fontId="75" fillId="0" borderId="36" xfId="4" applyNumberFormat="1" applyFont="1" applyFill="1" applyBorder="1" applyAlignment="1">
      <alignment horizontal="right" vertical="center" shrinkToFit="1"/>
    </xf>
    <xf numFmtId="43" fontId="75" fillId="0" borderId="36" xfId="4" applyFont="1" applyFill="1" applyBorder="1" applyAlignment="1">
      <alignment horizontal="left" vertical="center" shrinkToFit="1"/>
    </xf>
    <xf numFmtId="189" fontId="74" fillId="0" borderId="36" xfId="4" applyNumberFormat="1" applyFont="1" applyFill="1" applyBorder="1" applyAlignment="1">
      <alignment horizontal="right" vertical="center" shrinkToFit="1"/>
    </xf>
    <xf numFmtId="189" fontId="74" fillId="0" borderId="36" xfId="4" applyNumberFormat="1" applyFont="1" applyFill="1" applyBorder="1" applyAlignment="1">
      <alignment vertical="center"/>
    </xf>
    <xf numFmtId="189" fontId="76" fillId="0" borderId="36" xfId="4" applyNumberFormat="1" applyFont="1" applyFill="1" applyBorder="1" applyAlignment="1">
      <alignment vertical="center"/>
    </xf>
    <xf numFmtId="189" fontId="74" fillId="0" borderId="40" xfId="4" applyNumberFormat="1" applyFont="1" applyFill="1" applyBorder="1" applyAlignment="1">
      <alignment vertical="center"/>
    </xf>
    <xf numFmtId="43" fontId="75" fillId="0" borderId="40" xfId="4" applyFont="1" applyFill="1" applyBorder="1" applyAlignment="1">
      <alignment horizontal="left" vertical="center" shrinkToFit="1"/>
    </xf>
    <xf numFmtId="49" fontId="74" fillId="0" borderId="20" xfId="9" applyNumberFormat="1" applyFont="1" applyBorder="1" applyAlignment="1">
      <alignment horizontal="center" vertical="center" shrinkToFit="1"/>
    </xf>
    <xf numFmtId="43" fontId="74" fillId="0" borderId="38" xfId="4" applyFont="1" applyFill="1" applyBorder="1" applyAlignment="1">
      <alignment vertical="center"/>
    </xf>
    <xf numFmtId="189" fontId="74" fillId="0" borderId="50" xfId="4" applyNumberFormat="1" applyFont="1" applyFill="1" applyBorder="1" applyAlignment="1">
      <alignment vertical="center"/>
    </xf>
    <xf numFmtId="189" fontId="74" fillId="0" borderId="39" xfId="4" applyNumberFormat="1" applyFont="1" applyFill="1" applyBorder="1" applyAlignment="1">
      <alignment vertical="center"/>
    </xf>
    <xf numFmtId="43" fontId="75" fillId="0" borderId="53" xfId="4" applyFont="1" applyFill="1" applyBorder="1" applyAlignment="1">
      <alignment horizontal="left" vertical="center" shrinkToFit="1"/>
    </xf>
    <xf numFmtId="43" fontId="75" fillId="0" borderId="20" xfId="4" applyFont="1" applyFill="1" applyBorder="1" applyAlignment="1">
      <alignment horizontal="left" vertical="center" shrinkToFit="1"/>
    </xf>
    <xf numFmtId="189" fontId="75" fillId="0" borderId="20" xfId="4" applyNumberFormat="1" applyFont="1" applyFill="1" applyBorder="1" applyAlignment="1">
      <alignment horizontal="left" vertical="center" shrinkToFit="1"/>
    </xf>
    <xf numFmtId="49" fontId="74" fillId="0" borderId="23" xfId="9" applyNumberFormat="1" applyFont="1" applyBorder="1" applyAlignment="1">
      <alignment horizontal="center" vertical="center" shrinkToFit="1"/>
    </xf>
    <xf numFmtId="189" fontId="75" fillId="0" borderId="23" xfId="4" applyNumberFormat="1" applyFont="1" applyFill="1" applyBorder="1" applyAlignment="1">
      <alignment horizontal="left" vertical="center" shrinkToFit="1"/>
    </xf>
    <xf numFmtId="0" fontId="75" fillId="0" borderId="0" xfId="9" applyFont="1" applyAlignment="1">
      <alignment horizontal="center" vertical="center" shrinkToFit="1"/>
    </xf>
    <xf numFmtId="43" fontId="75" fillId="0" borderId="0" xfId="4" applyFont="1" applyFill="1" applyAlignment="1">
      <alignment vertical="center" shrinkToFit="1"/>
    </xf>
    <xf numFmtId="43" fontId="74" fillId="0" borderId="0" xfId="4" applyFont="1" applyFill="1" applyBorder="1" applyAlignment="1">
      <alignment horizontal="left" vertical="center" shrinkToFit="1"/>
    </xf>
    <xf numFmtId="49" fontId="75" fillId="0" borderId="0" xfId="9" applyNumberFormat="1" applyFont="1" applyAlignment="1">
      <alignment vertical="center" shrinkToFit="1"/>
    </xf>
    <xf numFmtId="43" fontId="75" fillId="0" borderId="0" xfId="9" applyNumberFormat="1" applyFont="1" applyAlignment="1">
      <alignment vertical="center" shrinkToFit="1"/>
    </xf>
    <xf numFmtId="43" fontId="75" fillId="0" borderId="0" xfId="9" applyNumberFormat="1" applyFont="1" applyAlignment="1">
      <alignment horizontal="left" vertical="center" shrinkToFit="1"/>
    </xf>
    <xf numFmtId="43" fontId="75" fillId="0" borderId="0" xfId="4" applyFont="1" applyFill="1" applyAlignment="1">
      <alignment horizontal="left" vertical="center" shrinkToFit="1"/>
    </xf>
    <xf numFmtId="4" fontId="75" fillId="0" borderId="0" xfId="9" applyNumberFormat="1" applyFont="1" applyAlignment="1">
      <alignment vertical="center" shrinkToFit="1"/>
    </xf>
    <xf numFmtId="4" fontId="75" fillId="0" borderId="0" xfId="9" applyNumberFormat="1" applyFont="1" applyAlignment="1">
      <alignment horizontal="left" vertical="center" shrinkToFit="1"/>
    </xf>
    <xf numFmtId="0" fontId="75" fillId="0" borderId="0" xfId="9" applyFont="1" applyAlignment="1">
      <alignment horizontal="left" vertical="center" shrinkToFit="1"/>
    </xf>
    <xf numFmtId="187" fontId="75" fillId="0" borderId="0" xfId="9" applyNumberFormat="1" applyFont="1" applyAlignment="1">
      <alignment vertical="center" shrinkToFit="1"/>
    </xf>
    <xf numFmtId="43" fontId="75" fillId="0" borderId="21" xfId="4" applyFont="1" applyBorder="1" applyAlignment="1">
      <alignment horizontal="right" vertical="center" shrinkToFit="1"/>
    </xf>
    <xf numFmtId="43" fontId="75" fillId="0" borderId="21" xfId="4" applyFont="1" applyBorder="1" applyAlignment="1">
      <alignment horizontal="center" vertical="center" shrinkToFit="1"/>
    </xf>
    <xf numFmtId="43" fontId="75" fillId="0" borderId="21" xfId="4" applyFont="1" applyBorder="1"/>
    <xf numFmtId="43" fontId="75" fillId="40" borderId="21" xfId="4" applyFont="1" applyFill="1" applyBorder="1" applyAlignment="1">
      <alignment horizontal="right" vertical="center"/>
    </xf>
    <xf numFmtId="43" fontId="74" fillId="0" borderId="20" xfId="13" applyFont="1" applyFill="1" applyBorder="1" applyAlignment="1">
      <alignment horizontal="center" vertical="center" shrinkToFit="1"/>
    </xf>
    <xf numFmtId="43" fontId="74" fillId="26" borderId="20" xfId="4" applyFont="1" applyFill="1" applyBorder="1" applyAlignment="1">
      <alignment horizontal="center" vertical="center" shrinkToFit="1"/>
    </xf>
    <xf numFmtId="43" fontId="74" fillId="0" borderId="20" xfId="4" applyFont="1" applyFill="1" applyBorder="1" applyAlignment="1">
      <alignment horizontal="left" vertical="center"/>
    </xf>
    <xf numFmtId="43" fontId="19" fillId="0" borderId="36" xfId="4" applyFont="1" applyFill="1" applyBorder="1" applyAlignment="1">
      <alignment vertical="center"/>
    </xf>
    <xf numFmtId="43" fontId="72" fillId="0" borderId="5" xfId="10" applyNumberFormat="1" applyFont="1" applyBorder="1" applyAlignment="1">
      <alignment horizontal="left" vertical="top" wrapText="1"/>
    </xf>
    <xf numFmtId="4" fontId="10" fillId="0" borderId="0" xfId="10" applyNumberFormat="1" applyFont="1" applyAlignment="1">
      <alignment horizontal="left" vertical="top"/>
    </xf>
    <xf numFmtId="0" fontId="10" fillId="0" borderId="0" xfId="10" applyFont="1" applyAlignment="1">
      <alignment horizontal="left" vertical="top"/>
    </xf>
    <xf numFmtId="43" fontId="4" fillId="0" borderId="0" xfId="4" applyFont="1" applyAlignment="1">
      <alignment vertical="top"/>
    </xf>
    <xf numFmtId="0" fontId="4" fillId="0" borderId="0" xfId="10" applyFont="1" applyAlignment="1">
      <alignment vertical="top"/>
    </xf>
    <xf numFmtId="14" fontId="45" fillId="0" borderId="0" xfId="0" applyNumberFormat="1" applyFont="1" applyAlignment="1">
      <alignment horizontal="left" vertical="center"/>
    </xf>
    <xf numFmtId="49" fontId="74" fillId="0" borderId="4" xfId="9" applyNumberFormat="1" applyFont="1" applyBorder="1" applyAlignment="1">
      <alignment horizontal="right" vertical="center" shrinkToFit="1"/>
    </xf>
    <xf numFmtId="0" fontId="75" fillId="0" borderId="4" xfId="9" applyFont="1" applyBorder="1" applyAlignment="1">
      <alignment horizontal="center" vertical="center" shrinkToFit="1"/>
    </xf>
    <xf numFmtId="43" fontId="75" fillId="26" borderId="20" xfId="4" applyFont="1" applyFill="1" applyBorder="1" applyAlignment="1">
      <alignment vertical="center" shrinkToFit="1"/>
    </xf>
    <xf numFmtId="189" fontId="75" fillId="0" borderId="22" xfId="4" applyNumberFormat="1" applyFont="1" applyFill="1" applyBorder="1" applyAlignment="1">
      <alignment vertical="center" shrinkToFit="1"/>
    </xf>
    <xf numFmtId="43" fontId="74" fillId="0" borderId="4" xfId="4" applyFont="1" applyFill="1" applyBorder="1" applyAlignment="1">
      <alignment horizontal="center" vertical="center" shrinkToFit="1"/>
    </xf>
    <xf numFmtId="0" fontId="74" fillId="0" borderId="4" xfId="9" applyFont="1" applyBorder="1" applyAlignment="1">
      <alignment vertical="center" shrinkToFit="1"/>
    </xf>
    <xf numFmtId="43" fontId="74" fillId="0" borderId="4" xfId="4" applyFont="1" applyFill="1" applyBorder="1" applyAlignment="1">
      <alignment vertical="center" shrinkToFit="1"/>
    </xf>
    <xf numFmtId="4" fontId="74" fillId="0" borderId="4" xfId="4" applyNumberFormat="1" applyFont="1" applyFill="1" applyBorder="1" applyAlignment="1">
      <alignment vertical="center" shrinkToFit="1"/>
    </xf>
    <xf numFmtId="189" fontId="74" fillId="0" borderId="4" xfId="4" applyNumberFormat="1" applyFont="1" applyFill="1" applyBorder="1" applyAlignment="1">
      <alignment vertical="center" shrinkToFit="1"/>
    </xf>
    <xf numFmtId="189" fontId="74" fillId="0" borderId="4" xfId="4" applyNumberFormat="1" applyFont="1" applyFill="1" applyBorder="1" applyAlignment="1">
      <alignment horizontal="center" vertical="center" shrinkToFit="1"/>
    </xf>
    <xf numFmtId="189" fontId="74" fillId="0" borderId="4" xfId="13" applyNumberFormat="1" applyFont="1" applyFill="1" applyBorder="1" applyAlignment="1">
      <alignment vertical="center" shrinkToFit="1"/>
    </xf>
    <xf numFmtId="189" fontId="74" fillId="0" borderId="4" xfId="4" applyNumberFormat="1" applyFont="1" applyBorder="1" applyAlignment="1">
      <alignment vertical="top" wrapText="1"/>
    </xf>
    <xf numFmtId="43" fontId="74" fillId="26" borderId="4" xfId="4" applyFont="1" applyFill="1" applyBorder="1" applyAlignment="1">
      <alignment vertical="center" shrinkToFit="1"/>
    </xf>
    <xf numFmtId="43" fontId="74" fillId="0" borderId="4" xfId="4" applyFont="1" applyFill="1" applyBorder="1" applyAlignment="1">
      <alignment vertical="center"/>
    </xf>
    <xf numFmtId="189" fontId="74" fillId="0" borderId="4" xfId="4" applyNumberFormat="1" applyFont="1" applyFill="1" applyBorder="1" applyAlignment="1">
      <alignment vertical="center"/>
    </xf>
    <xf numFmtId="189" fontId="74" fillId="0" borderId="17" xfId="4" applyNumberFormat="1" applyFont="1" applyFill="1" applyBorder="1" applyAlignment="1">
      <alignment vertical="center"/>
    </xf>
    <xf numFmtId="43" fontId="74" fillId="0" borderId="17" xfId="4" applyFont="1" applyFill="1" applyBorder="1" applyAlignment="1">
      <alignment vertical="center" shrinkToFit="1"/>
    </xf>
    <xf numFmtId="49" fontId="74" fillId="0" borderId="21" xfId="9" applyNumberFormat="1" applyFont="1" applyBorder="1" applyAlignment="1">
      <alignment horizontal="center" vertical="center" shrinkToFit="1"/>
    </xf>
    <xf numFmtId="189" fontId="75" fillId="0" borderId="21" xfId="4" applyNumberFormat="1" applyFont="1" applyFill="1" applyBorder="1" applyAlignment="1">
      <alignment horizontal="left" vertical="center" shrinkToFit="1"/>
    </xf>
    <xf numFmtId="43" fontId="77" fillId="0" borderId="21" xfId="9" applyNumberFormat="1" applyFont="1" applyBorder="1" applyAlignment="1">
      <alignment horizontal="right" vertical="top" shrinkToFit="1"/>
    </xf>
    <xf numFmtId="0" fontId="78" fillId="0" borderId="21" xfId="0" applyFont="1" applyBorder="1" applyAlignment="1">
      <alignment horizontal="left" vertical="top" wrapText="1" shrinkToFit="1"/>
    </xf>
    <xf numFmtId="43" fontId="78" fillId="0" borderId="21" xfId="9" applyNumberFormat="1" applyFont="1" applyBorder="1" applyAlignment="1">
      <alignment horizontal="center" vertical="top" shrinkToFit="1"/>
    </xf>
    <xf numFmtId="43" fontId="78" fillId="0" borderId="21" xfId="4" applyFont="1" applyFill="1" applyBorder="1" applyAlignment="1">
      <alignment horizontal="center" vertical="top" shrinkToFit="1"/>
    </xf>
    <xf numFmtId="43" fontId="78" fillId="0" borderId="21" xfId="13" applyFont="1" applyFill="1" applyBorder="1" applyAlignment="1">
      <alignment horizontal="center" vertical="top" shrinkToFit="1"/>
    </xf>
    <xf numFmtId="43" fontId="77" fillId="0" borderId="21" xfId="4" applyFont="1" applyFill="1" applyBorder="1" applyAlignment="1">
      <alignment horizontal="center" vertical="top" shrinkToFit="1"/>
    </xf>
    <xf numFmtId="43" fontId="77" fillId="0" borderId="21" xfId="4" applyFont="1" applyFill="1" applyBorder="1" applyAlignment="1">
      <alignment horizontal="center" vertical="top" wrapText="1" shrinkToFit="1"/>
    </xf>
    <xf numFmtId="43" fontId="75" fillId="0" borderId="21" xfId="4" applyFont="1" applyFill="1" applyBorder="1" applyAlignment="1">
      <alignment horizontal="right" vertical="top" wrapText="1" indent="1" shrinkToFit="1"/>
    </xf>
    <xf numFmtId="2" fontId="75" fillId="0" borderId="21" xfId="4" applyNumberFormat="1" applyFont="1" applyFill="1" applyBorder="1" applyAlignment="1">
      <alignment horizontal="right" vertical="top" wrapText="1" shrinkToFit="1"/>
    </xf>
    <xf numFmtId="2" fontId="75" fillId="0" borderId="21" xfId="4" applyNumberFormat="1" applyFont="1" applyFill="1" applyBorder="1" applyAlignment="1">
      <alignment horizontal="right" vertical="top" shrinkToFit="1"/>
    </xf>
    <xf numFmtId="189" fontId="75" fillId="0" borderId="44" xfId="4" applyNumberFormat="1" applyFont="1" applyFill="1" applyBorder="1" applyAlignment="1">
      <alignment vertical="center" shrinkToFit="1"/>
    </xf>
    <xf numFmtId="43" fontId="78" fillId="0" borderId="21" xfId="4" applyFont="1" applyFill="1" applyBorder="1" applyAlignment="1">
      <alignment horizontal="left" vertical="center" shrinkToFit="1"/>
    </xf>
    <xf numFmtId="43" fontId="75" fillId="0" borderId="24" xfId="13" applyFont="1" applyFill="1" applyBorder="1" applyAlignment="1"/>
    <xf numFmtId="189" fontId="75" fillId="0" borderId="24" xfId="4" applyNumberFormat="1" applyFont="1" applyFill="1" applyBorder="1" applyAlignment="1"/>
    <xf numFmtId="189" fontId="75" fillId="0" borderId="24" xfId="4" applyNumberFormat="1" applyFont="1" applyFill="1" applyBorder="1" applyAlignment="1">
      <alignment horizontal="center"/>
    </xf>
    <xf numFmtId="43" fontId="75" fillId="0" borderId="24" xfId="4" applyFont="1" applyFill="1" applyBorder="1" applyAlignment="1"/>
    <xf numFmtId="43" fontId="75" fillId="0" borderId="44" xfId="4" applyFont="1" applyFill="1" applyBorder="1" applyAlignment="1"/>
    <xf numFmtId="0" fontId="78" fillId="0" borderId="21" xfId="0" applyFont="1" applyBorder="1" applyAlignment="1">
      <alignment vertical="center"/>
    </xf>
    <xf numFmtId="43" fontId="78" fillId="0" borderId="21" xfId="18" applyFont="1" applyFill="1" applyBorder="1" applyAlignment="1">
      <alignment horizontal="left" vertical="top"/>
    </xf>
    <xf numFmtId="189" fontId="78" fillId="0" borderId="21" xfId="4" applyNumberFormat="1" applyFont="1" applyFill="1" applyBorder="1" applyAlignment="1">
      <alignment horizontal="right" vertical="top" shrinkToFit="1"/>
    </xf>
    <xf numFmtId="3" fontId="78" fillId="0" borderId="21" xfId="0" applyNumberFormat="1" applyFont="1" applyBorder="1"/>
    <xf numFmtId="0" fontId="78" fillId="0" borderId="21" xfId="0" applyFont="1" applyBorder="1"/>
    <xf numFmtId="3" fontId="78" fillId="0" borderId="21" xfId="0" applyNumberFormat="1" applyFont="1" applyBorder="1" applyAlignment="1">
      <alignment horizontal="right" vertical="center"/>
    </xf>
    <xf numFmtId="0" fontId="74" fillId="0" borderId="11" xfId="9" applyFont="1" applyBorder="1" applyAlignment="1">
      <alignment vertical="center" shrinkToFit="1"/>
    </xf>
    <xf numFmtId="43" fontId="74" fillId="0" borderId="53" xfId="4" applyFont="1" applyBorder="1" applyAlignment="1">
      <alignment vertical="center" shrinkToFit="1"/>
    </xf>
    <xf numFmtId="43" fontId="74" fillId="0" borderId="51" xfId="4" applyFont="1" applyBorder="1" applyAlignment="1">
      <alignment vertical="center" shrinkToFit="1"/>
    </xf>
    <xf numFmtId="43" fontId="74" fillId="0" borderId="51" xfId="4" applyFont="1" applyBorder="1" applyAlignment="1">
      <alignment vertical="top" shrinkToFit="1"/>
    </xf>
    <xf numFmtId="43" fontId="74" fillId="0" borderId="52" xfId="4" applyFont="1" applyBorder="1" applyAlignment="1">
      <alignment vertical="center" shrinkToFit="1"/>
    </xf>
    <xf numFmtId="43" fontId="74" fillId="0" borderId="44" xfId="4" applyFont="1" applyBorder="1" applyAlignment="1">
      <alignment vertical="center" shrinkToFit="1"/>
    </xf>
    <xf numFmtId="43" fontId="74" fillId="0" borderId="21" xfId="4" applyFont="1" applyBorder="1" applyAlignment="1">
      <alignment vertical="center" shrinkToFit="1"/>
    </xf>
    <xf numFmtId="43" fontId="74" fillId="0" borderId="21" xfId="4" applyFont="1" applyBorder="1" applyAlignment="1">
      <alignment vertical="top" shrinkToFit="1"/>
    </xf>
    <xf numFmtId="43" fontId="75" fillId="0" borderId="51" xfId="4" applyFont="1" applyBorder="1" applyAlignment="1">
      <alignment vertical="top" shrinkToFit="1"/>
    </xf>
    <xf numFmtId="43" fontId="75" fillId="0" borderId="51" xfId="4" applyFont="1" applyBorder="1" applyAlignment="1">
      <alignment vertical="center" shrinkToFit="1"/>
    </xf>
    <xf numFmtId="43" fontId="75" fillId="7" borderId="51" xfId="4" applyFont="1" applyFill="1" applyBorder="1" applyAlignment="1">
      <alignment vertical="top" shrinkToFit="1"/>
    </xf>
    <xf numFmtId="43" fontId="75" fillId="0" borderId="52" xfId="4" applyFont="1" applyBorder="1" applyAlignment="1">
      <alignment vertical="center" shrinkToFit="1"/>
    </xf>
    <xf numFmtId="43" fontId="75" fillId="0" borderId="44" xfId="4" applyFont="1" applyBorder="1" applyAlignment="1">
      <alignment vertical="top" shrinkToFit="1"/>
    </xf>
    <xf numFmtId="43" fontId="75" fillId="7" borderId="51" xfId="4" applyFont="1" applyFill="1" applyBorder="1" applyAlignment="1">
      <alignment horizontal="center" vertical="center" shrinkToFit="1"/>
    </xf>
    <xf numFmtId="43" fontId="78" fillId="7" borderId="51" xfId="4" applyFont="1" applyFill="1" applyBorder="1" applyAlignment="1">
      <alignment horizontal="center" vertical="center" shrinkToFit="1"/>
    </xf>
    <xf numFmtId="43" fontId="77" fillId="0" borderId="51" xfId="4" applyFont="1" applyBorder="1" applyAlignment="1">
      <alignment vertical="top" wrapText="1"/>
    </xf>
    <xf numFmtId="43" fontId="75" fillId="0" borderId="51" xfId="4" applyFont="1" applyFill="1" applyBorder="1" applyAlignment="1">
      <alignment horizontal="right" vertical="top" wrapText="1" shrinkToFit="1"/>
    </xf>
    <xf numFmtId="189" fontId="75" fillId="0" borderId="51" xfId="4" applyNumberFormat="1" applyFont="1" applyFill="1" applyBorder="1" applyAlignment="1">
      <alignment vertical="top" shrinkToFit="1"/>
    </xf>
    <xf numFmtId="43" fontId="75" fillId="0" borderId="51" xfId="4" applyFont="1" applyBorder="1" applyAlignment="1">
      <alignment vertical="top" wrapText="1"/>
    </xf>
    <xf numFmtId="43" fontId="78" fillId="0" borderId="51" xfId="4" applyFont="1" applyBorder="1" applyAlignment="1">
      <alignment vertical="center" shrinkToFit="1"/>
    </xf>
    <xf numFmtId="43" fontId="77" fillId="0" borderId="51" xfId="4" applyFont="1" applyBorder="1" applyAlignment="1">
      <alignment vertical="center" shrinkToFit="1"/>
    </xf>
    <xf numFmtId="43" fontId="77" fillId="0" borderId="43" xfId="4" applyFont="1" applyBorder="1" applyAlignment="1">
      <alignment vertical="top" wrapText="1"/>
    </xf>
    <xf numFmtId="43" fontId="75" fillId="0" borderId="53" xfId="4" applyFont="1" applyBorder="1" applyAlignment="1">
      <alignment vertical="center" shrinkToFit="1"/>
    </xf>
    <xf numFmtId="43" fontId="75" fillId="0" borderId="23" xfId="9" applyNumberFormat="1" applyFont="1" applyBorder="1" applyAlignment="1">
      <alignment vertical="center" shrinkToFit="1"/>
    </xf>
    <xf numFmtId="4" fontId="83" fillId="0" borderId="0" xfId="0" applyNumberFormat="1" applyFont="1" applyAlignment="1">
      <alignment horizontal="center" vertical="top"/>
    </xf>
    <xf numFmtId="4" fontId="83" fillId="0" borderId="5" xfId="1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left" vertical="center" shrinkToFit="1"/>
    </xf>
    <xf numFmtId="43" fontId="45" fillId="0" borderId="20" xfId="0" applyNumberFormat="1" applyFont="1" applyBorder="1" applyAlignment="1">
      <alignment vertical="center"/>
    </xf>
    <xf numFmtId="0" fontId="45" fillId="0" borderId="21" xfId="0" applyFont="1" applyBorder="1" applyAlignment="1">
      <alignment horizontal="left" vertical="center" wrapText="1" shrinkToFit="1"/>
    </xf>
    <xf numFmtId="39" fontId="45" fillId="0" borderId="21" xfId="0" applyNumberFormat="1" applyFont="1" applyBorder="1" applyAlignment="1">
      <alignment vertical="center"/>
    </xf>
    <xf numFmtId="0" fontId="45" fillId="0" borderId="21" xfId="0" applyFont="1" applyBorder="1" applyAlignment="1">
      <alignment horizontal="left" vertical="top" wrapText="1" shrinkToFit="1"/>
    </xf>
    <xf numFmtId="43" fontId="45" fillId="0" borderId="21" xfId="11" applyFont="1" applyFill="1" applyBorder="1" applyAlignment="1">
      <alignment vertical="top"/>
    </xf>
    <xf numFmtId="43" fontId="45" fillId="0" borderId="21" xfId="4" applyFont="1" applyFill="1" applyBorder="1" applyAlignment="1">
      <alignment vertical="top"/>
    </xf>
    <xf numFmtId="43" fontId="45" fillId="0" borderId="21" xfId="0" applyNumberFormat="1" applyFont="1" applyBorder="1" applyAlignment="1">
      <alignment vertical="top"/>
    </xf>
    <xf numFmtId="43" fontId="45" fillId="0" borderId="0" xfId="0" applyNumberFormat="1" applyFont="1" applyAlignment="1">
      <alignment horizontal="left" vertical="top"/>
    </xf>
    <xf numFmtId="2" fontId="45" fillId="0" borderId="21" xfId="0" applyNumberFormat="1" applyFont="1" applyBorder="1" applyAlignment="1">
      <alignment vertical="center"/>
    </xf>
    <xf numFmtId="2" fontId="45" fillId="0" borderId="20" xfId="4" applyNumberFormat="1" applyFont="1" applyFill="1" applyBorder="1" applyAlignment="1">
      <alignment vertical="center"/>
    </xf>
    <xf numFmtId="189" fontId="45" fillId="0" borderId="23" xfId="4" applyNumberFormat="1" applyFont="1" applyFill="1" applyBorder="1" applyAlignment="1">
      <alignment vertical="center"/>
    </xf>
    <xf numFmtId="43" fontId="75" fillId="0" borderId="21" xfId="9" applyNumberFormat="1" applyFont="1" applyBorder="1" applyAlignment="1">
      <alignment horizontal="right" vertical="center"/>
    </xf>
    <xf numFmtId="0" fontId="75" fillId="0" borderId="21" xfId="17" applyFont="1" applyBorder="1" applyAlignment="1">
      <alignment horizontal="left" vertical="top"/>
    </xf>
    <xf numFmtId="43" fontId="75" fillId="0" borderId="21" xfId="9" applyNumberFormat="1" applyFont="1" applyBorder="1" applyAlignment="1">
      <alignment horizontal="center" vertical="center"/>
    </xf>
    <xf numFmtId="43" fontId="75" fillId="0" borderId="21" xfId="4" applyFont="1" applyFill="1" applyBorder="1" applyAlignment="1">
      <alignment horizontal="center" vertical="center"/>
    </xf>
    <xf numFmtId="43" fontId="75" fillId="0" borderId="21" xfId="13" applyFont="1" applyFill="1" applyBorder="1" applyAlignment="1">
      <alignment horizontal="center" vertical="center"/>
    </xf>
    <xf numFmtId="43" fontId="75" fillId="26" borderId="21" xfId="4" applyFont="1" applyFill="1" applyBorder="1" applyAlignment="1">
      <alignment horizontal="center" vertical="center"/>
    </xf>
    <xf numFmtId="0" fontId="75" fillId="0" borderId="21" xfId="9" applyFont="1" applyBorder="1" applyAlignment="1">
      <alignment vertical="center"/>
    </xf>
    <xf numFmtId="189" fontId="75" fillId="0" borderId="21" xfId="4" applyNumberFormat="1" applyFont="1" applyFill="1" applyBorder="1" applyAlignment="1">
      <alignment horizontal="right" vertical="center"/>
    </xf>
    <xf numFmtId="189" fontId="75" fillId="0" borderId="21" xfId="4" applyNumberFormat="1" applyFont="1" applyFill="1" applyBorder="1" applyAlignment="1">
      <alignment horizontal="right" vertical="top"/>
    </xf>
    <xf numFmtId="2" fontId="75" fillId="0" borderId="21" xfId="4" applyNumberFormat="1" applyFont="1" applyFill="1" applyBorder="1" applyAlignment="1">
      <alignment horizontal="right" vertical="top"/>
    </xf>
    <xf numFmtId="43" fontId="77" fillId="0" borderId="51" xfId="4" applyFont="1" applyFill="1" applyBorder="1" applyAlignment="1">
      <alignment vertical="top" wrapText="1"/>
    </xf>
    <xf numFmtId="43" fontId="74" fillId="0" borderId="21" xfId="15" applyFont="1" applyFill="1" applyBorder="1" applyAlignment="1">
      <alignment vertical="center"/>
    </xf>
    <xf numFmtId="189" fontId="79" fillId="0" borderId="40" xfId="4" applyNumberFormat="1" applyFont="1" applyFill="1" applyBorder="1" applyAlignment="1">
      <alignment vertical="center"/>
    </xf>
    <xf numFmtId="43" fontId="49" fillId="0" borderId="20" xfId="4" applyFont="1" applyFill="1" applyBorder="1" applyAlignment="1">
      <alignment vertical="center"/>
    </xf>
    <xf numFmtId="189" fontId="49" fillId="0" borderId="20" xfId="4" applyNumberFormat="1" applyFont="1" applyFill="1" applyBorder="1" applyAlignment="1">
      <alignment vertical="center"/>
    </xf>
    <xf numFmtId="189" fontId="49" fillId="0" borderId="21" xfId="4" applyNumberFormat="1" applyFont="1" applyFill="1" applyBorder="1" applyAlignment="1">
      <alignment vertical="center"/>
    </xf>
    <xf numFmtId="2" fontId="49" fillId="0" borderId="21" xfId="4" applyNumberFormat="1" applyFont="1" applyFill="1" applyBorder="1" applyAlignment="1">
      <alignment vertical="center"/>
    </xf>
    <xf numFmtId="43" fontId="74" fillId="0" borderId="36" xfId="4" applyFont="1" applyBorder="1" applyAlignment="1">
      <alignment vertical="center" shrinkToFit="1"/>
    </xf>
    <xf numFmtId="43" fontId="74" fillId="0" borderId="21" xfId="4" applyFont="1" applyFill="1" applyBorder="1" applyAlignment="1">
      <alignment horizontal="center" vertical="top" shrinkToFit="1"/>
    </xf>
    <xf numFmtId="43" fontId="74" fillId="0" borderId="21" xfId="4" applyFont="1" applyFill="1" applyBorder="1" applyAlignment="1">
      <alignment vertical="top"/>
    </xf>
    <xf numFmtId="43" fontId="75" fillId="0" borderId="51" xfId="4" applyFont="1" applyFill="1" applyBorder="1" applyAlignment="1">
      <alignment horizontal="left" vertical="top" wrapText="1" shrinkToFit="1"/>
    </xf>
    <xf numFmtId="43" fontId="45" fillId="41" borderId="0" xfId="0" applyNumberFormat="1" applyFont="1" applyFill="1" applyAlignment="1">
      <alignment vertical="center" shrinkToFit="1"/>
    </xf>
    <xf numFmtId="43" fontId="45" fillId="7" borderId="0" xfId="4" applyFont="1" applyFill="1" applyAlignment="1">
      <alignment vertical="center" shrinkToFit="1"/>
    </xf>
    <xf numFmtId="0" fontId="73" fillId="0" borderId="0" xfId="0" applyFont="1" applyAlignment="1">
      <alignment vertical="center" wrapText="1"/>
    </xf>
    <xf numFmtId="43" fontId="75" fillId="0" borderId="21" xfId="9" applyNumberFormat="1" applyFont="1" applyBorder="1" applyAlignment="1">
      <alignment horizontal="left" vertical="top" shrinkToFit="1"/>
    </xf>
    <xf numFmtId="0" fontId="75" fillId="0" borderId="21" xfId="0" applyFont="1" applyBorder="1" applyAlignment="1">
      <alignment horizontal="left" vertical="top" shrinkToFit="1"/>
    </xf>
    <xf numFmtId="0" fontId="75" fillId="0" borderId="21" xfId="0" applyFont="1" applyBorder="1"/>
    <xf numFmtId="3" fontId="75" fillId="0" borderId="21" xfId="0" applyNumberFormat="1" applyFont="1" applyBorder="1" applyAlignment="1">
      <alignment horizontal="right"/>
    </xf>
    <xf numFmtId="4" fontId="75" fillId="0" borderId="21" xfId="0" applyNumberFormat="1" applyFont="1" applyBorder="1" applyAlignment="1">
      <alignment horizontal="right"/>
    </xf>
    <xf numFmtId="4" fontId="75" fillId="0" borderId="21" xfId="0" applyNumberFormat="1" applyFont="1" applyBorder="1" applyAlignment="1">
      <alignment horizontal="right" vertical="center"/>
    </xf>
    <xf numFmtId="43" fontId="75" fillId="0" borderId="21" xfId="16" applyNumberFormat="1" applyFont="1" applyBorder="1"/>
    <xf numFmtId="43" fontId="74" fillId="0" borderId="21" xfId="13" applyFont="1" applyFill="1" applyBorder="1" applyAlignment="1">
      <alignment vertical="center" shrinkToFit="1"/>
    </xf>
    <xf numFmtId="0" fontId="74" fillId="0" borderId="36" xfId="9" applyFont="1" applyBorder="1" applyAlignment="1">
      <alignment horizontal="center" vertical="center" wrapText="1" shrinkToFit="1"/>
    </xf>
    <xf numFmtId="17" fontId="74" fillId="0" borderId="36" xfId="9" applyNumberFormat="1" applyFont="1" applyBorder="1" applyAlignment="1">
      <alignment horizontal="center" vertical="center" wrapText="1" shrinkToFit="1"/>
    </xf>
    <xf numFmtId="43" fontId="74" fillId="0" borderId="36" xfId="9" applyNumberFormat="1" applyFont="1" applyBorder="1" applyAlignment="1">
      <alignment horizontal="center" vertical="center" wrapText="1" shrinkToFit="1"/>
    </xf>
    <xf numFmtId="189" fontId="75" fillId="0" borderId="51" xfId="4" applyNumberFormat="1" applyFont="1" applyFill="1" applyBorder="1" applyAlignment="1">
      <alignment horizontal="center" vertical="center" shrinkToFit="1"/>
    </xf>
    <xf numFmtId="43" fontId="75" fillId="0" borderId="11" xfId="4" applyFont="1" applyFill="1" applyBorder="1" applyAlignment="1">
      <alignment vertical="center" shrinkToFit="1"/>
    </xf>
    <xf numFmtId="43" fontId="75" fillId="0" borderId="4" xfId="4" applyFont="1" applyFill="1" applyBorder="1" applyAlignment="1">
      <alignment vertical="center" shrinkToFit="1"/>
    </xf>
    <xf numFmtId="189" fontId="74" fillId="0" borderId="59" xfId="4" applyNumberFormat="1" applyFont="1" applyFill="1" applyBorder="1" applyAlignment="1">
      <alignment vertical="center"/>
    </xf>
    <xf numFmtId="43" fontId="74" fillId="0" borderId="11" xfId="4" applyFont="1" applyFill="1" applyBorder="1" applyAlignment="1">
      <alignment horizontal="center" vertical="center" shrinkToFit="1"/>
    </xf>
    <xf numFmtId="43" fontId="74" fillId="0" borderId="11" xfId="4" applyFont="1" applyFill="1" applyBorder="1" applyAlignment="1">
      <alignment vertical="center"/>
    </xf>
    <xf numFmtId="43" fontId="74" fillId="0" borderId="4" xfId="13" applyFont="1" applyFill="1" applyBorder="1" applyAlignment="1">
      <alignment vertical="center"/>
    </xf>
    <xf numFmtId="43" fontId="75" fillId="0" borderId="4" xfId="4" applyFont="1" applyFill="1" applyBorder="1" applyAlignment="1">
      <alignment vertical="center"/>
    </xf>
    <xf numFmtId="43" fontId="74" fillId="26" borderId="4" xfId="4" applyFont="1" applyFill="1" applyBorder="1" applyAlignment="1">
      <alignment vertical="center"/>
    </xf>
    <xf numFmtId="43" fontId="74" fillId="0" borderId="17" xfId="4" applyFont="1" applyFill="1" applyBorder="1" applyAlignment="1">
      <alignment vertical="center"/>
    </xf>
    <xf numFmtId="43" fontId="75" fillId="0" borderId="17" xfId="4" applyFont="1" applyFill="1" applyBorder="1" applyAlignment="1">
      <alignment vertical="center"/>
    </xf>
    <xf numFmtId="49" fontId="74" fillId="0" borderId="36" xfId="9" applyNumberFormat="1" applyFont="1" applyBorder="1" applyAlignment="1">
      <alignment horizontal="center" vertical="center" shrinkToFit="1"/>
    </xf>
    <xf numFmtId="0" fontId="74" fillId="0" borderId="36" xfId="9" applyFont="1" applyBorder="1" applyAlignment="1">
      <alignment horizontal="left" vertical="center" wrapText="1" shrinkToFit="1"/>
    </xf>
    <xf numFmtId="0" fontId="74" fillId="0" borderId="36" xfId="9" applyFont="1" applyBorder="1" applyAlignment="1">
      <alignment horizontal="center" vertical="center" shrinkToFit="1"/>
    </xf>
    <xf numFmtId="43" fontId="74" fillId="0" borderId="36" xfId="2" applyFont="1" applyFill="1" applyBorder="1" applyAlignment="1">
      <alignment horizontal="center" vertical="top" wrapText="1"/>
    </xf>
    <xf numFmtId="43" fontId="75" fillId="0" borderId="51" xfId="4" applyFont="1" applyFill="1" applyBorder="1" applyAlignment="1">
      <alignment horizontal="right" vertical="top" shrinkToFit="1"/>
    </xf>
    <xf numFmtId="189" fontId="75" fillId="0" borderId="52" xfId="4" applyNumberFormat="1" applyFont="1" applyFill="1" applyBorder="1" applyAlignment="1">
      <alignment horizontal="right" vertical="center" shrinkToFit="1"/>
    </xf>
    <xf numFmtId="43" fontId="74" fillId="0" borderId="4" xfId="13" applyFont="1" applyFill="1" applyBorder="1" applyAlignment="1">
      <alignment horizontal="center" vertical="center" shrinkToFit="1"/>
    </xf>
    <xf numFmtId="189" fontId="75" fillId="0" borderId="4" xfId="4" applyNumberFormat="1" applyFont="1" applyFill="1" applyBorder="1" applyAlignment="1">
      <alignment horizontal="center" vertical="center" shrinkToFit="1"/>
    </xf>
    <xf numFmtId="43" fontId="74" fillId="26" borderId="4" xfId="4" applyFont="1" applyFill="1" applyBorder="1" applyAlignment="1">
      <alignment horizontal="center" vertical="center" shrinkToFit="1"/>
    </xf>
    <xf numFmtId="43" fontId="74" fillId="0" borderId="17" xfId="4" applyFont="1" applyFill="1" applyBorder="1" applyAlignment="1">
      <alignment horizontal="center" vertical="center" shrinkToFit="1"/>
    </xf>
    <xf numFmtId="43" fontId="75" fillId="0" borderId="21" xfId="9" applyNumberFormat="1" applyFont="1" applyBorder="1" applyAlignment="1">
      <alignment horizontal="left" vertical="top" wrapText="1" shrinkToFit="1"/>
    </xf>
    <xf numFmtId="43" fontId="75" fillId="0" borderId="51" xfId="4" applyFont="1" applyFill="1" applyBorder="1" applyAlignment="1">
      <alignment vertical="top" shrinkToFit="1"/>
    </xf>
    <xf numFmtId="43" fontId="75" fillId="0" borderId="51" xfId="4" applyFont="1" applyFill="1" applyBorder="1" applyAlignment="1">
      <alignment vertical="center" shrinkToFit="1"/>
    </xf>
    <xf numFmtId="189" fontId="75" fillId="0" borderId="24" xfId="4" applyNumberFormat="1" applyFont="1" applyBorder="1" applyAlignment="1">
      <alignment vertical="center" shrinkToFit="1"/>
    </xf>
    <xf numFmtId="189" fontId="75" fillId="0" borderId="21" xfId="4" applyNumberFormat="1" applyFont="1" applyBorder="1" applyAlignment="1">
      <alignment vertical="top" shrinkToFit="1"/>
    </xf>
    <xf numFmtId="189" fontId="75" fillId="0" borderId="21" xfId="4" applyNumberFormat="1" applyFont="1" applyBorder="1" applyAlignment="1">
      <alignment vertical="center" shrinkToFit="1"/>
    </xf>
    <xf numFmtId="43" fontId="75" fillId="0" borderId="21" xfId="9" applyNumberFormat="1" applyFont="1" applyBorder="1" applyAlignment="1">
      <alignment horizontal="left" vertical="center" wrapText="1" shrinkToFit="1"/>
    </xf>
    <xf numFmtId="189" fontId="75" fillId="0" borderId="51" xfId="4" applyNumberFormat="1" applyFont="1" applyBorder="1" applyAlignment="1">
      <alignment vertical="center" shrinkToFit="1"/>
    </xf>
    <xf numFmtId="43" fontId="75" fillId="0" borderId="21" xfId="9" applyNumberFormat="1" applyFont="1" applyBorder="1" applyAlignment="1">
      <alignment horizontal="right" vertical="top"/>
    </xf>
    <xf numFmtId="43" fontId="75" fillId="0" borderId="21" xfId="9" applyNumberFormat="1" applyFont="1" applyBorder="1" applyAlignment="1">
      <alignment horizontal="center" vertical="top"/>
    </xf>
    <xf numFmtId="43" fontId="75" fillId="0" borderId="21" xfId="4" applyFont="1" applyFill="1" applyBorder="1" applyAlignment="1">
      <alignment horizontal="center" vertical="top"/>
    </xf>
    <xf numFmtId="43" fontId="75" fillId="0" borderId="21" xfId="13" applyFont="1" applyFill="1" applyBorder="1" applyAlignment="1">
      <alignment horizontal="center" vertical="top"/>
    </xf>
    <xf numFmtId="43" fontId="75" fillId="26" borderId="21" xfId="4" applyFont="1" applyFill="1" applyBorder="1" applyAlignment="1">
      <alignment horizontal="center" vertical="top"/>
    </xf>
    <xf numFmtId="0" fontId="75" fillId="0" borderId="21" xfId="9" applyFont="1" applyBorder="1" applyAlignment="1">
      <alignment vertical="top"/>
    </xf>
    <xf numFmtId="189" fontId="75" fillId="0" borderId="24" xfId="4" applyNumberFormat="1" applyFont="1" applyBorder="1" applyAlignment="1">
      <alignment vertical="top" shrinkToFit="1"/>
    </xf>
    <xf numFmtId="2" fontId="75" fillId="0" borderId="51" xfId="4" applyNumberFormat="1" applyFont="1" applyFill="1" applyBorder="1" applyAlignment="1">
      <alignment horizontal="right" vertical="top" wrapText="1" shrinkToFit="1"/>
    </xf>
    <xf numFmtId="189" fontId="75" fillId="0" borderId="51" xfId="4" applyNumberFormat="1" applyFont="1" applyFill="1" applyBorder="1" applyAlignment="1">
      <alignment horizontal="right" vertical="top" wrapText="1" shrinkToFit="1"/>
    </xf>
    <xf numFmtId="4" fontId="75" fillId="0" borderId="21" xfId="0" applyNumberFormat="1" applyFont="1" applyBorder="1" applyAlignment="1">
      <alignment horizontal="right" vertical="top"/>
    </xf>
    <xf numFmtId="4" fontId="75" fillId="0" borderId="20" xfId="4" applyNumberFormat="1" applyFont="1" applyFill="1" applyBorder="1" applyAlignment="1">
      <alignment vertical="center" shrinkToFit="1"/>
    </xf>
    <xf numFmtId="4" fontId="75" fillId="0" borderId="20" xfId="13" applyNumberFormat="1" applyFont="1" applyFill="1" applyBorder="1" applyAlignment="1">
      <alignment vertical="center" shrinkToFit="1"/>
    </xf>
    <xf numFmtId="4" fontId="75" fillId="26" borderId="20" xfId="4" applyNumberFormat="1" applyFont="1" applyFill="1" applyBorder="1" applyAlignment="1">
      <alignment horizontal="right" vertical="center" shrinkToFit="1"/>
    </xf>
    <xf numFmtId="43" fontId="76" fillId="0" borderId="36" xfId="4" applyFont="1" applyFill="1" applyBorder="1" applyAlignment="1">
      <alignment vertical="center"/>
    </xf>
    <xf numFmtId="2" fontId="76" fillId="0" borderId="36" xfId="4" applyNumberFormat="1" applyFont="1" applyFill="1" applyBorder="1" applyAlignment="1">
      <alignment vertical="center"/>
    </xf>
    <xf numFmtId="2" fontId="75" fillId="0" borderId="20" xfId="4" applyNumberFormat="1" applyFont="1" applyFill="1" applyBorder="1" applyAlignment="1">
      <alignment horizontal="right" vertical="center" shrinkToFit="1"/>
    </xf>
    <xf numFmtId="2" fontId="75" fillId="0" borderId="21" xfId="4" applyNumberFormat="1" applyFont="1" applyFill="1" applyBorder="1" applyAlignment="1">
      <alignment horizontal="right" vertical="center" shrinkToFit="1"/>
    </xf>
    <xf numFmtId="2" fontId="75" fillId="0" borderId="23" xfId="4" applyNumberFormat="1" applyFont="1" applyFill="1" applyBorder="1" applyAlignment="1">
      <alignment horizontal="right" vertical="center" shrinkToFit="1"/>
    </xf>
    <xf numFmtId="4" fontId="84" fillId="0" borderId="22" xfId="0" applyNumberFormat="1" applyFont="1" applyBorder="1" applyAlignment="1">
      <alignment horizontal="right" vertical="center"/>
    </xf>
    <xf numFmtId="43" fontId="77" fillId="0" borderId="4" xfId="4" applyFont="1" applyFill="1" applyBorder="1" applyAlignment="1">
      <alignment vertical="center" shrinkToFit="1"/>
    </xf>
    <xf numFmtId="189" fontId="75" fillId="0" borderId="22" xfId="4" applyNumberFormat="1" applyFont="1" applyFill="1" applyBorder="1" applyAlignment="1">
      <alignment horizontal="right" vertical="top" shrinkToFit="1"/>
    </xf>
    <xf numFmtId="43" fontId="78" fillId="0" borderId="51" xfId="4" applyFont="1" applyFill="1" applyBorder="1" applyAlignment="1">
      <alignment horizontal="left" vertical="center" shrinkToFit="1"/>
    </xf>
    <xf numFmtId="43" fontId="75" fillId="0" borderId="51" xfId="4" applyFont="1" applyFill="1" applyBorder="1" applyAlignment="1">
      <alignment horizontal="center" vertical="center"/>
    </xf>
    <xf numFmtId="43" fontId="75" fillId="0" borderId="51" xfId="4" applyFont="1" applyFill="1" applyBorder="1" applyAlignment="1">
      <alignment horizontal="center" vertical="top"/>
    </xf>
    <xf numFmtId="0" fontId="75" fillId="0" borderId="51" xfId="88" applyFont="1" applyBorder="1" applyAlignment="1">
      <alignment vertical="top" wrapText="1"/>
    </xf>
    <xf numFmtId="0" fontId="78" fillId="0" borderId="51" xfId="9" applyFont="1" applyBorder="1" applyAlignment="1">
      <alignment vertical="top" shrinkToFit="1"/>
    </xf>
    <xf numFmtId="0" fontId="77" fillId="0" borderId="51" xfId="9" applyFont="1" applyBorder="1" applyAlignment="1">
      <alignment vertical="center" shrinkToFit="1"/>
    </xf>
    <xf numFmtId="0" fontId="77" fillId="0" borderId="51" xfId="88" applyFont="1" applyBorder="1" applyAlignment="1">
      <alignment vertical="top" wrapText="1"/>
    </xf>
    <xf numFmtId="43" fontId="76" fillId="0" borderId="40" xfId="4" applyFont="1" applyFill="1" applyBorder="1" applyAlignment="1">
      <alignment horizontal="right" vertical="center" wrapText="1" shrinkToFit="1"/>
    </xf>
    <xf numFmtId="0" fontId="75" fillId="25" borderId="51" xfId="9" applyFont="1" applyFill="1" applyBorder="1" applyAlignment="1">
      <alignment vertical="center" shrinkToFit="1"/>
    </xf>
    <xf numFmtId="43" fontId="75" fillId="0" borderId="51" xfId="4" applyFont="1" applyFill="1" applyBorder="1" applyAlignment="1">
      <alignment horizontal="left" vertical="center" shrinkToFit="1"/>
    </xf>
    <xf numFmtId="43" fontId="75" fillId="0" borderId="52" xfId="4" applyFont="1" applyFill="1" applyBorder="1" applyAlignment="1">
      <alignment horizontal="left" vertical="center" shrinkToFit="1"/>
    </xf>
    <xf numFmtId="43" fontId="74" fillId="0" borderId="18" xfId="4" applyFont="1" applyBorder="1" applyAlignment="1">
      <alignment horizontal="left" vertical="center" shrinkToFit="1"/>
    </xf>
    <xf numFmtId="43" fontId="76" fillId="0" borderId="17" xfId="4" applyFont="1" applyBorder="1" applyAlignment="1">
      <alignment vertical="top" shrinkToFit="1"/>
    </xf>
    <xf numFmtId="4" fontId="84" fillId="0" borderId="18" xfId="0" applyNumberFormat="1" applyFont="1" applyBorder="1" applyAlignment="1">
      <alignment horizontal="right" vertical="center"/>
    </xf>
    <xf numFmtId="0" fontId="45" fillId="0" borderId="21" xfId="0" applyFont="1" applyBorder="1" applyAlignment="1">
      <alignment horizontal="left" vertical="top" shrinkToFit="1"/>
    </xf>
    <xf numFmtId="4" fontId="85" fillId="0" borderId="0" xfId="0" applyNumberFormat="1" applyFont="1" applyAlignment="1">
      <alignment horizontal="left" vertical="center" wrapText="1"/>
    </xf>
    <xf numFmtId="0" fontId="77" fillId="0" borderId="0" xfId="0" applyFont="1" applyAlignment="1">
      <alignment vertical="top" wrapText="1"/>
    </xf>
    <xf numFmtId="43" fontId="75" fillId="0" borderId="43" xfId="4" applyFont="1" applyBorder="1" applyAlignment="1">
      <alignment vertical="center" shrinkToFit="1"/>
    </xf>
    <xf numFmtId="4" fontId="84" fillId="0" borderId="43" xfId="0" applyNumberFormat="1" applyFont="1" applyBorder="1" applyAlignment="1">
      <alignment horizontal="right" vertical="center"/>
    </xf>
    <xf numFmtId="4" fontId="0" fillId="0" borderId="18" xfId="0" applyNumberFormat="1" applyBorder="1" applyAlignment="1">
      <alignment horizontal="right" vertical="center"/>
    </xf>
    <xf numFmtId="43" fontId="75" fillId="0" borderId="43" xfId="4" applyFont="1" applyFill="1" applyBorder="1" applyAlignment="1">
      <alignment horizontal="center" vertical="center" shrinkToFit="1"/>
    </xf>
    <xf numFmtId="4" fontId="75" fillId="0" borderId="51" xfId="0" applyNumberFormat="1" applyFont="1" applyBorder="1" applyAlignment="1">
      <alignment horizontal="right" vertical="top"/>
    </xf>
    <xf numFmtId="43" fontId="75" fillId="0" borderId="51" xfId="4" applyFont="1" applyBorder="1"/>
    <xf numFmtId="43" fontId="75" fillId="0" borderId="53" xfId="4" applyFont="1" applyFill="1" applyBorder="1" applyAlignment="1">
      <alignment vertical="center" shrinkToFit="1"/>
    </xf>
    <xf numFmtId="43" fontId="75" fillId="0" borderId="18" xfId="4" applyFont="1" applyFill="1" applyBorder="1" applyAlignment="1">
      <alignment vertical="center" shrinkToFit="1"/>
    </xf>
    <xf numFmtId="43" fontId="75" fillId="0" borderId="17" xfId="4" applyFont="1" applyFill="1" applyBorder="1" applyAlignment="1">
      <alignment vertical="center" shrinkToFit="1"/>
    </xf>
    <xf numFmtId="4" fontId="78" fillId="0" borderId="22" xfId="0" applyNumberFormat="1" applyFont="1" applyBorder="1" applyAlignment="1">
      <alignment horizontal="right" vertical="center"/>
    </xf>
    <xf numFmtId="4" fontId="78" fillId="0" borderId="11" xfId="0" applyNumberFormat="1" applyFont="1" applyBorder="1" applyAlignment="1">
      <alignment horizontal="right" vertical="center"/>
    </xf>
    <xf numFmtId="4" fontId="78" fillId="0" borderId="18" xfId="0" applyNumberFormat="1" applyFont="1" applyBorder="1" applyAlignment="1">
      <alignment horizontal="right" vertical="center"/>
    </xf>
    <xf numFmtId="0" fontId="75" fillId="0" borderId="21" xfId="0" applyFont="1" applyBorder="1" applyAlignment="1">
      <alignment vertical="top" shrinkToFit="1"/>
    </xf>
    <xf numFmtId="0" fontId="75" fillId="0" borderId="21" xfId="88" applyFont="1" applyBorder="1" applyAlignment="1">
      <alignment vertical="top" wrapText="1"/>
    </xf>
    <xf numFmtId="43" fontId="75" fillId="0" borderId="21" xfId="4" applyFont="1" applyFill="1" applyBorder="1" applyAlignment="1">
      <alignment horizontal="right" vertical="top" shrinkToFit="1"/>
    </xf>
    <xf numFmtId="43" fontId="75" fillId="0" borderId="40" xfId="4" applyFont="1" applyFill="1" applyBorder="1" applyAlignment="1">
      <alignment vertical="center"/>
    </xf>
    <xf numFmtId="189" fontId="75" fillId="0" borderId="40" xfId="4" applyNumberFormat="1" applyFont="1" applyFill="1" applyBorder="1" applyAlignment="1">
      <alignment vertical="center"/>
    </xf>
    <xf numFmtId="189" fontId="75" fillId="0" borderId="59" xfId="4" applyNumberFormat="1" applyFont="1" applyFill="1" applyBorder="1" applyAlignment="1">
      <alignment vertical="center"/>
    </xf>
    <xf numFmtId="189" fontId="75" fillId="0" borderId="17" xfId="4" applyNumberFormat="1" applyFont="1" applyFill="1" applyBorder="1" applyAlignment="1">
      <alignment vertical="center"/>
    </xf>
    <xf numFmtId="43" fontId="75" fillId="0" borderId="40" xfId="4" applyFont="1" applyFill="1" applyBorder="1" applyAlignment="1">
      <alignment horizontal="center" vertical="center" shrinkToFit="1"/>
    </xf>
    <xf numFmtId="43" fontId="75" fillId="0" borderId="0" xfId="4" applyFont="1" applyFill="1" applyBorder="1" applyAlignment="1">
      <alignment horizontal="center" vertical="center" shrinkToFit="1"/>
    </xf>
    <xf numFmtId="43" fontId="75" fillId="40" borderId="21" xfId="150" applyFont="1" applyFill="1" applyBorder="1" applyAlignment="1">
      <alignment horizontal="right" vertical="center" wrapText="1"/>
    </xf>
    <xf numFmtId="4" fontId="78" fillId="0" borderId="24" xfId="0" applyNumberFormat="1" applyFont="1" applyBorder="1" applyAlignment="1">
      <alignment horizontal="right" vertical="center"/>
    </xf>
    <xf numFmtId="4" fontId="84" fillId="0" borderId="24" xfId="0" applyNumberFormat="1" applyFont="1" applyBorder="1" applyAlignment="1">
      <alignment horizontal="right" vertical="center"/>
    </xf>
    <xf numFmtId="4" fontId="84" fillId="25" borderId="18" xfId="0" applyNumberFormat="1" applyFont="1" applyFill="1" applyBorder="1" applyAlignment="1">
      <alignment horizontal="right" vertical="center"/>
    </xf>
    <xf numFmtId="43" fontId="87" fillId="0" borderId="51" xfId="4" applyFont="1" applyBorder="1" applyAlignment="1">
      <alignment vertical="top" shrinkToFit="1"/>
    </xf>
    <xf numFmtId="4" fontId="88" fillId="0" borderId="18" xfId="0" applyNumberFormat="1" applyFont="1" applyBorder="1" applyAlignment="1">
      <alignment horizontal="right" vertical="center"/>
    </xf>
    <xf numFmtId="4" fontId="89" fillId="25" borderId="18" xfId="0" applyNumberFormat="1" applyFont="1" applyFill="1" applyBorder="1" applyAlignment="1">
      <alignment horizontal="right" vertical="center"/>
    </xf>
    <xf numFmtId="4" fontId="8" fillId="0" borderId="43" xfId="0" applyNumberFormat="1" applyFont="1" applyBorder="1" applyAlignment="1">
      <alignment horizontal="right" vertical="center"/>
    </xf>
    <xf numFmtId="4" fontId="89" fillId="0" borderId="18" xfId="0" applyNumberFormat="1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189" fontId="77" fillId="0" borderId="21" xfId="4" applyNumberFormat="1" applyFont="1" applyFill="1" applyBorder="1" applyAlignment="1">
      <alignment horizontal="right" vertical="top" shrinkToFit="1"/>
    </xf>
    <xf numFmtId="189" fontId="77" fillId="0" borderId="51" xfId="4" applyNumberFormat="1" applyFont="1" applyFill="1" applyBorder="1" applyAlignment="1">
      <alignment horizontal="right" vertical="top" shrinkToFit="1"/>
    </xf>
    <xf numFmtId="43" fontId="77" fillId="0" borderId="51" xfId="4" applyFont="1" applyFill="1" applyBorder="1"/>
    <xf numFmtId="4" fontId="79" fillId="25" borderId="18" xfId="0" applyNumberFormat="1" applyFont="1" applyFill="1" applyBorder="1" applyAlignment="1">
      <alignment horizontal="right" vertical="center"/>
    </xf>
    <xf numFmtId="4" fontId="78" fillId="0" borderId="20" xfId="0" applyNumberFormat="1" applyFont="1" applyBorder="1" applyAlignment="1">
      <alignment horizontal="right" vertical="center"/>
    </xf>
    <xf numFmtId="4" fontId="84" fillId="0" borderId="20" xfId="0" applyNumberFormat="1" applyFont="1" applyBorder="1" applyAlignment="1">
      <alignment horizontal="right" vertical="center"/>
    </xf>
    <xf numFmtId="4" fontId="78" fillId="0" borderId="21" xfId="0" applyNumberFormat="1" applyFont="1" applyBorder="1" applyAlignment="1">
      <alignment horizontal="right" vertical="center"/>
    </xf>
    <xf numFmtId="4" fontId="84" fillId="0" borderId="21" xfId="0" applyNumberFormat="1" applyFont="1" applyBorder="1" applyAlignment="1">
      <alignment horizontal="right" vertical="center"/>
    </xf>
    <xf numFmtId="43" fontId="19" fillId="0" borderId="21" xfId="4" applyFont="1" applyFill="1" applyBorder="1" applyAlignment="1">
      <alignment horizontal="center" vertical="center" shrinkToFit="1"/>
    </xf>
    <xf numFmtId="43" fontId="86" fillId="0" borderId="40" xfId="4" applyFont="1" applyFill="1" applyBorder="1" applyAlignment="1">
      <alignment vertical="center"/>
    </xf>
    <xf numFmtId="4" fontId="89" fillId="0" borderId="21" xfId="0" applyNumberFormat="1" applyFont="1" applyBorder="1" applyAlignment="1">
      <alignment horizontal="right" vertical="center"/>
    </xf>
    <xf numFmtId="43" fontId="86" fillId="25" borderId="51" xfId="4" applyFont="1" applyFill="1" applyBorder="1" applyAlignment="1">
      <alignment horizontal="center" vertical="center" shrinkToFit="1"/>
    </xf>
    <xf numFmtId="43" fontId="87" fillId="0" borderId="51" xfId="4" applyFont="1" applyFill="1" applyBorder="1" applyAlignment="1">
      <alignment horizontal="center" vertical="center" shrinkToFit="1"/>
    </xf>
    <xf numFmtId="43" fontId="86" fillId="0" borderId="51" xfId="4" applyFont="1" applyFill="1" applyBorder="1" applyAlignment="1">
      <alignment horizontal="center" vertical="center" shrinkToFit="1"/>
    </xf>
    <xf numFmtId="4" fontId="89" fillId="0" borderId="24" xfId="0" applyNumberFormat="1" applyFont="1" applyBorder="1" applyAlignment="1">
      <alignment horizontal="right" vertical="center"/>
    </xf>
    <xf numFmtId="43" fontId="87" fillId="0" borderId="53" xfId="4" applyFont="1" applyFill="1" applyBorder="1" applyAlignment="1">
      <alignment vertical="center" shrinkToFit="1"/>
    </xf>
    <xf numFmtId="43" fontId="87" fillId="0" borderId="18" xfId="4" applyFont="1" applyFill="1" applyBorder="1" applyAlignment="1">
      <alignment vertical="center" shrinkToFit="1"/>
    </xf>
    <xf numFmtId="43" fontId="87" fillId="0" borderId="17" xfId="4" applyFont="1" applyFill="1" applyBorder="1" applyAlignment="1">
      <alignment vertical="center" shrinkToFit="1"/>
    </xf>
    <xf numFmtId="189" fontId="87" fillId="0" borderId="53" xfId="4" applyNumberFormat="1" applyFont="1" applyFill="1" applyBorder="1" applyAlignment="1">
      <alignment vertical="center" shrinkToFit="1"/>
    </xf>
    <xf numFmtId="189" fontId="87" fillId="0" borderId="51" xfId="4" applyNumberFormat="1" applyFont="1" applyFill="1" applyBorder="1" applyAlignment="1">
      <alignment vertical="center" shrinkToFit="1"/>
    </xf>
    <xf numFmtId="189" fontId="87" fillId="0" borderId="44" xfId="4" applyNumberFormat="1" applyFont="1" applyFill="1" applyBorder="1" applyAlignment="1">
      <alignment vertical="center" shrinkToFit="1"/>
    </xf>
    <xf numFmtId="189" fontId="87" fillId="0" borderId="52" xfId="4" applyNumberFormat="1" applyFont="1" applyFill="1" applyBorder="1" applyAlignment="1">
      <alignment vertical="center" shrinkToFit="1"/>
    </xf>
    <xf numFmtId="189" fontId="87" fillId="0" borderId="53" xfId="4" applyNumberFormat="1" applyFont="1" applyFill="1" applyBorder="1" applyAlignment="1">
      <alignment horizontal="right" vertical="center" shrinkToFit="1"/>
    </xf>
    <xf numFmtId="189" fontId="87" fillId="0" borderId="51" xfId="4" applyNumberFormat="1" applyFont="1" applyFill="1" applyBorder="1" applyAlignment="1">
      <alignment horizontal="right" vertical="center" shrinkToFit="1"/>
    </xf>
    <xf numFmtId="189" fontId="87" fillId="0" borderId="52" xfId="4" applyNumberFormat="1" applyFont="1" applyFill="1" applyBorder="1" applyAlignment="1">
      <alignment horizontal="right" vertical="center" shrinkToFit="1"/>
    </xf>
    <xf numFmtId="4" fontId="88" fillId="0" borderId="20" xfId="0" applyNumberFormat="1" applyFont="1" applyBorder="1" applyAlignment="1">
      <alignment horizontal="right" vertical="center"/>
    </xf>
    <xf numFmtId="4" fontId="88" fillId="0" borderId="21" xfId="0" applyNumberFormat="1" applyFont="1" applyBorder="1" applyAlignment="1">
      <alignment horizontal="right" vertical="center"/>
    </xf>
    <xf numFmtId="43" fontId="87" fillId="0" borderId="21" xfId="4" applyFont="1" applyFill="1" applyBorder="1" applyAlignment="1">
      <alignment horizontal="center" vertical="center" shrinkToFit="1"/>
    </xf>
    <xf numFmtId="4" fontId="88" fillId="0" borderId="22" xfId="0" applyNumberFormat="1" applyFont="1" applyBorder="1" applyAlignment="1">
      <alignment horizontal="right" vertical="center"/>
    </xf>
    <xf numFmtId="49" fontId="74" fillId="0" borderId="50" xfId="9" applyNumberFormat="1" applyFont="1" applyBorder="1" applyAlignment="1">
      <alignment vertical="center" shrinkToFit="1"/>
    </xf>
    <xf numFmtId="49" fontId="74" fillId="0" borderId="4" xfId="9" applyNumberFormat="1" applyFont="1" applyBorder="1" applyAlignment="1">
      <alignment vertical="center" shrinkToFit="1"/>
    </xf>
    <xf numFmtId="4" fontId="8" fillId="0" borderId="21" xfId="0" applyNumberFormat="1" applyFont="1" applyBorder="1" applyAlignment="1">
      <alignment horizontal="right" vertical="center"/>
    </xf>
    <xf numFmtId="4" fontId="8" fillId="0" borderId="24" xfId="0" applyNumberFormat="1" applyFont="1" applyBorder="1" applyAlignment="1">
      <alignment horizontal="right" vertical="center"/>
    </xf>
    <xf numFmtId="4" fontId="8" fillId="0" borderId="22" xfId="0" applyNumberFormat="1" applyFont="1" applyBorder="1" applyAlignment="1">
      <alignment horizontal="right" vertical="center"/>
    </xf>
    <xf numFmtId="43" fontId="87" fillId="0" borderId="21" xfId="4" applyFont="1" applyFill="1" applyBorder="1" applyAlignment="1">
      <alignment horizontal="right" vertical="center" shrinkToFit="1"/>
    </xf>
    <xf numFmtId="4" fontId="90" fillId="0" borderId="21" xfId="17" applyNumberFormat="1" applyFont="1" applyBorder="1" applyAlignment="1">
      <alignment horizontal="right" vertical="top"/>
    </xf>
    <xf numFmtId="0" fontId="77" fillId="0" borderId="21" xfId="88" applyFont="1" applyBorder="1" applyAlignment="1">
      <alignment vertical="top" wrapText="1"/>
    </xf>
    <xf numFmtId="43" fontId="77" fillId="0" borderId="21" xfId="4" applyFont="1" applyBorder="1" applyAlignment="1">
      <alignment vertical="top" wrapText="1"/>
    </xf>
    <xf numFmtId="4" fontId="5" fillId="0" borderId="21" xfId="17" applyNumberFormat="1" applyFont="1" applyBorder="1" applyAlignment="1">
      <alignment horizontal="right" vertical="top"/>
    </xf>
    <xf numFmtId="0" fontId="45" fillId="0" borderId="23" xfId="0" applyFont="1" applyBorder="1" applyAlignment="1">
      <alignment vertical="center"/>
    </xf>
    <xf numFmtId="189" fontId="75" fillId="0" borderId="21" xfId="4" applyNumberFormat="1" applyFont="1" applyFill="1" applyBorder="1" applyAlignment="1">
      <alignment vertical="center"/>
    </xf>
    <xf numFmtId="4" fontId="60" fillId="0" borderId="20" xfId="0" applyNumberFormat="1" applyFont="1" applyBorder="1" applyAlignment="1">
      <alignment horizontal="right" vertical="center"/>
    </xf>
    <xf numFmtId="43" fontId="91" fillId="0" borderId="21" xfId="4" applyFont="1" applyFill="1" applyBorder="1" applyAlignment="1">
      <alignment horizontal="center" vertical="center" shrinkToFit="1"/>
    </xf>
    <xf numFmtId="43" fontId="77" fillId="0" borderId="51" xfId="4" applyFont="1" applyFill="1" applyBorder="1" applyAlignment="1">
      <alignment horizontal="center" vertical="center" shrinkToFit="1"/>
    </xf>
    <xf numFmtId="4" fontId="60" fillId="0" borderId="21" xfId="0" applyNumberFormat="1" applyFont="1" applyBorder="1" applyAlignment="1">
      <alignment horizontal="right" vertical="center"/>
    </xf>
    <xf numFmtId="4" fontId="60" fillId="0" borderId="18" xfId="0" applyNumberFormat="1" applyFont="1" applyBorder="1" applyAlignment="1">
      <alignment horizontal="right" vertical="center"/>
    </xf>
    <xf numFmtId="4" fontId="88" fillId="0" borderId="24" xfId="0" applyNumberFormat="1" applyFont="1" applyBorder="1" applyAlignment="1">
      <alignment horizontal="right" vertical="center"/>
    </xf>
    <xf numFmtId="43" fontId="87" fillId="0" borderId="21" xfId="4" applyFont="1" applyBorder="1" applyAlignment="1">
      <alignment vertical="center" shrinkToFit="1"/>
    </xf>
    <xf numFmtId="43" fontId="88" fillId="0" borderId="21" xfId="4" applyFont="1" applyBorder="1" applyAlignment="1">
      <alignment horizontal="right" vertical="center"/>
    </xf>
    <xf numFmtId="43" fontId="88" fillId="0" borderId="22" xfId="4" applyFont="1" applyBorder="1" applyAlignment="1">
      <alignment horizontal="right" vertical="center"/>
    </xf>
    <xf numFmtId="43" fontId="87" fillId="0" borderId="51" xfId="4" applyFont="1" applyFill="1" applyBorder="1" applyAlignment="1">
      <alignment horizontal="right" vertical="center" shrinkToFit="1"/>
    </xf>
    <xf numFmtId="43" fontId="88" fillId="0" borderId="18" xfId="4" applyFont="1" applyBorder="1" applyAlignment="1">
      <alignment horizontal="right" vertical="center"/>
    </xf>
    <xf numFmtId="189" fontId="75" fillId="0" borderId="51" xfId="4" applyNumberFormat="1" applyFont="1" applyFill="1" applyBorder="1" applyAlignment="1">
      <alignment horizontal="left" vertical="top" shrinkToFit="1"/>
    </xf>
    <xf numFmtId="0" fontId="75" fillId="0" borderId="21" xfId="9" applyFont="1" applyBorder="1" applyAlignment="1">
      <alignment vertical="top" wrapText="1" shrinkToFit="1"/>
    </xf>
    <xf numFmtId="43" fontId="74" fillId="0" borderId="51" xfId="4" applyFont="1" applyFill="1" applyBorder="1" applyAlignment="1">
      <alignment horizontal="center" vertical="top" shrinkToFit="1"/>
    </xf>
    <xf numFmtId="4" fontId="75" fillId="7" borderId="21" xfId="4" applyNumberFormat="1" applyFont="1" applyFill="1" applyBorder="1" applyAlignment="1">
      <alignment vertical="center" wrapText="1" shrinkToFit="1"/>
    </xf>
    <xf numFmtId="4" fontId="87" fillId="0" borderId="21" xfId="4" applyNumberFormat="1" applyFont="1" applyFill="1" applyBorder="1" applyAlignment="1">
      <alignment vertical="center" wrapText="1" shrinkToFit="1"/>
    </xf>
    <xf numFmtId="4" fontId="75" fillId="7" borderId="21" xfId="4" applyNumberFormat="1" applyFont="1" applyFill="1" applyBorder="1" applyAlignment="1">
      <alignment vertical="center" shrinkToFit="1"/>
    </xf>
    <xf numFmtId="4" fontId="87" fillId="0" borderId="21" xfId="4" applyNumberFormat="1" applyFont="1" applyFill="1" applyBorder="1" applyAlignment="1">
      <alignment vertical="center" shrinkToFit="1"/>
    </xf>
    <xf numFmtId="189" fontId="87" fillId="0" borderId="21" xfId="9" applyNumberFormat="1" applyFont="1" applyBorder="1" applyAlignment="1">
      <alignment vertical="center" shrinkToFit="1"/>
    </xf>
    <xf numFmtId="43" fontId="87" fillId="0" borderId="21" xfId="9" applyNumberFormat="1" applyFont="1" applyBorder="1" applyAlignment="1">
      <alignment vertical="center" shrinkToFit="1"/>
    </xf>
    <xf numFmtId="43" fontId="75" fillId="7" borderId="21" xfId="4" applyFont="1" applyFill="1" applyBorder="1" applyAlignment="1">
      <alignment vertical="center" shrinkToFit="1"/>
    </xf>
    <xf numFmtId="189" fontId="75" fillId="0" borderId="23" xfId="9" applyNumberFormat="1" applyFont="1" applyBorder="1" applyAlignment="1">
      <alignment vertical="center" shrinkToFit="1"/>
    </xf>
    <xf numFmtId="43" fontId="75" fillId="7" borderId="23" xfId="4" applyFont="1" applyFill="1" applyBorder="1" applyAlignment="1">
      <alignment vertical="center" shrinkToFit="1"/>
    </xf>
    <xf numFmtId="43" fontId="87" fillId="0" borderId="23" xfId="9" applyNumberFormat="1" applyFont="1" applyBorder="1" applyAlignment="1">
      <alignment vertical="center" shrinkToFit="1"/>
    </xf>
    <xf numFmtId="43" fontId="76" fillId="0" borderId="40" xfId="4" applyFont="1" applyFill="1" applyBorder="1" applyAlignment="1">
      <alignment vertical="center"/>
    </xf>
    <xf numFmtId="43" fontId="5" fillId="0" borderId="51" xfId="4" applyFont="1" applyBorder="1" applyAlignment="1">
      <alignment vertical="center" shrinkToFit="1"/>
    </xf>
    <xf numFmtId="43" fontId="5" fillId="0" borderId="51" xfId="4" applyFont="1" applyBorder="1" applyAlignment="1">
      <alignment vertical="top" shrinkToFit="1"/>
    </xf>
    <xf numFmtId="189" fontId="5" fillId="0" borderId="51" xfId="4" applyNumberFormat="1" applyFont="1" applyFill="1" applyBorder="1" applyAlignment="1">
      <alignment vertical="top" shrinkToFit="1"/>
    </xf>
    <xf numFmtId="43" fontId="5" fillId="0" borderId="51" xfId="4" applyFont="1" applyFill="1" applyBorder="1" applyAlignment="1">
      <alignment vertical="center" shrinkToFit="1"/>
    </xf>
    <xf numFmtId="43" fontId="5" fillId="0" borderId="21" xfId="4" applyFont="1" applyBorder="1" applyAlignment="1">
      <alignment vertical="top" shrinkToFit="1"/>
    </xf>
    <xf numFmtId="0" fontId="75" fillId="0" borderId="21" xfId="4" applyNumberFormat="1" applyFont="1" applyBorder="1" applyAlignment="1">
      <alignment vertical="center" shrinkToFit="1"/>
    </xf>
    <xf numFmtId="0" fontId="75" fillId="0" borderId="44" xfId="4" applyNumberFormat="1" applyFont="1" applyFill="1" applyBorder="1" applyAlignment="1">
      <alignment horizontal="right" vertical="center" shrinkToFit="1"/>
    </xf>
    <xf numFmtId="189" fontId="77" fillId="0" borderId="51" xfId="4" applyNumberFormat="1" applyFont="1" applyFill="1" applyBorder="1" applyAlignment="1">
      <alignment vertical="center" shrinkToFit="1"/>
    </xf>
    <xf numFmtId="189" fontId="75" fillId="0" borderId="51" xfId="4" applyNumberFormat="1" applyFont="1" applyBorder="1" applyAlignment="1">
      <alignment vertical="top" shrinkToFit="1"/>
    </xf>
    <xf numFmtId="0" fontId="92" fillId="0" borderId="21" xfId="0" applyFont="1" applyBorder="1"/>
    <xf numFmtId="43" fontId="75" fillId="0" borderId="21" xfId="4" applyFont="1" applyFill="1" applyBorder="1" applyAlignment="1">
      <alignment horizontal="right" vertical="top"/>
    </xf>
    <xf numFmtId="43" fontId="75" fillId="0" borderId="21" xfId="4" applyFont="1" applyBorder="1" applyAlignment="1">
      <alignment horizontal="right" vertical="top"/>
    </xf>
    <xf numFmtId="0" fontId="92" fillId="0" borderId="23" xfId="0" applyFont="1" applyBorder="1"/>
    <xf numFmtId="194" fontId="74" fillId="0" borderId="0" xfId="9" applyNumberFormat="1" applyFont="1" applyAlignment="1">
      <alignment vertical="center" shrinkToFit="1"/>
    </xf>
    <xf numFmtId="4" fontId="89" fillId="0" borderId="22" xfId="0" applyNumberFormat="1" applyFont="1" applyBorder="1" applyAlignment="1">
      <alignment horizontal="right" vertical="center"/>
    </xf>
    <xf numFmtId="4" fontId="88" fillId="7" borderId="22" xfId="0" applyNumberFormat="1" applyFont="1" applyFill="1" applyBorder="1" applyAlignment="1">
      <alignment horizontal="right" vertical="center"/>
    </xf>
    <xf numFmtId="43" fontId="45" fillId="0" borderId="0" xfId="4" applyFont="1" applyFill="1" applyBorder="1" applyAlignment="1">
      <alignment horizontal="left" vertical="center" shrinkToFit="1"/>
    </xf>
    <xf numFmtId="189" fontId="45" fillId="0" borderId="21" xfId="0" applyNumberFormat="1" applyFont="1" applyBorder="1" applyAlignment="1">
      <alignment vertical="top"/>
    </xf>
    <xf numFmtId="189" fontId="45" fillId="0" borderId="21" xfId="4" applyNumberFormat="1" applyFont="1" applyFill="1" applyBorder="1" applyAlignment="1">
      <alignment vertical="top"/>
    </xf>
    <xf numFmtId="0" fontId="45" fillId="0" borderId="23" xfId="0" applyFont="1" applyBorder="1" applyAlignment="1">
      <alignment horizontal="left" vertical="top" wrapText="1" shrinkToFit="1"/>
    </xf>
    <xf numFmtId="43" fontId="45" fillId="0" borderId="23" xfId="11" applyFont="1" applyFill="1" applyBorder="1" applyAlignment="1">
      <alignment horizontal="center" vertical="top"/>
    </xf>
    <xf numFmtId="43" fontId="45" fillId="0" borderId="23" xfId="0" applyNumberFormat="1" applyFont="1" applyBorder="1" applyAlignment="1">
      <alignment vertical="top"/>
    </xf>
    <xf numFmtId="189" fontId="45" fillId="0" borderId="23" xfId="0" applyNumberFormat="1" applyFont="1" applyBorder="1" applyAlignment="1">
      <alignment vertical="top"/>
    </xf>
    <xf numFmtId="43" fontId="45" fillId="0" borderId="23" xfId="4" applyFont="1" applyFill="1" applyBorder="1" applyAlignment="1">
      <alignment vertical="top"/>
    </xf>
    <xf numFmtId="189" fontId="45" fillId="0" borderId="23" xfId="4" applyNumberFormat="1" applyFont="1" applyFill="1" applyBorder="1" applyAlignment="1">
      <alignment vertical="top"/>
    </xf>
    <xf numFmtId="43" fontId="49" fillId="0" borderId="23" xfId="4" applyFont="1" applyFill="1" applyBorder="1" applyAlignment="1">
      <alignment vertical="top"/>
    </xf>
    <xf numFmtId="43" fontId="45" fillId="0" borderId="23" xfId="4" applyFont="1" applyFill="1" applyBorder="1" applyAlignment="1">
      <alignment vertical="top" wrapText="1"/>
    </xf>
    <xf numFmtId="43" fontId="45" fillId="0" borderId="4" xfId="4" applyFont="1" applyFill="1" applyBorder="1" applyAlignment="1">
      <alignment horizontal="left" vertical="center" shrinkToFit="1"/>
    </xf>
    <xf numFmtId="0" fontId="86" fillId="0" borderId="0" xfId="9" applyFont="1" applyAlignment="1">
      <alignment horizontal="center" vertical="center" shrinkToFit="1"/>
    </xf>
    <xf numFmtId="43" fontId="86" fillId="0" borderId="17" xfId="4" applyFont="1" applyFill="1" applyBorder="1" applyAlignment="1">
      <alignment vertical="center"/>
    </xf>
    <xf numFmtId="43" fontId="87" fillId="0" borderId="53" xfId="4" applyFont="1" applyFill="1" applyBorder="1" applyAlignment="1">
      <alignment horizontal="center" vertical="center" shrinkToFit="1"/>
    </xf>
    <xf numFmtId="43" fontId="87" fillId="0" borderId="51" xfId="4" applyFont="1" applyFill="1" applyBorder="1" applyAlignment="1">
      <alignment horizontal="center" vertical="top" shrinkToFit="1"/>
    </xf>
    <xf numFmtId="189" fontId="87" fillId="0" borderId="51" xfId="4" applyNumberFormat="1" applyFont="1" applyFill="1" applyBorder="1" applyAlignment="1">
      <alignment horizontal="center" vertical="center" shrinkToFit="1"/>
    </xf>
    <xf numFmtId="43" fontId="87" fillId="0" borderId="52" xfId="4" applyFont="1" applyFill="1" applyBorder="1" applyAlignment="1">
      <alignment horizontal="center" vertical="center" shrinkToFit="1"/>
    </xf>
    <xf numFmtId="43" fontId="87" fillId="0" borderId="53" xfId="4" applyFont="1" applyBorder="1" applyAlignment="1">
      <alignment vertical="center" shrinkToFit="1"/>
    </xf>
    <xf numFmtId="43" fontId="87" fillId="0" borderId="51" xfId="4" applyFont="1" applyBorder="1" applyAlignment="1">
      <alignment vertical="center" shrinkToFit="1"/>
    </xf>
    <xf numFmtId="43" fontId="87" fillId="0" borderId="43" xfId="4" applyFont="1" applyBorder="1" applyAlignment="1">
      <alignment vertical="center" shrinkToFit="1"/>
    </xf>
    <xf numFmtId="43" fontId="87" fillId="0" borderId="44" xfId="4" applyFont="1" applyBorder="1" applyAlignment="1">
      <alignment vertical="top" shrinkToFit="1"/>
    </xf>
    <xf numFmtId="4" fontId="88" fillId="0" borderId="43" xfId="0" applyNumberFormat="1" applyFont="1" applyBorder="1" applyAlignment="1">
      <alignment horizontal="right" vertical="center"/>
    </xf>
    <xf numFmtId="43" fontId="87" fillId="0" borderId="51" xfId="4" applyFont="1" applyFill="1" applyBorder="1" applyAlignment="1">
      <alignment horizontal="right" vertical="top" wrapText="1" shrinkToFit="1"/>
    </xf>
    <xf numFmtId="43" fontId="87" fillId="0" borderId="43" xfId="4" applyFont="1" applyFill="1" applyBorder="1" applyAlignment="1">
      <alignment horizontal="right" vertical="center" shrinkToFit="1"/>
    </xf>
    <xf numFmtId="189" fontId="87" fillId="0" borderId="51" xfId="4" applyNumberFormat="1" applyFont="1" applyFill="1" applyBorder="1" applyAlignment="1">
      <alignment vertical="top" shrinkToFit="1"/>
    </xf>
    <xf numFmtId="43" fontId="87" fillId="0" borderId="51" xfId="4" applyFont="1" applyFill="1" applyBorder="1" applyAlignment="1">
      <alignment vertical="center" shrinkToFit="1"/>
    </xf>
    <xf numFmtId="43" fontId="87" fillId="0" borderId="51" xfId="4" applyFont="1" applyFill="1" applyBorder="1" applyAlignment="1">
      <alignment vertical="top" shrinkToFit="1"/>
    </xf>
    <xf numFmtId="43" fontId="87" fillId="0" borderId="43" xfId="4" applyFont="1" applyFill="1" applyBorder="1" applyAlignment="1">
      <alignment horizontal="center" vertical="center" shrinkToFit="1"/>
    </xf>
    <xf numFmtId="43" fontId="87" fillId="0" borderId="44" xfId="4" applyFont="1" applyFill="1" applyBorder="1" applyAlignment="1">
      <alignment horizontal="center" vertical="center" shrinkToFit="1"/>
    </xf>
    <xf numFmtId="189" fontId="87" fillId="0" borderId="51" xfId="4" applyNumberFormat="1" applyFont="1" applyFill="1" applyBorder="1" applyAlignment="1">
      <alignment horizontal="right" vertical="top" wrapText="1" shrinkToFit="1"/>
    </xf>
    <xf numFmtId="189" fontId="87" fillId="0" borderId="51" xfId="4" applyNumberFormat="1" applyFont="1" applyFill="1" applyBorder="1" applyAlignment="1">
      <alignment horizontal="right" vertical="center" wrapText="1" shrinkToFit="1"/>
    </xf>
    <xf numFmtId="0" fontId="87" fillId="0" borderId="51" xfId="9" applyFont="1" applyBorder="1" applyAlignment="1">
      <alignment vertical="top" shrinkToFit="1"/>
    </xf>
    <xf numFmtId="43" fontId="87" fillId="0" borderId="51" xfId="4" applyFont="1" applyFill="1" applyBorder="1" applyAlignment="1">
      <alignment horizontal="left" vertical="center" shrinkToFit="1"/>
    </xf>
    <xf numFmtId="43" fontId="87" fillId="0" borderId="51" xfId="4" applyFont="1" applyFill="1" applyBorder="1" applyAlignment="1">
      <alignment horizontal="center" vertical="center"/>
    </xf>
    <xf numFmtId="43" fontId="87" fillId="0" borderId="51" xfId="4" applyFont="1" applyFill="1" applyBorder="1" applyAlignment="1">
      <alignment horizontal="center" vertical="top"/>
    </xf>
    <xf numFmtId="189" fontId="87" fillId="0" borderId="51" xfId="4" applyNumberFormat="1" applyFont="1" applyFill="1" applyBorder="1" applyAlignment="1">
      <alignment horizontal="right" vertical="top" shrinkToFit="1"/>
    </xf>
    <xf numFmtId="189" fontId="87" fillId="0" borderId="21" xfId="4" applyNumberFormat="1" applyFont="1" applyFill="1" applyBorder="1" applyAlignment="1">
      <alignment horizontal="right" vertical="top" shrinkToFit="1"/>
    </xf>
    <xf numFmtId="43" fontId="87" fillId="0" borderId="21" xfId="4" applyFont="1" applyFill="1" applyBorder="1" applyAlignment="1">
      <alignment horizontal="right" vertical="top" shrinkToFit="1"/>
    </xf>
    <xf numFmtId="4" fontId="87" fillId="0" borderId="21" xfId="0" applyNumberFormat="1" applyFont="1" applyBorder="1" applyAlignment="1">
      <alignment horizontal="right" vertical="top"/>
    </xf>
    <xf numFmtId="4" fontId="87" fillId="0" borderId="51" xfId="0" applyNumberFormat="1" applyFont="1" applyBorder="1" applyAlignment="1">
      <alignment horizontal="right" vertical="top"/>
    </xf>
    <xf numFmtId="43" fontId="87" fillId="0" borderId="51" xfId="4" applyFont="1" applyBorder="1"/>
    <xf numFmtId="189" fontId="93" fillId="0" borderId="51" xfId="4" applyNumberFormat="1" applyFont="1" applyFill="1" applyBorder="1" applyAlignment="1">
      <alignment horizontal="right" vertical="top" shrinkToFit="1"/>
    </xf>
    <xf numFmtId="189" fontId="93" fillId="0" borderId="21" xfId="4" applyNumberFormat="1" applyFont="1" applyFill="1" applyBorder="1" applyAlignment="1">
      <alignment horizontal="right" vertical="top" shrinkToFit="1"/>
    </xf>
    <xf numFmtId="43" fontId="87" fillId="0" borderId="53" xfId="4" applyFont="1" applyFill="1" applyBorder="1" applyAlignment="1">
      <alignment horizontal="right" vertical="center" shrinkToFit="1"/>
    </xf>
    <xf numFmtId="0" fontId="87" fillId="0" borderId="0" xfId="9" applyFont="1" applyAlignment="1">
      <alignment vertical="center" shrinkToFit="1"/>
    </xf>
    <xf numFmtId="43" fontId="86" fillId="25" borderId="21" xfId="4" applyFont="1" applyFill="1" applyBorder="1" applyAlignment="1">
      <alignment horizontal="center" vertical="center" shrinkToFit="1"/>
    </xf>
    <xf numFmtId="4" fontId="88" fillId="0" borderId="0" xfId="0" applyNumberFormat="1" applyFont="1" applyAlignment="1">
      <alignment horizontal="right" vertical="center"/>
    </xf>
    <xf numFmtId="189" fontId="86" fillId="0" borderId="40" xfId="4" applyNumberFormat="1" applyFont="1" applyFill="1" applyBorder="1" applyAlignment="1">
      <alignment vertical="center"/>
    </xf>
    <xf numFmtId="189" fontId="86" fillId="0" borderId="59" xfId="4" applyNumberFormat="1" applyFont="1" applyFill="1" applyBorder="1" applyAlignment="1">
      <alignment vertical="center"/>
    </xf>
    <xf numFmtId="189" fontId="86" fillId="0" borderId="17" xfId="4" applyNumberFormat="1" applyFont="1" applyFill="1" applyBorder="1" applyAlignment="1">
      <alignment vertical="center"/>
    </xf>
    <xf numFmtId="43" fontId="86" fillId="7" borderId="40" xfId="4" applyFont="1" applyFill="1" applyBorder="1" applyAlignment="1">
      <alignment horizontal="center" vertical="center" shrinkToFit="1"/>
    </xf>
    <xf numFmtId="43" fontId="86" fillId="0" borderId="0" xfId="4" applyFont="1" applyFill="1" applyBorder="1" applyAlignment="1">
      <alignment horizontal="center" vertical="center" shrinkToFit="1"/>
    </xf>
    <xf numFmtId="43" fontId="87" fillId="0" borderId="0" xfId="9" applyNumberFormat="1" applyFont="1" applyAlignment="1">
      <alignment vertical="center" shrinkToFit="1"/>
    </xf>
    <xf numFmtId="43" fontId="87" fillId="0" borderId="0" xfId="4" applyFont="1" applyFill="1" applyAlignment="1">
      <alignment vertical="center" shrinkToFit="1"/>
    </xf>
    <xf numFmtId="4" fontId="87" fillId="0" borderId="0" xfId="9" applyNumberFormat="1" applyFont="1" applyAlignment="1">
      <alignment vertical="center" shrinkToFit="1"/>
    </xf>
    <xf numFmtId="43" fontId="45" fillId="0" borderId="21" xfId="0" applyNumberFormat="1" applyFont="1" applyBorder="1" applyAlignment="1">
      <alignment vertical="top" wrapText="1"/>
    </xf>
    <xf numFmtId="0" fontId="19" fillId="0" borderId="4" xfId="0" applyFont="1" applyBorder="1" applyAlignment="1">
      <alignment horizontal="center" vertical="center" shrinkToFit="1"/>
    </xf>
    <xf numFmtId="43" fontId="19" fillId="0" borderId="4" xfId="4" applyFont="1" applyFill="1" applyBorder="1" applyAlignment="1">
      <alignment vertical="center" shrinkToFit="1"/>
    </xf>
    <xf numFmtId="43" fontId="45" fillId="0" borderId="4" xfId="0" applyNumberFormat="1" applyFont="1" applyBorder="1" applyAlignment="1">
      <alignment vertical="center"/>
    </xf>
    <xf numFmtId="43" fontId="45" fillId="0" borderId="24" xfId="4" applyFont="1" applyFill="1" applyBorder="1" applyAlignment="1">
      <alignment vertical="center" wrapText="1"/>
    </xf>
    <xf numFmtId="43" fontId="49" fillId="0" borderId="24" xfId="4" applyFont="1" applyFill="1" applyBorder="1" applyAlignment="1">
      <alignment vertical="center"/>
    </xf>
    <xf numFmtId="43" fontId="45" fillId="0" borderId="24" xfId="0" applyNumberFormat="1" applyFont="1" applyBorder="1" applyAlignment="1">
      <alignment vertical="center"/>
    </xf>
    <xf numFmtId="43" fontId="75" fillId="7" borderId="21" xfId="9" applyNumberFormat="1" applyFont="1" applyFill="1" applyBorder="1" applyAlignment="1">
      <alignment horizontal="right" vertical="center" shrinkToFit="1"/>
    </xf>
    <xf numFmtId="43" fontId="77" fillId="7" borderId="21" xfId="9" applyNumberFormat="1" applyFont="1" applyFill="1" applyBorder="1" applyAlignment="1">
      <alignment horizontal="center" vertical="center" shrinkToFit="1"/>
    </xf>
    <xf numFmtId="43" fontId="77" fillId="7" borderId="21" xfId="4" applyFont="1" applyFill="1" applyBorder="1" applyAlignment="1">
      <alignment horizontal="center" vertical="center" shrinkToFit="1"/>
    </xf>
    <xf numFmtId="43" fontId="77" fillId="7" borderId="21" xfId="13" applyFont="1" applyFill="1" applyBorder="1" applyAlignment="1">
      <alignment horizontal="center" vertical="center" shrinkToFit="1"/>
    </xf>
    <xf numFmtId="0" fontId="75" fillId="7" borderId="21" xfId="9" applyFont="1" applyFill="1" applyBorder="1" applyAlignment="1">
      <alignment vertical="center" shrinkToFit="1"/>
    </xf>
    <xf numFmtId="189" fontId="75" fillId="7" borderId="21" xfId="4" applyNumberFormat="1" applyFont="1" applyFill="1" applyBorder="1" applyAlignment="1">
      <alignment horizontal="right" vertical="center" shrinkToFit="1"/>
    </xf>
    <xf numFmtId="43" fontId="74" fillId="7" borderId="21" xfId="4" applyFont="1" applyFill="1" applyBorder="1" applyAlignment="1">
      <alignment horizontal="left" vertical="center"/>
    </xf>
    <xf numFmtId="43" fontId="75" fillId="7" borderId="21" xfId="18" applyFont="1" applyFill="1" applyBorder="1" applyAlignment="1">
      <alignment horizontal="left" vertical="top"/>
    </xf>
    <xf numFmtId="189" fontId="75" fillId="7" borderId="21" xfId="4" applyNumberFormat="1" applyFont="1" applyFill="1" applyBorder="1" applyAlignment="1">
      <alignment horizontal="right" vertical="top" shrinkToFit="1"/>
    </xf>
    <xf numFmtId="189" fontId="77" fillId="7" borderId="21" xfId="4" applyNumberFormat="1" applyFont="1" applyFill="1" applyBorder="1" applyAlignment="1">
      <alignment horizontal="right" vertical="top" shrinkToFit="1"/>
    </xf>
    <xf numFmtId="0" fontId="78" fillId="7" borderId="21" xfId="88" applyFont="1" applyFill="1" applyBorder="1" applyAlignment="1">
      <alignment vertical="top" wrapText="1"/>
    </xf>
    <xf numFmtId="189" fontId="75" fillId="7" borderId="24" xfId="4" applyNumberFormat="1" applyFont="1" applyFill="1" applyBorder="1" applyAlignment="1">
      <alignment vertical="center" shrinkToFit="1"/>
    </xf>
    <xf numFmtId="189" fontId="75" fillId="7" borderId="51" xfId="4" applyNumberFormat="1" applyFont="1" applyFill="1" applyBorder="1" applyAlignment="1">
      <alignment vertical="center" shrinkToFit="1"/>
    </xf>
    <xf numFmtId="189" fontId="77" fillId="7" borderId="51" xfId="4" applyNumberFormat="1" applyFont="1" applyFill="1" applyBorder="1" applyAlignment="1">
      <alignment horizontal="right" vertical="top" shrinkToFit="1"/>
    </xf>
    <xf numFmtId="189" fontId="93" fillId="7" borderId="51" xfId="4" applyNumberFormat="1" applyFont="1" applyFill="1" applyBorder="1" applyAlignment="1">
      <alignment horizontal="right" vertical="top" shrinkToFit="1"/>
    </xf>
    <xf numFmtId="0" fontId="77" fillId="7" borderId="51" xfId="88" applyFont="1" applyFill="1" applyBorder="1" applyAlignment="1">
      <alignment vertical="top" wrapText="1"/>
    </xf>
    <xf numFmtId="43" fontId="77" fillId="7" borderId="51" xfId="4" applyFont="1" applyFill="1" applyBorder="1" applyAlignment="1">
      <alignment vertical="top" wrapText="1"/>
    </xf>
    <xf numFmtId="0" fontId="75" fillId="7" borderId="25" xfId="9" applyFont="1" applyFill="1" applyBorder="1" applyAlignment="1">
      <alignment vertical="center" shrinkToFit="1"/>
    </xf>
    <xf numFmtId="0" fontId="75" fillId="42" borderId="21" xfId="9" applyFont="1" applyFill="1" applyBorder="1" applyAlignment="1">
      <alignment vertical="center" shrinkToFit="1"/>
    </xf>
    <xf numFmtId="4" fontId="9" fillId="0" borderId="21" xfId="0" applyNumberFormat="1" applyFont="1" applyBorder="1" applyAlignment="1">
      <alignment horizontal="right" vertical="center"/>
    </xf>
    <xf numFmtId="43" fontId="77" fillId="0" borderId="21" xfId="4" applyFont="1" applyFill="1" applyBorder="1" applyAlignment="1">
      <alignment vertical="top" wrapText="1"/>
    </xf>
    <xf numFmtId="189" fontId="75" fillId="0" borderId="21" xfId="4" applyNumberFormat="1" applyFont="1" applyFill="1" applyBorder="1" applyAlignment="1">
      <alignment vertical="top" wrapText="1"/>
    </xf>
    <xf numFmtId="43" fontId="45" fillId="0" borderId="0" xfId="0" applyNumberFormat="1" applyFont="1" applyAlignment="1">
      <alignment horizontal="left" vertical="top" wrapText="1"/>
    </xf>
    <xf numFmtId="0" fontId="12" fillId="0" borderId="0" xfId="1" applyFont="1" applyAlignment="1">
      <alignment horizontal="center"/>
    </xf>
    <xf numFmtId="0" fontId="3" fillId="0" borderId="5" xfId="1" applyFont="1" applyBorder="1" applyAlignment="1">
      <alignment horizontal="center" vertical="center"/>
    </xf>
    <xf numFmtId="49" fontId="3" fillId="0" borderId="5" xfId="2" applyNumberFormat="1" applyFont="1" applyFill="1" applyBorder="1" applyAlignment="1">
      <alignment horizontal="center"/>
    </xf>
    <xf numFmtId="49" fontId="3" fillId="0" borderId="5" xfId="2" applyNumberFormat="1" applyFont="1" applyFill="1" applyBorder="1" applyAlignment="1">
      <alignment horizontal="center" vertical="center" wrapText="1"/>
    </xf>
    <xf numFmtId="49" fontId="3" fillId="0" borderId="5" xfId="2" applyNumberFormat="1" applyFont="1" applyFill="1" applyBorder="1" applyAlignment="1">
      <alignment horizontal="center" vertical="center"/>
    </xf>
    <xf numFmtId="43" fontId="3" fillId="0" borderId="5" xfId="2" applyFont="1" applyFill="1" applyBorder="1" applyAlignment="1">
      <alignment horizontal="center" vertical="top" wrapText="1"/>
    </xf>
    <xf numFmtId="43" fontId="3" fillId="0" borderId="5" xfId="2" applyFont="1" applyFill="1" applyBorder="1" applyAlignment="1">
      <alignment horizontal="center" vertical="center" wrapText="1"/>
    </xf>
    <xf numFmtId="49" fontId="3" fillId="0" borderId="1" xfId="2" applyNumberFormat="1" applyFont="1" applyFill="1" applyBorder="1" applyAlignment="1">
      <alignment horizontal="center" vertical="top" wrapText="1"/>
    </xf>
    <xf numFmtId="49" fontId="3" fillId="0" borderId="4" xfId="2" applyNumberFormat="1" applyFont="1" applyFill="1" applyBorder="1" applyAlignment="1">
      <alignment horizontal="center" vertical="top" wrapText="1"/>
    </xf>
    <xf numFmtId="49" fontId="3" fillId="0" borderId="1" xfId="2" applyNumberFormat="1" applyFont="1" applyFill="1" applyBorder="1" applyAlignment="1">
      <alignment horizontal="center" vertical="center"/>
    </xf>
    <xf numFmtId="49" fontId="3" fillId="0" borderId="4" xfId="2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2" fontId="4" fillId="0" borderId="1" xfId="1" applyNumberFormat="1" applyFont="1" applyBorder="1" applyAlignment="1">
      <alignment horizontal="right" vertical="center"/>
    </xf>
    <xf numFmtId="2" fontId="4" fillId="0" borderId="4" xfId="1" applyNumberFormat="1" applyFont="1" applyBorder="1" applyAlignment="1">
      <alignment horizontal="right" vertical="center"/>
    </xf>
    <xf numFmtId="188" fontId="3" fillId="0" borderId="5" xfId="2" applyNumberFormat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43" fontId="4" fillId="0" borderId="1" xfId="4" applyFont="1" applyFill="1" applyBorder="1" applyAlignment="1">
      <alignment horizontal="center" vertical="center"/>
    </xf>
    <xf numFmtId="43" fontId="4" fillId="0" borderId="4" xfId="4" applyFont="1" applyFill="1" applyBorder="1" applyAlignment="1">
      <alignment horizontal="center" vertical="center"/>
    </xf>
    <xf numFmtId="187" fontId="1" fillId="0" borderId="5" xfId="2" applyNumberFormat="1" applyFont="1" applyFill="1" applyBorder="1" applyAlignment="1">
      <alignment horizontal="center" vertical="center" shrinkToFit="1"/>
    </xf>
    <xf numFmtId="188" fontId="3" fillId="0" borderId="5" xfId="2" applyNumberFormat="1" applyFont="1" applyFill="1" applyBorder="1" applyAlignment="1">
      <alignment horizontal="right" vertical="center" shrinkToFit="1"/>
    </xf>
    <xf numFmtId="49" fontId="3" fillId="0" borderId="2" xfId="2" applyNumberFormat="1" applyFont="1" applyFill="1" applyBorder="1" applyAlignment="1">
      <alignment horizontal="center"/>
    </xf>
    <xf numFmtId="49" fontId="3" fillId="0" borderId="8" xfId="2" applyNumberFormat="1" applyFont="1" applyFill="1" applyBorder="1" applyAlignment="1">
      <alignment horizontal="center"/>
    </xf>
    <xf numFmtId="49" fontId="3" fillId="0" borderId="3" xfId="2" applyNumberFormat="1" applyFont="1" applyFill="1" applyBorder="1" applyAlignment="1">
      <alignment horizontal="center"/>
    </xf>
    <xf numFmtId="187" fontId="1" fillId="0" borderId="1" xfId="2" applyNumberFormat="1" applyFont="1" applyFill="1" applyBorder="1" applyAlignment="1">
      <alignment horizontal="center" vertical="center" shrinkToFit="1"/>
    </xf>
    <xf numFmtId="187" fontId="1" fillId="0" borderId="4" xfId="2" applyNumberFormat="1" applyFont="1" applyFill="1" applyBorder="1" applyAlignment="1">
      <alignment horizontal="center" vertical="center" shrinkToFit="1"/>
    </xf>
    <xf numFmtId="49" fontId="3" fillId="0" borderId="1" xfId="2" applyNumberFormat="1" applyFont="1" applyFill="1" applyBorder="1" applyAlignment="1">
      <alignment horizontal="center" vertical="center" wrapText="1"/>
    </xf>
    <xf numFmtId="49" fontId="3" fillId="3" borderId="1" xfId="2" applyNumberFormat="1" applyFont="1" applyFill="1" applyBorder="1" applyAlignment="1">
      <alignment horizontal="center" vertical="center"/>
    </xf>
    <xf numFmtId="49" fontId="3" fillId="3" borderId="4" xfId="2" applyNumberFormat="1" applyFont="1" applyFill="1" applyBorder="1" applyAlignment="1">
      <alignment horizontal="center" vertical="center"/>
    </xf>
    <xf numFmtId="188" fontId="3" fillId="0" borderId="1" xfId="2" applyNumberFormat="1" applyFont="1" applyFill="1" applyBorder="1" applyAlignment="1">
      <alignment horizontal="right" vertical="center" shrinkToFit="1"/>
    </xf>
    <xf numFmtId="188" fontId="3" fillId="0" borderId="4" xfId="2" applyNumberFormat="1" applyFont="1" applyFill="1" applyBorder="1" applyAlignment="1">
      <alignment horizontal="right" vertical="center" shrinkToFit="1"/>
    </xf>
    <xf numFmtId="188" fontId="3" fillId="0" borderId="1" xfId="2" applyNumberFormat="1" applyFont="1" applyFill="1" applyBorder="1" applyAlignment="1">
      <alignment horizontal="center" vertical="center" shrinkToFit="1"/>
    </xf>
    <xf numFmtId="188" fontId="3" fillId="0" borderId="4" xfId="2" applyNumberFormat="1" applyFont="1" applyFill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 wrapText="1"/>
    </xf>
    <xf numFmtId="43" fontId="3" fillId="0" borderId="1" xfId="2" applyFont="1" applyFill="1" applyBorder="1" applyAlignment="1">
      <alignment horizontal="center" vertical="top" wrapText="1"/>
    </xf>
    <xf numFmtId="43" fontId="3" fillId="0" borderId="4" xfId="2" applyFont="1" applyFill="1" applyBorder="1" applyAlignment="1">
      <alignment horizontal="center" vertical="top" wrapText="1"/>
    </xf>
    <xf numFmtId="0" fontId="12" fillId="0" borderId="5" xfId="10" applyFont="1" applyBorder="1" applyAlignment="1">
      <alignment horizontal="left" vertical="center"/>
    </xf>
    <xf numFmtId="0" fontId="12" fillId="0" borderId="0" xfId="10" applyFont="1" applyAlignment="1">
      <alignment horizontal="center" vertical="center"/>
    </xf>
    <xf numFmtId="0" fontId="12" fillId="0" borderId="5" xfId="10" applyFont="1" applyBorder="1" applyAlignment="1">
      <alignment horizontal="center" vertical="center"/>
    </xf>
    <xf numFmtId="0" fontId="12" fillId="0" borderId="5" xfId="10" applyFont="1" applyBorder="1" applyAlignment="1">
      <alignment horizontal="left" vertical="top"/>
    </xf>
    <xf numFmtId="43" fontId="45" fillId="0" borderId="21" xfId="4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/>
    </xf>
    <xf numFmtId="43" fontId="19" fillId="6" borderId="36" xfId="4" applyFont="1" applyFill="1" applyBorder="1" applyAlignment="1">
      <alignment horizontal="center" vertical="center" wrapText="1"/>
    </xf>
    <xf numFmtId="43" fontId="19" fillId="0" borderId="42" xfId="4" applyFont="1" applyFill="1" applyBorder="1" applyAlignment="1">
      <alignment vertical="center" shrinkToFit="1"/>
    </xf>
    <xf numFmtId="43" fontId="19" fillId="0" borderId="40" xfId="4" applyFont="1" applyFill="1" applyBorder="1" applyAlignment="1">
      <alignment vertical="center" shrinkToFit="1"/>
    </xf>
    <xf numFmtId="43" fontId="19" fillId="0" borderId="36" xfId="4" applyFont="1" applyFill="1" applyBorder="1" applyAlignment="1">
      <alignment horizontal="center" vertical="center" shrinkToFit="1"/>
    </xf>
    <xf numFmtId="43" fontId="19" fillId="0" borderId="50" xfId="4" applyFont="1" applyFill="1" applyBorder="1" applyAlignment="1">
      <alignment horizontal="center" vertical="center" wrapText="1"/>
    </xf>
    <xf numFmtId="43" fontId="19" fillId="0" borderId="4" xfId="4" applyFont="1" applyFill="1" applyBorder="1" applyAlignment="1">
      <alignment horizontal="center" vertical="center" wrapText="1"/>
    </xf>
    <xf numFmtId="43" fontId="19" fillId="0" borderId="42" xfId="4" applyFont="1" applyFill="1" applyBorder="1" applyAlignment="1">
      <alignment horizontal="center" vertical="top" wrapText="1" shrinkToFit="1"/>
    </xf>
    <xf numFmtId="43" fontId="19" fillId="0" borderId="40" xfId="4" applyFont="1" applyFill="1" applyBorder="1" applyAlignment="1">
      <alignment horizontal="center" vertical="top" wrapText="1" shrinkToFit="1"/>
    </xf>
    <xf numFmtId="43" fontId="19" fillId="6" borderId="42" xfId="4" applyFont="1" applyFill="1" applyBorder="1" applyAlignment="1">
      <alignment horizontal="center" vertical="center" wrapText="1" shrinkToFit="1"/>
    </xf>
    <xf numFmtId="43" fontId="19" fillId="6" borderId="40" xfId="4" applyFont="1" applyFill="1" applyBorder="1" applyAlignment="1">
      <alignment horizontal="center" vertical="center" wrapText="1" shrinkToFit="1"/>
    </xf>
    <xf numFmtId="43" fontId="45" fillId="0" borderId="21" xfId="11" applyFont="1" applyFill="1" applyBorder="1" applyAlignment="1">
      <alignment horizontal="center" vertical="center"/>
    </xf>
    <xf numFmtId="43" fontId="19" fillId="0" borderId="4" xfId="4" applyFont="1" applyFill="1" applyBorder="1" applyAlignment="1">
      <alignment horizontal="center" vertical="center"/>
    </xf>
    <xf numFmtId="43" fontId="19" fillId="0" borderId="58" xfId="4" applyFont="1" applyFill="1" applyBorder="1" applyAlignment="1">
      <alignment horizontal="center" vertical="center" shrinkToFit="1"/>
    </xf>
    <xf numFmtId="0" fontId="19" fillId="0" borderId="5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6" borderId="50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/>
    </xf>
    <xf numFmtId="43" fontId="19" fillId="0" borderId="20" xfId="4" applyFont="1" applyFill="1" applyBorder="1" applyAlignment="1">
      <alignment horizontal="center" vertical="center" wrapText="1"/>
    </xf>
    <xf numFmtId="43" fontId="19" fillId="0" borderId="23" xfId="4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" fillId="0" borderId="5" xfId="17" applyFont="1" applyBorder="1" applyAlignment="1">
      <alignment horizontal="center" vertical="top"/>
    </xf>
    <xf numFmtId="0" fontId="1" fillId="0" borderId="2" xfId="17" applyFont="1" applyBorder="1" applyAlignment="1">
      <alignment horizontal="center" vertical="top"/>
    </xf>
    <xf numFmtId="0" fontId="1" fillId="0" borderId="8" xfId="17" applyFont="1" applyBorder="1" applyAlignment="1">
      <alignment horizontal="center" vertical="top"/>
    </xf>
    <xf numFmtId="0" fontId="1" fillId="0" borderId="3" xfId="17" applyFont="1" applyBorder="1" applyAlignment="1">
      <alignment horizontal="center" vertical="top"/>
    </xf>
    <xf numFmtId="0" fontId="44" fillId="0" borderId="0" xfId="17" applyFont="1" applyAlignment="1">
      <alignment horizontal="center" vertical="center"/>
    </xf>
    <xf numFmtId="4" fontId="7" fillId="0" borderId="1" xfId="0" applyNumberFormat="1" applyFont="1" applyBorder="1" applyAlignment="1">
      <alignment horizontal="center" vertical="top" wrapText="1"/>
    </xf>
    <xf numFmtId="4" fontId="7" fillId="0" borderId="4" xfId="0" applyNumberFormat="1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44" fillId="0" borderId="36" xfId="17" applyFont="1" applyBorder="1" applyAlignment="1">
      <alignment horizontal="center" vertical="top"/>
    </xf>
    <xf numFmtId="0" fontId="63" fillId="0" borderId="16" xfId="95" applyFont="1" applyBorder="1" applyAlignment="1">
      <alignment horizontal="center" vertical="center"/>
    </xf>
    <xf numFmtId="0" fontId="61" fillId="0" borderId="0" xfId="95" applyFont="1" applyAlignment="1">
      <alignment horizontal="center" vertical="center"/>
    </xf>
    <xf numFmtId="0" fontId="64" fillId="0" borderId="42" xfId="95" applyFont="1" applyBorder="1" applyAlignment="1">
      <alignment horizontal="right" vertical="center" wrapText="1"/>
    </xf>
    <xf numFmtId="0" fontId="64" fillId="0" borderId="41" xfId="95" applyFont="1" applyBorder="1" applyAlignment="1">
      <alignment horizontal="right" vertical="center" wrapText="1"/>
    </xf>
    <xf numFmtId="0" fontId="64" fillId="0" borderId="40" xfId="95" applyFont="1" applyBorder="1" applyAlignment="1">
      <alignment horizontal="right" vertical="center" wrapText="1"/>
    </xf>
    <xf numFmtId="0" fontId="63" fillId="0" borderId="42" xfId="0" applyFont="1" applyBorder="1" applyAlignment="1">
      <alignment horizontal="right" vertical="center"/>
    </xf>
    <xf numFmtId="0" fontId="63" fillId="0" borderId="41" xfId="0" applyFont="1" applyBorder="1" applyAlignment="1">
      <alignment horizontal="right" vertical="center"/>
    </xf>
    <xf numFmtId="0" fontId="63" fillId="0" borderId="40" xfId="0" applyFont="1" applyBorder="1" applyAlignment="1">
      <alignment horizontal="right" vertical="center"/>
    </xf>
    <xf numFmtId="0" fontId="63" fillId="0" borderId="42" xfId="95" applyFont="1" applyBorder="1" applyAlignment="1">
      <alignment horizontal="right" vertical="center" wrapText="1" shrinkToFit="1"/>
    </xf>
    <xf numFmtId="0" fontId="63" fillId="0" borderId="41" xfId="95" applyFont="1" applyBorder="1" applyAlignment="1">
      <alignment horizontal="right" vertical="center" wrapText="1" shrinkToFit="1"/>
    </xf>
    <xf numFmtId="0" fontId="63" fillId="0" borderId="40" xfId="95" applyFont="1" applyBorder="1" applyAlignment="1">
      <alignment horizontal="right" vertical="center" wrapText="1" shrinkToFit="1"/>
    </xf>
    <xf numFmtId="4" fontId="65" fillId="0" borderId="50" xfId="0" applyNumberFormat="1" applyFont="1" applyBorder="1" applyAlignment="1">
      <alignment horizontal="center" vertical="center" wrapText="1"/>
    </xf>
    <xf numFmtId="4" fontId="65" fillId="0" borderId="4" xfId="0" applyNumberFormat="1" applyFont="1" applyBorder="1" applyAlignment="1">
      <alignment horizontal="center" vertical="center" wrapText="1"/>
    </xf>
    <xf numFmtId="0" fontId="63" fillId="0" borderId="41" xfId="95" applyFont="1" applyBorder="1" applyAlignment="1">
      <alignment horizontal="center" vertical="center"/>
    </xf>
    <xf numFmtId="0" fontId="68" fillId="0" borderId="16" xfId="0" applyFont="1" applyBorder="1" applyAlignment="1">
      <alignment horizontal="center" vertical="center" wrapText="1"/>
    </xf>
    <xf numFmtId="0" fontId="63" fillId="0" borderId="17" xfId="95" applyFont="1" applyBorder="1" applyAlignment="1">
      <alignment horizontal="center" vertical="center"/>
    </xf>
    <xf numFmtId="0" fontId="63" fillId="0" borderId="4" xfId="95" applyFont="1" applyBorder="1" applyAlignment="1">
      <alignment horizontal="center" vertical="center"/>
    </xf>
    <xf numFmtId="0" fontId="63" fillId="0" borderId="15" xfId="95" applyFont="1" applyBorder="1" applyAlignment="1">
      <alignment horizontal="center" vertical="center"/>
    </xf>
    <xf numFmtId="0" fontId="68" fillId="0" borderId="37" xfId="0" applyFont="1" applyBorder="1" applyAlignment="1">
      <alignment horizontal="right" vertical="center" wrapText="1"/>
    </xf>
    <xf numFmtId="0" fontId="64" fillId="0" borderId="42" xfId="0" applyFont="1" applyBorder="1" applyAlignment="1">
      <alignment horizontal="center" vertical="center"/>
    </xf>
    <xf numFmtId="0" fontId="64" fillId="0" borderId="41" xfId="0" applyFont="1" applyBorder="1" applyAlignment="1">
      <alignment horizontal="center" vertical="center"/>
    </xf>
    <xf numFmtId="0" fontId="64" fillId="0" borderId="40" xfId="0" applyFont="1" applyBorder="1" applyAlignment="1">
      <alignment horizontal="center" vertical="center"/>
    </xf>
    <xf numFmtId="4" fontId="63" fillId="0" borderId="42" xfId="95" applyNumberFormat="1" applyFont="1" applyBorder="1" applyAlignment="1">
      <alignment horizontal="right" vertical="center"/>
    </xf>
    <xf numFmtId="4" fontId="63" fillId="0" borderId="41" xfId="95" applyNumberFormat="1" applyFont="1" applyBorder="1" applyAlignment="1">
      <alignment horizontal="right" vertical="center"/>
    </xf>
    <xf numFmtId="4" fontId="63" fillId="0" borderId="40" xfId="95" applyNumberFormat="1" applyFont="1" applyBorder="1" applyAlignment="1">
      <alignment horizontal="right" vertical="center"/>
    </xf>
    <xf numFmtId="0" fontId="64" fillId="0" borderId="42" xfId="0" applyFont="1" applyBorder="1" applyAlignment="1">
      <alignment horizontal="right" vertical="center"/>
    </xf>
    <xf numFmtId="0" fontId="64" fillId="0" borderId="41" xfId="0" applyFont="1" applyBorder="1" applyAlignment="1">
      <alignment horizontal="right" vertical="center"/>
    </xf>
    <xf numFmtId="0" fontId="64" fillId="0" borderId="40" xfId="0" applyFont="1" applyBorder="1" applyAlignment="1">
      <alignment horizontal="right" vertical="center"/>
    </xf>
    <xf numFmtId="0" fontId="23" fillId="0" borderId="0" xfId="17" applyFont="1" applyAlignment="1">
      <alignment horizontal="center" vertical="top"/>
    </xf>
    <xf numFmtId="0" fontId="1" fillId="0" borderId="16" xfId="17" applyFont="1" applyBorder="1" applyAlignment="1">
      <alignment horizontal="center" vertical="top"/>
    </xf>
    <xf numFmtId="0" fontId="3" fillId="0" borderId="14" xfId="17" applyFont="1" applyBorder="1" applyAlignment="1">
      <alignment horizontal="right" vertical="top" wrapText="1"/>
    </xf>
    <xf numFmtId="0" fontId="1" fillId="0" borderId="14" xfId="17" applyFont="1" applyBorder="1" applyAlignment="1">
      <alignment horizontal="right" vertical="top"/>
    </xf>
    <xf numFmtId="0" fontId="74" fillId="0" borderId="0" xfId="9" applyFont="1" applyAlignment="1">
      <alignment horizontal="center" vertical="center" shrinkToFit="1"/>
    </xf>
    <xf numFmtId="0" fontId="74" fillId="0" borderId="36" xfId="9" applyFont="1" applyBorder="1" applyAlignment="1">
      <alignment horizontal="center" wrapText="1" shrinkToFit="1"/>
    </xf>
    <xf numFmtId="0" fontId="74" fillId="0" borderId="36" xfId="9" applyFont="1" applyBorder="1" applyAlignment="1">
      <alignment horizontal="center" vertical="center" wrapText="1" shrinkToFit="1"/>
    </xf>
    <xf numFmtId="0" fontId="74" fillId="0" borderId="16" xfId="9" applyFont="1" applyBorder="1" applyAlignment="1">
      <alignment horizontal="center" vertical="center" shrinkToFit="1"/>
    </xf>
    <xf numFmtId="49" fontId="74" fillId="0" borderId="36" xfId="9" applyNumberFormat="1" applyFont="1" applyBorder="1" applyAlignment="1">
      <alignment horizontal="center" vertical="center" shrinkToFit="1"/>
    </xf>
    <xf numFmtId="0" fontId="74" fillId="0" borderId="36" xfId="9" applyFont="1" applyBorder="1" applyAlignment="1">
      <alignment horizontal="center" vertical="center" shrinkToFit="1"/>
    </xf>
    <xf numFmtId="0" fontId="74" fillId="26" borderId="36" xfId="0" applyFont="1" applyFill="1" applyBorder="1" applyAlignment="1">
      <alignment horizontal="center" vertical="center"/>
    </xf>
    <xf numFmtId="0" fontId="74" fillId="0" borderId="40" xfId="9" applyFont="1" applyBorder="1" applyAlignment="1">
      <alignment horizontal="center" vertical="center" wrapText="1" shrinkToFit="1"/>
    </xf>
    <xf numFmtId="0" fontId="74" fillId="7" borderId="36" xfId="9" applyFont="1" applyFill="1" applyBorder="1" applyAlignment="1">
      <alignment horizontal="center" vertical="center" wrapText="1" shrinkToFit="1"/>
    </xf>
    <xf numFmtId="0" fontId="86" fillId="7" borderId="50" xfId="9" applyFont="1" applyFill="1" applyBorder="1" applyAlignment="1">
      <alignment horizontal="center" vertical="center" wrapText="1" shrinkToFit="1"/>
    </xf>
    <xf numFmtId="0" fontId="86" fillId="7" borderId="4" xfId="9" applyFont="1" applyFill="1" applyBorder="1" applyAlignment="1">
      <alignment horizontal="center" vertical="center" wrapText="1" shrinkToFit="1"/>
    </xf>
    <xf numFmtId="43" fontId="75" fillId="0" borderId="1" xfId="4" applyFont="1" applyFill="1" applyBorder="1" applyAlignment="1">
      <alignment horizontal="center" vertical="center" shrinkToFit="1"/>
    </xf>
    <xf numFmtId="43" fontId="75" fillId="0" borderId="11" xfId="4" applyFont="1" applyFill="1" applyBorder="1" applyAlignment="1">
      <alignment horizontal="center" vertical="center" shrinkToFit="1"/>
    </xf>
    <xf numFmtId="43" fontId="75" fillId="0" borderId="24" xfId="4" applyFont="1" applyFill="1" applyBorder="1" applyAlignment="1">
      <alignment horizontal="center" vertical="center" shrinkToFit="1"/>
    </xf>
    <xf numFmtId="0" fontId="74" fillId="0" borderId="5" xfId="9" applyFont="1" applyBorder="1" applyAlignment="1">
      <alignment horizontal="center" vertical="center" shrinkToFit="1"/>
    </xf>
    <xf numFmtId="43" fontId="75" fillId="0" borderId="21" xfId="13" applyFont="1" applyFill="1" applyBorder="1" applyAlignment="1">
      <alignment horizontal="center" vertical="center" shrinkToFit="1"/>
    </xf>
    <xf numFmtId="43" fontId="75" fillId="0" borderId="21" xfId="4" applyFont="1" applyFill="1" applyBorder="1" applyAlignment="1">
      <alignment horizontal="center" vertical="top" shrinkToFit="1"/>
    </xf>
    <xf numFmtId="43" fontId="75" fillId="26" borderId="21" xfId="4" applyFont="1" applyFill="1" applyBorder="1" applyAlignment="1">
      <alignment horizontal="center" vertical="center" shrinkToFit="1"/>
    </xf>
    <xf numFmtId="0" fontId="74" fillId="26" borderId="36" xfId="9" applyFont="1" applyFill="1" applyBorder="1" applyAlignment="1">
      <alignment horizontal="center" vertical="center" shrinkToFit="1"/>
    </xf>
  </cellXfs>
  <cellStyles count="251">
    <cellStyle name="20% - Accent1" xfId="19" xr:uid="{00000000-0005-0000-0000-000000000000}"/>
    <cellStyle name="20% - Accent1 2" xfId="152" xr:uid="{00000000-0005-0000-0000-000001000000}"/>
    <cellStyle name="20% - Accent2" xfId="20" xr:uid="{00000000-0005-0000-0000-000002000000}"/>
    <cellStyle name="20% - Accent2 2" xfId="153" xr:uid="{00000000-0005-0000-0000-000003000000}"/>
    <cellStyle name="20% - Accent3" xfId="21" xr:uid="{00000000-0005-0000-0000-000004000000}"/>
    <cellStyle name="20% - Accent3 2" xfId="154" xr:uid="{00000000-0005-0000-0000-000005000000}"/>
    <cellStyle name="20% - Accent4" xfId="22" xr:uid="{00000000-0005-0000-0000-000006000000}"/>
    <cellStyle name="20% - Accent4 2" xfId="155" xr:uid="{00000000-0005-0000-0000-000007000000}"/>
    <cellStyle name="20% - Accent5" xfId="23" xr:uid="{00000000-0005-0000-0000-000008000000}"/>
    <cellStyle name="20% - Accent5 2" xfId="156" xr:uid="{00000000-0005-0000-0000-000009000000}"/>
    <cellStyle name="20% - Accent6" xfId="24" xr:uid="{00000000-0005-0000-0000-00000A000000}"/>
    <cellStyle name="20% - Accent6 2" xfId="157" xr:uid="{00000000-0005-0000-0000-00000B000000}"/>
    <cellStyle name="40% - Accent1" xfId="25" xr:uid="{00000000-0005-0000-0000-00000C000000}"/>
    <cellStyle name="40% - Accent2" xfId="26" xr:uid="{00000000-0005-0000-0000-00000D000000}"/>
    <cellStyle name="40% - Accent2 2" xfId="158" xr:uid="{00000000-0005-0000-0000-00000E000000}"/>
    <cellStyle name="40% - Accent3" xfId="27" xr:uid="{00000000-0005-0000-0000-00000F000000}"/>
    <cellStyle name="40% - Accent3 2" xfId="159" xr:uid="{00000000-0005-0000-0000-000010000000}"/>
    <cellStyle name="40% - Accent4" xfId="28" xr:uid="{00000000-0005-0000-0000-000011000000}"/>
    <cellStyle name="40% - Accent4 2" xfId="160" xr:uid="{00000000-0005-0000-0000-000012000000}"/>
    <cellStyle name="40% - Accent5" xfId="29" xr:uid="{00000000-0005-0000-0000-000013000000}"/>
    <cellStyle name="40% - Accent6" xfId="30" xr:uid="{00000000-0005-0000-0000-000014000000}"/>
    <cellStyle name="40% - Accent6 2" xfId="161" xr:uid="{00000000-0005-0000-0000-000015000000}"/>
    <cellStyle name="60% - Accent1" xfId="31" xr:uid="{00000000-0005-0000-0000-000016000000}"/>
    <cellStyle name="60% - Accent1 2" xfId="162" xr:uid="{00000000-0005-0000-0000-000017000000}"/>
    <cellStyle name="60% - Accent2" xfId="32" xr:uid="{00000000-0005-0000-0000-000018000000}"/>
    <cellStyle name="60% - Accent2 2" xfId="163" xr:uid="{00000000-0005-0000-0000-000019000000}"/>
    <cellStyle name="60% - Accent3" xfId="33" xr:uid="{00000000-0005-0000-0000-00001A000000}"/>
    <cellStyle name="60% - Accent3 2" xfId="164" xr:uid="{00000000-0005-0000-0000-00001B000000}"/>
    <cellStyle name="60% - Accent4" xfId="34" xr:uid="{00000000-0005-0000-0000-00001C000000}"/>
    <cellStyle name="60% - Accent4 2" xfId="165" xr:uid="{00000000-0005-0000-0000-00001D000000}"/>
    <cellStyle name="60% - Accent5" xfId="35" xr:uid="{00000000-0005-0000-0000-00001E000000}"/>
    <cellStyle name="60% - Accent6" xfId="36" xr:uid="{00000000-0005-0000-0000-00001F000000}"/>
    <cellStyle name="60% - Accent6 2" xfId="166" xr:uid="{00000000-0005-0000-0000-000020000000}"/>
    <cellStyle name="Accent1" xfId="37" xr:uid="{00000000-0005-0000-0000-000021000000}"/>
    <cellStyle name="Accent1 2" xfId="167" xr:uid="{00000000-0005-0000-0000-000022000000}"/>
    <cellStyle name="Accent2" xfId="38" xr:uid="{00000000-0005-0000-0000-000023000000}"/>
    <cellStyle name="Accent2 2" xfId="168" xr:uid="{00000000-0005-0000-0000-000024000000}"/>
    <cellStyle name="Accent3" xfId="39" xr:uid="{00000000-0005-0000-0000-000025000000}"/>
    <cellStyle name="Accent3 2" xfId="169" xr:uid="{00000000-0005-0000-0000-000026000000}"/>
    <cellStyle name="Accent4" xfId="40" xr:uid="{00000000-0005-0000-0000-000027000000}"/>
    <cellStyle name="Accent4 2" xfId="170" xr:uid="{00000000-0005-0000-0000-000028000000}"/>
    <cellStyle name="Accent5" xfId="41" xr:uid="{00000000-0005-0000-0000-000029000000}"/>
    <cellStyle name="Accent5 2" xfId="171" xr:uid="{00000000-0005-0000-0000-00002A000000}"/>
    <cellStyle name="Accent6" xfId="42" xr:uid="{00000000-0005-0000-0000-00002B000000}"/>
    <cellStyle name="Accent6 2" xfId="172" xr:uid="{00000000-0005-0000-0000-00002C000000}"/>
    <cellStyle name="Bad" xfId="43" xr:uid="{00000000-0005-0000-0000-00002D000000}"/>
    <cellStyle name="Calculation" xfId="44" xr:uid="{00000000-0005-0000-0000-00002E000000}"/>
    <cellStyle name="Calculation 2" xfId="120" xr:uid="{00000000-0005-0000-0000-00002F000000}"/>
    <cellStyle name="Calculation 3" xfId="136" xr:uid="{00000000-0005-0000-0000-000030000000}"/>
    <cellStyle name="Calculation 4" xfId="125" xr:uid="{00000000-0005-0000-0000-000031000000}"/>
    <cellStyle name="Calculation 5" xfId="144" xr:uid="{00000000-0005-0000-0000-000032000000}"/>
    <cellStyle name="Calculation 6" xfId="127" xr:uid="{00000000-0005-0000-0000-000033000000}"/>
    <cellStyle name="Calculation 7" xfId="139" xr:uid="{00000000-0005-0000-0000-000034000000}"/>
    <cellStyle name="Calculation 8" xfId="115" xr:uid="{00000000-0005-0000-0000-000035000000}"/>
    <cellStyle name="Check Cell" xfId="45" xr:uid="{00000000-0005-0000-0000-000036000000}"/>
    <cellStyle name="Comma 2" xfId="2" xr:uid="{00000000-0005-0000-0000-000037000000}"/>
    <cellStyle name="Comma 2 2" xfId="89" xr:uid="{00000000-0005-0000-0000-000038000000}"/>
    <cellStyle name="Comma 2 2 2" xfId="215" xr:uid="{AC12B343-4B34-4F3A-95E0-C6A4DC60BC33}"/>
    <cellStyle name="Comma 2 3" xfId="190" xr:uid="{B79C73F0-614D-44C6-A0A6-7242E806CDA4}"/>
    <cellStyle name="Explanatory Text" xfId="46" xr:uid="{00000000-0005-0000-0000-000039000000}"/>
    <cellStyle name="Good" xfId="47" xr:uid="{00000000-0005-0000-0000-00003A000000}"/>
    <cellStyle name="Heading 1" xfId="48" xr:uid="{00000000-0005-0000-0000-00003B000000}"/>
    <cellStyle name="Heading 1 2" xfId="173" xr:uid="{00000000-0005-0000-0000-00003C000000}"/>
    <cellStyle name="Heading 2" xfId="49" xr:uid="{00000000-0005-0000-0000-00003D000000}"/>
    <cellStyle name="Heading 2 2" xfId="174" xr:uid="{00000000-0005-0000-0000-00003E000000}"/>
    <cellStyle name="Heading 3" xfId="50" xr:uid="{00000000-0005-0000-0000-00003F000000}"/>
    <cellStyle name="Heading 3 2" xfId="175" xr:uid="{00000000-0005-0000-0000-000040000000}"/>
    <cellStyle name="Heading 4" xfId="51" xr:uid="{00000000-0005-0000-0000-000041000000}"/>
    <cellStyle name="Heading 4 2" xfId="176" xr:uid="{00000000-0005-0000-0000-000042000000}"/>
    <cellStyle name="Input" xfId="52" xr:uid="{00000000-0005-0000-0000-000043000000}"/>
    <cellStyle name="Input 2" xfId="121" xr:uid="{00000000-0005-0000-0000-000044000000}"/>
    <cellStyle name="Input 3" xfId="138" xr:uid="{00000000-0005-0000-0000-000045000000}"/>
    <cellStyle name="Input 4" xfId="137" xr:uid="{00000000-0005-0000-0000-000046000000}"/>
    <cellStyle name="Input 5" xfId="128" xr:uid="{00000000-0005-0000-0000-000047000000}"/>
    <cellStyle name="Input 6" xfId="126" xr:uid="{00000000-0005-0000-0000-000048000000}"/>
    <cellStyle name="Input 7" xfId="147" xr:uid="{00000000-0005-0000-0000-000049000000}"/>
    <cellStyle name="Input 8" xfId="116" xr:uid="{00000000-0005-0000-0000-00004A000000}"/>
    <cellStyle name="Neutral" xfId="53" xr:uid="{00000000-0005-0000-0000-00004B000000}"/>
    <cellStyle name="Normal 12" xfId="54" xr:uid="{00000000-0005-0000-0000-00004C000000}"/>
    <cellStyle name="Normal 2" xfId="1" xr:uid="{00000000-0005-0000-0000-00004D000000}"/>
    <cellStyle name="Normal 2 2" xfId="55" xr:uid="{00000000-0005-0000-0000-00004E000000}"/>
    <cellStyle name="Normal 3" xfId="6" xr:uid="{00000000-0005-0000-0000-00004F000000}"/>
    <cellStyle name="Normal 7" xfId="56" xr:uid="{00000000-0005-0000-0000-000050000000}"/>
    <cellStyle name="Note" xfId="57" xr:uid="{00000000-0005-0000-0000-000051000000}"/>
    <cellStyle name="Note 2" xfId="122" xr:uid="{00000000-0005-0000-0000-000052000000}"/>
    <cellStyle name="Note 3" xfId="140" xr:uid="{00000000-0005-0000-0000-000053000000}"/>
    <cellStyle name="Note 4" xfId="135" xr:uid="{00000000-0005-0000-0000-000054000000}"/>
    <cellStyle name="Note 5" xfId="129" xr:uid="{00000000-0005-0000-0000-000055000000}"/>
    <cellStyle name="Note 6" xfId="132" xr:uid="{00000000-0005-0000-0000-000056000000}"/>
    <cellStyle name="Note 7" xfId="149" xr:uid="{00000000-0005-0000-0000-000057000000}"/>
    <cellStyle name="Note 8" xfId="117" xr:uid="{00000000-0005-0000-0000-000058000000}"/>
    <cellStyle name="Output" xfId="58" xr:uid="{00000000-0005-0000-0000-000059000000}"/>
    <cellStyle name="Output 2" xfId="123" xr:uid="{00000000-0005-0000-0000-00005A000000}"/>
    <cellStyle name="Output 3" xfId="141" xr:uid="{00000000-0005-0000-0000-00005B000000}"/>
    <cellStyle name="Output 4" xfId="134" xr:uid="{00000000-0005-0000-0000-00005C000000}"/>
    <cellStyle name="Output 5" xfId="148" xr:uid="{00000000-0005-0000-0000-00005D000000}"/>
    <cellStyle name="Output 6" xfId="143" xr:uid="{00000000-0005-0000-0000-00005E000000}"/>
    <cellStyle name="Output 7" xfId="145" xr:uid="{00000000-0005-0000-0000-00005F000000}"/>
    <cellStyle name="Output 8" xfId="118" xr:uid="{00000000-0005-0000-0000-000060000000}"/>
    <cellStyle name="Percent 2" xfId="3" xr:uid="{00000000-0005-0000-0000-000061000000}"/>
    <cellStyle name="Title" xfId="59" xr:uid="{00000000-0005-0000-0000-000062000000}"/>
    <cellStyle name="Title 2" xfId="177" xr:uid="{00000000-0005-0000-0000-000063000000}"/>
    <cellStyle name="Total" xfId="60" xr:uid="{00000000-0005-0000-0000-000064000000}"/>
    <cellStyle name="Total 2" xfId="124" xr:uid="{00000000-0005-0000-0000-000065000000}"/>
    <cellStyle name="Total 3" xfId="142" xr:uid="{00000000-0005-0000-0000-000066000000}"/>
    <cellStyle name="Total 4" xfId="133" xr:uid="{00000000-0005-0000-0000-000067000000}"/>
    <cellStyle name="Total 5" xfId="131" xr:uid="{00000000-0005-0000-0000-000068000000}"/>
    <cellStyle name="Total 6" xfId="146" xr:uid="{00000000-0005-0000-0000-000069000000}"/>
    <cellStyle name="Total 7" xfId="130" xr:uid="{00000000-0005-0000-0000-00006A000000}"/>
    <cellStyle name="Total 8" xfId="119" xr:uid="{00000000-0005-0000-0000-00006B000000}"/>
    <cellStyle name="Total 9" xfId="178" xr:uid="{00000000-0005-0000-0000-00006C000000}"/>
    <cellStyle name="Warning Text" xfId="61" xr:uid="{00000000-0005-0000-0000-00006D000000}"/>
    <cellStyle name="เครื่องหมายจุลภาค 10" xfId="179" xr:uid="{00000000-0005-0000-0000-00006F000000}"/>
    <cellStyle name="เครื่องหมายจุลภาค 10 2" xfId="241" xr:uid="{D418946A-35F2-48DC-A460-AEBBD4A81B10}"/>
    <cellStyle name="เครื่องหมายจุลภาค 12" xfId="180" xr:uid="{00000000-0005-0000-0000-000070000000}"/>
    <cellStyle name="เครื่องหมายจุลภาค 12 2" xfId="242" xr:uid="{262C7AFF-6400-4799-91F0-D7253B35329B}"/>
    <cellStyle name="เครื่องหมายจุลภาค 13" xfId="62" xr:uid="{00000000-0005-0000-0000-000071000000}"/>
    <cellStyle name="เครื่องหมายจุลภาค 13 2" xfId="63" xr:uid="{00000000-0005-0000-0000-000072000000}"/>
    <cellStyle name="เครื่องหมายจุลภาค 13 2 2" xfId="98" xr:uid="{00000000-0005-0000-0000-000073000000}"/>
    <cellStyle name="เครื่องหมายจุลภาค 13 2 2 2" xfId="223" xr:uid="{E452CE3A-D774-4382-BE25-14DEF7A88618}"/>
    <cellStyle name="เครื่องหมายจุลภาค 13 2 3" xfId="198" xr:uid="{803BAFCD-0284-454A-8F63-FCE0E0D7A97C}"/>
    <cellStyle name="เครื่องหมายจุลภาค 13 3" xfId="64" xr:uid="{00000000-0005-0000-0000-000074000000}"/>
    <cellStyle name="เครื่องหมายจุลภาค 13 3 2" xfId="99" xr:uid="{00000000-0005-0000-0000-000075000000}"/>
    <cellStyle name="เครื่องหมายจุลภาค 13 3 2 2" xfId="224" xr:uid="{085CA578-3401-400A-BA62-C159771A72AE}"/>
    <cellStyle name="เครื่องหมายจุลภาค 13 3 3" xfId="199" xr:uid="{910001B1-374E-44B7-AEEE-1B0F0C2CB66D}"/>
    <cellStyle name="เครื่องหมายจุลภาค 13 4" xfId="97" xr:uid="{00000000-0005-0000-0000-000076000000}"/>
    <cellStyle name="เครื่องหมายจุลภาค 13 4 2" xfId="222" xr:uid="{5BD75D32-6D9A-4940-941D-413F2106AEDB}"/>
    <cellStyle name="เครื่องหมายจุลภาค 13 5" xfId="181" xr:uid="{00000000-0005-0000-0000-000077000000}"/>
    <cellStyle name="เครื่องหมายจุลภาค 13 5 2" xfId="243" xr:uid="{74AFC4DE-207F-43BC-9AE4-02A6F124DBC9}"/>
    <cellStyle name="เครื่องหมายจุลภาค 13 6" xfId="197" xr:uid="{5589694B-0C83-423D-88D4-53F0A898C7EC}"/>
    <cellStyle name="เครื่องหมายจุลภาค 16" xfId="182" xr:uid="{00000000-0005-0000-0000-000078000000}"/>
    <cellStyle name="เครื่องหมายจุลภาค 16 2" xfId="244" xr:uid="{6E4E4828-50D6-4893-8911-FEB3774C8861}"/>
    <cellStyle name="เครื่องหมายจุลภาค 18" xfId="65" xr:uid="{00000000-0005-0000-0000-000079000000}"/>
    <cellStyle name="เครื่องหมายจุลภาค 18 2" xfId="66" xr:uid="{00000000-0005-0000-0000-00007A000000}"/>
    <cellStyle name="เครื่องหมายจุลภาค 18 2 2" xfId="101" xr:uid="{00000000-0005-0000-0000-00007B000000}"/>
    <cellStyle name="เครื่องหมายจุลภาค 18 2 2 2" xfId="226" xr:uid="{CBE5C166-8660-4CCD-9F2C-95E46521242A}"/>
    <cellStyle name="เครื่องหมายจุลภาค 18 2 3" xfId="201" xr:uid="{5153182F-AB2A-420F-BF14-90148B8AF13A}"/>
    <cellStyle name="เครื่องหมายจุลภาค 18 3" xfId="67" xr:uid="{00000000-0005-0000-0000-00007C000000}"/>
    <cellStyle name="เครื่องหมายจุลภาค 18 3 2" xfId="102" xr:uid="{00000000-0005-0000-0000-00007D000000}"/>
    <cellStyle name="เครื่องหมายจุลภาค 18 3 2 2" xfId="227" xr:uid="{5AFFB046-5C5A-4C34-960A-6640C69D3BD3}"/>
    <cellStyle name="เครื่องหมายจุลภาค 18 3 3" xfId="202" xr:uid="{30EF3D29-1EB1-456E-A3E4-A5CA40C2C487}"/>
    <cellStyle name="เครื่องหมายจุลภาค 18 4" xfId="100" xr:uid="{00000000-0005-0000-0000-00007E000000}"/>
    <cellStyle name="เครื่องหมายจุลภาค 18 4 2" xfId="225" xr:uid="{2600D7BC-385D-46FD-A568-5C959BA62A01}"/>
    <cellStyle name="เครื่องหมายจุลภาค 18 5" xfId="183" xr:uid="{00000000-0005-0000-0000-00007F000000}"/>
    <cellStyle name="เครื่องหมายจุลภาค 18 5 2" xfId="245" xr:uid="{68E39579-FA07-47CD-90DB-7587F0DA7E1E}"/>
    <cellStyle name="เครื่องหมายจุลภาค 18 6" xfId="200" xr:uid="{CA529DEA-BD49-420D-9E7C-DB55DEF3194D}"/>
    <cellStyle name="เครื่องหมายจุลภาค 2" xfId="18" xr:uid="{00000000-0005-0000-0000-000080000000}"/>
    <cellStyle name="เครื่องหมายจุลภาค 2 2" xfId="68" xr:uid="{00000000-0005-0000-0000-000081000000}"/>
    <cellStyle name="เครื่องหมายจุลภาค 2 2 2" xfId="69" xr:uid="{00000000-0005-0000-0000-000082000000}"/>
    <cellStyle name="เครื่องหมายจุลภาค 2 2 2 2" xfId="104" xr:uid="{00000000-0005-0000-0000-000083000000}"/>
    <cellStyle name="เครื่องหมายจุลภาค 2 2 2 2 2" xfId="229" xr:uid="{4B6E1D7A-8F77-44B0-9832-D3DD4BA75862}"/>
    <cellStyle name="เครื่องหมายจุลภาค 2 2 2 3" xfId="204" xr:uid="{061CB3C7-BDDF-44DA-9155-462DA967A988}"/>
    <cellStyle name="เครื่องหมายจุลภาค 2 2 3" xfId="103" xr:uid="{00000000-0005-0000-0000-000084000000}"/>
    <cellStyle name="เครื่องหมายจุลภาค 2 2 3 2" xfId="228" xr:uid="{C3AFA098-2344-4BEF-8B8E-36DA42BFDB54}"/>
    <cellStyle name="เครื่องหมายจุลภาค 2 2 4" xfId="203" xr:uid="{FD0EAD79-61EA-49F3-936E-6F9B166A32AC}"/>
    <cellStyle name="เครื่องหมายจุลภาค 2 3" xfId="70" xr:uid="{00000000-0005-0000-0000-000085000000}"/>
    <cellStyle name="เครื่องหมายจุลภาค 2 3 2" xfId="105" xr:uid="{00000000-0005-0000-0000-000086000000}"/>
    <cellStyle name="เครื่องหมายจุลภาค 2 3 2 2" xfId="230" xr:uid="{C1A1733B-EF72-4B6C-A48E-75811CBF40B4}"/>
    <cellStyle name="เครื่องหมายจุลภาค 2 3 3" xfId="205" xr:uid="{73A01742-C092-465D-8082-67917FFC807A}"/>
    <cellStyle name="เครื่องหมายจุลภาค 2 4" xfId="71" xr:uid="{00000000-0005-0000-0000-000087000000}"/>
    <cellStyle name="เครื่องหมายจุลภาค 2 4 2" xfId="106" xr:uid="{00000000-0005-0000-0000-000088000000}"/>
    <cellStyle name="เครื่องหมายจุลภาค 2 4 2 2" xfId="231" xr:uid="{D4CEDC93-AB7C-43E1-A9D3-DA4D4229012B}"/>
    <cellStyle name="เครื่องหมายจุลภาค 2 4 3" xfId="206" xr:uid="{2C7270F4-B964-4C6C-BDB5-4B2269919856}"/>
    <cellStyle name="เครื่องหมายจุลภาค 2 5" xfId="96" xr:uid="{00000000-0005-0000-0000-000089000000}"/>
    <cellStyle name="เครื่องหมายจุลภาค 2 5 2" xfId="221" xr:uid="{B2617AD7-68EE-4546-879B-CAC92C9A4033}"/>
    <cellStyle name="เครื่องหมายจุลภาค 2 6" xfId="184" xr:uid="{00000000-0005-0000-0000-00008A000000}"/>
    <cellStyle name="เครื่องหมายจุลภาค 2 6 2" xfId="246" xr:uid="{D65F9C77-7EE6-4F9C-A985-7C421441F5A5}"/>
    <cellStyle name="เครื่องหมายจุลภาค 2 7" xfId="196" xr:uid="{6B2CFA2B-BB7E-4B14-AADF-F84DA384636E}"/>
    <cellStyle name="เครื่องหมายจุลภาค 3" xfId="15" xr:uid="{00000000-0005-0000-0000-00008B000000}"/>
    <cellStyle name="เครื่องหมายจุลภาค 3 2" xfId="72" xr:uid="{00000000-0005-0000-0000-00008C000000}"/>
    <cellStyle name="เครื่องหมายจุลภาค 3 2 2" xfId="107" xr:uid="{00000000-0005-0000-0000-00008D000000}"/>
    <cellStyle name="เครื่องหมายจุลภาค 3 2 2 2" xfId="232" xr:uid="{C0F294F5-BCAA-44DE-8DBE-CED4517AA381}"/>
    <cellStyle name="เครื่องหมายจุลภาค 3 2 3" xfId="207" xr:uid="{D002C693-4967-43BF-8B01-DF4AF69502E0}"/>
    <cellStyle name="เครื่องหมายจุลภาค 3 3" xfId="73" xr:uid="{00000000-0005-0000-0000-00008E000000}"/>
    <cellStyle name="เครื่องหมายจุลภาค 3 3 2" xfId="108" xr:uid="{00000000-0005-0000-0000-00008F000000}"/>
    <cellStyle name="เครื่องหมายจุลภาค 3 3 2 2" xfId="233" xr:uid="{9478CDEA-E4ED-4ED8-B496-C07A9AC587B5}"/>
    <cellStyle name="เครื่องหมายจุลภาค 3 3 3" xfId="208" xr:uid="{7EFED06A-1A34-4A2E-8399-9725F1B0BC1A}"/>
    <cellStyle name="เครื่องหมายจุลภาค 3 4" xfId="74" xr:uid="{00000000-0005-0000-0000-000090000000}"/>
    <cellStyle name="เครื่องหมายจุลภาค 3 4 2" xfId="109" xr:uid="{00000000-0005-0000-0000-000091000000}"/>
    <cellStyle name="เครื่องหมายจุลภาค 3 4 2 2" xfId="234" xr:uid="{8322A975-F247-4AF2-B85D-F401CDC94AFB}"/>
    <cellStyle name="เครื่องหมายจุลภาค 3 4 3" xfId="209" xr:uid="{CBC5B7BD-F33C-40D7-8C38-F93C65DADA05}"/>
    <cellStyle name="เครื่องหมายจุลภาค 3 5" xfId="94" xr:uid="{00000000-0005-0000-0000-000092000000}"/>
    <cellStyle name="เครื่องหมายจุลภาค 3 5 2" xfId="220" xr:uid="{AD0D337E-77B1-4743-B0E8-9918DE9A8803}"/>
    <cellStyle name="เครื่องหมายจุลภาค 3 6" xfId="185" xr:uid="{00000000-0005-0000-0000-000093000000}"/>
    <cellStyle name="เครื่องหมายจุลภาค 3 6 2" xfId="247" xr:uid="{7EDDB19E-B6CC-4121-92C8-931F74567962}"/>
    <cellStyle name="เครื่องหมายจุลภาค 3 7" xfId="195" xr:uid="{77137CBB-57A7-4FF7-A134-708E9464F407}"/>
    <cellStyle name="เครื่องหมายจุลภาค 4" xfId="75" xr:uid="{00000000-0005-0000-0000-000094000000}"/>
    <cellStyle name="เครื่องหมายจุลภาค 4 2" xfId="110" xr:uid="{00000000-0005-0000-0000-000095000000}"/>
    <cellStyle name="เครื่องหมายจุลภาค 4 2 2" xfId="235" xr:uid="{4B3B8BB5-9F21-4D8D-BFB4-27FC3DF50B37}"/>
    <cellStyle name="เครื่องหมายจุลภาค 4 3" xfId="210" xr:uid="{8640D829-77D1-4688-B7F4-B03460536941}"/>
    <cellStyle name="เครื่องหมายจุลภาค 5" xfId="7" xr:uid="{00000000-0005-0000-0000-000096000000}"/>
    <cellStyle name="เครื่องหมายจุลภาค 5 2" xfId="91" xr:uid="{00000000-0005-0000-0000-000097000000}"/>
    <cellStyle name="เครื่องหมายจุลภาค 5 2 2" xfId="217" xr:uid="{DBBB464C-3EC7-4024-BA85-92D29D806C63}"/>
    <cellStyle name="เครื่องหมายจุลภาค 5 3" xfId="192" xr:uid="{AC76EDB1-7373-4799-A05F-EBFFF8BCB18A}"/>
    <cellStyle name="เครื่องหมายจุลภาค 6" xfId="76" xr:uid="{00000000-0005-0000-0000-000098000000}"/>
    <cellStyle name="เครื่องหมายจุลภาค 6 2" xfId="111" xr:uid="{00000000-0005-0000-0000-000099000000}"/>
    <cellStyle name="เครื่องหมายจุลภาค 6 2 2" xfId="236" xr:uid="{7D3B6CA6-359A-475F-A026-37F02F02180F}"/>
    <cellStyle name="เครื่องหมายจุลภาค 6 3" xfId="186" xr:uid="{00000000-0005-0000-0000-00009A000000}"/>
    <cellStyle name="เครื่องหมายจุลภาค 6 3 2" xfId="248" xr:uid="{4836581C-FBB4-4DA4-AAA5-D07CFD3AD794}"/>
    <cellStyle name="เครื่องหมายจุลภาค 6 4" xfId="211" xr:uid="{6EDB901E-8E9C-4E37-9077-089CEA47E2BE}"/>
    <cellStyle name="เครื่องหมายจุลภาค 7" xfId="187" xr:uid="{00000000-0005-0000-0000-00009B000000}"/>
    <cellStyle name="เครื่องหมายจุลภาค 7 2" xfId="249" xr:uid="{86D5FA19-DB67-4876-B2FF-E96019F68143}"/>
    <cellStyle name="เครื่องหมายจุลภาค 9" xfId="188" xr:uid="{00000000-0005-0000-0000-00009C000000}"/>
    <cellStyle name="เครื่องหมายจุลภาค 9 2" xfId="250" xr:uid="{7B5CB461-F6AF-4E60-9B11-A1E05785F49F}"/>
    <cellStyle name="จุลภาค" xfId="4" builtinId="3"/>
    <cellStyle name="จุลภาค 2" xfId="11" xr:uid="{00000000-0005-0000-0000-00009D000000}"/>
    <cellStyle name="จุลภาค 2 2" xfId="77" xr:uid="{00000000-0005-0000-0000-00009E000000}"/>
    <cellStyle name="จุลภาค 2 2 2" xfId="112" xr:uid="{00000000-0005-0000-0000-00009F000000}"/>
    <cellStyle name="จุลภาค 2 2 2 2" xfId="237" xr:uid="{11A6D6EA-CA63-4BC1-BCE4-77B0CF85DBF6}"/>
    <cellStyle name="จุลภาค 2 2 3" xfId="212" xr:uid="{84DC27AD-3947-43F9-992D-B78D689A4998}"/>
    <cellStyle name="จุลภาค 2 3" xfId="78" xr:uid="{00000000-0005-0000-0000-0000A0000000}"/>
    <cellStyle name="จุลภาค 2 3 2" xfId="113" xr:uid="{00000000-0005-0000-0000-0000A1000000}"/>
    <cellStyle name="จุลภาค 2 3 2 2" xfId="238" xr:uid="{91B59C81-5651-4828-8D1F-730C7182D1A5}"/>
    <cellStyle name="จุลภาค 2 3 3" xfId="213" xr:uid="{EF1FA4FC-0D07-4AB0-8361-9D7275473D45}"/>
    <cellStyle name="จุลภาค 2 4" xfId="92" xr:uid="{00000000-0005-0000-0000-0000A2000000}"/>
    <cellStyle name="จุลภาค 2 4 2" xfId="218" xr:uid="{2B2B0972-BA48-4816-B6F1-DD3144888472}"/>
    <cellStyle name="จุลภาค 2 5" xfId="193" xr:uid="{B1AA3582-D2CA-408B-B741-B327B55A2FBB}"/>
    <cellStyle name="จุลภาค 3" xfId="13" xr:uid="{00000000-0005-0000-0000-0000A3000000}"/>
    <cellStyle name="จุลภาค 3 2" xfId="93" xr:uid="{00000000-0005-0000-0000-0000A4000000}"/>
    <cellStyle name="จุลภาค 3 2 2" xfId="219" xr:uid="{888DAD4E-74A9-4041-B320-4FBCB2B337D9}"/>
    <cellStyle name="จุลภาค 3 3" xfId="194" xr:uid="{A960A90B-4BFB-444C-976C-C1FC174FFCBC}"/>
    <cellStyle name="จุลภาค 4" xfId="79" xr:uid="{00000000-0005-0000-0000-0000A5000000}"/>
    <cellStyle name="จุลภาค 4 2" xfId="114" xr:uid="{00000000-0005-0000-0000-0000A6000000}"/>
    <cellStyle name="จุลภาค 4 2 2" xfId="239" xr:uid="{D2FC91F7-71F7-4608-97C7-FBFD48D5B919}"/>
    <cellStyle name="จุลภาค 4 3" xfId="214" xr:uid="{F8C9D164-606C-4C14-AEB4-203A498AB9D1}"/>
    <cellStyle name="จุลภาค 5" xfId="90" xr:uid="{00000000-0005-0000-0000-0000A7000000}"/>
    <cellStyle name="จุลภาค 5 2" xfId="216" xr:uid="{FF318AAF-68EF-486F-9C85-0D000BE0C1AF}"/>
    <cellStyle name="จุลภาค 6" xfId="150" xr:uid="{00000000-0005-0000-0000-0000A8000000}"/>
    <cellStyle name="จุลภาค 6 2" xfId="240" xr:uid="{4014A287-C73E-4D85-8882-1B3F738FDA8C}"/>
    <cellStyle name="จุลภาค 7" xfId="191" xr:uid="{1403AE7A-CB43-44BA-96B0-C4CE1464A133}"/>
    <cellStyle name="เซลล์ที่มีลิงก์ 2" xfId="80" xr:uid="{00000000-0005-0000-0000-0000A9000000}"/>
    <cellStyle name="ดี 2" xfId="81" xr:uid="{00000000-0005-0000-0000-0000AA000000}"/>
    <cellStyle name="ปกติ" xfId="0" builtinId="0"/>
    <cellStyle name="ปกติ 2" xfId="12" xr:uid="{00000000-0005-0000-0000-0000AC000000}"/>
    <cellStyle name="ปกติ 2 2" xfId="10" xr:uid="{00000000-0005-0000-0000-0000AD000000}"/>
    <cellStyle name="ปกติ 2 2 2" xfId="82" xr:uid="{00000000-0005-0000-0000-0000AE000000}"/>
    <cellStyle name="ปกติ 2 3" xfId="8" xr:uid="{00000000-0005-0000-0000-0000AF000000}"/>
    <cellStyle name="ปกติ 3" xfId="9" xr:uid="{00000000-0005-0000-0000-0000B0000000}"/>
    <cellStyle name="ปกติ 3 2" xfId="83" xr:uid="{00000000-0005-0000-0000-0000B1000000}"/>
    <cellStyle name="ปกติ 3 3" xfId="151" xr:uid="{00000000-0005-0000-0000-0000B2000000}"/>
    <cellStyle name="ปกติ 4" xfId="16" xr:uid="{00000000-0005-0000-0000-0000B3000000}"/>
    <cellStyle name="ปกติ 4 2" xfId="84" xr:uid="{00000000-0005-0000-0000-0000B4000000}"/>
    <cellStyle name="ปกติ 4 3" xfId="85" xr:uid="{00000000-0005-0000-0000-0000B5000000}"/>
    <cellStyle name="ปกติ 5" xfId="17" xr:uid="{00000000-0005-0000-0000-0000B6000000}"/>
    <cellStyle name="ปกติ 5 2" xfId="95" xr:uid="{00000000-0005-0000-0000-0000B7000000}"/>
    <cellStyle name="ปกติ 6" xfId="5" xr:uid="{00000000-0005-0000-0000-0000B8000000}"/>
    <cellStyle name="ปกติ 7" xfId="86" xr:uid="{00000000-0005-0000-0000-0000B9000000}"/>
    <cellStyle name="ปกติ 8" xfId="87" xr:uid="{00000000-0005-0000-0000-0000BA000000}"/>
    <cellStyle name="ปกติ 9" xfId="88" xr:uid="{00000000-0005-0000-0000-0000BB000000}"/>
    <cellStyle name="ปกติ_Form แบบที่ 4 " xfId="14" xr:uid="{00000000-0005-0000-0000-0000BC000000}"/>
    <cellStyle name="ปกติ_รายละเอียดคชจ.สาธารณูปโภค" xfId="189" xr:uid="{00000000-0005-0000-0000-0000BD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adtanak\AppData\Roaming\Microsoft\Excel\&#3627;&#3617;&#3623;&#3604;&#3623;&#3633;&#3626;&#3604;&#3640;%20-%2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บบฟอร์มที่ 1"/>
      <sheetName val="1.เวชภัณฑ์ ยา (2)"/>
      <sheetName val="2.เวชภัณฑ์มิใช่ยา"/>
      <sheetName val="3.วัสดุการแพทย์"/>
      <sheetName val="4.วัสุดวิทยาศาสตร์"/>
      <sheetName val="5.วัสดุทั่วไป"/>
      <sheetName val="6.เชื้อเพลิง"/>
      <sheetName val="7.ช่าง"/>
      <sheetName val="8.โภชนาการ"/>
      <sheetName val="9.เครื่องแต่งกาย"/>
      <sheetName val="10.ค่าของใช้ถ่ายรูป"/>
      <sheetName val="รว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E5">
            <v>256326281.72</v>
          </cell>
        </row>
        <row r="19">
          <cell r="L19">
            <v>20000000</v>
          </cell>
        </row>
        <row r="20">
          <cell r="L20">
            <v>10000000</v>
          </cell>
        </row>
        <row r="28">
          <cell r="L28">
            <v>1900000</v>
          </cell>
        </row>
        <row r="29">
          <cell r="L29">
            <v>100000</v>
          </cell>
        </row>
        <row r="30">
          <cell r="L30">
            <v>2000000</v>
          </cell>
        </row>
        <row r="36">
          <cell r="L36">
            <v>4500000</v>
          </cell>
        </row>
        <row r="38">
          <cell r="L38">
            <v>1500000</v>
          </cell>
        </row>
        <row r="39">
          <cell r="L39">
            <v>18000000</v>
          </cell>
        </row>
        <row r="40">
          <cell r="L40">
            <v>7000000</v>
          </cell>
        </row>
      </sheetData>
    </sheetDataSet>
  </externalBook>
</externalLink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013"/>
  <sheetViews>
    <sheetView showGridLines="0" view="pageBreakPreview" zoomScale="85" zoomScaleNormal="90" zoomScaleSheetLayoutView="85" workbookViewId="0">
      <pane ySplit="6" topLeftCell="A62" activePane="bottomLeft" state="frozen"/>
      <selection pane="bottomLeft" activeCell="L65" sqref="L65"/>
    </sheetView>
  </sheetViews>
  <sheetFormatPr defaultColWidth="12.59765625" defaultRowHeight="24.6" x14ac:dyDescent="0.7"/>
  <cols>
    <col min="1" max="1" width="1.3984375" style="2" customWidth="1"/>
    <col min="2" max="4" width="1.8984375" style="2" customWidth="1"/>
    <col min="5" max="5" width="53.69921875" style="2" customWidth="1"/>
    <col min="6" max="8" width="17.3984375" style="14" customWidth="1"/>
    <col min="9" max="9" width="15.59765625" style="14" bestFit="1" customWidth="1"/>
    <col min="10" max="10" width="15.59765625" style="14" customWidth="1"/>
    <col min="11" max="11" width="7.69921875" style="14" customWidth="1"/>
    <col min="12" max="12" width="16.69921875" style="14" customWidth="1"/>
    <col min="13" max="13" width="10.3984375" style="14" customWidth="1"/>
    <col min="14" max="14" width="11" style="14" customWidth="1"/>
    <col min="15" max="15" width="29.296875" style="2" bestFit="1" customWidth="1"/>
    <col min="16" max="16" width="12.8984375" style="2" customWidth="1"/>
    <col min="17" max="17" width="29" style="2" customWidth="1"/>
    <col min="18" max="30" width="7.59765625" style="2" customWidth="1"/>
    <col min="31" max="259" width="12.59765625" style="2"/>
    <col min="260" max="260" width="2" style="2" customWidth="1"/>
    <col min="261" max="263" width="2.3984375" style="2" customWidth="1"/>
    <col min="264" max="264" width="65" style="2" customWidth="1"/>
    <col min="265" max="270" width="13.3984375" style="2" customWidth="1"/>
    <col min="271" max="271" width="20.3984375" style="2" customWidth="1"/>
    <col min="272" max="272" width="7.59765625" style="2" customWidth="1"/>
    <col min="273" max="273" width="14.3984375" style="2" bestFit="1" customWidth="1"/>
    <col min="274" max="286" width="7.59765625" style="2" customWidth="1"/>
    <col min="287" max="515" width="12.59765625" style="2"/>
    <col min="516" max="516" width="2" style="2" customWidth="1"/>
    <col min="517" max="519" width="2.3984375" style="2" customWidth="1"/>
    <col min="520" max="520" width="65" style="2" customWidth="1"/>
    <col min="521" max="526" width="13.3984375" style="2" customWidth="1"/>
    <col min="527" max="527" width="20.3984375" style="2" customWidth="1"/>
    <col min="528" max="528" width="7.59765625" style="2" customWidth="1"/>
    <col min="529" max="529" width="14.3984375" style="2" bestFit="1" customWidth="1"/>
    <col min="530" max="542" width="7.59765625" style="2" customWidth="1"/>
    <col min="543" max="771" width="12.59765625" style="2"/>
    <col min="772" max="772" width="2" style="2" customWidth="1"/>
    <col min="773" max="775" width="2.3984375" style="2" customWidth="1"/>
    <col min="776" max="776" width="65" style="2" customWidth="1"/>
    <col min="777" max="782" width="13.3984375" style="2" customWidth="1"/>
    <col min="783" max="783" width="20.3984375" style="2" customWidth="1"/>
    <col min="784" max="784" width="7.59765625" style="2" customWidth="1"/>
    <col min="785" max="785" width="14.3984375" style="2" bestFit="1" customWidth="1"/>
    <col min="786" max="798" width="7.59765625" style="2" customWidth="1"/>
    <col min="799" max="1027" width="12.59765625" style="2"/>
    <col min="1028" max="1028" width="2" style="2" customWidth="1"/>
    <col min="1029" max="1031" width="2.3984375" style="2" customWidth="1"/>
    <col min="1032" max="1032" width="65" style="2" customWidth="1"/>
    <col min="1033" max="1038" width="13.3984375" style="2" customWidth="1"/>
    <col min="1039" max="1039" width="20.3984375" style="2" customWidth="1"/>
    <col min="1040" max="1040" width="7.59765625" style="2" customWidth="1"/>
    <col min="1041" max="1041" width="14.3984375" style="2" bestFit="1" customWidth="1"/>
    <col min="1042" max="1054" width="7.59765625" style="2" customWidth="1"/>
    <col min="1055" max="1283" width="12.59765625" style="2"/>
    <col min="1284" max="1284" width="2" style="2" customWidth="1"/>
    <col min="1285" max="1287" width="2.3984375" style="2" customWidth="1"/>
    <col min="1288" max="1288" width="65" style="2" customWidth="1"/>
    <col min="1289" max="1294" width="13.3984375" style="2" customWidth="1"/>
    <col min="1295" max="1295" width="20.3984375" style="2" customWidth="1"/>
    <col min="1296" max="1296" width="7.59765625" style="2" customWidth="1"/>
    <col min="1297" max="1297" width="14.3984375" style="2" bestFit="1" customWidth="1"/>
    <col min="1298" max="1310" width="7.59765625" style="2" customWidth="1"/>
    <col min="1311" max="1539" width="12.59765625" style="2"/>
    <col min="1540" max="1540" width="2" style="2" customWidth="1"/>
    <col min="1541" max="1543" width="2.3984375" style="2" customWidth="1"/>
    <col min="1544" max="1544" width="65" style="2" customWidth="1"/>
    <col min="1545" max="1550" width="13.3984375" style="2" customWidth="1"/>
    <col min="1551" max="1551" width="20.3984375" style="2" customWidth="1"/>
    <col min="1552" max="1552" width="7.59765625" style="2" customWidth="1"/>
    <col min="1553" max="1553" width="14.3984375" style="2" bestFit="1" customWidth="1"/>
    <col min="1554" max="1566" width="7.59765625" style="2" customWidth="1"/>
    <col min="1567" max="1795" width="12.59765625" style="2"/>
    <col min="1796" max="1796" width="2" style="2" customWidth="1"/>
    <col min="1797" max="1799" width="2.3984375" style="2" customWidth="1"/>
    <col min="1800" max="1800" width="65" style="2" customWidth="1"/>
    <col min="1801" max="1806" width="13.3984375" style="2" customWidth="1"/>
    <col min="1807" max="1807" width="20.3984375" style="2" customWidth="1"/>
    <col min="1808" max="1808" width="7.59765625" style="2" customWidth="1"/>
    <col min="1809" max="1809" width="14.3984375" style="2" bestFit="1" customWidth="1"/>
    <col min="1810" max="1822" width="7.59765625" style="2" customWidth="1"/>
    <col min="1823" max="2051" width="12.59765625" style="2"/>
    <col min="2052" max="2052" width="2" style="2" customWidth="1"/>
    <col min="2053" max="2055" width="2.3984375" style="2" customWidth="1"/>
    <col min="2056" max="2056" width="65" style="2" customWidth="1"/>
    <col min="2057" max="2062" width="13.3984375" style="2" customWidth="1"/>
    <col min="2063" max="2063" width="20.3984375" style="2" customWidth="1"/>
    <col min="2064" max="2064" width="7.59765625" style="2" customWidth="1"/>
    <col min="2065" max="2065" width="14.3984375" style="2" bestFit="1" customWidth="1"/>
    <col min="2066" max="2078" width="7.59765625" style="2" customWidth="1"/>
    <col min="2079" max="2307" width="12.59765625" style="2"/>
    <col min="2308" max="2308" width="2" style="2" customWidth="1"/>
    <col min="2309" max="2311" width="2.3984375" style="2" customWidth="1"/>
    <col min="2312" max="2312" width="65" style="2" customWidth="1"/>
    <col min="2313" max="2318" width="13.3984375" style="2" customWidth="1"/>
    <col min="2319" max="2319" width="20.3984375" style="2" customWidth="1"/>
    <col min="2320" max="2320" width="7.59765625" style="2" customWidth="1"/>
    <col min="2321" max="2321" width="14.3984375" style="2" bestFit="1" customWidth="1"/>
    <col min="2322" max="2334" width="7.59765625" style="2" customWidth="1"/>
    <col min="2335" max="2563" width="12.59765625" style="2"/>
    <col min="2564" max="2564" width="2" style="2" customWidth="1"/>
    <col min="2565" max="2567" width="2.3984375" style="2" customWidth="1"/>
    <col min="2568" max="2568" width="65" style="2" customWidth="1"/>
    <col min="2569" max="2574" width="13.3984375" style="2" customWidth="1"/>
    <col min="2575" max="2575" width="20.3984375" style="2" customWidth="1"/>
    <col min="2576" max="2576" width="7.59765625" style="2" customWidth="1"/>
    <col min="2577" max="2577" width="14.3984375" style="2" bestFit="1" customWidth="1"/>
    <col min="2578" max="2590" width="7.59765625" style="2" customWidth="1"/>
    <col min="2591" max="2819" width="12.59765625" style="2"/>
    <col min="2820" max="2820" width="2" style="2" customWidth="1"/>
    <col min="2821" max="2823" width="2.3984375" style="2" customWidth="1"/>
    <col min="2824" max="2824" width="65" style="2" customWidth="1"/>
    <col min="2825" max="2830" width="13.3984375" style="2" customWidth="1"/>
    <col min="2831" max="2831" width="20.3984375" style="2" customWidth="1"/>
    <col min="2832" max="2832" width="7.59765625" style="2" customWidth="1"/>
    <col min="2833" max="2833" width="14.3984375" style="2" bestFit="1" customWidth="1"/>
    <col min="2834" max="2846" width="7.59765625" style="2" customWidth="1"/>
    <col min="2847" max="3075" width="12.59765625" style="2"/>
    <col min="3076" max="3076" width="2" style="2" customWidth="1"/>
    <col min="3077" max="3079" width="2.3984375" style="2" customWidth="1"/>
    <col min="3080" max="3080" width="65" style="2" customWidth="1"/>
    <col min="3081" max="3086" width="13.3984375" style="2" customWidth="1"/>
    <col min="3087" max="3087" width="20.3984375" style="2" customWidth="1"/>
    <col min="3088" max="3088" width="7.59765625" style="2" customWidth="1"/>
    <col min="3089" max="3089" width="14.3984375" style="2" bestFit="1" customWidth="1"/>
    <col min="3090" max="3102" width="7.59765625" style="2" customWidth="1"/>
    <col min="3103" max="3331" width="12.59765625" style="2"/>
    <col min="3332" max="3332" width="2" style="2" customWidth="1"/>
    <col min="3333" max="3335" width="2.3984375" style="2" customWidth="1"/>
    <col min="3336" max="3336" width="65" style="2" customWidth="1"/>
    <col min="3337" max="3342" width="13.3984375" style="2" customWidth="1"/>
    <col min="3343" max="3343" width="20.3984375" style="2" customWidth="1"/>
    <col min="3344" max="3344" width="7.59765625" style="2" customWidth="1"/>
    <col min="3345" max="3345" width="14.3984375" style="2" bestFit="1" customWidth="1"/>
    <col min="3346" max="3358" width="7.59765625" style="2" customWidth="1"/>
    <col min="3359" max="3587" width="12.59765625" style="2"/>
    <col min="3588" max="3588" width="2" style="2" customWidth="1"/>
    <col min="3589" max="3591" width="2.3984375" style="2" customWidth="1"/>
    <col min="3592" max="3592" width="65" style="2" customWidth="1"/>
    <col min="3593" max="3598" width="13.3984375" style="2" customWidth="1"/>
    <col min="3599" max="3599" width="20.3984375" style="2" customWidth="1"/>
    <col min="3600" max="3600" width="7.59765625" style="2" customWidth="1"/>
    <col min="3601" max="3601" width="14.3984375" style="2" bestFit="1" customWidth="1"/>
    <col min="3602" max="3614" width="7.59765625" style="2" customWidth="1"/>
    <col min="3615" max="3843" width="12.59765625" style="2"/>
    <col min="3844" max="3844" width="2" style="2" customWidth="1"/>
    <col min="3845" max="3847" width="2.3984375" style="2" customWidth="1"/>
    <col min="3848" max="3848" width="65" style="2" customWidth="1"/>
    <col min="3849" max="3854" width="13.3984375" style="2" customWidth="1"/>
    <col min="3855" max="3855" width="20.3984375" style="2" customWidth="1"/>
    <col min="3856" max="3856" width="7.59765625" style="2" customWidth="1"/>
    <col min="3857" max="3857" width="14.3984375" style="2" bestFit="1" customWidth="1"/>
    <col min="3858" max="3870" width="7.59765625" style="2" customWidth="1"/>
    <col min="3871" max="4099" width="12.59765625" style="2"/>
    <col min="4100" max="4100" width="2" style="2" customWidth="1"/>
    <col min="4101" max="4103" width="2.3984375" style="2" customWidth="1"/>
    <col min="4104" max="4104" width="65" style="2" customWidth="1"/>
    <col min="4105" max="4110" width="13.3984375" style="2" customWidth="1"/>
    <col min="4111" max="4111" width="20.3984375" style="2" customWidth="1"/>
    <col min="4112" max="4112" width="7.59765625" style="2" customWidth="1"/>
    <col min="4113" max="4113" width="14.3984375" style="2" bestFit="1" customWidth="1"/>
    <col min="4114" max="4126" width="7.59765625" style="2" customWidth="1"/>
    <col min="4127" max="4355" width="12.59765625" style="2"/>
    <col min="4356" max="4356" width="2" style="2" customWidth="1"/>
    <col min="4357" max="4359" width="2.3984375" style="2" customWidth="1"/>
    <col min="4360" max="4360" width="65" style="2" customWidth="1"/>
    <col min="4361" max="4366" width="13.3984375" style="2" customWidth="1"/>
    <col min="4367" max="4367" width="20.3984375" style="2" customWidth="1"/>
    <col min="4368" max="4368" width="7.59765625" style="2" customWidth="1"/>
    <col min="4369" max="4369" width="14.3984375" style="2" bestFit="1" customWidth="1"/>
    <col min="4370" max="4382" width="7.59765625" style="2" customWidth="1"/>
    <col min="4383" max="4611" width="12.59765625" style="2"/>
    <col min="4612" max="4612" width="2" style="2" customWidth="1"/>
    <col min="4613" max="4615" width="2.3984375" style="2" customWidth="1"/>
    <col min="4616" max="4616" width="65" style="2" customWidth="1"/>
    <col min="4617" max="4622" width="13.3984375" style="2" customWidth="1"/>
    <col min="4623" max="4623" width="20.3984375" style="2" customWidth="1"/>
    <col min="4624" max="4624" width="7.59765625" style="2" customWidth="1"/>
    <col min="4625" max="4625" width="14.3984375" style="2" bestFit="1" customWidth="1"/>
    <col min="4626" max="4638" width="7.59765625" style="2" customWidth="1"/>
    <col min="4639" max="4867" width="12.59765625" style="2"/>
    <col min="4868" max="4868" width="2" style="2" customWidth="1"/>
    <col min="4869" max="4871" width="2.3984375" style="2" customWidth="1"/>
    <col min="4872" max="4872" width="65" style="2" customWidth="1"/>
    <col min="4873" max="4878" width="13.3984375" style="2" customWidth="1"/>
    <col min="4879" max="4879" width="20.3984375" style="2" customWidth="1"/>
    <col min="4880" max="4880" width="7.59765625" style="2" customWidth="1"/>
    <col min="4881" max="4881" width="14.3984375" style="2" bestFit="1" customWidth="1"/>
    <col min="4882" max="4894" width="7.59765625" style="2" customWidth="1"/>
    <col min="4895" max="5123" width="12.59765625" style="2"/>
    <col min="5124" max="5124" width="2" style="2" customWidth="1"/>
    <col min="5125" max="5127" width="2.3984375" style="2" customWidth="1"/>
    <col min="5128" max="5128" width="65" style="2" customWidth="1"/>
    <col min="5129" max="5134" width="13.3984375" style="2" customWidth="1"/>
    <col min="5135" max="5135" width="20.3984375" style="2" customWidth="1"/>
    <col min="5136" max="5136" width="7.59765625" style="2" customWidth="1"/>
    <col min="5137" max="5137" width="14.3984375" style="2" bestFit="1" customWidth="1"/>
    <col min="5138" max="5150" width="7.59765625" style="2" customWidth="1"/>
    <col min="5151" max="5379" width="12.59765625" style="2"/>
    <col min="5380" max="5380" width="2" style="2" customWidth="1"/>
    <col min="5381" max="5383" width="2.3984375" style="2" customWidth="1"/>
    <col min="5384" max="5384" width="65" style="2" customWidth="1"/>
    <col min="5385" max="5390" width="13.3984375" style="2" customWidth="1"/>
    <col min="5391" max="5391" width="20.3984375" style="2" customWidth="1"/>
    <col min="5392" max="5392" width="7.59765625" style="2" customWidth="1"/>
    <col min="5393" max="5393" width="14.3984375" style="2" bestFit="1" customWidth="1"/>
    <col min="5394" max="5406" width="7.59765625" style="2" customWidth="1"/>
    <col min="5407" max="5635" width="12.59765625" style="2"/>
    <col min="5636" max="5636" width="2" style="2" customWidth="1"/>
    <col min="5637" max="5639" width="2.3984375" style="2" customWidth="1"/>
    <col min="5640" max="5640" width="65" style="2" customWidth="1"/>
    <col min="5641" max="5646" width="13.3984375" style="2" customWidth="1"/>
    <col min="5647" max="5647" width="20.3984375" style="2" customWidth="1"/>
    <col min="5648" max="5648" width="7.59765625" style="2" customWidth="1"/>
    <col min="5649" max="5649" width="14.3984375" style="2" bestFit="1" customWidth="1"/>
    <col min="5650" max="5662" width="7.59765625" style="2" customWidth="1"/>
    <col min="5663" max="5891" width="12.59765625" style="2"/>
    <col min="5892" max="5892" width="2" style="2" customWidth="1"/>
    <col min="5893" max="5895" width="2.3984375" style="2" customWidth="1"/>
    <col min="5896" max="5896" width="65" style="2" customWidth="1"/>
    <col min="5897" max="5902" width="13.3984375" style="2" customWidth="1"/>
    <col min="5903" max="5903" width="20.3984375" style="2" customWidth="1"/>
    <col min="5904" max="5904" width="7.59765625" style="2" customWidth="1"/>
    <col min="5905" max="5905" width="14.3984375" style="2" bestFit="1" customWidth="1"/>
    <col min="5906" max="5918" width="7.59765625" style="2" customWidth="1"/>
    <col min="5919" max="6147" width="12.59765625" style="2"/>
    <col min="6148" max="6148" width="2" style="2" customWidth="1"/>
    <col min="6149" max="6151" width="2.3984375" style="2" customWidth="1"/>
    <col min="6152" max="6152" width="65" style="2" customWidth="1"/>
    <col min="6153" max="6158" width="13.3984375" style="2" customWidth="1"/>
    <col min="6159" max="6159" width="20.3984375" style="2" customWidth="1"/>
    <col min="6160" max="6160" width="7.59765625" style="2" customWidth="1"/>
    <col min="6161" max="6161" width="14.3984375" style="2" bestFit="1" customWidth="1"/>
    <col min="6162" max="6174" width="7.59765625" style="2" customWidth="1"/>
    <col min="6175" max="6403" width="12.59765625" style="2"/>
    <col min="6404" max="6404" width="2" style="2" customWidth="1"/>
    <col min="6405" max="6407" width="2.3984375" style="2" customWidth="1"/>
    <col min="6408" max="6408" width="65" style="2" customWidth="1"/>
    <col min="6409" max="6414" width="13.3984375" style="2" customWidth="1"/>
    <col min="6415" max="6415" width="20.3984375" style="2" customWidth="1"/>
    <col min="6416" max="6416" width="7.59765625" style="2" customWidth="1"/>
    <col min="6417" max="6417" width="14.3984375" style="2" bestFit="1" customWidth="1"/>
    <col min="6418" max="6430" width="7.59765625" style="2" customWidth="1"/>
    <col min="6431" max="6659" width="12.59765625" style="2"/>
    <col min="6660" max="6660" width="2" style="2" customWidth="1"/>
    <col min="6661" max="6663" width="2.3984375" style="2" customWidth="1"/>
    <col min="6664" max="6664" width="65" style="2" customWidth="1"/>
    <col min="6665" max="6670" width="13.3984375" style="2" customWidth="1"/>
    <col min="6671" max="6671" width="20.3984375" style="2" customWidth="1"/>
    <col min="6672" max="6672" width="7.59765625" style="2" customWidth="1"/>
    <col min="6673" max="6673" width="14.3984375" style="2" bestFit="1" customWidth="1"/>
    <col min="6674" max="6686" width="7.59765625" style="2" customWidth="1"/>
    <col min="6687" max="6915" width="12.59765625" style="2"/>
    <col min="6916" max="6916" width="2" style="2" customWidth="1"/>
    <col min="6917" max="6919" width="2.3984375" style="2" customWidth="1"/>
    <col min="6920" max="6920" width="65" style="2" customWidth="1"/>
    <col min="6921" max="6926" width="13.3984375" style="2" customWidth="1"/>
    <col min="6927" max="6927" width="20.3984375" style="2" customWidth="1"/>
    <col min="6928" max="6928" width="7.59765625" style="2" customWidth="1"/>
    <col min="6929" max="6929" width="14.3984375" style="2" bestFit="1" customWidth="1"/>
    <col min="6930" max="6942" width="7.59765625" style="2" customWidth="1"/>
    <col min="6943" max="7171" width="12.59765625" style="2"/>
    <col min="7172" max="7172" width="2" style="2" customWidth="1"/>
    <col min="7173" max="7175" width="2.3984375" style="2" customWidth="1"/>
    <col min="7176" max="7176" width="65" style="2" customWidth="1"/>
    <col min="7177" max="7182" width="13.3984375" style="2" customWidth="1"/>
    <col min="7183" max="7183" width="20.3984375" style="2" customWidth="1"/>
    <col min="7184" max="7184" width="7.59765625" style="2" customWidth="1"/>
    <col min="7185" max="7185" width="14.3984375" style="2" bestFit="1" customWidth="1"/>
    <col min="7186" max="7198" width="7.59765625" style="2" customWidth="1"/>
    <col min="7199" max="7427" width="12.59765625" style="2"/>
    <col min="7428" max="7428" width="2" style="2" customWidth="1"/>
    <col min="7429" max="7431" width="2.3984375" style="2" customWidth="1"/>
    <col min="7432" max="7432" width="65" style="2" customWidth="1"/>
    <col min="7433" max="7438" width="13.3984375" style="2" customWidth="1"/>
    <col min="7439" max="7439" width="20.3984375" style="2" customWidth="1"/>
    <col min="7440" max="7440" width="7.59765625" style="2" customWidth="1"/>
    <col min="7441" max="7441" width="14.3984375" style="2" bestFit="1" customWidth="1"/>
    <col min="7442" max="7454" width="7.59765625" style="2" customWidth="1"/>
    <col min="7455" max="7683" width="12.59765625" style="2"/>
    <col min="7684" max="7684" width="2" style="2" customWidth="1"/>
    <col min="7685" max="7687" width="2.3984375" style="2" customWidth="1"/>
    <col min="7688" max="7688" width="65" style="2" customWidth="1"/>
    <col min="7689" max="7694" width="13.3984375" style="2" customWidth="1"/>
    <col min="7695" max="7695" width="20.3984375" style="2" customWidth="1"/>
    <col min="7696" max="7696" width="7.59765625" style="2" customWidth="1"/>
    <col min="7697" max="7697" width="14.3984375" style="2" bestFit="1" customWidth="1"/>
    <col min="7698" max="7710" width="7.59765625" style="2" customWidth="1"/>
    <col min="7711" max="7939" width="12.59765625" style="2"/>
    <col min="7940" max="7940" width="2" style="2" customWidth="1"/>
    <col min="7941" max="7943" width="2.3984375" style="2" customWidth="1"/>
    <col min="7944" max="7944" width="65" style="2" customWidth="1"/>
    <col min="7945" max="7950" width="13.3984375" style="2" customWidth="1"/>
    <col min="7951" max="7951" width="20.3984375" style="2" customWidth="1"/>
    <col min="7952" max="7952" width="7.59765625" style="2" customWidth="1"/>
    <col min="7953" max="7953" width="14.3984375" style="2" bestFit="1" customWidth="1"/>
    <col min="7954" max="7966" width="7.59765625" style="2" customWidth="1"/>
    <col min="7967" max="8195" width="12.59765625" style="2"/>
    <col min="8196" max="8196" width="2" style="2" customWidth="1"/>
    <col min="8197" max="8199" width="2.3984375" style="2" customWidth="1"/>
    <col min="8200" max="8200" width="65" style="2" customWidth="1"/>
    <col min="8201" max="8206" width="13.3984375" style="2" customWidth="1"/>
    <col min="8207" max="8207" width="20.3984375" style="2" customWidth="1"/>
    <col min="8208" max="8208" width="7.59765625" style="2" customWidth="1"/>
    <col min="8209" max="8209" width="14.3984375" style="2" bestFit="1" customWidth="1"/>
    <col min="8210" max="8222" width="7.59765625" style="2" customWidth="1"/>
    <col min="8223" max="8451" width="12.59765625" style="2"/>
    <col min="8452" max="8452" width="2" style="2" customWidth="1"/>
    <col min="8453" max="8455" width="2.3984375" style="2" customWidth="1"/>
    <col min="8456" max="8456" width="65" style="2" customWidth="1"/>
    <col min="8457" max="8462" width="13.3984375" style="2" customWidth="1"/>
    <col min="8463" max="8463" width="20.3984375" style="2" customWidth="1"/>
    <col min="8464" max="8464" width="7.59765625" style="2" customWidth="1"/>
    <col min="8465" max="8465" width="14.3984375" style="2" bestFit="1" customWidth="1"/>
    <col min="8466" max="8478" width="7.59765625" style="2" customWidth="1"/>
    <col min="8479" max="8707" width="12.59765625" style="2"/>
    <col min="8708" max="8708" width="2" style="2" customWidth="1"/>
    <col min="8709" max="8711" width="2.3984375" style="2" customWidth="1"/>
    <col min="8712" max="8712" width="65" style="2" customWidth="1"/>
    <col min="8713" max="8718" width="13.3984375" style="2" customWidth="1"/>
    <col min="8719" max="8719" width="20.3984375" style="2" customWidth="1"/>
    <col min="8720" max="8720" width="7.59765625" style="2" customWidth="1"/>
    <col min="8721" max="8721" width="14.3984375" style="2" bestFit="1" customWidth="1"/>
    <col min="8722" max="8734" width="7.59765625" style="2" customWidth="1"/>
    <col min="8735" max="8963" width="12.59765625" style="2"/>
    <col min="8964" max="8964" width="2" style="2" customWidth="1"/>
    <col min="8965" max="8967" width="2.3984375" style="2" customWidth="1"/>
    <col min="8968" max="8968" width="65" style="2" customWidth="1"/>
    <col min="8969" max="8974" width="13.3984375" style="2" customWidth="1"/>
    <col min="8975" max="8975" width="20.3984375" style="2" customWidth="1"/>
    <col min="8976" max="8976" width="7.59765625" style="2" customWidth="1"/>
    <col min="8977" max="8977" width="14.3984375" style="2" bestFit="1" customWidth="1"/>
    <col min="8978" max="8990" width="7.59765625" style="2" customWidth="1"/>
    <col min="8991" max="9219" width="12.59765625" style="2"/>
    <col min="9220" max="9220" width="2" style="2" customWidth="1"/>
    <col min="9221" max="9223" width="2.3984375" style="2" customWidth="1"/>
    <col min="9224" max="9224" width="65" style="2" customWidth="1"/>
    <col min="9225" max="9230" width="13.3984375" style="2" customWidth="1"/>
    <col min="9231" max="9231" width="20.3984375" style="2" customWidth="1"/>
    <col min="9232" max="9232" width="7.59765625" style="2" customWidth="1"/>
    <col min="9233" max="9233" width="14.3984375" style="2" bestFit="1" customWidth="1"/>
    <col min="9234" max="9246" width="7.59765625" style="2" customWidth="1"/>
    <col min="9247" max="9475" width="12.59765625" style="2"/>
    <col min="9476" max="9476" width="2" style="2" customWidth="1"/>
    <col min="9477" max="9479" width="2.3984375" style="2" customWidth="1"/>
    <col min="9480" max="9480" width="65" style="2" customWidth="1"/>
    <col min="9481" max="9486" width="13.3984375" style="2" customWidth="1"/>
    <col min="9487" max="9487" width="20.3984375" style="2" customWidth="1"/>
    <col min="9488" max="9488" width="7.59765625" style="2" customWidth="1"/>
    <col min="9489" max="9489" width="14.3984375" style="2" bestFit="1" customWidth="1"/>
    <col min="9490" max="9502" width="7.59765625" style="2" customWidth="1"/>
    <col min="9503" max="9731" width="12.59765625" style="2"/>
    <col min="9732" max="9732" width="2" style="2" customWidth="1"/>
    <col min="9733" max="9735" width="2.3984375" style="2" customWidth="1"/>
    <col min="9736" max="9736" width="65" style="2" customWidth="1"/>
    <col min="9737" max="9742" width="13.3984375" style="2" customWidth="1"/>
    <col min="9743" max="9743" width="20.3984375" style="2" customWidth="1"/>
    <col min="9744" max="9744" width="7.59765625" style="2" customWidth="1"/>
    <col min="9745" max="9745" width="14.3984375" style="2" bestFit="1" customWidth="1"/>
    <col min="9746" max="9758" width="7.59765625" style="2" customWidth="1"/>
    <col min="9759" max="9987" width="12.59765625" style="2"/>
    <col min="9988" max="9988" width="2" style="2" customWidth="1"/>
    <col min="9989" max="9991" width="2.3984375" style="2" customWidth="1"/>
    <col min="9992" max="9992" width="65" style="2" customWidth="1"/>
    <col min="9993" max="9998" width="13.3984375" style="2" customWidth="1"/>
    <col min="9999" max="9999" width="20.3984375" style="2" customWidth="1"/>
    <col min="10000" max="10000" width="7.59765625" style="2" customWidth="1"/>
    <col min="10001" max="10001" width="14.3984375" style="2" bestFit="1" customWidth="1"/>
    <col min="10002" max="10014" width="7.59765625" style="2" customWidth="1"/>
    <col min="10015" max="10243" width="12.59765625" style="2"/>
    <col min="10244" max="10244" width="2" style="2" customWidth="1"/>
    <col min="10245" max="10247" width="2.3984375" style="2" customWidth="1"/>
    <col min="10248" max="10248" width="65" style="2" customWidth="1"/>
    <col min="10249" max="10254" width="13.3984375" style="2" customWidth="1"/>
    <col min="10255" max="10255" width="20.3984375" style="2" customWidth="1"/>
    <col min="10256" max="10256" width="7.59765625" style="2" customWidth="1"/>
    <col min="10257" max="10257" width="14.3984375" style="2" bestFit="1" customWidth="1"/>
    <col min="10258" max="10270" width="7.59765625" style="2" customWidth="1"/>
    <col min="10271" max="10499" width="12.59765625" style="2"/>
    <col min="10500" max="10500" width="2" style="2" customWidth="1"/>
    <col min="10501" max="10503" width="2.3984375" style="2" customWidth="1"/>
    <col min="10504" max="10504" width="65" style="2" customWidth="1"/>
    <col min="10505" max="10510" width="13.3984375" style="2" customWidth="1"/>
    <col min="10511" max="10511" width="20.3984375" style="2" customWidth="1"/>
    <col min="10512" max="10512" width="7.59765625" style="2" customWidth="1"/>
    <col min="10513" max="10513" width="14.3984375" style="2" bestFit="1" customWidth="1"/>
    <col min="10514" max="10526" width="7.59765625" style="2" customWidth="1"/>
    <col min="10527" max="10755" width="12.59765625" style="2"/>
    <col min="10756" max="10756" width="2" style="2" customWidth="1"/>
    <col min="10757" max="10759" width="2.3984375" style="2" customWidth="1"/>
    <col min="10760" max="10760" width="65" style="2" customWidth="1"/>
    <col min="10761" max="10766" width="13.3984375" style="2" customWidth="1"/>
    <col min="10767" max="10767" width="20.3984375" style="2" customWidth="1"/>
    <col min="10768" max="10768" width="7.59765625" style="2" customWidth="1"/>
    <col min="10769" max="10769" width="14.3984375" style="2" bestFit="1" customWidth="1"/>
    <col min="10770" max="10782" width="7.59765625" style="2" customWidth="1"/>
    <col min="10783" max="11011" width="12.59765625" style="2"/>
    <col min="11012" max="11012" width="2" style="2" customWidth="1"/>
    <col min="11013" max="11015" width="2.3984375" style="2" customWidth="1"/>
    <col min="11016" max="11016" width="65" style="2" customWidth="1"/>
    <col min="11017" max="11022" width="13.3984375" style="2" customWidth="1"/>
    <col min="11023" max="11023" width="20.3984375" style="2" customWidth="1"/>
    <col min="11024" max="11024" width="7.59765625" style="2" customWidth="1"/>
    <col min="11025" max="11025" width="14.3984375" style="2" bestFit="1" customWidth="1"/>
    <col min="11026" max="11038" width="7.59765625" style="2" customWidth="1"/>
    <col min="11039" max="11267" width="12.59765625" style="2"/>
    <col min="11268" max="11268" width="2" style="2" customWidth="1"/>
    <col min="11269" max="11271" width="2.3984375" style="2" customWidth="1"/>
    <col min="11272" max="11272" width="65" style="2" customWidth="1"/>
    <col min="11273" max="11278" width="13.3984375" style="2" customWidth="1"/>
    <col min="11279" max="11279" width="20.3984375" style="2" customWidth="1"/>
    <col min="11280" max="11280" width="7.59765625" style="2" customWidth="1"/>
    <col min="11281" max="11281" width="14.3984375" style="2" bestFit="1" customWidth="1"/>
    <col min="11282" max="11294" width="7.59765625" style="2" customWidth="1"/>
    <col min="11295" max="11523" width="12.59765625" style="2"/>
    <col min="11524" max="11524" width="2" style="2" customWidth="1"/>
    <col min="11525" max="11527" width="2.3984375" style="2" customWidth="1"/>
    <col min="11528" max="11528" width="65" style="2" customWidth="1"/>
    <col min="11529" max="11534" width="13.3984375" style="2" customWidth="1"/>
    <col min="11535" max="11535" width="20.3984375" style="2" customWidth="1"/>
    <col min="11536" max="11536" width="7.59765625" style="2" customWidth="1"/>
    <col min="11537" max="11537" width="14.3984375" style="2" bestFit="1" customWidth="1"/>
    <col min="11538" max="11550" width="7.59765625" style="2" customWidth="1"/>
    <col min="11551" max="11779" width="12.59765625" style="2"/>
    <col min="11780" max="11780" width="2" style="2" customWidth="1"/>
    <col min="11781" max="11783" width="2.3984375" style="2" customWidth="1"/>
    <col min="11784" max="11784" width="65" style="2" customWidth="1"/>
    <col min="11785" max="11790" width="13.3984375" style="2" customWidth="1"/>
    <col min="11791" max="11791" width="20.3984375" style="2" customWidth="1"/>
    <col min="11792" max="11792" width="7.59765625" style="2" customWidth="1"/>
    <col min="11793" max="11793" width="14.3984375" style="2" bestFit="1" customWidth="1"/>
    <col min="11794" max="11806" width="7.59765625" style="2" customWidth="1"/>
    <col min="11807" max="12035" width="12.59765625" style="2"/>
    <col min="12036" max="12036" width="2" style="2" customWidth="1"/>
    <col min="12037" max="12039" width="2.3984375" style="2" customWidth="1"/>
    <col min="12040" max="12040" width="65" style="2" customWidth="1"/>
    <col min="12041" max="12046" width="13.3984375" style="2" customWidth="1"/>
    <col min="12047" max="12047" width="20.3984375" style="2" customWidth="1"/>
    <col min="12048" max="12048" width="7.59765625" style="2" customWidth="1"/>
    <col min="12049" max="12049" width="14.3984375" style="2" bestFit="1" customWidth="1"/>
    <col min="12050" max="12062" width="7.59765625" style="2" customWidth="1"/>
    <col min="12063" max="12291" width="12.59765625" style="2"/>
    <col min="12292" max="12292" width="2" style="2" customWidth="1"/>
    <col min="12293" max="12295" width="2.3984375" style="2" customWidth="1"/>
    <col min="12296" max="12296" width="65" style="2" customWidth="1"/>
    <col min="12297" max="12302" width="13.3984375" style="2" customWidth="1"/>
    <col min="12303" max="12303" width="20.3984375" style="2" customWidth="1"/>
    <col min="12304" max="12304" width="7.59765625" style="2" customWidth="1"/>
    <col min="12305" max="12305" width="14.3984375" style="2" bestFit="1" customWidth="1"/>
    <col min="12306" max="12318" width="7.59765625" style="2" customWidth="1"/>
    <col min="12319" max="12547" width="12.59765625" style="2"/>
    <col min="12548" max="12548" width="2" style="2" customWidth="1"/>
    <col min="12549" max="12551" width="2.3984375" style="2" customWidth="1"/>
    <col min="12552" max="12552" width="65" style="2" customWidth="1"/>
    <col min="12553" max="12558" width="13.3984375" style="2" customWidth="1"/>
    <col min="12559" max="12559" width="20.3984375" style="2" customWidth="1"/>
    <col min="12560" max="12560" width="7.59765625" style="2" customWidth="1"/>
    <col min="12561" max="12561" width="14.3984375" style="2" bestFit="1" customWidth="1"/>
    <col min="12562" max="12574" width="7.59765625" style="2" customWidth="1"/>
    <col min="12575" max="12803" width="12.59765625" style="2"/>
    <col min="12804" max="12804" width="2" style="2" customWidth="1"/>
    <col min="12805" max="12807" width="2.3984375" style="2" customWidth="1"/>
    <col min="12808" max="12808" width="65" style="2" customWidth="1"/>
    <col min="12809" max="12814" width="13.3984375" style="2" customWidth="1"/>
    <col min="12815" max="12815" width="20.3984375" style="2" customWidth="1"/>
    <col min="12816" max="12816" width="7.59765625" style="2" customWidth="1"/>
    <col min="12817" max="12817" width="14.3984375" style="2" bestFit="1" customWidth="1"/>
    <col min="12818" max="12830" width="7.59765625" style="2" customWidth="1"/>
    <col min="12831" max="13059" width="12.59765625" style="2"/>
    <col min="13060" max="13060" width="2" style="2" customWidth="1"/>
    <col min="13061" max="13063" width="2.3984375" style="2" customWidth="1"/>
    <col min="13064" max="13064" width="65" style="2" customWidth="1"/>
    <col min="13065" max="13070" width="13.3984375" style="2" customWidth="1"/>
    <col min="13071" max="13071" width="20.3984375" style="2" customWidth="1"/>
    <col min="13072" max="13072" width="7.59765625" style="2" customWidth="1"/>
    <col min="13073" max="13073" width="14.3984375" style="2" bestFit="1" customWidth="1"/>
    <col min="13074" max="13086" width="7.59765625" style="2" customWidth="1"/>
    <col min="13087" max="13315" width="12.59765625" style="2"/>
    <col min="13316" max="13316" width="2" style="2" customWidth="1"/>
    <col min="13317" max="13319" width="2.3984375" style="2" customWidth="1"/>
    <col min="13320" max="13320" width="65" style="2" customWidth="1"/>
    <col min="13321" max="13326" width="13.3984375" style="2" customWidth="1"/>
    <col min="13327" max="13327" width="20.3984375" style="2" customWidth="1"/>
    <col min="13328" max="13328" width="7.59765625" style="2" customWidth="1"/>
    <col min="13329" max="13329" width="14.3984375" style="2" bestFit="1" customWidth="1"/>
    <col min="13330" max="13342" width="7.59765625" style="2" customWidth="1"/>
    <col min="13343" max="13571" width="12.59765625" style="2"/>
    <col min="13572" max="13572" width="2" style="2" customWidth="1"/>
    <col min="13573" max="13575" width="2.3984375" style="2" customWidth="1"/>
    <col min="13576" max="13576" width="65" style="2" customWidth="1"/>
    <col min="13577" max="13582" width="13.3984375" style="2" customWidth="1"/>
    <col min="13583" max="13583" width="20.3984375" style="2" customWidth="1"/>
    <col min="13584" max="13584" width="7.59765625" style="2" customWidth="1"/>
    <col min="13585" max="13585" width="14.3984375" style="2" bestFit="1" customWidth="1"/>
    <col min="13586" max="13598" width="7.59765625" style="2" customWidth="1"/>
    <col min="13599" max="13827" width="12.59765625" style="2"/>
    <col min="13828" max="13828" width="2" style="2" customWidth="1"/>
    <col min="13829" max="13831" width="2.3984375" style="2" customWidth="1"/>
    <col min="13832" max="13832" width="65" style="2" customWidth="1"/>
    <col min="13833" max="13838" width="13.3984375" style="2" customWidth="1"/>
    <col min="13839" max="13839" width="20.3984375" style="2" customWidth="1"/>
    <col min="13840" max="13840" width="7.59765625" style="2" customWidth="1"/>
    <col min="13841" max="13841" width="14.3984375" style="2" bestFit="1" customWidth="1"/>
    <col min="13842" max="13854" width="7.59765625" style="2" customWidth="1"/>
    <col min="13855" max="14083" width="12.59765625" style="2"/>
    <col min="14084" max="14084" width="2" style="2" customWidth="1"/>
    <col min="14085" max="14087" width="2.3984375" style="2" customWidth="1"/>
    <col min="14088" max="14088" width="65" style="2" customWidth="1"/>
    <col min="14089" max="14094" width="13.3984375" style="2" customWidth="1"/>
    <col min="14095" max="14095" width="20.3984375" style="2" customWidth="1"/>
    <col min="14096" max="14096" width="7.59765625" style="2" customWidth="1"/>
    <col min="14097" max="14097" width="14.3984375" style="2" bestFit="1" customWidth="1"/>
    <col min="14098" max="14110" width="7.59765625" style="2" customWidth="1"/>
    <col min="14111" max="14339" width="12.59765625" style="2"/>
    <col min="14340" max="14340" width="2" style="2" customWidth="1"/>
    <col min="14341" max="14343" width="2.3984375" style="2" customWidth="1"/>
    <col min="14344" max="14344" width="65" style="2" customWidth="1"/>
    <col min="14345" max="14350" width="13.3984375" style="2" customWidth="1"/>
    <col min="14351" max="14351" width="20.3984375" style="2" customWidth="1"/>
    <col min="14352" max="14352" width="7.59765625" style="2" customWidth="1"/>
    <col min="14353" max="14353" width="14.3984375" style="2" bestFit="1" customWidth="1"/>
    <col min="14354" max="14366" width="7.59765625" style="2" customWidth="1"/>
    <col min="14367" max="14595" width="12.59765625" style="2"/>
    <col min="14596" max="14596" width="2" style="2" customWidth="1"/>
    <col min="14597" max="14599" width="2.3984375" style="2" customWidth="1"/>
    <col min="14600" max="14600" width="65" style="2" customWidth="1"/>
    <col min="14601" max="14606" width="13.3984375" style="2" customWidth="1"/>
    <col min="14607" max="14607" width="20.3984375" style="2" customWidth="1"/>
    <col min="14608" max="14608" width="7.59765625" style="2" customWidth="1"/>
    <col min="14609" max="14609" width="14.3984375" style="2" bestFit="1" customWidth="1"/>
    <col min="14610" max="14622" width="7.59765625" style="2" customWidth="1"/>
    <col min="14623" max="14851" width="12.59765625" style="2"/>
    <col min="14852" max="14852" width="2" style="2" customWidth="1"/>
    <col min="14853" max="14855" width="2.3984375" style="2" customWidth="1"/>
    <col min="14856" max="14856" width="65" style="2" customWidth="1"/>
    <col min="14857" max="14862" width="13.3984375" style="2" customWidth="1"/>
    <col min="14863" max="14863" width="20.3984375" style="2" customWidth="1"/>
    <col min="14864" max="14864" width="7.59765625" style="2" customWidth="1"/>
    <col min="14865" max="14865" width="14.3984375" style="2" bestFit="1" customWidth="1"/>
    <col min="14866" max="14878" width="7.59765625" style="2" customWidth="1"/>
    <col min="14879" max="15107" width="12.59765625" style="2"/>
    <col min="15108" max="15108" width="2" style="2" customWidth="1"/>
    <col min="15109" max="15111" width="2.3984375" style="2" customWidth="1"/>
    <col min="15112" max="15112" width="65" style="2" customWidth="1"/>
    <col min="15113" max="15118" width="13.3984375" style="2" customWidth="1"/>
    <col min="15119" max="15119" width="20.3984375" style="2" customWidth="1"/>
    <col min="15120" max="15120" width="7.59765625" style="2" customWidth="1"/>
    <col min="15121" max="15121" width="14.3984375" style="2" bestFit="1" customWidth="1"/>
    <col min="15122" max="15134" width="7.59765625" style="2" customWidth="1"/>
    <col min="15135" max="15363" width="12.59765625" style="2"/>
    <col min="15364" max="15364" width="2" style="2" customWidth="1"/>
    <col min="15365" max="15367" width="2.3984375" style="2" customWidth="1"/>
    <col min="15368" max="15368" width="65" style="2" customWidth="1"/>
    <col min="15369" max="15374" width="13.3984375" style="2" customWidth="1"/>
    <col min="15375" max="15375" width="20.3984375" style="2" customWidth="1"/>
    <col min="15376" max="15376" width="7.59765625" style="2" customWidth="1"/>
    <col min="15377" max="15377" width="14.3984375" style="2" bestFit="1" customWidth="1"/>
    <col min="15378" max="15390" width="7.59765625" style="2" customWidth="1"/>
    <col min="15391" max="15619" width="12.59765625" style="2"/>
    <col min="15620" max="15620" width="2" style="2" customWidth="1"/>
    <col min="15621" max="15623" width="2.3984375" style="2" customWidth="1"/>
    <col min="15624" max="15624" width="65" style="2" customWidth="1"/>
    <col min="15625" max="15630" width="13.3984375" style="2" customWidth="1"/>
    <col min="15631" max="15631" width="20.3984375" style="2" customWidth="1"/>
    <col min="15632" max="15632" width="7.59765625" style="2" customWidth="1"/>
    <col min="15633" max="15633" width="14.3984375" style="2" bestFit="1" customWidth="1"/>
    <col min="15634" max="15646" width="7.59765625" style="2" customWidth="1"/>
    <col min="15647" max="15875" width="12.59765625" style="2"/>
    <col min="15876" max="15876" width="2" style="2" customWidth="1"/>
    <col min="15877" max="15879" width="2.3984375" style="2" customWidth="1"/>
    <col min="15880" max="15880" width="65" style="2" customWidth="1"/>
    <col min="15881" max="15886" width="13.3984375" style="2" customWidth="1"/>
    <col min="15887" max="15887" width="20.3984375" style="2" customWidth="1"/>
    <col min="15888" max="15888" width="7.59765625" style="2" customWidth="1"/>
    <col min="15889" max="15889" width="14.3984375" style="2" bestFit="1" customWidth="1"/>
    <col min="15890" max="15902" width="7.59765625" style="2" customWidth="1"/>
    <col min="15903" max="16131" width="12.59765625" style="2"/>
    <col min="16132" max="16132" width="2" style="2" customWidth="1"/>
    <col min="16133" max="16135" width="2.3984375" style="2" customWidth="1"/>
    <col min="16136" max="16136" width="65" style="2" customWidth="1"/>
    <col min="16137" max="16142" width="13.3984375" style="2" customWidth="1"/>
    <col min="16143" max="16143" width="20.3984375" style="2" customWidth="1"/>
    <col min="16144" max="16144" width="7.59765625" style="2" customWidth="1"/>
    <col min="16145" max="16145" width="14.3984375" style="2" bestFit="1" customWidth="1"/>
    <col min="16146" max="16158" width="7.59765625" style="2" customWidth="1"/>
    <col min="16159" max="16384" width="12.59765625" style="2"/>
  </cols>
  <sheetData>
    <row r="1" spans="1:16" s="16" customFormat="1" ht="21" customHeight="1" x14ac:dyDescent="0.75">
      <c r="A1" s="1458" t="s">
        <v>95</v>
      </c>
      <c r="B1" s="1458"/>
      <c r="C1" s="1458"/>
      <c r="D1" s="1458"/>
      <c r="E1" s="1458"/>
      <c r="F1" s="1458"/>
      <c r="G1" s="1458"/>
      <c r="H1" s="1458"/>
      <c r="I1" s="1458"/>
      <c r="J1" s="1458"/>
      <c r="K1" s="1458"/>
      <c r="L1" s="1458"/>
      <c r="M1" s="1458"/>
      <c r="N1" s="1458"/>
      <c r="O1" s="1458"/>
      <c r="P1" s="1458"/>
    </row>
    <row r="2" spans="1:16" s="16" customFormat="1" ht="21" customHeight="1" x14ac:dyDescent="0.75">
      <c r="A2" s="1458" t="s">
        <v>96</v>
      </c>
      <c r="B2" s="1458"/>
      <c r="C2" s="1458"/>
      <c r="D2" s="1458"/>
      <c r="E2" s="1458"/>
      <c r="F2" s="1458"/>
      <c r="G2" s="1458"/>
      <c r="H2" s="1458"/>
      <c r="I2" s="1458"/>
      <c r="J2" s="1458"/>
      <c r="K2" s="1458"/>
      <c r="L2" s="1458"/>
      <c r="M2" s="1458"/>
      <c r="N2" s="1458"/>
      <c r="O2" s="1458"/>
      <c r="P2" s="1458"/>
    </row>
    <row r="3" spans="1:16" s="16" customFormat="1" ht="21" customHeight="1" x14ac:dyDescent="0.75">
      <c r="A3" s="1458" t="s">
        <v>400</v>
      </c>
      <c r="B3" s="1458"/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</row>
    <row r="4" spans="1:16" ht="20.25" customHeight="1" x14ac:dyDescent="0.7">
      <c r="A4" s="1"/>
      <c r="B4" s="1"/>
      <c r="C4" s="1"/>
      <c r="D4" s="1"/>
      <c r="E4" s="57"/>
      <c r="F4" s="3"/>
      <c r="G4" s="3"/>
      <c r="H4" s="3"/>
      <c r="I4" s="3"/>
      <c r="J4" s="3"/>
      <c r="K4" s="3"/>
      <c r="L4" s="117" t="s">
        <v>0</v>
      </c>
      <c r="M4" s="3"/>
      <c r="N4" s="3"/>
      <c r="P4" s="2" t="s">
        <v>0</v>
      </c>
    </row>
    <row r="5" spans="1:16" ht="21" customHeight="1" x14ac:dyDescent="0.7">
      <c r="A5" s="1"/>
      <c r="B5" s="1459" t="s">
        <v>2</v>
      </c>
      <c r="C5" s="1459"/>
      <c r="D5" s="1459"/>
      <c r="E5" s="1459"/>
      <c r="F5" s="1460" t="s">
        <v>5</v>
      </c>
      <c r="G5" s="1460"/>
      <c r="H5" s="1460"/>
      <c r="I5" s="1461" t="s">
        <v>123</v>
      </c>
      <c r="J5" s="1461" t="s">
        <v>124</v>
      </c>
      <c r="K5" s="1462" t="s">
        <v>121</v>
      </c>
      <c r="L5" s="1461" t="s">
        <v>402</v>
      </c>
      <c r="M5" s="1463" t="s">
        <v>125</v>
      </c>
      <c r="N5" s="1464" t="s">
        <v>403</v>
      </c>
      <c r="O5" s="1465" t="s">
        <v>119</v>
      </c>
      <c r="P5" s="1467" t="s">
        <v>118</v>
      </c>
    </row>
    <row r="6" spans="1:16" ht="21" customHeight="1" x14ac:dyDescent="0.7">
      <c r="A6" s="1"/>
      <c r="B6" s="1459"/>
      <c r="C6" s="1459"/>
      <c r="D6" s="1459"/>
      <c r="E6" s="1459"/>
      <c r="F6" s="128" t="s">
        <v>94</v>
      </c>
      <c r="G6" s="128" t="s">
        <v>93</v>
      </c>
      <c r="H6" s="128" t="s">
        <v>92</v>
      </c>
      <c r="I6" s="1462"/>
      <c r="J6" s="1462"/>
      <c r="K6" s="1462"/>
      <c r="L6" s="1462"/>
      <c r="M6" s="1463"/>
      <c r="N6" s="1464"/>
      <c r="O6" s="1466"/>
      <c r="P6" s="1468"/>
    </row>
    <row r="7" spans="1:16" s="27" customFormat="1" ht="24.9" customHeight="1" x14ac:dyDescent="0.25">
      <c r="A7" s="28"/>
      <c r="B7" s="48" t="s">
        <v>8</v>
      </c>
      <c r="C7" s="48"/>
      <c r="D7" s="48"/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s="27" customFormat="1" ht="24.9" customHeight="1" x14ac:dyDescent="0.25">
      <c r="A8" s="28"/>
      <c r="B8" s="48"/>
      <c r="C8" s="48" t="s">
        <v>9</v>
      </c>
      <c r="D8" s="48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s="27" customFormat="1" ht="24.9" customHeight="1" x14ac:dyDescent="0.25">
      <c r="A9" s="28"/>
      <c r="B9" s="26"/>
      <c r="C9" s="26"/>
      <c r="D9" s="26"/>
      <c r="E9" s="30" t="s">
        <v>10</v>
      </c>
      <c r="F9" s="61">
        <v>530486207.92000002</v>
      </c>
      <c r="G9" s="61">
        <v>708594620.15999997</v>
      </c>
      <c r="H9" s="20">
        <f>256205985.2+147863308.35+108660563.33</f>
        <v>512729856.87999994</v>
      </c>
      <c r="I9" s="46">
        <f>250000000+155000000</f>
        <v>405000000</v>
      </c>
      <c r="J9" s="46">
        <f>150133838.1+113286366.95+3886925.15</f>
        <v>267307130.20000002</v>
      </c>
      <c r="K9" s="46">
        <f>+J9/I9*100</f>
        <v>66.001760543209883</v>
      </c>
      <c r="L9" s="46" t="e">
        <f>+ประมาณการรายรับ!#REF!+ประมาณการรายรับ!#REF!</f>
        <v>#REF!</v>
      </c>
      <c r="M9" s="46" t="e">
        <f>+(L9-I9)/I9*100</f>
        <v>#REF!</v>
      </c>
      <c r="N9" s="46" t="e">
        <f>+L9-I9</f>
        <v>#REF!</v>
      </c>
      <c r="O9" s="79">
        <f>82032759.91+75105825.64</f>
        <v>157138585.55000001</v>
      </c>
      <c r="P9" s="78">
        <f t="shared" ref="P9:P17" si="0">+O9/I9*100</f>
        <v>38.799650753086425</v>
      </c>
    </row>
    <row r="10" spans="1:16" s="27" customFormat="1" ht="24.9" customHeight="1" x14ac:dyDescent="0.25">
      <c r="A10" s="28"/>
      <c r="B10" s="26"/>
      <c r="C10" s="26"/>
      <c r="D10" s="26"/>
      <c r="E10" s="30" t="s">
        <v>11</v>
      </c>
      <c r="F10" s="61">
        <v>19207318.109999999</v>
      </c>
      <c r="G10" s="61">
        <v>19448683.25</v>
      </c>
      <c r="H10" s="20">
        <v>17480288.41</v>
      </c>
      <c r="I10" s="46">
        <v>17000000</v>
      </c>
      <c r="J10" s="46">
        <v>0</v>
      </c>
      <c r="K10" s="46">
        <f t="shared" ref="K10:K17" si="1">+J10/I10*100</f>
        <v>0</v>
      </c>
      <c r="L10" s="46" t="e">
        <f>+ประมาณการรายรับ!#REF!</f>
        <v>#REF!</v>
      </c>
      <c r="M10" s="46" t="e">
        <f t="shared" ref="M10:M17" si="2">+(L10-I10)/I10*100</f>
        <v>#REF!</v>
      </c>
      <c r="N10" s="46" t="e">
        <f t="shared" ref="N10:N17" si="3">+L10-I10</f>
        <v>#REF!</v>
      </c>
      <c r="O10" s="79">
        <v>0</v>
      </c>
      <c r="P10" s="38">
        <f t="shared" si="0"/>
        <v>0</v>
      </c>
    </row>
    <row r="11" spans="1:16" s="27" customFormat="1" ht="24.9" customHeight="1" x14ac:dyDescent="0.25">
      <c r="A11" s="28"/>
      <c r="B11" s="26"/>
      <c r="C11" s="26"/>
      <c r="D11" s="26"/>
      <c r="E11" s="31" t="s">
        <v>12</v>
      </c>
      <c r="F11" s="62">
        <v>1538817.06</v>
      </c>
      <c r="G11" s="62">
        <v>1644850</v>
      </c>
      <c r="H11" s="20">
        <v>1081750</v>
      </c>
      <c r="I11" s="46">
        <v>1500000</v>
      </c>
      <c r="J11" s="46">
        <v>1060291.5</v>
      </c>
      <c r="K11" s="46">
        <f t="shared" si="1"/>
        <v>70.686099999999996</v>
      </c>
      <c r="L11" s="46" t="e">
        <f>+ประมาณการรายรับ!#REF!</f>
        <v>#REF!</v>
      </c>
      <c r="M11" s="46" t="e">
        <f t="shared" si="2"/>
        <v>#REF!</v>
      </c>
      <c r="N11" s="46" t="e">
        <f t="shared" si="3"/>
        <v>#REF!</v>
      </c>
      <c r="O11" s="79">
        <v>9754</v>
      </c>
      <c r="P11" s="78">
        <f t="shared" si="0"/>
        <v>0.65026666666666666</v>
      </c>
    </row>
    <row r="12" spans="1:16" s="27" customFormat="1" ht="24.9" customHeight="1" x14ac:dyDescent="0.25">
      <c r="A12" s="28"/>
      <c r="B12" s="26"/>
      <c r="C12" s="26"/>
      <c r="D12" s="26"/>
      <c r="E12" s="30" t="s">
        <v>13</v>
      </c>
      <c r="F12" s="63">
        <v>317202709.10000002</v>
      </c>
      <c r="G12" s="63">
        <v>358071658.10000002</v>
      </c>
      <c r="H12" s="20">
        <v>335753903.76999998</v>
      </c>
      <c r="I12" s="46">
        <v>370000000</v>
      </c>
      <c r="J12" s="46">
        <v>184678628.63</v>
      </c>
      <c r="K12" s="46">
        <f t="shared" si="1"/>
        <v>49.913142872972969</v>
      </c>
      <c r="L12" s="46" t="e">
        <f>+ประมาณการรายรับ!#REF!</f>
        <v>#REF!</v>
      </c>
      <c r="M12" s="46" t="e">
        <f t="shared" si="2"/>
        <v>#REF!</v>
      </c>
      <c r="N12" s="46" t="e">
        <f t="shared" si="3"/>
        <v>#REF!</v>
      </c>
      <c r="O12" s="79">
        <v>91062438.140000001</v>
      </c>
      <c r="P12" s="78">
        <f t="shared" si="0"/>
        <v>24.611469767567566</v>
      </c>
    </row>
    <row r="13" spans="1:16" s="27" customFormat="1" ht="24.9" customHeight="1" x14ac:dyDescent="0.25">
      <c r="A13" s="28"/>
      <c r="B13" s="26"/>
      <c r="C13" s="26"/>
      <c r="D13" s="26"/>
      <c r="E13" s="30" t="s">
        <v>14</v>
      </c>
      <c r="F13" s="63">
        <v>80308337.230000004</v>
      </c>
      <c r="G13" s="63">
        <v>199068334.88999999</v>
      </c>
      <c r="H13" s="20">
        <v>113391295.02</v>
      </c>
      <c r="I13" s="46">
        <v>140000000</v>
      </c>
      <c r="J13" s="46">
        <v>59921807.07</v>
      </c>
      <c r="K13" s="46">
        <f t="shared" si="1"/>
        <v>42.801290764285717</v>
      </c>
      <c r="L13" s="46" t="e">
        <f>+ประมาณการรายรับ!#REF!</f>
        <v>#REF!</v>
      </c>
      <c r="M13" s="46" t="e">
        <f t="shared" si="2"/>
        <v>#REF!</v>
      </c>
      <c r="N13" s="46" t="e">
        <f t="shared" si="3"/>
        <v>#REF!</v>
      </c>
      <c r="O13" s="79">
        <v>28464879.370000001</v>
      </c>
      <c r="P13" s="78">
        <f t="shared" si="0"/>
        <v>20.332056692857144</v>
      </c>
    </row>
    <row r="14" spans="1:16" s="27" customFormat="1" ht="24.9" customHeight="1" x14ac:dyDescent="0.25">
      <c r="A14" s="28"/>
      <c r="B14" s="26"/>
      <c r="C14" s="26"/>
      <c r="D14" s="26"/>
      <c r="E14" s="31" t="s">
        <v>15</v>
      </c>
      <c r="F14" s="63">
        <v>33519999.82</v>
      </c>
      <c r="G14" s="63">
        <v>34138822.619999997</v>
      </c>
      <c r="H14" s="20">
        <v>33388979.420000002</v>
      </c>
      <c r="I14" s="46">
        <v>40000000</v>
      </c>
      <c r="J14" s="46">
        <v>34162533.93</v>
      </c>
      <c r="K14" s="46">
        <f t="shared" si="1"/>
        <v>85.406334825000002</v>
      </c>
      <c r="L14" s="46" t="e">
        <f>+ประมาณการรายรับ!#REF!</f>
        <v>#REF!</v>
      </c>
      <c r="M14" s="46" t="e">
        <f t="shared" si="2"/>
        <v>#REF!</v>
      </c>
      <c r="N14" s="46" t="e">
        <f t="shared" si="3"/>
        <v>#REF!</v>
      </c>
      <c r="O14" s="79">
        <v>33589840.93</v>
      </c>
      <c r="P14" s="78">
        <f t="shared" si="0"/>
        <v>83.974602325000006</v>
      </c>
    </row>
    <row r="15" spans="1:16" s="27" customFormat="1" ht="24.9" customHeight="1" x14ac:dyDescent="0.25">
      <c r="A15" s="28"/>
      <c r="B15" s="26"/>
      <c r="C15" s="26"/>
      <c r="D15" s="26"/>
      <c r="E15" s="31" t="s">
        <v>16</v>
      </c>
      <c r="F15" s="63">
        <v>319777344.06999999</v>
      </c>
      <c r="G15" s="63">
        <v>424079959.12</v>
      </c>
      <c r="H15" s="20">
        <f>294588801.48+8298890.2</f>
        <v>302887691.68000001</v>
      </c>
      <c r="I15" s="46">
        <v>340000000</v>
      </c>
      <c r="J15" s="46">
        <v>205413626.63999999</v>
      </c>
      <c r="K15" s="46">
        <f t="shared" si="1"/>
        <v>60.415772541176473</v>
      </c>
      <c r="L15" s="46" t="e">
        <f>+ประมาณการรายรับ!#REF!</f>
        <v>#REF!</v>
      </c>
      <c r="M15" s="46" t="e">
        <f t="shared" si="2"/>
        <v>#REF!</v>
      </c>
      <c r="N15" s="46" t="e">
        <f t="shared" si="3"/>
        <v>#REF!</v>
      </c>
      <c r="O15" s="79">
        <v>110219054.31999999</v>
      </c>
      <c r="P15" s="78">
        <f t="shared" si="0"/>
        <v>32.417368917647053</v>
      </c>
    </row>
    <row r="16" spans="1:16" s="27" customFormat="1" ht="24.9" customHeight="1" x14ac:dyDescent="0.25">
      <c r="A16" s="28"/>
      <c r="B16" s="26"/>
      <c r="C16" s="26"/>
      <c r="D16" s="26"/>
      <c r="E16" s="31" t="s">
        <v>17</v>
      </c>
      <c r="F16" s="63">
        <v>52237456.57</v>
      </c>
      <c r="G16" s="63">
        <v>59446164.280000001</v>
      </c>
      <c r="H16" s="20">
        <v>53074741.299999997</v>
      </c>
      <c r="I16" s="46">
        <v>63000000</v>
      </c>
      <c r="J16" s="46">
        <v>32355624.920000002</v>
      </c>
      <c r="K16" s="46">
        <f t="shared" si="1"/>
        <v>51.358134793650798</v>
      </c>
      <c r="L16" s="46" t="e">
        <f>+ประมาณการรายรับ!#REF!</f>
        <v>#REF!</v>
      </c>
      <c r="M16" s="46" t="e">
        <f t="shared" si="2"/>
        <v>#REF!</v>
      </c>
      <c r="N16" s="46" t="e">
        <f t="shared" si="3"/>
        <v>#REF!</v>
      </c>
      <c r="O16" s="79">
        <v>15213104.98</v>
      </c>
      <c r="P16" s="78">
        <f t="shared" si="0"/>
        <v>24.147785682539684</v>
      </c>
    </row>
    <row r="17" spans="1:17" s="27" customFormat="1" ht="24.9" customHeight="1" x14ac:dyDescent="0.25">
      <c r="A17" s="28"/>
      <c r="B17" s="26"/>
      <c r="C17" s="26"/>
      <c r="D17" s="26"/>
      <c r="E17" s="31" t="s">
        <v>18</v>
      </c>
      <c r="F17" s="63">
        <v>306617962.72000003</v>
      </c>
      <c r="G17" s="63">
        <v>393883511.29000002</v>
      </c>
      <c r="H17" s="20">
        <f>1774113364.95+152985171.02-(H9+H10+H11+H12+H13+H14+H15+H16)-H21-H22-H23</f>
        <v>496650325.08000028</v>
      </c>
      <c r="I17" s="46">
        <f>1969000000-(I9+I10+I11+I12+I13+I14+I15+I16)-I21-I22-I23</f>
        <v>491000000</v>
      </c>
      <c r="J17" s="46">
        <f>1615290+215736235.03+20157485.24</f>
        <v>237509010.27000001</v>
      </c>
      <c r="K17" s="46">
        <f t="shared" si="1"/>
        <v>48.37250718329939</v>
      </c>
      <c r="L17" s="129" t="e">
        <f>+ประมาณการรายรับ!#REF!+ประมาณการรายรับ!#REF!+ประมาณการรายรับ!#REF!</f>
        <v>#REF!</v>
      </c>
      <c r="M17" s="46" t="e">
        <f t="shared" si="2"/>
        <v>#REF!</v>
      </c>
      <c r="N17" s="46" t="e">
        <f t="shared" si="3"/>
        <v>#REF!</v>
      </c>
      <c r="O17" s="79">
        <f>104712808.69+9364522.61+764700</f>
        <v>114842031.3</v>
      </c>
      <c r="P17" s="78">
        <f t="shared" si="0"/>
        <v>23.389415743380855</v>
      </c>
    </row>
    <row r="18" spans="1:17" s="27" customFormat="1" ht="24.9" customHeight="1" x14ac:dyDescent="0.25">
      <c r="A18" s="28"/>
      <c r="B18" s="26"/>
      <c r="C18" s="48" t="s">
        <v>19</v>
      </c>
      <c r="D18" s="48"/>
      <c r="E18" s="52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19" spans="1:17" s="27" customFormat="1" ht="24.9" customHeight="1" x14ac:dyDescent="0.25">
      <c r="A19" s="28"/>
      <c r="B19" s="26"/>
      <c r="C19" s="26"/>
      <c r="D19" s="26"/>
      <c r="E19" s="31" t="s">
        <v>20</v>
      </c>
      <c r="F19" s="64">
        <v>0</v>
      </c>
      <c r="G19" s="64">
        <v>0</v>
      </c>
      <c r="H19" s="20">
        <v>0</v>
      </c>
      <c r="I19" s="46">
        <v>0</v>
      </c>
      <c r="J19" s="46">
        <v>0</v>
      </c>
      <c r="K19" s="46"/>
      <c r="L19" s="46">
        <v>0</v>
      </c>
      <c r="M19" s="46"/>
      <c r="N19" s="46"/>
      <c r="O19" s="38"/>
      <c r="P19" s="38"/>
    </row>
    <row r="20" spans="1:17" s="27" customFormat="1" ht="24.9" customHeight="1" x14ac:dyDescent="0.25">
      <c r="A20" s="28"/>
      <c r="B20" s="26"/>
      <c r="C20" s="26"/>
      <c r="D20" s="26"/>
      <c r="E20" s="31" t="s">
        <v>21</v>
      </c>
      <c r="F20" s="64">
        <v>0</v>
      </c>
      <c r="G20" s="64">
        <v>0</v>
      </c>
      <c r="H20" s="20">
        <v>0</v>
      </c>
      <c r="I20" s="46">
        <v>0</v>
      </c>
      <c r="J20" s="46">
        <v>0</v>
      </c>
      <c r="K20" s="46"/>
      <c r="L20" s="46">
        <v>0</v>
      </c>
      <c r="M20" s="46"/>
      <c r="N20" s="46"/>
      <c r="O20" s="38"/>
      <c r="P20" s="38"/>
    </row>
    <row r="21" spans="1:17" s="27" customFormat="1" ht="24.9" customHeight="1" x14ac:dyDescent="0.7">
      <c r="A21" s="28"/>
      <c r="B21" s="26"/>
      <c r="C21" s="26"/>
      <c r="D21" s="26"/>
      <c r="E21" s="31" t="s">
        <v>22</v>
      </c>
      <c r="F21" s="6">
        <v>24490529.170000002</v>
      </c>
      <c r="G21" s="6">
        <v>23281928.710000001</v>
      </c>
      <c r="H21" s="20">
        <v>39570973.75</v>
      </c>
      <c r="I21" s="46">
        <v>80000000</v>
      </c>
      <c r="J21" s="46">
        <v>33693691.200000003</v>
      </c>
      <c r="K21" s="46">
        <f>+J21/I21*100</f>
        <v>42.117114000000008</v>
      </c>
      <c r="L21" s="46" t="e">
        <f>+ประมาณการรายรับ!#REF!</f>
        <v>#REF!</v>
      </c>
      <c r="M21" s="46" t="e">
        <f>+(L21-I21)/I21*100</f>
        <v>#REF!</v>
      </c>
      <c r="N21" s="46" t="e">
        <f>+L21-I21</f>
        <v>#REF!</v>
      </c>
      <c r="O21" s="79">
        <v>20382897.199999999</v>
      </c>
      <c r="P21" s="78">
        <f>+O21/I21*100</f>
        <v>25.478621499999999</v>
      </c>
    </row>
    <row r="22" spans="1:17" s="27" customFormat="1" ht="24.9" customHeight="1" x14ac:dyDescent="0.7">
      <c r="A22" s="28"/>
      <c r="B22" s="26"/>
      <c r="C22" s="26"/>
      <c r="D22" s="26"/>
      <c r="E22" s="31" t="s">
        <v>23</v>
      </c>
      <c r="F22" s="6">
        <v>365997.15</v>
      </c>
      <c r="G22" s="6">
        <v>706946.53</v>
      </c>
      <c r="H22" s="20">
        <v>2022594.46</v>
      </c>
      <c r="I22" s="46">
        <v>1500000</v>
      </c>
      <c r="J22" s="46">
        <v>1426104.77</v>
      </c>
      <c r="K22" s="46">
        <f>+J22/I22*100</f>
        <v>95.073651333333331</v>
      </c>
      <c r="L22" s="46" t="e">
        <f>+ประมาณการรายรับ!#REF!</f>
        <v>#REF!</v>
      </c>
      <c r="M22" s="46" t="e">
        <f>+(L22-I22)/I22*100</f>
        <v>#REF!</v>
      </c>
      <c r="N22" s="46" t="e">
        <f t="shared" ref="N22:N23" si="4">+L22-I22</f>
        <v>#REF!</v>
      </c>
      <c r="O22" s="79">
        <v>1240872.19</v>
      </c>
      <c r="P22" s="78">
        <f>+O22/I22*100</f>
        <v>82.724812666666665</v>
      </c>
    </row>
    <row r="23" spans="1:17" s="27" customFormat="1" ht="24.9" customHeight="1" x14ac:dyDescent="0.7">
      <c r="A23" s="28"/>
      <c r="B23" s="26"/>
      <c r="C23" s="26"/>
      <c r="D23" s="26"/>
      <c r="E23" s="31" t="s">
        <v>24</v>
      </c>
      <c r="F23" s="6">
        <f>20906672.21-732637</f>
        <v>20174035.210000001</v>
      </c>
      <c r="G23" s="6">
        <v>19066649.559999999</v>
      </c>
      <c r="H23" s="20">
        <v>19066136.199999999</v>
      </c>
      <c r="I23" s="46">
        <v>20000000</v>
      </c>
      <c r="J23" s="46">
        <v>10961291.880000001</v>
      </c>
      <c r="K23" s="46">
        <f>+J23/I23*100</f>
        <v>54.806459400000008</v>
      </c>
      <c r="L23" s="46" t="e">
        <f>+ประมาณการรายรับ!#REF!</f>
        <v>#REF!</v>
      </c>
      <c r="M23" s="46" t="e">
        <f>+(L23-I23)/I23*100</f>
        <v>#REF!</v>
      </c>
      <c r="N23" s="46" t="e">
        <f t="shared" si="4"/>
        <v>#REF!</v>
      </c>
      <c r="O23" s="79">
        <v>4684540.2</v>
      </c>
      <c r="P23" s="78">
        <f>+O23/I23*100</f>
        <v>23.422701</v>
      </c>
    </row>
    <row r="24" spans="1:17" s="27" customFormat="1" ht="24.9" customHeight="1" x14ac:dyDescent="0.25">
      <c r="A24" s="28"/>
      <c r="B24" s="26"/>
      <c r="C24" s="26"/>
      <c r="D24" s="26"/>
      <c r="E24" s="130" t="s">
        <v>25</v>
      </c>
      <c r="F24" s="81">
        <f>SUM(F9:F23)</f>
        <v>1705926714.1300001</v>
      </c>
      <c r="G24" s="81">
        <f>SUM(G9:G23)</f>
        <v>2241432128.5100002</v>
      </c>
      <c r="H24" s="81">
        <f>SUM(H9:H23)</f>
        <v>1927098535.97</v>
      </c>
      <c r="I24" s="81">
        <f>SUM(I9:I23)</f>
        <v>1969000000</v>
      </c>
      <c r="J24" s="81">
        <f>SUM(J9:J23)</f>
        <v>1068489741.01</v>
      </c>
      <c r="K24" s="81">
        <f>+J24/I24*100</f>
        <v>54.265603911122398</v>
      </c>
      <c r="L24" s="81" t="e">
        <f>SUM(L9:L23)</f>
        <v>#REF!</v>
      </c>
      <c r="M24" s="104" t="e">
        <f>+(L24-I24)/I24*100</f>
        <v>#REF!</v>
      </c>
      <c r="N24" s="104"/>
      <c r="O24" s="81">
        <f>SUM(O9:O23)</f>
        <v>576847998.18000019</v>
      </c>
      <c r="P24" s="82">
        <f>+O24/I24*100</f>
        <v>29.296495590655162</v>
      </c>
      <c r="Q24" s="84"/>
    </row>
    <row r="25" spans="1:17" s="27" customFormat="1" ht="24.9" customHeight="1" x14ac:dyDescent="0.25">
      <c r="A25" s="28"/>
      <c r="B25" s="48" t="s">
        <v>26</v>
      </c>
      <c r="C25" s="48"/>
      <c r="D25" s="48"/>
      <c r="E25" s="52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</row>
    <row r="26" spans="1:17" s="27" customFormat="1" ht="24.9" customHeight="1" x14ac:dyDescent="0.25">
      <c r="A26" s="28"/>
      <c r="B26" s="48"/>
      <c r="C26" s="48" t="s">
        <v>27</v>
      </c>
      <c r="D26" s="48"/>
      <c r="E26" s="52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</row>
    <row r="27" spans="1:17" s="27" customFormat="1" ht="24.9" customHeight="1" x14ac:dyDescent="0.7">
      <c r="A27" s="28"/>
      <c r="B27" s="26"/>
      <c r="C27" s="26"/>
      <c r="D27" s="26"/>
      <c r="E27" s="31" t="s">
        <v>28</v>
      </c>
      <c r="F27" s="6">
        <v>180533834.22999999</v>
      </c>
      <c r="G27" s="6">
        <v>188204023.53</v>
      </c>
      <c r="H27" s="20">
        <v>188464884.25</v>
      </c>
      <c r="I27" s="46">
        <v>195000000</v>
      </c>
      <c r="J27" s="46">
        <v>94467538.909999996</v>
      </c>
      <c r="K27" s="46">
        <f t="shared" ref="K27:K48" si="5">+J27/I27*100</f>
        <v>48.444891748717943</v>
      </c>
      <c r="L27" s="46">
        <f>+รายละเอียดรายจ่าย!X5</f>
        <v>205000000</v>
      </c>
      <c r="M27" s="46">
        <f>+(L27-I27)/I27*100</f>
        <v>5.1282051282051277</v>
      </c>
      <c r="N27" s="46">
        <f>+L27-I27</f>
        <v>10000000</v>
      </c>
      <c r="O27" s="79">
        <v>47953471.240000002</v>
      </c>
      <c r="P27" s="78">
        <f>+O27/I27*100</f>
        <v>24.591523712820514</v>
      </c>
    </row>
    <row r="28" spans="1:17" s="27" customFormat="1" ht="24.9" customHeight="1" x14ac:dyDescent="0.25">
      <c r="A28" s="28"/>
      <c r="B28" s="26"/>
      <c r="C28" s="26"/>
      <c r="D28" s="26"/>
      <c r="E28" s="31" t="s">
        <v>71</v>
      </c>
      <c r="F28" s="46">
        <v>0</v>
      </c>
      <c r="G28" s="46">
        <v>0</v>
      </c>
      <c r="H28" s="20">
        <v>0</v>
      </c>
      <c r="I28" s="46">
        <v>0</v>
      </c>
      <c r="J28" s="46">
        <v>0</v>
      </c>
      <c r="K28" s="46"/>
      <c r="L28" s="46">
        <v>0</v>
      </c>
      <c r="M28" s="46"/>
      <c r="N28" s="46">
        <f t="shared" ref="N28:N49" si="6">+L28-I28</f>
        <v>0</v>
      </c>
      <c r="O28" s="79"/>
      <c r="P28" s="78">
        <v>0</v>
      </c>
    </row>
    <row r="29" spans="1:17" s="27" customFormat="1" ht="24.9" customHeight="1" x14ac:dyDescent="0.25">
      <c r="B29" s="38"/>
      <c r="C29" s="38"/>
      <c r="D29" s="38"/>
      <c r="E29" s="31" t="s">
        <v>88</v>
      </c>
      <c r="F29" s="65">
        <v>31484140</v>
      </c>
      <c r="G29" s="65">
        <v>30139045</v>
      </c>
      <c r="H29" s="20">
        <v>26605920</v>
      </c>
      <c r="I29" s="46">
        <v>30000000</v>
      </c>
      <c r="J29" s="46">
        <v>29945470</v>
      </c>
      <c r="K29" s="46">
        <f t="shared" si="5"/>
        <v>99.818233333333325</v>
      </c>
      <c r="L29" s="46">
        <v>40000000</v>
      </c>
      <c r="M29" s="46">
        <f t="shared" ref="M29:M48" si="7">+(L29-I29)/I29*100</f>
        <v>33.333333333333329</v>
      </c>
      <c r="N29" s="46">
        <f t="shared" si="6"/>
        <v>10000000</v>
      </c>
      <c r="O29" s="86">
        <v>17331340</v>
      </c>
      <c r="P29" s="78">
        <f>+O29/I29*100</f>
        <v>57.771133333333339</v>
      </c>
    </row>
    <row r="30" spans="1:17" s="27" customFormat="1" ht="24.9" customHeight="1" x14ac:dyDescent="0.7">
      <c r="B30" s="38"/>
      <c r="C30" s="38"/>
      <c r="D30" s="38"/>
      <c r="E30" s="31" t="s">
        <v>29</v>
      </c>
      <c r="F30" s="6">
        <v>1167600</v>
      </c>
      <c r="G30" s="6">
        <v>10385000</v>
      </c>
      <c r="H30" s="20">
        <v>10495200</v>
      </c>
      <c r="I30" s="46">
        <v>10960000</v>
      </c>
      <c r="J30" s="46">
        <v>5346600</v>
      </c>
      <c r="K30" s="46">
        <f t="shared" si="5"/>
        <v>48.782846715328468</v>
      </c>
      <c r="L30" s="46">
        <f>+รายละเอียดรายจ่าย!X111</f>
        <v>11136000</v>
      </c>
      <c r="M30" s="46">
        <f t="shared" si="7"/>
        <v>1.6058394160583942</v>
      </c>
      <c r="N30" s="46">
        <f t="shared" si="6"/>
        <v>176000</v>
      </c>
      <c r="O30" s="86">
        <v>2687000</v>
      </c>
      <c r="P30" s="78">
        <f>+O30/I30*100</f>
        <v>24.516423357664234</v>
      </c>
    </row>
    <row r="31" spans="1:17" s="27" customFormat="1" ht="24.9" customHeight="1" x14ac:dyDescent="0.25">
      <c r="B31" s="38"/>
      <c r="C31" s="38"/>
      <c r="D31" s="38"/>
      <c r="E31" s="31" t="s">
        <v>30</v>
      </c>
      <c r="F31" s="46">
        <v>0</v>
      </c>
      <c r="G31" s="46">
        <v>0</v>
      </c>
      <c r="H31" s="20">
        <v>0</v>
      </c>
      <c r="I31" s="46">
        <v>0</v>
      </c>
      <c r="J31" s="46">
        <v>0</v>
      </c>
      <c r="K31" s="46"/>
      <c r="L31" s="46">
        <v>0</v>
      </c>
      <c r="M31" s="46"/>
      <c r="N31" s="46">
        <f t="shared" si="6"/>
        <v>0</v>
      </c>
      <c r="O31" s="79"/>
      <c r="P31" s="78">
        <v>0</v>
      </c>
    </row>
    <row r="32" spans="1:17" s="27" customFormat="1" ht="24.9" customHeight="1" x14ac:dyDescent="0.7">
      <c r="B32" s="38"/>
      <c r="C32" s="38"/>
      <c r="D32" s="38"/>
      <c r="E32" s="31" t="s">
        <v>31</v>
      </c>
      <c r="F32" s="6">
        <v>10193251</v>
      </c>
      <c r="G32" s="6">
        <v>5202971</v>
      </c>
      <c r="H32" s="20">
        <v>8605550.9800000004</v>
      </c>
      <c r="I32" s="46">
        <v>41200000</v>
      </c>
      <c r="J32" s="46">
        <v>17747007</v>
      </c>
      <c r="K32" s="46">
        <f t="shared" si="5"/>
        <v>43.07525970873786</v>
      </c>
      <c r="L32" s="46">
        <f>+รายละเอียดรายจ่าย!X10</f>
        <v>41200000</v>
      </c>
      <c r="M32" s="46">
        <f t="shared" si="7"/>
        <v>0</v>
      </c>
      <c r="N32" s="46">
        <f t="shared" si="6"/>
        <v>0</v>
      </c>
      <c r="O32" s="79">
        <v>17747007</v>
      </c>
      <c r="P32" s="78">
        <f>+O32/I32*100</f>
        <v>43.07525970873786</v>
      </c>
    </row>
    <row r="33" spans="2:16" s="27" customFormat="1" ht="24.9" customHeight="1" x14ac:dyDescent="0.25">
      <c r="B33" s="38"/>
      <c r="C33" s="38"/>
      <c r="D33" s="38"/>
      <c r="E33" s="31" t="s">
        <v>32</v>
      </c>
      <c r="F33" s="46">
        <v>0</v>
      </c>
      <c r="G33" s="46">
        <v>0</v>
      </c>
      <c r="H33" s="20">
        <v>225000</v>
      </c>
      <c r="I33" s="46">
        <v>300000</v>
      </c>
      <c r="J33" s="46">
        <v>0</v>
      </c>
      <c r="K33" s="46">
        <f t="shared" si="5"/>
        <v>0</v>
      </c>
      <c r="L33" s="46">
        <f>+รายละเอียดรายจ่าย!X13</f>
        <v>300000</v>
      </c>
      <c r="M33" s="46">
        <f t="shared" si="7"/>
        <v>0</v>
      </c>
      <c r="N33" s="46">
        <f t="shared" si="6"/>
        <v>0</v>
      </c>
      <c r="O33" s="79">
        <v>0</v>
      </c>
      <c r="P33" s="78">
        <f>+O33/I33*100</f>
        <v>0</v>
      </c>
    </row>
    <row r="34" spans="2:16" s="27" customFormat="1" ht="24.9" customHeight="1" x14ac:dyDescent="0.25">
      <c r="B34" s="38"/>
      <c r="C34" s="38"/>
      <c r="D34" s="38"/>
      <c r="E34" s="31" t="s">
        <v>74</v>
      </c>
      <c r="F34" s="1476">
        <v>278309970.18000001</v>
      </c>
      <c r="G34" s="1476">
        <f>340999774.4-G29-G30</f>
        <v>300475729.39999998</v>
      </c>
      <c r="H34" s="1477">
        <f>367202135.79+10495200-H29-H30</f>
        <v>340596215.79000002</v>
      </c>
      <c r="I34" s="1472">
        <f>432000000+10960000-I29-I30</f>
        <v>402000000</v>
      </c>
      <c r="J34" s="1472">
        <f>216192538.77-J29</f>
        <v>186247068.77000001</v>
      </c>
      <c r="K34" s="1472">
        <f t="shared" si="5"/>
        <v>46.330116609452737</v>
      </c>
      <c r="L34" s="1472">
        <f>432000000-L29</f>
        <v>392000000</v>
      </c>
      <c r="M34" s="1472">
        <f t="shared" si="7"/>
        <v>-2.4875621890547266</v>
      </c>
      <c r="N34" s="1472">
        <f t="shared" si="6"/>
        <v>-10000000</v>
      </c>
      <c r="O34" s="1474">
        <f>107757770.55-O29</f>
        <v>90426430.549999997</v>
      </c>
      <c r="P34" s="1470">
        <f>+O34/I34*100</f>
        <v>22.494136952736319</v>
      </c>
    </row>
    <row r="35" spans="2:16" s="27" customFormat="1" ht="24.9" customHeight="1" x14ac:dyDescent="0.25">
      <c r="B35" s="26"/>
      <c r="C35" s="26"/>
      <c r="D35" s="26"/>
      <c r="E35" s="31" t="s">
        <v>33</v>
      </c>
      <c r="F35" s="1476"/>
      <c r="G35" s="1476"/>
      <c r="H35" s="1477"/>
      <c r="I35" s="1472"/>
      <c r="J35" s="1472"/>
      <c r="K35" s="1472"/>
      <c r="L35" s="1472"/>
      <c r="M35" s="1472"/>
      <c r="N35" s="1472"/>
      <c r="O35" s="1475"/>
      <c r="P35" s="1471"/>
    </row>
    <row r="36" spans="2:16" s="27" customFormat="1" ht="24.9" customHeight="1" x14ac:dyDescent="0.7">
      <c r="B36" s="26"/>
      <c r="C36" s="26"/>
      <c r="D36" s="26"/>
      <c r="E36" s="31" t="s">
        <v>69</v>
      </c>
      <c r="F36" s="6">
        <v>709725</v>
      </c>
      <c r="G36" s="6">
        <f>868400+299500+618600+9852500</f>
        <v>11639000</v>
      </c>
      <c r="H36" s="20">
        <f>555000+295380+1278500</f>
        <v>2128880</v>
      </c>
      <c r="I36" s="46">
        <f>550000+300000+1250000+100000</f>
        <v>2200000</v>
      </c>
      <c r="J36" s="46">
        <f>255000+105500+1035900</f>
        <v>1396400</v>
      </c>
      <c r="K36" s="46">
        <f t="shared" si="5"/>
        <v>63.472727272727269</v>
      </c>
      <c r="L36" s="46">
        <f>+รายละเอียดรายจ่าย!X8+รายละเอียดรายจ่าย!X11+รายละเอียดรายจ่าย!X12+รายละเอียดรายจ่าย!X15</f>
        <v>2200000</v>
      </c>
      <c r="M36" s="46">
        <f t="shared" si="7"/>
        <v>0</v>
      </c>
      <c r="N36" s="46">
        <f t="shared" si="6"/>
        <v>0</v>
      </c>
      <c r="O36" s="79">
        <f>130000+586800+46400</f>
        <v>763200</v>
      </c>
      <c r="P36" s="78">
        <f>+O36/I36*100</f>
        <v>34.690909090909088</v>
      </c>
    </row>
    <row r="37" spans="2:16" s="103" customFormat="1" ht="24.9" customHeight="1" x14ac:dyDescent="0.25">
      <c r="B37" s="73"/>
      <c r="C37" s="73"/>
      <c r="D37" s="73"/>
      <c r="E37" s="74" t="s">
        <v>34</v>
      </c>
      <c r="F37" s="63">
        <v>88500</v>
      </c>
      <c r="G37" s="63">
        <v>223200</v>
      </c>
      <c r="H37" s="75">
        <f>189000+247200</f>
        <v>436200</v>
      </c>
      <c r="I37" s="76">
        <f>200000+300000</f>
        <v>500000</v>
      </c>
      <c r="J37" s="76">
        <v>66300</v>
      </c>
      <c r="K37" s="46">
        <f t="shared" si="5"/>
        <v>13.26</v>
      </c>
      <c r="L37" s="76">
        <f>+รายละเอียดรายจ่าย!X9+รายละเอียดรายจ่าย!X16</f>
        <v>500000</v>
      </c>
      <c r="M37" s="46">
        <f t="shared" si="7"/>
        <v>0</v>
      </c>
      <c r="N37" s="46">
        <f t="shared" si="6"/>
        <v>0</v>
      </c>
      <c r="O37" s="83">
        <v>46200</v>
      </c>
      <c r="P37" s="78">
        <f>+O37/I37*100</f>
        <v>9.24</v>
      </c>
    </row>
    <row r="38" spans="2:16" s="27" customFormat="1" ht="24.9" customHeight="1" x14ac:dyDescent="0.25">
      <c r="B38" s="38"/>
      <c r="C38" s="48" t="s">
        <v>35</v>
      </c>
      <c r="D38" s="48"/>
      <c r="E38" s="52"/>
      <c r="F38" s="51"/>
      <c r="G38" s="51"/>
      <c r="H38" s="51"/>
      <c r="I38" s="51"/>
      <c r="J38" s="51"/>
      <c r="K38" s="51"/>
      <c r="L38" s="51"/>
      <c r="M38" s="51"/>
      <c r="N38" s="51"/>
      <c r="O38" s="95"/>
      <c r="P38" s="95"/>
    </row>
    <row r="39" spans="2:16" s="27" customFormat="1" ht="24.9" customHeight="1" x14ac:dyDescent="0.7">
      <c r="B39" s="38"/>
      <c r="C39" s="26"/>
      <c r="D39" s="26"/>
      <c r="E39" s="32" t="s">
        <v>36</v>
      </c>
      <c r="F39" s="6">
        <v>381568335.67000002</v>
      </c>
      <c r="G39" s="6">
        <v>402783945.05000001</v>
      </c>
      <c r="H39" s="20">
        <v>423646772.83999997</v>
      </c>
      <c r="I39" s="46">
        <f>410000000+12000000</f>
        <v>422000000</v>
      </c>
      <c r="J39" s="46">
        <v>223446874.94999999</v>
      </c>
      <c r="K39" s="46">
        <f t="shared" si="5"/>
        <v>52.949496433649287</v>
      </c>
      <c r="L39" s="46">
        <f>+รายละเอียดรายจ่าย!X136</f>
        <v>480000000</v>
      </c>
      <c r="M39" s="46">
        <f t="shared" si="7"/>
        <v>13.744075829383887</v>
      </c>
      <c r="N39" s="46">
        <f t="shared" si="6"/>
        <v>58000000</v>
      </c>
      <c r="O39" s="86">
        <v>113828659.47</v>
      </c>
      <c r="P39" s="78">
        <f>+O39/I39*100</f>
        <v>26.973615988151657</v>
      </c>
    </row>
    <row r="40" spans="2:16" s="27" customFormat="1" ht="24.9" customHeight="1" x14ac:dyDescent="0.25">
      <c r="B40" s="38"/>
      <c r="C40" s="26"/>
      <c r="D40" s="26"/>
      <c r="E40" s="32" t="s">
        <v>81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</row>
    <row r="41" spans="2:16" s="27" customFormat="1" ht="24.9" customHeight="1" x14ac:dyDescent="0.7">
      <c r="B41" s="38"/>
      <c r="C41" s="26"/>
      <c r="D41" s="38"/>
      <c r="E41" s="31" t="s">
        <v>37</v>
      </c>
      <c r="F41" s="67">
        <v>283383304.85000002</v>
      </c>
      <c r="G41" s="67">
        <v>269171871.07999998</v>
      </c>
      <c r="H41" s="21">
        <v>294582710.36000001</v>
      </c>
      <c r="I41" s="46">
        <v>278600000</v>
      </c>
      <c r="J41" s="46">
        <v>184615422.77000001</v>
      </c>
      <c r="K41" s="46">
        <f t="shared" si="5"/>
        <v>66.265406593682712</v>
      </c>
      <c r="L41" s="46">
        <f>+รายละเอียดรายจ่าย!X144</f>
        <v>332850000</v>
      </c>
      <c r="M41" s="46">
        <f t="shared" si="7"/>
        <v>19.472361809045228</v>
      </c>
      <c r="N41" s="46">
        <f t="shared" si="6"/>
        <v>54250000</v>
      </c>
      <c r="O41" s="79">
        <v>88895304.400000006</v>
      </c>
      <c r="P41" s="78">
        <f t="shared" ref="P41:P48" si="8">+O41/I41*100</f>
        <v>31.907862311557789</v>
      </c>
    </row>
    <row r="42" spans="2:16" s="27" customFormat="1" ht="24.9" customHeight="1" x14ac:dyDescent="0.7">
      <c r="B42" s="38"/>
      <c r="C42" s="26"/>
      <c r="D42" s="38"/>
      <c r="E42" s="31" t="s">
        <v>38</v>
      </c>
      <c r="F42" s="67">
        <v>113598032.58</v>
      </c>
      <c r="G42" s="67">
        <v>173517852.77000001</v>
      </c>
      <c r="H42" s="21">
        <v>108302691.62</v>
      </c>
      <c r="I42" s="46">
        <f>1500000+29000000+2500000+2000000+62000000+3600000</f>
        <v>100600000</v>
      </c>
      <c r="J42" s="46">
        <v>51084516.140000001</v>
      </c>
      <c r="K42" s="46">
        <f t="shared" si="5"/>
        <v>50.779837117296225</v>
      </c>
      <c r="L42" s="131">
        <f>+รายละเอียดรายจ่าย!X128</f>
        <v>115000000</v>
      </c>
      <c r="M42" s="46">
        <f t="shared" si="7"/>
        <v>14.314115308151093</v>
      </c>
      <c r="N42" s="46">
        <f t="shared" si="6"/>
        <v>14400000</v>
      </c>
      <c r="O42" s="79">
        <v>22290949.23</v>
      </c>
      <c r="P42" s="78">
        <f t="shared" si="8"/>
        <v>22.158001222664016</v>
      </c>
    </row>
    <row r="43" spans="2:16" s="27" customFormat="1" ht="24.9" customHeight="1" x14ac:dyDescent="0.7">
      <c r="B43" s="38"/>
      <c r="C43" s="26"/>
      <c r="D43" s="38"/>
      <c r="E43" s="31" t="s">
        <v>39</v>
      </c>
      <c r="F43" s="67">
        <v>4624692.5599999996</v>
      </c>
      <c r="G43" s="67">
        <v>5063862.54</v>
      </c>
      <c r="H43" s="21">
        <v>4860582.3600000003</v>
      </c>
      <c r="I43" s="46">
        <v>5000000</v>
      </c>
      <c r="J43" s="46">
        <v>4374958.88</v>
      </c>
      <c r="K43" s="46">
        <f t="shared" si="5"/>
        <v>87.499177599999996</v>
      </c>
      <c r="L43" s="46">
        <f>+รายละเอียดรายจ่าย!X138</f>
        <v>8000000</v>
      </c>
      <c r="M43" s="46">
        <f t="shared" si="7"/>
        <v>60</v>
      </c>
      <c r="N43" s="46">
        <f t="shared" si="6"/>
        <v>3000000</v>
      </c>
      <c r="O43" s="86">
        <v>1699498.04</v>
      </c>
      <c r="P43" s="78">
        <f t="shared" si="8"/>
        <v>33.989960799999999</v>
      </c>
    </row>
    <row r="44" spans="2:16" s="27" customFormat="1" ht="24.9" customHeight="1" x14ac:dyDescent="0.7">
      <c r="B44" s="38"/>
      <c r="C44" s="26"/>
      <c r="D44" s="38"/>
      <c r="E44" s="31" t="s">
        <v>40</v>
      </c>
      <c r="F44" s="67">
        <v>8920065.0600000005</v>
      </c>
      <c r="G44" s="67">
        <v>7202711.8600000003</v>
      </c>
      <c r="H44" s="21">
        <v>10163306.949999999</v>
      </c>
      <c r="I44" s="46">
        <v>10000000</v>
      </c>
      <c r="J44" s="46">
        <v>5630163.2800000003</v>
      </c>
      <c r="K44" s="46">
        <f t="shared" si="5"/>
        <v>56.3016328</v>
      </c>
      <c r="L44" s="46">
        <f>+รายละเอียดรายจ่าย!X139</f>
        <v>10000000</v>
      </c>
      <c r="M44" s="46">
        <f t="shared" si="7"/>
        <v>0</v>
      </c>
      <c r="N44" s="46">
        <f t="shared" si="6"/>
        <v>0</v>
      </c>
      <c r="O44" s="86">
        <v>1906294.56</v>
      </c>
      <c r="P44" s="78">
        <f t="shared" si="8"/>
        <v>19.062945599999999</v>
      </c>
    </row>
    <row r="45" spans="2:16" s="27" customFormat="1" ht="24.9" customHeight="1" x14ac:dyDescent="0.7">
      <c r="B45" s="38"/>
      <c r="C45" s="26"/>
      <c r="D45" s="38"/>
      <c r="E45" s="31" t="s">
        <v>41</v>
      </c>
      <c r="F45" s="67">
        <v>12301882</v>
      </c>
      <c r="G45" s="67">
        <v>2353159.4</v>
      </c>
      <c r="H45" s="21">
        <v>4427235.5</v>
      </c>
      <c r="I45" s="46">
        <v>14000000</v>
      </c>
      <c r="J45" s="46">
        <v>6825150</v>
      </c>
      <c r="K45" s="46">
        <f t="shared" si="5"/>
        <v>48.751071428571429</v>
      </c>
      <c r="L45" s="46">
        <f>+รายละเอียดรายจ่าย!X140</f>
        <v>30000000</v>
      </c>
      <c r="M45" s="46">
        <f t="shared" si="7"/>
        <v>114.28571428571428</v>
      </c>
      <c r="N45" s="46">
        <f t="shared" si="6"/>
        <v>16000000</v>
      </c>
      <c r="O45" s="86">
        <v>3163628</v>
      </c>
      <c r="P45" s="78">
        <f t="shared" si="8"/>
        <v>22.597342857142859</v>
      </c>
    </row>
    <row r="46" spans="2:16" s="27" customFormat="1" ht="24.9" customHeight="1" x14ac:dyDescent="0.7">
      <c r="B46" s="38"/>
      <c r="C46" s="26"/>
      <c r="D46" s="26"/>
      <c r="E46" s="32" t="s">
        <v>86</v>
      </c>
      <c r="F46" s="6">
        <v>52239803.799999997</v>
      </c>
      <c r="G46" s="6">
        <v>52142381.509999998</v>
      </c>
      <c r="H46" s="20">
        <f>904032336.97-H41-H42-H43-H44-H45-H39</f>
        <v>58049037.340000033</v>
      </c>
      <c r="I46" s="46">
        <f>891600000-I41-I42-I43-I44-I45-I39</f>
        <v>61400000</v>
      </c>
      <c r="J46" s="46">
        <f>508399313.78-J39-J41-J42-J43-J44-J45</f>
        <v>32422227.759999968</v>
      </c>
      <c r="K46" s="46">
        <f t="shared" si="5"/>
        <v>52.804931205211666</v>
      </c>
      <c r="L46" s="46">
        <f>+รายละเอียดรายจ่าย!X116-L39-L41-L42-L43-L44-L45</f>
        <v>74130000</v>
      </c>
      <c r="M46" s="46">
        <f t="shared" si="7"/>
        <v>20.732899022801302</v>
      </c>
      <c r="N46" s="46">
        <f t="shared" si="6"/>
        <v>12730000</v>
      </c>
      <c r="O46" s="86">
        <v>12888114.880000001</v>
      </c>
      <c r="P46" s="78">
        <f t="shared" si="8"/>
        <v>20.990415114006517</v>
      </c>
    </row>
    <row r="47" spans="2:16" s="27" customFormat="1" ht="24.9" customHeight="1" x14ac:dyDescent="0.7">
      <c r="B47" s="38"/>
      <c r="C47" s="26"/>
      <c r="D47" s="26"/>
      <c r="E47" s="32" t="s">
        <v>42</v>
      </c>
      <c r="F47" s="6">
        <v>46273598.899999999</v>
      </c>
      <c r="G47" s="6">
        <v>57251974.939999998</v>
      </c>
      <c r="H47" s="20">
        <v>64033302.310000002</v>
      </c>
      <c r="I47" s="46">
        <v>63200000</v>
      </c>
      <c r="J47" s="46">
        <v>28765949.420000002</v>
      </c>
      <c r="K47" s="46">
        <f t="shared" si="5"/>
        <v>45.51574275316456</v>
      </c>
      <c r="L47" s="46">
        <f>+รายละเอียดรายจ่าย!X106</f>
        <v>70000000</v>
      </c>
      <c r="M47" s="46">
        <f t="shared" si="7"/>
        <v>10.759493670886076</v>
      </c>
      <c r="N47" s="46">
        <f t="shared" si="6"/>
        <v>6800000</v>
      </c>
      <c r="O47" s="79">
        <v>14127010.15</v>
      </c>
      <c r="P47" s="78">
        <f t="shared" si="8"/>
        <v>22.352864161392404</v>
      </c>
    </row>
    <row r="48" spans="2:16" s="27" customFormat="1" ht="24.9" customHeight="1" x14ac:dyDescent="0.7">
      <c r="B48" s="38"/>
      <c r="C48" s="26"/>
      <c r="D48" s="26"/>
      <c r="E48" s="32" t="s">
        <v>43</v>
      </c>
      <c r="F48" s="6">
        <v>143384959.49000001</v>
      </c>
      <c r="G48" s="6">
        <v>230607987.06</v>
      </c>
      <c r="H48" s="20">
        <v>170224752.50999999</v>
      </c>
      <c r="I48" s="46">
        <v>182776000</v>
      </c>
      <c r="J48" s="46">
        <v>112622051.33</v>
      </c>
      <c r="K48" s="46">
        <f t="shared" si="5"/>
        <v>61.617527098743821</v>
      </c>
      <c r="L48" s="46" t="e">
        <f>+รายละเอียดรายจ่าย!#REF!</f>
        <v>#REF!</v>
      </c>
      <c r="M48" s="46" t="e">
        <f t="shared" si="7"/>
        <v>#REF!</v>
      </c>
      <c r="N48" s="46" t="e">
        <f t="shared" si="6"/>
        <v>#REF!</v>
      </c>
      <c r="O48" s="79">
        <v>64208414.890000001</v>
      </c>
      <c r="P48" s="78">
        <f t="shared" si="8"/>
        <v>35.129565637720489</v>
      </c>
    </row>
    <row r="49" spans="2:17" s="27" customFormat="1" ht="24.9" customHeight="1" x14ac:dyDescent="0.25">
      <c r="B49" s="38"/>
      <c r="C49" s="26"/>
      <c r="D49" s="26"/>
      <c r="E49" s="32" t="s">
        <v>44</v>
      </c>
      <c r="F49" s="68">
        <v>0</v>
      </c>
      <c r="G49" s="68">
        <v>0</v>
      </c>
      <c r="H49" s="20">
        <v>0</v>
      </c>
      <c r="I49" s="46">
        <v>0</v>
      </c>
      <c r="J49" s="46">
        <v>0</v>
      </c>
      <c r="K49" s="46">
        <v>0</v>
      </c>
      <c r="L49" s="46">
        <v>0</v>
      </c>
      <c r="M49" s="46">
        <v>0</v>
      </c>
      <c r="N49" s="46">
        <f t="shared" si="6"/>
        <v>0</v>
      </c>
      <c r="O49" s="38"/>
      <c r="P49" s="38"/>
    </row>
    <row r="50" spans="2:17" s="27" customFormat="1" ht="24.9" customHeight="1" x14ac:dyDescent="0.25">
      <c r="B50" s="38"/>
      <c r="C50" s="59" t="s">
        <v>77</v>
      </c>
      <c r="D50" s="59"/>
      <c r="E50" s="60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2:17" s="27" customFormat="1" ht="24.9" customHeight="1" x14ac:dyDescent="0.25">
      <c r="B51" s="38"/>
      <c r="C51" s="26"/>
      <c r="D51" s="26"/>
      <c r="E51" s="26" t="s">
        <v>70</v>
      </c>
      <c r="F51" s="51"/>
      <c r="G51" s="51"/>
      <c r="H51" s="51"/>
      <c r="I51" s="55"/>
      <c r="J51" s="55"/>
      <c r="K51" s="55"/>
      <c r="L51" s="55"/>
      <c r="M51" s="55"/>
      <c r="N51" s="55"/>
      <c r="O51" s="55"/>
      <c r="P51" s="55"/>
      <c r="Q51" s="39"/>
    </row>
    <row r="52" spans="2:17" s="27" customFormat="1" ht="24.9" customHeight="1" x14ac:dyDescent="0.25">
      <c r="B52" s="38"/>
      <c r="C52" s="26"/>
      <c r="D52" s="26"/>
      <c r="E52" s="38" t="s">
        <v>83</v>
      </c>
      <c r="F52" s="20">
        <v>19207318.109999999</v>
      </c>
      <c r="G52" s="20">
        <v>18299059.25</v>
      </c>
      <c r="H52" s="20">
        <v>16655750</v>
      </c>
      <c r="I52" s="46">
        <v>17000000</v>
      </c>
      <c r="J52" s="46">
        <v>0</v>
      </c>
      <c r="K52" s="46"/>
      <c r="L52" s="46">
        <f>+รายละเอียดรายจ่าย!X174</f>
        <v>16000000</v>
      </c>
      <c r="M52" s="46">
        <f>+(L52-I52)/I52*100</f>
        <v>-5.8823529411764701</v>
      </c>
      <c r="N52" s="46">
        <f t="shared" ref="N52:N54" si="9">+L52-I52</f>
        <v>-1000000</v>
      </c>
      <c r="O52" s="85">
        <v>0</v>
      </c>
      <c r="P52" s="78">
        <f>+O52/I52*100</f>
        <v>0</v>
      </c>
      <c r="Q52" s="39"/>
    </row>
    <row r="53" spans="2:17" s="27" customFormat="1" ht="24.9" customHeight="1" x14ac:dyDescent="0.25">
      <c r="B53" s="38"/>
      <c r="C53" s="26"/>
      <c r="D53" s="26"/>
      <c r="E53" s="38" t="s">
        <v>84</v>
      </c>
      <c r="F53" s="20">
        <v>22086315.170000002</v>
      </c>
      <c r="G53" s="20">
        <v>9966511.5</v>
      </c>
      <c r="H53" s="1472">
        <f>62031461.74-H52</f>
        <v>45375711.740000002</v>
      </c>
      <c r="I53" s="46">
        <v>0</v>
      </c>
      <c r="J53" s="46">
        <v>0</v>
      </c>
      <c r="K53" s="46"/>
      <c r="L53" s="46" t="e">
        <f>+รายละเอียดรายจ่าย!#REF!</f>
        <v>#REF!</v>
      </c>
      <c r="M53" s="46"/>
      <c r="N53" s="46" t="e">
        <f t="shared" si="9"/>
        <v>#REF!</v>
      </c>
      <c r="O53" s="38"/>
      <c r="P53" s="78"/>
      <c r="Q53" s="39"/>
    </row>
    <row r="54" spans="2:17" s="27" customFormat="1" ht="24.9" customHeight="1" x14ac:dyDescent="0.25">
      <c r="B54" s="38"/>
      <c r="C54" s="26"/>
      <c r="D54" s="26"/>
      <c r="E54" s="38" t="s">
        <v>85</v>
      </c>
      <c r="F54" s="20">
        <v>31693585.300000001</v>
      </c>
      <c r="G54" s="20">
        <f>50941596.51-G52</f>
        <v>32642537.259999998</v>
      </c>
      <c r="H54" s="1472"/>
      <c r="I54" s="46">
        <f>125588976.2-I52</f>
        <v>108588976.2</v>
      </c>
      <c r="J54" s="46">
        <v>24892105.98</v>
      </c>
      <c r="K54" s="46">
        <f>+J54/I54*100</f>
        <v>22.923234798856129</v>
      </c>
      <c r="L54" s="46" t="e">
        <f>+รายละเอียดรายจ่าย!X159-L52-L53</f>
        <v>#REF!</v>
      </c>
      <c r="M54" s="46" t="e">
        <f>+(L54-I54)/I54*100</f>
        <v>#REF!</v>
      </c>
      <c r="N54" s="46" t="e">
        <f t="shared" si="9"/>
        <v>#REF!</v>
      </c>
      <c r="O54" s="79">
        <v>15572406.82</v>
      </c>
      <c r="P54" s="78">
        <f>+O54/I54*100</f>
        <v>14.340688497991383</v>
      </c>
      <c r="Q54" s="39"/>
    </row>
    <row r="55" spans="2:17" s="27" customFormat="1" ht="24.9" customHeight="1" x14ac:dyDescent="0.25">
      <c r="B55" s="38"/>
      <c r="C55" s="26"/>
      <c r="D55" s="26"/>
      <c r="E55" s="26" t="s">
        <v>45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</row>
    <row r="56" spans="2:17" s="27" customFormat="1" ht="24.9" customHeight="1" x14ac:dyDescent="0.25">
      <c r="B56" s="38"/>
      <c r="C56" s="26"/>
      <c r="D56" s="26"/>
      <c r="E56" s="38" t="s">
        <v>78</v>
      </c>
      <c r="F56" s="69">
        <v>0</v>
      </c>
      <c r="G56" s="69">
        <v>0</v>
      </c>
      <c r="H56" s="20">
        <v>0</v>
      </c>
      <c r="I56" s="46">
        <v>0</v>
      </c>
      <c r="J56" s="46">
        <v>0</v>
      </c>
      <c r="K56" s="46"/>
      <c r="L56" s="46">
        <v>0</v>
      </c>
      <c r="M56" s="46"/>
      <c r="N56" s="46">
        <f t="shared" ref="N56:N58" si="10">+L56-I56</f>
        <v>0</v>
      </c>
      <c r="O56" s="38"/>
      <c r="P56" s="38"/>
    </row>
    <row r="57" spans="2:17" s="27" customFormat="1" ht="24.9" customHeight="1" x14ac:dyDescent="0.25">
      <c r="B57" s="38"/>
      <c r="C57" s="26"/>
      <c r="D57" s="26"/>
      <c r="E57" s="38" t="s">
        <v>79</v>
      </c>
      <c r="F57" s="69">
        <v>0</v>
      </c>
      <c r="G57" s="69">
        <v>0</v>
      </c>
      <c r="H57" s="20">
        <v>0</v>
      </c>
      <c r="I57" s="46">
        <v>0</v>
      </c>
      <c r="J57" s="46">
        <v>0</v>
      </c>
      <c r="K57" s="46"/>
      <c r="L57" s="46">
        <f>+รายละเอียดรายจ่าย!X178</f>
        <v>24000000</v>
      </c>
      <c r="M57" s="46"/>
      <c r="N57" s="46">
        <f t="shared" si="10"/>
        <v>24000000</v>
      </c>
      <c r="O57" s="38"/>
      <c r="P57" s="38"/>
    </row>
    <row r="58" spans="2:17" s="27" customFormat="1" ht="24.9" customHeight="1" x14ac:dyDescent="0.25">
      <c r="B58" s="38"/>
      <c r="C58" s="26"/>
      <c r="D58" s="26"/>
      <c r="E58" s="38" t="s">
        <v>80</v>
      </c>
      <c r="F58" s="69">
        <v>0</v>
      </c>
      <c r="G58" s="20">
        <v>13265578</v>
      </c>
      <c r="H58" s="20">
        <v>0</v>
      </c>
      <c r="I58" s="46">
        <v>112480442.59999999</v>
      </c>
      <c r="J58" s="46">
        <v>0</v>
      </c>
      <c r="K58" s="46"/>
      <c r="L58" s="46">
        <f>+รายละเอียดรายจ่าย!X177</f>
        <v>226026911.13999999</v>
      </c>
      <c r="M58" s="46">
        <f t="shared" ref="M58:M63" si="11">+(L58-I58)/I58*100</f>
        <v>100.94774337241094</v>
      </c>
      <c r="N58" s="46">
        <f t="shared" si="10"/>
        <v>113546468.53999999</v>
      </c>
      <c r="O58" s="85">
        <v>0</v>
      </c>
      <c r="P58" s="78">
        <f>+O58/I58*100</f>
        <v>0</v>
      </c>
    </row>
    <row r="59" spans="2:17" s="27" customFormat="1" ht="24.9" customHeight="1" x14ac:dyDescent="0.25">
      <c r="B59" s="38"/>
      <c r="C59" s="48" t="s">
        <v>76</v>
      </c>
      <c r="D59" s="48"/>
      <c r="E59" s="48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</row>
    <row r="60" spans="2:17" s="27" customFormat="1" ht="24.9" customHeight="1" x14ac:dyDescent="0.25">
      <c r="B60" s="38"/>
      <c r="C60" s="26"/>
      <c r="D60" s="38" t="s">
        <v>87</v>
      </c>
      <c r="E60" s="38"/>
      <c r="F60" s="20">
        <f>8164178.01+2129000</f>
        <v>10293178.01</v>
      </c>
      <c r="G60" s="20">
        <f>8208166.77+64500</f>
        <v>8272666.7699999996</v>
      </c>
      <c r="H60" s="20">
        <f>127930+1102457.67+1099806.51+4230700</f>
        <v>6560894.1799999997</v>
      </c>
      <c r="I60" s="46">
        <f>600000+2000000</f>
        <v>2600000</v>
      </c>
      <c r="J60" s="46">
        <v>87000</v>
      </c>
      <c r="K60" s="46">
        <f>+J60/I60*100</f>
        <v>3.3461538461538458</v>
      </c>
      <c r="L60" s="46" t="e">
        <f>+รายละเอียดรายจ่าย!X184+รายละเอียดรายจ่าย!#REF!</f>
        <v>#REF!</v>
      </c>
      <c r="M60" s="46" t="e">
        <f t="shared" si="11"/>
        <v>#REF!</v>
      </c>
      <c r="N60" s="46" t="e">
        <f t="shared" ref="N60:N62" si="12">+L60-I60</f>
        <v>#REF!</v>
      </c>
      <c r="O60" s="38">
        <v>0</v>
      </c>
      <c r="P60" s="38"/>
    </row>
    <row r="61" spans="2:17" s="27" customFormat="1" ht="24.9" customHeight="1" x14ac:dyDescent="0.25">
      <c r="B61" s="38"/>
      <c r="C61" s="26"/>
      <c r="D61" s="38" t="s">
        <v>75</v>
      </c>
      <c r="E61" s="38"/>
      <c r="F61" s="20">
        <f>18494540.71-F60</f>
        <v>8201362.7000000011</v>
      </c>
      <c r="G61" s="20">
        <f>13567272.48-G60</f>
        <v>5294605.7100000009</v>
      </c>
      <c r="H61" s="20">
        <f>12299449.89-H60+4357500</f>
        <v>10096055.710000001</v>
      </c>
      <c r="I61" s="46">
        <f>8000000-I60</f>
        <v>5400000</v>
      </c>
      <c r="J61" s="46">
        <f>10722949.75-J60</f>
        <v>10635949.75</v>
      </c>
      <c r="K61" s="46">
        <f>+J61/I61*100</f>
        <v>196.96203240740741</v>
      </c>
      <c r="L61" s="46" t="e">
        <f>+รายละเอียดรายจ่าย!#REF!+รายละเอียดรายจ่าย!#REF!+รายละเอียดรายจ่าย!#REF!</f>
        <v>#REF!</v>
      </c>
      <c r="M61" s="46" t="e">
        <f t="shared" si="11"/>
        <v>#REF!</v>
      </c>
      <c r="N61" s="46" t="e">
        <f t="shared" si="12"/>
        <v>#REF!</v>
      </c>
      <c r="O61" s="86">
        <v>3757346.75</v>
      </c>
      <c r="P61" s="78">
        <f>+O61/I61*100</f>
        <v>69.580495370370372</v>
      </c>
    </row>
    <row r="62" spans="2:17" s="27" customFormat="1" ht="24.9" customHeight="1" x14ac:dyDescent="0.25">
      <c r="B62" s="38"/>
      <c r="C62" s="26" t="s">
        <v>90</v>
      </c>
      <c r="D62" s="26"/>
      <c r="E62" s="38"/>
      <c r="F62" s="21"/>
      <c r="G62" s="21"/>
      <c r="H62" s="21"/>
      <c r="I62" s="46">
        <v>10000000</v>
      </c>
      <c r="J62" s="46">
        <v>0</v>
      </c>
      <c r="K62" s="46">
        <f>+J62/I62*100</f>
        <v>0</v>
      </c>
      <c r="L62" s="46">
        <f>+รายละเอียดรายจ่าย!X205</f>
        <v>10000000</v>
      </c>
      <c r="M62" s="46">
        <f t="shared" si="11"/>
        <v>0</v>
      </c>
      <c r="N62" s="46">
        <f t="shared" si="12"/>
        <v>0</v>
      </c>
      <c r="O62" s="85">
        <v>0</v>
      </c>
      <c r="P62" s="78">
        <f>+O62/I62*100</f>
        <v>0</v>
      </c>
    </row>
    <row r="63" spans="2:17" s="27" customFormat="1" ht="24.9" customHeight="1" x14ac:dyDescent="0.25">
      <c r="B63" s="132"/>
      <c r="C63" s="89"/>
      <c r="D63" s="89"/>
      <c r="E63" s="90" t="s">
        <v>46</v>
      </c>
      <c r="F63" s="81">
        <f>SUM(F27:F62)</f>
        <v>1640263454.6099997</v>
      </c>
      <c r="G63" s="81">
        <f t="shared" ref="G63:O63" si="13">SUM(G27:G62)</f>
        <v>1834105673.6299999</v>
      </c>
      <c r="H63" s="81">
        <f t="shared" si="13"/>
        <v>1794536654.4399998</v>
      </c>
      <c r="I63" s="81">
        <f t="shared" si="13"/>
        <v>2075805418.8</v>
      </c>
      <c r="J63" s="81">
        <f t="shared" si="13"/>
        <v>1020618754.9399999</v>
      </c>
      <c r="K63" s="104">
        <f>+J63/I63*100</f>
        <v>49.167361530928474</v>
      </c>
      <c r="L63" s="81" t="e">
        <f>SUM(L25:L62)</f>
        <v>#REF!</v>
      </c>
      <c r="M63" s="104" t="e">
        <f t="shared" si="11"/>
        <v>#REF!</v>
      </c>
      <c r="N63" s="104"/>
      <c r="O63" s="81">
        <f t="shared" si="13"/>
        <v>519292275.97999996</v>
      </c>
      <c r="P63" s="91">
        <f>+O63/I63*100</f>
        <v>25.016423566337785</v>
      </c>
    </row>
    <row r="64" spans="2:17" s="27" customFormat="1" ht="24.9" customHeight="1" x14ac:dyDescent="0.25">
      <c r="B64" s="38"/>
      <c r="C64" s="26"/>
      <c r="D64" s="26"/>
      <c r="E64" s="41" t="s">
        <v>47</v>
      </c>
      <c r="F64" s="20">
        <f t="shared" ref="F64:H64" si="14">F24-F63</f>
        <v>65663259.520000458</v>
      </c>
      <c r="G64" s="20">
        <f t="shared" si="14"/>
        <v>407326454.88000035</v>
      </c>
      <c r="H64" s="20">
        <f t="shared" si="14"/>
        <v>132561881.53000021</v>
      </c>
      <c r="I64" s="20">
        <f>I24-I63</f>
        <v>-106805418.79999995</v>
      </c>
      <c r="J64" s="20"/>
      <c r="K64" s="20"/>
      <c r="L64" s="20" t="e">
        <f>L24-L63</f>
        <v>#REF!</v>
      </c>
      <c r="M64" s="20"/>
      <c r="N64" s="46"/>
      <c r="O64" s="77">
        <f>+O24-O63</f>
        <v>57555722.200000226</v>
      </c>
      <c r="P64" s="78">
        <f>+P24-P63</f>
        <v>4.2800720243173771</v>
      </c>
    </row>
    <row r="65" spans="1:16" s="27" customFormat="1" ht="24.9" customHeight="1" x14ac:dyDescent="0.25">
      <c r="A65" s="100"/>
      <c r="B65" s="38"/>
      <c r="C65" s="38"/>
      <c r="D65" s="38"/>
      <c r="E65" s="41" t="s">
        <v>48</v>
      </c>
      <c r="F65" s="20">
        <v>136248645.56999972</v>
      </c>
      <c r="G65" s="20">
        <v>201105725.03000024</v>
      </c>
      <c r="H65" s="20">
        <f>+G66</f>
        <v>608432179.91000056</v>
      </c>
      <c r="I65" s="20">
        <f>+H66</f>
        <v>740994061.44000077</v>
      </c>
      <c r="J65" s="20"/>
      <c r="K65" s="20"/>
      <c r="L65" s="135">
        <f>+I66</f>
        <v>634188642.64000082</v>
      </c>
      <c r="M65" s="20"/>
      <c r="N65" s="46"/>
      <c r="O65" s="86">
        <f>+I66</f>
        <v>634188642.64000082</v>
      </c>
      <c r="P65" s="78">
        <f>+O65/I65*100</f>
        <v>85.586197736532327</v>
      </c>
    </row>
    <row r="66" spans="1:16" s="27" customFormat="1" ht="24.9" customHeight="1" x14ac:dyDescent="0.25">
      <c r="B66" s="38"/>
      <c r="C66" s="38"/>
      <c r="D66" s="38"/>
      <c r="E66" s="41" t="s">
        <v>49</v>
      </c>
      <c r="F66" s="20">
        <f>+F64+F65</f>
        <v>201911905.09000018</v>
      </c>
      <c r="G66" s="20">
        <f>+G64+G65</f>
        <v>608432179.91000056</v>
      </c>
      <c r="H66" s="20">
        <f>+H64+H65</f>
        <v>740994061.44000077</v>
      </c>
      <c r="I66" s="20">
        <f>+I64+I65</f>
        <v>634188642.64000082</v>
      </c>
      <c r="J66" s="20"/>
      <c r="K66" s="20"/>
      <c r="L66" s="20" t="e">
        <f>+L64+L65</f>
        <v>#REF!</v>
      </c>
      <c r="M66" s="20"/>
      <c r="N66" s="46"/>
      <c r="O66" s="98">
        <f>+O64+O65</f>
        <v>691744364.84000111</v>
      </c>
      <c r="P66" s="99">
        <f>+P64+P65</f>
        <v>89.866269760849704</v>
      </c>
    </row>
    <row r="67" spans="1:16" s="27" customFormat="1" ht="24.9" customHeight="1" x14ac:dyDescent="0.25">
      <c r="B67" s="38"/>
      <c r="C67" s="38"/>
      <c r="D67" s="38"/>
      <c r="E67" s="41" t="s">
        <v>50</v>
      </c>
      <c r="F67" s="20">
        <v>58045277.850000001</v>
      </c>
      <c r="G67" s="20">
        <v>56325869.409999996</v>
      </c>
      <c r="H67" s="20">
        <v>85488666.950000003</v>
      </c>
      <c r="I67" s="20" t="e">
        <f>+#REF!</f>
        <v>#REF!</v>
      </c>
      <c r="J67" s="20"/>
      <c r="K67" s="20"/>
      <c r="L67" s="20" t="e">
        <f>+I67</f>
        <v>#REF!</v>
      </c>
      <c r="M67" s="20"/>
      <c r="N67" s="46"/>
      <c r="O67" s="86">
        <f>76296849.02</f>
        <v>76296849.019999996</v>
      </c>
      <c r="P67" s="38"/>
    </row>
    <row r="68" spans="1:16" s="27" customFormat="1" ht="24.9" customHeight="1" x14ac:dyDescent="0.25">
      <c r="B68" s="38"/>
      <c r="C68" s="38"/>
      <c r="D68" s="38"/>
      <c r="E68" s="41" t="s">
        <v>51</v>
      </c>
      <c r="F68" s="20">
        <v>493604929.52999997</v>
      </c>
      <c r="G68" s="20">
        <v>399847504.07000005</v>
      </c>
      <c r="H68" s="20">
        <v>523497531.72000003</v>
      </c>
      <c r="I68" s="20" t="e">
        <f>+#REF!</f>
        <v>#REF!</v>
      </c>
      <c r="J68" s="20"/>
      <c r="K68" s="20"/>
      <c r="L68" s="20" t="e">
        <f>+#REF!</f>
        <v>#REF!</v>
      </c>
      <c r="M68" s="20"/>
      <c r="N68" s="46"/>
      <c r="O68" s="87">
        <f>501750088.48-O67</f>
        <v>425453239.46000004</v>
      </c>
      <c r="P68" s="38"/>
    </row>
    <row r="69" spans="1:16" s="27" customFormat="1" ht="24.9" customHeight="1" x14ac:dyDescent="0.25">
      <c r="B69" s="38"/>
      <c r="C69" s="38"/>
      <c r="D69" s="38"/>
      <c r="E69" s="41" t="s">
        <v>82</v>
      </c>
      <c r="F69" s="20">
        <f>+F66-F67-F68</f>
        <v>-349738302.28999978</v>
      </c>
      <c r="G69" s="20">
        <f t="shared" ref="G69:L69" si="15">+G66-G67-G68</f>
        <v>152258806.43000054</v>
      </c>
      <c r="H69" s="20">
        <f t="shared" si="15"/>
        <v>132007862.7700007</v>
      </c>
      <c r="I69" s="20" t="e">
        <f t="shared" si="15"/>
        <v>#REF!</v>
      </c>
      <c r="J69" s="20"/>
      <c r="K69" s="20"/>
      <c r="L69" s="20" t="e">
        <f t="shared" si="15"/>
        <v>#REF!</v>
      </c>
      <c r="M69" s="20"/>
      <c r="N69" s="46"/>
      <c r="O69" s="77">
        <f>+O66-O67-O68</f>
        <v>189994276.36000109</v>
      </c>
      <c r="P69" s="78">
        <f>+P66-P67-P68</f>
        <v>89.866269760849704</v>
      </c>
    </row>
    <row r="70" spans="1:16" s="27" customFormat="1" ht="24.9" customHeight="1" x14ac:dyDescent="0.25">
      <c r="B70" s="26" t="s">
        <v>52</v>
      </c>
      <c r="C70" s="26"/>
      <c r="D70" s="26"/>
      <c r="E70" s="26"/>
      <c r="F70" s="20"/>
      <c r="G70" s="20"/>
      <c r="H70" s="20"/>
      <c r="I70" s="20"/>
      <c r="J70" s="20"/>
      <c r="K70" s="20"/>
      <c r="L70" s="20"/>
      <c r="M70" s="20"/>
      <c r="N70" s="20"/>
      <c r="O70" s="38"/>
      <c r="P70" s="38"/>
    </row>
    <row r="71" spans="1:16" s="27" customFormat="1" ht="24.9" customHeight="1" x14ac:dyDescent="0.25">
      <c r="B71" s="26"/>
      <c r="C71" s="26" t="s">
        <v>53</v>
      </c>
      <c r="D71" s="26"/>
      <c r="E71" s="38"/>
      <c r="F71" s="20">
        <v>0</v>
      </c>
      <c r="G71" s="20">
        <v>0</v>
      </c>
      <c r="H71" s="21"/>
      <c r="I71" s="46">
        <v>0</v>
      </c>
      <c r="J71" s="46"/>
      <c r="K71" s="46"/>
      <c r="L71" s="46">
        <v>0</v>
      </c>
      <c r="M71" s="46"/>
      <c r="N71" s="46"/>
      <c r="O71" s="38"/>
      <c r="P71" s="38"/>
    </row>
    <row r="72" spans="1:16" s="27" customFormat="1" ht="24.9" customHeight="1" x14ac:dyDescent="0.25">
      <c r="B72" s="26"/>
      <c r="C72" s="26" t="s">
        <v>54</v>
      </c>
      <c r="D72" s="26"/>
      <c r="E72" s="38"/>
      <c r="F72" s="20">
        <v>13450973.619999999</v>
      </c>
      <c r="G72" s="20">
        <v>14604822.869999999</v>
      </c>
      <c r="H72" s="20">
        <v>83264087.5</v>
      </c>
      <c r="I72" s="46">
        <v>63000000</v>
      </c>
      <c r="J72" s="46"/>
      <c r="K72" s="46"/>
      <c r="L72" s="46">
        <v>158000000</v>
      </c>
      <c r="M72" s="46"/>
      <c r="N72" s="46"/>
      <c r="O72" s="86">
        <v>99409351.780000001</v>
      </c>
      <c r="P72" s="38"/>
    </row>
    <row r="73" spans="1:16" s="27" customFormat="1" ht="24.9" customHeight="1" x14ac:dyDescent="0.25">
      <c r="B73" s="26"/>
      <c r="C73" s="26" t="s">
        <v>55</v>
      </c>
      <c r="D73" s="26"/>
      <c r="E73" s="26"/>
      <c r="F73" s="51"/>
      <c r="G73" s="51"/>
      <c r="H73" s="51"/>
      <c r="I73" s="51"/>
      <c r="J73" s="51"/>
      <c r="K73" s="51"/>
      <c r="L73" s="51"/>
      <c r="M73" s="51"/>
      <c r="N73" s="51"/>
      <c r="O73" s="56"/>
      <c r="P73" s="51"/>
    </row>
    <row r="74" spans="1:16" s="27" customFormat="1" ht="24.9" customHeight="1" x14ac:dyDescent="0.25">
      <c r="B74" s="26"/>
      <c r="C74" s="26"/>
      <c r="D74" s="26"/>
      <c r="E74" s="26" t="s">
        <v>56</v>
      </c>
      <c r="F74" s="20">
        <v>0</v>
      </c>
      <c r="G74" s="20">
        <v>0</v>
      </c>
      <c r="H74" s="20">
        <v>0</v>
      </c>
      <c r="I74" s="46">
        <v>0</v>
      </c>
      <c r="J74" s="46"/>
      <c r="K74" s="46"/>
      <c r="L74" s="46">
        <v>0</v>
      </c>
      <c r="M74" s="46"/>
      <c r="N74" s="46"/>
      <c r="O74" s="38"/>
      <c r="P74" s="38"/>
    </row>
    <row r="75" spans="1:16" s="27" customFormat="1" ht="24.9" customHeight="1" x14ac:dyDescent="0.25">
      <c r="B75" s="26"/>
      <c r="C75" s="26"/>
      <c r="D75" s="26"/>
      <c r="E75" s="26" t="s">
        <v>57</v>
      </c>
      <c r="F75" s="20">
        <v>95785349.439999998</v>
      </c>
      <c r="G75" s="20">
        <v>438711968.37</v>
      </c>
      <c r="H75" s="20">
        <v>613592120.99000001</v>
      </c>
      <c r="I75" s="46">
        <v>350000000</v>
      </c>
      <c r="J75" s="46"/>
      <c r="K75" s="46"/>
      <c r="L75" s="46">
        <v>673395471.58000004</v>
      </c>
      <c r="M75" s="46"/>
      <c r="N75" s="46"/>
      <c r="O75" s="86">
        <v>487723348.81</v>
      </c>
      <c r="P75" s="38"/>
    </row>
    <row r="76" spans="1:16" s="27" customFormat="1" ht="24.9" customHeight="1" x14ac:dyDescent="0.25">
      <c r="B76" s="26"/>
      <c r="C76" s="26"/>
      <c r="D76" s="26"/>
      <c r="E76" s="26" t="s">
        <v>58</v>
      </c>
      <c r="F76" s="20">
        <v>0</v>
      </c>
      <c r="G76" s="20">
        <v>0</v>
      </c>
      <c r="H76" s="20">
        <v>0</v>
      </c>
      <c r="I76" s="46">
        <v>0</v>
      </c>
      <c r="J76" s="46"/>
      <c r="K76" s="46"/>
      <c r="L76" s="46">
        <v>0</v>
      </c>
      <c r="M76" s="46"/>
      <c r="N76" s="46"/>
      <c r="O76" s="38"/>
      <c r="P76" s="38"/>
    </row>
    <row r="77" spans="1:16" s="27" customFormat="1" ht="24.9" customHeight="1" x14ac:dyDescent="0.25">
      <c r="B77" s="26"/>
      <c r="C77" s="26"/>
      <c r="D77" s="26"/>
      <c r="E77" s="43" t="s">
        <v>59</v>
      </c>
      <c r="F77" s="20">
        <f>SUM(F71:F72,F74,F75,F76)</f>
        <v>109236323.06</v>
      </c>
      <c r="G77" s="20">
        <f>SUM(G71:G72,G74,G75,G76)</f>
        <v>453316791.24000001</v>
      </c>
      <c r="H77" s="20">
        <f>SUM(H71:H72,H74,H75,H76)</f>
        <v>696856208.49000001</v>
      </c>
      <c r="I77" s="20">
        <f>SUM(I71:I72,I74,I75,I76)</f>
        <v>413000000</v>
      </c>
      <c r="J77" s="20"/>
      <c r="K77" s="20"/>
      <c r="L77" s="20">
        <f>SUM(L71:L72,L74,L75,L76)</f>
        <v>831395471.58000004</v>
      </c>
      <c r="M77" s="20"/>
      <c r="N77" s="20"/>
      <c r="O77" s="77">
        <f>+(I77+O24)-O63</f>
        <v>470555722.20000023</v>
      </c>
      <c r="P77" s="38"/>
    </row>
    <row r="78" spans="1:16" ht="21.75" customHeight="1" x14ac:dyDescent="0.7">
      <c r="B78" s="1"/>
      <c r="C78" s="1"/>
      <c r="D78" s="1"/>
      <c r="E78" s="8"/>
      <c r="F78" s="9"/>
      <c r="G78" s="9"/>
      <c r="H78" s="9"/>
      <c r="I78" s="10"/>
      <c r="J78" s="10"/>
      <c r="K78" s="10"/>
      <c r="L78" s="10"/>
      <c r="M78" s="10"/>
      <c r="N78" s="10"/>
    </row>
    <row r="79" spans="1:16" ht="21.75" hidden="1" customHeight="1" x14ac:dyDescent="0.7">
      <c r="B79" s="11" t="s">
        <v>60</v>
      </c>
      <c r="C79" s="1"/>
      <c r="D79" s="1"/>
      <c r="E79" s="8"/>
      <c r="F79" s="12"/>
      <c r="G79" s="12"/>
      <c r="H79" s="12"/>
      <c r="I79" s="18" t="s">
        <v>6</v>
      </c>
      <c r="J79" s="18"/>
      <c r="K79" s="18"/>
      <c r="L79" s="18"/>
      <c r="M79" s="18"/>
      <c r="N79" s="18"/>
    </row>
    <row r="80" spans="1:16" ht="21.75" hidden="1" customHeight="1" x14ac:dyDescent="0.7">
      <c r="B80" s="1"/>
      <c r="C80" s="1"/>
      <c r="D80" s="1"/>
      <c r="E80" s="8" t="s">
        <v>61</v>
      </c>
      <c r="F80" s="12"/>
      <c r="G80" s="12"/>
      <c r="H80" s="12"/>
      <c r="I80" s="19">
        <f>+(I24-H24)/H24</f>
        <v>2.1743290884142039E-2</v>
      </c>
      <c r="J80" s="19"/>
      <c r="K80" s="19"/>
      <c r="L80" s="19"/>
      <c r="M80" s="19"/>
      <c r="N80" s="118"/>
    </row>
    <row r="81" spans="2:14" ht="21.75" hidden="1" customHeight="1" x14ac:dyDescent="0.7">
      <c r="B81" s="1"/>
      <c r="C81" s="1"/>
      <c r="D81" s="1"/>
      <c r="E81" s="8" t="s">
        <v>62</v>
      </c>
      <c r="F81" s="12"/>
      <c r="G81" s="12"/>
      <c r="H81" s="12"/>
      <c r="I81" s="19">
        <f>+(I63-H63)/H63</f>
        <v>0.15673614894635429</v>
      </c>
      <c r="J81" s="19"/>
      <c r="K81" s="19"/>
      <c r="L81" s="19"/>
      <c r="M81" s="19"/>
      <c r="N81" s="118"/>
    </row>
    <row r="82" spans="2:14" ht="21.75" hidden="1" customHeight="1" x14ac:dyDescent="0.7">
      <c r="B82" s="1"/>
      <c r="C82" s="1"/>
      <c r="D82" s="1"/>
      <c r="E82" s="8" t="s">
        <v>63</v>
      </c>
      <c r="F82" s="12"/>
      <c r="G82" s="12"/>
      <c r="H82" s="12"/>
      <c r="I82" s="19">
        <f>+(I52+I53+I54+I56+I57+I58)/I63</f>
        <v>0.11468773356301637</v>
      </c>
      <c r="J82" s="19"/>
      <c r="K82" s="19"/>
      <c r="L82" s="19"/>
      <c r="M82" s="19"/>
      <c r="N82" s="118"/>
    </row>
    <row r="83" spans="2:14" ht="21.75" hidden="1" customHeight="1" x14ac:dyDescent="0.7">
      <c r="B83" s="2" t="s">
        <v>72</v>
      </c>
      <c r="C83" s="1"/>
      <c r="D83" s="1"/>
      <c r="E83" s="8"/>
      <c r="F83" s="12"/>
      <c r="G83" s="12"/>
      <c r="H83" s="12"/>
      <c r="I83" s="15"/>
      <c r="J83" s="15"/>
      <c r="K83" s="15"/>
      <c r="L83" s="15"/>
      <c r="M83" s="15"/>
      <c r="N83" s="15"/>
    </row>
    <row r="84" spans="2:14" ht="21.75" hidden="1" customHeight="1" x14ac:dyDescent="0.7">
      <c r="E84" s="71" t="s">
        <v>73</v>
      </c>
      <c r="F84" s="7"/>
      <c r="G84" s="7"/>
      <c r="H84" s="7"/>
      <c r="I84" s="7"/>
      <c r="J84" s="7"/>
      <c r="K84" s="7"/>
      <c r="L84" s="7"/>
      <c r="M84" s="7"/>
      <c r="N84" s="7"/>
    </row>
    <row r="85" spans="2:14" ht="21.75" hidden="1" customHeight="1" x14ac:dyDescent="0.7">
      <c r="B85" s="1"/>
      <c r="E85" s="71" t="s">
        <v>64</v>
      </c>
      <c r="F85" s="3"/>
      <c r="G85" s="3"/>
      <c r="H85" s="3"/>
      <c r="I85" s="3"/>
      <c r="J85" s="3"/>
      <c r="K85" s="3"/>
      <c r="L85" s="3"/>
      <c r="M85" s="3"/>
      <c r="N85" s="3"/>
    </row>
    <row r="86" spans="2:14" ht="21.75" hidden="1" customHeight="1" x14ac:dyDescent="0.7">
      <c r="E86" s="71" t="s">
        <v>65</v>
      </c>
      <c r="F86" s="3"/>
      <c r="G86" s="3"/>
      <c r="H86" s="3"/>
      <c r="I86" s="3"/>
      <c r="J86" s="3"/>
      <c r="K86" s="3"/>
      <c r="L86" s="3"/>
      <c r="M86" s="3"/>
      <c r="N86" s="3"/>
    </row>
    <row r="87" spans="2:14" ht="21.75" hidden="1" customHeight="1" x14ac:dyDescent="0.7">
      <c r="E87" s="71" t="s">
        <v>66</v>
      </c>
      <c r="F87" s="3"/>
      <c r="G87" s="3"/>
      <c r="H87" s="3"/>
      <c r="I87" s="3"/>
      <c r="J87" s="3"/>
      <c r="K87" s="3"/>
      <c r="L87" s="3"/>
      <c r="M87" s="3"/>
      <c r="N87" s="3"/>
    </row>
    <row r="88" spans="2:14" ht="21.75" hidden="1" customHeight="1" x14ac:dyDescent="0.7">
      <c r="E88" s="71" t="s">
        <v>67</v>
      </c>
      <c r="F88" s="3"/>
      <c r="G88" s="3"/>
      <c r="H88" s="3"/>
      <c r="I88" s="3"/>
      <c r="J88" s="3"/>
      <c r="K88" s="3"/>
      <c r="L88" s="3"/>
      <c r="M88" s="3"/>
      <c r="N88" s="3"/>
    </row>
    <row r="89" spans="2:14" ht="21.75" customHeight="1" x14ac:dyDescent="0.7">
      <c r="E89" s="71"/>
      <c r="F89" s="3"/>
      <c r="G89" s="3"/>
      <c r="H89" s="3"/>
      <c r="I89" s="3"/>
      <c r="J89" s="3"/>
      <c r="K89" s="3"/>
      <c r="L89" s="3"/>
      <c r="M89" s="3"/>
      <c r="N89" s="3"/>
    </row>
    <row r="90" spans="2:14" ht="21.75" customHeight="1" x14ac:dyDescent="0.7">
      <c r="E90" s="71"/>
      <c r="F90" s="3"/>
      <c r="G90" s="3"/>
      <c r="H90" s="3"/>
      <c r="I90" s="3"/>
      <c r="J90" s="3"/>
      <c r="K90" s="3"/>
      <c r="L90" s="3"/>
      <c r="M90" s="3"/>
      <c r="N90" s="3"/>
    </row>
    <row r="91" spans="2:14" ht="21.75" customHeight="1" x14ac:dyDescent="0.7">
      <c r="F91" s="3"/>
      <c r="G91" s="3"/>
      <c r="H91" s="3"/>
      <c r="I91" s="3"/>
      <c r="J91" s="3"/>
      <c r="K91" s="3"/>
      <c r="L91" s="3"/>
      <c r="M91" s="3"/>
      <c r="N91" s="3"/>
    </row>
    <row r="92" spans="2:14" ht="21.75" customHeight="1" x14ac:dyDescent="0.7">
      <c r="E92" s="1"/>
      <c r="F92" s="3"/>
      <c r="G92" s="3"/>
      <c r="H92" s="3"/>
      <c r="I92" s="3"/>
      <c r="J92" s="3"/>
      <c r="K92" s="3"/>
      <c r="L92" s="3"/>
      <c r="M92" s="3"/>
      <c r="N92" s="3"/>
    </row>
    <row r="93" spans="2:14" ht="21.75" customHeight="1" x14ac:dyDescent="0.7">
      <c r="B93" s="1"/>
      <c r="C93" s="1" t="s">
        <v>68</v>
      </c>
      <c r="D93" s="1"/>
      <c r="E93" s="1469" t="s">
        <v>120</v>
      </c>
      <c r="F93" s="1473"/>
      <c r="G93" s="1473"/>
      <c r="H93" s="1473"/>
      <c r="I93" s="1473"/>
      <c r="J93" s="1473"/>
      <c r="K93" s="1473"/>
      <c r="L93" s="1473"/>
      <c r="M93" s="1473"/>
      <c r="N93" s="44"/>
    </row>
    <row r="94" spans="2:14" ht="21.75" customHeight="1" x14ac:dyDescent="0.7">
      <c r="B94" s="1"/>
      <c r="C94" s="1"/>
      <c r="D94" s="1"/>
      <c r="E94" s="45"/>
      <c r="F94" s="44"/>
      <c r="G94" s="44"/>
      <c r="H94" s="44"/>
      <c r="I94" s="44"/>
      <c r="J94" s="44"/>
      <c r="K94" s="44"/>
      <c r="L94" s="44"/>
      <c r="M94" s="44"/>
      <c r="N94" s="44"/>
    </row>
    <row r="95" spans="2:14" ht="21.75" customHeight="1" x14ac:dyDescent="0.7">
      <c r="B95" s="1"/>
      <c r="C95" s="1"/>
      <c r="D95" s="1"/>
      <c r="E95" s="45"/>
      <c r="F95" s="44"/>
      <c r="G95" s="44"/>
      <c r="H95" s="44"/>
      <c r="I95" s="44"/>
      <c r="J95" s="44"/>
      <c r="K95" s="44"/>
      <c r="L95" s="44"/>
      <c r="M95" s="44"/>
      <c r="N95" s="44"/>
    </row>
    <row r="96" spans="2:14" s="44" customFormat="1" ht="21.75" customHeight="1" x14ac:dyDescent="0.25">
      <c r="B96" s="45"/>
      <c r="C96" s="45"/>
      <c r="D96" s="45"/>
      <c r="E96" s="1469"/>
      <c r="F96" s="1473"/>
      <c r="G96" s="1473"/>
      <c r="H96" s="1473"/>
      <c r="I96" s="1473"/>
      <c r="J96" s="1473"/>
      <c r="K96" s="1473"/>
      <c r="L96" s="1473"/>
      <c r="M96" s="1473"/>
    </row>
    <row r="97" spans="2:14" s="44" customFormat="1" ht="21.75" customHeight="1" x14ac:dyDescent="0.25">
      <c r="B97" s="45"/>
      <c r="C97" s="45"/>
      <c r="D97" s="45"/>
      <c r="E97" s="45"/>
    </row>
    <row r="98" spans="2:14" s="44" customFormat="1" ht="21.75" customHeight="1" x14ac:dyDescent="0.25">
      <c r="E98" s="1469"/>
      <c r="F98" s="1469"/>
      <c r="G98" s="1469"/>
      <c r="H98" s="1469"/>
      <c r="I98" s="1469"/>
      <c r="J98" s="1469"/>
      <c r="K98" s="1469"/>
      <c r="L98" s="1469"/>
      <c r="M98" s="1469"/>
      <c r="N98" s="45"/>
    </row>
    <row r="99" spans="2:14" s="44" customFormat="1" ht="21.75" customHeight="1" x14ac:dyDescent="0.25">
      <c r="E99" s="1469"/>
      <c r="F99" s="1469"/>
      <c r="G99" s="1469"/>
      <c r="H99" s="1469"/>
      <c r="I99" s="1469"/>
      <c r="J99" s="1469"/>
      <c r="K99" s="1469"/>
      <c r="L99" s="1469"/>
      <c r="M99" s="1469"/>
      <c r="N99" s="45"/>
    </row>
    <row r="100" spans="2:14" ht="21.75" customHeight="1" x14ac:dyDescent="0.7"/>
    <row r="101" spans="2:14" ht="20.25" customHeight="1" x14ac:dyDescent="0.7">
      <c r="F101" s="7"/>
      <c r="G101" s="7"/>
      <c r="H101" s="7"/>
      <c r="I101" s="7"/>
      <c r="J101" s="7"/>
      <c r="K101" s="7"/>
      <c r="L101" s="7"/>
      <c r="M101" s="7"/>
      <c r="N101" s="7"/>
    </row>
    <row r="102" spans="2:14" ht="20.25" customHeight="1" x14ac:dyDescent="0.7">
      <c r="F102" s="7"/>
      <c r="G102" s="7"/>
      <c r="H102" s="7"/>
      <c r="I102" s="7"/>
      <c r="J102" s="7"/>
      <c r="K102" s="7"/>
      <c r="L102" s="7"/>
      <c r="M102" s="7"/>
      <c r="N102" s="7"/>
    </row>
    <row r="103" spans="2:14" ht="20.25" customHeight="1" x14ac:dyDescent="0.7">
      <c r="F103" s="7"/>
      <c r="G103" s="7"/>
      <c r="H103" s="7"/>
      <c r="I103" s="7"/>
      <c r="J103" s="7"/>
      <c r="K103" s="7"/>
      <c r="L103" s="7"/>
      <c r="M103" s="7"/>
      <c r="N103" s="7"/>
    </row>
    <row r="104" spans="2:14" ht="20.25" customHeight="1" x14ac:dyDescent="0.7">
      <c r="F104" s="7"/>
      <c r="G104" s="7"/>
      <c r="H104" s="7"/>
      <c r="I104" s="7"/>
      <c r="J104" s="7"/>
      <c r="K104" s="7"/>
      <c r="L104" s="7"/>
      <c r="M104" s="7"/>
      <c r="N104" s="7"/>
    </row>
    <row r="105" spans="2:14" ht="20.25" customHeight="1" x14ac:dyDescent="0.7">
      <c r="F105" s="7"/>
      <c r="G105" s="7"/>
      <c r="H105" s="7"/>
      <c r="I105" s="7"/>
      <c r="J105" s="7"/>
      <c r="K105" s="7"/>
      <c r="L105" s="7"/>
      <c r="M105" s="7"/>
      <c r="N105" s="7"/>
    </row>
    <row r="106" spans="2:14" ht="20.25" customHeight="1" x14ac:dyDescent="0.7">
      <c r="F106" s="7"/>
      <c r="G106" s="7"/>
      <c r="H106" s="7"/>
      <c r="I106" s="7"/>
      <c r="J106" s="7"/>
      <c r="K106" s="7"/>
      <c r="L106" s="7"/>
      <c r="M106" s="7"/>
      <c r="N106" s="7"/>
    </row>
    <row r="107" spans="2:14" ht="20.25" customHeight="1" x14ac:dyDescent="0.7">
      <c r="F107" s="7"/>
      <c r="G107" s="7"/>
      <c r="H107" s="7"/>
      <c r="I107" s="7"/>
      <c r="J107" s="7"/>
      <c r="K107" s="7"/>
      <c r="L107" s="7"/>
      <c r="M107" s="7"/>
      <c r="N107" s="7"/>
    </row>
    <row r="108" spans="2:14" ht="20.25" customHeight="1" x14ac:dyDescent="0.7">
      <c r="F108" s="7"/>
      <c r="G108" s="7"/>
      <c r="H108" s="7"/>
      <c r="I108" s="7"/>
      <c r="J108" s="7"/>
      <c r="K108" s="7"/>
      <c r="L108" s="7"/>
      <c r="M108" s="7"/>
      <c r="N108" s="7"/>
    </row>
    <row r="109" spans="2:14" ht="20.25" customHeight="1" x14ac:dyDescent="0.7">
      <c r="F109" s="7"/>
      <c r="G109" s="7"/>
      <c r="H109" s="7"/>
      <c r="I109" s="7"/>
      <c r="J109" s="7"/>
      <c r="K109" s="7"/>
      <c r="L109" s="7"/>
      <c r="M109" s="7"/>
      <c r="N109" s="7"/>
    </row>
    <row r="110" spans="2:14" ht="20.25" customHeight="1" x14ac:dyDescent="0.7">
      <c r="F110" s="7"/>
      <c r="G110" s="7"/>
      <c r="H110" s="7"/>
      <c r="I110" s="7"/>
      <c r="J110" s="7"/>
      <c r="K110" s="7"/>
      <c r="L110" s="7"/>
      <c r="M110" s="7"/>
      <c r="N110" s="7"/>
    </row>
    <row r="111" spans="2:14" ht="20.25" customHeight="1" x14ac:dyDescent="0.7">
      <c r="F111" s="7"/>
      <c r="G111" s="7"/>
      <c r="H111" s="7"/>
      <c r="I111" s="7"/>
      <c r="J111" s="7"/>
      <c r="K111" s="7"/>
      <c r="L111" s="7"/>
      <c r="M111" s="7"/>
      <c r="N111" s="7"/>
    </row>
    <row r="112" spans="2:14" ht="20.25" customHeight="1" x14ac:dyDescent="0.7">
      <c r="F112" s="7"/>
      <c r="G112" s="7"/>
      <c r="H112" s="7"/>
      <c r="I112" s="7"/>
      <c r="J112" s="7"/>
      <c r="K112" s="7"/>
      <c r="L112" s="7"/>
      <c r="M112" s="7"/>
      <c r="N112" s="7"/>
    </row>
    <row r="113" spans="6:14" s="13" customFormat="1" ht="20.25" customHeight="1" x14ac:dyDescent="0.7">
      <c r="F113" s="7"/>
      <c r="G113" s="7"/>
      <c r="H113" s="7"/>
      <c r="I113" s="7"/>
      <c r="J113" s="7"/>
      <c r="K113" s="7"/>
      <c r="L113" s="7"/>
      <c r="M113" s="7"/>
      <c r="N113" s="7"/>
    </row>
    <row r="114" spans="6:14" s="13" customFormat="1" ht="20.25" customHeight="1" x14ac:dyDescent="0.7">
      <c r="F114" s="7"/>
      <c r="G114" s="7"/>
      <c r="H114" s="7"/>
      <c r="I114" s="7"/>
      <c r="J114" s="7"/>
      <c r="K114" s="7"/>
      <c r="L114" s="7"/>
      <c r="M114" s="7"/>
      <c r="N114" s="7"/>
    </row>
    <row r="115" spans="6:14" s="13" customFormat="1" ht="20.25" customHeight="1" x14ac:dyDescent="0.7">
      <c r="F115" s="7"/>
      <c r="G115" s="7"/>
      <c r="H115" s="7"/>
      <c r="I115" s="7"/>
      <c r="J115" s="7"/>
      <c r="K115" s="7"/>
      <c r="L115" s="7"/>
      <c r="M115" s="7"/>
      <c r="N115" s="7"/>
    </row>
    <row r="116" spans="6:14" s="13" customFormat="1" ht="20.25" customHeight="1" x14ac:dyDescent="0.7">
      <c r="F116" s="7"/>
      <c r="G116" s="7"/>
      <c r="H116" s="7"/>
      <c r="I116" s="7"/>
      <c r="J116" s="7"/>
      <c r="K116" s="7"/>
      <c r="L116" s="7"/>
      <c r="M116" s="7"/>
      <c r="N116" s="7"/>
    </row>
    <row r="117" spans="6:14" s="13" customFormat="1" ht="20.25" customHeight="1" x14ac:dyDescent="0.7">
      <c r="F117" s="7"/>
      <c r="G117" s="7"/>
      <c r="H117" s="7"/>
      <c r="I117" s="7"/>
      <c r="J117" s="7"/>
      <c r="K117" s="7"/>
      <c r="L117" s="7"/>
      <c r="M117" s="7"/>
      <c r="N117" s="7"/>
    </row>
    <row r="118" spans="6:14" s="13" customFormat="1" ht="14.25" customHeight="1" x14ac:dyDescent="0.7">
      <c r="F118" s="7"/>
      <c r="G118" s="7"/>
      <c r="H118" s="7"/>
      <c r="I118" s="7"/>
      <c r="J118" s="7"/>
      <c r="K118" s="7"/>
      <c r="L118" s="7"/>
      <c r="M118" s="7"/>
      <c r="N118" s="7"/>
    </row>
    <row r="119" spans="6:14" s="13" customFormat="1" ht="14.25" customHeight="1" x14ac:dyDescent="0.7">
      <c r="F119" s="7"/>
      <c r="G119" s="7"/>
      <c r="H119" s="7"/>
      <c r="I119" s="7"/>
      <c r="J119" s="7"/>
      <c r="K119" s="7"/>
      <c r="L119" s="7"/>
      <c r="M119" s="7"/>
      <c r="N119" s="7"/>
    </row>
    <row r="120" spans="6:14" s="13" customFormat="1" ht="14.25" customHeight="1" x14ac:dyDescent="0.7">
      <c r="F120" s="7"/>
      <c r="G120" s="7"/>
      <c r="H120" s="7"/>
      <c r="I120" s="7"/>
      <c r="J120" s="7"/>
      <c r="K120" s="7"/>
      <c r="L120" s="7"/>
      <c r="M120" s="7"/>
      <c r="N120" s="7"/>
    </row>
    <row r="121" spans="6:14" s="13" customFormat="1" ht="14.25" customHeight="1" x14ac:dyDescent="0.7">
      <c r="F121" s="7"/>
      <c r="G121" s="7"/>
      <c r="H121" s="7"/>
      <c r="I121" s="7"/>
      <c r="J121" s="7"/>
      <c r="K121" s="7"/>
      <c r="L121" s="7"/>
      <c r="M121" s="7"/>
      <c r="N121" s="7"/>
    </row>
    <row r="122" spans="6:14" s="13" customFormat="1" ht="14.25" customHeight="1" x14ac:dyDescent="0.7">
      <c r="F122" s="7"/>
      <c r="G122" s="7"/>
      <c r="H122" s="7"/>
      <c r="I122" s="7"/>
      <c r="J122" s="7"/>
      <c r="K122" s="7"/>
      <c r="L122" s="7"/>
      <c r="M122" s="7"/>
      <c r="N122" s="7"/>
    </row>
    <row r="123" spans="6:14" s="13" customFormat="1" ht="14.25" customHeight="1" x14ac:dyDescent="0.7">
      <c r="F123" s="7"/>
      <c r="G123" s="7"/>
      <c r="H123" s="7"/>
      <c r="I123" s="7"/>
      <c r="J123" s="7"/>
      <c r="K123" s="7"/>
      <c r="L123" s="7"/>
      <c r="M123" s="7"/>
      <c r="N123" s="7"/>
    </row>
    <row r="124" spans="6:14" s="13" customFormat="1" ht="14.25" customHeight="1" x14ac:dyDescent="0.7">
      <c r="F124" s="7"/>
      <c r="G124" s="7"/>
      <c r="H124" s="7"/>
      <c r="I124" s="7"/>
      <c r="J124" s="7"/>
      <c r="K124" s="7"/>
      <c r="L124" s="7"/>
      <c r="M124" s="7"/>
      <c r="N124" s="7"/>
    </row>
    <row r="125" spans="6:14" s="13" customFormat="1" ht="14.25" customHeight="1" x14ac:dyDescent="0.7">
      <c r="F125" s="7"/>
      <c r="G125" s="7"/>
      <c r="H125" s="7"/>
      <c r="I125" s="7"/>
      <c r="J125" s="7"/>
      <c r="K125" s="7"/>
      <c r="L125" s="7"/>
      <c r="M125" s="7"/>
      <c r="N125" s="7"/>
    </row>
    <row r="126" spans="6:14" s="13" customFormat="1" ht="14.25" customHeight="1" x14ac:dyDescent="0.7">
      <c r="F126" s="7"/>
      <c r="G126" s="7"/>
      <c r="H126" s="7"/>
      <c r="I126" s="7"/>
      <c r="J126" s="7"/>
      <c r="K126" s="7"/>
      <c r="L126" s="7"/>
      <c r="M126" s="7"/>
      <c r="N126" s="7"/>
    </row>
    <row r="127" spans="6:14" s="13" customFormat="1" ht="14.25" customHeight="1" x14ac:dyDescent="0.7">
      <c r="F127" s="7"/>
      <c r="G127" s="7"/>
      <c r="H127" s="7"/>
      <c r="I127" s="7"/>
      <c r="J127" s="7"/>
      <c r="K127" s="7"/>
      <c r="L127" s="7"/>
      <c r="M127" s="7"/>
      <c r="N127" s="7"/>
    </row>
    <row r="128" spans="6:14" s="13" customFormat="1" ht="14.25" customHeight="1" x14ac:dyDescent="0.7">
      <c r="F128" s="7"/>
      <c r="G128" s="7"/>
      <c r="H128" s="7"/>
      <c r="I128" s="7"/>
      <c r="J128" s="7"/>
      <c r="K128" s="7"/>
      <c r="L128" s="7"/>
      <c r="M128" s="7"/>
      <c r="N128" s="7"/>
    </row>
    <row r="129" spans="6:14" s="13" customFormat="1" ht="14.25" customHeight="1" x14ac:dyDescent="0.7">
      <c r="F129" s="7"/>
      <c r="G129" s="7"/>
      <c r="H129" s="7"/>
      <c r="I129" s="7"/>
      <c r="J129" s="7"/>
      <c r="K129" s="7"/>
      <c r="L129" s="7"/>
      <c r="M129" s="7"/>
      <c r="N129" s="7"/>
    </row>
    <row r="130" spans="6:14" s="13" customFormat="1" ht="14.25" customHeight="1" x14ac:dyDescent="0.7">
      <c r="F130" s="7"/>
      <c r="G130" s="7"/>
      <c r="H130" s="7"/>
      <c r="I130" s="7"/>
      <c r="J130" s="7"/>
      <c r="K130" s="7"/>
      <c r="L130" s="7"/>
      <c r="M130" s="7"/>
      <c r="N130" s="7"/>
    </row>
    <row r="131" spans="6:14" s="13" customFormat="1" ht="14.25" customHeight="1" x14ac:dyDescent="0.7">
      <c r="F131" s="7"/>
      <c r="G131" s="7"/>
      <c r="H131" s="7"/>
      <c r="I131" s="7"/>
      <c r="J131" s="7"/>
      <c r="K131" s="7"/>
      <c r="L131" s="7"/>
      <c r="M131" s="7"/>
      <c r="N131" s="7"/>
    </row>
    <row r="132" spans="6:14" s="13" customFormat="1" ht="14.25" customHeight="1" x14ac:dyDescent="0.7">
      <c r="F132" s="7"/>
      <c r="G132" s="7"/>
      <c r="H132" s="7"/>
      <c r="I132" s="7"/>
      <c r="J132" s="7"/>
      <c r="K132" s="7"/>
      <c r="L132" s="7"/>
      <c r="M132" s="7"/>
      <c r="N132" s="7"/>
    </row>
    <row r="133" spans="6:14" s="13" customFormat="1" ht="14.25" customHeight="1" x14ac:dyDescent="0.7">
      <c r="F133" s="7"/>
      <c r="G133" s="7"/>
      <c r="H133" s="7"/>
      <c r="I133" s="7"/>
      <c r="J133" s="7"/>
      <c r="K133" s="7"/>
      <c r="L133" s="7"/>
      <c r="M133" s="7"/>
      <c r="N133" s="7"/>
    </row>
    <row r="134" spans="6:14" s="13" customFormat="1" ht="14.25" customHeight="1" x14ac:dyDescent="0.7">
      <c r="F134" s="7"/>
      <c r="G134" s="7"/>
      <c r="H134" s="7"/>
      <c r="I134" s="7"/>
      <c r="J134" s="7"/>
      <c r="K134" s="7"/>
      <c r="L134" s="7"/>
      <c r="M134" s="7"/>
      <c r="N134" s="7"/>
    </row>
    <row r="135" spans="6:14" s="13" customFormat="1" ht="14.25" customHeight="1" x14ac:dyDescent="0.7">
      <c r="F135" s="7"/>
      <c r="G135" s="7"/>
      <c r="H135" s="7"/>
      <c r="I135" s="7"/>
      <c r="J135" s="7"/>
      <c r="K135" s="7"/>
      <c r="L135" s="7"/>
      <c r="M135" s="7"/>
      <c r="N135" s="7"/>
    </row>
    <row r="136" spans="6:14" s="13" customFormat="1" ht="14.25" customHeight="1" x14ac:dyDescent="0.7">
      <c r="F136" s="7"/>
      <c r="G136" s="7"/>
      <c r="H136" s="7"/>
      <c r="I136" s="7"/>
      <c r="J136" s="7"/>
      <c r="K136" s="7"/>
      <c r="L136" s="7"/>
      <c r="M136" s="7"/>
      <c r="N136" s="7"/>
    </row>
    <row r="137" spans="6:14" s="13" customFormat="1" ht="14.25" customHeight="1" x14ac:dyDescent="0.7">
      <c r="F137" s="7"/>
      <c r="G137" s="7"/>
      <c r="H137" s="7"/>
      <c r="I137" s="7"/>
      <c r="J137" s="7"/>
      <c r="K137" s="7"/>
      <c r="L137" s="7"/>
      <c r="M137" s="7"/>
      <c r="N137" s="7"/>
    </row>
    <row r="138" spans="6:14" s="13" customFormat="1" ht="14.25" customHeight="1" x14ac:dyDescent="0.7">
      <c r="F138" s="7"/>
      <c r="G138" s="7"/>
      <c r="H138" s="7"/>
      <c r="I138" s="7"/>
      <c r="J138" s="7"/>
      <c r="K138" s="7"/>
      <c r="L138" s="7"/>
      <c r="M138" s="7"/>
      <c r="N138" s="7"/>
    </row>
    <row r="139" spans="6:14" s="13" customFormat="1" ht="14.25" customHeight="1" x14ac:dyDescent="0.7">
      <c r="F139" s="7"/>
      <c r="G139" s="7"/>
      <c r="H139" s="7"/>
      <c r="I139" s="7"/>
      <c r="J139" s="7"/>
      <c r="K139" s="7"/>
      <c r="L139" s="7"/>
      <c r="M139" s="7"/>
      <c r="N139" s="7"/>
    </row>
    <row r="140" spans="6:14" s="13" customFormat="1" ht="14.25" customHeight="1" x14ac:dyDescent="0.7">
      <c r="F140" s="7"/>
      <c r="G140" s="7"/>
      <c r="H140" s="7"/>
      <c r="I140" s="7"/>
      <c r="J140" s="7"/>
      <c r="K140" s="7"/>
      <c r="L140" s="7"/>
      <c r="M140" s="7"/>
      <c r="N140" s="7"/>
    </row>
    <row r="141" spans="6:14" s="13" customFormat="1" ht="14.25" customHeight="1" x14ac:dyDescent="0.7">
      <c r="F141" s="7"/>
      <c r="G141" s="7"/>
      <c r="H141" s="7"/>
      <c r="I141" s="7"/>
      <c r="J141" s="7"/>
      <c r="K141" s="7"/>
      <c r="L141" s="7"/>
      <c r="M141" s="7"/>
      <c r="N141" s="7"/>
    </row>
    <row r="142" spans="6:14" s="13" customFormat="1" ht="14.25" customHeight="1" x14ac:dyDescent="0.7">
      <c r="F142" s="7"/>
      <c r="G142" s="7"/>
      <c r="H142" s="7"/>
      <c r="I142" s="7"/>
      <c r="J142" s="7"/>
      <c r="K142" s="7"/>
      <c r="L142" s="7"/>
      <c r="M142" s="7"/>
      <c r="N142" s="7"/>
    </row>
    <row r="143" spans="6:14" s="13" customFormat="1" ht="14.25" customHeight="1" x14ac:dyDescent="0.7">
      <c r="F143" s="7"/>
      <c r="G143" s="7"/>
      <c r="H143" s="7"/>
      <c r="I143" s="7"/>
      <c r="J143" s="7"/>
      <c r="K143" s="7"/>
      <c r="L143" s="7"/>
      <c r="M143" s="7"/>
      <c r="N143" s="7"/>
    </row>
    <row r="144" spans="6:14" s="13" customFormat="1" ht="14.25" customHeight="1" x14ac:dyDescent="0.7">
      <c r="F144" s="7"/>
      <c r="G144" s="7"/>
      <c r="H144" s="7"/>
      <c r="I144" s="7"/>
      <c r="J144" s="7"/>
      <c r="K144" s="7"/>
      <c r="L144" s="7"/>
      <c r="M144" s="7"/>
      <c r="N144" s="7"/>
    </row>
    <row r="145" spans="6:14" s="13" customFormat="1" ht="14.25" customHeight="1" x14ac:dyDescent="0.7">
      <c r="F145" s="7"/>
      <c r="G145" s="7"/>
      <c r="H145" s="7"/>
      <c r="I145" s="7"/>
      <c r="J145" s="7"/>
      <c r="K145" s="7"/>
      <c r="L145" s="7"/>
      <c r="M145" s="7"/>
      <c r="N145" s="7"/>
    </row>
    <row r="146" spans="6:14" s="13" customFormat="1" ht="14.25" customHeight="1" x14ac:dyDescent="0.7">
      <c r="F146" s="7"/>
      <c r="G146" s="7"/>
      <c r="H146" s="7"/>
      <c r="I146" s="7"/>
      <c r="J146" s="7"/>
      <c r="K146" s="7"/>
      <c r="L146" s="7"/>
      <c r="M146" s="7"/>
      <c r="N146" s="7"/>
    </row>
    <row r="147" spans="6:14" s="13" customFormat="1" ht="14.25" customHeight="1" x14ac:dyDescent="0.7">
      <c r="F147" s="7"/>
      <c r="G147" s="7"/>
      <c r="H147" s="7"/>
      <c r="I147" s="7"/>
      <c r="J147" s="7"/>
      <c r="K147" s="7"/>
      <c r="L147" s="7"/>
      <c r="M147" s="7"/>
      <c r="N147" s="7"/>
    </row>
    <row r="148" spans="6:14" s="13" customFormat="1" ht="14.25" customHeight="1" x14ac:dyDescent="0.7">
      <c r="F148" s="7"/>
      <c r="G148" s="7"/>
      <c r="H148" s="7"/>
      <c r="I148" s="7"/>
      <c r="J148" s="7"/>
      <c r="K148" s="7"/>
      <c r="L148" s="7"/>
      <c r="M148" s="7"/>
      <c r="N148" s="7"/>
    </row>
    <row r="149" spans="6:14" s="13" customFormat="1" ht="14.25" customHeight="1" x14ac:dyDescent="0.7">
      <c r="F149" s="7"/>
      <c r="G149" s="7"/>
      <c r="H149" s="7"/>
      <c r="I149" s="7"/>
      <c r="J149" s="7"/>
      <c r="K149" s="7"/>
      <c r="L149" s="7"/>
      <c r="M149" s="7"/>
      <c r="N149" s="7"/>
    </row>
    <row r="150" spans="6:14" s="13" customFormat="1" ht="14.25" customHeight="1" x14ac:dyDescent="0.7">
      <c r="F150" s="7"/>
      <c r="G150" s="7"/>
      <c r="H150" s="7"/>
      <c r="I150" s="7"/>
      <c r="J150" s="7"/>
      <c r="K150" s="7"/>
      <c r="L150" s="7"/>
      <c r="M150" s="7"/>
      <c r="N150" s="7"/>
    </row>
    <row r="151" spans="6:14" s="13" customFormat="1" ht="14.25" customHeight="1" x14ac:dyDescent="0.7">
      <c r="F151" s="7"/>
      <c r="G151" s="7"/>
      <c r="H151" s="7"/>
      <c r="I151" s="7"/>
      <c r="J151" s="7"/>
      <c r="K151" s="7"/>
      <c r="L151" s="7"/>
      <c r="M151" s="7"/>
      <c r="N151" s="7"/>
    </row>
    <row r="152" spans="6:14" s="13" customFormat="1" ht="14.25" customHeight="1" x14ac:dyDescent="0.7">
      <c r="F152" s="7"/>
      <c r="G152" s="7"/>
      <c r="H152" s="7"/>
      <c r="I152" s="7"/>
      <c r="J152" s="7"/>
      <c r="K152" s="7"/>
      <c r="L152" s="7"/>
      <c r="M152" s="7"/>
      <c r="N152" s="7"/>
    </row>
    <row r="153" spans="6:14" s="13" customFormat="1" ht="14.25" customHeight="1" x14ac:dyDescent="0.7">
      <c r="F153" s="7"/>
      <c r="G153" s="7"/>
      <c r="H153" s="7"/>
      <c r="I153" s="7"/>
      <c r="J153" s="7"/>
      <c r="K153" s="7"/>
      <c r="L153" s="7"/>
      <c r="M153" s="7"/>
      <c r="N153" s="7"/>
    </row>
    <row r="154" spans="6:14" s="13" customFormat="1" ht="14.25" customHeight="1" x14ac:dyDescent="0.7">
      <c r="F154" s="7"/>
      <c r="G154" s="7"/>
      <c r="H154" s="7"/>
      <c r="I154" s="7"/>
      <c r="J154" s="7"/>
      <c r="K154" s="7"/>
      <c r="L154" s="7"/>
      <c r="M154" s="7"/>
      <c r="N154" s="7"/>
    </row>
    <row r="155" spans="6:14" s="13" customFormat="1" ht="14.25" customHeight="1" x14ac:dyDescent="0.7">
      <c r="F155" s="7"/>
      <c r="G155" s="7"/>
      <c r="H155" s="7"/>
      <c r="I155" s="7"/>
      <c r="J155" s="7"/>
      <c r="K155" s="7"/>
      <c r="L155" s="7"/>
      <c r="M155" s="7"/>
      <c r="N155" s="7"/>
    </row>
    <row r="156" spans="6:14" s="13" customFormat="1" ht="14.25" customHeight="1" x14ac:dyDescent="0.7">
      <c r="F156" s="7"/>
      <c r="G156" s="7"/>
      <c r="H156" s="7"/>
      <c r="I156" s="7"/>
      <c r="J156" s="7"/>
      <c r="K156" s="7"/>
      <c r="L156" s="7"/>
      <c r="M156" s="7"/>
      <c r="N156" s="7"/>
    </row>
    <row r="157" spans="6:14" s="13" customFormat="1" ht="14.25" customHeight="1" x14ac:dyDescent="0.7">
      <c r="F157" s="7"/>
      <c r="G157" s="7"/>
      <c r="H157" s="7"/>
      <c r="I157" s="7"/>
      <c r="J157" s="7"/>
      <c r="K157" s="7"/>
      <c r="L157" s="7"/>
      <c r="M157" s="7"/>
      <c r="N157" s="7"/>
    </row>
    <row r="158" spans="6:14" s="13" customFormat="1" ht="14.25" customHeight="1" x14ac:dyDescent="0.7">
      <c r="F158" s="7"/>
      <c r="G158" s="7"/>
      <c r="H158" s="7"/>
      <c r="I158" s="7"/>
      <c r="J158" s="7"/>
      <c r="K158" s="7"/>
      <c r="L158" s="7"/>
      <c r="M158" s="7"/>
      <c r="N158" s="7"/>
    </row>
    <row r="159" spans="6:14" s="13" customFormat="1" ht="14.25" customHeight="1" x14ac:dyDescent="0.7">
      <c r="F159" s="7"/>
      <c r="G159" s="7"/>
      <c r="H159" s="7"/>
      <c r="I159" s="7"/>
      <c r="J159" s="7"/>
      <c r="K159" s="7"/>
      <c r="L159" s="7"/>
      <c r="M159" s="7"/>
      <c r="N159" s="7"/>
    </row>
    <row r="160" spans="6:14" s="13" customFormat="1" ht="14.25" customHeight="1" x14ac:dyDescent="0.7">
      <c r="F160" s="7"/>
      <c r="G160" s="7"/>
      <c r="H160" s="7"/>
      <c r="I160" s="7"/>
      <c r="J160" s="7"/>
      <c r="K160" s="7"/>
      <c r="L160" s="7"/>
      <c r="M160" s="7"/>
      <c r="N160" s="7"/>
    </row>
    <row r="161" spans="6:14" s="13" customFormat="1" ht="14.25" customHeight="1" x14ac:dyDescent="0.7">
      <c r="F161" s="7"/>
      <c r="G161" s="7"/>
      <c r="H161" s="7"/>
      <c r="I161" s="7"/>
      <c r="J161" s="7"/>
      <c r="K161" s="7"/>
      <c r="L161" s="7"/>
      <c r="M161" s="7"/>
      <c r="N161" s="7"/>
    </row>
    <row r="162" spans="6:14" s="13" customFormat="1" ht="14.25" customHeight="1" x14ac:dyDescent="0.7">
      <c r="F162" s="7"/>
      <c r="G162" s="7"/>
      <c r="H162" s="7"/>
      <c r="I162" s="7"/>
      <c r="J162" s="7"/>
      <c r="K162" s="7"/>
      <c r="L162" s="7"/>
      <c r="M162" s="7"/>
      <c r="N162" s="7"/>
    </row>
    <row r="163" spans="6:14" s="13" customFormat="1" ht="14.25" customHeight="1" x14ac:dyDescent="0.7">
      <c r="F163" s="7"/>
      <c r="G163" s="7"/>
      <c r="H163" s="7"/>
      <c r="I163" s="7"/>
      <c r="J163" s="7"/>
      <c r="K163" s="7"/>
      <c r="L163" s="7"/>
      <c r="M163" s="7"/>
      <c r="N163" s="7"/>
    </row>
    <row r="164" spans="6:14" s="13" customFormat="1" ht="14.25" customHeight="1" x14ac:dyDescent="0.7">
      <c r="F164" s="7"/>
      <c r="G164" s="7"/>
      <c r="H164" s="7"/>
      <c r="I164" s="7"/>
      <c r="J164" s="7"/>
      <c r="K164" s="7"/>
      <c r="L164" s="7"/>
      <c r="M164" s="7"/>
      <c r="N164" s="7"/>
    </row>
    <row r="165" spans="6:14" s="13" customFormat="1" ht="14.25" customHeight="1" x14ac:dyDescent="0.7">
      <c r="F165" s="7"/>
      <c r="G165" s="7"/>
      <c r="H165" s="7"/>
      <c r="I165" s="7"/>
      <c r="J165" s="7"/>
      <c r="K165" s="7"/>
      <c r="L165" s="7"/>
      <c r="M165" s="7"/>
      <c r="N165" s="7"/>
    </row>
    <row r="166" spans="6:14" s="13" customFormat="1" ht="14.25" customHeight="1" x14ac:dyDescent="0.7">
      <c r="F166" s="7"/>
      <c r="G166" s="7"/>
      <c r="H166" s="7"/>
      <c r="I166" s="7"/>
      <c r="J166" s="7"/>
      <c r="K166" s="7"/>
      <c r="L166" s="7"/>
      <c r="M166" s="7"/>
      <c r="N166" s="7"/>
    </row>
    <row r="167" spans="6:14" s="13" customFormat="1" ht="14.25" customHeight="1" x14ac:dyDescent="0.7">
      <c r="F167" s="7"/>
      <c r="G167" s="7"/>
      <c r="H167" s="7"/>
      <c r="I167" s="7"/>
      <c r="J167" s="7"/>
      <c r="K167" s="7"/>
      <c r="L167" s="7"/>
      <c r="M167" s="7"/>
      <c r="N167" s="7"/>
    </row>
    <row r="168" spans="6:14" s="13" customFormat="1" ht="14.25" customHeight="1" x14ac:dyDescent="0.7">
      <c r="F168" s="7"/>
      <c r="G168" s="7"/>
      <c r="H168" s="7"/>
      <c r="I168" s="7"/>
      <c r="J168" s="7"/>
      <c r="K168" s="7"/>
      <c r="L168" s="7"/>
      <c r="M168" s="7"/>
      <c r="N168" s="7"/>
    </row>
    <row r="169" spans="6:14" s="13" customFormat="1" ht="14.25" customHeight="1" x14ac:dyDescent="0.7">
      <c r="F169" s="7"/>
      <c r="G169" s="7"/>
      <c r="H169" s="7"/>
      <c r="I169" s="7"/>
      <c r="J169" s="7"/>
      <c r="K169" s="7"/>
      <c r="L169" s="7"/>
      <c r="M169" s="7"/>
      <c r="N169" s="7"/>
    </row>
    <row r="170" spans="6:14" s="13" customFormat="1" ht="14.25" customHeight="1" x14ac:dyDescent="0.7">
      <c r="F170" s="7"/>
      <c r="G170" s="7"/>
      <c r="H170" s="7"/>
      <c r="I170" s="7"/>
      <c r="J170" s="7"/>
      <c r="K170" s="7"/>
      <c r="L170" s="7"/>
      <c r="M170" s="7"/>
      <c r="N170" s="7"/>
    </row>
    <row r="171" spans="6:14" s="13" customFormat="1" ht="14.25" customHeight="1" x14ac:dyDescent="0.7">
      <c r="F171" s="7"/>
      <c r="G171" s="7"/>
      <c r="H171" s="7"/>
      <c r="I171" s="7"/>
      <c r="J171" s="7"/>
      <c r="K171" s="7"/>
      <c r="L171" s="7"/>
      <c r="M171" s="7"/>
      <c r="N171" s="7"/>
    </row>
    <row r="172" spans="6:14" s="13" customFormat="1" ht="14.25" customHeight="1" x14ac:dyDescent="0.7">
      <c r="F172" s="7"/>
      <c r="G172" s="7"/>
      <c r="H172" s="7"/>
      <c r="I172" s="7"/>
      <c r="J172" s="7"/>
      <c r="K172" s="7"/>
      <c r="L172" s="7"/>
      <c r="M172" s="7"/>
      <c r="N172" s="7"/>
    </row>
    <row r="173" spans="6:14" s="13" customFormat="1" ht="14.25" customHeight="1" x14ac:dyDescent="0.7">
      <c r="F173" s="7"/>
      <c r="G173" s="7"/>
      <c r="H173" s="7"/>
      <c r="I173" s="7"/>
      <c r="J173" s="7"/>
      <c r="K173" s="7"/>
      <c r="L173" s="7"/>
      <c r="M173" s="7"/>
      <c r="N173" s="7"/>
    </row>
    <row r="174" spans="6:14" s="13" customFormat="1" ht="14.25" customHeight="1" x14ac:dyDescent="0.7">
      <c r="F174" s="7"/>
      <c r="G174" s="7"/>
      <c r="H174" s="7"/>
      <c r="I174" s="7"/>
      <c r="J174" s="7"/>
      <c r="K174" s="7"/>
      <c r="L174" s="7"/>
      <c r="M174" s="7"/>
      <c r="N174" s="7"/>
    </row>
    <row r="175" spans="6:14" s="13" customFormat="1" ht="14.25" customHeight="1" x14ac:dyDescent="0.7">
      <c r="F175" s="7"/>
      <c r="G175" s="7"/>
      <c r="H175" s="7"/>
      <c r="I175" s="7"/>
      <c r="J175" s="7"/>
      <c r="K175" s="7"/>
      <c r="L175" s="7"/>
      <c r="M175" s="7"/>
      <c r="N175" s="7"/>
    </row>
    <row r="176" spans="6:14" s="13" customFormat="1" ht="14.25" customHeight="1" x14ac:dyDescent="0.7">
      <c r="F176" s="7"/>
      <c r="G176" s="7"/>
      <c r="H176" s="7"/>
      <c r="I176" s="7"/>
      <c r="J176" s="7"/>
      <c r="K176" s="7"/>
      <c r="L176" s="7"/>
      <c r="M176" s="7"/>
      <c r="N176" s="7"/>
    </row>
    <row r="177" spans="6:14" s="13" customFormat="1" ht="14.25" customHeight="1" x14ac:dyDescent="0.7">
      <c r="F177" s="7"/>
      <c r="G177" s="7"/>
      <c r="H177" s="7"/>
      <c r="I177" s="7"/>
      <c r="J177" s="7"/>
      <c r="K177" s="7"/>
      <c r="L177" s="7"/>
      <c r="M177" s="7"/>
      <c r="N177" s="7"/>
    </row>
    <row r="178" spans="6:14" s="13" customFormat="1" ht="14.25" customHeight="1" x14ac:dyDescent="0.7">
      <c r="F178" s="7"/>
      <c r="G178" s="7"/>
      <c r="H178" s="7"/>
      <c r="I178" s="7"/>
      <c r="J178" s="7"/>
      <c r="K178" s="7"/>
      <c r="L178" s="7"/>
      <c r="M178" s="7"/>
      <c r="N178" s="7"/>
    </row>
    <row r="179" spans="6:14" s="13" customFormat="1" ht="14.25" customHeight="1" x14ac:dyDescent="0.7">
      <c r="F179" s="7"/>
      <c r="G179" s="7"/>
      <c r="H179" s="7"/>
      <c r="I179" s="7"/>
      <c r="J179" s="7"/>
      <c r="K179" s="7"/>
      <c r="L179" s="7"/>
      <c r="M179" s="7"/>
      <c r="N179" s="7"/>
    </row>
    <row r="180" spans="6:14" s="13" customFormat="1" ht="14.25" customHeight="1" x14ac:dyDescent="0.7">
      <c r="F180" s="7"/>
      <c r="G180" s="7"/>
      <c r="H180" s="7"/>
      <c r="I180" s="7"/>
      <c r="J180" s="7"/>
      <c r="K180" s="7"/>
      <c r="L180" s="7"/>
      <c r="M180" s="7"/>
      <c r="N180" s="7"/>
    </row>
    <row r="181" spans="6:14" s="13" customFormat="1" ht="14.25" customHeight="1" x14ac:dyDescent="0.7">
      <c r="F181" s="7"/>
      <c r="G181" s="7"/>
      <c r="H181" s="7"/>
      <c r="I181" s="7"/>
      <c r="J181" s="7"/>
      <c r="K181" s="7"/>
      <c r="L181" s="7"/>
      <c r="M181" s="7"/>
      <c r="N181" s="7"/>
    </row>
    <row r="182" spans="6:14" s="13" customFormat="1" ht="14.25" customHeight="1" x14ac:dyDescent="0.7">
      <c r="F182" s="7"/>
      <c r="G182" s="7"/>
      <c r="H182" s="7"/>
      <c r="I182" s="7"/>
      <c r="J182" s="7"/>
      <c r="K182" s="7"/>
      <c r="L182" s="7"/>
      <c r="M182" s="7"/>
      <c r="N182" s="7"/>
    </row>
    <row r="183" spans="6:14" s="13" customFormat="1" ht="14.25" customHeight="1" x14ac:dyDescent="0.7">
      <c r="F183" s="7"/>
      <c r="G183" s="7"/>
      <c r="H183" s="7"/>
      <c r="I183" s="7"/>
      <c r="J183" s="7"/>
      <c r="K183" s="7"/>
      <c r="L183" s="7"/>
      <c r="M183" s="7"/>
      <c r="N183" s="7"/>
    </row>
    <row r="184" spans="6:14" s="13" customFormat="1" ht="14.25" customHeight="1" x14ac:dyDescent="0.7">
      <c r="F184" s="7"/>
      <c r="G184" s="7"/>
      <c r="H184" s="7"/>
      <c r="I184" s="7"/>
      <c r="J184" s="7"/>
      <c r="K184" s="7"/>
      <c r="L184" s="7"/>
      <c r="M184" s="7"/>
      <c r="N184" s="7"/>
    </row>
    <row r="185" spans="6:14" s="13" customFormat="1" ht="14.25" customHeight="1" x14ac:dyDescent="0.7">
      <c r="F185" s="7"/>
      <c r="G185" s="7"/>
      <c r="H185" s="7"/>
      <c r="I185" s="7"/>
      <c r="J185" s="7"/>
      <c r="K185" s="7"/>
      <c r="L185" s="7"/>
      <c r="M185" s="7"/>
      <c r="N185" s="7"/>
    </row>
    <row r="186" spans="6:14" s="13" customFormat="1" ht="14.25" customHeight="1" x14ac:dyDescent="0.7">
      <c r="F186" s="7"/>
      <c r="G186" s="7"/>
      <c r="H186" s="7"/>
      <c r="I186" s="7"/>
      <c r="J186" s="7"/>
      <c r="K186" s="7"/>
      <c r="L186" s="7"/>
      <c r="M186" s="7"/>
      <c r="N186" s="7"/>
    </row>
    <row r="187" spans="6:14" s="13" customFormat="1" ht="14.25" customHeight="1" x14ac:dyDescent="0.7">
      <c r="F187" s="7"/>
      <c r="G187" s="7"/>
      <c r="H187" s="7"/>
      <c r="I187" s="7"/>
      <c r="J187" s="7"/>
      <c r="K187" s="7"/>
      <c r="L187" s="7"/>
      <c r="M187" s="7"/>
      <c r="N187" s="7"/>
    </row>
    <row r="188" spans="6:14" s="13" customFormat="1" ht="14.25" customHeight="1" x14ac:dyDescent="0.7">
      <c r="F188" s="7"/>
      <c r="G188" s="7"/>
      <c r="H188" s="7"/>
      <c r="I188" s="7"/>
      <c r="J188" s="7"/>
      <c r="K188" s="7"/>
      <c r="L188" s="7"/>
      <c r="M188" s="7"/>
      <c r="N188" s="7"/>
    </row>
    <row r="189" spans="6:14" s="13" customFormat="1" ht="14.25" customHeight="1" x14ac:dyDescent="0.7">
      <c r="F189" s="7"/>
      <c r="G189" s="7"/>
      <c r="H189" s="7"/>
      <c r="I189" s="7"/>
      <c r="J189" s="7"/>
      <c r="K189" s="7"/>
      <c r="L189" s="7"/>
      <c r="M189" s="7"/>
      <c r="N189" s="7"/>
    </row>
    <row r="190" spans="6:14" s="13" customFormat="1" ht="14.25" customHeight="1" x14ac:dyDescent="0.7">
      <c r="F190" s="7"/>
      <c r="G190" s="7"/>
      <c r="H190" s="7"/>
      <c r="I190" s="7"/>
      <c r="J190" s="7"/>
      <c r="K190" s="7"/>
      <c r="L190" s="7"/>
      <c r="M190" s="7"/>
      <c r="N190" s="7"/>
    </row>
    <row r="191" spans="6:14" s="13" customFormat="1" ht="14.25" customHeight="1" x14ac:dyDescent="0.7">
      <c r="F191" s="7"/>
      <c r="G191" s="7"/>
      <c r="H191" s="7"/>
      <c r="I191" s="7"/>
      <c r="J191" s="7"/>
      <c r="K191" s="7"/>
      <c r="L191" s="7"/>
      <c r="M191" s="7"/>
      <c r="N191" s="7"/>
    </row>
    <row r="192" spans="6:14" s="13" customFormat="1" ht="14.25" customHeight="1" x14ac:dyDescent="0.7">
      <c r="F192" s="7"/>
      <c r="G192" s="7"/>
      <c r="H192" s="7"/>
      <c r="I192" s="7"/>
      <c r="J192" s="7"/>
      <c r="K192" s="7"/>
      <c r="L192" s="7"/>
      <c r="M192" s="7"/>
      <c r="N192" s="7"/>
    </row>
    <row r="193" spans="6:14" s="13" customFormat="1" ht="14.25" customHeight="1" x14ac:dyDescent="0.7">
      <c r="F193" s="7"/>
      <c r="G193" s="7"/>
      <c r="H193" s="7"/>
      <c r="I193" s="7"/>
      <c r="J193" s="7"/>
      <c r="K193" s="7"/>
      <c r="L193" s="7"/>
      <c r="M193" s="7"/>
      <c r="N193" s="7"/>
    </row>
    <row r="194" spans="6:14" s="13" customFormat="1" ht="14.25" customHeight="1" x14ac:dyDescent="0.7">
      <c r="F194" s="7"/>
      <c r="G194" s="7"/>
      <c r="H194" s="7"/>
      <c r="I194" s="7"/>
      <c r="J194" s="7"/>
      <c r="K194" s="7"/>
      <c r="L194" s="7"/>
      <c r="M194" s="7"/>
      <c r="N194" s="7"/>
    </row>
    <row r="195" spans="6:14" s="13" customFormat="1" ht="14.25" customHeight="1" x14ac:dyDescent="0.7">
      <c r="F195" s="7"/>
      <c r="G195" s="7"/>
      <c r="H195" s="7"/>
      <c r="I195" s="7"/>
      <c r="J195" s="7"/>
      <c r="K195" s="7"/>
      <c r="L195" s="7"/>
      <c r="M195" s="7"/>
      <c r="N195" s="7"/>
    </row>
    <row r="196" spans="6:14" s="13" customFormat="1" ht="14.25" customHeight="1" x14ac:dyDescent="0.7">
      <c r="F196" s="7"/>
      <c r="G196" s="7"/>
      <c r="H196" s="7"/>
      <c r="I196" s="7"/>
      <c r="J196" s="7"/>
      <c r="K196" s="7"/>
      <c r="L196" s="7"/>
      <c r="M196" s="7"/>
      <c r="N196" s="7"/>
    </row>
    <row r="197" spans="6:14" s="13" customFormat="1" ht="14.25" customHeight="1" x14ac:dyDescent="0.7">
      <c r="F197" s="7"/>
      <c r="G197" s="7"/>
      <c r="H197" s="7"/>
      <c r="I197" s="7"/>
      <c r="J197" s="7"/>
      <c r="K197" s="7"/>
      <c r="L197" s="7"/>
      <c r="M197" s="7"/>
      <c r="N197" s="7"/>
    </row>
    <row r="198" spans="6:14" s="13" customFormat="1" ht="14.25" customHeight="1" x14ac:dyDescent="0.7">
      <c r="F198" s="7"/>
      <c r="G198" s="7"/>
      <c r="H198" s="7"/>
      <c r="I198" s="7"/>
      <c r="J198" s="7"/>
      <c r="K198" s="7"/>
      <c r="L198" s="7"/>
      <c r="M198" s="7"/>
      <c r="N198" s="7"/>
    </row>
    <row r="199" spans="6:14" s="13" customFormat="1" ht="14.25" customHeight="1" x14ac:dyDescent="0.7">
      <c r="F199" s="7"/>
      <c r="G199" s="7"/>
      <c r="H199" s="7"/>
      <c r="I199" s="7"/>
      <c r="J199" s="7"/>
      <c r="K199" s="7"/>
      <c r="L199" s="7"/>
      <c r="M199" s="7"/>
      <c r="N199" s="7"/>
    </row>
    <row r="200" spans="6:14" s="13" customFormat="1" ht="14.25" customHeight="1" x14ac:dyDescent="0.7">
      <c r="F200" s="7"/>
      <c r="G200" s="7"/>
      <c r="H200" s="7"/>
      <c r="I200" s="7"/>
      <c r="J200" s="7"/>
      <c r="K200" s="7"/>
      <c r="L200" s="7"/>
      <c r="M200" s="7"/>
      <c r="N200" s="7"/>
    </row>
    <row r="201" spans="6:14" s="13" customFormat="1" ht="14.25" customHeight="1" x14ac:dyDescent="0.7">
      <c r="F201" s="7"/>
      <c r="G201" s="7"/>
      <c r="H201" s="7"/>
      <c r="I201" s="7"/>
      <c r="J201" s="7"/>
      <c r="K201" s="7"/>
      <c r="L201" s="7"/>
      <c r="M201" s="7"/>
      <c r="N201" s="7"/>
    </row>
    <row r="202" spans="6:14" s="13" customFormat="1" ht="14.25" customHeight="1" x14ac:dyDescent="0.7">
      <c r="F202" s="7"/>
      <c r="G202" s="7"/>
      <c r="H202" s="7"/>
      <c r="I202" s="7"/>
      <c r="J202" s="7"/>
      <c r="K202" s="7"/>
      <c r="L202" s="7"/>
      <c r="M202" s="7"/>
      <c r="N202" s="7"/>
    </row>
    <row r="203" spans="6:14" s="13" customFormat="1" ht="14.25" customHeight="1" x14ac:dyDescent="0.7">
      <c r="F203" s="7"/>
      <c r="G203" s="7"/>
      <c r="H203" s="7"/>
      <c r="I203" s="7"/>
      <c r="J203" s="7"/>
      <c r="K203" s="7"/>
      <c r="L203" s="7"/>
      <c r="M203" s="7"/>
      <c r="N203" s="7"/>
    </row>
    <row r="204" spans="6:14" s="13" customFormat="1" ht="14.25" customHeight="1" x14ac:dyDescent="0.7">
      <c r="F204" s="7"/>
      <c r="G204" s="7"/>
      <c r="H204" s="7"/>
      <c r="I204" s="7"/>
      <c r="J204" s="7"/>
      <c r="K204" s="7"/>
      <c r="L204" s="7"/>
      <c r="M204" s="7"/>
      <c r="N204" s="7"/>
    </row>
    <row r="205" spans="6:14" s="13" customFormat="1" ht="14.25" customHeight="1" x14ac:dyDescent="0.7">
      <c r="F205" s="7"/>
      <c r="G205" s="7"/>
      <c r="H205" s="7"/>
      <c r="I205" s="7"/>
      <c r="J205" s="7"/>
      <c r="K205" s="7"/>
      <c r="L205" s="7"/>
      <c r="M205" s="7"/>
      <c r="N205" s="7"/>
    </row>
    <row r="206" spans="6:14" s="13" customFormat="1" ht="14.25" customHeight="1" x14ac:dyDescent="0.7">
      <c r="F206" s="7"/>
      <c r="G206" s="7"/>
      <c r="H206" s="7"/>
      <c r="I206" s="7"/>
      <c r="J206" s="7"/>
      <c r="K206" s="7"/>
      <c r="L206" s="7"/>
      <c r="M206" s="7"/>
      <c r="N206" s="7"/>
    </row>
    <row r="207" spans="6:14" s="13" customFormat="1" ht="14.25" customHeight="1" x14ac:dyDescent="0.7">
      <c r="F207" s="7"/>
      <c r="G207" s="7"/>
      <c r="H207" s="7"/>
      <c r="I207" s="7"/>
      <c r="J207" s="7"/>
      <c r="K207" s="7"/>
      <c r="L207" s="7"/>
      <c r="M207" s="7"/>
      <c r="N207" s="7"/>
    </row>
    <row r="208" spans="6:14" s="13" customFormat="1" ht="14.25" customHeight="1" x14ac:dyDescent="0.7">
      <c r="F208" s="7"/>
      <c r="G208" s="7"/>
      <c r="H208" s="7"/>
      <c r="I208" s="7"/>
      <c r="J208" s="7"/>
      <c r="K208" s="7"/>
      <c r="L208" s="7"/>
      <c r="M208" s="7"/>
      <c r="N208" s="7"/>
    </row>
    <row r="209" spans="6:14" s="13" customFormat="1" ht="14.25" customHeight="1" x14ac:dyDescent="0.7">
      <c r="F209" s="7"/>
      <c r="G209" s="7"/>
      <c r="H209" s="7"/>
      <c r="I209" s="7"/>
      <c r="J209" s="7"/>
      <c r="K209" s="7"/>
      <c r="L209" s="7"/>
      <c r="M209" s="7"/>
      <c r="N209" s="7"/>
    </row>
    <row r="210" spans="6:14" s="13" customFormat="1" ht="14.25" customHeight="1" x14ac:dyDescent="0.7">
      <c r="F210" s="7"/>
      <c r="G210" s="7"/>
      <c r="H210" s="7"/>
      <c r="I210" s="7"/>
      <c r="J210" s="7"/>
      <c r="K210" s="7"/>
      <c r="L210" s="7"/>
      <c r="M210" s="7"/>
      <c r="N210" s="7"/>
    </row>
    <row r="211" spans="6:14" s="13" customFormat="1" ht="14.25" customHeight="1" x14ac:dyDescent="0.7">
      <c r="F211" s="7"/>
      <c r="G211" s="7"/>
      <c r="H211" s="7"/>
      <c r="I211" s="7"/>
      <c r="J211" s="7"/>
      <c r="K211" s="7"/>
      <c r="L211" s="7"/>
      <c r="M211" s="7"/>
      <c r="N211" s="7"/>
    </row>
    <row r="212" spans="6:14" s="13" customFormat="1" ht="14.25" customHeight="1" x14ac:dyDescent="0.7">
      <c r="F212" s="7"/>
      <c r="G212" s="7"/>
      <c r="H212" s="7"/>
      <c r="I212" s="7"/>
      <c r="J212" s="7"/>
      <c r="K212" s="7"/>
      <c r="L212" s="7"/>
      <c r="M212" s="7"/>
      <c r="N212" s="7"/>
    </row>
    <row r="213" spans="6:14" s="13" customFormat="1" ht="14.25" customHeight="1" x14ac:dyDescent="0.7">
      <c r="F213" s="7"/>
      <c r="G213" s="7"/>
      <c r="H213" s="7"/>
      <c r="I213" s="7"/>
      <c r="J213" s="7"/>
      <c r="K213" s="7"/>
      <c r="L213" s="7"/>
      <c r="M213" s="7"/>
      <c r="N213" s="7"/>
    </row>
    <row r="214" spans="6:14" s="13" customFormat="1" ht="14.25" customHeight="1" x14ac:dyDescent="0.7">
      <c r="F214" s="7"/>
      <c r="G214" s="7"/>
      <c r="H214" s="7"/>
      <c r="I214" s="7"/>
      <c r="J214" s="7"/>
      <c r="K214" s="7"/>
      <c r="L214" s="7"/>
      <c r="M214" s="7"/>
      <c r="N214" s="7"/>
    </row>
    <row r="215" spans="6:14" s="13" customFormat="1" ht="14.25" customHeight="1" x14ac:dyDescent="0.7">
      <c r="F215" s="7"/>
      <c r="G215" s="7"/>
      <c r="H215" s="7"/>
      <c r="I215" s="7"/>
      <c r="J215" s="7"/>
      <c r="K215" s="7"/>
      <c r="L215" s="7"/>
      <c r="M215" s="7"/>
      <c r="N215" s="7"/>
    </row>
    <row r="216" spans="6:14" s="13" customFormat="1" ht="14.25" customHeight="1" x14ac:dyDescent="0.7">
      <c r="F216" s="7"/>
      <c r="G216" s="7"/>
      <c r="H216" s="7"/>
      <c r="I216" s="7"/>
      <c r="J216" s="7"/>
      <c r="K216" s="7"/>
      <c r="L216" s="7"/>
      <c r="M216" s="7"/>
      <c r="N216" s="7"/>
    </row>
    <row r="217" spans="6:14" s="13" customFormat="1" ht="14.25" customHeight="1" x14ac:dyDescent="0.7">
      <c r="F217" s="7"/>
      <c r="G217" s="7"/>
      <c r="H217" s="7"/>
      <c r="I217" s="7"/>
      <c r="J217" s="7"/>
      <c r="K217" s="7"/>
      <c r="L217" s="7"/>
      <c r="M217" s="7"/>
      <c r="N217" s="7"/>
    </row>
    <row r="218" spans="6:14" s="13" customFormat="1" ht="14.25" customHeight="1" x14ac:dyDescent="0.7">
      <c r="F218" s="7"/>
      <c r="G218" s="7"/>
      <c r="H218" s="7"/>
      <c r="I218" s="7"/>
      <c r="J218" s="7"/>
      <c r="K218" s="7"/>
      <c r="L218" s="7"/>
      <c r="M218" s="7"/>
      <c r="N218" s="7"/>
    </row>
    <row r="219" spans="6:14" s="13" customFormat="1" ht="14.25" customHeight="1" x14ac:dyDescent="0.7">
      <c r="F219" s="7"/>
      <c r="G219" s="7"/>
      <c r="H219" s="7"/>
      <c r="I219" s="7"/>
      <c r="J219" s="7"/>
      <c r="K219" s="7"/>
      <c r="L219" s="7"/>
      <c r="M219" s="7"/>
      <c r="N219" s="7"/>
    </row>
    <row r="220" spans="6:14" s="13" customFormat="1" ht="14.25" customHeight="1" x14ac:dyDescent="0.7">
      <c r="F220" s="7"/>
      <c r="G220" s="7"/>
      <c r="H220" s="7"/>
      <c r="I220" s="7"/>
      <c r="J220" s="7"/>
      <c r="K220" s="7"/>
      <c r="L220" s="7"/>
      <c r="M220" s="7"/>
      <c r="N220" s="7"/>
    </row>
    <row r="221" spans="6:14" s="13" customFormat="1" ht="14.25" customHeight="1" x14ac:dyDescent="0.7">
      <c r="F221" s="7"/>
      <c r="G221" s="7"/>
      <c r="H221" s="7"/>
      <c r="I221" s="7"/>
      <c r="J221" s="7"/>
      <c r="K221" s="7"/>
      <c r="L221" s="7"/>
      <c r="M221" s="7"/>
      <c r="N221" s="7"/>
    </row>
    <row r="222" spans="6:14" s="13" customFormat="1" ht="14.25" customHeight="1" x14ac:dyDescent="0.7">
      <c r="F222" s="7"/>
      <c r="G222" s="7"/>
      <c r="H222" s="7"/>
      <c r="I222" s="7"/>
      <c r="J222" s="7"/>
      <c r="K222" s="7"/>
      <c r="L222" s="7"/>
      <c r="M222" s="7"/>
      <c r="N222" s="7"/>
    </row>
    <row r="223" spans="6:14" s="13" customFormat="1" ht="14.25" customHeight="1" x14ac:dyDescent="0.7">
      <c r="F223" s="7"/>
      <c r="G223" s="7"/>
      <c r="H223" s="7"/>
      <c r="I223" s="7"/>
      <c r="J223" s="7"/>
      <c r="K223" s="7"/>
      <c r="L223" s="7"/>
      <c r="M223" s="7"/>
      <c r="N223" s="7"/>
    </row>
    <row r="224" spans="6:14" s="13" customFormat="1" ht="14.25" customHeight="1" x14ac:dyDescent="0.7">
      <c r="F224" s="7"/>
      <c r="G224" s="7"/>
      <c r="H224" s="7"/>
      <c r="I224" s="7"/>
      <c r="J224" s="7"/>
      <c r="K224" s="7"/>
      <c r="L224" s="7"/>
      <c r="M224" s="7"/>
      <c r="N224" s="7"/>
    </row>
    <row r="225" spans="6:14" s="13" customFormat="1" ht="14.25" customHeight="1" x14ac:dyDescent="0.7">
      <c r="F225" s="7"/>
      <c r="G225" s="7"/>
      <c r="H225" s="7"/>
      <c r="I225" s="7"/>
      <c r="J225" s="7"/>
      <c r="K225" s="7"/>
      <c r="L225" s="7"/>
      <c r="M225" s="7"/>
      <c r="N225" s="7"/>
    </row>
    <row r="226" spans="6:14" s="13" customFormat="1" ht="14.25" customHeight="1" x14ac:dyDescent="0.7">
      <c r="F226" s="7"/>
      <c r="G226" s="7"/>
      <c r="H226" s="7"/>
      <c r="I226" s="7"/>
      <c r="J226" s="7"/>
      <c r="K226" s="7"/>
      <c r="L226" s="7"/>
      <c r="M226" s="7"/>
      <c r="N226" s="7"/>
    </row>
    <row r="227" spans="6:14" s="13" customFormat="1" ht="14.25" customHeight="1" x14ac:dyDescent="0.7">
      <c r="F227" s="7"/>
      <c r="G227" s="7"/>
      <c r="H227" s="7"/>
      <c r="I227" s="7"/>
      <c r="J227" s="7"/>
      <c r="K227" s="7"/>
      <c r="L227" s="7"/>
      <c r="M227" s="7"/>
      <c r="N227" s="7"/>
    </row>
    <row r="228" spans="6:14" s="13" customFormat="1" ht="14.25" customHeight="1" x14ac:dyDescent="0.7">
      <c r="F228" s="7"/>
      <c r="G228" s="7"/>
      <c r="H228" s="7"/>
      <c r="I228" s="7"/>
      <c r="J228" s="7"/>
      <c r="K228" s="7"/>
      <c r="L228" s="7"/>
      <c r="M228" s="7"/>
      <c r="N228" s="7"/>
    </row>
    <row r="229" spans="6:14" s="13" customFormat="1" ht="14.25" customHeight="1" x14ac:dyDescent="0.7">
      <c r="F229" s="7"/>
      <c r="G229" s="7"/>
      <c r="H229" s="7"/>
      <c r="I229" s="7"/>
      <c r="J229" s="7"/>
      <c r="K229" s="7"/>
      <c r="L229" s="7"/>
      <c r="M229" s="7"/>
      <c r="N229" s="7"/>
    </row>
    <row r="230" spans="6:14" s="13" customFormat="1" ht="14.25" customHeight="1" x14ac:dyDescent="0.7">
      <c r="F230" s="7"/>
      <c r="G230" s="7"/>
      <c r="H230" s="7"/>
      <c r="I230" s="7"/>
      <c r="J230" s="7"/>
      <c r="K230" s="7"/>
      <c r="L230" s="7"/>
      <c r="M230" s="7"/>
      <c r="N230" s="7"/>
    </row>
    <row r="231" spans="6:14" s="13" customFormat="1" ht="14.25" customHeight="1" x14ac:dyDescent="0.7">
      <c r="F231" s="7"/>
      <c r="G231" s="7"/>
      <c r="H231" s="7"/>
      <c r="I231" s="7"/>
      <c r="J231" s="7"/>
      <c r="K231" s="7"/>
      <c r="L231" s="7"/>
      <c r="M231" s="7"/>
      <c r="N231" s="7"/>
    </row>
    <row r="232" spans="6:14" s="13" customFormat="1" ht="14.25" customHeight="1" x14ac:dyDescent="0.7">
      <c r="F232" s="7"/>
      <c r="G232" s="7"/>
      <c r="H232" s="7"/>
      <c r="I232" s="7"/>
      <c r="J232" s="7"/>
      <c r="K232" s="7"/>
      <c r="L232" s="7"/>
      <c r="M232" s="7"/>
      <c r="N232" s="7"/>
    </row>
    <row r="233" spans="6:14" s="13" customFormat="1" ht="14.25" customHeight="1" x14ac:dyDescent="0.7">
      <c r="F233" s="7"/>
      <c r="G233" s="7"/>
      <c r="H233" s="7"/>
      <c r="I233" s="7"/>
      <c r="J233" s="7"/>
      <c r="K233" s="7"/>
      <c r="L233" s="7"/>
      <c r="M233" s="7"/>
      <c r="N233" s="7"/>
    </row>
    <row r="234" spans="6:14" s="13" customFormat="1" ht="14.25" customHeight="1" x14ac:dyDescent="0.7">
      <c r="F234" s="7"/>
      <c r="G234" s="7"/>
      <c r="H234" s="7"/>
      <c r="I234" s="7"/>
      <c r="J234" s="7"/>
      <c r="K234" s="7"/>
      <c r="L234" s="7"/>
      <c r="M234" s="7"/>
      <c r="N234" s="7"/>
    </row>
    <row r="235" spans="6:14" s="13" customFormat="1" ht="14.25" customHeight="1" x14ac:dyDescent="0.7">
      <c r="F235" s="7"/>
      <c r="G235" s="7"/>
      <c r="H235" s="7"/>
      <c r="I235" s="7"/>
      <c r="J235" s="7"/>
      <c r="K235" s="7"/>
      <c r="L235" s="7"/>
      <c r="M235" s="7"/>
      <c r="N235" s="7"/>
    </row>
    <row r="236" spans="6:14" s="13" customFormat="1" ht="14.25" customHeight="1" x14ac:dyDescent="0.7">
      <c r="F236" s="7"/>
      <c r="G236" s="7"/>
      <c r="H236" s="7"/>
      <c r="I236" s="7"/>
      <c r="J236" s="7"/>
      <c r="K236" s="7"/>
      <c r="L236" s="7"/>
      <c r="M236" s="7"/>
      <c r="N236" s="7"/>
    </row>
    <row r="237" spans="6:14" s="13" customFormat="1" ht="14.25" customHeight="1" x14ac:dyDescent="0.7">
      <c r="F237" s="7"/>
      <c r="G237" s="7"/>
      <c r="H237" s="7"/>
      <c r="I237" s="7"/>
      <c r="J237" s="7"/>
      <c r="K237" s="7"/>
      <c r="L237" s="7"/>
      <c r="M237" s="7"/>
      <c r="N237" s="7"/>
    </row>
    <row r="238" spans="6:14" s="13" customFormat="1" ht="14.25" customHeight="1" x14ac:dyDescent="0.7">
      <c r="F238" s="7"/>
      <c r="G238" s="7"/>
      <c r="H238" s="7"/>
      <c r="I238" s="7"/>
      <c r="J238" s="7"/>
      <c r="K238" s="7"/>
      <c r="L238" s="7"/>
      <c r="M238" s="7"/>
      <c r="N238" s="7"/>
    </row>
    <row r="239" spans="6:14" s="13" customFormat="1" ht="14.25" customHeight="1" x14ac:dyDescent="0.7">
      <c r="F239" s="7"/>
      <c r="G239" s="7"/>
      <c r="H239" s="7"/>
      <c r="I239" s="7"/>
      <c r="J239" s="7"/>
      <c r="K239" s="7"/>
      <c r="L239" s="7"/>
      <c r="M239" s="7"/>
      <c r="N239" s="7"/>
    </row>
    <row r="240" spans="6:14" s="13" customFormat="1" ht="14.25" customHeight="1" x14ac:dyDescent="0.7">
      <c r="F240" s="7"/>
      <c r="G240" s="7"/>
      <c r="H240" s="7"/>
      <c r="I240" s="7"/>
      <c r="J240" s="7"/>
      <c r="K240" s="7"/>
      <c r="L240" s="7"/>
      <c r="M240" s="7"/>
      <c r="N240" s="7"/>
    </row>
    <row r="241" spans="6:14" s="13" customFormat="1" ht="14.25" customHeight="1" x14ac:dyDescent="0.7">
      <c r="F241" s="7"/>
      <c r="G241" s="7"/>
      <c r="H241" s="7"/>
      <c r="I241" s="7"/>
      <c r="J241" s="7"/>
      <c r="K241" s="7"/>
      <c r="L241" s="7"/>
      <c r="M241" s="7"/>
      <c r="N241" s="7"/>
    </row>
    <row r="242" spans="6:14" s="13" customFormat="1" ht="14.25" customHeight="1" x14ac:dyDescent="0.7">
      <c r="F242" s="7"/>
      <c r="G242" s="7"/>
      <c r="H242" s="7"/>
      <c r="I242" s="7"/>
      <c r="J242" s="7"/>
      <c r="K242" s="7"/>
      <c r="L242" s="7"/>
      <c r="M242" s="7"/>
      <c r="N242" s="7"/>
    </row>
    <row r="243" spans="6:14" s="13" customFormat="1" ht="14.25" customHeight="1" x14ac:dyDescent="0.7">
      <c r="F243" s="7"/>
      <c r="G243" s="7"/>
      <c r="H243" s="7"/>
      <c r="I243" s="7"/>
      <c r="J243" s="7"/>
      <c r="K243" s="7"/>
      <c r="L243" s="7"/>
      <c r="M243" s="7"/>
      <c r="N243" s="7"/>
    </row>
    <row r="244" spans="6:14" s="13" customFormat="1" ht="14.25" customHeight="1" x14ac:dyDescent="0.7">
      <c r="F244" s="7"/>
      <c r="G244" s="7"/>
      <c r="H244" s="7"/>
      <c r="I244" s="7"/>
      <c r="J244" s="7"/>
      <c r="K244" s="7"/>
      <c r="L244" s="7"/>
      <c r="M244" s="7"/>
      <c r="N244" s="7"/>
    </row>
    <row r="245" spans="6:14" s="13" customFormat="1" ht="14.25" customHeight="1" x14ac:dyDescent="0.7">
      <c r="F245" s="7"/>
      <c r="G245" s="7"/>
      <c r="H245" s="7"/>
      <c r="I245" s="7"/>
      <c r="J245" s="7"/>
      <c r="K245" s="7"/>
      <c r="L245" s="7"/>
      <c r="M245" s="7"/>
      <c r="N245" s="7"/>
    </row>
    <row r="246" spans="6:14" s="13" customFormat="1" ht="14.25" customHeight="1" x14ac:dyDescent="0.7">
      <c r="F246" s="7"/>
      <c r="G246" s="7"/>
      <c r="H246" s="7"/>
      <c r="I246" s="7"/>
      <c r="J246" s="7"/>
      <c r="K246" s="7"/>
      <c r="L246" s="7"/>
      <c r="M246" s="7"/>
      <c r="N246" s="7"/>
    </row>
    <row r="247" spans="6:14" s="13" customFormat="1" ht="14.25" customHeight="1" x14ac:dyDescent="0.7">
      <c r="F247" s="7"/>
      <c r="G247" s="7"/>
      <c r="H247" s="7"/>
      <c r="I247" s="7"/>
      <c r="J247" s="7"/>
      <c r="K247" s="7"/>
      <c r="L247" s="7"/>
      <c r="M247" s="7"/>
      <c r="N247" s="7"/>
    </row>
    <row r="248" spans="6:14" s="13" customFormat="1" ht="14.25" customHeight="1" x14ac:dyDescent="0.7">
      <c r="F248" s="7"/>
      <c r="G248" s="7"/>
      <c r="H248" s="7"/>
      <c r="I248" s="7"/>
      <c r="J248" s="7"/>
      <c r="K248" s="7"/>
      <c r="L248" s="7"/>
      <c r="M248" s="7"/>
      <c r="N248" s="7"/>
    </row>
    <row r="249" spans="6:14" s="13" customFormat="1" ht="14.25" customHeight="1" x14ac:dyDescent="0.7">
      <c r="F249" s="7"/>
      <c r="G249" s="7"/>
      <c r="H249" s="7"/>
      <c r="I249" s="7"/>
      <c r="J249" s="7"/>
      <c r="K249" s="7"/>
      <c r="L249" s="7"/>
      <c r="M249" s="7"/>
      <c r="N249" s="7"/>
    </row>
    <row r="250" spans="6:14" s="13" customFormat="1" ht="14.25" customHeight="1" x14ac:dyDescent="0.7">
      <c r="F250" s="7"/>
      <c r="G250" s="7"/>
      <c r="H250" s="7"/>
      <c r="I250" s="7"/>
      <c r="J250" s="7"/>
      <c r="K250" s="7"/>
      <c r="L250" s="7"/>
      <c r="M250" s="7"/>
      <c r="N250" s="7"/>
    </row>
    <row r="251" spans="6:14" s="13" customFormat="1" ht="14.25" customHeight="1" x14ac:dyDescent="0.7">
      <c r="F251" s="7"/>
      <c r="G251" s="7"/>
      <c r="H251" s="7"/>
      <c r="I251" s="7"/>
      <c r="J251" s="7"/>
      <c r="K251" s="7"/>
      <c r="L251" s="7"/>
      <c r="M251" s="7"/>
      <c r="N251" s="7"/>
    </row>
    <row r="252" spans="6:14" s="13" customFormat="1" ht="14.25" customHeight="1" x14ac:dyDescent="0.7">
      <c r="F252" s="7"/>
      <c r="G252" s="7"/>
      <c r="H252" s="7"/>
      <c r="I252" s="7"/>
      <c r="J252" s="7"/>
      <c r="K252" s="7"/>
      <c r="L252" s="7"/>
      <c r="M252" s="7"/>
      <c r="N252" s="7"/>
    </row>
    <row r="253" spans="6:14" s="13" customFormat="1" ht="14.25" customHeight="1" x14ac:dyDescent="0.7">
      <c r="F253" s="7"/>
      <c r="G253" s="7"/>
      <c r="H253" s="7"/>
      <c r="I253" s="7"/>
      <c r="J253" s="7"/>
      <c r="K253" s="7"/>
      <c r="L253" s="7"/>
      <c r="M253" s="7"/>
      <c r="N253" s="7"/>
    </row>
    <row r="254" spans="6:14" s="13" customFormat="1" ht="14.25" customHeight="1" x14ac:dyDescent="0.7">
      <c r="F254" s="7"/>
      <c r="G254" s="7"/>
      <c r="H254" s="7"/>
      <c r="I254" s="7"/>
      <c r="J254" s="7"/>
      <c r="K254" s="7"/>
      <c r="L254" s="7"/>
      <c r="M254" s="7"/>
      <c r="N254" s="7"/>
    </row>
    <row r="255" spans="6:14" s="13" customFormat="1" ht="14.25" customHeight="1" x14ac:dyDescent="0.7">
      <c r="F255" s="7"/>
      <c r="G255" s="7"/>
      <c r="H255" s="7"/>
      <c r="I255" s="7"/>
      <c r="J255" s="7"/>
      <c r="K255" s="7"/>
      <c r="L255" s="7"/>
      <c r="M255" s="7"/>
      <c r="N255" s="7"/>
    </row>
    <row r="256" spans="6:14" s="13" customFormat="1" ht="14.25" customHeight="1" x14ac:dyDescent="0.7">
      <c r="F256" s="7"/>
      <c r="G256" s="7"/>
      <c r="H256" s="7"/>
      <c r="I256" s="7"/>
      <c r="J256" s="7"/>
      <c r="K256" s="7"/>
      <c r="L256" s="7"/>
      <c r="M256" s="7"/>
      <c r="N256" s="7"/>
    </row>
    <row r="257" spans="6:14" s="13" customFormat="1" ht="14.25" customHeight="1" x14ac:dyDescent="0.7">
      <c r="F257" s="7"/>
      <c r="G257" s="7"/>
      <c r="H257" s="7"/>
      <c r="I257" s="7"/>
      <c r="J257" s="7"/>
      <c r="K257" s="7"/>
      <c r="L257" s="7"/>
      <c r="M257" s="7"/>
      <c r="N257" s="7"/>
    </row>
    <row r="258" spans="6:14" s="13" customFormat="1" ht="14.25" customHeight="1" x14ac:dyDescent="0.7">
      <c r="F258" s="7"/>
      <c r="G258" s="7"/>
      <c r="H258" s="7"/>
      <c r="I258" s="7"/>
      <c r="J258" s="7"/>
      <c r="K258" s="7"/>
      <c r="L258" s="7"/>
      <c r="M258" s="7"/>
      <c r="N258" s="7"/>
    </row>
    <row r="259" spans="6:14" s="13" customFormat="1" ht="14.25" customHeight="1" x14ac:dyDescent="0.7">
      <c r="F259" s="7"/>
      <c r="G259" s="7"/>
      <c r="H259" s="7"/>
      <c r="I259" s="7"/>
      <c r="J259" s="7"/>
      <c r="K259" s="7"/>
      <c r="L259" s="7"/>
      <c r="M259" s="7"/>
      <c r="N259" s="7"/>
    </row>
    <row r="260" spans="6:14" s="13" customFormat="1" ht="14.25" customHeight="1" x14ac:dyDescent="0.7">
      <c r="F260" s="7"/>
      <c r="G260" s="7"/>
      <c r="H260" s="7"/>
      <c r="I260" s="7"/>
      <c r="J260" s="7"/>
      <c r="K260" s="7"/>
      <c r="L260" s="7"/>
      <c r="M260" s="7"/>
      <c r="N260" s="7"/>
    </row>
    <row r="261" spans="6:14" s="13" customFormat="1" ht="14.25" customHeight="1" x14ac:dyDescent="0.7">
      <c r="F261" s="7"/>
      <c r="G261" s="7"/>
      <c r="H261" s="7"/>
      <c r="I261" s="7"/>
      <c r="J261" s="7"/>
      <c r="K261" s="7"/>
      <c r="L261" s="7"/>
      <c r="M261" s="7"/>
      <c r="N261" s="7"/>
    </row>
    <row r="262" spans="6:14" s="13" customFormat="1" ht="14.25" customHeight="1" x14ac:dyDescent="0.7">
      <c r="F262" s="7"/>
      <c r="G262" s="7"/>
      <c r="H262" s="7"/>
      <c r="I262" s="7"/>
      <c r="J262" s="7"/>
      <c r="K262" s="7"/>
      <c r="L262" s="7"/>
      <c r="M262" s="7"/>
      <c r="N262" s="7"/>
    </row>
    <row r="263" spans="6:14" s="13" customFormat="1" ht="14.25" customHeight="1" x14ac:dyDescent="0.7">
      <c r="F263" s="7"/>
      <c r="G263" s="7"/>
      <c r="H263" s="7"/>
      <c r="I263" s="7"/>
      <c r="J263" s="7"/>
      <c r="K263" s="7"/>
      <c r="L263" s="7"/>
      <c r="M263" s="7"/>
      <c r="N263" s="7"/>
    </row>
    <row r="264" spans="6:14" s="13" customFormat="1" ht="14.25" customHeight="1" x14ac:dyDescent="0.7">
      <c r="F264" s="7"/>
      <c r="G264" s="7"/>
      <c r="H264" s="7"/>
      <c r="I264" s="7"/>
      <c r="J264" s="7"/>
      <c r="K264" s="7"/>
      <c r="L264" s="7"/>
      <c r="M264" s="7"/>
      <c r="N264" s="7"/>
    </row>
    <row r="265" spans="6:14" s="13" customFormat="1" ht="14.25" customHeight="1" x14ac:dyDescent="0.7">
      <c r="F265" s="7"/>
      <c r="G265" s="7"/>
      <c r="H265" s="7"/>
      <c r="I265" s="7"/>
      <c r="J265" s="7"/>
      <c r="K265" s="7"/>
      <c r="L265" s="7"/>
      <c r="M265" s="7"/>
      <c r="N265" s="7"/>
    </row>
    <row r="266" spans="6:14" s="13" customFormat="1" ht="14.25" customHeight="1" x14ac:dyDescent="0.7">
      <c r="F266" s="7"/>
      <c r="G266" s="7"/>
      <c r="H266" s="7"/>
      <c r="I266" s="7"/>
      <c r="J266" s="7"/>
      <c r="K266" s="7"/>
      <c r="L266" s="7"/>
      <c r="M266" s="7"/>
      <c r="N266" s="7"/>
    </row>
    <row r="267" spans="6:14" s="13" customFormat="1" ht="14.25" customHeight="1" x14ac:dyDescent="0.7">
      <c r="F267" s="7"/>
      <c r="G267" s="7"/>
      <c r="H267" s="7"/>
      <c r="I267" s="7"/>
      <c r="J267" s="7"/>
      <c r="K267" s="7"/>
      <c r="L267" s="7"/>
      <c r="M267" s="7"/>
      <c r="N267" s="7"/>
    </row>
    <row r="268" spans="6:14" s="13" customFormat="1" ht="14.25" customHeight="1" x14ac:dyDescent="0.7">
      <c r="F268" s="7"/>
      <c r="G268" s="7"/>
      <c r="H268" s="7"/>
      <c r="I268" s="7"/>
      <c r="J268" s="7"/>
      <c r="K268" s="7"/>
      <c r="L268" s="7"/>
      <c r="M268" s="7"/>
      <c r="N268" s="7"/>
    </row>
    <row r="269" spans="6:14" s="13" customFormat="1" ht="14.25" customHeight="1" x14ac:dyDescent="0.7">
      <c r="F269" s="7"/>
      <c r="G269" s="7"/>
      <c r="H269" s="7"/>
      <c r="I269" s="7"/>
      <c r="J269" s="7"/>
      <c r="K269" s="7"/>
      <c r="L269" s="7"/>
      <c r="M269" s="7"/>
      <c r="N269" s="7"/>
    </row>
    <row r="270" spans="6:14" s="13" customFormat="1" ht="14.25" customHeight="1" x14ac:dyDescent="0.7">
      <c r="F270" s="7"/>
      <c r="G270" s="7"/>
      <c r="H270" s="7"/>
      <c r="I270" s="7"/>
      <c r="J270" s="7"/>
      <c r="K270" s="7"/>
      <c r="L270" s="7"/>
      <c r="M270" s="7"/>
      <c r="N270" s="7"/>
    </row>
    <row r="271" spans="6:14" s="13" customFormat="1" ht="14.25" customHeight="1" x14ac:dyDescent="0.7">
      <c r="F271" s="7"/>
      <c r="G271" s="7"/>
      <c r="H271" s="7"/>
      <c r="I271" s="7"/>
      <c r="J271" s="7"/>
      <c r="K271" s="7"/>
      <c r="L271" s="7"/>
      <c r="M271" s="7"/>
      <c r="N271" s="7"/>
    </row>
    <row r="272" spans="6:14" s="13" customFormat="1" ht="14.25" customHeight="1" x14ac:dyDescent="0.7">
      <c r="F272" s="7"/>
      <c r="G272" s="7"/>
      <c r="H272" s="7"/>
      <c r="I272" s="7"/>
      <c r="J272" s="7"/>
      <c r="K272" s="7"/>
      <c r="L272" s="7"/>
      <c r="M272" s="7"/>
      <c r="N272" s="7"/>
    </row>
    <row r="273" spans="6:14" s="13" customFormat="1" ht="14.25" customHeight="1" x14ac:dyDescent="0.7">
      <c r="F273" s="7"/>
      <c r="G273" s="7"/>
      <c r="H273" s="7"/>
      <c r="I273" s="7"/>
      <c r="J273" s="7"/>
      <c r="K273" s="7"/>
      <c r="L273" s="7"/>
      <c r="M273" s="7"/>
      <c r="N273" s="7"/>
    </row>
    <row r="274" spans="6:14" s="13" customFormat="1" ht="14.25" customHeight="1" x14ac:dyDescent="0.7">
      <c r="F274" s="7"/>
      <c r="G274" s="7"/>
      <c r="H274" s="7"/>
      <c r="I274" s="7"/>
      <c r="J274" s="7"/>
      <c r="K274" s="7"/>
      <c r="L274" s="7"/>
      <c r="M274" s="7"/>
      <c r="N274" s="7"/>
    </row>
    <row r="275" spans="6:14" s="13" customFormat="1" ht="14.25" customHeight="1" x14ac:dyDescent="0.7">
      <c r="F275" s="7"/>
      <c r="G275" s="7"/>
      <c r="H275" s="7"/>
      <c r="I275" s="7"/>
      <c r="J275" s="7"/>
      <c r="K275" s="7"/>
      <c r="L275" s="7"/>
      <c r="M275" s="7"/>
      <c r="N275" s="7"/>
    </row>
    <row r="276" spans="6:14" s="13" customFormat="1" ht="14.25" customHeight="1" x14ac:dyDescent="0.7">
      <c r="F276" s="7"/>
      <c r="G276" s="7"/>
      <c r="H276" s="7"/>
      <c r="I276" s="7"/>
      <c r="J276" s="7"/>
      <c r="K276" s="7"/>
      <c r="L276" s="7"/>
      <c r="M276" s="7"/>
      <c r="N276" s="7"/>
    </row>
    <row r="277" spans="6:14" s="13" customFormat="1" ht="14.25" customHeight="1" x14ac:dyDescent="0.7">
      <c r="F277" s="7"/>
      <c r="G277" s="7"/>
      <c r="H277" s="7"/>
      <c r="I277" s="7"/>
      <c r="J277" s="7"/>
      <c r="K277" s="7"/>
      <c r="L277" s="7"/>
      <c r="M277" s="7"/>
      <c r="N277" s="7"/>
    </row>
    <row r="278" spans="6:14" s="13" customFormat="1" ht="14.25" customHeight="1" x14ac:dyDescent="0.7">
      <c r="F278" s="7"/>
      <c r="G278" s="7"/>
      <c r="H278" s="7"/>
      <c r="I278" s="7"/>
      <c r="J278" s="7"/>
      <c r="K278" s="7"/>
      <c r="L278" s="7"/>
      <c r="M278" s="7"/>
      <c r="N278" s="7"/>
    </row>
    <row r="279" spans="6:14" s="13" customFormat="1" ht="14.25" customHeight="1" x14ac:dyDescent="0.7">
      <c r="F279" s="7"/>
      <c r="G279" s="7"/>
      <c r="H279" s="7"/>
      <c r="I279" s="7"/>
      <c r="J279" s="7"/>
      <c r="K279" s="7"/>
      <c r="L279" s="7"/>
      <c r="M279" s="7"/>
      <c r="N279" s="7"/>
    </row>
    <row r="280" spans="6:14" s="13" customFormat="1" ht="14.25" customHeight="1" x14ac:dyDescent="0.7">
      <c r="F280" s="7"/>
      <c r="G280" s="7"/>
      <c r="H280" s="7"/>
      <c r="I280" s="7"/>
      <c r="J280" s="7"/>
      <c r="K280" s="7"/>
      <c r="L280" s="7"/>
      <c r="M280" s="7"/>
      <c r="N280" s="7"/>
    </row>
    <row r="281" spans="6:14" s="13" customFormat="1" ht="14.25" customHeight="1" x14ac:dyDescent="0.7">
      <c r="F281" s="7"/>
      <c r="G281" s="7"/>
      <c r="H281" s="7"/>
      <c r="I281" s="7"/>
      <c r="J281" s="7"/>
      <c r="K281" s="7"/>
      <c r="L281" s="7"/>
      <c r="M281" s="7"/>
      <c r="N281" s="7"/>
    </row>
    <row r="282" spans="6:14" s="13" customFormat="1" ht="14.25" customHeight="1" x14ac:dyDescent="0.7">
      <c r="F282" s="7"/>
      <c r="G282" s="7"/>
      <c r="H282" s="7"/>
      <c r="I282" s="7"/>
      <c r="J282" s="7"/>
      <c r="K282" s="7"/>
      <c r="L282" s="7"/>
      <c r="M282" s="7"/>
      <c r="N282" s="7"/>
    </row>
    <row r="283" spans="6:14" s="13" customFormat="1" ht="14.25" customHeight="1" x14ac:dyDescent="0.7">
      <c r="F283" s="7"/>
      <c r="G283" s="7"/>
      <c r="H283" s="7"/>
      <c r="I283" s="7"/>
      <c r="J283" s="7"/>
      <c r="K283" s="7"/>
      <c r="L283" s="7"/>
      <c r="M283" s="7"/>
      <c r="N283" s="7"/>
    </row>
    <row r="284" spans="6:14" s="13" customFormat="1" ht="14.25" customHeight="1" x14ac:dyDescent="0.7">
      <c r="F284" s="7"/>
      <c r="G284" s="7"/>
      <c r="H284" s="7"/>
      <c r="I284" s="7"/>
      <c r="J284" s="7"/>
      <c r="K284" s="7"/>
      <c r="L284" s="7"/>
      <c r="M284" s="7"/>
      <c r="N284" s="7"/>
    </row>
    <row r="285" spans="6:14" s="13" customFormat="1" ht="14.25" customHeight="1" x14ac:dyDescent="0.7">
      <c r="F285" s="7"/>
      <c r="G285" s="7"/>
      <c r="H285" s="7"/>
      <c r="I285" s="7"/>
      <c r="J285" s="7"/>
      <c r="K285" s="7"/>
      <c r="L285" s="7"/>
      <c r="M285" s="7"/>
      <c r="N285" s="7"/>
    </row>
    <row r="286" spans="6:14" s="13" customFormat="1" ht="14.25" customHeight="1" x14ac:dyDescent="0.7">
      <c r="F286" s="7"/>
      <c r="G286" s="7"/>
      <c r="H286" s="7"/>
      <c r="I286" s="7"/>
      <c r="J286" s="7"/>
      <c r="K286" s="7"/>
      <c r="L286" s="7"/>
      <c r="M286" s="7"/>
      <c r="N286" s="7"/>
    </row>
    <row r="287" spans="6:14" s="13" customFormat="1" ht="14.25" customHeight="1" x14ac:dyDescent="0.7">
      <c r="F287" s="7"/>
      <c r="G287" s="7"/>
      <c r="H287" s="7"/>
      <c r="I287" s="7"/>
      <c r="J287" s="7"/>
      <c r="K287" s="7"/>
      <c r="L287" s="7"/>
      <c r="M287" s="7"/>
      <c r="N287" s="7"/>
    </row>
    <row r="288" spans="6:14" s="13" customFormat="1" ht="14.25" customHeight="1" x14ac:dyDescent="0.7">
      <c r="F288" s="7"/>
      <c r="G288" s="7"/>
      <c r="H288" s="7"/>
      <c r="I288" s="7"/>
      <c r="J288" s="7"/>
      <c r="K288" s="7"/>
      <c r="L288" s="7"/>
      <c r="M288" s="7"/>
      <c r="N288" s="7"/>
    </row>
    <row r="289" spans="6:14" s="13" customFormat="1" ht="14.25" customHeight="1" x14ac:dyDescent="0.7">
      <c r="F289" s="7"/>
      <c r="G289" s="7"/>
      <c r="H289" s="7"/>
      <c r="I289" s="7"/>
      <c r="J289" s="7"/>
      <c r="K289" s="7"/>
      <c r="L289" s="7"/>
      <c r="M289" s="7"/>
      <c r="N289" s="7"/>
    </row>
    <row r="290" spans="6:14" s="13" customFormat="1" ht="14.25" customHeight="1" x14ac:dyDescent="0.7">
      <c r="F290" s="7"/>
      <c r="G290" s="7"/>
      <c r="H290" s="7"/>
      <c r="I290" s="7"/>
      <c r="J290" s="7"/>
      <c r="K290" s="7"/>
      <c r="L290" s="7"/>
      <c r="M290" s="7"/>
      <c r="N290" s="7"/>
    </row>
    <row r="291" spans="6:14" s="13" customFormat="1" ht="14.25" customHeight="1" x14ac:dyDescent="0.7">
      <c r="F291" s="7"/>
      <c r="G291" s="7"/>
      <c r="H291" s="7"/>
      <c r="I291" s="7"/>
      <c r="J291" s="7"/>
      <c r="K291" s="7"/>
      <c r="L291" s="7"/>
      <c r="M291" s="7"/>
      <c r="N291" s="7"/>
    </row>
    <row r="292" spans="6:14" s="13" customFormat="1" ht="14.25" customHeight="1" x14ac:dyDescent="0.7">
      <c r="F292" s="7"/>
      <c r="G292" s="7"/>
      <c r="H292" s="7"/>
      <c r="I292" s="7"/>
      <c r="J292" s="7"/>
      <c r="K292" s="7"/>
      <c r="L292" s="7"/>
      <c r="M292" s="7"/>
      <c r="N292" s="7"/>
    </row>
    <row r="293" spans="6:14" s="13" customFormat="1" ht="14.25" customHeight="1" x14ac:dyDescent="0.7">
      <c r="F293" s="7"/>
      <c r="G293" s="7"/>
      <c r="H293" s="7"/>
      <c r="I293" s="7"/>
      <c r="J293" s="7"/>
      <c r="K293" s="7"/>
      <c r="L293" s="7"/>
      <c r="M293" s="7"/>
      <c r="N293" s="7"/>
    </row>
    <row r="294" spans="6:14" s="13" customFormat="1" ht="14.25" customHeight="1" x14ac:dyDescent="0.7">
      <c r="F294" s="7"/>
      <c r="G294" s="7"/>
      <c r="H294" s="7"/>
      <c r="I294" s="7"/>
      <c r="J294" s="7"/>
      <c r="K294" s="7"/>
      <c r="L294" s="7"/>
      <c r="M294" s="7"/>
      <c r="N294" s="7"/>
    </row>
    <row r="295" spans="6:14" s="13" customFormat="1" ht="14.25" customHeight="1" x14ac:dyDescent="0.7">
      <c r="F295" s="7"/>
      <c r="G295" s="7"/>
      <c r="H295" s="7"/>
      <c r="I295" s="7"/>
      <c r="J295" s="7"/>
      <c r="K295" s="7"/>
      <c r="L295" s="7"/>
      <c r="M295" s="7"/>
      <c r="N295" s="7"/>
    </row>
    <row r="296" spans="6:14" s="13" customFormat="1" ht="14.25" customHeight="1" x14ac:dyDescent="0.7">
      <c r="F296" s="7"/>
      <c r="G296" s="7"/>
      <c r="H296" s="7"/>
      <c r="I296" s="7"/>
      <c r="J296" s="7"/>
      <c r="K296" s="7"/>
      <c r="L296" s="7"/>
      <c r="M296" s="7"/>
      <c r="N296" s="7"/>
    </row>
    <row r="297" spans="6:14" s="13" customFormat="1" ht="14.25" customHeight="1" x14ac:dyDescent="0.7">
      <c r="F297" s="7"/>
      <c r="G297" s="7"/>
      <c r="H297" s="7"/>
      <c r="I297" s="7"/>
      <c r="J297" s="7"/>
      <c r="K297" s="7"/>
      <c r="L297" s="7"/>
      <c r="M297" s="7"/>
      <c r="N297" s="7"/>
    </row>
    <row r="298" spans="6:14" s="13" customFormat="1" ht="14.25" customHeight="1" x14ac:dyDescent="0.7">
      <c r="F298" s="7"/>
      <c r="G298" s="7"/>
      <c r="H298" s="7"/>
      <c r="I298" s="7"/>
      <c r="J298" s="7"/>
      <c r="K298" s="7"/>
      <c r="L298" s="7"/>
      <c r="M298" s="7"/>
      <c r="N298" s="7"/>
    </row>
    <row r="299" spans="6:14" s="13" customFormat="1" ht="14.25" customHeight="1" x14ac:dyDescent="0.7">
      <c r="F299" s="7"/>
      <c r="G299" s="7"/>
      <c r="H299" s="7"/>
      <c r="I299" s="7"/>
      <c r="J299" s="7"/>
      <c r="K299" s="7"/>
      <c r="L299" s="7"/>
      <c r="M299" s="7"/>
      <c r="N299" s="7"/>
    </row>
    <row r="300" spans="6:14" s="13" customFormat="1" ht="14.25" customHeight="1" x14ac:dyDescent="0.7">
      <c r="F300" s="7"/>
      <c r="G300" s="7"/>
      <c r="H300" s="7"/>
      <c r="I300" s="7"/>
      <c r="J300" s="7"/>
      <c r="K300" s="7"/>
      <c r="L300" s="7"/>
      <c r="M300" s="7"/>
      <c r="N300" s="7"/>
    </row>
    <row r="301" spans="6:14" s="13" customFormat="1" ht="14.25" customHeight="1" x14ac:dyDescent="0.7">
      <c r="F301" s="7"/>
      <c r="G301" s="7"/>
      <c r="H301" s="7"/>
      <c r="I301" s="7"/>
      <c r="J301" s="7"/>
      <c r="K301" s="7"/>
      <c r="L301" s="7"/>
      <c r="M301" s="7"/>
      <c r="N301" s="7"/>
    </row>
    <row r="302" spans="6:14" s="13" customFormat="1" ht="14.25" customHeight="1" x14ac:dyDescent="0.7">
      <c r="F302" s="7"/>
      <c r="G302" s="7"/>
      <c r="H302" s="7"/>
      <c r="I302" s="7"/>
      <c r="J302" s="7"/>
      <c r="K302" s="7"/>
      <c r="L302" s="7"/>
      <c r="M302" s="7"/>
      <c r="N302" s="7"/>
    </row>
    <row r="303" spans="6:14" s="13" customFormat="1" ht="14.25" customHeight="1" x14ac:dyDescent="0.7">
      <c r="F303" s="7"/>
      <c r="G303" s="7"/>
      <c r="H303" s="7"/>
      <c r="I303" s="7"/>
      <c r="J303" s="7"/>
      <c r="K303" s="7"/>
      <c r="L303" s="7"/>
      <c r="M303" s="7"/>
      <c r="N303" s="7"/>
    </row>
    <row r="304" spans="6:14" s="13" customFormat="1" ht="14.25" customHeight="1" x14ac:dyDescent="0.7">
      <c r="F304" s="7"/>
      <c r="G304" s="7"/>
      <c r="H304" s="7"/>
      <c r="I304" s="7"/>
      <c r="J304" s="7"/>
      <c r="K304" s="7"/>
      <c r="L304" s="7"/>
      <c r="M304" s="7"/>
      <c r="N304" s="7"/>
    </row>
    <row r="305" spans="6:14" s="13" customFormat="1" ht="14.25" customHeight="1" x14ac:dyDescent="0.7">
      <c r="F305" s="7"/>
      <c r="G305" s="7"/>
      <c r="H305" s="7"/>
      <c r="I305" s="7"/>
      <c r="J305" s="7"/>
      <c r="K305" s="7"/>
      <c r="L305" s="7"/>
      <c r="M305" s="7"/>
      <c r="N305" s="7"/>
    </row>
    <row r="306" spans="6:14" s="13" customFormat="1" ht="14.25" customHeight="1" x14ac:dyDescent="0.7">
      <c r="F306" s="7"/>
      <c r="G306" s="7"/>
      <c r="H306" s="7"/>
      <c r="I306" s="7"/>
      <c r="J306" s="7"/>
      <c r="K306" s="7"/>
      <c r="L306" s="7"/>
      <c r="M306" s="7"/>
      <c r="N306" s="7"/>
    </row>
    <row r="307" spans="6:14" s="13" customFormat="1" ht="14.25" customHeight="1" x14ac:dyDescent="0.7">
      <c r="F307" s="7"/>
      <c r="G307" s="7"/>
      <c r="H307" s="7"/>
      <c r="I307" s="7"/>
      <c r="J307" s="7"/>
      <c r="K307" s="7"/>
      <c r="L307" s="7"/>
      <c r="M307" s="7"/>
      <c r="N307" s="7"/>
    </row>
    <row r="308" spans="6:14" s="13" customFormat="1" ht="14.25" customHeight="1" x14ac:dyDescent="0.7">
      <c r="F308" s="7"/>
      <c r="G308" s="7"/>
      <c r="H308" s="7"/>
      <c r="I308" s="7"/>
      <c r="J308" s="7"/>
      <c r="K308" s="7"/>
      <c r="L308" s="7"/>
      <c r="M308" s="7"/>
      <c r="N308" s="7"/>
    </row>
    <row r="309" spans="6:14" s="13" customFormat="1" ht="14.25" customHeight="1" x14ac:dyDescent="0.7">
      <c r="F309" s="7"/>
      <c r="G309" s="7"/>
      <c r="H309" s="7"/>
      <c r="I309" s="7"/>
      <c r="J309" s="7"/>
      <c r="K309" s="7"/>
      <c r="L309" s="7"/>
      <c r="M309" s="7"/>
      <c r="N309" s="7"/>
    </row>
    <row r="310" spans="6:14" s="13" customFormat="1" ht="14.25" customHeight="1" x14ac:dyDescent="0.7">
      <c r="F310" s="7"/>
      <c r="G310" s="7"/>
      <c r="H310" s="7"/>
      <c r="I310" s="7"/>
      <c r="J310" s="7"/>
      <c r="K310" s="7"/>
      <c r="L310" s="7"/>
      <c r="M310" s="7"/>
      <c r="N310" s="7"/>
    </row>
    <row r="311" spans="6:14" s="13" customFormat="1" ht="14.25" customHeight="1" x14ac:dyDescent="0.7">
      <c r="F311" s="7"/>
      <c r="G311" s="7"/>
      <c r="H311" s="7"/>
      <c r="I311" s="7"/>
      <c r="J311" s="7"/>
      <c r="K311" s="7"/>
      <c r="L311" s="7"/>
      <c r="M311" s="7"/>
      <c r="N311" s="7"/>
    </row>
    <row r="312" spans="6:14" s="13" customFormat="1" ht="14.25" customHeight="1" x14ac:dyDescent="0.7">
      <c r="F312" s="7"/>
      <c r="G312" s="7"/>
      <c r="H312" s="7"/>
      <c r="I312" s="7"/>
      <c r="J312" s="7"/>
      <c r="K312" s="7"/>
      <c r="L312" s="7"/>
      <c r="M312" s="7"/>
      <c r="N312" s="7"/>
    </row>
    <row r="313" spans="6:14" s="13" customFormat="1" ht="14.25" customHeight="1" x14ac:dyDescent="0.7">
      <c r="F313" s="7"/>
      <c r="G313" s="7"/>
      <c r="H313" s="7"/>
      <c r="I313" s="7"/>
      <c r="J313" s="7"/>
      <c r="K313" s="7"/>
      <c r="L313" s="7"/>
      <c r="M313" s="7"/>
      <c r="N313" s="7"/>
    </row>
    <row r="314" spans="6:14" s="13" customFormat="1" ht="14.25" customHeight="1" x14ac:dyDescent="0.7">
      <c r="F314" s="7"/>
      <c r="G314" s="7"/>
      <c r="H314" s="7"/>
      <c r="I314" s="7"/>
      <c r="J314" s="7"/>
      <c r="K314" s="7"/>
      <c r="L314" s="7"/>
      <c r="M314" s="7"/>
      <c r="N314" s="7"/>
    </row>
    <row r="315" spans="6:14" s="13" customFormat="1" ht="14.25" customHeight="1" x14ac:dyDescent="0.7">
      <c r="F315" s="7"/>
      <c r="G315" s="7"/>
      <c r="H315" s="7"/>
      <c r="I315" s="7"/>
      <c r="J315" s="7"/>
      <c r="K315" s="7"/>
      <c r="L315" s="7"/>
      <c r="M315" s="7"/>
      <c r="N315" s="7"/>
    </row>
    <row r="316" spans="6:14" s="13" customFormat="1" ht="14.25" customHeight="1" x14ac:dyDescent="0.7">
      <c r="F316" s="7"/>
      <c r="G316" s="7"/>
      <c r="H316" s="7"/>
      <c r="I316" s="7"/>
      <c r="J316" s="7"/>
      <c r="K316" s="7"/>
      <c r="L316" s="7"/>
      <c r="M316" s="7"/>
      <c r="N316" s="7"/>
    </row>
    <row r="317" spans="6:14" s="13" customFormat="1" ht="14.25" customHeight="1" x14ac:dyDescent="0.7">
      <c r="F317" s="7"/>
      <c r="G317" s="7"/>
      <c r="H317" s="7"/>
      <c r="I317" s="7"/>
      <c r="J317" s="7"/>
      <c r="K317" s="7"/>
      <c r="L317" s="7"/>
      <c r="M317" s="7"/>
      <c r="N317" s="7"/>
    </row>
    <row r="318" spans="6:14" s="13" customFormat="1" ht="14.25" customHeight="1" x14ac:dyDescent="0.7">
      <c r="F318" s="7"/>
      <c r="G318" s="7"/>
      <c r="H318" s="7"/>
      <c r="I318" s="7"/>
      <c r="J318" s="7"/>
      <c r="K318" s="7"/>
      <c r="L318" s="7"/>
      <c r="M318" s="7"/>
      <c r="N318" s="7"/>
    </row>
    <row r="319" spans="6:14" s="13" customFormat="1" ht="14.25" customHeight="1" x14ac:dyDescent="0.7">
      <c r="F319" s="7"/>
      <c r="G319" s="7"/>
      <c r="H319" s="7"/>
      <c r="I319" s="7"/>
      <c r="J319" s="7"/>
      <c r="K319" s="7"/>
      <c r="L319" s="7"/>
      <c r="M319" s="7"/>
      <c r="N319" s="7"/>
    </row>
    <row r="320" spans="6:14" s="13" customFormat="1" ht="14.25" customHeight="1" x14ac:dyDescent="0.7">
      <c r="F320" s="7"/>
      <c r="G320" s="7"/>
      <c r="H320" s="7"/>
      <c r="I320" s="7"/>
      <c r="J320" s="7"/>
      <c r="K320" s="7"/>
      <c r="L320" s="7"/>
      <c r="M320" s="7"/>
      <c r="N320" s="7"/>
    </row>
    <row r="321" spans="6:14" s="13" customFormat="1" ht="14.25" customHeight="1" x14ac:dyDescent="0.7">
      <c r="F321" s="7"/>
      <c r="G321" s="7"/>
      <c r="H321" s="7"/>
      <c r="I321" s="7"/>
      <c r="J321" s="7"/>
      <c r="K321" s="7"/>
      <c r="L321" s="7"/>
      <c r="M321" s="7"/>
      <c r="N321" s="7"/>
    </row>
    <row r="322" spans="6:14" s="13" customFormat="1" ht="14.25" customHeight="1" x14ac:dyDescent="0.7">
      <c r="F322" s="7"/>
      <c r="G322" s="7"/>
      <c r="H322" s="7"/>
      <c r="I322" s="7"/>
      <c r="J322" s="7"/>
      <c r="K322" s="7"/>
      <c r="L322" s="7"/>
      <c r="M322" s="7"/>
      <c r="N322" s="7"/>
    </row>
    <row r="323" spans="6:14" s="13" customFormat="1" ht="14.25" customHeight="1" x14ac:dyDescent="0.7">
      <c r="F323" s="7"/>
      <c r="G323" s="7"/>
      <c r="H323" s="7"/>
      <c r="I323" s="7"/>
      <c r="J323" s="7"/>
      <c r="K323" s="7"/>
      <c r="L323" s="7"/>
      <c r="M323" s="7"/>
      <c r="N323" s="7"/>
    </row>
    <row r="324" spans="6:14" s="13" customFormat="1" ht="14.25" customHeight="1" x14ac:dyDescent="0.7">
      <c r="F324" s="7"/>
      <c r="G324" s="7"/>
      <c r="H324" s="7"/>
      <c r="I324" s="7"/>
      <c r="J324" s="7"/>
      <c r="K324" s="7"/>
      <c r="L324" s="7"/>
      <c r="M324" s="7"/>
      <c r="N324" s="7"/>
    </row>
    <row r="325" spans="6:14" s="13" customFormat="1" ht="14.25" customHeight="1" x14ac:dyDescent="0.7">
      <c r="F325" s="7"/>
      <c r="G325" s="7"/>
      <c r="H325" s="7"/>
      <c r="I325" s="7"/>
      <c r="J325" s="7"/>
      <c r="K325" s="7"/>
      <c r="L325" s="7"/>
      <c r="M325" s="7"/>
      <c r="N325" s="7"/>
    </row>
    <row r="326" spans="6:14" s="13" customFormat="1" ht="14.25" customHeight="1" x14ac:dyDescent="0.7">
      <c r="F326" s="7"/>
      <c r="G326" s="7"/>
      <c r="H326" s="7"/>
      <c r="I326" s="7"/>
      <c r="J326" s="7"/>
      <c r="K326" s="7"/>
      <c r="L326" s="7"/>
      <c r="M326" s="7"/>
      <c r="N326" s="7"/>
    </row>
    <row r="327" spans="6:14" s="13" customFormat="1" ht="14.25" customHeight="1" x14ac:dyDescent="0.7">
      <c r="F327" s="7"/>
      <c r="G327" s="7"/>
      <c r="H327" s="7"/>
      <c r="I327" s="7"/>
      <c r="J327" s="7"/>
      <c r="K327" s="7"/>
      <c r="L327" s="7"/>
      <c r="M327" s="7"/>
      <c r="N327" s="7"/>
    </row>
    <row r="328" spans="6:14" s="13" customFormat="1" ht="14.25" customHeight="1" x14ac:dyDescent="0.7">
      <c r="F328" s="7"/>
      <c r="G328" s="7"/>
      <c r="H328" s="7"/>
      <c r="I328" s="7"/>
      <c r="J328" s="7"/>
      <c r="K328" s="7"/>
      <c r="L328" s="7"/>
      <c r="M328" s="7"/>
      <c r="N328" s="7"/>
    </row>
    <row r="329" spans="6:14" s="13" customFormat="1" ht="14.25" customHeight="1" x14ac:dyDescent="0.7">
      <c r="F329" s="7"/>
      <c r="G329" s="7"/>
      <c r="H329" s="7"/>
      <c r="I329" s="7"/>
      <c r="J329" s="7"/>
      <c r="K329" s="7"/>
      <c r="L329" s="7"/>
      <c r="M329" s="7"/>
      <c r="N329" s="7"/>
    </row>
    <row r="330" spans="6:14" s="13" customFormat="1" ht="14.25" customHeight="1" x14ac:dyDescent="0.7">
      <c r="F330" s="7"/>
      <c r="G330" s="7"/>
      <c r="H330" s="7"/>
      <c r="I330" s="7"/>
      <c r="J330" s="7"/>
      <c r="K330" s="7"/>
      <c r="L330" s="7"/>
      <c r="M330" s="7"/>
      <c r="N330" s="7"/>
    </row>
    <row r="331" spans="6:14" s="13" customFormat="1" ht="14.25" customHeight="1" x14ac:dyDescent="0.7">
      <c r="F331" s="7"/>
      <c r="G331" s="7"/>
      <c r="H331" s="7"/>
      <c r="I331" s="7"/>
      <c r="J331" s="7"/>
      <c r="K331" s="7"/>
      <c r="L331" s="7"/>
      <c r="M331" s="7"/>
      <c r="N331" s="7"/>
    </row>
    <row r="332" spans="6:14" s="13" customFormat="1" ht="14.25" customHeight="1" x14ac:dyDescent="0.7">
      <c r="F332" s="7"/>
      <c r="G332" s="7"/>
      <c r="H332" s="7"/>
      <c r="I332" s="7"/>
      <c r="J332" s="7"/>
      <c r="K332" s="7"/>
      <c r="L332" s="7"/>
      <c r="M332" s="7"/>
      <c r="N332" s="7"/>
    </row>
    <row r="333" spans="6:14" s="13" customFormat="1" ht="14.25" customHeight="1" x14ac:dyDescent="0.7">
      <c r="F333" s="7"/>
      <c r="G333" s="7"/>
      <c r="H333" s="7"/>
      <c r="I333" s="7"/>
      <c r="J333" s="7"/>
      <c r="K333" s="7"/>
      <c r="L333" s="7"/>
      <c r="M333" s="7"/>
      <c r="N333" s="7"/>
    </row>
    <row r="334" spans="6:14" s="13" customFormat="1" ht="14.25" customHeight="1" x14ac:dyDescent="0.7">
      <c r="F334" s="7"/>
      <c r="G334" s="7"/>
      <c r="H334" s="7"/>
      <c r="I334" s="7"/>
      <c r="J334" s="7"/>
      <c r="K334" s="7"/>
      <c r="L334" s="7"/>
      <c r="M334" s="7"/>
      <c r="N334" s="7"/>
    </row>
    <row r="335" spans="6:14" s="13" customFormat="1" ht="14.25" customHeight="1" x14ac:dyDescent="0.7">
      <c r="F335" s="7"/>
      <c r="G335" s="7"/>
      <c r="H335" s="7"/>
      <c r="I335" s="7"/>
      <c r="J335" s="7"/>
      <c r="K335" s="7"/>
      <c r="L335" s="7"/>
      <c r="M335" s="7"/>
      <c r="N335" s="7"/>
    </row>
    <row r="336" spans="6:14" s="13" customFormat="1" ht="14.25" customHeight="1" x14ac:dyDescent="0.7">
      <c r="F336" s="7"/>
      <c r="G336" s="7"/>
      <c r="H336" s="7"/>
      <c r="I336" s="7"/>
      <c r="J336" s="7"/>
      <c r="K336" s="7"/>
      <c r="L336" s="7"/>
      <c r="M336" s="7"/>
      <c r="N336" s="7"/>
    </row>
    <row r="337" spans="6:14" s="13" customFormat="1" ht="14.25" customHeight="1" x14ac:dyDescent="0.7">
      <c r="F337" s="7"/>
      <c r="G337" s="7"/>
      <c r="H337" s="7"/>
      <c r="I337" s="7"/>
      <c r="J337" s="7"/>
      <c r="K337" s="7"/>
      <c r="L337" s="7"/>
      <c r="M337" s="7"/>
      <c r="N337" s="7"/>
    </row>
    <row r="338" spans="6:14" s="13" customFormat="1" ht="14.25" customHeight="1" x14ac:dyDescent="0.7">
      <c r="F338" s="7"/>
      <c r="G338" s="7"/>
      <c r="H338" s="7"/>
      <c r="I338" s="7"/>
      <c r="J338" s="7"/>
      <c r="K338" s="7"/>
      <c r="L338" s="7"/>
      <c r="M338" s="7"/>
      <c r="N338" s="7"/>
    </row>
    <row r="339" spans="6:14" s="13" customFormat="1" ht="14.25" customHeight="1" x14ac:dyDescent="0.7">
      <c r="F339" s="7"/>
      <c r="G339" s="7"/>
      <c r="H339" s="7"/>
      <c r="I339" s="7"/>
      <c r="J339" s="7"/>
      <c r="K339" s="7"/>
      <c r="L339" s="7"/>
      <c r="M339" s="7"/>
      <c r="N339" s="7"/>
    </row>
    <row r="340" spans="6:14" s="13" customFormat="1" ht="14.25" customHeight="1" x14ac:dyDescent="0.7">
      <c r="F340" s="7"/>
      <c r="G340" s="7"/>
      <c r="H340" s="7"/>
      <c r="I340" s="7"/>
      <c r="J340" s="7"/>
      <c r="K340" s="7"/>
      <c r="L340" s="7"/>
      <c r="M340" s="7"/>
      <c r="N340" s="7"/>
    </row>
    <row r="341" spans="6:14" s="13" customFormat="1" ht="14.25" customHeight="1" x14ac:dyDescent="0.7">
      <c r="F341" s="7"/>
      <c r="G341" s="7"/>
      <c r="H341" s="7"/>
      <c r="I341" s="7"/>
      <c r="J341" s="7"/>
      <c r="K341" s="7"/>
      <c r="L341" s="7"/>
      <c r="M341" s="7"/>
      <c r="N341" s="7"/>
    </row>
    <row r="342" spans="6:14" s="13" customFormat="1" ht="14.25" customHeight="1" x14ac:dyDescent="0.7">
      <c r="F342" s="7"/>
      <c r="G342" s="7"/>
      <c r="H342" s="7"/>
      <c r="I342" s="7"/>
      <c r="J342" s="7"/>
      <c r="K342" s="7"/>
      <c r="L342" s="7"/>
      <c r="M342" s="7"/>
      <c r="N342" s="7"/>
    </row>
    <row r="343" spans="6:14" s="13" customFormat="1" ht="14.25" customHeight="1" x14ac:dyDescent="0.7">
      <c r="F343" s="7"/>
      <c r="G343" s="7"/>
      <c r="H343" s="7"/>
      <c r="I343" s="7"/>
      <c r="J343" s="7"/>
      <c r="K343" s="7"/>
      <c r="L343" s="7"/>
      <c r="M343" s="7"/>
      <c r="N343" s="7"/>
    </row>
    <row r="344" spans="6:14" s="13" customFormat="1" ht="14.25" customHeight="1" x14ac:dyDescent="0.7">
      <c r="F344" s="7"/>
      <c r="G344" s="7"/>
      <c r="H344" s="7"/>
      <c r="I344" s="7"/>
      <c r="J344" s="7"/>
      <c r="K344" s="7"/>
      <c r="L344" s="7"/>
      <c r="M344" s="7"/>
      <c r="N344" s="7"/>
    </row>
    <row r="345" spans="6:14" s="13" customFormat="1" ht="14.25" customHeight="1" x14ac:dyDescent="0.7">
      <c r="F345" s="7"/>
      <c r="G345" s="7"/>
      <c r="H345" s="7"/>
      <c r="I345" s="7"/>
      <c r="J345" s="7"/>
      <c r="K345" s="7"/>
      <c r="L345" s="7"/>
      <c r="M345" s="7"/>
      <c r="N345" s="7"/>
    </row>
    <row r="346" spans="6:14" s="13" customFormat="1" ht="14.25" customHeight="1" x14ac:dyDescent="0.7">
      <c r="F346" s="7"/>
      <c r="G346" s="7"/>
      <c r="H346" s="7"/>
      <c r="I346" s="7"/>
      <c r="J346" s="7"/>
      <c r="K346" s="7"/>
      <c r="L346" s="7"/>
      <c r="M346" s="7"/>
      <c r="N346" s="7"/>
    </row>
    <row r="347" spans="6:14" s="13" customFormat="1" ht="14.25" customHeight="1" x14ac:dyDescent="0.7">
      <c r="F347" s="7"/>
      <c r="G347" s="7"/>
      <c r="H347" s="7"/>
      <c r="I347" s="7"/>
      <c r="J347" s="7"/>
      <c r="K347" s="7"/>
      <c r="L347" s="7"/>
      <c r="M347" s="7"/>
      <c r="N347" s="7"/>
    </row>
    <row r="348" spans="6:14" s="13" customFormat="1" ht="14.25" customHeight="1" x14ac:dyDescent="0.7">
      <c r="F348" s="7"/>
      <c r="G348" s="7"/>
      <c r="H348" s="7"/>
      <c r="I348" s="7"/>
      <c r="J348" s="7"/>
      <c r="K348" s="7"/>
      <c r="L348" s="7"/>
      <c r="M348" s="7"/>
      <c r="N348" s="7"/>
    </row>
    <row r="349" spans="6:14" s="13" customFormat="1" ht="14.25" customHeight="1" x14ac:dyDescent="0.7">
      <c r="F349" s="7"/>
      <c r="G349" s="7"/>
      <c r="H349" s="7"/>
      <c r="I349" s="7"/>
      <c r="J349" s="7"/>
      <c r="K349" s="7"/>
      <c r="L349" s="7"/>
      <c r="M349" s="7"/>
      <c r="N349" s="7"/>
    </row>
    <row r="350" spans="6:14" s="13" customFormat="1" ht="14.25" customHeight="1" x14ac:dyDescent="0.7">
      <c r="F350" s="7"/>
      <c r="G350" s="7"/>
      <c r="H350" s="7"/>
      <c r="I350" s="7"/>
      <c r="J350" s="7"/>
      <c r="K350" s="7"/>
      <c r="L350" s="7"/>
      <c r="M350" s="7"/>
      <c r="N350" s="7"/>
    </row>
    <row r="351" spans="6:14" s="13" customFormat="1" ht="14.25" customHeight="1" x14ac:dyDescent="0.7">
      <c r="F351" s="7"/>
      <c r="G351" s="7"/>
      <c r="H351" s="7"/>
      <c r="I351" s="7"/>
      <c r="J351" s="7"/>
      <c r="K351" s="7"/>
      <c r="L351" s="7"/>
      <c r="M351" s="7"/>
      <c r="N351" s="7"/>
    </row>
    <row r="352" spans="6:14" s="13" customFormat="1" ht="14.25" customHeight="1" x14ac:dyDescent="0.7">
      <c r="F352" s="7"/>
      <c r="G352" s="7"/>
      <c r="H352" s="7"/>
      <c r="I352" s="7"/>
      <c r="J352" s="7"/>
      <c r="K352" s="7"/>
      <c r="L352" s="7"/>
      <c r="M352" s="7"/>
      <c r="N352" s="7"/>
    </row>
    <row r="353" spans="6:14" s="13" customFormat="1" ht="14.25" customHeight="1" x14ac:dyDescent="0.7">
      <c r="F353" s="7"/>
      <c r="G353" s="7"/>
      <c r="H353" s="7"/>
      <c r="I353" s="7"/>
      <c r="J353" s="7"/>
      <c r="K353" s="7"/>
      <c r="L353" s="7"/>
      <c r="M353" s="7"/>
      <c r="N353" s="7"/>
    </row>
    <row r="354" spans="6:14" s="13" customFormat="1" ht="14.25" customHeight="1" x14ac:dyDescent="0.7">
      <c r="F354" s="7"/>
      <c r="G354" s="7"/>
      <c r="H354" s="7"/>
      <c r="I354" s="7"/>
      <c r="J354" s="7"/>
      <c r="K354" s="7"/>
      <c r="L354" s="7"/>
      <c r="M354" s="7"/>
      <c r="N354" s="7"/>
    </row>
    <row r="355" spans="6:14" s="13" customFormat="1" ht="14.25" customHeight="1" x14ac:dyDescent="0.7">
      <c r="F355" s="7"/>
      <c r="G355" s="7"/>
      <c r="H355" s="7"/>
      <c r="I355" s="7"/>
      <c r="J355" s="7"/>
      <c r="K355" s="7"/>
      <c r="L355" s="7"/>
      <c r="M355" s="7"/>
      <c r="N355" s="7"/>
    </row>
    <row r="356" spans="6:14" s="13" customFormat="1" ht="14.25" customHeight="1" x14ac:dyDescent="0.7">
      <c r="F356" s="7"/>
      <c r="G356" s="7"/>
      <c r="H356" s="7"/>
      <c r="I356" s="7"/>
      <c r="J356" s="7"/>
      <c r="K356" s="7"/>
      <c r="L356" s="7"/>
      <c r="M356" s="7"/>
      <c r="N356" s="7"/>
    </row>
    <row r="357" spans="6:14" s="13" customFormat="1" ht="14.25" customHeight="1" x14ac:dyDescent="0.7">
      <c r="F357" s="7"/>
      <c r="G357" s="7"/>
      <c r="H357" s="7"/>
      <c r="I357" s="7"/>
      <c r="J357" s="7"/>
      <c r="K357" s="7"/>
      <c r="L357" s="7"/>
      <c r="M357" s="7"/>
      <c r="N357" s="7"/>
    </row>
    <row r="358" spans="6:14" s="13" customFormat="1" ht="14.25" customHeight="1" x14ac:dyDescent="0.7">
      <c r="F358" s="7"/>
      <c r="G358" s="7"/>
      <c r="H358" s="7"/>
      <c r="I358" s="7"/>
      <c r="J358" s="7"/>
      <c r="K358" s="7"/>
      <c r="L358" s="7"/>
      <c r="M358" s="7"/>
      <c r="N358" s="7"/>
    </row>
    <row r="359" spans="6:14" s="13" customFormat="1" ht="14.25" customHeight="1" x14ac:dyDescent="0.7">
      <c r="F359" s="7"/>
      <c r="G359" s="7"/>
      <c r="H359" s="7"/>
      <c r="I359" s="7"/>
      <c r="J359" s="7"/>
      <c r="K359" s="7"/>
      <c r="L359" s="7"/>
      <c r="M359" s="7"/>
      <c r="N359" s="7"/>
    </row>
    <row r="360" spans="6:14" s="13" customFormat="1" ht="14.25" customHeight="1" x14ac:dyDescent="0.7">
      <c r="F360" s="7"/>
      <c r="G360" s="7"/>
      <c r="H360" s="7"/>
      <c r="I360" s="7"/>
      <c r="J360" s="7"/>
      <c r="K360" s="7"/>
      <c r="L360" s="7"/>
      <c r="M360" s="7"/>
      <c r="N360" s="7"/>
    </row>
    <row r="361" spans="6:14" s="13" customFormat="1" ht="14.25" customHeight="1" x14ac:dyDescent="0.7">
      <c r="F361" s="7"/>
      <c r="G361" s="7"/>
      <c r="H361" s="7"/>
      <c r="I361" s="7"/>
      <c r="J361" s="7"/>
      <c r="K361" s="7"/>
      <c r="L361" s="7"/>
      <c r="M361" s="7"/>
      <c r="N361" s="7"/>
    </row>
    <row r="362" spans="6:14" s="13" customFormat="1" ht="14.25" customHeight="1" x14ac:dyDescent="0.7">
      <c r="F362" s="7"/>
      <c r="G362" s="7"/>
      <c r="H362" s="7"/>
      <c r="I362" s="7"/>
      <c r="J362" s="7"/>
      <c r="K362" s="7"/>
      <c r="L362" s="7"/>
      <c r="M362" s="7"/>
      <c r="N362" s="7"/>
    </row>
    <row r="363" spans="6:14" s="13" customFormat="1" ht="14.25" customHeight="1" x14ac:dyDescent="0.7">
      <c r="F363" s="7"/>
      <c r="G363" s="7"/>
      <c r="H363" s="7"/>
      <c r="I363" s="7"/>
      <c r="J363" s="7"/>
      <c r="K363" s="7"/>
      <c r="L363" s="7"/>
      <c r="M363" s="7"/>
      <c r="N363" s="7"/>
    </row>
    <row r="364" spans="6:14" s="13" customFormat="1" ht="14.25" customHeight="1" x14ac:dyDescent="0.7">
      <c r="F364" s="7"/>
      <c r="G364" s="7"/>
      <c r="H364" s="7"/>
      <c r="I364" s="7"/>
      <c r="J364" s="7"/>
      <c r="K364" s="7"/>
      <c r="L364" s="7"/>
      <c r="M364" s="7"/>
      <c r="N364" s="7"/>
    </row>
    <row r="365" spans="6:14" s="13" customFormat="1" ht="14.25" customHeight="1" x14ac:dyDescent="0.7">
      <c r="F365" s="7"/>
      <c r="G365" s="7"/>
      <c r="H365" s="7"/>
      <c r="I365" s="7"/>
      <c r="J365" s="7"/>
      <c r="K365" s="7"/>
      <c r="L365" s="7"/>
      <c r="M365" s="7"/>
      <c r="N365" s="7"/>
    </row>
    <row r="366" spans="6:14" s="13" customFormat="1" ht="14.25" customHeight="1" x14ac:dyDescent="0.7">
      <c r="F366" s="7"/>
      <c r="G366" s="7"/>
      <c r="H366" s="7"/>
      <c r="I366" s="7"/>
      <c r="J366" s="7"/>
      <c r="K366" s="7"/>
      <c r="L366" s="7"/>
      <c r="M366" s="7"/>
      <c r="N366" s="7"/>
    </row>
    <row r="367" spans="6:14" s="13" customFormat="1" ht="14.25" customHeight="1" x14ac:dyDescent="0.7">
      <c r="F367" s="7"/>
      <c r="G367" s="7"/>
      <c r="H367" s="7"/>
      <c r="I367" s="7"/>
      <c r="J367" s="7"/>
      <c r="K367" s="7"/>
      <c r="L367" s="7"/>
      <c r="M367" s="7"/>
      <c r="N367" s="7"/>
    </row>
    <row r="368" spans="6:14" s="13" customFormat="1" ht="14.25" customHeight="1" x14ac:dyDescent="0.7">
      <c r="F368" s="7"/>
      <c r="G368" s="7"/>
      <c r="H368" s="7"/>
      <c r="I368" s="7"/>
      <c r="J368" s="7"/>
      <c r="K368" s="7"/>
      <c r="L368" s="7"/>
      <c r="M368" s="7"/>
      <c r="N368" s="7"/>
    </row>
    <row r="369" spans="6:14" s="13" customFormat="1" ht="14.25" customHeight="1" x14ac:dyDescent="0.7">
      <c r="F369" s="7"/>
      <c r="G369" s="7"/>
      <c r="H369" s="7"/>
      <c r="I369" s="7"/>
      <c r="J369" s="7"/>
      <c r="K369" s="7"/>
      <c r="L369" s="7"/>
      <c r="M369" s="7"/>
      <c r="N369" s="7"/>
    </row>
    <row r="370" spans="6:14" s="13" customFormat="1" ht="14.25" customHeight="1" x14ac:dyDescent="0.7">
      <c r="F370" s="7"/>
      <c r="G370" s="7"/>
      <c r="H370" s="7"/>
      <c r="I370" s="7"/>
      <c r="J370" s="7"/>
      <c r="K370" s="7"/>
      <c r="L370" s="7"/>
      <c r="M370" s="7"/>
      <c r="N370" s="7"/>
    </row>
    <row r="371" spans="6:14" s="13" customFormat="1" ht="14.25" customHeight="1" x14ac:dyDescent="0.7">
      <c r="F371" s="7"/>
      <c r="G371" s="7"/>
      <c r="H371" s="7"/>
      <c r="I371" s="7"/>
      <c r="J371" s="7"/>
      <c r="K371" s="7"/>
      <c r="L371" s="7"/>
      <c r="M371" s="7"/>
      <c r="N371" s="7"/>
    </row>
    <row r="372" spans="6:14" s="13" customFormat="1" ht="14.25" customHeight="1" x14ac:dyDescent="0.7">
      <c r="F372" s="7"/>
      <c r="G372" s="7"/>
      <c r="H372" s="7"/>
      <c r="I372" s="7"/>
      <c r="J372" s="7"/>
      <c r="K372" s="7"/>
      <c r="L372" s="7"/>
      <c r="M372" s="7"/>
      <c r="N372" s="7"/>
    </row>
    <row r="373" spans="6:14" s="13" customFormat="1" ht="14.25" customHeight="1" x14ac:dyDescent="0.7">
      <c r="F373" s="7"/>
      <c r="G373" s="7"/>
      <c r="H373" s="7"/>
      <c r="I373" s="7"/>
      <c r="J373" s="7"/>
      <c r="K373" s="7"/>
      <c r="L373" s="7"/>
      <c r="M373" s="7"/>
      <c r="N373" s="7"/>
    </row>
    <row r="374" spans="6:14" s="13" customFormat="1" ht="14.25" customHeight="1" x14ac:dyDescent="0.7">
      <c r="F374" s="7"/>
      <c r="G374" s="7"/>
      <c r="H374" s="7"/>
      <c r="I374" s="7"/>
      <c r="J374" s="7"/>
      <c r="K374" s="7"/>
      <c r="L374" s="7"/>
      <c r="M374" s="7"/>
      <c r="N374" s="7"/>
    </row>
    <row r="375" spans="6:14" s="13" customFormat="1" ht="14.25" customHeight="1" x14ac:dyDescent="0.7">
      <c r="F375" s="7"/>
      <c r="G375" s="7"/>
      <c r="H375" s="7"/>
      <c r="I375" s="7"/>
      <c r="J375" s="7"/>
      <c r="K375" s="7"/>
      <c r="L375" s="7"/>
      <c r="M375" s="7"/>
      <c r="N375" s="7"/>
    </row>
    <row r="376" spans="6:14" s="13" customFormat="1" ht="14.25" customHeight="1" x14ac:dyDescent="0.7">
      <c r="F376" s="7"/>
      <c r="G376" s="7"/>
      <c r="H376" s="7"/>
      <c r="I376" s="7"/>
      <c r="J376" s="7"/>
      <c r="K376" s="7"/>
      <c r="L376" s="7"/>
      <c r="M376" s="7"/>
      <c r="N376" s="7"/>
    </row>
    <row r="377" spans="6:14" s="13" customFormat="1" ht="14.25" customHeight="1" x14ac:dyDescent="0.7">
      <c r="F377" s="7"/>
      <c r="G377" s="7"/>
      <c r="H377" s="7"/>
      <c r="I377" s="7"/>
      <c r="J377" s="7"/>
      <c r="K377" s="7"/>
      <c r="L377" s="7"/>
      <c r="M377" s="7"/>
      <c r="N377" s="7"/>
    </row>
    <row r="378" spans="6:14" s="13" customFormat="1" ht="14.25" customHeight="1" x14ac:dyDescent="0.7">
      <c r="F378" s="7"/>
      <c r="G378" s="7"/>
      <c r="H378" s="7"/>
      <c r="I378" s="7"/>
      <c r="J378" s="7"/>
      <c r="K378" s="7"/>
      <c r="L378" s="7"/>
      <c r="M378" s="7"/>
      <c r="N378" s="7"/>
    </row>
    <row r="379" spans="6:14" s="13" customFormat="1" ht="14.25" customHeight="1" x14ac:dyDescent="0.7">
      <c r="F379" s="7"/>
      <c r="G379" s="7"/>
      <c r="H379" s="7"/>
      <c r="I379" s="7"/>
      <c r="J379" s="7"/>
      <c r="K379" s="7"/>
      <c r="L379" s="7"/>
      <c r="M379" s="7"/>
      <c r="N379" s="7"/>
    </row>
    <row r="380" spans="6:14" s="13" customFormat="1" ht="14.25" customHeight="1" x14ac:dyDescent="0.7">
      <c r="F380" s="7"/>
      <c r="G380" s="7"/>
      <c r="H380" s="7"/>
      <c r="I380" s="7"/>
      <c r="J380" s="7"/>
      <c r="K380" s="7"/>
      <c r="L380" s="7"/>
      <c r="M380" s="7"/>
      <c r="N380" s="7"/>
    </row>
    <row r="381" spans="6:14" s="13" customFormat="1" ht="14.25" customHeight="1" x14ac:dyDescent="0.7">
      <c r="F381" s="7"/>
      <c r="G381" s="7"/>
      <c r="H381" s="7"/>
      <c r="I381" s="7"/>
      <c r="J381" s="7"/>
      <c r="K381" s="7"/>
      <c r="L381" s="7"/>
      <c r="M381" s="7"/>
      <c r="N381" s="7"/>
    </row>
    <row r="382" spans="6:14" s="13" customFormat="1" ht="14.25" customHeight="1" x14ac:dyDescent="0.7">
      <c r="F382" s="7"/>
      <c r="G382" s="7"/>
      <c r="H382" s="7"/>
      <c r="I382" s="7"/>
      <c r="J382" s="7"/>
      <c r="K382" s="7"/>
      <c r="L382" s="7"/>
      <c r="M382" s="7"/>
      <c r="N382" s="7"/>
    </row>
    <row r="383" spans="6:14" s="13" customFormat="1" ht="14.25" customHeight="1" x14ac:dyDescent="0.7">
      <c r="F383" s="7"/>
      <c r="G383" s="7"/>
      <c r="H383" s="7"/>
      <c r="I383" s="7"/>
      <c r="J383" s="7"/>
      <c r="K383" s="7"/>
      <c r="L383" s="7"/>
      <c r="M383" s="7"/>
      <c r="N383" s="7"/>
    </row>
    <row r="384" spans="6:14" s="13" customFormat="1" ht="14.25" customHeight="1" x14ac:dyDescent="0.7">
      <c r="F384" s="7"/>
      <c r="G384" s="7"/>
      <c r="H384" s="7"/>
      <c r="I384" s="7"/>
      <c r="J384" s="7"/>
      <c r="K384" s="7"/>
      <c r="L384" s="7"/>
      <c r="M384" s="7"/>
      <c r="N384" s="7"/>
    </row>
    <row r="385" spans="6:14" s="13" customFormat="1" ht="14.25" customHeight="1" x14ac:dyDescent="0.7">
      <c r="F385" s="7"/>
      <c r="G385" s="7"/>
      <c r="H385" s="7"/>
      <c r="I385" s="7"/>
      <c r="J385" s="7"/>
      <c r="K385" s="7"/>
      <c r="L385" s="7"/>
      <c r="M385" s="7"/>
      <c r="N385" s="7"/>
    </row>
    <row r="386" spans="6:14" s="13" customFormat="1" ht="14.25" customHeight="1" x14ac:dyDescent="0.7">
      <c r="F386" s="7"/>
      <c r="G386" s="7"/>
      <c r="H386" s="7"/>
      <c r="I386" s="7"/>
      <c r="J386" s="7"/>
      <c r="K386" s="7"/>
      <c r="L386" s="7"/>
      <c r="M386" s="7"/>
      <c r="N386" s="7"/>
    </row>
    <row r="387" spans="6:14" s="13" customFormat="1" ht="14.25" customHeight="1" x14ac:dyDescent="0.7">
      <c r="F387" s="7"/>
      <c r="G387" s="7"/>
      <c r="H387" s="7"/>
      <c r="I387" s="7"/>
      <c r="J387" s="7"/>
      <c r="K387" s="7"/>
      <c r="L387" s="7"/>
      <c r="M387" s="7"/>
      <c r="N387" s="7"/>
    </row>
    <row r="388" spans="6:14" s="13" customFormat="1" ht="14.25" customHeight="1" x14ac:dyDescent="0.7">
      <c r="F388" s="7"/>
      <c r="G388" s="7"/>
      <c r="H388" s="7"/>
      <c r="I388" s="7"/>
      <c r="J388" s="7"/>
      <c r="K388" s="7"/>
      <c r="L388" s="7"/>
      <c r="M388" s="7"/>
      <c r="N388" s="7"/>
    </row>
    <row r="389" spans="6:14" s="13" customFormat="1" ht="14.25" customHeight="1" x14ac:dyDescent="0.7">
      <c r="F389" s="7"/>
      <c r="G389" s="7"/>
      <c r="H389" s="7"/>
      <c r="I389" s="7"/>
      <c r="J389" s="7"/>
      <c r="K389" s="7"/>
      <c r="L389" s="7"/>
      <c r="M389" s="7"/>
      <c r="N389" s="7"/>
    </row>
    <row r="390" spans="6:14" s="13" customFormat="1" ht="14.25" customHeight="1" x14ac:dyDescent="0.7">
      <c r="F390" s="7"/>
      <c r="G390" s="7"/>
      <c r="H390" s="7"/>
      <c r="I390" s="7"/>
      <c r="J390" s="7"/>
      <c r="K390" s="7"/>
      <c r="L390" s="7"/>
      <c r="M390" s="7"/>
      <c r="N390" s="7"/>
    </row>
    <row r="391" spans="6:14" s="13" customFormat="1" ht="14.25" customHeight="1" x14ac:dyDescent="0.7">
      <c r="F391" s="7"/>
      <c r="G391" s="7"/>
      <c r="H391" s="7"/>
      <c r="I391" s="7"/>
      <c r="J391" s="7"/>
      <c r="K391" s="7"/>
      <c r="L391" s="7"/>
      <c r="M391" s="7"/>
      <c r="N391" s="7"/>
    </row>
    <row r="392" spans="6:14" s="13" customFormat="1" ht="14.25" customHeight="1" x14ac:dyDescent="0.7">
      <c r="F392" s="7"/>
      <c r="G392" s="7"/>
      <c r="H392" s="7"/>
      <c r="I392" s="7"/>
      <c r="J392" s="7"/>
      <c r="K392" s="7"/>
      <c r="L392" s="7"/>
      <c r="M392" s="7"/>
      <c r="N392" s="7"/>
    </row>
    <row r="393" spans="6:14" s="13" customFormat="1" ht="14.25" customHeight="1" x14ac:dyDescent="0.7">
      <c r="F393" s="7"/>
      <c r="G393" s="7"/>
      <c r="H393" s="7"/>
      <c r="I393" s="7"/>
      <c r="J393" s="7"/>
      <c r="K393" s="7"/>
      <c r="L393" s="7"/>
      <c r="M393" s="7"/>
      <c r="N393" s="7"/>
    </row>
    <row r="394" spans="6:14" s="13" customFormat="1" ht="14.25" customHeight="1" x14ac:dyDescent="0.7">
      <c r="F394" s="7"/>
      <c r="G394" s="7"/>
      <c r="H394" s="7"/>
      <c r="I394" s="7"/>
      <c r="J394" s="7"/>
      <c r="K394" s="7"/>
      <c r="L394" s="7"/>
      <c r="M394" s="7"/>
      <c r="N394" s="7"/>
    </row>
    <row r="395" spans="6:14" s="13" customFormat="1" ht="14.25" customHeight="1" x14ac:dyDescent="0.7">
      <c r="F395" s="7"/>
      <c r="G395" s="7"/>
      <c r="H395" s="7"/>
      <c r="I395" s="7"/>
      <c r="J395" s="7"/>
      <c r="K395" s="7"/>
      <c r="L395" s="7"/>
      <c r="M395" s="7"/>
      <c r="N395" s="7"/>
    </row>
    <row r="396" spans="6:14" s="13" customFormat="1" ht="14.25" customHeight="1" x14ac:dyDescent="0.7">
      <c r="F396" s="7"/>
      <c r="G396" s="7"/>
      <c r="H396" s="7"/>
      <c r="I396" s="7"/>
      <c r="J396" s="7"/>
      <c r="K396" s="7"/>
      <c r="L396" s="7"/>
      <c r="M396" s="7"/>
      <c r="N396" s="7"/>
    </row>
    <row r="397" spans="6:14" s="13" customFormat="1" ht="14.25" customHeight="1" x14ac:dyDescent="0.7">
      <c r="F397" s="7"/>
      <c r="G397" s="7"/>
      <c r="H397" s="7"/>
      <c r="I397" s="7"/>
      <c r="J397" s="7"/>
      <c r="K397" s="7"/>
      <c r="L397" s="7"/>
      <c r="M397" s="7"/>
      <c r="N397" s="7"/>
    </row>
    <row r="398" spans="6:14" s="13" customFormat="1" ht="14.25" customHeight="1" x14ac:dyDescent="0.7">
      <c r="F398" s="7"/>
      <c r="G398" s="7"/>
      <c r="H398" s="7"/>
      <c r="I398" s="7"/>
      <c r="J398" s="7"/>
      <c r="K398" s="7"/>
      <c r="L398" s="7"/>
      <c r="M398" s="7"/>
      <c r="N398" s="7"/>
    </row>
    <row r="399" spans="6:14" s="13" customFormat="1" ht="14.25" customHeight="1" x14ac:dyDescent="0.7">
      <c r="F399" s="7"/>
      <c r="G399" s="7"/>
      <c r="H399" s="7"/>
      <c r="I399" s="7"/>
      <c r="J399" s="7"/>
      <c r="K399" s="7"/>
      <c r="L399" s="7"/>
      <c r="M399" s="7"/>
      <c r="N399" s="7"/>
    </row>
    <row r="400" spans="6:14" s="13" customFormat="1" ht="14.25" customHeight="1" x14ac:dyDescent="0.7">
      <c r="F400" s="7"/>
      <c r="G400" s="7"/>
      <c r="H400" s="7"/>
      <c r="I400" s="7"/>
      <c r="J400" s="7"/>
      <c r="K400" s="7"/>
      <c r="L400" s="7"/>
      <c r="M400" s="7"/>
      <c r="N400" s="7"/>
    </row>
    <row r="401" spans="6:14" s="13" customFormat="1" ht="14.25" customHeight="1" x14ac:dyDescent="0.7">
      <c r="F401" s="7"/>
      <c r="G401" s="7"/>
      <c r="H401" s="7"/>
      <c r="I401" s="7"/>
      <c r="J401" s="7"/>
      <c r="K401" s="7"/>
      <c r="L401" s="7"/>
      <c r="M401" s="7"/>
      <c r="N401" s="7"/>
    </row>
    <row r="402" spans="6:14" s="13" customFormat="1" ht="14.25" customHeight="1" x14ac:dyDescent="0.7">
      <c r="F402" s="7"/>
      <c r="G402" s="7"/>
      <c r="H402" s="7"/>
      <c r="I402" s="7"/>
      <c r="J402" s="7"/>
      <c r="K402" s="7"/>
      <c r="L402" s="7"/>
      <c r="M402" s="7"/>
      <c r="N402" s="7"/>
    </row>
    <row r="403" spans="6:14" s="13" customFormat="1" ht="14.25" customHeight="1" x14ac:dyDescent="0.7">
      <c r="F403" s="7"/>
      <c r="G403" s="7"/>
      <c r="H403" s="7"/>
      <c r="I403" s="7"/>
      <c r="J403" s="7"/>
      <c r="K403" s="7"/>
      <c r="L403" s="7"/>
      <c r="M403" s="7"/>
      <c r="N403" s="7"/>
    </row>
    <row r="404" spans="6:14" s="13" customFormat="1" ht="14.25" customHeight="1" x14ac:dyDescent="0.7">
      <c r="F404" s="7"/>
      <c r="G404" s="7"/>
      <c r="H404" s="7"/>
      <c r="I404" s="7"/>
      <c r="J404" s="7"/>
      <c r="K404" s="7"/>
      <c r="L404" s="7"/>
      <c r="M404" s="7"/>
      <c r="N404" s="7"/>
    </row>
    <row r="405" spans="6:14" s="13" customFormat="1" ht="14.25" customHeight="1" x14ac:dyDescent="0.7">
      <c r="F405" s="7"/>
      <c r="G405" s="7"/>
      <c r="H405" s="7"/>
      <c r="I405" s="7"/>
      <c r="J405" s="7"/>
      <c r="K405" s="7"/>
      <c r="L405" s="7"/>
      <c r="M405" s="7"/>
      <c r="N405" s="7"/>
    </row>
    <row r="406" spans="6:14" s="13" customFormat="1" ht="14.25" customHeight="1" x14ac:dyDescent="0.7">
      <c r="F406" s="7"/>
      <c r="G406" s="7"/>
      <c r="H406" s="7"/>
      <c r="I406" s="7"/>
      <c r="J406" s="7"/>
      <c r="K406" s="7"/>
      <c r="L406" s="7"/>
      <c r="M406" s="7"/>
      <c r="N406" s="7"/>
    </row>
    <row r="407" spans="6:14" s="13" customFormat="1" ht="14.25" customHeight="1" x14ac:dyDescent="0.7">
      <c r="F407" s="7"/>
      <c r="G407" s="7"/>
      <c r="H407" s="7"/>
      <c r="I407" s="7"/>
      <c r="J407" s="7"/>
      <c r="K407" s="7"/>
      <c r="L407" s="7"/>
      <c r="M407" s="7"/>
      <c r="N407" s="7"/>
    </row>
    <row r="408" spans="6:14" s="13" customFormat="1" ht="14.25" customHeight="1" x14ac:dyDescent="0.7">
      <c r="F408" s="7"/>
      <c r="G408" s="7"/>
      <c r="H408" s="7"/>
      <c r="I408" s="7"/>
      <c r="J408" s="7"/>
      <c r="K408" s="7"/>
      <c r="L408" s="7"/>
      <c r="M408" s="7"/>
      <c r="N408" s="7"/>
    </row>
    <row r="409" spans="6:14" s="13" customFormat="1" ht="14.25" customHeight="1" x14ac:dyDescent="0.7">
      <c r="F409" s="7"/>
      <c r="G409" s="7"/>
      <c r="H409" s="7"/>
      <c r="I409" s="7"/>
      <c r="J409" s="7"/>
      <c r="K409" s="7"/>
      <c r="L409" s="7"/>
      <c r="M409" s="7"/>
      <c r="N409" s="7"/>
    </row>
    <row r="410" spans="6:14" s="13" customFormat="1" ht="14.25" customHeight="1" x14ac:dyDescent="0.7">
      <c r="F410" s="7"/>
      <c r="G410" s="7"/>
      <c r="H410" s="7"/>
      <c r="I410" s="7"/>
      <c r="J410" s="7"/>
      <c r="K410" s="7"/>
      <c r="L410" s="7"/>
      <c r="M410" s="7"/>
      <c r="N410" s="7"/>
    </row>
    <row r="411" spans="6:14" s="13" customFormat="1" ht="14.25" customHeight="1" x14ac:dyDescent="0.7">
      <c r="F411" s="7"/>
      <c r="G411" s="7"/>
      <c r="H411" s="7"/>
      <c r="I411" s="7"/>
      <c r="J411" s="7"/>
      <c r="K411" s="7"/>
      <c r="L411" s="7"/>
      <c r="M411" s="7"/>
      <c r="N411" s="7"/>
    </row>
    <row r="412" spans="6:14" s="13" customFormat="1" ht="14.25" customHeight="1" x14ac:dyDescent="0.7">
      <c r="F412" s="7"/>
      <c r="G412" s="7"/>
      <c r="H412" s="7"/>
      <c r="I412" s="7"/>
      <c r="J412" s="7"/>
      <c r="K412" s="7"/>
      <c r="L412" s="7"/>
      <c r="M412" s="7"/>
      <c r="N412" s="7"/>
    </row>
    <row r="413" spans="6:14" s="13" customFormat="1" ht="14.25" customHeight="1" x14ac:dyDescent="0.7">
      <c r="F413" s="7"/>
      <c r="G413" s="7"/>
      <c r="H413" s="7"/>
      <c r="I413" s="7"/>
      <c r="J413" s="7"/>
      <c r="K413" s="7"/>
      <c r="L413" s="7"/>
      <c r="M413" s="7"/>
      <c r="N413" s="7"/>
    </row>
    <row r="414" spans="6:14" s="13" customFormat="1" ht="14.25" customHeight="1" x14ac:dyDescent="0.7">
      <c r="F414" s="7"/>
      <c r="G414" s="7"/>
      <c r="H414" s="7"/>
      <c r="I414" s="7"/>
      <c r="J414" s="7"/>
      <c r="K414" s="7"/>
      <c r="L414" s="7"/>
      <c r="M414" s="7"/>
      <c r="N414" s="7"/>
    </row>
    <row r="415" spans="6:14" s="13" customFormat="1" ht="14.25" customHeight="1" x14ac:dyDescent="0.7">
      <c r="F415" s="7"/>
      <c r="G415" s="7"/>
      <c r="H415" s="7"/>
      <c r="I415" s="7"/>
      <c r="J415" s="7"/>
      <c r="K415" s="7"/>
      <c r="L415" s="7"/>
      <c r="M415" s="7"/>
      <c r="N415" s="7"/>
    </row>
    <row r="416" spans="6:14" s="13" customFormat="1" ht="14.25" customHeight="1" x14ac:dyDescent="0.7">
      <c r="F416" s="7"/>
      <c r="G416" s="7"/>
      <c r="H416" s="7"/>
      <c r="I416" s="7"/>
      <c r="J416" s="7"/>
      <c r="K416" s="7"/>
      <c r="L416" s="7"/>
      <c r="M416" s="7"/>
      <c r="N416" s="7"/>
    </row>
    <row r="417" spans="6:14" s="13" customFormat="1" ht="14.25" customHeight="1" x14ac:dyDescent="0.7">
      <c r="F417" s="7"/>
      <c r="G417" s="7"/>
      <c r="H417" s="7"/>
      <c r="I417" s="7"/>
      <c r="J417" s="7"/>
      <c r="K417" s="7"/>
      <c r="L417" s="7"/>
      <c r="M417" s="7"/>
      <c r="N417" s="7"/>
    </row>
    <row r="418" spans="6:14" s="13" customFormat="1" ht="14.25" customHeight="1" x14ac:dyDescent="0.7">
      <c r="F418" s="7"/>
      <c r="G418" s="7"/>
      <c r="H418" s="7"/>
      <c r="I418" s="7"/>
      <c r="J418" s="7"/>
      <c r="K418" s="7"/>
      <c r="L418" s="7"/>
      <c r="M418" s="7"/>
      <c r="N418" s="7"/>
    </row>
    <row r="419" spans="6:14" s="13" customFormat="1" ht="14.25" customHeight="1" x14ac:dyDescent="0.7">
      <c r="F419" s="7"/>
      <c r="G419" s="7"/>
      <c r="H419" s="7"/>
      <c r="I419" s="7"/>
      <c r="J419" s="7"/>
      <c r="K419" s="7"/>
      <c r="L419" s="7"/>
      <c r="M419" s="7"/>
      <c r="N419" s="7"/>
    </row>
    <row r="420" spans="6:14" s="13" customFormat="1" ht="14.25" customHeight="1" x14ac:dyDescent="0.7">
      <c r="F420" s="7"/>
      <c r="G420" s="7"/>
      <c r="H420" s="7"/>
      <c r="I420" s="7"/>
      <c r="J420" s="7"/>
      <c r="K420" s="7"/>
      <c r="L420" s="7"/>
      <c r="M420" s="7"/>
      <c r="N420" s="7"/>
    </row>
    <row r="421" spans="6:14" s="13" customFormat="1" ht="14.25" customHeight="1" x14ac:dyDescent="0.7">
      <c r="F421" s="7"/>
      <c r="G421" s="7"/>
      <c r="H421" s="7"/>
      <c r="I421" s="7"/>
      <c r="J421" s="7"/>
      <c r="K421" s="7"/>
      <c r="L421" s="7"/>
      <c r="M421" s="7"/>
      <c r="N421" s="7"/>
    </row>
    <row r="422" spans="6:14" s="13" customFormat="1" ht="14.25" customHeight="1" x14ac:dyDescent="0.7">
      <c r="F422" s="7"/>
      <c r="G422" s="7"/>
      <c r="H422" s="7"/>
      <c r="I422" s="7"/>
      <c r="J422" s="7"/>
      <c r="K422" s="7"/>
      <c r="L422" s="7"/>
      <c r="M422" s="7"/>
      <c r="N422" s="7"/>
    </row>
    <row r="423" spans="6:14" s="13" customFormat="1" ht="14.25" customHeight="1" x14ac:dyDescent="0.7">
      <c r="F423" s="7"/>
      <c r="G423" s="7"/>
      <c r="H423" s="7"/>
      <c r="I423" s="7"/>
      <c r="J423" s="7"/>
      <c r="K423" s="7"/>
      <c r="L423" s="7"/>
      <c r="M423" s="7"/>
      <c r="N423" s="7"/>
    </row>
    <row r="424" spans="6:14" s="13" customFormat="1" ht="14.25" customHeight="1" x14ac:dyDescent="0.7">
      <c r="F424" s="7"/>
      <c r="G424" s="7"/>
      <c r="H424" s="7"/>
      <c r="I424" s="7"/>
      <c r="J424" s="7"/>
      <c r="K424" s="7"/>
      <c r="L424" s="7"/>
      <c r="M424" s="7"/>
      <c r="N424" s="7"/>
    </row>
    <row r="425" spans="6:14" s="13" customFormat="1" ht="14.25" customHeight="1" x14ac:dyDescent="0.7">
      <c r="F425" s="7"/>
      <c r="G425" s="7"/>
      <c r="H425" s="7"/>
      <c r="I425" s="7"/>
      <c r="J425" s="7"/>
      <c r="K425" s="7"/>
      <c r="L425" s="7"/>
      <c r="M425" s="7"/>
      <c r="N425" s="7"/>
    </row>
    <row r="426" spans="6:14" s="13" customFormat="1" ht="14.25" customHeight="1" x14ac:dyDescent="0.7">
      <c r="F426" s="7"/>
      <c r="G426" s="7"/>
      <c r="H426" s="7"/>
      <c r="I426" s="7"/>
      <c r="J426" s="7"/>
      <c r="K426" s="7"/>
      <c r="L426" s="7"/>
      <c r="M426" s="7"/>
      <c r="N426" s="7"/>
    </row>
    <row r="427" spans="6:14" s="13" customFormat="1" ht="14.25" customHeight="1" x14ac:dyDescent="0.7">
      <c r="F427" s="7"/>
      <c r="G427" s="7"/>
      <c r="H427" s="7"/>
      <c r="I427" s="7"/>
      <c r="J427" s="7"/>
      <c r="K427" s="7"/>
      <c r="L427" s="7"/>
      <c r="M427" s="7"/>
      <c r="N427" s="7"/>
    </row>
    <row r="428" spans="6:14" s="13" customFormat="1" ht="14.25" customHeight="1" x14ac:dyDescent="0.7">
      <c r="F428" s="7"/>
      <c r="G428" s="7"/>
      <c r="H428" s="7"/>
      <c r="I428" s="7"/>
      <c r="J428" s="7"/>
      <c r="K428" s="7"/>
      <c r="L428" s="7"/>
      <c r="M428" s="7"/>
      <c r="N428" s="7"/>
    </row>
    <row r="429" spans="6:14" s="13" customFormat="1" ht="14.25" customHeight="1" x14ac:dyDescent="0.7">
      <c r="F429" s="7"/>
      <c r="G429" s="7"/>
      <c r="H429" s="7"/>
      <c r="I429" s="7"/>
      <c r="J429" s="7"/>
      <c r="K429" s="7"/>
      <c r="L429" s="7"/>
      <c r="M429" s="7"/>
      <c r="N429" s="7"/>
    </row>
    <row r="430" spans="6:14" s="13" customFormat="1" ht="14.25" customHeight="1" x14ac:dyDescent="0.7">
      <c r="F430" s="7"/>
      <c r="G430" s="7"/>
      <c r="H430" s="7"/>
      <c r="I430" s="7"/>
      <c r="J430" s="7"/>
      <c r="K430" s="7"/>
      <c r="L430" s="7"/>
      <c r="M430" s="7"/>
      <c r="N430" s="7"/>
    </row>
    <row r="431" spans="6:14" s="13" customFormat="1" ht="14.25" customHeight="1" x14ac:dyDescent="0.7">
      <c r="F431" s="7"/>
      <c r="G431" s="7"/>
      <c r="H431" s="7"/>
      <c r="I431" s="7"/>
      <c r="J431" s="7"/>
      <c r="K431" s="7"/>
      <c r="L431" s="7"/>
      <c r="M431" s="7"/>
      <c r="N431" s="7"/>
    </row>
    <row r="432" spans="6:14" s="13" customFormat="1" ht="14.25" customHeight="1" x14ac:dyDescent="0.7">
      <c r="F432" s="7"/>
      <c r="G432" s="7"/>
      <c r="H432" s="7"/>
      <c r="I432" s="7"/>
      <c r="J432" s="7"/>
      <c r="K432" s="7"/>
      <c r="L432" s="7"/>
      <c r="M432" s="7"/>
      <c r="N432" s="7"/>
    </row>
    <row r="433" spans="6:14" s="13" customFormat="1" ht="14.25" customHeight="1" x14ac:dyDescent="0.7">
      <c r="F433" s="7"/>
      <c r="G433" s="7"/>
      <c r="H433" s="7"/>
      <c r="I433" s="7"/>
      <c r="J433" s="7"/>
      <c r="K433" s="7"/>
      <c r="L433" s="7"/>
      <c r="M433" s="7"/>
      <c r="N433" s="7"/>
    </row>
    <row r="434" spans="6:14" s="13" customFormat="1" ht="14.25" customHeight="1" x14ac:dyDescent="0.7">
      <c r="F434" s="7"/>
      <c r="G434" s="7"/>
      <c r="H434" s="7"/>
      <c r="I434" s="7"/>
      <c r="J434" s="7"/>
      <c r="K434" s="7"/>
      <c r="L434" s="7"/>
      <c r="M434" s="7"/>
      <c r="N434" s="7"/>
    </row>
    <row r="435" spans="6:14" s="13" customFormat="1" ht="14.25" customHeight="1" x14ac:dyDescent="0.7">
      <c r="F435" s="7"/>
      <c r="G435" s="7"/>
      <c r="H435" s="7"/>
      <c r="I435" s="7"/>
      <c r="J435" s="7"/>
      <c r="K435" s="7"/>
      <c r="L435" s="7"/>
      <c r="M435" s="7"/>
      <c r="N435" s="7"/>
    </row>
    <row r="436" spans="6:14" s="13" customFormat="1" ht="14.25" customHeight="1" x14ac:dyDescent="0.7">
      <c r="F436" s="7"/>
      <c r="G436" s="7"/>
      <c r="H436" s="7"/>
      <c r="I436" s="7"/>
      <c r="J436" s="7"/>
      <c r="K436" s="7"/>
      <c r="L436" s="7"/>
      <c r="M436" s="7"/>
      <c r="N436" s="7"/>
    </row>
    <row r="437" spans="6:14" s="13" customFormat="1" ht="14.25" customHeight="1" x14ac:dyDescent="0.7">
      <c r="F437" s="7"/>
      <c r="G437" s="7"/>
      <c r="H437" s="7"/>
      <c r="I437" s="7"/>
      <c r="J437" s="7"/>
      <c r="K437" s="7"/>
      <c r="L437" s="7"/>
      <c r="M437" s="7"/>
      <c r="N437" s="7"/>
    </row>
    <row r="438" spans="6:14" s="13" customFormat="1" ht="14.25" customHeight="1" x14ac:dyDescent="0.7">
      <c r="F438" s="7"/>
      <c r="G438" s="7"/>
      <c r="H438" s="7"/>
      <c r="I438" s="7"/>
      <c r="J438" s="7"/>
      <c r="K438" s="7"/>
      <c r="L438" s="7"/>
      <c r="M438" s="7"/>
      <c r="N438" s="7"/>
    </row>
    <row r="439" spans="6:14" s="13" customFormat="1" ht="14.25" customHeight="1" x14ac:dyDescent="0.7">
      <c r="F439" s="7"/>
      <c r="G439" s="7"/>
      <c r="H439" s="7"/>
      <c r="I439" s="7"/>
      <c r="J439" s="7"/>
      <c r="K439" s="7"/>
      <c r="L439" s="7"/>
      <c r="M439" s="7"/>
      <c r="N439" s="7"/>
    </row>
    <row r="440" spans="6:14" s="13" customFormat="1" ht="14.25" customHeight="1" x14ac:dyDescent="0.7">
      <c r="F440" s="7"/>
      <c r="G440" s="7"/>
      <c r="H440" s="7"/>
      <c r="I440" s="7"/>
      <c r="J440" s="7"/>
      <c r="K440" s="7"/>
      <c r="L440" s="7"/>
      <c r="M440" s="7"/>
      <c r="N440" s="7"/>
    </row>
    <row r="441" spans="6:14" s="13" customFormat="1" ht="14.25" customHeight="1" x14ac:dyDescent="0.7">
      <c r="F441" s="7"/>
      <c r="G441" s="7"/>
      <c r="H441" s="7"/>
      <c r="I441" s="7"/>
      <c r="J441" s="7"/>
      <c r="K441" s="7"/>
      <c r="L441" s="7"/>
      <c r="M441" s="7"/>
      <c r="N441" s="7"/>
    </row>
    <row r="442" spans="6:14" s="13" customFormat="1" ht="14.25" customHeight="1" x14ac:dyDescent="0.7">
      <c r="F442" s="7"/>
      <c r="G442" s="7"/>
      <c r="H442" s="7"/>
      <c r="I442" s="7"/>
      <c r="J442" s="7"/>
      <c r="K442" s="7"/>
      <c r="L442" s="7"/>
      <c r="M442" s="7"/>
      <c r="N442" s="7"/>
    </row>
    <row r="443" spans="6:14" s="13" customFormat="1" ht="14.25" customHeight="1" x14ac:dyDescent="0.7">
      <c r="F443" s="7"/>
      <c r="G443" s="7"/>
      <c r="H443" s="7"/>
      <c r="I443" s="7"/>
      <c r="J443" s="7"/>
      <c r="K443" s="7"/>
      <c r="L443" s="7"/>
      <c r="M443" s="7"/>
      <c r="N443" s="7"/>
    </row>
    <row r="444" spans="6:14" s="13" customFormat="1" ht="14.25" customHeight="1" x14ac:dyDescent="0.7">
      <c r="F444" s="7"/>
      <c r="G444" s="7"/>
      <c r="H444" s="7"/>
      <c r="I444" s="7"/>
      <c r="J444" s="7"/>
      <c r="K444" s="7"/>
      <c r="L444" s="7"/>
      <c r="M444" s="7"/>
      <c r="N444" s="7"/>
    </row>
    <row r="445" spans="6:14" s="13" customFormat="1" ht="14.25" customHeight="1" x14ac:dyDescent="0.7">
      <c r="F445" s="7"/>
      <c r="G445" s="7"/>
      <c r="H445" s="7"/>
      <c r="I445" s="7"/>
      <c r="J445" s="7"/>
      <c r="K445" s="7"/>
      <c r="L445" s="7"/>
      <c r="M445" s="7"/>
      <c r="N445" s="7"/>
    </row>
    <row r="446" spans="6:14" s="13" customFormat="1" ht="14.25" customHeight="1" x14ac:dyDescent="0.7">
      <c r="F446" s="7"/>
      <c r="G446" s="7"/>
      <c r="H446" s="7"/>
      <c r="I446" s="7"/>
      <c r="J446" s="7"/>
      <c r="K446" s="7"/>
      <c r="L446" s="7"/>
      <c r="M446" s="7"/>
      <c r="N446" s="7"/>
    </row>
    <row r="447" spans="6:14" s="13" customFormat="1" ht="14.25" customHeight="1" x14ac:dyDescent="0.7">
      <c r="F447" s="7"/>
      <c r="G447" s="7"/>
      <c r="H447" s="7"/>
      <c r="I447" s="7"/>
      <c r="J447" s="7"/>
      <c r="K447" s="7"/>
      <c r="L447" s="7"/>
      <c r="M447" s="7"/>
      <c r="N447" s="7"/>
    </row>
    <row r="448" spans="6:14" s="13" customFormat="1" ht="14.25" customHeight="1" x14ac:dyDescent="0.7">
      <c r="F448" s="7"/>
      <c r="G448" s="7"/>
      <c r="H448" s="7"/>
      <c r="I448" s="7"/>
      <c r="J448" s="7"/>
      <c r="K448" s="7"/>
      <c r="L448" s="7"/>
      <c r="M448" s="7"/>
      <c r="N448" s="7"/>
    </row>
    <row r="449" spans="6:14" s="13" customFormat="1" ht="14.25" customHeight="1" x14ac:dyDescent="0.7">
      <c r="F449" s="7"/>
      <c r="G449" s="7"/>
      <c r="H449" s="7"/>
      <c r="I449" s="7"/>
      <c r="J449" s="7"/>
      <c r="K449" s="7"/>
      <c r="L449" s="7"/>
      <c r="M449" s="7"/>
      <c r="N449" s="7"/>
    </row>
    <row r="450" spans="6:14" s="13" customFormat="1" ht="14.25" customHeight="1" x14ac:dyDescent="0.7">
      <c r="F450" s="7"/>
      <c r="G450" s="7"/>
      <c r="H450" s="7"/>
      <c r="I450" s="7"/>
      <c r="J450" s="7"/>
      <c r="K450" s="7"/>
      <c r="L450" s="7"/>
      <c r="M450" s="7"/>
      <c r="N450" s="7"/>
    </row>
    <row r="451" spans="6:14" s="13" customFormat="1" ht="14.25" customHeight="1" x14ac:dyDescent="0.7">
      <c r="F451" s="7"/>
      <c r="G451" s="7"/>
      <c r="H451" s="7"/>
      <c r="I451" s="7"/>
      <c r="J451" s="7"/>
      <c r="K451" s="7"/>
      <c r="L451" s="7"/>
      <c r="M451" s="7"/>
      <c r="N451" s="7"/>
    </row>
    <row r="452" spans="6:14" s="13" customFormat="1" ht="14.25" customHeight="1" x14ac:dyDescent="0.7">
      <c r="F452" s="7"/>
      <c r="G452" s="7"/>
      <c r="H452" s="7"/>
      <c r="I452" s="7"/>
      <c r="J452" s="7"/>
      <c r="K452" s="7"/>
      <c r="L452" s="7"/>
      <c r="M452" s="7"/>
      <c r="N452" s="7"/>
    </row>
    <row r="453" spans="6:14" s="13" customFormat="1" ht="14.25" customHeight="1" x14ac:dyDescent="0.7">
      <c r="F453" s="7"/>
      <c r="G453" s="7"/>
      <c r="H453" s="7"/>
      <c r="I453" s="7"/>
      <c r="J453" s="7"/>
      <c r="K453" s="7"/>
      <c r="L453" s="7"/>
      <c r="M453" s="7"/>
      <c r="N453" s="7"/>
    </row>
    <row r="454" spans="6:14" s="13" customFormat="1" ht="14.25" customHeight="1" x14ac:dyDescent="0.7">
      <c r="F454" s="7"/>
      <c r="G454" s="7"/>
      <c r="H454" s="7"/>
      <c r="I454" s="7"/>
      <c r="J454" s="7"/>
      <c r="K454" s="7"/>
      <c r="L454" s="7"/>
      <c r="M454" s="7"/>
      <c r="N454" s="7"/>
    </row>
    <row r="455" spans="6:14" s="13" customFormat="1" ht="14.25" customHeight="1" x14ac:dyDescent="0.7">
      <c r="F455" s="7"/>
      <c r="G455" s="7"/>
      <c r="H455" s="7"/>
      <c r="I455" s="7"/>
      <c r="J455" s="7"/>
      <c r="K455" s="7"/>
      <c r="L455" s="7"/>
      <c r="M455" s="7"/>
      <c r="N455" s="7"/>
    </row>
    <row r="456" spans="6:14" s="13" customFormat="1" ht="14.25" customHeight="1" x14ac:dyDescent="0.7">
      <c r="F456" s="7"/>
      <c r="G456" s="7"/>
      <c r="H456" s="7"/>
      <c r="I456" s="7"/>
      <c r="J456" s="7"/>
      <c r="K456" s="7"/>
      <c r="L456" s="7"/>
      <c r="M456" s="7"/>
      <c r="N456" s="7"/>
    </row>
    <row r="457" spans="6:14" s="13" customFormat="1" ht="14.25" customHeight="1" x14ac:dyDescent="0.7">
      <c r="F457" s="7"/>
      <c r="G457" s="7"/>
      <c r="H457" s="7"/>
      <c r="I457" s="7"/>
      <c r="J457" s="7"/>
      <c r="K457" s="7"/>
      <c r="L457" s="7"/>
      <c r="M457" s="7"/>
      <c r="N457" s="7"/>
    </row>
    <row r="458" spans="6:14" s="13" customFormat="1" ht="14.25" customHeight="1" x14ac:dyDescent="0.7">
      <c r="F458" s="7"/>
      <c r="G458" s="7"/>
      <c r="H458" s="7"/>
      <c r="I458" s="7"/>
      <c r="J458" s="7"/>
      <c r="K458" s="7"/>
      <c r="L458" s="7"/>
      <c r="M458" s="7"/>
      <c r="N458" s="7"/>
    </row>
    <row r="459" spans="6:14" s="13" customFormat="1" ht="14.25" customHeight="1" x14ac:dyDescent="0.7">
      <c r="F459" s="7"/>
      <c r="G459" s="7"/>
      <c r="H459" s="7"/>
      <c r="I459" s="7"/>
      <c r="J459" s="7"/>
      <c r="K459" s="7"/>
      <c r="L459" s="7"/>
      <c r="M459" s="7"/>
      <c r="N459" s="7"/>
    </row>
    <row r="460" spans="6:14" s="13" customFormat="1" ht="14.25" customHeight="1" x14ac:dyDescent="0.7">
      <c r="F460" s="7"/>
      <c r="G460" s="7"/>
      <c r="H460" s="7"/>
      <c r="I460" s="7"/>
      <c r="J460" s="7"/>
      <c r="K460" s="7"/>
      <c r="L460" s="7"/>
      <c r="M460" s="7"/>
      <c r="N460" s="7"/>
    </row>
    <row r="461" spans="6:14" s="13" customFormat="1" ht="14.25" customHeight="1" x14ac:dyDescent="0.7">
      <c r="F461" s="7"/>
      <c r="G461" s="7"/>
      <c r="H461" s="7"/>
      <c r="I461" s="7"/>
      <c r="J461" s="7"/>
      <c r="K461" s="7"/>
      <c r="L461" s="7"/>
      <c r="M461" s="7"/>
      <c r="N461" s="7"/>
    </row>
    <row r="462" spans="6:14" s="13" customFormat="1" ht="14.25" customHeight="1" x14ac:dyDescent="0.7">
      <c r="F462" s="7"/>
      <c r="G462" s="7"/>
      <c r="H462" s="7"/>
      <c r="I462" s="7"/>
      <c r="J462" s="7"/>
      <c r="K462" s="7"/>
      <c r="L462" s="7"/>
      <c r="M462" s="7"/>
      <c r="N462" s="7"/>
    </row>
    <row r="463" spans="6:14" s="13" customFormat="1" ht="14.25" customHeight="1" x14ac:dyDescent="0.7">
      <c r="F463" s="7"/>
      <c r="G463" s="7"/>
      <c r="H463" s="7"/>
      <c r="I463" s="7"/>
      <c r="J463" s="7"/>
      <c r="K463" s="7"/>
      <c r="L463" s="7"/>
      <c r="M463" s="7"/>
      <c r="N463" s="7"/>
    </row>
    <row r="464" spans="6:14" s="13" customFormat="1" ht="14.25" customHeight="1" x14ac:dyDescent="0.7">
      <c r="F464" s="7"/>
      <c r="G464" s="7"/>
      <c r="H464" s="7"/>
      <c r="I464" s="7"/>
      <c r="J464" s="7"/>
      <c r="K464" s="7"/>
      <c r="L464" s="7"/>
      <c r="M464" s="7"/>
      <c r="N464" s="7"/>
    </row>
    <row r="465" spans="6:14" s="13" customFormat="1" ht="14.25" customHeight="1" x14ac:dyDescent="0.7">
      <c r="F465" s="7"/>
      <c r="G465" s="7"/>
      <c r="H465" s="7"/>
      <c r="I465" s="7"/>
      <c r="J465" s="7"/>
      <c r="K465" s="7"/>
      <c r="L465" s="7"/>
      <c r="M465" s="7"/>
      <c r="N465" s="7"/>
    </row>
    <row r="466" spans="6:14" s="13" customFormat="1" ht="14.25" customHeight="1" x14ac:dyDescent="0.7">
      <c r="F466" s="7"/>
      <c r="G466" s="7"/>
      <c r="H466" s="7"/>
      <c r="I466" s="7"/>
      <c r="J466" s="7"/>
      <c r="K466" s="7"/>
      <c r="L466" s="7"/>
      <c r="M466" s="7"/>
      <c r="N466" s="7"/>
    </row>
    <row r="467" spans="6:14" s="13" customFormat="1" ht="14.25" customHeight="1" x14ac:dyDescent="0.7">
      <c r="F467" s="7"/>
      <c r="G467" s="7"/>
      <c r="H467" s="7"/>
      <c r="I467" s="7"/>
      <c r="J467" s="7"/>
      <c r="K467" s="7"/>
      <c r="L467" s="7"/>
      <c r="M467" s="7"/>
      <c r="N467" s="7"/>
    </row>
    <row r="468" spans="6:14" s="13" customFormat="1" ht="14.25" customHeight="1" x14ac:dyDescent="0.7">
      <c r="F468" s="7"/>
      <c r="G468" s="7"/>
      <c r="H468" s="7"/>
      <c r="I468" s="7"/>
      <c r="J468" s="7"/>
      <c r="K468" s="7"/>
      <c r="L468" s="7"/>
      <c r="M468" s="7"/>
      <c r="N468" s="7"/>
    </row>
    <row r="469" spans="6:14" s="13" customFormat="1" ht="14.25" customHeight="1" x14ac:dyDescent="0.7">
      <c r="F469" s="7"/>
      <c r="G469" s="7"/>
      <c r="H469" s="7"/>
      <c r="I469" s="7"/>
      <c r="J469" s="7"/>
      <c r="K469" s="7"/>
      <c r="L469" s="7"/>
      <c r="M469" s="7"/>
      <c r="N469" s="7"/>
    </row>
    <row r="470" spans="6:14" s="13" customFormat="1" ht="14.25" customHeight="1" x14ac:dyDescent="0.7">
      <c r="F470" s="7"/>
      <c r="G470" s="7"/>
      <c r="H470" s="7"/>
      <c r="I470" s="7"/>
      <c r="J470" s="7"/>
      <c r="K470" s="7"/>
      <c r="L470" s="7"/>
      <c r="M470" s="7"/>
      <c r="N470" s="7"/>
    </row>
    <row r="471" spans="6:14" s="13" customFormat="1" ht="14.25" customHeight="1" x14ac:dyDescent="0.7">
      <c r="F471" s="7"/>
      <c r="G471" s="7"/>
      <c r="H471" s="7"/>
      <c r="I471" s="7"/>
      <c r="J471" s="7"/>
      <c r="K471" s="7"/>
      <c r="L471" s="7"/>
      <c r="M471" s="7"/>
      <c r="N471" s="7"/>
    </row>
    <row r="472" spans="6:14" s="13" customFormat="1" ht="14.25" customHeight="1" x14ac:dyDescent="0.7">
      <c r="F472" s="7"/>
      <c r="G472" s="7"/>
      <c r="H472" s="7"/>
      <c r="I472" s="7"/>
      <c r="J472" s="7"/>
      <c r="K472" s="7"/>
      <c r="L472" s="7"/>
      <c r="M472" s="7"/>
      <c r="N472" s="7"/>
    </row>
    <row r="473" spans="6:14" s="13" customFormat="1" ht="14.25" customHeight="1" x14ac:dyDescent="0.7">
      <c r="F473" s="7"/>
      <c r="G473" s="7"/>
      <c r="H473" s="7"/>
      <c r="I473" s="7"/>
      <c r="J473" s="7"/>
      <c r="K473" s="7"/>
      <c r="L473" s="7"/>
      <c r="M473" s="7"/>
      <c r="N473" s="7"/>
    </row>
    <row r="474" spans="6:14" s="13" customFormat="1" ht="14.25" customHeight="1" x14ac:dyDescent="0.7">
      <c r="F474" s="7"/>
      <c r="G474" s="7"/>
      <c r="H474" s="7"/>
      <c r="I474" s="7"/>
      <c r="J474" s="7"/>
      <c r="K474" s="7"/>
      <c r="L474" s="7"/>
      <c r="M474" s="7"/>
      <c r="N474" s="7"/>
    </row>
    <row r="475" spans="6:14" s="13" customFormat="1" ht="14.25" customHeight="1" x14ac:dyDescent="0.7">
      <c r="F475" s="7"/>
      <c r="G475" s="7"/>
      <c r="H475" s="7"/>
      <c r="I475" s="7"/>
      <c r="J475" s="7"/>
      <c r="K475" s="7"/>
      <c r="L475" s="7"/>
      <c r="M475" s="7"/>
      <c r="N475" s="7"/>
    </row>
    <row r="476" spans="6:14" s="13" customFormat="1" ht="14.25" customHeight="1" x14ac:dyDescent="0.7">
      <c r="F476" s="7"/>
      <c r="G476" s="7"/>
      <c r="H476" s="7"/>
      <c r="I476" s="7"/>
      <c r="J476" s="7"/>
      <c r="K476" s="7"/>
      <c r="L476" s="7"/>
      <c r="M476" s="7"/>
      <c r="N476" s="7"/>
    </row>
    <row r="477" spans="6:14" s="13" customFormat="1" ht="14.25" customHeight="1" x14ac:dyDescent="0.7">
      <c r="F477" s="7"/>
      <c r="G477" s="7"/>
      <c r="H477" s="7"/>
      <c r="I477" s="7"/>
      <c r="J477" s="7"/>
      <c r="K477" s="7"/>
      <c r="L477" s="7"/>
      <c r="M477" s="7"/>
      <c r="N477" s="7"/>
    </row>
    <row r="478" spans="6:14" s="13" customFormat="1" ht="14.25" customHeight="1" x14ac:dyDescent="0.7">
      <c r="F478" s="7"/>
      <c r="G478" s="7"/>
      <c r="H478" s="7"/>
      <c r="I478" s="7"/>
      <c r="J478" s="7"/>
      <c r="K478" s="7"/>
      <c r="L478" s="7"/>
      <c r="M478" s="7"/>
      <c r="N478" s="7"/>
    </row>
    <row r="479" spans="6:14" s="13" customFormat="1" ht="14.25" customHeight="1" x14ac:dyDescent="0.7">
      <c r="F479" s="7"/>
      <c r="G479" s="7"/>
      <c r="H479" s="7"/>
      <c r="I479" s="7"/>
      <c r="J479" s="7"/>
      <c r="K479" s="7"/>
      <c r="L479" s="7"/>
      <c r="M479" s="7"/>
      <c r="N479" s="7"/>
    </row>
    <row r="480" spans="6:14" s="13" customFormat="1" ht="14.25" customHeight="1" x14ac:dyDescent="0.7">
      <c r="F480" s="7"/>
      <c r="G480" s="7"/>
      <c r="H480" s="7"/>
      <c r="I480" s="7"/>
      <c r="J480" s="7"/>
      <c r="K480" s="7"/>
      <c r="L480" s="7"/>
      <c r="M480" s="7"/>
      <c r="N480" s="7"/>
    </row>
    <row r="481" spans="6:14" s="13" customFormat="1" ht="14.25" customHeight="1" x14ac:dyDescent="0.7">
      <c r="F481" s="7"/>
      <c r="G481" s="7"/>
      <c r="H481" s="7"/>
      <c r="I481" s="7"/>
      <c r="J481" s="7"/>
      <c r="K481" s="7"/>
      <c r="L481" s="7"/>
      <c r="M481" s="7"/>
      <c r="N481" s="7"/>
    </row>
    <row r="482" spans="6:14" s="13" customFormat="1" ht="14.25" customHeight="1" x14ac:dyDescent="0.7">
      <c r="F482" s="7"/>
      <c r="G482" s="7"/>
      <c r="H482" s="7"/>
      <c r="I482" s="7"/>
      <c r="J482" s="7"/>
      <c r="K482" s="7"/>
      <c r="L482" s="7"/>
      <c r="M482" s="7"/>
      <c r="N482" s="7"/>
    </row>
    <row r="483" spans="6:14" s="13" customFormat="1" ht="14.25" customHeight="1" x14ac:dyDescent="0.7">
      <c r="F483" s="7"/>
      <c r="G483" s="7"/>
      <c r="H483" s="7"/>
      <c r="I483" s="7"/>
      <c r="J483" s="7"/>
      <c r="K483" s="7"/>
      <c r="L483" s="7"/>
      <c r="M483" s="7"/>
      <c r="N483" s="7"/>
    </row>
    <row r="484" spans="6:14" s="13" customFormat="1" ht="14.25" customHeight="1" x14ac:dyDescent="0.7">
      <c r="F484" s="7"/>
      <c r="G484" s="7"/>
      <c r="H484" s="7"/>
      <c r="I484" s="7"/>
      <c r="J484" s="7"/>
      <c r="K484" s="7"/>
      <c r="L484" s="7"/>
      <c r="M484" s="7"/>
      <c r="N484" s="7"/>
    </row>
    <row r="485" spans="6:14" s="13" customFormat="1" ht="14.25" customHeight="1" x14ac:dyDescent="0.7">
      <c r="F485" s="7"/>
      <c r="G485" s="7"/>
      <c r="H485" s="7"/>
      <c r="I485" s="7"/>
      <c r="J485" s="7"/>
      <c r="K485" s="7"/>
      <c r="L485" s="7"/>
      <c r="M485" s="7"/>
      <c r="N485" s="7"/>
    </row>
    <row r="486" spans="6:14" s="13" customFormat="1" ht="14.25" customHeight="1" x14ac:dyDescent="0.7">
      <c r="F486" s="7"/>
      <c r="G486" s="7"/>
      <c r="H486" s="7"/>
      <c r="I486" s="7"/>
      <c r="J486" s="7"/>
      <c r="K486" s="7"/>
      <c r="L486" s="7"/>
      <c r="M486" s="7"/>
      <c r="N486" s="7"/>
    </row>
    <row r="487" spans="6:14" s="13" customFormat="1" ht="14.25" customHeight="1" x14ac:dyDescent="0.7">
      <c r="F487" s="7"/>
      <c r="G487" s="7"/>
      <c r="H487" s="7"/>
      <c r="I487" s="7"/>
      <c r="J487" s="7"/>
      <c r="K487" s="7"/>
      <c r="L487" s="7"/>
      <c r="M487" s="7"/>
      <c r="N487" s="7"/>
    </row>
    <row r="488" spans="6:14" s="13" customFormat="1" ht="14.25" customHeight="1" x14ac:dyDescent="0.7">
      <c r="F488" s="7"/>
      <c r="G488" s="7"/>
      <c r="H488" s="7"/>
      <c r="I488" s="7"/>
      <c r="J488" s="7"/>
      <c r="K488" s="7"/>
      <c r="L488" s="7"/>
      <c r="M488" s="7"/>
      <c r="N488" s="7"/>
    </row>
    <row r="489" spans="6:14" s="13" customFormat="1" ht="14.25" customHeight="1" x14ac:dyDescent="0.7">
      <c r="F489" s="7"/>
      <c r="G489" s="7"/>
      <c r="H489" s="7"/>
      <c r="I489" s="7"/>
      <c r="J489" s="7"/>
      <c r="K489" s="7"/>
      <c r="L489" s="7"/>
      <c r="M489" s="7"/>
      <c r="N489" s="7"/>
    </row>
    <row r="490" spans="6:14" s="13" customFormat="1" ht="14.25" customHeight="1" x14ac:dyDescent="0.7">
      <c r="F490" s="7"/>
      <c r="G490" s="7"/>
      <c r="H490" s="7"/>
      <c r="I490" s="7"/>
      <c r="J490" s="7"/>
      <c r="K490" s="7"/>
      <c r="L490" s="7"/>
      <c r="M490" s="7"/>
      <c r="N490" s="7"/>
    </row>
    <row r="491" spans="6:14" s="13" customFormat="1" ht="14.25" customHeight="1" x14ac:dyDescent="0.7">
      <c r="F491" s="7"/>
      <c r="G491" s="7"/>
      <c r="H491" s="7"/>
      <c r="I491" s="7"/>
      <c r="J491" s="7"/>
      <c r="K491" s="7"/>
      <c r="L491" s="7"/>
      <c r="M491" s="7"/>
      <c r="N491" s="7"/>
    </row>
    <row r="492" spans="6:14" s="13" customFormat="1" ht="14.25" customHeight="1" x14ac:dyDescent="0.7">
      <c r="F492" s="7"/>
      <c r="G492" s="7"/>
      <c r="H492" s="7"/>
      <c r="I492" s="7"/>
      <c r="J492" s="7"/>
      <c r="K492" s="7"/>
      <c r="L492" s="7"/>
      <c r="M492" s="7"/>
      <c r="N492" s="7"/>
    </row>
    <row r="493" spans="6:14" s="13" customFormat="1" ht="14.25" customHeight="1" x14ac:dyDescent="0.7">
      <c r="F493" s="7"/>
      <c r="G493" s="7"/>
      <c r="H493" s="7"/>
      <c r="I493" s="7"/>
      <c r="J493" s="7"/>
      <c r="K493" s="7"/>
      <c r="L493" s="7"/>
      <c r="M493" s="7"/>
      <c r="N493" s="7"/>
    </row>
    <row r="494" spans="6:14" s="13" customFormat="1" ht="14.25" customHeight="1" x14ac:dyDescent="0.7">
      <c r="F494" s="7"/>
      <c r="G494" s="7"/>
      <c r="H494" s="7"/>
      <c r="I494" s="7"/>
      <c r="J494" s="7"/>
      <c r="K494" s="7"/>
      <c r="L494" s="7"/>
      <c r="M494" s="7"/>
      <c r="N494" s="7"/>
    </row>
    <row r="495" spans="6:14" s="13" customFormat="1" ht="14.25" customHeight="1" x14ac:dyDescent="0.7">
      <c r="F495" s="7"/>
      <c r="G495" s="7"/>
      <c r="H495" s="7"/>
      <c r="I495" s="7"/>
      <c r="J495" s="7"/>
      <c r="K495" s="7"/>
      <c r="L495" s="7"/>
      <c r="M495" s="7"/>
      <c r="N495" s="7"/>
    </row>
    <row r="496" spans="6:14" s="13" customFormat="1" ht="14.25" customHeight="1" x14ac:dyDescent="0.7">
      <c r="F496" s="7"/>
      <c r="G496" s="7"/>
      <c r="H496" s="7"/>
      <c r="I496" s="7"/>
      <c r="J496" s="7"/>
      <c r="K496" s="7"/>
      <c r="L496" s="7"/>
      <c r="M496" s="7"/>
      <c r="N496" s="7"/>
    </row>
    <row r="497" spans="6:14" s="13" customFormat="1" ht="14.25" customHeight="1" x14ac:dyDescent="0.7">
      <c r="F497" s="7"/>
      <c r="G497" s="7"/>
      <c r="H497" s="7"/>
      <c r="I497" s="7"/>
      <c r="J497" s="7"/>
      <c r="K497" s="7"/>
      <c r="L497" s="7"/>
      <c r="M497" s="7"/>
      <c r="N497" s="7"/>
    </row>
    <row r="498" spans="6:14" s="13" customFormat="1" ht="14.25" customHeight="1" x14ac:dyDescent="0.7">
      <c r="F498" s="7"/>
      <c r="G498" s="7"/>
      <c r="H498" s="7"/>
      <c r="I498" s="7"/>
      <c r="J498" s="7"/>
      <c r="K498" s="7"/>
      <c r="L498" s="7"/>
      <c r="M498" s="7"/>
      <c r="N498" s="7"/>
    </row>
    <row r="499" spans="6:14" s="13" customFormat="1" ht="14.25" customHeight="1" x14ac:dyDescent="0.7">
      <c r="F499" s="7"/>
      <c r="G499" s="7"/>
      <c r="H499" s="7"/>
      <c r="I499" s="7"/>
      <c r="J499" s="7"/>
      <c r="K499" s="7"/>
      <c r="L499" s="7"/>
      <c r="M499" s="7"/>
      <c r="N499" s="7"/>
    </row>
    <row r="500" spans="6:14" s="13" customFormat="1" ht="14.25" customHeight="1" x14ac:dyDescent="0.7">
      <c r="F500" s="7"/>
      <c r="G500" s="7"/>
      <c r="H500" s="7"/>
      <c r="I500" s="7"/>
      <c r="J500" s="7"/>
      <c r="K500" s="7"/>
      <c r="L500" s="7"/>
      <c r="M500" s="7"/>
      <c r="N500" s="7"/>
    </row>
    <row r="501" spans="6:14" s="13" customFormat="1" ht="14.25" customHeight="1" x14ac:dyDescent="0.7">
      <c r="F501" s="7"/>
      <c r="G501" s="7"/>
      <c r="H501" s="7"/>
      <c r="I501" s="7"/>
      <c r="J501" s="7"/>
      <c r="K501" s="7"/>
      <c r="L501" s="7"/>
      <c r="M501" s="7"/>
      <c r="N501" s="7"/>
    </row>
    <row r="502" spans="6:14" s="13" customFormat="1" ht="14.25" customHeight="1" x14ac:dyDescent="0.7">
      <c r="F502" s="7"/>
      <c r="G502" s="7"/>
      <c r="H502" s="7"/>
      <c r="I502" s="7"/>
      <c r="J502" s="7"/>
      <c r="K502" s="7"/>
      <c r="L502" s="7"/>
      <c r="M502" s="7"/>
      <c r="N502" s="7"/>
    </row>
    <row r="503" spans="6:14" s="13" customFormat="1" ht="14.25" customHeight="1" x14ac:dyDescent="0.7">
      <c r="F503" s="7"/>
      <c r="G503" s="7"/>
      <c r="H503" s="7"/>
      <c r="I503" s="7"/>
      <c r="J503" s="7"/>
      <c r="K503" s="7"/>
      <c r="L503" s="7"/>
      <c r="M503" s="7"/>
      <c r="N503" s="7"/>
    </row>
    <row r="504" spans="6:14" s="13" customFormat="1" ht="14.25" customHeight="1" x14ac:dyDescent="0.7">
      <c r="F504" s="7"/>
      <c r="G504" s="7"/>
      <c r="H504" s="7"/>
      <c r="I504" s="7"/>
      <c r="J504" s="7"/>
      <c r="K504" s="7"/>
      <c r="L504" s="7"/>
      <c r="M504" s="7"/>
      <c r="N504" s="7"/>
    </row>
    <row r="505" spans="6:14" s="13" customFormat="1" ht="14.25" customHeight="1" x14ac:dyDescent="0.7">
      <c r="F505" s="7"/>
      <c r="G505" s="7"/>
      <c r="H505" s="7"/>
      <c r="I505" s="7"/>
      <c r="J505" s="7"/>
      <c r="K505" s="7"/>
      <c r="L505" s="7"/>
      <c r="M505" s="7"/>
      <c r="N505" s="7"/>
    </row>
    <row r="506" spans="6:14" s="13" customFormat="1" ht="14.25" customHeight="1" x14ac:dyDescent="0.7">
      <c r="F506" s="7"/>
      <c r="G506" s="7"/>
      <c r="H506" s="7"/>
      <c r="I506" s="7"/>
      <c r="J506" s="7"/>
      <c r="K506" s="7"/>
      <c r="L506" s="7"/>
      <c r="M506" s="7"/>
      <c r="N506" s="7"/>
    </row>
    <row r="507" spans="6:14" s="13" customFormat="1" ht="14.25" customHeight="1" x14ac:dyDescent="0.7">
      <c r="F507" s="7"/>
      <c r="G507" s="7"/>
      <c r="H507" s="7"/>
      <c r="I507" s="7"/>
      <c r="J507" s="7"/>
      <c r="K507" s="7"/>
      <c r="L507" s="7"/>
      <c r="M507" s="7"/>
      <c r="N507" s="7"/>
    </row>
    <row r="508" spans="6:14" s="13" customFormat="1" ht="14.25" customHeight="1" x14ac:dyDescent="0.7">
      <c r="F508" s="7"/>
      <c r="G508" s="7"/>
      <c r="H508" s="7"/>
      <c r="I508" s="7"/>
      <c r="J508" s="7"/>
      <c r="K508" s="7"/>
      <c r="L508" s="7"/>
      <c r="M508" s="7"/>
      <c r="N508" s="7"/>
    </row>
    <row r="509" spans="6:14" s="13" customFormat="1" ht="14.25" customHeight="1" x14ac:dyDescent="0.7">
      <c r="F509" s="7"/>
      <c r="G509" s="7"/>
      <c r="H509" s="7"/>
      <c r="I509" s="7"/>
      <c r="J509" s="7"/>
      <c r="K509" s="7"/>
      <c r="L509" s="7"/>
      <c r="M509" s="7"/>
      <c r="N509" s="7"/>
    </row>
    <row r="510" spans="6:14" s="13" customFormat="1" ht="14.25" customHeight="1" x14ac:dyDescent="0.7">
      <c r="F510" s="7"/>
      <c r="G510" s="7"/>
      <c r="H510" s="7"/>
      <c r="I510" s="7"/>
      <c r="J510" s="7"/>
      <c r="K510" s="7"/>
      <c r="L510" s="7"/>
      <c r="M510" s="7"/>
      <c r="N510" s="7"/>
    </row>
    <row r="511" spans="6:14" s="13" customFormat="1" ht="14.25" customHeight="1" x14ac:dyDescent="0.7">
      <c r="F511" s="7"/>
      <c r="G511" s="7"/>
      <c r="H511" s="7"/>
      <c r="I511" s="7"/>
      <c r="J511" s="7"/>
      <c r="K511" s="7"/>
      <c r="L511" s="7"/>
      <c r="M511" s="7"/>
      <c r="N511" s="7"/>
    </row>
    <row r="512" spans="6:14" s="13" customFormat="1" ht="14.25" customHeight="1" x14ac:dyDescent="0.7">
      <c r="F512" s="7"/>
      <c r="G512" s="7"/>
      <c r="H512" s="7"/>
      <c r="I512" s="7"/>
      <c r="J512" s="7"/>
      <c r="K512" s="7"/>
      <c r="L512" s="7"/>
      <c r="M512" s="7"/>
      <c r="N512" s="7"/>
    </row>
    <row r="513" spans="6:14" s="13" customFormat="1" ht="14.25" customHeight="1" x14ac:dyDescent="0.7">
      <c r="F513" s="7"/>
      <c r="G513" s="7"/>
      <c r="H513" s="7"/>
      <c r="I513" s="7"/>
      <c r="J513" s="7"/>
      <c r="K513" s="7"/>
      <c r="L513" s="7"/>
      <c r="M513" s="7"/>
      <c r="N513" s="7"/>
    </row>
    <row r="514" spans="6:14" s="13" customFormat="1" ht="14.25" customHeight="1" x14ac:dyDescent="0.7">
      <c r="F514" s="7"/>
      <c r="G514" s="7"/>
      <c r="H514" s="7"/>
      <c r="I514" s="7"/>
      <c r="J514" s="7"/>
      <c r="K514" s="7"/>
      <c r="L514" s="7"/>
      <c r="M514" s="7"/>
      <c r="N514" s="7"/>
    </row>
    <row r="515" spans="6:14" s="13" customFormat="1" ht="14.25" customHeight="1" x14ac:dyDescent="0.7">
      <c r="F515" s="7"/>
      <c r="G515" s="7"/>
      <c r="H515" s="7"/>
      <c r="I515" s="7"/>
      <c r="J515" s="7"/>
      <c r="K515" s="7"/>
      <c r="L515" s="7"/>
      <c r="M515" s="7"/>
      <c r="N515" s="7"/>
    </row>
    <row r="516" spans="6:14" s="13" customFormat="1" ht="14.25" customHeight="1" x14ac:dyDescent="0.7">
      <c r="F516" s="7"/>
      <c r="G516" s="7"/>
      <c r="H516" s="7"/>
      <c r="I516" s="7"/>
      <c r="J516" s="7"/>
      <c r="K516" s="7"/>
      <c r="L516" s="7"/>
      <c r="M516" s="7"/>
      <c r="N516" s="7"/>
    </row>
    <row r="517" spans="6:14" s="13" customFormat="1" ht="14.25" customHeight="1" x14ac:dyDescent="0.7">
      <c r="F517" s="7"/>
      <c r="G517" s="7"/>
      <c r="H517" s="7"/>
      <c r="I517" s="7"/>
      <c r="J517" s="7"/>
      <c r="K517" s="7"/>
      <c r="L517" s="7"/>
      <c r="M517" s="7"/>
      <c r="N517" s="7"/>
    </row>
    <row r="518" spans="6:14" s="13" customFormat="1" ht="14.25" customHeight="1" x14ac:dyDescent="0.7">
      <c r="F518" s="7"/>
      <c r="G518" s="7"/>
      <c r="H518" s="7"/>
      <c r="I518" s="7"/>
      <c r="J518" s="7"/>
      <c r="K518" s="7"/>
      <c r="L518" s="7"/>
      <c r="M518" s="7"/>
      <c r="N518" s="7"/>
    </row>
    <row r="519" spans="6:14" s="13" customFormat="1" ht="14.25" customHeight="1" x14ac:dyDescent="0.7">
      <c r="F519" s="7"/>
      <c r="G519" s="7"/>
      <c r="H519" s="7"/>
      <c r="I519" s="7"/>
      <c r="J519" s="7"/>
      <c r="K519" s="7"/>
      <c r="L519" s="7"/>
      <c r="M519" s="7"/>
      <c r="N519" s="7"/>
    </row>
    <row r="520" spans="6:14" s="13" customFormat="1" ht="14.25" customHeight="1" x14ac:dyDescent="0.7">
      <c r="F520" s="7"/>
      <c r="G520" s="7"/>
      <c r="H520" s="7"/>
      <c r="I520" s="7"/>
      <c r="J520" s="7"/>
      <c r="K520" s="7"/>
      <c r="L520" s="7"/>
      <c r="M520" s="7"/>
      <c r="N520" s="7"/>
    </row>
    <row r="521" spans="6:14" s="13" customFormat="1" ht="14.25" customHeight="1" x14ac:dyDescent="0.7">
      <c r="F521" s="7"/>
      <c r="G521" s="7"/>
      <c r="H521" s="7"/>
      <c r="I521" s="7"/>
      <c r="J521" s="7"/>
      <c r="K521" s="7"/>
      <c r="L521" s="7"/>
      <c r="M521" s="7"/>
      <c r="N521" s="7"/>
    </row>
    <row r="522" spans="6:14" s="13" customFormat="1" ht="14.25" customHeight="1" x14ac:dyDescent="0.7">
      <c r="F522" s="7"/>
      <c r="G522" s="7"/>
      <c r="H522" s="7"/>
      <c r="I522" s="7"/>
      <c r="J522" s="7"/>
      <c r="K522" s="7"/>
      <c r="L522" s="7"/>
      <c r="M522" s="7"/>
      <c r="N522" s="7"/>
    </row>
    <row r="523" spans="6:14" s="13" customFormat="1" ht="14.25" customHeight="1" x14ac:dyDescent="0.7">
      <c r="F523" s="7"/>
      <c r="G523" s="7"/>
      <c r="H523" s="7"/>
      <c r="I523" s="7"/>
      <c r="J523" s="7"/>
      <c r="K523" s="7"/>
      <c r="L523" s="7"/>
      <c r="M523" s="7"/>
      <c r="N523" s="7"/>
    </row>
    <row r="524" spans="6:14" s="13" customFormat="1" ht="14.25" customHeight="1" x14ac:dyDescent="0.7">
      <c r="F524" s="7"/>
      <c r="G524" s="7"/>
      <c r="H524" s="7"/>
      <c r="I524" s="7"/>
      <c r="J524" s="7"/>
      <c r="K524" s="7"/>
      <c r="L524" s="7"/>
      <c r="M524" s="7"/>
      <c r="N524" s="7"/>
    </row>
    <row r="525" spans="6:14" s="13" customFormat="1" ht="14.25" customHeight="1" x14ac:dyDescent="0.7">
      <c r="F525" s="7"/>
      <c r="G525" s="7"/>
      <c r="H525" s="7"/>
      <c r="I525" s="7"/>
      <c r="J525" s="7"/>
      <c r="K525" s="7"/>
      <c r="L525" s="7"/>
      <c r="M525" s="7"/>
      <c r="N525" s="7"/>
    </row>
    <row r="526" spans="6:14" s="13" customFormat="1" ht="14.25" customHeight="1" x14ac:dyDescent="0.7">
      <c r="F526" s="7"/>
      <c r="G526" s="7"/>
      <c r="H526" s="7"/>
      <c r="I526" s="7"/>
      <c r="J526" s="7"/>
      <c r="K526" s="7"/>
      <c r="L526" s="7"/>
      <c r="M526" s="7"/>
      <c r="N526" s="7"/>
    </row>
    <row r="527" spans="6:14" s="13" customFormat="1" ht="14.25" customHeight="1" x14ac:dyDescent="0.7">
      <c r="F527" s="7"/>
      <c r="G527" s="7"/>
      <c r="H527" s="7"/>
      <c r="I527" s="7"/>
      <c r="J527" s="7"/>
      <c r="K527" s="7"/>
      <c r="L527" s="7"/>
      <c r="M527" s="7"/>
      <c r="N527" s="7"/>
    </row>
    <row r="528" spans="6:14" s="13" customFormat="1" ht="14.25" customHeight="1" x14ac:dyDescent="0.7">
      <c r="F528" s="7"/>
      <c r="G528" s="7"/>
      <c r="H528" s="7"/>
      <c r="I528" s="7"/>
      <c r="J528" s="7"/>
      <c r="K528" s="7"/>
      <c r="L528" s="7"/>
      <c r="M528" s="7"/>
      <c r="N528" s="7"/>
    </row>
    <row r="529" spans="6:14" s="13" customFormat="1" ht="14.25" customHeight="1" x14ac:dyDescent="0.7">
      <c r="F529" s="7"/>
      <c r="G529" s="7"/>
      <c r="H529" s="7"/>
      <c r="I529" s="7"/>
      <c r="J529" s="7"/>
      <c r="K529" s="7"/>
      <c r="L529" s="7"/>
      <c r="M529" s="7"/>
      <c r="N529" s="7"/>
    </row>
    <row r="530" spans="6:14" s="13" customFormat="1" ht="14.25" customHeight="1" x14ac:dyDescent="0.7">
      <c r="F530" s="7"/>
      <c r="G530" s="7"/>
      <c r="H530" s="7"/>
      <c r="I530" s="7"/>
      <c r="J530" s="7"/>
      <c r="K530" s="7"/>
      <c r="L530" s="7"/>
      <c r="M530" s="7"/>
      <c r="N530" s="7"/>
    </row>
    <row r="531" spans="6:14" s="13" customFormat="1" ht="14.25" customHeight="1" x14ac:dyDescent="0.7">
      <c r="F531" s="7"/>
      <c r="G531" s="7"/>
      <c r="H531" s="7"/>
      <c r="I531" s="7"/>
      <c r="J531" s="7"/>
      <c r="K531" s="7"/>
      <c r="L531" s="7"/>
      <c r="M531" s="7"/>
      <c r="N531" s="7"/>
    </row>
    <row r="532" spans="6:14" s="13" customFormat="1" ht="14.25" customHeight="1" x14ac:dyDescent="0.7">
      <c r="F532" s="7"/>
      <c r="G532" s="7"/>
      <c r="H532" s="7"/>
      <c r="I532" s="7"/>
      <c r="J532" s="7"/>
      <c r="K532" s="7"/>
      <c r="L532" s="7"/>
      <c r="M532" s="7"/>
      <c r="N532" s="7"/>
    </row>
    <row r="533" spans="6:14" s="13" customFormat="1" ht="14.25" customHeight="1" x14ac:dyDescent="0.7">
      <c r="F533" s="7"/>
      <c r="G533" s="7"/>
      <c r="H533" s="7"/>
      <c r="I533" s="7"/>
      <c r="J533" s="7"/>
      <c r="K533" s="7"/>
      <c r="L533" s="7"/>
      <c r="M533" s="7"/>
      <c r="N533" s="7"/>
    </row>
    <row r="534" spans="6:14" s="13" customFormat="1" ht="14.25" customHeight="1" x14ac:dyDescent="0.7">
      <c r="F534" s="7"/>
      <c r="G534" s="7"/>
      <c r="H534" s="7"/>
      <c r="I534" s="7"/>
      <c r="J534" s="7"/>
      <c r="K534" s="7"/>
      <c r="L534" s="7"/>
      <c r="M534" s="7"/>
      <c r="N534" s="7"/>
    </row>
    <row r="535" spans="6:14" s="13" customFormat="1" ht="14.25" customHeight="1" x14ac:dyDescent="0.7">
      <c r="F535" s="7"/>
      <c r="G535" s="7"/>
      <c r="H535" s="7"/>
      <c r="I535" s="7"/>
      <c r="J535" s="7"/>
      <c r="K535" s="7"/>
      <c r="L535" s="7"/>
      <c r="M535" s="7"/>
      <c r="N535" s="7"/>
    </row>
    <row r="536" spans="6:14" s="13" customFormat="1" ht="14.25" customHeight="1" x14ac:dyDescent="0.7">
      <c r="F536" s="7"/>
      <c r="G536" s="7"/>
      <c r="H536" s="7"/>
      <c r="I536" s="7"/>
      <c r="J536" s="7"/>
      <c r="K536" s="7"/>
      <c r="L536" s="7"/>
      <c r="M536" s="7"/>
      <c r="N536" s="7"/>
    </row>
    <row r="537" spans="6:14" s="13" customFormat="1" ht="14.25" customHeight="1" x14ac:dyDescent="0.7">
      <c r="F537" s="7"/>
      <c r="G537" s="7"/>
      <c r="H537" s="7"/>
      <c r="I537" s="7"/>
      <c r="J537" s="7"/>
      <c r="K537" s="7"/>
      <c r="L537" s="7"/>
      <c r="M537" s="7"/>
      <c r="N537" s="7"/>
    </row>
    <row r="538" spans="6:14" s="13" customFormat="1" ht="14.25" customHeight="1" x14ac:dyDescent="0.7">
      <c r="F538" s="7"/>
      <c r="G538" s="7"/>
      <c r="H538" s="7"/>
      <c r="I538" s="7"/>
      <c r="J538" s="7"/>
      <c r="K538" s="7"/>
      <c r="L538" s="7"/>
      <c r="M538" s="7"/>
      <c r="N538" s="7"/>
    </row>
    <row r="539" spans="6:14" s="13" customFormat="1" ht="14.25" customHeight="1" x14ac:dyDescent="0.7">
      <c r="F539" s="7"/>
      <c r="G539" s="7"/>
      <c r="H539" s="7"/>
      <c r="I539" s="7"/>
      <c r="J539" s="7"/>
      <c r="K539" s="7"/>
      <c r="L539" s="7"/>
      <c r="M539" s="7"/>
      <c r="N539" s="7"/>
    </row>
    <row r="540" spans="6:14" s="13" customFormat="1" ht="14.25" customHeight="1" x14ac:dyDescent="0.7">
      <c r="F540" s="7"/>
      <c r="G540" s="7"/>
      <c r="H540" s="7"/>
      <c r="I540" s="7"/>
      <c r="J540" s="7"/>
      <c r="K540" s="7"/>
      <c r="L540" s="7"/>
      <c r="M540" s="7"/>
      <c r="N540" s="7"/>
    </row>
    <row r="541" spans="6:14" s="13" customFormat="1" ht="14.25" customHeight="1" x14ac:dyDescent="0.7">
      <c r="F541" s="7"/>
      <c r="G541" s="7"/>
      <c r="H541" s="7"/>
      <c r="I541" s="7"/>
      <c r="J541" s="7"/>
      <c r="K541" s="7"/>
      <c r="L541" s="7"/>
      <c r="M541" s="7"/>
      <c r="N541" s="7"/>
    </row>
    <row r="542" spans="6:14" s="13" customFormat="1" ht="14.25" customHeight="1" x14ac:dyDescent="0.7">
      <c r="F542" s="7"/>
      <c r="G542" s="7"/>
      <c r="H542" s="7"/>
      <c r="I542" s="7"/>
      <c r="J542" s="7"/>
      <c r="K542" s="7"/>
      <c r="L542" s="7"/>
      <c r="M542" s="7"/>
      <c r="N542" s="7"/>
    </row>
    <row r="543" spans="6:14" s="13" customFormat="1" ht="14.25" customHeight="1" x14ac:dyDescent="0.7">
      <c r="F543" s="7"/>
      <c r="G543" s="7"/>
      <c r="H543" s="7"/>
      <c r="I543" s="7"/>
      <c r="J543" s="7"/>
      <c r="K543" s="7"/>
      <c r="L543" s="7"/>
      <c r="M543" s="7"/>
      <c r="N543" s="7"/>
    </row>
    <row r="544" spans="6:14" s="13" customFormat="1" ht="14.25" customHeight="1" x14ac:dyDescent="0.7">
      <c r="F544" s="7"/>
      <c r="G544" s="7"/>
      <c r="H544" s="7"/>
      <c r="I544" s="7"/>
      <c r="J544" s="7"/>
      <c r="K544" s="7"/>
      <c r="L544" s="7"/>
      <c r="M544" s="7"/>
      <c r="N544" s="7"/>
    </row>
    <row r="545" spans="6:14" s="13" customFormat="1" ht="14.25" customHeight="1" x14ac:dyDescent="0.7">
      <c r="F545" s="7"/>
      <c r="G545" s="7"/>
      <c r="H545" s="7"/>
      <c r="I545" s="7"/>
      <c r="J545" s="7"/>
      <c r="K545" s="7"/>
      <c r="L545" s="7"/>
      <c r="M545" s="7"/>
      <c r="N545" s="7"/>
    </row>
    <row r="546" spans="6:14" s="13" customFormat="1" ht="14.25" customHeight="1" x14ac:dyDescent="0.7">
      <c r="F546" s="7"/>
      <c r="G546" s="7"/>
      <c r="H546" s="7"/>
      <c r="I546" s="7"/>
      <c r="J546" s="7"/>
      <c r="K546" s="7"/>
      <c r="L546" s="7"/>
      <c r="M546" s="7"/>
      <c r="N546" s="7"/>
    </row>
    <row r="547" spans="6:14" s="13" customFormat="1" ht="14.25" customHeight="1" x14ac:dyDescent="0.7">
      <c r="F547" s="7"/>
      <c r="G547" s="7"/>
      <c r="H547" s="7"/>
      <c r="I547" s="7"/>
      <c r="J547" s="7"/>
      <c r="K547" s="7"/>
      <c r="L547" s="7"/>
      <c r="M547" s="7"/>
      <c r="N547" s="7"/>
    </row>
    <row r="548" spans="6:14" s="13" customFormat="1" ht="14.25" customHeight="1" x14ac:dyDescent="0.7">
      <c r="F548" s="7"/>
      <c r="G548" s="7"/>
      <c r="H548" s="7"/>
      <c r="I548" s="7"/>
      <c r="J548" s="7"/>
      <c r="K548" s="7"/>
      <c r="L548" s="7"/>
      <c r="M548" s="7"/>
      <c r="N548" s="7"/>
    </row>
    <row r="549" spans="6:14" s="13" customFormat="1" ht="14.25" customHeight="1" x14ac:dyDescent="0.7">
      <c r="F549" s="7"/>
      <c r="G549" s="7"/>
      <c r="H549" s="7"/>
      <c r="I549" s="7"/>
      <c r="J549" s="7"/>
      <c r="K549" s="7"/>
      <c r="L549" s="7"/>
      <c r="M549" s="7"/>
      <c r="N549" s="7"/>
    </row>
    <row r="550" spans="6:14" s="13" customFormat="1" ht="14.25" customHeight="1" x14ac:dyDescent="0.7">
      <c r="F550" s="7"/>
      <c r="G550" s="7"/>
      <c r="H550" s="7"/>
      <c r="I550" s="7"/>
      <c r="J550" s="7"/>
      <c r="K550" s="7"/>
      <c r="L550" s="7"/>
      <c r="M550" s="7"/>
      <c r="N550" s="7"/>
    </row>
    <row r="551" spans="6:14" s="13" customFormat="1" ht="14.25" customHeight="1" x14ac:dyDescent="0.7">
      <c r="F551" s="7"/>
      <c r="G551" s="7"/>
      <c r="H551" s="7"/>
      <c r="I551" s="7"/>
      <c r="J551" s="7"/>
      <c r="K551" s="7"/>
      <c r="L551" s="7"/>
      <c r="M551" s="7"/>
      <c r="N551" s="7"/>
    </row>
    <row r="552" spans="6:14" s="13" customFormat="1" ht="14.25" customHeight="1" x14ac:dyDescent="0.7">
      <c r="F552" s="7"/>
      <c r="G552" s="7"/>
      <c r="H552" s="7"/>
      <c r="I552" s="7"/>
      <c r="J552" s="7"/>
      <c r="K552" s="7"/>
      <c r="L552" s="7"/>
      <c r="M552" s="7"/>
      <c r="N552" s="7"/>
    </row>
    <row r="553" spans="6:14" s="13" customFormat="1" ht="14.25" customHeight="1" x14ac:dyDescent="0.7">
      <c r="F553" s="7"/>
      <c r="G553" s="7"/>
      <c r="H553" s="7"/>
      <c r="I553" s="7"/>
      <c r="J553" s="7"/>
      <c r="K553" s="7"/>
      <c r="L553" s="7"/>
      <c r="M553" s="7"/>
      <c r="N553" s="7"/>
    </row>
    <row r="554" spans="6:14" s="13" customFormat="1" ht="14.25" customHeight="1" x14ac:dyDescent="0.7">
      <c r="F554" s="7"/>
      <c r="G554" s="7"/>
      <c r="H554" s="7"/>
      <c r="I554" s="7"/>
      <c r="J554" s="7"/>
      <c r="K554" s="7"/>
      <c r="L554" s="7"/>
      <c r="M554" s="7"/>
      <c r="N554" s="7"/>
    </row>
    <row r="555" spans="6:14" s="13" customFormat="1" ht="14.25" customHeight="1" x14ac:dyDescent="0.7">
      <c r="F555" s="7"/>
      <c r="G555" s="7"/>
      <c r="H555" s="7"/>
      <c r="I555" s="7"/>
      <c r="J555" s="7"/>
      <c r="K555" s="7"/>
      <c r="L555" s="7"/>
      <c r="M555" s="7"/>
      <c r="N555" s="7"/>
    </row>
    <row r="556" spans="6:14" s="13" customFormat="1" ht="14.25" customHeight="1" x14ac:dyDescent="0.7">
      <c r="F556" s="7"/>
      <c r="G556" s="7"/>
      <c r="H556" s="7"/>
      <c r="I556" s="7"/>
      <c r="J556" s="7"/>
      <c r="K556" s="7"/>
      <c r="L556" s="7"/>
      <c r="M556" s="7"/>
      <c r="N556" s="7"/>
    </row>
    <row r="557" spans="6:14" s="13" customFormat="1" ht="14.25" customHeight="1" x14ac:dyDescent="0.7">
      <c r="F557" s="7"/>
      <c r="G557" s="7"/>
      <c r="H557" s="7"/>
      <c r="I557" s="7"/>
      <c r="J557" s="7"/>
      <c r="K557" s="7"/>
      <c r="L557" s="7"/>
      <c r="M557" s="7"/>
      <c r="N557" s="7"/>
    </row>
    <row r="558" spans="6:14" s="13" customFormat="1" ht="14.25" customHeight="1" x14ac:dyDescent="0.7">
      <c r="F558" s="7"/>
      <c r="G558" s="7"/>
      <c r="H558" s="7"/>
      <c r="I558" s="7"/>
      <c r="J558" s="7"/>
      <c r="K558" s="7"/>
      <c r="L558" s="7"/>
      <c r="M558" s="7"/>
      <c r="N558" s="7"/>
    </row>
    <row r="559" spans="6:14" s="13" customFormat="1" ht="14.25" customHeight="1" x14ac:dyDescent="0.7">
      <c r="F559" s="7"/>
      <c r="G559" s="7"/>
      <c r="H559" s="7"/>
      <c r="I559" s="7"/>
      <c r="J559" s="7"/>
      <c r="K559" s="7"/>
      <c r="L559" s="7"/>
      <c r="M559" s="7"/>
      <c r="N559" s="7"/>
    </row>
    <row r="560" spans="6:14" s="13" customFormat="1" ht="14.25" customHeight="1" x14ac:dyDescent="0.7">
      <c r="F560" s="7"/>
      <c r="G560" s="7"/>
      <c r="H560" s="7"/>
      <c r="I560" s="7"/>
      <c r="J560" s="7"/>
      <c r="K560" s="7"/>
      <c r="L560" s="7"/>
      <c r="M560" s="7"/>
      <c r="N560" s="7"/>
    </row>
    <row r="561" spans="6:14" s="13" customFormat="1" ht="14.25" customHeight="1" x14ac:dyDescent="0.7">
      <c r="F561" s="7"/>
      <c r="G561" s="7"/>
      <c r="H561" s="7"/>
      <c r="I561" s="7"/>
      <c r="J561" s="7"/>
      <c r="K561" s="7"/>
      <c r="L561" s="7"/>
      <c r="M561" s="7"/>
      <c r="N561" s="7"/>
    </row>
    <row r="562" spans="6:14" s="13" customFormat="1" ht="14.25" customHeight="1" x14ac:dyDescent="0.7">
      <c r="F562" s="7"/>
      <c r="G562" s="7"/>
      <c r="H562" s="7"/>
      <c r="I562" s="7"/>
      <c r="J562" s="7"/>
      <c r="K562" s="7"/>
      <c r="L562" s="7"/>
      <c r="M562" s="7"/>
      <c r="N562" s="7"/>
    </row>
    <row r="563" spans="6:14" s="13" customFormat="1" ht="14.25" customHeight="1" x14ac:dyDescent="0.7">
      <c r="F563" s="7"/>
      <c r="G563" s="7"/>
      <c r="H563" s="7"/>
      <c r="I563" s="7"/>
      <c r="J563" s="7"/>
      <c r="K563" s="7"/>
      <c r="L563" s="7"/>
      <c r="M563" s="7"/>
      <c r="N563" s="7"/>
    </row>
    <row r="564" spans="6:14" s="13" customFormat="1" ht="14.25" customHeight="1" x14ac:dyDescent="0.7">
      <c r="F564" s="7"/>
      <c r="G564" s="7"/>
      <c r="H564" s="7"/>
      <c r="I564" s="7"/>
      <c r="J564" s="7"/>
      <c r="K564" s="7"/>
      <c r="L564" s="7"/>
      <c r="M564" s="7"/>
      <c r="N564" s="7"/>
    </row>
    <row r="565" spans="6:14" s="13" customFormat="1" ht="14.25" customHeight="1" x14ac:dyDescent="0.7">
      <c r="F565" s="7"/>
      <c r="G565" s="7"/>
      <c r="H565" s="7"/>
      <c r="I565" s="7"/>
      <c r="J565" s="7"/>
      <c r="K565" s="7"/>
      <c r="L565" s="7"/>
      <c r="M565" s="7"/>
      <c r="N565" s="7"/>
    </row>
    <row r="566" spans="6:14" s="13" customFormat="1" ht="14.25" customHeight="1" x14ac:dyDescent="0.7">
      <c r="F566" s="7"/>
      <c r="G566" s="7"/>
      <c r="H566" s="7"/>
      <c r="I566" s="7"/>
      <c r="J566" s="7"/>
      <c r="K566" s="7"/>
      <c r="L566" s="7"/>
      <c r="M566" s="7"/>
      <c r="N566" s="7"/>
    </row>
    <row r="567" spans="6:14" s="13" customFormat="1" ht="14.25" customHeight="1" x14ac:dyDescent="0.7">
      <c r="F567" s="7"/>
      <c r="G567" s="7"/>
      <c r="H567" s="7"/>
      <c r="I567" s="7"/>
      <c r="J567" s="7"/>
      <c r="K567" s="7"/>
      <c r="L567" s="7"/>
      <c r="M567" s="7"/>
      <c r="N567" s="7"/>
    </row>
    <row r="568" spans="6:14" s="13" customFormat="1" ht="14.25" customHeight="1" x14ac:dyDescent="0.7">
      <c r="F568" s="7"/>
      <c r="G568" s="7"/>
      <c r="H568" s="7"/>
      <c r="I568" s="7"/>
      <c r="J568" s="7"/>
      <c r="K568" s="7"/>
      <c r="L568" s="7"/>
      <c r="M568" s="7"/>
      <c r="N568" s="7"/>
    </row>
    <row r="569" spans="6:14" s="13" customFormat="1" ht="14.25" customHeight="1" x14ac:dyDescent="0.7">
      <c r="F569" s="7"/>
      <c r="G569" s="7"/>
      <c r="H569" s="7"/>
      <c r="I569" s="7"/>
      <c r="J569" s="7"/>
      <c r="K569" s="7"/>
      <c r="L569" s="7"/>
      <c r="M569" s="7"/>
      <c r="N569" s="7"/>
    </row>
    <row r="570" spans="6:14" s="13" customFormat="1" ht="14.25" customHeight="1" x14ac:dyDescent="0.7">
      <c r="F570" s="7"/>
      <c r="G570" s="7"/>
      <c r="H570" s="7"/>
      <c r="I570" s="7"/>
      <c r="J570" s="7"/>
      <c r="K570" s="7"/>
      <c r="L570" s="7"/>
      <c r="M570" s="7"/>
      <c r="N570" s="7"/>
    </row>
    <row r="571" spans="6:14" s="13" customFormat="1" ht="14.25" customHeight="1" x14ac:dyDescent="0.7">
      <c r="F571" s="7"/>
      <c r="G571" s="7"/>
      <c r="H571" s="7"/>
      <c r="I571" s="7"/>
      <c r="J571" s="7"/>
      <c r="K571" s="7"/>
      <c r="L571" s="7"/>
      <c r="M571" s="7"/>
      <c r="N571" s="7"/>
    </row>
    <row r="572" spans="6:14" s="13" customFormat="1" ht="14.25" customHeight="1" x14ac:dyDescent="0.7">
      <c r="F572" s="7"/>
      <c r="G572" s="7"/>
      <c r="H572" s="7"/>
      <c r="I572" s="7"/>
      <c r="J572" s="7"/>
      <c r="K572" s="7"/>
      <c r="L572" s="7"/>
      <c r="M572" s="7"/>
      <c r="N572" s="7"/>
    </row>
    <row r="573" spans="6:14" s="13" customFormat="1" ht="14.25" customHeight="1" x14ac:dyDescent="0.7">
      <c r="F573" s="7"/>
      <c r="G573" s="7"/>
      <c r="H573" s="7"/>
      <c r="I573" s="7"/>
      <c r="J573" s="7"/>
      <c r="K573" s="7"/>
      <c r="L573" s="7"/>
      <c r="M573" s="7"/>
      <c r="N573" s="7"/>
    </row>
    <row r="574" spans="6:14" s="13" customFormat="1" ht="14.25" customHeight="1" x14ac:dyDescent="0.7">
      <c r="F574" s="7"/>
      <c r="G574" s="7"/>
      <c r="H574" s="7"/>
      <c r="I574" s="7"/>
      <c r="J574" s="7"/>
      <c r="K574" s="7"/>
      <c r="L574" s="7"/>
      <c r="M574" s="7"/>
      <c r="N574" s="7"/>
    </row>
    <row r="575" spans="6:14" s="13" customFormat="1" ht="14.25" customHeight="1" x14ac:dyDescent="0.7">
      <c r="F575" s="7"/>
      <c r="G575" s="7"/>
      <c r="H575" s="7"/>
      <c r="I575" s="7"/>
      <c r="J575" s="7"/>
      <c r="K575" s="7"/>
      <c r="L575" s="7"/>
      <c r="M575" s="7"/>
      <c r="N575" s="7"/>
    </row>
    <row r="576" spans="6:14" s="13" customFormat="1" ht="14.25" customHeight="1" x14ac:dyDescent="0.7">
      <c r="F576" s="7"/>
      <c r="G576" s="7"/>
      <c r="H576" s="7"/>
      <c r="I576" s="7"/>
      <c r="J576" s="7"/>
      <c r="K576" s="7"/>
      <c r="L576" s="7"/>
      <c r="M576" s="7"/>
      <c r="N576" s="7"/>
    </row>
    <row r="577" spans="6:14" s="13" customFormat="1" ht="14.25" customHeight="1" x14ac:dyDescent="0.7">
      <c r="F577" s="7"/>
      <c r="G577" s="7"/>
      <c r="H577" s="7"/>
      <c r="I577" s="7"/>
      <c r="J577" s="7"/>
      <c r="K577" s="7"/>
      <c r="L577" s="7"/>
      <c r="M577" s="7"/>
      <c r="N577" s="7"/>
    </row>
    <row r="578" spans="6:14" s="13" customFormat="1" ht="14.25" customHeight="1" x14ac:dyDescent="0.7">
      <c r="F578" s="7"/>
      <c r="G578" s="7"/>
      <c r="H578" s="7"/>
      <c r="I578" s="7"/>
      <c r="J578" s="7"/>
      <c r="K578" s="7"/>
      <c r="L578" s="7"/>
      <c r="M578" s="7"/>
      <c r="N578" s="7"/>
    </row>
    <row r="579" spans="6:14" s="13" customFormat="1" ht="14.25" customHeight="1" x14ac:dyDescent="0.7">
      <c r="F579" s="7"/>
      <c r="G579" s="7"/>
      <c r="H579" s="7"/>
      <c r="I579" s="7"/>
      <c r="J579" s="7"/>
      <c r="K579" s="7"/>
      <c r="L579" s="7"/>
      <c r="M579" s="7"/>
      <c r="N579" s="7"/>
    </row>
    <row r="580" spans="6:14" s="13" customFormat="1" ht="14.25" customHeight="1" x14ac:dyDescent="0.7">
      <c r="F580" s="7"/>
      <c r="G580" s="7"/>
      <c r="H580" s="7"/>
      <c r="I580" s="7"/>
      <c r="J580" s="7"/>
      <c r="K580" s="7"/>
      <c r="L580" s="7"/>
      <c r="M580" s="7"/>
      <c r="N580" s="7"/>
    </row>
    <row r="581" spans="6:14" s="13" customFormat="1" ht="14.25" customHeight="1" x14ac:dyDescent="0.7">
      <c r="F581" s="7"/>
      <c r="G581" s="7"/>
      <c r="H581" s="7"/>
      <c r="I581" s="7"/>
      <c r="J581" s="7"/>
      <c r="K581" s="7"/>
      <c r="L581" s="7"/>
      <c r="M581" s="7"/>
      <c r="N581" s="7"/>
    </row>
    <row r="582" spans="6:14" s="13" customFormat="1" ht="14.25" customHeight="1" x14ac:dyDescent="0.7">
      <c r="F582" s="7"/>
      <c r="G582" s="7"/>
      <c r="H582" s="7"/>
      <c r="I582" s="7"/>
      <c r="J582" s="7"/>
      <c r="K582" s="7"/>
      <c r="L582" s="7"/>
      <c r="M582" s="7"/>
      <c r="N582" s="7"/>
    </row>
    <row r="583" spans="6:14" s="13" customFormat="1" ht="14.25" customHeight="1" x14ac:dyDescent="0.7">
      <c r="F583" s="7"/>
      <c r="G583" s="7"/>
      <c r="H583" s="7"/>
      <c r="I583" s="7"/>
      <c r="J583" s="7"/>
      <c r="K583" s="7"/>
      <c r="L583" s="7"/>
      <c r="M583" s="7"/>
      <c r="N583" s="7"/>
    </row>
    <row r="584" spans="6:14" s="13" customFormat="1" ht="14.25" customHeight="1" x14ac:dyDescent="0.7">
      <c r="F584" s="7"/>
      <c r="G584" s="7"/>
      <c r="H584" s="7"/>
      <c r="I584" s="7"/>
      <c r="J584" s="7"/>
      <c r="K584" s="7"/>
      <c r="L584" s="7"/>
      <c r="M584" s="7"/>
      <c r="N584" s="7"/>
    </row>
    <row r="585" spans="6:14" s="13" customFormat="1" ht="14.25" customHeight="1" x14ac:dyDescent="0.7">
      <c r="F585" s="7"/>
      <c r="G585" s="7"/>
      <c r="H585" s="7"/>
      <c r="I585" s="7"/>
      <c r="J585" s="7"/>
      <c r="K585" s="7"/>
      <c r="L585" s="7"/>
      <c r="M585" s="7"/>
      <c r="N585" s="7"/>
    </row>
    <row r="586" spans="6:14" s="13" customFormat="1" ht="14.25" customHeight="1" x14ac:dyDescent="0.7">
      <c r="F586" s="7"/>
      <c r="G586" s="7"/>
      <c r="H586" s="7"/>
      <c r="I586" s="7"/>
      <c r="J586" s="7"/>
      <c r="K586" s="7"/>
      <c r="L586" s="7"/>
      <c r="M586" s="7"/>
      <c r="N586" s="7"/>
    </row>
    <row r="587" spans="6:14" s="13" customFormat="1" ht="14.25" customHeight="1" x14ac:dyDescent="0.7">
      <c r="F587" s="7"/>
      <c r="G587" s="7"/>
      <c r="H587" s="7"/>
      <c r="I587" s="7"/>
      <c r="J587" s="7"/>
      <c r="K587" s="7"/>
      <c r="L587" s="7"/>
      <c r="M587" s="7"/>
      <c r="N587" s="7"/>
    </row>
    <row r="588" spans="6:14" s="13" customFormat="1" ht="14.25" customHeight="1" x14ac:dyDescent="0.7">
      <c r="F588" s="7"/>
      <c r="G588" s="7"/>
      <c r="H588" s="7"/>
      <c r="I588" s="7"/>
      <c r="J588" s="7"/>
      <c r="K588" s="7"/>
      <c r="L588" s="7"/>
      <c r="M588" s="7"/>
      <c r="N588" s="7"/>
    </row>
    <row r="589" spans="6:14" s="13" customFormat="1" ht="14.25" customHeight="1" x14ac:dyDescent="0.7">
      <c r="F589" s="7"/>
      <c r="G589" s="7"/>
      <c r="H589" s="7"/>
      <c r="I589" s="7"/>
      <c r="J589" s="7"/>
      <c r="K589" s="7"/>
      <c r="L589" s="7"/>
      <c r="M589" s="7"/>
      <c r="N589" s="7"/>
    </row>
    <row r="590" spans="6:14" s="13" customFormat="1" ht="14.25" customHeight="1" x14ac:dyDescent="0.7">
      <c r="F590" s="7"/>
      <c r="G590" s="7"/>
      <c r="H590" s="7"/>
      <c r="I590" s="7"/>
      <c r="J590" s="7"/>
      <c r="K590" s="7"/>
      <c r="L590" s="7"/>
      <c r="M590" s="7"/>
      <c r="N590" s="7"/>
    </row>
    <row r="591" spans="6:14" s="13" customFormat="1" ht="14.25" customHeight="1" x14ac:dyDescent="0.7">
      <c r="F591" s="7"/>
      <c r="G591" s="7"/>
      <c r="H591" s="7"/>
      <c r="I591" s="7"/>
      <c r="J591" s="7"/>
      <c r="K591" s="7"/>
      <c r="L591" s="7"/>
      <c r="M591" s="7"/>
      <c r="N591" s="7"/>
    </row>
    <row r="592" spans="6:14" s="13" customFormat="1" ht="14.25" customHeight="1" x14ac:dyDescent="0.7">
      <c r="F592" s="7"/>
      <c r="G592" s="7"/>
      <c r="H592" s="7"/>
      <c r="I592" s="7"/>
      <c r="J592" s="7"/>
      <c r="K592" s="7"/>
      <c r="L592" s="7"/>
      <c r="M592" s="7"/>
      <c r="N592" s="7"/>
    </row>
    <row r="593" spans="6:14" s="13" customFormat="1" ht="14.25" customHeight="1" x14ac:dyDescent="0.7">
      <c r="F593" s="7"/>
      <c r="G593" s="7"/>
      <c r="H593" s="7"/>
      <c r="I593" s="7"/>
      <c r="J593" s="7"/>
      <c r="K593" s="7"/>
      <c r="L593" s="7"/>
      <c r="M593" s="7"/>
      <c r="N593" s="7"/>
    </row>
    <row r="594" spans="6:14" s="13" customFormat="1" ht="14.25" customHeight="1" x14ac:dyDescent="0.7">
      <c r="F594" s="7"/>
      <c r="G594" s="7"/>
      <c r="H594" s="7"/>
      <c r="I594" s="7"/>
      <c r="J594" s="7"/>
      <c r="K594" s="7"/>
      <c r="L594" s="7"/>
      <c r="M594" s="7"/>
      <c r="N594" s="7"/>
    </row>
    <row r="595" spans="6:14" s="13" customFormat="1" ht="14.25" customHeight="1" x14ac:dyDescent="0.7">
      <c r="F595" s="7"/>
      <c r="G595" s="7"/>
      <c r="H595" s="7"/>
      <c r="I595" s="7"/>
      <c r="J595" s="7"/>
      <c r="K595" s="7"/>
      <c r="L595" s="7"/>
      <c r="M595" s="7"/>
      <c r="N595" s="7"/>
    </row>
    <row r="596" spans="6:14" s="13" customFormat="1" ht="14.25" customHeight="1" x14ac:dyDescent="0.7">
      <c r="F596" s="7"/>
      <c r="G596" s="7"/>
      <c r="H596" s="7"/>
      <c r="I596" s="7"/>
      <c r="J596" s="7"/>
      <c r="K596" s="7"/>
      <c r="L596" s="7"/>
      <c r="M596" s="7"/>
      <c r="N596" s="7"/>
    </row>
    <row r="597" spans="6:14" s="13" customFormat="1" ht="14.25" customHeight="1" x14ac:dyDescent="0.7">
      <c r="F597" s="7"/>
      <c r="G597" s="7"/>
      <c r="H597" s="7"/>
      <c r="I597" s="7"/>
      <c r="J597" s="7"/>
      <c r="K597" s="7"/>
      <c r="L597" s="7"/>
      <c r="M597" s="7"/>
      <c r="N597" s="7"/>
    </row>
    <row r="598" spans="6:14" s="13" customFormat="1" ht="14.25" customHeight="1" x14ac:dyDescent="0.7">
      <c r="F598" s="7"/>
      <c r="G598" s="7"/>
      <c r="H598" s="7"/>
      <c r="I598" s="7"/>
      <c r="J598" s="7"/>
      <c r="K598" s="7"/>
      <c r="L598" s="7"/>
      <c r="M598" s="7"/>
      <c r="N598" s="7"/>
    </row>
    <row r="599" spans="6:14" s="13" customFormat="1" ht="14.25" customHeight="1" x14ac:dyDescent="0.7">
      <c r="F599" s="7"/>
      <c r="G599" s="7"/>
      <c r="H599" s="7"/>
      <c r="I599" s="7"/>
      <c r="J599" s="7"/>
      <c r="K599" s="7"/>
      <c r="L599" s="7"/>
      <c r="M599" s="7"/>
      <c r="N599" s="7"/>
    </row>
    <row r="600" spans="6:14" s="13" customFormat="1" ht="14.25" customHeight="1" x14ac:dyDescent="0.7">
      <c r="F600" s="7"/>
      <c r="G600" s="7"/>
      <c r="H600" s="7"/>
      <c r="I600" s="7"/>
      <c r="J600" s="7"/>
      <c r="K600" s="7"/>
      <c r="L600" s="7"/>
      <c r="M600" s="7"/>
      <c r="N600" s="7"/>
    </row>
    <row r="601" spans="6:14" s="13" customFormat="1" ht="14.25" customHeight="1" x14ac:dyDescent="0.7">
      <c r="F601" s="7"/>
      <c r="G601" s="7"/>
      <c r="H601" s="7"/>
      <c r="I601" s="7"/>
      <c r="J601" s="7"/>
      <c r="K601" s="7"/>
      <c r="L601" s="7"/>
      <c r="M601" s="7"/>
      <c r="N601" s="7"/>
    </row>
    <row r="602" spans="6:14" s="13" customFormat="1" ht="14.25" customHeight="1" x14ac:dyDescent="0.7">
      <c r="F602" s="7"/>
      <c r="G602" s="7"/>
      <c r="H602" s="7"/>
      <c r="I602" s="7"/>
      <c r="J602" s="7"/>
      <c r="K602" s="7"/>
      <c r="L602" s="7"/>
      <c r="M602" s="7"/>
      <c r="N602" s="7"/>
    </row>
    <row r="603" spans="6:14" s="13" customFormat="1" ht="14.25" customHeight="1" x14ac:dyDescent="0.7">
      <c r="F603" s="7"/>
      <c r="G603" s="7"/>
      <c r="H603" s="7"/>
      <c r="I603" s="7"/>
      <c r="J603" s="7"/>
      <c r="K603" s="7"/>
      <c r="L603" s="7"/>
      <c r="M603" s="7"/>
      <c r="N603" s="7"/>
    </row>
    <row r="604" spans="6:14" s="13" customFormat="1" ht="14.25" customHeight="1" x14ac:dyDescent="0.7">
      <c r="F604" s="7"/>
      <c r="G604" s="7"/>
      <c r="H604" s="7"/>
      <c r="I604" s="7"/>
      <c r="J604" s="7"/>
      <c r="K604" s="7"/>
      <c r="L604" s="7"/>
      <c r="M604" s="7"/>
      <c r="N604" s="7"/>
    </row>
    <row r="605" spans="6:14" s="13" customFormat="1" ht="14.25" customHeight="1" x14ac:dyDescent="0.7">
      <c r="F605" s="7"/>
      <c r="G605" s="7"/>
      <c r="H605" s="7"/>
      <c r="I605" s="7"/>
      <c r="J605" s="7"/>
      <c r="K605" s="7"/>
      <c r="L605" s="7"/>
      <c r="M605" s="7"/>
      <c r="N605" s="7"/>
    </row>
    <row r="606" spans="6:14" s="13" customFormat="1" ht="14.25" customHeight="1" x14ac:dyDescent="0.7">
      <c r="F606" s="7"/>
      <c r="G606" s="7"/>
      <c r="H606" s="7"/>
      <c r="I606" s="7"/>
      <c r="J606" s="7"/>
      <c r="K606" s="7"/>
      <c r="L606" s="7"/>
      <c r="M606" s="7"/>
      <c r="N606" s="7"/>
    </row>
    <row r="607" spans="6:14" s="13" customFormat="1" ht="14.25" customHeight="1" x14ac:dyDescent="0.7">
      <c r="F607" s="7"/>
      <c r="G607" s="7"/>
      <c r="H607" s="7"/>
      <c r="I607" s="7"/>
      <c r="J607" s="7"/>
      <c r="K607" s="7"/>
      <c r="L607" s="7"/>
      <c r="M607" s="7"/>
      <c r="N607" s="7"/>
    </row>
    <row r="608" spans="6:14" s="13" customFormat="1" ht="14.25" customHeight="1" x14ac:dyDescent="0.7">
      <c r="F608" s="7"/>
      <c r="G608" s="7"/>
      <c r="H608" s="7"/>
      <c r="I608" s="7"/>
      <c r="J608" s="7"/>
      <c r="K608" s="7"/>
      <c r="L608" s="7"/>
      <c r="M608" s="7"/>
      <c r="N608" s="7"/>
    </row>
    <row r="609" spans="6:14" s="13" customFormat="1" ht="14.25" customHeight="1" x14ac:dyDescent="0.7">
      <c r="F609" s="7"/>
      <c r="G609" s="7"/>
      <c r="H609" s="7"/>
      <c r="I609" s="7"/>
      <c r="J609" s="7"/>
      <c r="K609" s="7"/>
      <c r="L609" s="7"/>
      <c r="M609" s="7"/>
      <c r="N609" s="7"/>
    </row>
    <row r="610" spans="6:14" s="13" customFormat="1" ht="14.25" customHeight="1" x14ac:dyDescent="0.7">
      <c r="F610" s="7"/>
      <c r="G610" s="7"/>
      <c r="H610" s="7"/>
      <c r="I610" s="7"/>
      <c r="J610" s="7"/>
      <c r="K610" s="7"/>
      <c r="L610" s="7"/>
      <c r="M610" s="7"/>
      <c r="N610" s="7"/>
    </row>
    <row r="611" spans="6:14" s="13" customFormat="1" ht="14.25" customHeight="1" x14ac:dyDescent="0.7">
      <c r="F611" s="7"/>
      <c r="G611" s="7"/>
      <c r="H611" s="7"/>
      <c r="I611" s="7"/>
      <c r="J611" s="7"/>
      <c r="K611" s="7"/>
      <c r="L611" s="7"/>
      <c r="M611" s="7"/>
      <c r="N611" s="7"/>
    </row>
    <row r="612" spans="6:14" s="13" customFormat="1" ht="14.25" customHeight="1" x14ac:dyDescent="0.7">
      <c r="F612" s="7"/>
      <c r="G612" s="7"/>
      <c r="H612" s="7"/>
      <c r="I612" s="7"/>
      <c r="J612" s="7"/>
      <c r="K612" s="7"/>
      <c r="L612" s="7"/>
      <c r="M612" s="7"/>
      <c r="N612" s="7"/>
    </row>
    <row r="613" spans="6:14" s="13" customFormat="1" ht="14.25" customHeight="1" x14ac:dyDescent="0.7">
      <c r="F613" s="7"/>
      <c r="G613" s="7"/>
      <c r="H613" s="7"/>
      <c r="I613" s="7"/>
      <c r="J613" s="7"/>
      <c r="K613" s="7"/>
      <c r="L613" s="7"/>
      <c r="M613" s="7"/>
      <c r="N613" s="7"/>
    </row>
    <row r="614" spans="6:14" s="13" customFormat="1" ht="14.25" customHeight="1" x14ac:dyDescent="0.7">
      <c r="F614" s="7"/>
      <c r="G614" s="7"/>
      <c r="H614" s="7"/>
      <c r="I614" s="7"/>
      <c r="J614" s="7"/>
      <c r="K614" s="7"/>
      <c r="L614" s="7"/>
      <c r="M614" s="7"/>
      <c r="N614" s="7"/>
    </row>
    <row r="615" spans="6:14" s="13" customFormat="1" ht="14.25" customHeight="1" x14ac:dyDescent="0.7">
      <c r="F615" s="7"/>
      <c r="G615" s="7"/>
      <c r="H615" s="7"/>
      <c r="I615" s="7"/>
      <c r="J615" s="7"/>
      <c r="K615" s="7"/>
      <c r="L615" s="7"/>
      <c r="M615" s="7"/>
      <c r="N615" s="7"/>
    </row>
    <row r="616" spans="6:14" s="13" customFormat="1" ht="14.25" customHeight="1" x14ac:dyDescent="0.7">
      <c r="F616" s="7"/>
      <c r="G616" s="7"/>
      <c r="H616" s="7"/>
      <c r="I616" s="7"/>
      <c r="J616" s="7"/>
      <c r="K616" s="7"/>
      <c r="L616" s="7"/>
      <c r="M616" s="7"/>
      <c r="N616" s="7"/>
    </row>
    <row r="617" spans="6:14" s="13" customFormat="1" ht="14.25" customHeight="1" x14ac:dyDescent="0.7">
      <c r="F617" s="7"/>
      <c r="G617" s="7"/>
      <c r="H617" s="7"/>
      <c r="I617" s="7"/>
      <c r="J617" s="7"/>
      <c r="K617" s="7"/>
      <c r="L617" s="7"/>
      <c r="M617" s="7"/>
      <c r="N617" s="7"/>
    </row>
    <row r="618" spans="6:14" s="13" customFormat="1" ht="14.25" customHeight="1" x14ac:dyDescent="0.7">
      <c r="F618" s="7"/>
      <c r="G618" s="7"/>
      <c r="H618" s="7"/>
      <c r="I618" s="7"/>
      <c r="J618" s="7"/>
      <c r="K618" s="7"/>
      <c r="L618" s="7"/>
      <c r="M618" s="7"/>
      <c r="N618" s="7"/>
    </row>
    <row r="619" spans="6:14" s="13" customFormat="1" ht="14.25" customHeight="1" x14ac:dyDescent="0.7">
      <c r="F619" s="7"/>
      <c r="G619" s="7"/>
      <c r="H619" s="7"/>
      <c r="I619" s="7"/>
      <c r="J619" s="7"/>
      <c r="K619" s="7"/>
      <c r="L619" s="7"/>
      <c r="M619" s="7"/>
      <c r="N619" s="7"/>
    </row>
    <row r="620" spans="6:14" s="13" customFormat="1" ht="14.25" customHeight="1" x14ac:dyDescent="0.7">
      <c r="F620" s="7"/>
      <c r="G620" s="7"/>
      <c r="H620" s="7"/>
      <c r="I620" s="7"/>
      <c r="J620" s="7"/>
      <c r="K620" s="7"/>
      <c r="L620" s="7"/>
      <c r="M620" s="7"/>
      <c r="N620" s="7"/>
    </row>
    <row r="621" spans="6:14" s="13" customFormat="1" ht="14.25" customHeight="1" x14ac:dyDescent="0.7">
      <c r="F621" s="7"/>
      <c r="G621" s="7"/>
      <c r="H621" s="7"/>
      <c r="I621" s="7"/>
      <c r="J621" s="7"/>
      <c r="K621" s="7"/>
      <c r="L621" s="7"/>
      <c r="M621" s="7"/>
      <c r="N621" s="7"/>
    </row>
    <row r="622" spans="6:14" s="13" customFormat="1" ht="14.25" customHeight="1" x14ac:dyDescent="0.7">
      <c r="F622" s="7"/>
      <c r="G622" s="7"/>
      <c r="H622" s="7"/>
      <c r="I622" s="7"/>
      <c r="J622" s="7"/>
      <c r="K622" s="7"/>
      <c r="L622" s="7"/>
      <c r="M622" s="7"/>
      <c r="N622" s="7"/>
    </row>
    <row r="623" spans="6:14" s="13" customFormat="1" ht="14.25" customHeight="1" x14ac:dyDescent="0.7">
      <c r="F623" s="7"/>
      <c r="G623" s="7"/>
      <c r="H623" s="7"/>
      <c r="I623" s="7"/>
      <c r="J623" s="7"/>
      <c r="K623" s="7"/>
      <c r="L623" s="7"/>
      <c r="M623" s="7"/>
      <c r="N623" s="7"/>
    </row>
    <row r="624" spans="6:14" s="13" customFormat="1" ht="14.25" customHeight="1" x14ac:dyDescent="0.7">
      <c r="F624" s="7"/>
      <c r="G624" s="7"/>
      <c r="H624" s="7"/>
      <c r="I624" s="7"/>
      <c r="J624" s="7"/>
      <c r="K624" s="7"/>
      <c r="L624" s="7"/>
      <c r="M624" s="7"/>
      <c r="N624" s="7"/>
    </row>
    <row r="625" spans="6:14" s="13" customFormat="1" ht="14.25" customHeight="1" x14ac:dyDescent="0.7">
      <c r="F625" s="7"/>
      <c r="G625" s="7"/>
      <c r="H625" s="7"/>
      <c r="I625" s="7"/>
      <c r="J625" s="7"/>
      <c r="K625" s="7"/>
      <c r="L625" s="7"/>
      <c r="M625" s="7"/>
      <c r="N625" s="7"/>
    </row>
    <row r="626" spans="6:14" s="13" customFormat="1" ht="14.25" customHeight="1" x14ac:dyDescent="0.7">
      <c r="F626" s="7"/>
      <c r="G626" s="7"/>
      <c r="H626" s="7"/>
      <c r="I626" s="7"/>
      <c r="J626" s="7"/>
      <c r="K626" s="7"/>
      <c r="L626" s="7"/>
      <c r="M626" s="7"/>
      <c r="N626" s="7"/>
    </row>
    <row r="627" spans="6:14" s="13" customFormat="1" ht="14.25" customHeight="1" x14ac:dyDescent="0.7">
      <c r="F627" s="7"/>
      <c r="G627" s="7"/>
      <c r="H627" s="7"/>
      <c r="I627" s="7"/>
      <c r="J627" s="7"/>
      <c r="K627" s="7"/>
      <c r="L627" s="7"/>
      <c r="M627" s="7"/>
      <c r="N627" s="7"/>
    </row>
    <row r="628" spans="6:14" s="13" customFormat="1" ht="14.25" customHeight="1" x14ac:dyDescent="0.7">
      <c r="F628" s="7"/>
      <c r="G628" s="7"/>
      <c r="H628" s="7"/>
      <c r="I628" s="7"/>
      <c r="J628" s="7"/>
      <c r="K628" s="7"/>
      <c r="L628" s="7"/>
      <c r="M628" s="7"/>
      <c r="N628" s="7"/>
    </row>
    <row r="629" spans="6:14" s="13" customFormat="1" ht="14.25" customHeight="1" x14ac:dyDescent="0.7">
      <c r="F629" s="7"/>
      <c r="G629" s="7"/>
      <c r="H629" s="7"/>
      <c r="I629" s="7"/>
      <c r="J629" s="7"/>
      <c r="K629" s="7"/>
      <c r="L629" s="7"/>
      <c r="M629" s="7"/>
      <c r="N629" s="7"/>
    </row>
    <row r="630" spans="6:14" s="13" customFormat="1" ht="14.25" customHeight="1" x14ac:dyDescent="0.7">
      <c r="F630" s="7"/>
      <c r="G630" s="7"/>
      <c r="H630" s="7"/>
      <c r="I630" s="7"/>
      <c r="J630" s="7"/>
      <c r="K630" s="7"/>
      <c r="L630" s="7"/>
      <c r="M630" s="7"/>
      <c r="N630" s="7"/>
    </row>
    <row r="631" spans="6:14" s="13" customFormat="1" ht="14.25" customHeight="1" x14ac:dyDescent="0.7">
      <c r="F631" s="7"/>
      <c r="G631" s="7"/>
      <c r="H631" s="7"/>
      <c r="I631" s="7"/>
      <c r="J631" s="7"/>
      <c r="K631" s="7"/>
      <c r="L631" s="7"/>
      <c r="M631" s="7"/>
      <c r="N631" s="7"/>
    </row>
    <row r="632" spans="6:14" s="13" customFormat="1" ht="14.25" customHeight="1" x14ac:dyDescent="0.7">
      <c r="F632" s="7"/>
      <c r="G632" s="7"/>
      <c r="H632" s="7"/>
      <c r="I632" s="7"/>
      <c r="J632" s="7"/>
      <c r="K632" s="7"/>
      <c r="L632" s="7"/>
      <c r="M632" s="7"/>
      <c r="N632" s="7"/>
    </row>
    <row r="633" spans="6:14" s="13" customFormat="1" ht="14.25" customHeight="1" x14ac:dyDescent="0.7">
      <c r="F633" s="7"/>
      <c r="G633" s="7"/>
      <c r="H633" s="7"/>
      <c r="I633" s="7"/>
      <c r="J633" s="7"/>
      <c r="K633" s="7"/>
      <c r="L633" s="7"/>
      <c r="M633" s="7"/>
      <c r="N633" s="7"/>
    </row>
    <row r="634" spans="6:14" s="13" customFormat="1" ht="14.25" customHeight="1" x14ac:dyDescent="0.7">
      <c r="F634" s="7"/>
      <c r="G634" s="7"/>
      <c r="H634" s="7"/>
      <c r="I634" s="7"/>
      <c r="J634" s="7"/>
      <c r="K634" s="7"/>
      <c r="L634" s="7"/>
      <c r="M634" s="7"/>
      <c r="N634" s="7"/>
    </row>
    <row r="635" spans="6:14" s="13" customFormat="1" ht="14.25" customHeight="1" x14ac:dyDescent="0.7">
      <c r="F635" s="7"/>
      <c r="G635" s="7"/>
      <c r="H635" s="7"/>
      <c r="I635" s="7"/>
      <c r="J635" s="7"/>
      <c r="K635" s="7"/>
      <c r="L635" s="7"/>
      <c r="M635" s="7"/>
      <c r="N635" s="7"/>
    </row>
    <row r="636" spans="6:14" s="13" customFormat="1" ht="14.25" customHeight="1" x14ac:dyDescent="0.7">
      <c r="F636" s="7"/>
      <c r="G636" s="7"/>
      <c r="H636" s="7"/>
      <c r="I636" s="7"/>
      <c r="J636" s="7"/>
      <c r="K636" s="7"/>
      <c r="L636" s="7"/>
      <c r="M636" s="7"/>
      <c r="N636" s="7"/>
    </row>
    <row r="637" spans="6:14" s="13" customFormat="1" ht="14.25" customHeight="1" x14ac:dyDescent="0.7">
      <c r="F637" s="7"/>
      <c r="G637" s="7"/>
      <c r="H637" s="7"/>
      <c r="I637" s="7"/>
      <c r="J637" s="7"/>
      <c r="K637" s="7"/>
      <c r="L637" s="7"/>
      <c r="M637" s="7"/>
      <c r="N637" s="7"/>
    </row>
    <row r="638" spans="6:14" s="13" customFormat="1" ht="14.25" customHeight="1" x14ac:dyDescent="0.7">
      <c r="F638" s="7"/>
      <c r="G638" s="7"/>
      <c r="H638" s="7"/>
      <c r="I638" s="7"/>
      <c r="J638" s="7"/>
      <c r="K638" s="7"/>
      <c r="L638" s="7"/>
      <c r="M638" s="7"/>
      <c r="N638" s="7"/>
    </row>
    <row r="639" spans="6:14" s="13" customFormat="1" ht="14.25" customHeight="1" x14ac:dyDescent="0.7">
      <c r="F639" s="7"/>
      <c r="G639" s="7"/>
      <c r="H639" s="7"/>
      <c r="I639" s="7"/>
      <c r="J639" s="7"/>
      <c r="K639" s="7"/>
      <c r="L639" s="7"/>
      <c r="M639" s="7"/>
      <c r="N639" s="7"/>
    </row>
    <row r="640" spans="6:14" s="13" customFormat="1" ht="14.25" customHeight="1" x14ac:dyDescent="0.7">
      <c r="F640" s="7"/>
      <c r="G640" s="7"/>
      <c r="H640" s="7"/>
      <c r="I640" s="7"/>
      <c r="J640" s="7"/>
      <c r="K640" s="7"/>
      <c r="L640" s="7"/>
      <c r="M640" s="7"/>
      <c r="N640" s="7"/>
    </row>
    <row r="641" spans="6:14" s="13" customFormat="1" ht="14.25" customHeight="1" x14ac:dyDescent="0.7">
      <c r="F641" s="7"/>
      <c r="G641" s="7"/>
      <c r="H641" s="7"/>
      <c r="I641" s="7"/>
      <c r="J641" s="7"/>
      <c r="K641" s="7"/>
      <c r="L641" s="7"/>
      <c r="M641" s="7"/>
      <c r="N641" s="7"/>
    </row>
    <row r="642" spans="6:14" s="13" customFormat="1" ht="14.25" customHeight="1" x14ac:dyDescent="0.7">
      <c r="F642" s="7"/>
      <c r="G642" s="7"/>
      <c r="H642" s="7"/>
      <c r="I642" s="7"/>
      <c r="J642" s="7"/>
      <c r="K642" s="7"/>
      <c r="L642" s="7"/>
      <c r="M642" s="7"/>
      <c r="N642" s="7"/>
    </row>
    <row r="643" spans="6:14" s="13" customFormat="1" ht="14.25" customHeight="1" x14ac:dyDescent="0.7">
      <c r="F643" s="7"/>
      <c r="G643" s="7"/>
      <c r="H643" s="7"/>
      <c r="I643" s="7"/>
      <c r="J643" s="7"/>
      <c r="K643" s="7"/>
      <c r="L643" s="7"/>
      <c r="M643" s="7"/>
      <c r="N643" s="7"/>
    </row>
    <row r="644" spans="6:14" s="13" customFormat="1" ht="14.25" customHeight="1" x14ac:dyDescent="0.7">
      <c r="F644" s="7"/>
      <c r="G644" s="7"/>
      <c r="H644" s="7"/>
      <c r="I644" s="7"/>
      <c r="J644" s="7"/>
      <c r="K644" s="7"/>
      <c r="L644" s="7"/>
      <c r="M644" s="7"/>
      <c r="N644" s="7"/>
    </row>
    <row r="645" spans="6:14" s="13" customFormat="1" ht="14.25" customHeight="1" x14ac:dyDescent="0.7">
      <c r="F645" s="7"/>
      <c r="G645" s="7"/>
      <c r="H645" s="7"/>
      <c r="I645" s="7"/>
      <c r="J645" s="7"/>
      <c r="K645" s="7"/>
      <c r="L645" s="7"/>
      <c r="M645" s="7"/>
      <c r="N645" s="7"/>
    </row>
    <row r="646" spans="6:14" s="13" customFormat="1" ht="14.25" customHeight="1" x14ac:dyDescent="0.7">
      <c r="F646" s="7"/>
      <c r="G646" s="7"/>
      <c r="H646" s="7"/>
      <c r="I646" s="7"/>
      <c r="J646" s="7"/>
      <c r="K646" s="7"/>
      <c r="L646" s="7"/>
      <c r="M646" s="7"/>
      <c r="N646" s="7"/>
    </row>
    <row r="647" spans="6:14" s="13" customFormat="1" ht="14.25" customHeight="1" x14ac:dyDescent="0.7">
      <c r="F647" s="7"/>
      <c r="G647" s="7"/>
      <c r="H647" s="7"/>
      <c r="I647" s="7"/>
      <c r="J647" s="7"/>
      <c r="K647" s="7"/>
      <c r="L647" s="7"/>
      <c r="M647" s="7"/>
      <c r="N647" s="7"/>
    </row>
    <row r="648" spans="6:14" s="13" customFormat="1" ht="14.25" customHeight="1" x14ac:dyDescent="0.7">
      <c r="F648" s="7"/>
      <c r="G648" s="7"/>
      <c r="H648" s="7"/>
      <c r="I648" s="7"/>
      <c r="J648" s="7"/>
      <c r="K648" s="7"/>
      <c r="L648" s="7"/>
      <c r="M648" s="7"/>
      <c r="N648" s="7"/>
    </row>
    <row r="649" spans="6:14" s="13" customFormat="1" ht="14.25" customHeight="1" x14ac:dyDescent="0.7">
      <c r="F649" s="7"/>
      <c r="G649" s="7"/>
      <c r="H649" s="7"/>
      <c r="I649" s="7"/>
      <c r="J649" s="7"/>
      <c r="K649" s="7"/>
      <c r="L649" s="7"/>
      <c r="M649" s="7"/>
      <c r="N649" s="7"/>
    </row>
    <row r="650" spans="6:14" s="13" customFormat="1" ht="14.25" customHeight="1" x14ac:dyDescent="0.7">
      <c r="F650" s="7"/>
      <c r="G650" s="7"/>
      <c r="H650" s="7"/>
      <c r="I650" s="7"/>
      <c r="J650" s="7"/>
      <c r="K650" s="7"/>
      <c r="L650" s="7"/>
      <c r="M650" s="7"/>
      <c r="N650" s="7"/>
    </row>
    <row r="651" spans="6:14" s="13" customFormat="1" ht="14.25" customHeight="1" x14ac:dyDescent="0.7">
      <c r="F651" s="7"/>
      <c r="G651" s="7"/>
      <c r="H651" s="7"/>
      <c r="I651" s="7"/>
      <c r="J651" s="7"/>
      <c r="K651" s="7"/>
      <c r="L651" s="7"/>
      <c r="M651" s="7"/>
      <c r="N651" s="7"/>
    </row>
    <row r="652" spans="6:14" s="13" customFormat="1" ht="14.25" customHeight="1" x14ac:dyDescent="0.7">
      <c r="F652" s="7"/>
      <c r="G652" s="7"/>
      <c r="H652" s="7"/>
      <c r="I652" s="7"/>
      <c r="J652" s="7"/>
      <c r="K652" s="7"/>
      <c r="L652" s="7"/>
      <c r="M652" s="7"/>
      <c r="N652" s="7"/>
    </row>
    <row r="653" spans="6:14" s="13" customFormat="1" ht="14.25" customHeight="1" x14ac:dyDescent="0.7">
      <c r="F653" s="7"/>
      <c r="G653" s="7"/>
      <c r="H653" s="7"/>
      <c r="I653" s="7"/>
      <c r="J653" s="7"/>
      <c r="K653" s="7"/>
      <c r="L653" s="7"/>
      <c r="M653" s="7"/>
      <c r="N653" s="7"/>
    </row>
    <row r="654" spans="6:14" s="13" customFormat="1" ht="14.25" customHeight="1" x14ac:dyDescent="0.7">
      <c r="F654" s="7"/>
      <c r="G654" s="7"/>
      <c r="H654" s="7"/>
      <c r="I654" s="7"/>
      <c r="J654" s="7"/>
      <c r="K654" s="7"/>
      <c r="L654" s="7"/>
      <c r="M654" s="7"/>
      <c r="N654" s="7"/>
    </row>
    <row r="655" spans="6:14" s="13" customFormat="1" ht="14.25" customHeight="1" x14ac:dyDescent="0.7">
      <c r="F655" s="7"/>
      <c r="G655" s="7"/>
      <c r="H655" s="7"/>
      <c r="I655" s="7"/>
      <c r="J655" s="7"/>
      <c r="K655" s="7"/>
      <c r="L655" s="7"/>
      <c r="M655" s="7"/>
      <c r="N655" s="7"/>
    </row>
    <row r="656" spans="6:14" s="13" customFormat="1" ht="14.25" customHeight="1" x14ac:dyDescent="0.7">
      <c r="F656" s="7"/>
      <c r="G656" s="7"/>
      <c r="H656" s="7"/>
      <c r="I656" s="7"/>
      <c r="J656" s="7"/>
      <c r="K656" s="7"/>
      <c r="L656" s="7"/>
      <c r="M656" s="7"/>
      <c r="N656" s="7"/>
    </row>
    <row r="657" spans="6:14" s="13" customFormat="1" ht="14.25" customHeight="1" x14ac:dyDescent="0.7">
      <c r="F657" s="7"/>
      <c r="G657" s="7"/>
      <c r="H657" s="7"/>
      <c r="I657" s="7"/>
      <c r="J657" s="7"/>
      <c r="K657" s="7"/>
      <c r="L657" s="7"/>
      <c r="M657" s="7"/>
      <c r="N657" s="7"/>
    </row>
    <row r="658" spans="6:14" s="13" customFormat="1" ht="14.25" customHeight="1" x14ac:dyDescent="0.7">
      <c r="F658" s="7"/>
      <c r="G658" s="7"/>
      <c r="H658" s="7"/>
      <c r="I658" s="7"/>
      <c r="J658" s="7"/>
      <c r="K658" s="7"/>
      <c r="L658" s="7"/>
      <c r="M658" s="7"/>
      <c r="N658" s="7"/>
    </row>
    <row r="659" spans="6:14" s="13" customFormat="1" ht="14.25" customHeight="1" x14ac:dyDescent="0.7">
      <c r="F659" s="7"/>
      <c r="G659" s="7"/>
      <c r="H659" s="7"/>
      <c r="I659" s="7"/>
      <c r="J659" s="7"/>
      <c r="K659" s="7"/>
      <c r="L659" s="7"/>
      <c r="M659" s="7"/>
      <c r="N659" s="7"/>
    </row>
    <row r="660" spans="6:14" s="13" customFormat="1" ht="14.25" customHeight="1" x14ac:dyDescent="0.7">
      <c r="F660" s="7"/>
      <c r="G660" s="7"/>
      <c r="H660" s="7"/>
      <c r="I660" s="7"/>
      <c r="J660" s="7"/>
      <c r="K660" s="7"/>
      <c r="L660" s="7"/>
      <c r="M660" s="7"/>
      <c r="N660" s="7"/>
    </row>
    <row r="661" spans="6:14" s="13" customFormat="1" ht="14.25" customHeight="1" x14ac:dyDescent="0.7">
      <c r="F661" s="7"/>
      <c r="G661" s="7"/>
      <c r="H661" s="7"/>
      <c r="I661" s="7"/>
      <c r="J661" s="7"/>
      <c r="K661" s="7"/>
      <c r="L661" s="7"/>
      <c r="M661" s="7"/>
      <c r="N661" s="7"/>
    </row>
    <row r="662" spans="6:14" s="13" customFormat="1" ht="14.25" customHeight="1" x14ac:dyDescent="0.7">
      <c r="F662" s="7"/>
      <c r="G662" s="7"/>
      <c r="H662" s="7"/>
      <c r="I662" s="7"/>
      <c r="J662" s="7"/>
      <c r="K662" s="7"/>
      <c r="L662" s="7"/>
      <c r="M662" s="7"/>
      <c r="N662" s="7"/>
    </row>
    <row r="663" spans="6:14" s="13" customFormat="1" ht="14.25" customHeight="1" x14ac:dyDescent="0.7">
      <c r="F663" s="7"/>
      <c r="G663" s="7"/>
      <c r="H663" s="7"/>
      <c r="I663" s="7"/>
      <c r="J663" s="7"/>
      <c r="K663" s="7"/>
      <c r="L663" s="7"/>
      <c r="M663" s="7"/>
      <c r="N663" s="7"/>
    </row>
    <row r="664" spans="6:14" s="13" customFormat="1" ht="14.25" customHeight="1" x14ac:dyDescent="0.7">
      <c r="F664" s="7"/>
      <c r="G664" s="7"/>
      <c r="H664" s="7"/>
      <c r="I664" s="7"/>
      <c r="J664" s="7"/>
      <c r="K664" s="7"/>
      <c r="L664" s="7"/>
      <c r="M664" s="7"/>
      <c r="N664" s="7"/>
    </row>
    <row r="665" spans="6:14" s="13" customFormat="1" ht="14.25" customHeight="1" x14ac:dyDescent="0.7">
      <c r="F665" s="7"/>
      <c r="G665" s="7"/>
      <c r="H665" s="7"/>
      <c r="I665" s="7"/>
      <c r="J665" s="7"/>
      <c r="K665" s="7"/>
      <c r="L665" s="7"/>
      <c r="M665" s="7"/>
      <c r="N665" s="7"/>
    </row>
    <row r="666" spans="6:14" s="13" customFormat="1" ht="14.25" customHeight="1" x14ac:dyDescent="0.7">
      <c r="F666" s="7"/>
      <c r="G666" s="7"/>
      <c r="H666" s="7"/>
      <c r="I666" s="7"/>
      <c r="J666" s="7"/>
      <c r="K666" s="7"/>
      <c r="L666" s="7"/>
      <c r="M666" s="7"/>
      <c r="N666" s="7"/>
    </row>
    <row r="667" spans="6:14" s="13" customFormat="1" ht="14.25" customHeight="1" x14ac:dyDescent="0.7">
      <c r="F667" s="7"/>
      <c r="G667" s="7"/>
      <c r="H667" s="7"/>
      <c r="I667" s="7"/>
      <c r="J667" s="7"/>
      <c r="K667" s="7"/>
      <c r="L667" s="7"/>
      <c r="M667" s="7"/>
      <c r="N667" s="7"/>
    </row>
    <row r="668" spans="6:14" s="13" customFormat="1" ht="14.25" customHeight="1" x14ac:dyDescent="0.7">
      <c r="F668" s="7"/>
      <c r="G668" s="7"/>
      <c r="H668" s="7"/>
      <c r="I668" s="7"/>
      <c r="J668" s="7"/>
      <c r="K668" s="7"/>
      <c r="L668" s="7"/>
      <c r="M668" s="7"/>
      <c r="N668" s="7"/>
    </row>
    <row r="669" spans="6:14" s="13" customFormat="1" ht="14.25" customHeight="1" x14ac:dyDescent="0.7">
      <c r="F669" s="7"/>
      <c r="G669" s="7"/>
      <c r="H669" s="7"/>
      <c r="I669" s="7"/>
      <c r="J669" s="7"/>
      <c r="K669" s="7"/>
      <c r="L669" s="7"/>
      <c r="M669" s="7"/>
      <c r="N669" s="7"/>
    </row>
    <row r="670" spans="6:14" s="13" customFormat="1" ht="14.25" customHeight="1" x14ac:dyDescent="0.7">
      <c r="F670" s="7"/>
      <c r="G670" s="7"/>
      <c r="H670" s="7"/>
      <c r="I670" s="7"/>
      <c r="J670" s="7"/>
      <c r="K670" s="7"/>
      <c r="L670" s="7"/>
      <c r="M670" s="7"/>
      <c r="N670" s="7"/>
    </row>
    <row r="671" spans="6:14" s="13" customFormat="1" ht="14.25" customHeight="1" x14ac:dyDescent="0.7">
      <c r="F671" s="7"/>
      <c r="G671" s="7"/>
      <c r="H671" s="7"/>
      <c r="I671" s="7"/>
      <c r="J671" s="7"/>
      <c r="K671" s="7"/>
      <c r="L671" s="7"/>
      <c r="M671" s="7"/>
      <c r="N671" s="7"/>
    </row>
    <row r="672" spans="6:14" s="13" customFormat="1" ht="14.25" customHeight="1" x14ac:dyDescent="0.7">
      <c r="F672" s="7"/>
      <c r="G672" s="7"/>
      <c r="H672" s="7"/>
      <c r="I672" s="7"/>
      <c r="J672" s="7"/>
      <c r="K672" s="7"/>
      <c r="L672" s="7"/>
      <c r="M672" s="7"/>
      <c r="N672" s="7"/>
    </row>
    <row r="673" spans="6:14" s="13" customFormat="1" ht="14.25" customHeight="1" x14ac:dyDescent="0.7">
      <c r="F673" s="7"/>
      <c r="G673" s="7"/>
      <c r="H673" s="7"/>
      <c r="I673" s="7"/>
      <c r="J673" s="7"/>
      <c r="K673" s="7"/>
      <c r="L673" s="7"/>
      <c r="M673" s="7"/>
      <c r="N673" s="7"/>
    </row>
    <row r="674" spans="6:14" s="13" customFormat="1" ht="14.25" customHeight="1" x14ac:dyDescent="0.7">
      <c r="F674" s="7"/>
      <c r="G674" s="7"/>
      <c r="H674" s="7"/>
      <c r="I674" s="7"/>
      <c r="J674" s="7"/>
      <c r="K674" s="7"/>
      <c r="L674" s="7"/>
      <c r="M674" s="7"/>
      <c r="N674" s="7"/>
    </row>
    <row r="675" spans="6:14" s="13" customFormat="1" ht="14.25" customHeight="1" x14ac:dyDescent="0.7">
      <c r="F675" s="7"/>
      <c r="G675" s="7"/>
      <c r="H675" s="7"/>
      <c r="I675" s="7"/>
      <c r="J675" s="7"/>
      <c r="K675" s="7"/>
      <c r="L675" s="7"/>
      <c r="M675" s="7"/>
      <c r="N675" s="7"/>
    </row>
    <row r="676" spans="6:14" s="13" customFormat="1" ht="14.25" customHeight="1" x14ac:dyDescent="0.7">
      <c r="F676" s="7"/>
      <c r="G676" s="7"/>
      <c r="H676" s="7"/>
      <c r="I676" s="7"/>
      <c r="J676" s="7"/>
      <c r="K676" s="7"/>
      <c r="L676" s="7"/>
      <c r="M676" s="7"/>
      <c r="N676" s="7"/>
    </row>
    <row r="677" spans="6:14" s="13" customFormat="1" ht="14.25" customHeight="1" x14ac:dyDescent="0.7">
      <c r="F677" s="7"/>
      <c r="G677" s="7"/>
      <c r="H677" s="7"/>
      <c r="I677" s="7"/>
      <c r="J677" s="7"/>
      <c r="K677" s="7"/>
      <c r="L677" s="7"/>
      <c r="M677" s="7"/>
      <c r="N677" s="7"/>
    </row>
    <row r="678" spans="6:14" s="13" customFormat="1" ht="14.25" customHeight="1" x14ac:dyDescent="0.7">
      <c r="F678" s="7"/>
      <c r="G678" s="7"/>
      <c r="H678" s="7"/>
      <c r="I678" s="7"/>
      <c r="J678" s="7"/>
      <c r="K678" s="7"/>
      <c r="L678" s="7"/>
      <c r="M678" s="7"/>
      <c r="N678" s="7"/>
    </row>
    <row r="679" spans="6:14" s="13" customFormat="1" ht="14.25" customHeight="1" x14ac:dyDescent="0.7">
      <c r="F679" s="7"/>
      <c r="G679" s="7"/>
      <c r="H679" s="7"/>
      <c r="I679" s="7"/>
      <c r="J679" s="7"/>
      <c r="K679" s="7"/>
      <c r="L679" s="7"/>
      <c r="M679" s="7"/>
      <c r="N679" s="7"/>
    </row>
    <row r="680" spans="6:14" s="13" customFormat="1" ht="14.25" customHeight="1" x14ac:dyDescent="0.7">
      <c r="F680" s="7"/>
      <c r="G680" s="7"/>
      <c r="H680" s="7"/>
      <c r="I680" s="7"/>
      <c r="J680" s="7"/>
      <c r="K680" s="7"/>
      <c r="L680" s="7"/>
      <c r="M680" s="7"/>
      <c r="N680" s="7"/>
    </row>
    <row r="681" spans="6:14" s="13" customFormat="1" ht="14.25" customHeight="1" x14ac:dyDescent="0.7">
      <c r="F681" s="7"/>
      <c r="G681" s="7"/>
      <c r="H681" s="7"/>
      <c r="I681" s="7"/>
      <c r="J681" s="7"/>
      <c r="K681" s="7"/>
      <c r="L681" s="7"/>
      <c r="M681" s="7"/>
      <c r="N681" s="7"/>
    </row>
    <row r="682" spans="6:14" s="13" customFormat="1" ht="14.25" customHeight="1" x14ac:dyDescent="0.7">
      <c r="F682" s="7"/>
      <c r="G682" s="7"/>
      <c r="H682" s="7"/>
      <c r="I682" s="7"/>
      <c r="J682" s="7"/>
      <c r="K682" s="7"/>
      <c r="L682" s="7"/>
      <c r="M682" s="7"/>
      <c r="N682" s="7"/>
    </row>
    <row r="683" spans="6:14" s="13" customFormat="1" ht="14.25" customHeight="1" x14ac:dyDescent="0.7">
      <c r="F683" s="7"/>
      <c r="G683" s="7"/>
      <c r="H683" s="7"/>
      <c r="I683" s="7"/>
      <c r="J683" s="7"/>
      <c r="K683" s="7"/>
      <c r="L683" s="7"/>
      <c r="M683" s="7"/>
      <c r="N683" s="7"/>
    </row>
    <row r="684" spans="6:14" s="13" customFormat="1" ht="14.25" customHeight="1" x14ac:dyDescent="0.7">
      <c r="F684" s="7"/>
      <c r="G684" s="7"/>
      <c r="H684" s="7"/>
      <c r="I684" s="7"/>
      <c r="J684" s="7"/>
      <c r="K684" s="7"/>
      <c r="L684" s="7"/>
      <c r="M684" s="7"/>
      <c r="N684" s="7"/>
    </row>
    <row r="685" spans="6:14" s="13" customFormat="1" ht="14.25" customHeight="1" x14ac:dyDescent="0.7">
      <c r="F685" s="7"/>
      <c r="G685" s="7"/>
      <c r="H685" s="7"/>
      <c r="I685" s="7"/>
      <c r="J685" s="7"/>
      <c r="K685" s="7"/>
      <c r="L685" s="7"/>
      <c r="M685" s="7"/>
      <c r="N685" s="7"/>
    </row>
    <row r="686" spans="6:14" s="13" customFormat="1" ht="14.25" customHeight="1" x14ac:dyDescent="0.7">
      <c r="F686" s="7"/>
      <c r="G686" s="7"/>
      <c r="H686" s="7"/>
      <c r="I686" s="7"/>
      <c r="J686" s="7"/>
      <c r="K686" s="7"/>
      <c r="L686" s="7"/>
      <c r="M686" s="7"/>
      <c r="N686" s="7"/>
    </row>
    <row r="687" spans="6:14" s="13" customFormat="1" ht="14.25" customHeight="1" x14ac:dyDescent="0.7">
      <c r="F687" s="7"/>
      <c r="G687" s="7"/>
      <c r="H687" s="7"/>
      <c r="I687" s="7"/>
      <c r="J687" s="7"/>
      <c r="K687" s="7"/>
      <c r="L687" s="7"/>
      <c r="M687" s="7"/>
      <c r="N687" s="7"/>
    </row>
    <row r="688" spans="6:14" s="13" customFormat="1" ht="14.25" customHeight="1" x14ac:dyDescent="0.7">
      <c r="F688" s="7"/>
      <c r="G688" s="7"/>
      <c r="H688" s="7"/>
      <c r="I688" s="7"/>
      <c r="J688" s="7"/>
      <c r="K688" s="7"/>
      <c r="L688" s="7"/>
      <c r="M688" s="7"/>
      <c r="N688" s="7"/>
    </row>
    <row r="689" spans="6:14" s="13" customFormat="1" ht="14.25" customHeight="1" x14ac:dyDescent="0.7">
      <c r="F689" s="7"/>
      <c r="G689" s="7"/>
      <c r="H689" s="7"/>
      <c r="I689" s="7"/>
      <c r="J689" s="7"/>
      <c r="K689" s="7"/>
      <c r="L689" s="7"/>
      <c r="M689" s="7"/>
      <c r="N689" s="7"/>
    </row>
    <row r="690" spans="6:14" s="13" customFormat="1" ht="14.25" customHeight="1" x14ac:dyDescent="0.7">
      <c r="F690" s="7"/>
      <c r="G690" s="7"/>
      <c r="H690" s="7"/>
      <c r="I690" s="7"/>
      <c r="J690" s="7"/>
      <c r="K690" s="7"/>
      <c r="L690" s="7"/>
      <c r="M690" s="7"/>
      <c r="N690" s="7"/>
    </row>
    <row r="691" spans="6:14" s="13" customFormat="1" ht="14.25" customHeight="1" x14ac:dyDescent="0.7">
      <c r="F691" s="7"/>
      <c r="G691" s="7"/>
      <c r="H691" s="7"/>
      <c r="I691" s="7"/>
      <c r="J691" s="7"/>
      <c r="K691" s="7"/>
      <c r="L691" s="7"/>
      <c r="M691" s="7"/>
      <c r="N691" s="7"/>
    </row>
    <row r="692" spans="6:14" s="13" customFormat="1" ht="14.25" customHeight="1" x14ac:dyDescent="0.7">
      <c r="F692" s="7"/>
      <c r="G692" s="7"/>
      <c r="H692" s="7"/>
      <c r="I692" s="7"/>
      <c r="J692" s="7"/>
      <c r="K692" s="7"/>
      <c r="L692" s="7"/>
      <c r="M692" s="7"/>
      <c r="N692" s="7"/>
    </row>
    <row r="693" spans="6:14" s="13" customFormat="1" ht="14.25" customHeight="1" x14ac:dyDescent="0.7">
      <c r="F693" s="7"/>
      <c r="G693" s="7"/>
      <c r="H693" s="7"/>
      <c r="I693" s="7"/>
      <c r="J693" s="7"/>
      <c r="K693" s="7"/>
      <c r="L693" s="7"/>
      <c r="M693" s="7"/>
      <c r="N693" s="7"/>
    </row>
    <row r="694" spans="6:14" s="13" customFormat="1" ht="14.25" customHeight="1" x14ac:dyDescent="0.7">
      <c r="F694" s="7"/>
      <c r="G694" s="7"/>
      <c r="H694" s="7"/>
      <c r="I694" s="7"/>
      <c r="J694" s="7"/>
      <c r="K694" s="7"/>
      <c r="L694" s="7"/>
      <c r="M694" s="7"/>
      <c r="N694" s="7"/>
    </row>
    <row r="695" spans="6:14" s="13" customFormat="1" ht="14.25" customHeight="1" x14ac:dyDescent="0.7">
      <c r="F695" s="7"/>
      <c r="G695" s="7"/>
      <c r="H695" s="7"/>
      <c r="I695" s="7"/>
      <c r="J695" s="7"/>
      <c r="K695" s="7"/>
      <c r="L695" s="7"/>
      <c r="M695" s="7"/>
      <c r="N695" s="7"/>
    </row>
    <row r="696" spans="6:14" s="13" customFormat="1" ht="14.25" customHeight="1" x14ac:dyDescent="0.7">
      <c r="F696" s="7"/>
      <c r="G696" s="7"/>
      <c r="H696" s="7"/>
      <c r="I696" s="7"/>
      <c r="J696" s="7"/>
      <c r="K696" s="7"/>
      <c r="L696" s="7"/>
      <c r="M696" s="7"/>
      <c r="N696" s="7"/>
    </row>
    <row r="697" spans="6:14" s="13" customFormat="1" ht="14.25" customHeight="1" x14ac:dyDescent="0.7">
      <c r="F697" s="7"/>
      <c r="G697" s="7"/>
      <c r="H697" s="7"/>
      <c r="I697" s="7"/>
      <c r="J697" s="7"/>
      <c r="K697" s="7"/>
      <c r="L697" s="7"/>
      <c r="M697" s="7"/>
      <c r="N697" s="7"/>
    </row>
    <row r="698" spans="6:14" s="13" customFormat="1" ht="14.25" customHeight="1" x14ac:dyDescent="0.7">
      <c r="F698" s="7"/>
      <c r="G698" s="7"/>
      <c r="H698" s="7"/>
      <c r="I698" s="7"/>
      <c r="J698" s="7"/>
      <c r="K698" s="7"/>
      <c r="L698" s="7"/>
      <c r="M698" s="7"/>
      <c r="N698" s="7"/>
    </row>
    <row r="699" spans="6:14" s="13" customFormat="1" ht="14.25" customHeight="1" x14ac:dyDescent="0.7">
      <c r="F699" s="7"/>
      <c r="G699" s="7"/>
      <c r="H699" s="7"/>
      <c r="I699" s="7"/>
      <c r="J699" s="7"/>
      <c r="K699" s="7"/>
      <c r="L699" s="7"/>
      <c r="M699" s="7"/>
      <c r="N699" s="7"/>
    </row>
    <row r="700" spans="6:14" s="13" customFormat="1" ht="14.25" customHeight="1" x14ac:dyDescent="0.7">
      <c r="F700" s="7"/>
      <c r="G700" s="7"/>
      <c r="H700" s="7"/>
      <c r="I700" s="7"/>
      <c r="J700" s="7"/>
      <c r="K700" s="7"/>
      <c r="L700" s="7"/>
      <c r="M700" s="7"/>
      <c r="N700" s="7"/>
    </row>
    <row r="701" spans="6:14" s="13" customFormat="1" ht="14.25" customHeight="1" x14ac:dyDescent="0.7">
      <c r="F701" s="7"/>
      <c r="G701" s="7"/>
      <c r="H701" s="7"/>
      <c r="I701" s="7"/>
      <c r="J701" s="7"/>
      <c r="K701" s="7"/>
      <c r="L701" s="7"/>
      <c r="M701" s="7"/>
      <c r="N701" s="7"/>
    </row>
    <row r="702" spans="6:14" s="13" customFormat="1" ht="14.25" customHeight="1" x14ac:dyDescent="0.7">
      <c r="F702" s="7"/>
      <c r="G702" s="7"/>
      <c r="H702" s="7"/>
      <c r="I702" s="7"/>
      <c r="J702" s="7"/>
      <c r="K702" s="7"/>
      <c r="L702" s="7"/>
      <c r="M702" s="7"/>
      <c r="N702" s="7"/>
    </row>
    <row r="703" spans="6:14" s="13" customFormat="1" ht="14.25" customHeight="1" x14ac:dyDescent="0.7">
      <c r="F703" s="7"/>
      <c r="G703" s="7"/>
      <c r="H703" s="7"/>
      <c r="I703" s="7"/>
      <c r="J703" s="7"/>
      <c r="K703" s="7"/>
      <c r="L703" s="7"/>
      <c r="M703" s="7"/>
      <c r="N703" s="7"/>
    </row>
    <row r="704" spans="6:14" s="13" customFormat="1" ht="14.25" customHeight="1" x14ac:dyDescent="0.7">
      <c r="F704" s="7"/>
      <c r="G704" s="7"/>
      <c r="H704" s="7"/>
      <c r="I704" s="7"/>
      <c r="J704" s="7"/>
      <c r="K704" s="7"/>
      <c r="L704" s="7"/>
      <c r="M704" s="7"/>
      <c r="N704" s="7"/>
    </row>
    <row r="705" spans="6:14" s="13" customFormat="1" ht="14.25" customHeight="1" x14ac:dyDescent="0.7">
      <c r="F705" s="7"/>
      <c r="G705" s="7"/>
      <c r="H705" s="7"/>
      <c r="I705" s="7"/>
      <c r="J705" s="7"/>
      <c r="K705" s="7"/>
      <c r="L705" s="7"/>
      <c r="M705" s="7"/>
      <c r="N705" s="7"/>
    </row>
    <row r="706" spans="6:14" s="13" customFormat="1" ht="14.25" customHeight="1" x14ac:dyDescent="0.7">
      <c r="F706" s="7"/>
      <c r="G706" s="7"/>
      <c r="H706" s="7"/>
      <c r="I706" s="7"/>
      <c r="J706" s="7"/>
      <c r="K706" s="7"/>
      <c r="L706" s="7"/>
      <c r="M706" s="7"/>
      <c r="N706" s="7"/>
    </row>
    <row r="707" spans="6:14" s="13" customFormat="1" ht="14.25" customHeight="1" x14ac:dyDescent="0.7">
      <c r="F707" s="7"/>
      <c r="G707" s="7"/>
      <c r="H707" s="7"/>
      <c r="I707" s="7"/>
      <c r="J707" s="7"/>
      <c r="K707" s="7"/>
      <c r="L707" s="7"/>
      <c r="M707" s="7"/>
      <c r="N707" s="7"/>
    </row>
    <row r="708" spans="6:14" s="13" customFormat="1" ht="14.25" customHeight="1" x14ac:dyDescent="0.7">
      <c r="F708" s="7"/>
      <c r="G708" s="7"/>
      <c r="H708" s="7"/>
      <c r="I708" s="7"/>
      <c r="J708" s="7"/>
      <c r="K708" s="7"/>
      <c r="L708" s="7"/>
      <c r="M708" s="7"/>
      <c r="N708" s="7"/>
    </row>
    <row r="709" spans="6:14" s="13" customFormat="1" ht="14.25" customHeight="1" x14ac:dyDescent="0.7">
      <c r="F709" s="7"/>
      <c r="G709" s="7"/>
      <c r="H709" s="7"/>
      <c r="I709" s="7"/>
      <c r="J709" s="7"/>
      <c r="K709" s="7"/>
      <c r="L709" s="7"/>
      <c r="M709" s="7"/>
      <c r="N709" s="7"/>
    </row>
    <row r="710" spans="6:14" s="13" customFormat="1" ht="14.25" customHeight="1" x14ac:dyDescent="0.7">
      <c r="F710" s="7"/>
      <c r="G710" s="7"/>
      <c r="H710" s="7"/>
      <c r="I710" s="7"/>
      <c r="J710" s="7"/>
      <c r="K710" s="7"/>
      <c r="L710" s="7"/>
      <c r="M710" s="7"/>
      <c r="N710" s="7"/>
    </row>
    <row r="711" spans="6:14" s="13" customFormat="1" ht="14.25" customHeight="1" x14ac:dyDescent="0.7">
      <c r="F711" s="7"/>
      <c r="G711" s="7"/>
      <c r="H711" s="7"/>
      <c r="I711" s="7"/>
      <c r="J711" s="7"/>
      <c r="K711" s="7"/>
      <c r="L711" s="7"/>
      <c r="M711" s="7"/>
      <c r="N711" s="7"/>
    </row>
    <row r="712" spans="6:14" s="13" customFormat="1" ht="14.25" customHeight="1" x14ac:dyDescent="0.7">
      <c r="F712" s="7"/>
      <c r="G712" s="7"/>
      <c r="H712" s="7"/>
      <c r="I712" s="7"/>
      <c r="J712" s="7"/>
      <c r="K712" s="7"/>
      <c r="L712" s="7"/>
      <c r="M712" s="7"/>
      <c r="N712" s="7"/>
    </row>
    <row r="713" spans="6:14" s="13" customFormat="1" ht="14.25" customHeight="1" x14ac:dyDescent="0.7">
      <c r="F713" s="7"/>
      <c r="G713" s="7"/>
      <c r="H713" s="7"/>
      <c r="I713" s="7"/>
      <c r="J713" s="7"/>
      <c r="K713" s="7"/>
      <c r="L713" s="7"/>
      <c r="M713" s="7"/>
      <c r="N713" s="7"/>
    </row>
    <row r="714" spans="6:14" s="13" customFormat="1" ht="14.25" customHeight="1" x14ac:dyDescent="0.7">
      <c r="F714" s="7"/>
      <c r="G714" s="7"/>
      <c r="H714" s="7"/>
      <c r="I714" s="7"/>
      <c r="J714" s="7"/>
      <c r="K714" s="7"/>
      <c r="L714" s="7"/>
      <c r="M714" s="7"/>
      <c r="N714" s="7"/>
    </row>
    <row r="715" spans="6:14" s="13" customFormat="1" ht="14.25" customHeight="1" x14ac:dyDescent="0.7">
      <c r="F715" s="7"/>
      <c r="G715" s="7"/>
      <c r="H715" s="7"/>
      <c r="I715" s="7"/>
      <c r="J715" s="7"/>
      <c r="K715" s="7"/>
      <c r="L715" s="7"/>
      <c r="M715" s="7"/>
      <c r="N715" s="7"/>
    </row>
    <row r="716" spans="6:14" s="13" customFormat="1" ht="14.25" customHeight="1" x14ac:dyDescent="0.7">
      <c r="F716" s="7"/>
      <c r="G716" s="7"/>
      <c r="H716" s="7"/>
      <c r="I716" s="7"/>
      <c r="J716" s="7"/>
      <c r="K716" s="7"/>
      <c r="L716" s="7"/>
      <c r="M716" s="7"/>
      <c r="N716" s="7"/>
    </row>
    <row r="717" spans="6:14" s="13" customFormat="1" ht="14.25" customHeight="1" x14ac:dyDescent="0.7">
      <c r="F717" s="7"/>
      <c r="G717" s="7"/>
      <c r="H717" s="7"/>
      <c r="I717" s="7"/>
      <c r="J717" s="7"/>
      <c r="K717" s="7"/>
      <c r="L717" s="7"/>
      <c r="M717" s="7"/>
      <c r="N717" s="7"/>
    </row>
    <row r="718" spans="6:14" s="13" customFormat="1" ht="14.25" customHeight="1" x14ac:dyDescent="0.7">
      <c r="F718" s="7"/>
      <c r="G718" s="7"/>
      <c r="H718" s="7"/>
      <c r="I718" s="7"/>
      <c r="J718" s="7"/>
      <c r="K718" s="7"/>
      <c r="L718" s="7"/>
      <c r="M718" s="7"/>
      <c r="N718" s="7"/>
    </row>
    <row r="719" spans="6:14" s="13" customFormat="1" ht="14.25" customHeight="1" x14ac:dyDescent="0.7">
      <c r="F719" s="7"/>
      <c r="G719" s="7"/>
      <c r="H719" s="7"/>
      <c r="I719" s="7"/>
      <c r="J719" s="7"/>
      <c r="K719" s="7"/>
      <c r="L719" s="7"/>
      <c r="M719" s="7"/>
      <c r="N719" s="7"/>
    </row>
    <row r="720" spans="6:14" s="13" customFormat="1" ht="14.25" customHeight="1" x14ac:dyDescent="0.7">
      <c r="F720" s="7"/>
      <c r="G720" s="7"/>
      <c r="H720" s="7"/>
      <c r="I720" s="7"/>
      <c r="J720" s="7"/>
      <c r="K720" s="7"/>
      <c r="L720" s="7"/>
      <c r="M720" s="7"/>
      <c r="N720" s="7"/>
    </row>
    <row r="721" spans="6:14" s="13" customFormat="1" ht="14.25" customHeight="1" x14ac:dyDescent="0.7">
      <c r="F721" s="7"/>
      <c r="G721" s="7"/>
      <c r="H721" s="7"/>
      <c r="I721" s="7"/>
      <c r="J721" s="7"/>
      <c r="K721" s="7"/>
      <c r="L721" s="7"/>
      <c r="M721" s="7"/>
      <c r="N721" s="7"/>
    </row>
    <row r="722" spans="6:14" s="13" customFormat="1" ht="14.25" customHeight="1" x14ac:dyDescent="0.7">
      <c r="F722" s="7"/>
      <c r="G722" s="7"/>
      <c r="H722" s="7"/>
      <c r="I722" s="7"/>
      <c r="J722" s="7"/>
      <c r="K722" s="7"/>
      <c r="L722" s="7"/>
      <c r="M722" s="7"/>
      <c r="N722" s="7"/>
    </row>
    <row r="723" spans="6:14" s="13" customFormat="1" ht="14.25" customHeight="1" x14ac:dyDescent="0.7">
      <c r="F723" s="7"/>
      <c r="G723" s="7"/>
      <c r="H723" s="7"/>
      <c r="I723" s="7"/>
      <c r="J723" s="7"/>
      <c r="K723" s="7"/>
      <c r="L723" s="7"/>
      <c r="M723" s="7"/>
      <c r="N723" s="7"/>
    </row>
    <row r="724" spans="6:14" s="13" customFormat="1" ht="14.25" customHeight="1" x14ac:dyDescent="0.7">
      <c r="F724" s="7"/>
      <c r="G724" s="7"/>
      <c r="H724" s="7"/>
      <c r="I724" s="7"/>
      <c r="J724" s="7"/>
      <c r="K724" s="7"/>
      <c r="L724" s="7"/>
      <c r="M724" s="7"/>
      <c r="N724" s="7"/>
    </row>
    <row r="725" spans="6:14" s="13" customFormat="1" ht="14.25" customHeight="1" x14ac:dyDescent="0.7">
      <c r="F725" s="7"/>
      <c r="G725" s="7"/>
      <c r="H725" s="7"/>
      <c r="I725" s="7"/>
      <c r="J725" s="7"/>
      <c r="K725" s="7"/>
      <c r="L725" s="7"/>
      <c r="M725" s="7"/>
      <c r="N725" s="7"/>
    </row>
    <row r="726" spans="6:14" s="13" customFormat="1" ht="14.25" customHeight="1" x14ac:dyDescent="0.7">
      <c r="F726" s="7"/>
      <c r="G726" s="7"/>
      <c r="H726" s="7"/>
      <c r="I726" s="7"/>
      <c r="J726" s="7"/>
      <c r="K726" s="7"/>
      <c r="L726" s="7"/>
      <c r="M726" s="7"/>
      <c r="N726" s="7"/>
    </row>
    <row r="727" spans="6:14" s="13" customFormat="1" ht="14.25" customHeight="1" x14ac:dyDescent="0.7">
      <c r="F727" s="7"/>
      <c r="G727" s="7"/>
      <c r="H727" s="7"/>
      <c r="I727" s="7"/>
      <c r="J727" s="7"/>
      <c r="K727" s="7"/>
      <c r="L727" s="7"/>
      <c r="M727" s="7"/>
      <c r="N727" s="7"/>
    </row>
    <row r="728" spans="6:14" s="13" customFormat="1" ht="14.25" customHeight="1" x14ac:dyDescent="0.7">
      <c r="F728" s="7"/>
      <c r="G728" s="7"/>
      <c r="H728" s="7"/>
      <c r="I728" s="7"/>
      <c r="J728" s="7"/>
      <c r="K728" s="7"/>
      <c r="L728" s="7"/>
      <c r="M728" s="7"/>
      <c r="N728" s="7"/>
    </row>
    <row r="729" spans="6:14" s="13" customFormat="1" ht="14.25" customHeight="1" x14ac:dyDescent="0.7">
      <c r="F729" s="7"/>
      <c r="G729" s="7"/>
      <c r="H729" s="7"/>
      <c r="I729" s="7"/>
      <c r="J729" s="7"/>
      <c r="K729" s="7"/>
      <c r="L729" s="7"/>
      <c r="M729" s="7"/>
      <c r="N729" s="7"/>
    </row>
    <row r="730" spans="6:14" s="13" customFormat="1" ht="14.25" customHeight="1" x14ac:dyDescent="0.7">
      <c r="F730" s="7"/>
      <c r="G730" s="7"/>
      <c r="H730" s="7"/>
      <c r="I730" s="7"/>
      <c r="J730" s="7"/>
      <c r="K730" s="7"/>
      <c r="L730" s="7"/>
      <c r="M730" s="7"/>
      <c r="N730" s="7"/>
    </row>
    <row r="731" spans="6:14" s="13" customFormat="1" ht="14.25" customHeight="1" x14ac:dyDescent="0.7">
      <c r="F731" s="7"/>
      <c r="G731" s="7"/>
      <c r="H731" s="7"/>
      <c r="I731" s="7"/>
      <c r="J731" s="7"/>
      <c r="K731" s="7"/>
      <c r="L731" s="7"/>
      <c r="M731" s="7"/>
      <c r="N731" s="7"/>
    </row>
    <row r="732" spans="6:14" s="13" customFormat="1" ht="14.25" customHeight="1" x14ac:dyDescent="0.7">
      <c r="F732" s="7"/>
      <c r="G732" s="7"/>
      <c r="H732" s="7"/>
      <c r="I732" s="7"/>
      <c r="J732" s="7"/>
      <c r="K732" s="7"/>
      <c r="L732" s="7"/>
      <c r="M732" s="7"/>
      <c r="N732" s="7"/>
    </row>
    <row r="733" spans="6:14" s="13" customFormat="1" ht="14.25" customHeight="1" x14ac:dyDescent="0.7">
      <c r="F733" s="7"/>
      <c r="G733" s="7"/>
      <c r="H733" s="7"/>
      <c r="I733" s="7"/>
      <c r="J733" s="7"/>
      <c r="K733" s="7"/>
      <c r="L733" s="7"/>
      <c r="M733" s="7"/>
      <c r="N733" s="7"/>
    </row>
    <row r="734" spans="6:14" s="13" customFormat="1" ht="14.25" customHeight="1" x14ac:dyDescent="0.7">
      <c r="F734" s="7"/>
      <c r="G734" s="7"/>
      <c r="H734" s="7"/>
      <c r="I734" s="7"/>
      <c r="J734" s="7"/>
      <c r="K734" s="7"/>
      <c r="L734" s="7"/>
      <c r="M734" s="7"/>
      <c r="N734" s="7"/>
    </row>
    <row r="735" spans="6:14" s="13" customFormat="1" ht="14.25" customHeight="1" x14ac:dyDescent="0.7">
      <c r="F735" s="7"/>
      <c r="G735" s="7"/>
      <c r="H735" s="7"/>
      <c r="I735" s="7"/>
      <c r="J735" s="7"/>
      <c r="K735" s="7"/>
      <c r="L735" s="7"/>
      <c r="M735" s="7"/>
      <c r="N735" s="7"/>
    </row>
    <row r="736" spans="6:14" s="13" customFormat="1" ht="14.25" customHeight="1" x14ac:dyDescent="0.7">
      <c r="F736" s="7"/>
      <c r="G736" s="7"/>
      <c r="H736" s="7"/>
      <c r="I736" s="7"/>
      <c r="J736" s="7"/>
      <c r="K736" s="7"/>
      <c r="L736" s="7"/>
      <c r="M736" s="7"/>
      <c r="N736" s="7"/>
    </row>
    <row r="737" spans="6:14" s="13" customFormat="1" ht="14.25" customHeight="1" x14ac:dyDescent="0.7">
      <c r="F737" s="7"/>
      <c r="G737" s="7"/>
      <c r="H737" s="7"/>
      <c r="I737" s="7"/>
      <c r="J737" s="7"/>
      <c r="K737" s="7"/>
      <c r="L737" s="7"/>
      <c r="M737" s="7"/>
      <c r="N737" s="7"/>
    </row>
    <row r="738" spans="6:14" s="13" customFormat="1" ht="14.25" customHeight="1" x14ac:dyDescent="0.7">
      <c r="F738" s="7"/>
      <c r="G738" s="7"/>
      <c r="H738" s="7"/>
      <c r="I738" s="7"/>
      <c r="J738" s="7"/>
      <c r="K738" s="7"/>
      <c r="L738" s="7"/>
      <c r="M738" s="7"/>
      <c r="N738" s="7"/>
    </row>
    <row r="739" spans="6:14" s="13" customFormat="1" ht="14.25" customHeight="1" x14ac:dyDescent="0.7">
      <c r="F739" s="7"/>
      <c r="G739" s="7"/>
      <c r="H739" s="7"/>
      <c r="I739" s="7"/>
      <c r="J739" s="7"/>
      <c r="K739" s="7"/>
      <c r="L739" s="7"/>
      <c r="M739" s="7"/>
      <c r="N739" s="7"/>
    </row>
    <row r="740" spans="6:14" s="13" customFormat="1" ht="14.25" customHeight="1" x14ac:dyDescent="0.7">
      <c r="F740" s="7"/>
      <c r="G740" s="7"/>
      <c r="H740" s="7"/>
      <c r="I740" s="7"/>
      <c r="J740" s="7"/>
      <c r="K740" s="7"/>
      <c r="L740" s="7"/>
      <c r="M740" s="7"/>
      <c r="N740" s="7"/>
    </row>
    <row r="741" spans="6:14" s="13" customFormat="1" ht="14.25" customHeight="1" x14ac:dyDescent="0.7">
      <c r="F741" s="7"/>
      <c r="G741" s="7"/>
      <c r="H741" s="7"/>
      <c r="I741" s="7"/>
      <c r="J741" s="7"/>
      <c r="K741" s="7"/>
      <c r="L741" s="7"/>
      <c r="M741" s="7"/>
      <c r="N741" s="7"/>
    </row>
    <row r="742" spans="6:14" s="13" customFormat="1" ht="14.25" customHeight="1" x14ac:dyDescent="0.7">
      <c r="F742" s="7"/>
      <c r="G742" s="7"/>
      <c r="H742" s="7"/>
      <c r="I742" s="7"/>
      <c r="J742" s="7"/>
      <c r="K742" s="7"/>
      <c r="L742" s="7"/>
      <c r="M742" s="7"/>
      <c r="N742" s="7"/>
    </row>
    <row r="743" spans="6:14" s="13" customFormat="1" ht="14.25" customHeight="1" x14ac:dyDescent="0.7">
      <c r="F743" s="7"/>
      <c r="G743" s="7"/>
      <c r="H743" s="7"/>
      <c r="I743" s="7"/>
      <c r="J743" s="7"/>
      <c r="K743" s="7"/>
      <c r="L743" s="7"/>
      <c r="M743" s="7"/>
      <c r="N743" s="7"/>
    </row>
    <row r="744" spans="6:14" s="13" customFormat="1" ht="14.25" customHeight="1" x14ac:dyDescent="0.7">
      <c r="F744" s="7"/>
      <c r="G744" s="7"/>
      <c r="H744" s="7"/>
      <c r="I744" s="7"/>
      <c r="J744" s="7"/>
      <c r="K744" s="7"/>
      <c r="L744" s="7"/>
      <c r="M744" s="7"/>
      <c r="N744" s="7"/>
    </row>
    <row r="745" spans="6:14" s="13" customFormat="1" ht="14.25" customHeight="1" x14ac:dyDescent="0.7">
      <c r="F745" s="7"/>
      <c r="G745" s="7"/>
      <c r="H745" s="7"/>
      <c r="I745" s="7"/>
      <c r="J745" s="7"/>
      <c r="K745" s="7"/>
      <c r="L745" s="7"/>
      <c r="M745" s="7"/>
      <c r="N745" s="7"/>
    </row>
    <row r="746" spans="6:14" s="13" customFormat="1" ht="14.25" customHeight="1" x14ac:dyDescent="0.7">
      <c r="F746" s="7"/>
      <c r="G746" s="7"/>
      <c r="H746" s="7"/>
      <c r="I746" s="7"/>
      <c r="J746" s="7"/>
      <c r="K746" s="7"/>
      <c r="L746" s="7"/>
      <c r="M746" s="7"/>
      <c r="N746" s="7"/>
    </row>
    <row r="747" spans="6:14" s="13" customFormat="1" ht="14.25" customHeight="1" x14ac:dyDescent="0.7">
      <c r="F747" s="7"/>
      <c r="G747" s="7"/>
      <c r="H747" s="7"/>
      <c r="I747" s="7"/>
      <c r="J747" s="7"/>
      <c r="K747" s="7"/>
      <c r="L747" s="7"/>
      <c r="M747" s="7"/>
      <c r="N747" s="7"/>
    </row>
    <row r="748" spans="6:14" s="13" customFormat="1" ht="14.25" customHeight="1" x14ac:dyDescent="0.7">
      <c r="F748" s="7"/>
      <c r="G748" s="7"/>
      <c r="H748" s="7"/>
      <c r="I748" s="7"/>
      <c r="J748" s="7"/>
      <c r="K748" s="7"/>
      <c r="L748" s="7"/>
      <c r="M748" s="7"/>
      <c r="N748" s="7"/>
    </row>
    <row r="749" spans="6:14" s="13" customFormat="1" ht="14.25" customHeight="1" x14ac:dyDescent="0.7">
      <c r="F749" s="7"/>
      <c r="G749" s="7"/>
      <c r="H749" s="7"/>
      <c r="I749" s="7"/>
      <c r="J749" s="7"/>
      <c r="K749" s="7"/>
      <c r="L749" s="7"/>
      <c r="M749" s="7"/>
      <c r="N749" s="7"/>
    </row>
    <row r="750" spans="6:14" s="13" customFormat="1" ht="14.25" customHeight="1" x14ac:dyDescent="0.7">
      <c r="F750" s="7"/>
      <c r="G750" s="7"/>
      <c r="H750" s="7"/>
      <c r="I750" s="7"/>
      <c r="J750" s="7"/>
      <c r="K750" s="7"/>
      <c r="L750" s="7"/>
      <c r="M750" s="7"/>
      <c r="N750" s="7"/>
    </row>
    <row r="751" spans="6:14" s="13" customFormat="1" ht="14.25" customHeight="1" x14ac:dyDescent="0.7">
      <c r="F751" s="7"/>
      <c r="G751" s="7"/>
      <c r="H751" s="7"/>
      <c r="I751" s="7"/>
      <c r="J751" s="7"/>
      <c r="K751" s="7"/>
      <c r="L751" s="7"/>
      <c r="M751" s="7"/>
      <c r="N751" s="7"/>
    </row>
    <row r="752" spans="6:14" s="13" customFormat="1" ht="14.25" customHeight="1" x14ac:dyDescent="0.7">
      <c r="F752" s="7"/>
      <c r="G752" s="7"/>
      <c r="H752" s="7"/>
      <c r="I752" s="7"/>
      <c r="J752" s="7"/>
      <c r="K752" s="7"/>
      <c r="L752" s="7"/>
      <c r="M752" s="7"/>
      <c r="N752" s="7"/>
    </row>
    <row r="753" spans="6:14" s="13" customFormat="1" ht="14.25" customHeight="1" x14ac:dyDescent="0.7">
      <c r="F753" s="7"/>
      <c r="G753" s="7"/>
      <c r="H753" s="7"/>
      <c r="I753" s="7"/>
      <c r="J753" s="7"/>
      <c r="K753" s="7"/>
      <c r="L753" s="7"/>
      <c r="M753" s="7"/>
      <c r="N753" s="7"/>
    </row>
    <row r="754" spans="6:14" s="13" customFormat="1" ht="14.25" customHeight="1" x14ac:dyDescent="0.7">
      <c r="F754" s="7"/>
      <c r="G754" s="7"/>
      <c r="H754" s="7"/>
      <c r="I754" s="7"/>
      <c r="J754" s="7"/>
      <c r="K754" s="7"/>
      <c r="L754" s="7"/>
      <c r="M754" s="7"/>
      <c r="N754" s="7"/>
    </row>
    <row r="755" spans="6:14" s="13" customFormat="1" ht="14.25" customHeight="1" x14ac:dyDescent="0.7">
      <c r="F755" s="7"/>
      <c r="G755" s="7"/>
      <c r="H755" s="7"/>
      <c r="I755" s="7"/>
      <c r="J755" s="7"/>
      <c r="K755" s="7"/>
      <c r="L755" s="7"/>
      <c r="M755" s="7"/>
      <c r="N755" s="7"/>
    </row>
    <row r="756" spans="6:14" s="13" customFormat="1" ht="14.25" customHeight="1" x14ac:dyDescent="0.7">
      <c r="F756" s="7"/>
      <c r="G756" s="7"/>
      <c r="H756" s="7"/>
      <c r="I756" s="7"/>
      <c r="J756" s="7"/>
      <c r="K756" s="7"/>
      <c r="L756" s="7"/>
      <c r="M756" s="7"/>
      <c r="N756" s="7"/>
    </row>
    <row r="757" spans="6:14" s="13" customFormat="1" ht="14.25" customHeight="1" x14ac:dyDescent="0.7">
      <c r="F757" s="7"/>
      <c r="G757" s="7"/>
      <c r="H757" s="7"/>
      <c r="I757" s="7"/>
      <c r="J757" s="7"/>
      <c r="K757" s="7"/>
      <c r="L757" s="7"/>
      <c r="M757" s="7"/>
      <c r="N757" s="7"/>
    </row>
    <row r="758" spans="6:14" s="13" customFormat="1" ht="14.25" customHeight="1" x14ac:dyDescent="0.7">
      <c r="F758" s="7"/>
      <c r="G758" s="7"/>
      <c r="H758" s="7"/>
      <c r="I758" s="7"/>
      <c r="J758" s="7"/>
      <c r="K758" s="7"/>
      <c r="L758" s="7"/>
      <c r="M758" s="7"/>
      <c r="N758" s="7"/>
    </row>
    <row r="759" spans="6:14" s="13" customFormat="1" ht="14.25" customHeight="1" x14ac:dyDescent="0.7">
      <c r="F759" s="7"/>
      <c r="G759" s="7"/>
      <c r="H759" s="7"/>
      <c r="I759" s="7"/>
      <c r="J759" s="7"/>
      <c r="K759" s="7"/>
      <c r="L759" s="7"/>
      <c r="M759" s="7"/>
      <c r="N759" s="7"/>
    </row>
    <row r="760" spans="6:14" s="13" customFormat="1" ht="14.25" customHeight="1" x14ac:dyDescent="0.7">
      <c r="F760" s="7"/>
      <c r="G760" s="7"/>
      <c r="H760" s="7"/>
      <c r="I760" s="7"/>
      <c r="J760" s="7"/>
      <c r="K760" s="7"/>
      <c r="L760" s="7"/>
      <c r="M760" s="7"/>
      <c r="N760" s="7"/>
    </row>
    <row r="761" spans="6:14" s="13" customFormat="1" ht="14.25" customHeight="1" x14ac:dyDescent="0.7">
      <c r="F761" s="7"/>
      <c r="G761" s="7"/>
      <c r="H761" s="7"/>
      <c r="I761" s="7"/>
      <c r="J761" s="7"/>
      <c r="K761" s="7"/>
      <c r="L761" s="7"/>
      <c r="M761" s="7"/>
      <c r="N761" s="7"/>
    </row>
    <row r="762" spans="6:14" s="13" customFormat="1" ht="14.25" customHeight="1" x14ac:dyDescent="0.7">
      <c r="F762" s="7"/>
      <c r="G762" s="7"/>
      <c r="H762" s="7"/>
      <c r="I762" s="7"/>
      <c r="J762" s="7"/>
      <c r="K762" s="7"/>
      <c r="L762" s="7"/>
      <c r="M762" s="7"/>
      <c r="N762" s="7"/>
    </row>
    <row r="763" spans="6:14" s="13" customFormat="1" ht="14.25" customHeight="1" x14ac:dyDescent="0.7">
      <c r="F763" s="7"/>
      <c r="G763" s="7"/>
      <c r="H763" s="7"/>
      <c r="I763" s="7"/>
      <c r="J763" s="7"/>
      <c r="K763" s="7"/>
      <c r="L763" s="7"/>
      <c r="M763" s="7"/>
      <c r="N763" s="7"/>
    </row>
    <row r="764" spans="6:14" s="13" customFormat="1" ht="14.25" customHeight="1" x14ac:dyDescent="0.7">
      <c r="F764" s="7"/>
      <c r="G764" s="7"/>
      <c r="H764" s="7"/>
      <c r="I764" s="7"/>
      <c r="J764" s="7"/>
      <c r="K764" s="7"/>
      <c r="L764" s="7"/>
      <c r="M764" s="7"/>
      <c r="N764" s="7"/>
    </row>
    <row r="765" spans="6:14" s="13" customFormat="1" ht="14.25" customHeight="1" x14ac:dyDescent="0.7">
      <c r="F765" s="7"/>
      <c r="G765" s="7"/>
      <c r="H765" s="7"/>
      <c r="I765" s="7"/>
      <c r="J765" s="7"/>
      <c r="K765" s="7"/>
      <c r="L765" s="7"/>
      <c r="M765" s="7"/>
      <c r="N765" s="7"/>
    </row>
    <row r="766" spans="6:14" s="13" customFormat="1" ht="14.25" customHeight="1" x14ac:dyDescent="0.7">
      <c r="F766" s="7"/>
      <c r="G766" s="7"/>
      <c r="H766" s="7"/>
      <c r="I766" s="7"/>
      <c r="J766" s="7"/>
      <c r="K766" s="7"/>
      <c r="L766" s="7"/>
      <c r="M766" s="7"/>
      <c r="N766" s="7"/>
    </row>
    <row r="767" spans="6:14" s="13" customFormat="1" ht="14.25" customHeight="1" x14ac:dyDescent="0.7">
      <c r="F767" s="7"/>
      <c r="G767" s="7"/>
      <c r="H767" s="7"/>
      <c r="I767" s="7"/>
      <c r="J767" s="7"/>
      <c r="K767" s="7"/>
      <c r="L767" s="7"/>
      <c r="M767" s="7"/>
      <c r="N767" s="7"/>
    </row>
    <row r="768" spans="6:14" s="13" customFormat="1" ht="14.25" customHeight="1" x14ac:dyDescent="0.7">
      <c r="F768" s="7"/>
      <c r="G768" s="7"/>
      <c r="H768" s="7"/>
      <c r="I768" s="7"/>
      <c r="J768" s="7"/>
      <c r="K768" s="7"/>
      <c r="L768" s="7"/>
      <c r="M768" s="7"/>
      <c r="N768" s="7"/>
    </row>
    <row r="769" spans="6:14" s="13" customFormat="1" ht="14.25" customHeight="1" x14ac:dyDescent="0.7">
      <c r="F769" s="7"/>
      <c r="G769" s="7"/>
      <c r="H769" s="7"/>
      <c r="I769" s="7"/>
      <c r="J769" s="7"/>
      <c r="K769" s="7"/>
      <c r="L769" s="7"/>
      <c r="M769" s="7"/>
      <c r="N769" s="7"/>
    </row>
    <row r="770" spans="6:14" s="13" customFormat="1" ht="14.25" customHeight="1" x14ac:dyDescent="0.7">
      <c r="F770" s="7"/>
      <c r="G770" s="7"/>
      <c r="H770" s="7"/>
      <c r="I770" s="7"/>
      <c r="J770" s="7"/>
      <c r="K770" s="7"/>
      <c r="L770" s="7"/>
      <c r="M770" s="7"/>
      <c r="N770" s="7"/>
    </row>
    <row r="771" spans="6:14" s="13" customFormat="1" ht="14.25" customHeight="1" x14ac:dyDescent="0.7">
      <c r="F771" s="7"/>
      <c r="G771" s="7"/>
      <c r="H771" s="7"/>
      <c r="I771" s="7"/>
      <c r="J771" s="7"/>
      <c r="K771" s="7"/>
      <c r="L771" s="7"/>
      <c r="M771" s="7"/>
      <c r="N771" s="7"/>
    </row>
    <row r="772" spans="6:14" s="13" customFormat="1" ht="14.25" customHeight="1" x14ac:dyDescent="0.7">
      <c r="F772" s="7"/>
      <c r="G772" s="7"/>
      <c r="H772" s="7"/>
      <c r="I772" s="7"/>
      <c r="J772" s="7"/>
      <c r="K772" s="7"/>
      <c r="L772" s="7"/>
      <c r="M772" s="7"/>
      <c r="N772" s="7"/>
    </row>
    <row r="773" spans="6:14" s="13" customFormat="1" ht="14.25" customHeight="1" x14ac:dyDescent="0.7">
      <c r="F773" s="7"/>
      <c r="G773" s="7"/>
      <c r="H773" s="7"/>
      <c r="I773" s="7"/>
      <c r="J773" s="7"/>
      <c r="K773" s="7"/>
      <c r="L773" s="7"/>
      <c r="M773" s="7"/>
      <c r="N773" s="7"/>
    </row>
    <row r="774" spans="6:14" s="13" customFormat="1" ht="14.25" customHeight="1" x14ac:dyDescent="0.7">
      <c r="F774" s="7"/>
      <c r="G774" s="7"/>
      <c r="H774" s="7"/>
      <c r="I774" s="7"/>
      <c r="J774" s="7"/>
      <c r="K774" s="7"/>
      <c r="L774" s="7"/>
      <c r="M774" s="7"/>
      <c r="N774" s="7"/>
    </row>
    <row r="775" spans="6:14" s="13" customFormat="1" ht="14.25" customHeight="1" x14ac:dyDescent="0.7">
      <c r="F775" s="7"/>
      <c r="G775" s="7"/>
      <c r="H775" s="7"/>
      <c r="I775" s="7"/>
      <c r="J775" s="7"/>
      <c r="K775" s="7"/>
      <c r="L775" s="7"/>
      <c r="M775" s="7"/>
      <c r="N775" s="7"/>
    </row>
    <row r="776" spans="6:14" s="13" customFormat="1" ht="14.25" customHeight="1" x14ac:dyDescent="0.7">
      <c r="F776" s="7"/>
      <c r="G776" s="7"/>
      <c r="H776" s="7"/>
      <c r="I776" s="7"/>
      <c r="J776" s="7"/>
      <c r="K776" s="7"/>
      <c r="L776" s="7"/>
      <c r="M776" s="7"/>
      <c r="N776" s="7"/>
    </row>
    <row r="777" spans="6:14" s="13" customFormat="1" ht="14.25" customHeight="1" x14ac:dyDescent="0.7">
      <c r="F777" s="7"/>
      <c r="G777" s="7"/>
      <c r="H777" s="7"/>
      <c r="I777" s="7"/>
      <c r="J777" s="7"/>
      <c r="K777" s="7"/>
      <c r="L777" s="7"/>
      <c r="M777" s="7"/>
      <c r="N777" s="7"/>
    </row>
    <row r="778" spans="6:14" s="13" customFormat="1" ht="14.25" customHeight="1" x14ac:dyDescent="0.7">
      <c r="F778" s="7"/>
      <c r="G778" s="7"/>
      <c r="H778" s="7"/>
      <c r="I778" s="7"/>
      <c r="J778" s="7"/>
      <c r="K778" s="7"/>
      <c r="L778" s="7"/>
      <c r="M778" s="7"/>
      <c r="N778" s="7"/>
    </row>
    <row r="779" spans="6:14" s="13" customFormat="1" ht="14.25" customHeight="1" x14ac:dyDescent="0.7">
      <c r="F779" s="7"/>
      <c r="G779" s="7"/>
      <c r="H779" s="7"/>
      <c r="I779" s="7"/>
      <c r="J779" s="7"/>
      <c r="K779" s="7"/>
      <c r="L779" s="7"/>
      <c r="M779" s="7"/>
      <c r="N779" s="7"/>
    </row>
    <row r="780" spans="6:14" s="13" customFormat="1" ht="14.25" customHeight="1" x14ac:dyDescent="0.7">
      <c r="F780" s="7"/>
      <c r="G780" s="7"/>
      <c r="H780" s="7"/>
      <c r="I780" s="7"/>
      <c r="J780" s="7"/>
      <c r="K780" s="7"/>
      <c r="L780" s="7"/>
      <c r="M780" s="7"/>
      <c r="N780" s="7"/>
    </row>
    <row r="781" spans="6:14" s="13" customFormat="1" ht="14.25" customHeight="1" x14ac:dyDescent="0.7">
      <c r="F781" s="7"/>
      <c r="G781" s="7"/>
      <c r="H781" s="7"/>
      <c r="I781" s="7"/>
      <c r="J781" s="7"/>
      <c r="K781" s="7"/>
      <c r="L781" s="7"/>
      <c r="M781" s="7"/>
      <c r="N781" s="7"/>
    </row>
    <row r="782" spans="6:14" s="13" customFormat="1" ht="14.25" customHeight="1" x14ac:dyDescent="0.7">
      <c r="F782" s="7"/>
      <c r="G782" s="7"/>
      <c r="H782" s="7"/>
      <c r="I782" s="7"/>
      <c r="J782" s="7"/>
      <c r="K782" s="7"/>
      <c r="L782" s="7"/>
      <c r="M782" s="7"/>
      <c r="N782" s="7"/>
    </row>
    <row r="783" spans="6:14" s="13" customFormat="1" ht="14.25" customHeight="1" x14ac:dyDescent="0.7">
      <c r="F783" s="7"/>
      <c r="G783" s="7"/>
      <c r="H783" s="7"/>
      <c r="I783" s="7"/>
      <c r="J783" s="7"/>
      <c r="K783" s="7"/>
      <c r="L783" s="7"/>
      <c r="M783" s="7"/>
      <c r="N783" s="7"/>
    </row>
    <row r="784" spans="6:14" s="13" customFormat="1" ht="14.25" customHeight="1" x14ac:dyDescent="0.7">
      <c r="F784" s="7"/>
      <c r="G784" s="7"/>
      <c r="H784" s="7"/>
      <c r="I784" s="7"/>
      <c r="J784" s="7"/>
      <c r="K784" s="7"/>
      <c r="L784" s="7"/>
      <c r="M784" s="7"/>
      <c r="N784" s="7"/>
    </row>
    <row r="785" spans="6:14" s="13" customFormat="1" ht="14.25" customHeight="1" x14ac:dyDescent="0.7">
      <c r="F785" s="7"/>
      <c r="G785" s="7"/>
      <c r="H785" s="7"/>
      <c r="I785" s="7"/>
      <c r="J785" s="7"/>
      <c r="K785" s="7"/>
      <c r="L785" s="7"/>
      <c r="M785" s="7"/>
      <c r="N785" s="7"/>
    </row>
    <row r="786" spans="6:14" s="13" customFormat="1" ht="14.25" customHeight="1" x14ac:dyDescent="0.7">
      <c r="F786" s="7"/>
      <c r="G786" s="7"/>
      <c r="H786" s="7"/>
      <c r="I786" s="7"/>
      <c r="J786" s="7"/>
      <c r="K786" s="7"/>
      <c r="L786" s="7"/>
      <c r="M786" s="7"/>
      <c r="N786" s="7"/>
    </row>
    <row r="787" spans="6:14" s="13" customFormat="1" ht="14.25" customHeight="1" x14ac:dyDescent="0.7">
      <c r="F787" s="7"/>
      <c r="G787" s="7"/>
      <c r="H787" s="7"/>
      <c r="I787" s="7"/>
      <c r="J787" s="7"/>
      <c r="K787" s="7"/>
      <c r="L787" s="7"/>
      <c r="M787" s="7"/>
      <c r="N787" s="7"/>
    </row>
    <row r="788" spans="6:14" s="13" customFormat="1" ht="14.25" customHeight="1" x14ac:dyDescent="0.7">
      <c r="F788" s="7"/>
      <c r="G788" s="7"/>
      <c r="H788" s="7"/>
      <c r="I788" s="7"/>
      <c r="J788" s="7"/>
      <c r="K788" s="7"/>
      <c r="L788" s="7"/>
      <c r="M788" s="7"/>
      <c r="N788" s="7"/>
    </row>
    <row r="789" spans="6:14" s="13" customFormat="1" ht="14.25" customHeight="1" x14ac:dyDescent="0.7">
      <c r="F789" s="7"/>
      <c r="G789" s="7"/>
      <c r="H789" s="7"/>
      <c r="I789" s="7"/>
      <c r="J789" s="7"/>
      <c r="K789" s="7"/>
      <c r="L789" s="7"/>
      <c r="M789" s="7"/>
      <c r="N789" s="7"/>
    </row>
    <row r="790" spans="6:14" s="13" customFormat="1" ht="14.25" customHeight="1" x14ac:dyDescent="0.7">
      <c r="F790" s="7"/>
      <c r="G790" s="7"/>
      <c r="H790" s="7"/>
      <c r="I790" s="7"/>
      <c r="J790" s="7"/>
      <c r="K790" s="7"/>
      <c r="L790" s="7"/>
      <c r="M790" s="7"/>
      <c r="N790" s="7"/>
    </row>
    <row r="791" spans="6:14" s="13" customFormat="1" ht="14.25" customHeight="1" x14ac:dyDescent="0.7">
      <c r="F791" s="7"/>
      <c r="G791" s="7"/>
      <c r="H791" s="7"/>
      <c r="I791" s="7"/>
      <c r="J791" s="7"/>
      <c r="K791" s="7"/>
      <c r="L791" s="7"/>
      <c r="M791" s="7"/>
      <c r="N791" s="7"/>
    </row>
    <row r="792" spans="6:14" s="13" customFormat="1" ht="14.25" customHeight="1" x14ac:dyDescent="0.7">
      <c r="F792" s="7"/>
      <c r="G792" s="7"/>
      <c r="H792" s="7"/>
      <c r="I792" s="7"/>
      <c r="J792" s="7"/>
      <c r="K792" s="7"/>
      <c r="L792" s="7"/>
      <c r="M792" s="7"/>
      <c r="N792" s="7"/>
    </row>
    <row r="793" spans="6:14" s="13" customFormat="1" ht="14.25" customHeight="1" x14ac:dyDescent="0.7">
      <c r="F793" s="7"/>
      <c r="G793" s="7"/>
      <c r="H793" s="7"/>
      <c r="I793" s="7"/>
      <c r="J793" s="7"/>
      <c r="K793" s="7"/>
      <c r="L793" s="7"/>
      <c r="M793" s="7"/>
      <c r="N793" s="7"/>
    </row>
    <row r="794" spans="6:14" s="13" customFormat="1" ht="14.25" customHeight="1" x14ac:dyDescent="0.7">
      <c r="F794" s="7"/>
      <c r="G794" s="7"/>
      <c r="H794" s="7"/>
      <c r="I794" s="7"/>
      <c r="J794" s="7"/>
      <c r="K794" s="7"/>
      <c r="L794" s="7"/>
      <c r="M794" s="7"/>
      <c r="N794" s="7"/>
    </row>
    <row r="795" spans="6:14" s="13" customFormat="1" ht="14.25" customHeight="1" x14ac:dyDescent="0.7">
      <c r="F795" s="7"/>
      <c r="G795" s="7"/>
      <c r="H795" s="7"/>
      <c r="I795" s="7"/>
      <c r="J795" s="7"/>
      <c r="K795" s="7"/>
      <c r="L795" s="7"/>
      <c r="M795" s="7"/>
      <c r="N795" s="7"/>
    </row>
    <row r="796" spans="6:14" s="13" customFormat="1" ht="14.25" customHeight="1" x14ac:dyDescent="0.7">
      <c r="F796" s="7"/>
      <c r="G796" s="7"/>
      <c r="H796" s="7"/>
      <c r="I796" s="7"/>
      <c r="J796" s="7"/>
      <c r="K796" s="7"/>
      <c r="L796" s="7"/>
      <c r="M796" s="7"/>
      <c r="N796" s="7"/>
    </row>
    <row r="797" spans="6:14" s="13" customFormat="1" ht="14.25" customHeight="1" x14ac:dyDescent="0.7">
      <c r="F797" s="7"/>
      <c r="G797" s="7"/>
      <c r="H797" s="7"/>
      <c r="I797" s="7"/>
      <c r="J797" s="7"/>
      <c r="K797" s="7"/>
      <c r="L797" s="7"/>
      <c r="M797" s="7"/>
      <c r="N797" s="7"/>
    </row>
    <row r="798" spans="6:14" s="13" customFormat="1" ht="14.25" customHeight="1" x14ac:dyDescent="0.7">
      <c r="F798" s="7"/>
      <c r="G798" s="7"/>
      <c r="H798" s="7"/>
      <c r="I798" s="7"/>
      <c r="J798" s="7"/>
      <c r="K798" s="7"/>
      <c r="L798" s="7"/>
      <c r="M798" s="7"/>
      <c r="N798" s="7"/>
    </row>
    <row r="799" spans="6:14" s="13" customFormat="1" ht="14.25" customHeight="1" x14ac:dyDescent="0.7">
      <c r="F799" s="7"/>
      <c r="G799" s="7"/>
      <c r="H799" s="7"/>
      <c r="I799" s="7"/>
      <c r="J799" s="7"/>
      <c r="K799" s="7"/>
      <c r="L799" s="7"/>
      <c r="M799" s="7"/>
      <c r="N799" s="7"/>
    </row>
    <row r="800" spans="6:14" s="13" customFormat="1" ht="14.25" customHeight="1" x14ac:dyDescent="0.7">
      <c r="F800" s="7"/>
      <c r="G800" s="7"/>
      <c r="H800" s="7"/>
      <c r="I800" s="7"/>
      <c r="J800" s="7"/>
      <c r="K800" s="7"/>
      <c r="L800" s="7"/>
      <c r="M800" s="7"/>
      <c r="N800" s="7"/>
    </row>
    <row r="801" spans="6:14" s="13" customFormat="1" ht="14.25" customHeight="1" x14ac:dyDescent="0.7">
      <c r="F801" s="7"/>
      <c r="G801" s="7"/>
      <c r="H801" s="7"/>
      <c r="I801" s="7"/>
      <c r="J801" s="7"/>
      <c r="K801" s="7"/>
      <c r="L801" s="7"/>
      <c r="M801" s="7"/>
      <c r="N801" s="7"/>
    </row>
    <row r="802" spans="6:14" s="13" customFormat="1" ht="14.25" customHeight="1" x14ac:dyDescent="0.7">
      <c r="F802" s="7"/>
      <c r="G802" s="7"/>
      <c r="H802" s="7"/>
      <c r="I802" s="7"/>
      <c r="J802" s="7"/>
      <c r="K802" s="7"/>
      <c r="L802" s="7"/>
      <c r="M802" s="7"/>
      <c r="N802" s="7"/>
    </row>
    <row r="803" spans="6:14" s="13" customFormat="1" ht="14.25" customHeight="1" x14ac:dyDescent="0.7">
      <c r="F803" s="7"/>
      <c r="G803" s="7"/>
      <c r="H803" s="7"/>
      <c r="I803" s="7"/>
      <c r="J803" s="7"/>
      <c r="K803" s="7"/>
      <c r="L803" s="7"/>
      <c r="M803" s="7"/>
      <c r="N803" s="7"/>
    </row>
    <row r="804" spans="6:14" s="13" customFormat="1" ht="14.25" customHeight="1" x14ac:dyDescent="0.7">
      <c r="F804" s="7"/>
      <c r="G804" s="7"/>
      <c r="H804" s="7"/>
      <c r="I804" s="7"/>
      <c r="J804" s="7"/>
      <c r="K804" s="7"/>
      <c r="L804" s="7"/>
      <c r="M804" s="7"/>
      <c r="N804" s="7"/>
    </row>
    <row r="805" spans="6:14" s="13" customFormat="1" ht="14.25" customHeight="1" x14ac:dyDescent="0.7">
      <c r="F805" s="7"/>
      <c r="G805" s="7"/>
      <c r="H805" s="7"/>
      <c r="I805" s="7"/>
      <c r="J805" s="7"/>
      <c r="K805" s="7"/>
      <c r="L805" s="7"/>
      <c r="M805" s="7"/>
      <c r="N805" s="7"/>
    </row>
    <row r="806" spans="6:14" s="13" customFormat="1" ht="14.25" customHeight="1" x14ac:dyDescent="0.7">
      <c r="F806" s="7"/>
      <c r="G806" s="7"/>
      <c r="H806" s="7"/>
      <c r="I806" s="7"/>
      <c r="J806" s="7"/>
      <c r="K806" s="7"/>
      <c r="L806" s="7"/>
      <c r="M806" s="7"/>
      <c r="N806" s="7"/>
    </row>
    <row r="807" spans="6:14" s="13" customFormat="1" ht="14.25" customHeight="1" x14ac:dyDescent="0.7">
      <c r="F807" s="7"/>
      <c r="G807" s="7"/>
      <c r="H807" s="7"/>
      <c r="I807" s="7"/>
      <c r="J807" s="7"/>
      <c r="K807" s="7"/>
      <c r="L807" s="7"/>
      <c r="M807" s="7"/>
      <c r="N807" s="7"/>
    </row>
    <row r="808" spans="6:14" s="13" customFormat="1" ht="14.25" customHeight="1" x14ac:dyDescent="0.7">
      <c r="F808" s="7"/>
      <c r="G808" s="7"/>
      <c r="H808" s="7"/>
      <c r="I808" s="7"/>
      <c r="J808" s="7"/>
      <c r="K808" s="7"/>
      <c r="L808" s="7"/>
      <c r="M808" s="7"/>
      <c r="N808" s="7"/>
    </row>
    <row r="809" spans="6:14" s="13" customFormat="1" ht="14.25" customHeight="1" x14ac:dyDescent="0.7">
      <c r="F809" s="7"/>
      <c r="G809" s="7"/>
      <c r="H809" s="7"/>
      <c r="I809" s="7"/>
      <c r="J809" s="7"/>
      <c r="K809" s="7"/>
      <c r="L809" s="7"/>
      <c r="M809" s="7"/>
      <c r="N809" s="7"/>
    </row>
    <row r="810" spans="6:14" s="13" customFormat="1" ht="14.25" customHeight="1" x14ac:dyDescent="0.7">
      <c r="F810" s="7"/>
      <c r="G810" s="7"/>
      <c r="H810" s="7"/>
      <c r="I810" s="7"/>
      <c r="J810" s="7"/>
      <c r="K810" s="7"/>
      <c r="L810" s="7"/>
      <c r="M810" s="7"/>
      <c r="N810" s="7"/>
    </row>
    <row r="811" spans="6:14" s="13" customFormat="1" ht="14.25" customHeight="1" x14ac:dyDescent="0.7">
      <c r="F811" s="7"/>
      <c r="G811" s="7"/>
      <c r="H811" s="7"/>
      <c r="I811" s="7"/>
      <c r="J811" s="7"/>
      <c r="K811" s="7"/>
      <c r="L811" s="7"/>
      <c r="M811" s="7"/>
      <c r="N811" s="7"/>
    </row>
    <row r="812" spans="6:14" s="13" customFormat="1" ht="14.25" customHeight="1" x14ac:dyDescent="0.7">
      <c r="F812" s="7"/>
      <c r="G812" s="7"/>
      <c r="H812" s="7"/>
      <c r="I812" s="7"/>
      <c r="J812" s="7"/>
      <c r="K812" s="7"/>
      <c r="L812" s="7"/>
      <c r="M812" s="7"/>
      <c r="N812" s="7"/>
    </row>
    <row r="813" spans="6:14" s="13" customFormat="1" ht="14.25" customHeight="1" x14ac:dyDescent="0.7">
      <c r="F813" s="7"/>
      <c r="G813" s="7"/>
      <c r="H813" s="7"/>
      <c r="I813" s="7"/>
      <c r="J813" s="7"/>
      <c r="K813" s="7"/>
      <c r="L813" s="7"/>
      <c r="M813" s="7"/>
      <c r="N813" s="7"/>
    </row>
    <row r="814" spans="6:14" s="13" customFormat="1" ht="14.25" customHeight="1" x14ac:dyDescent="0.7">
      <c r="F814" s="7"/>
      <c r="G814" s="7"/>
      <c r="H814" s="7"/>
      <c r="I814" s="7"/>
      <c r="J814" s="7"/>
      <c r="K814" s="7"/>
      <c r="L814" s="7"/>
      <c r="M814" s="7"/>
      <c r="N814" s="7"/>
    </row>
    <row r="815" spans="6:14" s="13" customFormat="1" ht="14.25" customHeight="1" x14ac:dyDescent="0.7">
      <c r="F815" s="7"/>
      <c r="G815" s="7"/>
      <c r="H815" s="7"/>
      <c r="I815" s="7"/>
      <c r="J815" s="7"/>
      <c r="K815" s="7"/>
      <c r="L815" s="7"/>
      <c r="M815" s="7"/>
      <c r="N815" s="7"/>
    </row>
    <row r="816" spans="6:14" s="13" customFormat="1" ht="14.25" customHeight="1" x14ac:dyDescent="0.7">
      <c r="F816" s="7"/>
      <c r="G816" s="7"/>
      <c r="H816" s="7"/>
      <c r="I816" s="7"/>
      <c r="J816" s="7"/>
      <c r="K816" s="7"/>
      <c r="L816" s="7"/>
      <c r="M816" s="7"/>
      <c r="N816" s="7"/>
    </row>
    <row r="817" spans="6:14" s="13" customFormat="1" ht="14.25" customHeight="1" x14ac:dyDescent="0.7">
      <c r="F817" s="7"/>
      <c r="G817" s="7"/>
      <c r="H817" s="7"/>
      <c r="I817" s="7"/>
      <c r="J817" s="7"/>
      <c r="K817" s="7"/>
      <c r="L817" s="7"/>
      <c r="M817" s="7"/>
      <c r="N817" s="7"/>
    </row>
    <row r="818" spans="6:14" s="13" customFormat="1" ht="14.25" customHeight="1" x14ac:dyDescent="0.7">
      <c r="F818" s="7"/>
      <c r="G818" s="7"/>
      <c r="H818" s="7"/>
      <c r="I818" s="7"/>
      <c r="J818" s="7"/>
      <c r="K818" s="7"/>
      <c r="L818" s="7"/>
      <c r="M818" s="7"/>
      <c r="N818" s="7"/>
    </row>
    <row r="819" spans="6:14" s="13" customFormat="1" ht="14.25" customHeight="1" x14ac:dyDescent="0.7">
      <c r="F819" s="7"/>
      <c r="G819" s="7"/>
      <c r="H819" s="7"/>
      <c r="I819" s="7"/>
      <c r="J819" s="7"/>
      <c r="K819" s="7"/>
      <c r="L819" s="7"/>
      <c r="M819" s="7"/>
      <c r="N819" s="7"/>
    </row>
    <row r="820" spans="6:14" s="13" customFormat="1" ht="14.25" customHeight="1" x14ac:dyDescent="0.7">
      <c r="F820" s="7"/>
      <c r="G820" s="7"/>
      <c r="H820" s="7"/>
      <c r="I820" s="7"/>
      <c r="J820" s="7"/>
      <c r="K820" s="7"/>
      <c r="L820" s="7"/>
      <c r="M820" s="7"/>
      <c r="N820" s="7"/>
    </row>
    <row r="821" spans="6:14" s="13" customFormat="1" ht="14.25" customHeight="1" x14ac:dyDescent="0.7">
      <c r="F821" s="7"/>
      <c r="G821" s="7"/>
      <c r="H821" s="7"/>
      <c r="I821" s="7"/>
      <c r="J821" s="7"/>
      <c r="K821" s="7"/>
      <c r="L821" s="7"/>
      <c r="M821" s="7"/>
      <c r="N821" s="7"/>
    </row>
    <row r="822" spans="6:14" s="13" customFormat="1" ht="14.25" customHeight="1" x14ac:dyDescent="0.7">
      <c r="F822" s="7"/>
      <c r="G822" s="7"/>
      <c r="H822" s="7"/>
      <c r="I822" s="7"/>
      <c r="J822" s="7"/>
      <c r="K822" s="7"/>
      <c r="L822" s="7"/>
      <c r="M822" s="7"/>
      <c r="N822" s="7"/>
    </row>
    <row r="823" spans="6:14" s="13" customFormat="1" ht="14.25" customHeight="1" x14ac:dyDescent="0.7">
      <c r="F823" s="7"/>
      <c r="G823" s="7"/>
      <c r="H823" s="7"/>
      <c r="I823" s="7"/>
      <c r="J823" s="7"/>
      <c r="K823" s="7"/>
      <c r="L823" s="7"/>
      <c r="M823" s="7"/>
      <c r="N823" s="7"/>
    </row>
    <row r="824" spans="6:14" s="13" customFormat="1" ht="14.25" customHeight="1" x14ac:dyDescent="0.7">
      <c r="F824" s="7"/>
      <c r="G824" s="7"/>
      <c r="H824" s="7"/>
      <c r="I824" s="7"/>
      <c r="J824" s="7"/>
      <c r="K824" s="7"/>
      <c r="L824" s="7"/>
      <c r="M824" s="7"/>
      <c r="N824" s="7"/>
    </row>
    <row r="825" spans="6:14" s="13" customFormat="1" ht="14.25" customHeight="1" x14ac:dyDescent="0.7">
      <c r="F825" s="7"/>
      <c r="G825" s="7"/>
      <c r="H825" s="7"/>
      <c r="I825" s="7"/>
      <c r="J825" s="7"/>
      <c r="K825" s="7"/>
      <c r="L825" s="7"/>
      <c r="M825" s="7"/>
      <c r="N825" s="7"/>
    </row>
    <row r="826" spans="6:14" s="13" customFormat="1" ht="14.25" customHeight="1" x14ac:dyDescent="0.7">
      <c r="F826" s="7"/>
      <c r="G826" s="7"/>
      <c r="H826" s="7"/>
      <c r="I826" s="7"/>
      <c r="J826" s="7"/>
      <c r="K826" s="7"/>
      <c r="L826" s="7"/>
      <c r="M826" s="7"/>
      <c r="N826" s="7"/>
    </row>
    <row r="827" spans="6:14" s="13" customFormat="1" ht="14.25" customHeight="1" x14ac:dyDescent="0.7">
      <c r="F827" s="7"/>
      <c r="G827" s="7"/>
      <c r="H827" s="7"/>
      <c r="I827" s="7"/>
      <c r="J827" s="7"/>
      <c r="K827" s="7"/>
      <c r="L827" s="7"/>
      <c r="M827" s="7"/>
      <c r="N827" s="7"/>
    </row>
    <row r="828" spans="6:14" s="13" customFormat="1" ht="14.25" customHeight="1" x14ac:dyDescent="0.7">
      <c r="F828" s="7"/>
      <c r="G828" s="7"/>
      <c r="H828" s="7"/>
      <c r="I828" s="7"/>
      <c r="J828" s="7"/>
      <c r="K828" s="7"/>
      <c r="L828" s="7"/>
      <c r="M828" s="7"/>
      <c r="N828" s="7"/>
    </row>
    <row r="829" spans="6:14" s="13" customFormat="1" ht="14.25" customHeight="1" x14ac:dyDescent="0.7">
      <c r="F829" s="7"/>
      <c r="G829" s="7"/>
      <c r="H829" s="7"/>
      <c r="I829" s="7"/>
      <c r="J829" s="7"/>
      <c r="K829" s="7"/>
      <c r="L829" s="7"/>
      <c r="M829" s="7"/>
      <c r="N829" s="7"/>
    </row>
    <row r="830" spans="6:14" s="13" customFormat="1" ht="14.25" customHeight="1" x14ac:dyDescent="0.7">
      <c r="F830" s="7"/>
      <c r="G830" s="7"/>
      <c r="H830" s="7"/>
      <c r="I830" s="7"/>
      <c r="J830" s="7"/>
      <c r="K830" s="7"/>
      <c r="L830" s="7"/>
      <c r="M830" s="7"/>
      <c r="N830" s="7"/>
    </row>
    <row r="831" spans="6:14" s="13" customFormat="1" ht="14.25" customHeight="1" x14ac:dyDescent="0.7">
      <c r="F831" s="7"/>
      <c r="G831" s="7"/>
      <c r="H831" s="7"/>
      <c r="I831" s="7"/>
      <c r="J831" s="7"/>
      <c r="K831" s="7"/>
      <c r="L831" s="7"/>
      <c r="M831" s="7"/>
      <c r="N831" s="7"/>
    </row>
    <row r="832" spans="6:14" s="13" customFormat="1" ht="14.25" customHeight="1" x14ac:dyDescent="0.7">
      <c r="F832" s="7"/>
      <c r="G832" s="7"/>
      <c r="H832" s="7"/>
      <c r="I832" s="7"/>
      <c r="J832" s="7"/>
      <c r="K832" s="7"/>
      <c r="L832" s="7"/>
      <c r="M832" s="7"/>
      <c r="N832" s="7"/>
    </row>
    <row r="833" spans="6:14" s="13" customFormat="1" ht="14.25" customHeight="1" x14ac:dyDescent="0.7">
      <c r="F833" s="7"/>
      <c r="G833" s="7"/>
      <c r="H833" s="7"/>
      <c r="I833" s="7"/>
      <c r="J833" s="7"/>
      <c r="K833" s="7"/>
      <c r="L833" s="7"/>
      <c r="M833" s="7"/>
      <c r="N833" s="7"/>
    </row>
    <row r="834" spans="6:14" s="13" customFormat="1" ht="14.25" customHeight="1" x14ac:dyDescent="0.7">
      <c r="F834" s="7"/>
      <c r="G834" s="7"/>
      <c r="H834" s="7"/>
      <c r="I834" s="7"/>
      <c r="J834" s="7"/>
      <c r="K834" s="7"/>
      <c r="L834" s="7"/>
      <c r="M834" s="7"/>
      <c r="N834" s="7"/>
    </row>
    <row r="835" spans="6:14" s="13" customFormat="1" ht="14.25" customHeight="1" x14ac:dyDescent="0.7">
      <c r="F835" s="7"/>
      <c r="G835" s="7"/>
      <c r="H835" s="7"/>
      <c r="I835" s="7"/>
      <c r="J835" s="7"/>
      <c r="K835" s="7"/>
      <c r="L835" s="7"/>
      <c r="M835" s="7"/>
      <c r="N835" s="7"/>
    </row>
    <row r="836" spans="6:14" s="13" customFormat="1" ht="14.25" customHeight="1" x14ac:dyDescent="0.7">
      <c r="F836" s="7"/>
      <c r="G836" s="7"/>
      <c r="H836" s="7"/>
      <c r="I836" s="7"/>
      <c r="J836" s="7"/>
      <c r="K836" s="7"/>
      <c r="L836" s="7"/>
      <c r="M836" s="7"/>
      <c r="N836" s="7"/>
    </row>
    <row r="837" spans="6:14" s="13" customFormat="1" ht="14.25" customHeight="1" x14ac:dyDescent="0.7">
      <c r="F837" s="7"/>
      <c r="G837" s="7"/>
      <c r="H837" s="7"/>
      <c r="I837" s="7"/>
      <c r="J837" s="7"/>
      <c r="K837" s="7"/>
      <c r="L837" s="7"/>
      <c r="M837" s="7"/>
      <c r="N837" s="7"/>
    </row>
    <row r="838" spans="6:14" s="13" customFormat="1" ht="14.25" customHeight="1" x14ac:dyDescent="0.7">
      <c r="F838" s="7"/>
      <c r="G838" s="7"/>
      <c r="H838" s="7"/>
      <c r="I838" s="7"/>
      <c r="J838" s="7"/>
      <c r="K838" s="7"/>
      <c r="L838" s="7"/>
      <c r="M838" s="7"/>
      <c r="N838" s="7"/>
    </row>
    <row r="839" spans="6:14" s="13" customFormat="1" ht="14.25" customHeight="1" x14ac:dyDescent="0.7">
      <c r="F839" s="7"/>
      <c r="G839" s="7"/>
      <c r="H839" s="7"/>
      <c r="I839" s="7"/>
      <c r="J839" s="7"/>
      <c r="K839" s="7"/>
      <c r="L839" s="7"/>
      <c r="M839" s="7"/>
      <c r="N839" s="7"/>
    </row>
    <row r="840" spans="6:14" s="13" customFormat="1" ht="14.25" customHeight="1" x14ac:dyDescent="0.7">
      <c r="F840" s="7"/>
      <c r="G840" s="7"/>
      <c r="H840" s="7"/>
      <c r="I840" s="7"/>
      <c r="J840" s="7"/>
      <c r="K840" s="7"/>
      <c r="L840" s="7"/>
      <c r="M840" s="7"/>
      <c r="N840" s="7"/>
    </row>
    <row r="841" spans="6:14" s="13" customFormat="1" ht="14.25" customHeight="1" x14ac:dyDescent="0.7">
      <c r="F841" s="7"/>
      <c r="G841" s="7"/>
      <c r="H841" s="7"/>
      <c r="I841" s="7"/>
      <c r="J841" s="7"/>
      <c r="K841" s="7"/>
      <c r="L841" s="7"/>
      <c r="M841" s="7"/>
      <c r="N841" s="7"/>
    </row>
    <row r="842" spans="6:14" s="13" customFormat="1" ht="14.25" customHeight="1" x14ac:dyDescent="0.7">
      <c r="F842" s="7"/>
      <c r="G842" s="7"/>
      <c r="H842" s="7"/>
      <c r="I842" s="7"/>
      <c r="J842" s="7"/>
      <c r="K842" s="7"/>
      <c r="L842" s="7"/>
      <c r="M842" s="7"/>
      <c r="N842" s="7"/>
    </row>
    <row r="843" spans="6:14" s="13" customFormat="1" ht="14.25" customHeight="1" x14ac:dyDescent="0.7">
      <c r="F843" s="7"/>
      <c r="G843" s="7"/>
      <c r="H843" s="7"/>
      <c r="I843" s="7"/>
      <c r="J843" s="7"/>
      <c r="K843" s="7"/>
      <c r="L843" s="7"/>
      <c r="M843" s="7"/>
      <c r="N843" s="7"/>
    </row>
    <row r="844" spans="6:14" s="13" customFormat="1" ht="14.25" customHeight="1" x14ac:dyDescent="0.7">
      <c r="F844" s="7"/>
      <c r="G844" s="7"/>
      <c r="H844" s="7"/>
      <c r="I844" s="7"/>
      <c r="J844" s="7"/>
      <c r="K844" s="7"/>
      <c r="L844" s="7"/>
      <c r="M844" s="7"/>
      <c r="N844" s="7"/>
    </row>
    <row r="845" spans="6:14" s="13" customFormat="1" ht="14.25" customHeight="1" x14ac:dyDescent="0.7">
      <c r="F845" s="7"/>
      <c r="G845" s="7"/>
      <c r="H845" s="7"/>
      <c r="I845" s="7"/>
      <c r="J845" s="7"/>
      <c r="K845" s="7"/>
      <c r="L845" s="7"/>
      <c r="M845" s="7"/>
      <c r="N845" s="7"/>
    </row>
    <row r="846" spans="6:14" s="13" customFormat="1" ht="14.25" customHeight="1" x14ac:dyDescent="0.7">
      <c r="F846" s="7"/>
      <c r="G846" s="7"/>
      <c r="H846" s="7"/>
      <c r="I846" s="7"/>
      <c r="J846" s="7"/>
      <c r="K846" s="7"/>
      <c r="L846" s="7"/>
      <c r="M846" s="7"/>
      <c r="N846" s="7"/>
    </row>
    <row r="847" spans="6:14" s="13" customFormat="1" ht="14.25" customHeight="1" x14ac:dyDescent="0.7">
      <c r="F847" s="7"/>
      <c r="G847" s="7"/>
      <c r="H847" s="7"/>
      <c r="I847" s="7"/>
      <c r="J847" s="7"/>
      <c r="K847" s="7"/>
      <c r="L847" s="7"/>
      <c r="M847" s="7"/>
      <c r="N847" s="7"/>
    </row>
    <row r="848" spans="6:14" s="13" customFormat="1" ht="14.25" customHeight="1" x14ac:dyDescent="0.7">
      <c r="F848" s="7"/>
      <c r="G848" s="7"/>
      <c r="H848" s="7"/>
      <c r="I848" s="7"/>
      <c r="J848" s="7"/>
      <c r="K848" s="7"/>
      <c r="L848" s="7"/>
      <c r="M848" s="7"/>
      <c r="N848" s="7"/>
    </row>
    <row r="849" spans="6:14" s="13" customFormat="1" ht="14.25" customHeight="1" x14ac:dyDescent="0.7">
      <c r="F849" s="7"/>
      <c r="G849" s="7"/>
      <c r="H849" s="7"/>
      <c r="I849" s="7"/>
      <c r="J849" s="7"/>
      <c r="K849" s="7"/>
      <c r="L849" s="7"/>
      <c r="M849" s="7"/>
      <c r="N849" s="7"/>
    </row>
    <row r="850" spans="6:14" s="13" customFormat="1" ht="14.25" customHeight="1" x14ac:dyDescent="0.7">
      <c r="F850" s="7"/>
      <c r="G850" s="7"/>
      <c r="H850" s="7"/>
      <c r="I850" s="7"/>
      <c r="J850" s="7"/>
      <c r="K850" s="7"/>
      <c r="L850" s="7"/>
      <c r="M850" s="7"/>
      <c r="N850" s="7"/>
    </row>
    <row r="851" spans="6:14" s="13" customFormat="1" ht="14.25" customHeight="1" x14ac:dyDescent="0.7">
      <c r="F851" s="7"/>
      <c r="G851" s="7"/>
      <c r="H851" s="7"/>
      <c r="I851" s="7"/>
      <c r="J851" s="7"/>
      <c r="K851" s="7"/>
      <c r="L851" s="7"/>
      <c r="M851" s="7"/>
      <c r="N851" s="7"/>
    </row>
    <row r="852" spans="6:14" s="13" customFormat="1" ht="14.25" customHeight="1" x14ac:dyDescent="0.7">
      <c r="F852" s="7"/>
      <c r="G852" s="7"/>
      <c r="H852" s="7"/>
      <c r="I852" s="7"/>
      <c r="J852" s="7"/>
      <c r="K852" s="7"/>
      <c r="L852" s="7"/>
      <c r="M852" s="7"/>
      <c r="N852" s="7"/>
    </row>
    <row r="853" spans="6:14" s="13" customFormat="1" ht="14.25" customHeight="1" x14ac:dyDescent="0.7">
      <c r="F853" s="7"/>
      <c r="G853" s="7"/>
      <c r="H853" s="7"/>
      <c r="I853" s="7"/>
      <c r="J853" s="7"/>
      <c r="K853" s="7"/>
      <c r="L853" s="7"/>
      <c r="M853" s="7"/>
      <c r="N853" s="7"/>
    </row>
    <row r="854" spans="6:14" s="13" customFormat="1" ht="14.25" customHeight="1" x14ac:dyDescent="0.7">
      <c r="F854" s="7"/>
      <c r="G854" s="7"/>
      <c r="H854" s="7"/>
      <c r="I854" s="7"/>
      <c r="J854" s="7"/>
      <c r="K854" s="7"/>
      <c r="L854" s="7"/>
      <c r="M854" s="7"/>
      <c r="N854" s="7"/>
    </row>
    <row r="855" spans="6:14" s="13" customFormat="1" ht="14.25" customHeight="1" x14ac:dyDescent="0.7">
      <c r="F855" s="7"/>
      <c r="G855" s="7"/>
      <c r="H855" s="7"/>
      <c r="I855" s="7"/>
      <c r="J855" s="7"/>
      <c r="K855" s="7"/>
      <c r="L855" s="7"/>
      <c r="M855" s="7"/>
      <c r="N855" s="7"/>
    </row>
    <row r="856" spans="6:14" s="13" customFormat="1" ht="14.25" customHeight="1" x14ac:dyDescent="0.7">
      <c r="F856" s="7"/>
      <c r="G856" s="7"/>
      <c r="H856" s="7"/>
      <c r="I856" s="7"/>
      <c r="J856" s="7"/>
      <c r="K856" s="7"/>
      <c r="L856" s="7"/>
      <c r="M856" s="7"/>
      <c r="N856" s="7"/>
    </row>
    <row r="857" spans="6:14" s="13" customFormat="1" ht="14.25" customHeight="1" x14ac:dyDescent="0.7">
      <c r="F857" s="7"/>
      <c r="G857" s="7"/>
      <c r="H857" s="7"/>
      <c r="I857" s="7"/>
      <c r="J857" s="7"/>
      <c r="K857" s="7"/>
      <c r="L857" s="7"/>
      <c r="M857" s="7"/>
      <c r="N857" s="7"/>
    </row>
    <row r="858" spans="6:14" s="13" customFormat="1" ht="14.25" customHeight="1" x14ac:dyDescent="0.7">
      <c r="F858" s="7"/>
      <c r="G858" s="7"/>
      <c r="H858" s="7"/>
      <c r="I858" s="7"/>
      <c r="J858" s="7"/>
      <c r="K858" s="7"/>
      <c r="L858" s="7"/>
      <c r="M858" s="7"/>
      <c r="N858" s="7"/>
    </row>
    <row r="859" spans="6:14" s="13" customFormat="1" ht="14.25" customHeight="1" x14ac:dyDescent="0.7">
      <c r="F859" s="7"/>
      <c r="G859" s="7"/>
      <c r="H859" s="7"/>
      <c r="I859" s="7"/>
      <c r="J859" s="7"/>
      <c r="K859" s="7"/>
      <c r="L859" s="7"/>
      <c r="M859" s="7"/>
      <c r="N859" s="7"/>
    </row>
    <row r="860" spans="6:14" s="13" customFormat="1" ht="14.25" customHeight="1" x14ac:dyDescent="0.7">
      <c r="F860" s="7"/>
      <c r="G860" s="7"/>
      <c r="H860" s="7"/>
      <c r="I860" s="7"/>
      <c r="J860" s="7"/>
      <c r="K860" s="7"/>
      <c r="L860" s="7"/>
      <c r="M860" s="7"/>
      <c r="N860" s="7"/>
    </row>
    <row r="861" spans="6:14" s="13" customFormat="1" ht="14.25" customHeight="1" x14ac:dyDescent="0.7">
      <c r="F861" s="7"/>
      <c r="G861" s="7"/>
      <c r="H861" s="7"/>
      <c r="I861" s="7"/>
      <c r="J861" s="7"/>
      <c r="K861" s="7"/>
      <c r="L861" s="7"/>
      <c r="M861" s="7"/>
      <c r="N861" s="7"/>
    </row>
    <row r="862" spans="6:14" s="13" customFormat="1" ht="14.25" customHeight="1" x14ac:dyDescent="0.7">
      <c r="F862" s="7"/>
      <c r="G862" s="7"/>
      <c r="H862" s="7"/>
      <c r="I862" s="7"/>
      <c r="J862" s="7"/>
      <c r="K862" s="7"/>
      <c r="L862" s="7"/>
      <c r="M862" s="7"/>
      <c r="N862" s="7"/>
    </row>
    <row r="863" spans="6:14" s="13" customFormat="1" ht="14.25" customHeight="1" x14ac:dyDescent="0.7">
      <c r="F863" s="7"/>
      <c r="G863" s="7"/>
      <c r="H863" s="7"/>
      <c r="I863" s="7"/>
      <c r="J863" s="7"/>
      <c r="K863" s="7"/>
      <c r="L863" s="7"/>
      <c r="M863" s="7"/>
      <c r="N863" s="7"/>
    </row>
    <row r="864" spans="6:14" s="13" customFormat="1" ht="14.25" customHeight="1" x14ac:dyDescent="0.7">
      <c r="F864" s="7"/>
      <c r="G864" s="7"/>
      <c r="H864" s="7"/>
      <c r="I864" s="7"/>
      <c r="J864" s="7"/>
      <c r="K864" s="7"/>
      <c r="L864" s="7"/>
      <c r="M864" s="7"/>
      <c r="N864" s="7"/>
    </row>
    <row r="865" spans="6:14" s="13" customFormat="1" ht="14.25" customHeight="1" x14ac:dyDescent="0.7">
      <c r="F865" s="7"/>
      <c r="G865" s="7"/>
      <c r="H865" s="7"/>
      <c r="I865" s="7"/>
      <c r="J865" s="7"/>
      <c r="K865" s="7"/>
      <c r="L865" s="7"/>
      <c r="M865" s="7"/>
      <c r="N865" s="7"/>
    </row>
    <row r="866" spans="6:14" s="13" customFormat="1" ht="14.25" customHeight="1" x14ac:dyDescent="0.7">
      <c r="F866" s="7"/>
      <c r="G866" s="7"/>
      <c r="H866" s="7"/>
      <c r="I866" s="7"/>
      <c r="J866" s="7"/>
      <c r="K866" s="7"/>
      <c r="L866" s="7"/>
      <c r="M866" s="7"/>
      <c r="N866" s="7"/>
    </row>
    <row r="867" spans="6:14" s="13" customFormat="1" ht="14.25" customHeight="1" x14ac:dyDescent="0.7">
      <c r="F867" s="7"/>
      <c r="G867" s="7"/>
      <c r="H867" s="7"/>
      <c r="I867" s="7"/>
      <c r="J867" s="7"/>
      <c r="K867" s="7"/>
      <c r="L867" s="7"/>
      <c r="M867" s="7"/>
      <c r="N867" s="7"/>
    </row>
    <row r="868" spans="6:14" s="13" customFormat="1" ht="14.25" customHeight="1" x14ac:dyDescent="0.7">
      <c r="F868" s="7"/>
      <c r="G868" s="7"/>
      <c r="H868" s="7"/>
      <c r="I868" s="7"/>
      <c r="J868" s="7"/>
      <c r="K868" s="7"/>
      <c r="L868" s="7"/>
      <c r="M868" s="7"/>
      <c r="N868" s="7"/>
    </row>
    <row r="869" spans="6:14" s="13" customFormat="1" ht="14.25" customHeight="1" x14ac:dyDescent="0.7">
      <c r="F869" s="7"/>
      <c r="G869" s="7"/>
      <c r="H869" s="7"/>
      <c r="I869" s="7"/>
      <c r="J869" s="7"/>
      <c r="K869" s="7"/>
      <c r="L869" s="7"/>
      <c r="M869" s="7"/>
      <c r="N869" s="7"/>
    </row>
    <row r="870" spans="6:14" s="13" customFormat="1" ht="14.25" customHeight="1" x14ac:dyDescent="0.7">
      <c r="F870" s="7"/>
      <c r="G870" s="7"/>
      <c r="H870" s="7"/>
      <c r="I870" s="7"/>
      <c r="J870" s="7"/>
      <c r="K870" s="7"/>
      <c r="L870" s="7"/>
      <c r="M870" s="7"/>
      <c r="N870" s="7"/>
    </row>
    <row r="871" spans="6:14" s="13" customFormat="1" ht="14.25" customHeight="1" x14ac:dyDescent="0.7">
      <c r="F871" s="7"/>
      <c r="G871" s="7"/>
      <c r="H871" s="7"/>
      <c r="I871" s="7"/>
      <c r="J871" s="7"/>
      <c r="K871" s="7"/>
      <c r="L871" s="7"/>
      <c r="M871" s="7"/>
      <c r="N871" s="7"/>
    </row>
    <row r="872" spans="6:14" s="13" customFormat="1" ht="14.25" customHeight="1" x14ac:dyDescent="0.7">
      <c r="F872" s="7"/>
      <c r="G872" s="7"/>
      <c r="H872" s="7"/>
      <c r="I872" s="7"/>
      <c r="J872" s="7"/>
      <c r="K872" s="7"/>
      <c r="L872" s="7"/>
      <c r="M872" s="7"/>
      <c r="N872" s="7"/>
    </row>
    <row r="873" spans="6:14" s="13" customFormat="1" ht="14.25" customHeight="1" x14ac:dyDescent="0.7">
      <c r="F873" s="7"/>
      <c r="G873" s="7"/>
      <c r="H873" s="7"/>
      <c r="I873" s="7"/>
      <c r="J873" s="7"/>
      <c r="K873" s="7"/>
      <c r="L873" s="7"/>
      <c r="M873" s="7"/>
      <c r="N873" s="7"/>
    </row>
    <row r="874" spans="6:14" s="13" customFormat="1" ht="14.25" customHeight="1" x14ac:dyDescent="0.7">
      <c r="F874" s="7"/>
      <c r="G874" s="7"/>
      <c r="H874" s="7"/>
      <c r="I874" s="7"/>
      <c r="J874" s="7"/>
      <c r="K874" s="7"/>
      <c r="L874" s="7"/>
      <c r="M874" s="7"/>
      <c r="N874" s="7"/>
    </row>
    <row r="875" spans="6:14" s="13" customFormat="1" ht="14.25" customHeight="1" x14ac:dyDescent="0.7">
      <c r="F875" s="7"/>
      <c r="G875" s="7"/>
      <c r="H875" s="7"/>
      <c r="I875" s="7"/>
      <c r="J875" s="7"/>
      <c r="K875" s="7"/>
      <c r="L875" s="7"/>
      <c r="M875" s="7"/>
      <c r="N875" s="7"/>
    </row>
    <row r="876" spans="6:14" s="13" customFormat="1" ht="14.25" customHeight="1" x14ac:dyDescent="0.7">
      <c r="F876" s="7"/>
      <c r="G876" s="7"/>
      <c r="H876" s="7"/>
      <c r="I876" s="7"/>
      <c r="J876" s="7"/>
      <c r="K876" s="7"/>
      <c r="L876" s="7"/>
      <c r="M876" s="7"/>
      <c r="N876" s="7"/>
    </row>
    <row r="877" spans="6:14" s="13" customFormat="1" ht="14.25" customHeight="1" x14ac:dyDescent="0.7">
      <c r="F877" s="7"/>
      <c r="G877" s="7"/>
      <c r="H877" s="7"/>
      <c r="I877" s="7"/>
      <c r="J877" s="7"/>
      <c r="K877" s="7"/>
      <c r="L877" s="7"/>
      <c r="M877" s="7"/>
      <c r="N877" s="7"/>
    </row>
    <row r="878" spans="6:14" s="13" customFormat="1" ht="14.25" customHeight="1" x14ac:dyDescent="0.7">
      <c r="F878" s="7"/>
      <c r="G878" s="7"/>
      <c r="H878" s="7"/>
      <c r="I878" s="7"/>
      <c r="J878" s="7"/>
      <c r="K878" s="7"/>
      <c r="L878" s="7"/>
      <c r="M878" s="7"/>
      <c r="N878" s="7"/>
    </row>
    <row r="879" spans="6:14" s="13" customFormat="1" ht="14.25" customHeight="1" x14ac:dyDescent="0.7">
      <c r="F879" s="7"/>
      <c r="G879" s="7"/>
      <c r="H879" s="7"/>
      <c r="I879" s="7"/>
      <c r="J879" s="7"/>
      <c r="K879" s="7"/>
      <c r="L879" s="7"/>
      <c r="M879" s="7"/>
      <c r="N879" s="7"/>
    </row>
    <row r="880" spans="6:14" s="13" customFormat="1" ht="14.25" customHeight="1" x14ac:dyDescent="0.7">
      <c r="F880" s="7"/>
      <c r="G880" s="7"/>
      <c r="H880" s="7"/>
      <c r="I880" s="7"/>
      <c r="J880" s="7"/>
      <c r="K880" s="7"/>
      <c r="L880" s="7"/>
      <c r="M880" s="7"/>
      <c r="N880" s="7"/>
    </row>
    <row r="881" spans="6:14" s="13" customFormat="1" ht="14.25" customHeight="1" x14ac:dyDescent="0.7">
      <c r="F881" s="7"/>
      <c r="G881" s="7"/>
      <c r="H881" s="7"/>
      <c r="I881" s="7"/>
      <c r="J881" s="7"/>
      <c r="K881" s="7"/>
      <c r="L881" s="7"/>
      <c r="M881" s="7"/>
      <c r="N881" s="7"/>
    </row>
    <row r="882" spans="6:14" s="13" customFormat="1" ht="14.25" customHeight="1" x14ac:dyDescent="0.7">
      <c r="F882" s="7"/>
      <c r="G882" s="7"/>
      <c r="H882" s="7"/>
      <c r="I882" s="7"/>
      <c r="J882" s="7"/>
      <c r="K882" s="7"/>
      <c r="L882" s="7"/>
      <c r="M882" s="7"/>
      <c r="N882" s="7"/>
    </row>
    <row r="883" spans="6:14" s="13" customFormat="1" ht="14.25" customHeight="1" x14ac:dyDescent="0.7">
      <c r="F883" s="7"/>
      <c r="G883" s="7"/>
      <c r="H883" s="7"/>
      <c r="I883" s="7"/>
      <c r="J883" s="7"/>
      <c r="K883" s="7"/>
      <c r="L883" s="7"/>
      <c r="M883" s="7"/>
      <c r="N883" s="7"/>
    </row>
    <row r="884" spans="6:14" s="13" customFormat="1" ht="14.25" customHeight="1" x14ac:dyDescent="0.7">
      <c r="F884" s="7"/>
      <c r="G884" s="7"/>
      <c r="H884" s="7"/>
      <c r="I884" s="7"/>
      <c r="J884" s="7"/>
      <c r="K884" s="7"/>
      <c r="L884" s="7"/>
      <c r="M884" s="7"/>
      <c r="N884" s="7"/>
    </row>
    <row r="885" spans="6:14" s="13" customFormat="1" ht="14.25" customHeight="1" x14ac:dyDescent="0.7">
      <c r="F885" s="7"/>
      <c r="G885" s="7"/>
      <c r="H885" s="7"/>
      <c r="I885" s="7"/>
      <c r="J885" s="7"/>
      <c r="K885" s="7"/>
      <c r="L885" s="7"/>
      <c r="M885" s="7"/>
      <c r="N885" s="7"/>
    </row>
    <row r="886" spans="6:14" s="13" customFormat="1" ht="14.25" customHeight="1" x14ac:dyDescent="0.7">
      <c r="F886" s="7"/>
      <c r="G886" s="7"/>
      <c r="H886" s="7"/>
      <c r="I886" s="7"/>
      <c r="J886" s="7"/>
      <c r="K886" s="7"/>
      <c r="L886" s="7"/>
      <c r="M886" s="7"/>
      <c r="N886" s="7"/>
    </row>
    <row r="887" spans="6:14" s="13" customFormat="1" ht="14.25" customHeight="1" x14ac:dyDescent="0.7">
      <c r="F887" s="7"/>
      <c r="G887" s="7"/>
      <c r="H887" s="7"/>
      <c r="I887" s="7"/>
      <c r="J887" s="7"/>
      <c r="K887" s="7"/>
      <c r="L887" s="7"/>
      <c r="M887" s="7"/>
      <c r="N887" s="7"/>
    </row>
    <row r="888" spans="6:14" s="13" customFormat="1" ht="14.25" customHeight="1" x14ac:dyDescent="0.7">
      <c r="F888" s="7"/>
      <c r="G888" s="7"/>
      <c r="H888" s="7"/>
      <c r="I888" s="7"/>
      <c r="J888" s="7"/>
      <c r="K888" s="7"/>
      <c r="L888" s="7"/>
      <c r="M888" s="7"/>
      <c r="N888" s="7"/>
    </row>
    <row r="889" spans="6:14" s="13" customFormat="1" ht="14.25" customHeight="1" x14ac:dyDescent="0.7">
      <c r="F889" s="7"/>
      <c r="G889" s="7"/>
      <c r="H889" s="7"/>
      <c r="I889" s="7"/>
      <c r="J889" s="7"/>
      <c r="K889" s="7"/>
      <c r="L889" s="7"/>
      <c r="M889" s="7"/>
      <c r="N889" s="7"/>
    </row>
    <row r="890" spans="6:14" s="13" customFormat="1" ht="14.25" customHeight="1" x14ac:dyDescent="0.7">
      <c r="F890" s="7"/>
      <c r="G890" s="7"/>
      <c r="H890" s="7"/>
      <c r="I890" s="7"/>
      <c r="J890" s="7"/>
      <c r="K890" s="7"/>
      <c r="L890" s="7"/>
      <c r="M890" s="7"/>
      <c r="N890" s="7"/>
    </row>
    <row r="891" spans="6:14" s="13" customFormat="1" ht="14.25" customHeight="1" x14ac:dyDescent="0.7">
      <c r="F891" s="7"/>
      <c r="G891" s="7"/>
      <c r="H891" s="7"/>
      <c r="I891" s="7"/>
      <c r="J891" s="7"/>
      <c r="K891" s="7"/>
      <c r="L891" s="7"/>
      <c r="M891" s="7"/>
      <c r="N891" s="7"/>
    </row>
    <row r="892" spans="6:14" s="13" customFormat="1" ht="14.25" customHeight="1" x14ac:dyDescent="0.7">
      <c r="F892" s="7"/>
      <c r="G892" s="7"/>
      <c r="H892" s="7"/>
      <c r="I892" s="7"/>
      <c r="J892" s="7"/>
      <c r="K892" s="7"/>
      <c r="L892" s="7"/>
      <c r="M892" s="7"/>
      <c r="N892" s="7"/>
    </row>
    <row r="893" spans="6:14" s="13" customFormat="1" ht="14.25" customHeight="1" x14ac:dyDescent="0.7">
      <c r="F893" s="7"/>
      <c r="G893" s="7"/>
      <c r="H893" s="7"/>
      <c r="I893" s="7"/>
      <c r="J893" s="7"/>
      <c r="K893" s="7"/>
      <c r="L893" s="7"/>
      <c r="M893" s="7"/>
      <c r="N893" s="7"/>
    </row>
    <row r="894" spans="6:14" s="13" customFormat="1" ht="14.25" customHeight="1" x14ac:dyDescent="0.7">
      <c r="F894" s="7"/>
      <c r="G894" s="7"/>
      <c r="H894" s="7"/>
      <c r="I894" s="7"/>
      <c r="J894" s="7"/>
      <c r="K894" s="7"/>
      <c r="L894" s="7"/>
      <c r="M894" s="7"/>
      <c r="N894" s="7"/>
    </row>
    <row r="895" spans="6:14" s="13" customFormat="1" ht="14.25" customHeight="1" x14ac:dyDescent="0.7">
      <c r="F895" s="7"/>
      <c r="G895" s="7"/>
      <c r="H895" s="7"/>
      <c r="I895" s="7"/>
      <c r="J895" s="7"/>
      <c r="K895" s="7"/>
      <c r="L895" s="7"/>
      <c r="M895" s="7"/>
      <c r="N895" s="7"/>
    </row>
    <row r="896" spans="6:14" s="13" customFormat="1" ht="14.25" customHeight="1" x14ac:dyDescent="0.7">
      <c r="F896" s="7"/>
      <c r="G896" s="7"/>
      <c r="H896" s="7"/>
      <c r="I896" s="7"/>
      <c r="J896" s="7"/>
      <c r="K896" s="7"/>
      <c r="L896" s="7"/>
      <c r="M896" s="7"/>
      <c r="N896" s="7"/>
    </row>
    <row r="897" spans="6:14" s="13" customFormat="1" ht="14.25" customHeight="1" x14ac:dyDescent="0.7">
      <c r="F897" s="7"/>
      <c r="G897" s="7"/>
      <c r="H897" s="7"/>
      <c r="I897" s="7"/>
      <c r="J897" s="7"/>
      <c r="K897" s="7"/>
      <c r="L897" s="7"/>
      <c r="M897" s="7"/>
      <c r="N897" s="7"/>
    </row>
    <row r="898" spans="6:14" s="13" customFormat="1" ht="14.25" customHeight="1" x14ac:dyDescent="0.7">
      <c r="F898" s="7"/>
      <c r="G898" s="7"/>
      <c r="H898" s="7"/>
      <c r="I898" s="7"/>
      <c r="J898" s="7"/>
      <c r="K898" s="7"/>
      <c r="L898" s="7"/>
      <c r="M898" s="7"/>
      <c r="N898" s="7"/>
    </row>
    <row r="899" spans="6:14" s="13" customFormat="1" ht="14.25" customHeight="1" x14ac:dyDescent="0.7">
      <c r="F899" s="7"/>
      <c r="G899" s="7"/>
      <c r="H899" s="7"/>
      <c r="I899" s="7"/>
      <c r="J899" s="7"/>
      <c r="K899" s="7"/>
      <c r="L899" s="7"/>
      <c r="M899" s="7"/>
      <c r="N899" s="7"/>
    </row>
    <row r="900" spans="6:14" s="13" customFormat="1" ht="14.25" customHeight="1" x14ac:dyDescent="0.7">
      <c r="F900" s="7"/>
      <c r="G900" s="7"/>
      <c r="H900" s="7"/>
      <c r="I900" s="7"/>
      <c r="J900" s="7"/>
      <c r="K900" s="7"/>
      <c r="L900" s="7"/>
      <c r="M900" s="7"/>
      <c r="N900" s="7"/>
    </row>
    <row r="901" spans="6:14" s="13" customFormat="1" ht="14.25" customHeight="1" x14ac:dyDescent="0.7">
      <c r="F901" s="7"/>
      <c r="G901" s="7"/>
      <c r="H901" s="7"/>
      <c r="I901" s="7"/>
      <c r="J901" s="7"/>
      <c r="K901" s="7"/>
      <c r="L901" s="7"/>
      <c r="M901" s="7"/>
      <c r="N901" s="7"/>
    </row>
    <row r="902" spans="6:14" s="13" customFormat="1" ht="14.25" customHeight="1" x14ac:dyDescent="0.7">
      <c r="F902" s="7"/>
      <c r="G902" s="7"/>
      <c r="H902" s="7"/>
      <c r="I902" s="7"/>
      <c r="J902" s="7"/>
      <c r="K902" s="7"/>
      <c r="L902" s="7"/>
      <c r="M902" s="7"/>
      <c r="N902" s="7"/>
    </row>
    <row r="903" spans="6:14" s="13" customFormat="1" ht="14.25" customHeight="1" x14ac:dyDescent="0.7">
      <c r="F903" s="7"/>
      <c r="G903" s="7"/>
      <c r="H903" s="7"/>
      <c r="I903" s="7"/>
      <c r="J903" s="7"/>
      <c r="K903" s="7"/>
      <c r="L903" s="7"/>
      <c r="M903" s="7"/>
      <c r="N903" s="7"/>
    </row>
    <row r="904" spans="6:14" s="13" customFormat="1" ht="14.25" customHeight="1" x14ac:dyDescent="0.7">
      <c r="F904" s="7"/>
      <c r="G904" s="7"/>
      <c r="H904" s="7"/>
      <c r="I904" s="7"/>
      <c r="J904" s="7"/>
      <c r="K904" s="7"/>
      <c r="L904" s="7"/>
      <c r="M904" s="7"/>
      <c r="N904" s="7"/>
    </row>
    <row r="905" spans="6:14" s="13" customFormat="1" ht="14.25" customHeight="1" x14ac:dyDescent="0.7">
      <c r="F905" s="7"/>
      <c r="G905" s="7"/>
      <c r="H905" s="7"/>
      <c r="I905" s="7"/>
      <c r="J905" s="7"/>
      <c r="K905" s="7"/>
      <c r="L905" s="7"/>
      <c r="M905" s="7"/>
      <c r="N905" s="7"/>
    </row>
    <row r="906" spans="6:14" s="13" customFormat="1" ht="14.25" customHeight="1" x14ac:dyDescent="0.7">
      <c r="F906" s="7"/>
      <c r="G906" s="7"/>
      <c r="H906" s="7"/>
      <c r="I906" s="7"/>
      <c r="J906" s="7"/>
      <c r="K906" s="7"/>
      <c r="L906" s="7"/>
      <c r="M906" s="7"/>
      <c r="N906" s="7"/>
    </row>
    <row r="907" spans="6:14" s="13" customFormat="1" ht="14.25" customHeight="1" x14ac:dyDescent="0.7">
      <c r="F907" s="7"/>
      <c r="G907" s="7"/>
      <c r="H907" s="7"/>
      <c r="I907" s="7"/>
      <c r="J907" s="7"/>
      <c r="K907" s="7"/>
      <c r="L907" s="7"/>
      <c r="M907" s="7"/>
      <c r="N907" s="7"/>
    </row>
    <row r="908" spans="6:14" s="13" customFormat="1" ht="14.25" customHeight="1" x14ac:dyDescent="0.7">
      <c r="F908" s="7"/>
      <c r="G908" s="7"/>
      <c r="H908" s="7"/>
      <c r="I908" s="7"/>
      <c r="J908" s="7"/>
      <c r="K908" s="7"/>
      <c r="L908" s="7"/>
      <c r="M908" s="7"/>
      <c r="N908" s="7"/>
    </row>
    <row r="909" spans="6:14" s="13" customFormat="1" ht="14.25" customHeight="1" x14ac:dyDescent="0.7">
      <c r="F909" s="7"/>
      <c r="G909" s="7"/>
      <c r="H909" s="7"/>
      <c r="I909" s="7"/>
      <c r="J909" s="7"/>
      <c r="K909" s="7"/>
      <c r="L909" s="7"/>
      <c r="M909" s="7"/>
      <c r="N909" s="7"/>
    </row>
    <row r="910" spans="6:14" s="13" customFormat="1" ht="14.25" customHeight="1" x14ac:dyDescent="0.7">
      <c r="F910" s="7"/>
      <c r="G910" s="7"/>
      <c r="H910" s="7"/>
      <c r="I910" s="7"/>
      <c r="J910" s="7"/>
      <c r="K910" s="7"/>
      <c r="L910" s="7"/>
      <c r="M910" s="7"/>
      <c r="N910" s="7"/>
    </row>
    <row r="911" spans="6:14" s="13" customFormat="1" ht="14.25" customHeight="1" x14ac:dyDescent="0.7">
      <c r="F911" s="7"/>
      <c r="G911" s="7"/>
      <c r="H911" s="7"/>
      <c r="I911" s="7"/>
      <c r="J911" s="7"/>
      <c r="K911" s="7"/>
      <c r="L911" s="7"/>
      <c r="M911" s="7"/>
      <c r="N911" s="7"/>
    </row>
    <row r="912" spans="6:14" s="13" customFormat="1" ht="14.25" customHeight="1" x14ac:dyDescent="0.7">
      <c r="F912" s="7"/>
      <c r="G912" s="7"/>
      <c r="H912" s="7"/>
      <c r="I912" s="7"/>
      <c r="J912" s="7"/>
      <c r="K912" s="7"/>
      <c r="L912" s="7"/>
      <c r="M912" s="7"/>
      <c r="N912" s="7"/>
    </row>
    <row r="913" spans="6:14" s="13" customFormat="1" ht="14.25" customHeight="1" x14ac:dyDescent="0.7">
      <c r="F913" s="7"/>
      <c r="G913" s="7"/>
      <c r="H913" s="7"/>
      <c r="I913" s="7"/>
      <c r="J913" s="7"/>
      <c r="K913" s="7"/>
      <c r="L913" s="7"/>
      <c r="M913" s="7"/>
      <c r="N913" s="7"/>
    </row>
    <row r="914" spans="6:14" s="13" customFormat="1" ht="14.25" customHeight="1" x14ac:dyDescent="0.7">
      <c r="F914" s="7"/>
      <c r="G914" s="7"/>
      <c r="H914" s="7"/>
      <c r="I914" s="7"/>
      <c r="J914" s="7"/>
      <c r="K914" s="7"/>
      <c r="L914" s="7"/>
      <c r="M914" s="7"/>
      <c r="N914" s="7"/>
    </row>
    <row r="915" spans="6:14" s="13" customFormat="1" ht="14.25" customHeight="1" x14ac:dyDescent="0.7">
      <c r="F915" s="7"/>
      <c r="G915" s="7"/>
      <c r="H915" s="7"/>
      <c r="I915" s="7"/>
      <c r="J915" s="7"/>
      <c r="K915" s="7"/>
      <c r="L915" s="7"/>
      <c r="M915" s="7"/>
      <c r="N915" s="7"/>
    </row>
    <row r="916" spans="6:14" s="13" customFormat="1" ht="14.25" customHeight="1" x14ac:dyDescent="0.7">
      <c r="F916" s="7"/>
      <c r="G916" s="7"/>
      <c r="H916" s="7"/>
      <c r="I916" s="7"/>
      <c r="J916" s="7"/>
      <c r="K916" s="7"/>
      <c r="L916" s="7"/>
      <c r="M916" s="7"/>
      <c r="N916" s="7"/>
    </row>
    <row r="917" spans="6:14" s="13" customFormat="1" ht="14.25" customHeight="1" x14ac:dyDescent="0.7">
      <c r="F917" s="7"/>
      <c r="G917" s="7"/>
      <c r="H917" s="7"/>
      <c r="I917" s="7"/>
      <c r="J917" s="7"/>
      <c r="K917" s="7"/>
      <c r="L917" s="7"/>
      <c r="M917" s="7"/>
      <c r="N917" s="7"/>
    </row>
    <row r="918" spans="6:14" s="13" customFormat="1" ht="14.25" customHeight="1" x14ac:dyDescent="0.7">
      <c r="F918" s="7"/>
      <c r="G918" s="7"/>
      <c r="H918" s="7"/>
      <c r="I918" s="7"/>
      <c r="J918" s="7"/>
      <c r="K918" s="7"/>
      <c r="L918" s="7"/>
      <c r="M918" s="7"/>
      <c r="N918" s="7"/>
    </row>
    <row r="919" spans="6:14" s="13" customFormat="1" ht="14.25" customHeight="1" x14ac:dyDescent="0.7">
      <c r="F919" s="7"/>
      <c r="G919" s="7"/>
      <c r="H919" s="7"/>
      <c r="I919" s="7"/>
      <c r="J919" s="7"/>
      <c r="K919" s="7"/>
      <c r="L919" s="7"/>
      <c r="M919" s="7"/>
      <c r="N919" s="7"/>
    </row>
    <row r="920" spans="6:14" s="13" customFormat="1" ht="14.25" customHeight="1" x14ac:dyDescent="0.7">
      <c r="F920" s="7"/>
      <c r="G920" s="7"/>
      <c r="H920" s="7"/>
      <c r="I920" s="7"/>
      <c r="J920" s="7"/>
      <c r="K920" s="7"/>
      <c r="L920" s="7"/>
      <c r="M920" s="7"/>
      <c r="N920" s="7"/>
    </row>
    <row r="921" spans="6:14" s="13" customFormat="1" ht="14.25" customHeight="1" x14ac:dyDescent="0.7">
      <c r="F921" s="7"/>
      <c r="G921" s="7"/>
      <c r="H921" s="7"/>
      <c r="I921" s="7"/>
      <c r="J921" s="7"/>
      <c r="K921" s="7"/>
      <c r="L921" s="7"/>
      <c r="M921" s="7"/>
      <c r="N921" s="7"/>
    </row>
    <row r="922" spans="6:14" s="13" customFormat="1" ht="14.25" customHeight="1" x14ac:dyDescent="0.7">
      <c r="F922" s="7"/>
      <c r="G922" s="7"/>
      <c r="H922" s="7"/>
      <c r="I922" s="7"/>
      <c r="J922" s="7"/>
      <c r="K922" s="7"/>
      <c r="L922" s="7"/>
      <c r="M922" s="7"/>
      <c r="N922" s="7"/>
    </row>
    <row r="923" spans="6:14" s="13" customFormat="1" ht="14.25" customHeight="1" x14ac:dyDescent="0.7">
      <c r="F923" s="7"/>
      <c r="G923" s="7"/>
      <c r="H923" s="7"/>
      <c r="I923" s="7"/>
      <c r="J923" s="7"/>
      <c r="K923" s="7"/>
      <c r="L923" s="7"/>
      <c r="M923" s="7"/>
      <c r="N923" s="7"/>
    </row>
    <row r="924" spans="6:14" s="13" customFormat="1" ht="14.25" customHeight="1" x14ac:dyDescent="0.7">
      <c r="F924" s="7"/>
      <c r="G924" s="7"/>
      <c r="H924" s="7"/>
      <c r="I924" s="7"/>
      <c r="J924" s="7"/>
      <c r="K924" s="7"/>
      <c r="L924" s="7"/>
      <c r="M924" s="7"/>
      <c r="N924" s="7"/>
    </row>
    <row r="925" spans="6:14" s="13" customFormat="1" ht="14.25" customHeight="1" x14ac:dyDescent="0.7">
      <c r="F925" s="7"/>
      <c r="G925" s="7"/>
      <c r="H925" s="7"/>
      <c r="I925" s="7"/>
      <c r="J925" s="7"/>
      <c r="K925" s="7"/>
      <c r="L925" s="7"/>
      <c r="M925" s="7"/>
      <c r="N925" s="7"/>
    </row>
    <row r="926" spans="6:14" s="13" customFormat="1" ht="14.25" customHeight="1" x14ac:dyDescent="0.7">
      <c r="F926" s="7"/>
      <c r="G926" s="7"/>
      <c r="H926" s="7"/>
      <c r="I926" s="7"/>
      <c r="J926" s="7"/>
      <c r="K926" s="7"/>
      <c r="L926" s="7"/>
      <c r="M926" s="7"/>
      <c r="N926" s="7"/>
    </row>
    <row r="927" spans="6:14" s="13" customFormat="1" ht="14.25" customHeight="1" x14ac:dyDescent="0.7">
      <c r="F927" s="7"/>
      <c r="G927" s="7"/>
      <c r="H927" s="7"/>
      <c r="I927" s="7"/>
      <c r="J927" s="7"/>
      <c r="K927" s="7"/>
      <c r="L927" s="7"/>
      <c r="M927" s="7"/>
      <c r="N927" s="7"/>
    </row>
    <row r="928" spans="6:14" s="13" customFormat="1" ht="14.25" customHeight="1" x14ac:dyDescent="0.7">
      <c r="F928" s="7"/>
      <c r="G928" s="7"/>
      <c r="H928" s="7"/>
      <c r="I928" s="7"/>
      <c r="J928" s="7"/>
      <c r="K928" s="7"/>
      <c r="L928" s="7"/>
      <c r="M928" s="7"/>
      <c r="N928" s="7"/>
    </row>
    <row r="929" spans="6:14" s="13" customFormat="1" ht="14.25" customHeight="1" x14ac:dyDescent="0.7">
      <c r="F929" s="7"/>
      <c r="G929" s="7"/>
      <c r="H929" s="7"/>
      <c r="I929" s="7"/>
      <c r="J929" s="7"/>
      <c r="K929" s="7"/>
      <c r="L929" s="7"/>
      <c r="M929" s="7"/>
      <c r="N929" s="7"/>
    </row>
    <row r="930" spans="6:14" s="13" customFormat="1" ht="14.25" customHeight="1" x14ac:dyDescent="0.7">
      <c r="F930" s="7"/>
      <c r="G930" s="7"/>
      <c r="H930" s="7"/>
      <c r="I930" s="7"/>
      <c r="J930" s="7"/>
      <c r="K930" s="7"/>
      <c r="L930" s="7"/>
      <c r="M930" s="7"/>
      <c r="N930" s="7"/>
    </row>
    <row r="931" spans="6:14" s="13" customFormat="1" ht="14.25" customHeight="1" x14ac:dyDescent="0.7">
      <c r="F931" s="7"/>
      <c r="G931" s="7"/>
      <c r="H931" s="7"/>
      <c r="I931" s="7"/>
      <c r="J931" s="7"/>
      <c r="K931" s="7"/>
      <c r="L931" s="7"/>
      <c r="M931" s="7"/>
      <c r="N931" s="7"/>
    </row>
    <row r="932" spans="6:14" s="13" customFormat="1" ht="14.25" customHeight="1" x14ac:dyDescent="0.7">
      <c r="F932" s="7"/>
      <c r="G932" s="7"/>
      <c r="H932" s="7"/>
      <c r="I932" s="7"/>
      <c r="J932" s="7"/>
      <c r="K932" s="7"/>
      <c r="L932" s="7"/>
      <c r="M932" s="7"/>
      <c r="N932" s="7"/>
    </row>
    <row r="933" spans="6:14" s="13" customFormat="1" ht="14.25" customHeight="1" x14ac:dyDescent="0.7">
      <c r="F933" s="7"/>
      <c r="G933" s="7"/>
      <c r="H933" s="7"/>
      <c r="I933" s="7"/>
      <c r="J933" s="7"/>
      <c r="K933" s="7"/>
      <c r="L933" s="7"/>
      <c r="M933" s="7"/>
      <c r="N933" s="7"/>
    </row>
    <row r="934" spans="6:14" s="13" customFormat="1" ht="14.25" customHeight="1" x14ac:dyDescent="0.7">
      <c r="F934" s="7"/>
      <c r="G934" s="7"/>
      <c r="H934" s="7"/>
      <c r="I934" s="7"/>
      <c r="J934" s="7"/>
      <c r="K934" s="7"/>
      <c r="L934" s="7"/>
      <c r="M934" s="7"/>
      <c r="N934" s="7"/>
    </row>
    <row r="935" spans="6:14" s="13" customFormat="1" ht="14.25" customHeight="1" x14ac:dyDescent="0.7">
      <c r="F935" s="7"/>
      <c r="G935" s="7"/>
      <c r="H935" s="7"/>
      <c r="I935" s="7"/>
      <c r="J935" s="7"/>
      <c r="K935" s="7"/>
      <c r="L935" s="7"/>
      <c r="M935" s="7"/>
      <c r="N935" s="7"/>
    </row>
    <row r="936" spans="6:14" s="13" customFormat="1" ht="14.25" customHeight="1" x14ac:dyDescent="0.7">
      <c r="F936" s="7"/>
      <c r="G936" s="7"/>
      <c r="H936" s="7"/>
      <c r="I936" s="7"/>
      <c r="J936" s="7"/>
      <c r="K936" s="7"/>
      <c r="L936" s="7"/>
      <c r="M936" s="7"/>
      <c r="N936" s="7"/>
    </row>
    <row r="937" spans="6:14" s="13" customFormat="1" ht="14.25" customHeight="1" x14ac:dyDescent="0.7">
      <c r="F937" s="7"/>
      <c r="G937" s="7"/>
      <c r="H937" s="7"/>
      <c r="I937" s="7"/>
      <c r="J937" s="7"/>
      <c r="K937" s="7"/>
      <c r="L937" s="7"/>
      <c r="M937" s="7"/>
      <c r="N937" s="7"/>
    </row>
    <row r="938" spans="6:14" s="13" customFormat="1" ht="14.25" customHeight="1" x14ac:dyDescent="0.7">
      <c r="F938" s="7"/>
      <c r="G938" s="7"/>
      <c r="H938" s="7"/>
      <c r="I938" s="7"/>
      <c r="J938" s="7"/>
      <c r="K938" s="7"/>
      <c r="L938" s="7"/>
      <c r="M938" s="7"/>
      <c r="N938" s="7"/>
    </row>
    <row r="939" spans="6:14" s="13" customFormat="1" ht="14.25" customHeight="1" x14ac:dyDescent="0.7">
      <c r="F939" s="7"/>
      <c r="G939" s="7"/>
      <c r="H939" s="7"/>
      <c r="I939" s="7"/>
      <c r="J939" s="7"/>
      <c r="K939" s="7"/>
      <c r="L939" s="7"/>
      <c r="M939" s="7"/>
      <c r="N939" s="7"/>
    </row>
    <row r="940" spans="6:14" s="13" customFormat="1" ht="14.25" customHeight="1" x14ac:dyDescent="0.7">
      <c r="F940" s="7"/>
      <c r="G940" s="7"/>
      <c r="H940" s="7"/>
      <c r="I940" s="7"/>
      <c r="J940" s="7"/>
      <c r="K940" s="7"/>
      <c r="L940" s="7"/>
      <c r="M940" s="7"/>
      <c r="N940" s="7"/>
    </row>
    <row r="941" spans="6:14" s="13" customFormat="1" ht="14.25" customHeight="1" x14ac:dyDescent="0.7">
      <c r="F941" s="7"/>
      <c r="G941" s="7"/>
      <c r="H941" s="7"/>
      <c r="I941" s="7"/>
      <c r="J941" s="7"/>
      <c r="K941" s="7"/>
      <c r="L941" s="7"/>
      <c r="M941" s="7"/>
      <c r="N941" s="7"/>
    </row>
    <row r="942" spans="6:14" s="13" customFormat="1" ht="14.25" customHeight="1" x14ac:dyDescent="0.7">
      <c r="F942" s="7"/>
      <c r="G942" s="7"/>
      <c r="H942" s="7"/>
      <c r="I942" s="7"/>
      <c r="J942" s="7"/>
      <c r="K942" s="7"/>
      <c r="L942" s="7"/>
      <c r="M942" s="7"/>
      <c r="N942" s="7"/>
    </row>
    <row r="943" spans="6:14" s="13" customFormat="1" ht="14.25" customHeight="1" x14ac:dyDescent="0.7">
      <c r="F943" s="7"/>
      <c r="G943" s="7"/>
      <c r="H943" s="7"/>
      <c r="I943" s="7"/>
      <c r="J943" s="7"/>
      <c r="K943" s="7"/>
      <c r="L943" s="7"/>
      <c r="M943" s="7"/>
      <c r="N943" s="7"/>
    </row>
    <row r="944" spans="6:14" s="13" customFormat="1" ht="14.25" customHeight="1" x14ac:dyDescent="0.7">
      <c r="F944" s="7"/>
      <c r="G944" s="7"/>
      <c r="H944" s="7"/>
      <c r="I944" s="7"/>
      <c r="J944" s="7"/>
      <c r="K944" s="7"/>
      <c r="L944" s="7"/>
      <c r="M944" s="7"/>
      <c r="N944" s="7"/>
    </row>
    <row r="945" spans="6:14" s="13" customFormat="1" ht="14.25" customHeight="1" x14ac:dyDescent="0.7">
      <c r="F945" s="7"/>
      <c r="G945" s="7"/>
      <c r="H945" s="7"/>
      <c r="I945" s="7"/>
      <c r="J945" s="7"/>
      <c r="K945" s="7"/>
      <c r="L945" s="7"/>
      <c r="M945" s="7"/>
      <c r="N945" s="7"/>
    </row>
    <row r="946" spans="6:14" s="13" customFormat="1" ht="14.25" customHeight="1" x14ac:dyDescent="0.7">
      <c r="F946" s="7"/>
      <c r="G946" s="7"/>
      <c r="H946" s="7"/>
      <c r="I946" s="7"/>
      <c r="J946" s="7"/>
      <c r="K946" s="7"/>
      <c r="L946" s="7"/>
      <c r="M946" s="7"/>
      <c r="N946" s="7"/>
    </row>
    <row r="947" spans="6:14" s="13" customFormat="1" ht="14.25" customHeight="1" x14ac:dyDescent="0.7">
      <c r="F947" s="7"/>
      <c r="G947" s="7"/>
      <c r="H947" s="7"/>
      <c r="I947" s="7"/>
      <c r="J947" s="7"/>
      <c r="K947" s="7"/>
      <c r="L947" s="7"/>
      <c r="M947" s="7"/>
      <c r="N947" s="7"/>
    </row>
    <row r="948" spans="6:14" s="13" customFormat="1" ht="14.25" customHeight="1" x14ac:dyDescent="0.7">
      <c r="F948" s="7"/>
      <c r="G948" s="7"/>
      <c r="H948" s="7"/>
      <c r="I948" s="7"/>
      <c r="J948" s="7"/>
      <c r="K948" s="7"/>
      <c r="L948" s="7"/>
      <c r="M948" s="7"/>
      <c r="N948" s="7"/>
    </row>
    <row r="949" spans="6:14" s="13" customFormat="1" ht="14.25" customHeight="1" x14ac:dyDescent="0.7">
      <c r="F949" s="7"/>
      <c r="G949" s="7"/>
      <c r="H949" s="7"/>
      <c r="I949" s="7"/>
      <c r="J949" s="7"/>
      <c r="K949" s="7"/>
      <c r="L949" s="7"/>
      <c r="M949" s="7"/>
      <c r="N949" s="7"/>
    </row>
    <row r="950" spans="6:14" s="13" customFormat="1" ht="14.25" customHeight="1" x14ac:dyDescent="0.7">
      <c r="F950" s="7"/>
      <c r="G950" s="7"/>
      <c r="H950" s="7"/>
      <c r="I950" s="7"/>
      <c r="J950" s="7"/>
      <c r="K950" s="7"/>
      <c r="L950" s="7"/>
      <c r="M950" s="7"/>
      <c r="N950" s="7"/>
    </row>
    <row r="951" spans="6:14" s="13" customFormat="1" ht="14.25" customHeight="1" x14ac:dyDescent="0.7">
      <c r="F951" s="7"/>
      <c r="G951" s="7"/>
      <c r="H951" s="7"/>
      <c r="I951" s="7"/>
      <c r="J951" s="7"/>
      <c r="K951" s="7"/>
      <c r="L951" s="7"/>
      <c r="M951" s="7"/>
      <c r="N951" s="7"/>
    </row>
    <row r="952" spans="6:14" s="13" customFormat="1" ht="14.25" customHeight="1" x14ac:dyDescent="0.7">
      <c r="F952" s="7"/>
      <c r="G952" s="7"/>
      <c r="H952" s="7"/>
      <c r="I952" s="7"/>
      <c r="J952" s="7"/>
      <c r="K952" s="7"/>
      <c r="L952" s="7"/>
      <c r="M952" s="7"/>
      <c r="N952" s="7"/>
    </row>
    <row r="953" spans="6:14" s="13" customFormat="1" ht="14.25" customHeight="1" x14ac:dyDescent="0.7">
      <c r="F953" s="7"/>
      <c r="G953" s="7"/>
      <c r="H953" s="7"/>
      <c r="I953" s="7"/>
      <c r="J953" s="7"/>
      <c r="K953" s="7"/>
      <c r="L953" s="7"/>
      <c r="M953" s="7"/>
      <c r="N953" s="7"/>
    </row>
    <row r="954" spans="6:14" s="13" customFormat="1" ht="14.25" customHeight="1" x14ac:dyDescent="0.7">
      <c r="F954" s="7"/>
      <c r="G954" s="7"/>
      <c r="H954" s="7"/>
      <c r="I954" s="7"/>
      <c r="J954" s="7"/>
      <c r="K954" s="7"/>
      <c r="L954" s="7"/>
      <c r="M954" s="7"/>
      <c r="N954" s="7"/>
    </row>
    <row r="955" spans="6:14" s="13" customFormat="1" ht="14.25" customHeight="1" x14ac:dyDescent="0.7">
      <c r="F955" s="7"/>
      <c r="G955" s="7"/>
      <c r="H955" s="7"/>
      <c r="I955" s="7"/>
      <c r="J955" s="7"/>
      <c r="K955" s="7"/>
      <c r="L955" s="7"/>
      <c r="M955" s="7"/>
      <c r="N955" s="7"/>
    </row>
    <row r="956" spans="6:14" s="13" customFormat="1" ht="14.25" customHeight="1" x14ac:dyDescent="0.7">
      <c r="F956" s="7"/>
      <c r="G956" s="7"/>
      <c r="H956" s="7"/>
      <c r="I956" s="7"/>
      <c r="J956" s="7"/>
      <c r="K956" s="7"/>
      <c r="L956" s="7"/>
      <c r="M956" s="7"/>
      <c r="N956" s="7"/>
    </row>
    <row r="957" spans="6:14" s="13" customFormat="1" ht="14.25" customHeight="1" x14ac:dyDescent="0.7">
      <c r="F957" s="7"/>
      <c r="G957" s="7"/>
      <c r="H957" s="7"/>
      <c r="I957" s="7"/>
      <c r="J957" s="7"/>
      <c r="K957" s="7"/>
      <c r="L957" s="7"/>
      <c r="M957" s="7"/>
      <c r="N957" s="7"/>
    </row>
    <row r="958" spans="6:14" s="13" customFormat="1" ht="14.25" customHeight="1" x14ac:dyDescent="0.7">
      <c r="F958" s="7"/>
      <c r="G958" s="7"/>
      <c r="H958" s="7"/>
      <c r="I958" s="7"/>
      <c r="J958" s="7"/>
      <c r="K958" s="7"/>
      <c r="L958" s="7"/>
      <c r="M958" s="7"/>
      <c r="N958" s="7"/>
    </row>
    <row r="959" spans="6:14" s="13" customFormat="1" ht="14.25" customHeight="1" x14ac:dyDescent="0.7">
      <c r="F959" s="7"/>
      <c r="G959" s="7"/>
      <c r="H959" s="7"/>
      <c r="I959" s="7"/>
      <c r="J959" s="7"/>
      <c r="K959" s="7"/>
      <c r="L959" s="7"/>
      <c r="M959" s="7"/>
      <c r="N959" s="7"/>
    </row>
    <row r="960" spans="6:14" s="13" customFormat="1" ht="14.25" customHeight="1" x14ac:dyDescent="0.7">
      <c r="F960" s="7"/>
      <c r="G960" s="7"/>
      <c r="H960" s="7"/>
      <c r="I960" s="7"/>
      <c r="J960" s="7"/>
      <c r="K960" s="7"/>
      <c r="L960" s="7"/>
      <c r="M960" s="7"/>
      <c r="N960" s="7"/>
    </row>
    <row r="961" spans="6:14" s="13" customFormat="1" ht="14.25" customHeight="1" x14ac:dyDescent="0.7">
      <c r="F961" s="7"/>
      <c r="G961" s="7"/>
      <c r="H961" s="7"/>
      <c r="I961" s="7"/>
      <c r="J961" s="7"/>
      <c r="K961" s="7"/>
      <c r="L961" s="7"/>
      <c r="M961" s="7"/>
      <c r="N961" s="7"/>
    </row>
    <row r="962" spans="6:14" s="13" customFormat="1" ht="14.25" customHeight="1" x14ac:dyDescent="0.7">
      <c r="F962" s="7"/>
      <c r="G962" s="7"/>
      <c r="H962" s="7"/>
      <c r="I962" s="7"/>
      <c r="J962" s="7"/>
      <c r="K962" s="7"/>
      <c r="L962" s="7"/>
      <c r="M962" s="7"/>
      <c r="N962" s="7"/>
    </row>
    <row r="963" spans="6:14" s="13" customFormat="1" ht="14.25" customHeight="1" x14ac:dyDescent="0.7">
      <c r="F963" s="7"/>
      <c r="G963" s="7"/>
      <c r="H963" s="7"/>
      <c r="I963" s="7"/>
      <c r="J963" s="7"/>
      <c r="K963" s="7"/>
      <c r="L963" s="7"/>
      <c r="M963" s="7"/>
      <c r="N963" s="7"/>
    </row>
    <row r="964" spans="6:14" s="13" customFormat="1" ht="14.25" customHeight="1" x14ac:dyDescent="0.7">
      <c r="F964" s="7"/>
      <c r="G964" s="7"/>
      <c r="H964" s="7"/>
      <c r="I964" s="7"/>
      <c r="J964" s="7"/>
      <c r="K964" s="7"/>
      <c r="L964" s="7"/>
      <c r="M964" s="7"/>
      <c r="N964" s="7"/>
    </row>
    <row r="965" spans="6:14" s="13" customFormat="1" ht="14.25" customHeight="1" x14ac:dyDescent="0.7">
      <c r="F965" s="7"/>
      <c r="G965" s="7"/>
      <c r="H965" s="7"/>
      <c r="I965" s="7"/>
      <c r="J965" s="7"/>
      <c r="K965" s="7"/>
      <c r="L965" s="7"/>
      <c r="M965" s="7"/>
      <c r="N965" s="7"/>
    </row>
    <row r="966" spans="6:14" s="13" customFormat="1" ht="14.25" customHeight="1" x14ac:dyDescent="0.7">
      <c r="F966" s="7"/>
      <c r="G966" s="7"/>
      <c r="H966" s="7"/>
      <c r="I966" s="7"/>
      <c r="J966" s="7"/>
      <c r="K966" s="7"/>
      <c r="L966" s="7"/>
      <c r="M966" s="7"/>
      <c r="N966" s="7"/>
    </row>
    <row r="967" spans="6:14" s="13" customFormat="1" ht="14.25" customHeight="1" x14ac:dyDescent="0.7">
      <c r="F967" s="7"/>
      <c r="G967" s="7"/>
      <c r="H967" s="7"/>
      <c r="I967" s="7"/>
      <c r="J967" s="7"/>
      <c r="K967" s="7"/>
      <c r="L967" s="7"/>
      <c r="M967" s="7"/>
      <c r="N967" s="7"/>
    </row>
    <row r="968" spans="6:14" s="13" customFormat="1" ht="14.25" customHeight="1" x14ac:dyDescent="0.7">
      <c r="F968" s="7"/>
      <c r="G968" s="7"/>
      <c r="H968" s="7"/>
      <c r="I968" s="7"/>
      <c r="J968" s="7"/>
      <c r="K968" s="7"/>
      <c r="L968" s="7"/>
      <c r="M968" s="7"/>
      <c r="N968" s="7"/>
    </row>
    <row r="969" spans="6:14" s="13" customFormat="1" ht="14.25" customHeight="1" x14ac:dyDescent="0.7">
      <c r="F969" s="7"/>
      <c r="G969" s="7"/>
      <c r="H969" s="7"/>
      <c r="I969" s="7"/>
      <c r="J969" s="7"/>
      <c r="K969" s="7"/>
      <c r="L969" s="7"/>
      <c r="M969" s="7"/>
      <c r="N969" s="7"/>
    </row>
    <row r="970" spans="6:14" s="13" customFormat="1" ht="14.25" customHeight="1" x14ac:dyDescent="0.7">
      <c r="F970" s="7"/>
      <c r="G970" s="7"/>
      <c r="H970" s="7"/>
      <c r="I970" s="7"/>
      <c r="J970" s="7"/>
      <c r="K970" s="7"/>
      <c r="L970" s="7"/>
      <c r="M970" s="7"/>
      <c r="N970" s="7"/>
    </row>
    <row r="971" spans="6:14" s="13" customFormat="1" ht="14.25" customHeight="1" x14ac:dyDescent="0.7">
      <c r="F971" s="7"/>
      <c r="G971" s="7"/>
      <c r="H971" s="7"/>
      <c r="I971" s="7"/>
      <c r="J971" s="7"/>
      <c r="K971" s="7"/>
      <c r="L971" s="7"/>
      <c r="M971" s="7"/>
      <c r="N971" s="7"/>
    </row>
    <row r="972" spans="6:14" s="13" customFormat="1" ht="14.25" customHeight="1" x14ac:dyDescent="0.7">
      <c r="F972" s="7"/>
      <c r="G972" s="7"/>
      <c r="H972" s="7"/>
      <c r="I972" s="7"/>
      <c r="J972" s="7"/>
      <c r="K972" s="7"/>
      <c r="L972" s="7"/>
      <c r="M972" s="7"/>
      <c r="N972" s="7"/>
    </row>
    <row r="973" spans="6:14" s="13" customFormat="1" ht="14.25" customHeight="1" x14ac:dyDescent="0.7">
      <c r="F973" s="7"/>
      <c r="G973" s="7"/>
      <c r="H973" s="7"/>
      <c r="I973" s="7"/>
      <c r="J973" s="7"/>
      <c r="K973" s="7"/>
      <c r="L973" s="7"/>
      <c r="M973" s="7"/>
      <c r="N973" s="7"/>
    </row>
    <row r="974" spans="6:14" s="13" customFormat="1" ht="14.25" customHeight="1" x14ac:dyDescent="0.7">
      <c r="F974" s="7"/>
      <c r="G974" s="7"/>
      <c r="H974" s="7"/>
      <c r="I974" s="7"/>
      <c r="J974" s="7"/>
      <c r="K974" s="7"/>
      <c r="L974" s="7"/>
      <c r="M974" s="7"/>
      <c r="N974" s="7"/>
    </row>
    <row r="975" spans="6:14" s="13" customFormat="1" ht="14.25" customHeight="1" x14ac:dyDescent="0.7">
      <c r="F975" s="7"/>
      <c r="G975" s="7"/>
      <c r="H975" s="7"/>
      <c r="I975" s="7"/>
      <c r="J975" s="7"/>
      <c r="K975" s="7"/>
      <c r="L975" s="7"/>
      <c r="M975" s="7"/>
      <c r="N975" s="7"/>
    </row>
    <row r="976" spans="6:14" s="13" customFormat="1" ht="14.25" customHeight="1" x14ac:dyDescent="0.7">
      <c r="F976" s="7"/>
      <c r="G976" s="7"/>
      <c r="H976" s="7"/>
      <c r="I976" s="7"/>
      <c r="J976" s="7"/>
      <c r="K976" s="7"/>
      <c r="L976" s="7"/>
      <c r="M976" s="7"/>
      <c r="N976" s="7"/>
    </row>
    <row r="977" spans="6:14" s="13" customFormat="1" ht="14.25" customHeight="1" x14ac:dyDescent="0.7">
      <c r="F977" s="7"/>
      <c r="G977" s="7"/>
      <c r="H977" s="7"/>
      <c r="I977" s="7"/>
      <c r="J977" s="7"/>
      <c r="K977" s="7"/>
      <c r="L977" s="7"/>
      <c r="M977" s="7"/>
      <c r="N977" s="7"/>
    </row>
    <row r="978" spans="6:14" s="13" customFormat="1" ht="14.25" customHeight="1" x14ac:dyDescent="0.7">
      <c r="F978" s="7"/>
      <c r="G978" s="7"/>
      <c r="H978" s="7"/>
      <c r="I978" s="7"/>
      <c r="J978" s="7"/>
      <c r="K978" s="7"/>
      <c r="L978" s="7"/>
      <c r="M978" s="7"/>
      <c r="N978" s="7"/>
    </row>
    <row r="979" spans="6:14" s="13" customFormat="1" ht="14.25" customHeight="1" x14ac:dyDescent="0.7">
      <c r="F979" s="7"/>
      <c r="G979" s="7"/>
      <c r="H979" s="7"/>
      <c r="I979" s="7"/>
      <c r="J979" s="7"/>
      <c r="K979" s="7"/>
      <c r="L979" s="7"/>
      <c r="M979" s="7"/>
      <c r="N979" s="7"/>
    </row>
    <row r="980" spans="6:14" s="13" customFormat="1" ht="14.25" customHeight="1" x14ac:dyDescent="0.7">
      <c r="F980" s="7"/>
      <c r="G980" s="7"/>
      <c r="H980" s="7"/>
      <c r="I980" s="7"/>
      <c r="J980" s="7"/>
      <c r="K980" s="7"/>
      <c r="L980" s="7"/>
      <c r="M980" s="7"/>
      <c r="N980" s="7"/>
    </row>
    <row r="981" spans="6:14" s="13" customFormat="1" ht="14.25" customHeight="1" x14ac:dyDescent="0.7">
      <c r="F981" s="7"/>
      <c r="G981" s="7"/>
      <c r="H981" s="7"/>
      <c r="I981" s="7"/>
      <c r="J981" s="7"/>
      <c r="K981" s="7"/>
      <c r="L981" s="7"/>
      <c r="M981" s="7"/>
      <c r="N981" s="7"/>
    </row>
    <row r="982" spans="6:14" s="13" customFormat="1" ht="14.25" customHeight="1" x14ac:dyDescent="0.7">
      <c r="F982" s="7"/>
      <c r="G982" s="7"/>
      <c r="H982" s="7"/>
      <c r="I982" s="7"/>
      <c r="J982" s="7"/>
      <c r="K982" s="7"/>
      <c r="L982" s="7"/>
      <c r="M982" s="7"/>
      <c r="N982" s="7"/>
    </row>
    <row r="983" spans="6:14" s="13" customFormat="1" ht="14.25" customHeight="1" x14ac:dyDescent="0.7">
      <c r="F983" s="7"/>
      <c r="G983" s="7"/>
      <c r="H983" s="7"/>
      <c r="I983" s="7"/>
      <c r="J983" s="7"/>
      <c r="K983" s="7"/>
      <c r="L983" s="7"/>
      <c r="M983" s="7"/>
      <c r="N983" s="7"/>
    </row>
    <row r="984" spans="6:14" s="13" customFormat="1" ht="14.25" customHeight="1" x14ac:dyDescent="0.7">
      <c r="F984" s="7"/>
      <c r="G984" s="7"/>
      <c r="H984" s="7"/>
      <c r="I984" s="7"/>
      <c r="J984" s="7"/>
      <c r="K984" s="7"/>
      <c r="L984" s="7"/>
      <c r="M984" s="7"/>
      <c r="N984" s="7"/>
    </row>
    <row r="985" spans="6:14" s="13" customFormat="1" ht="14.25" customHeight="1" x14ac:dyDescent="0.7">
      <c r="F985" s="7"/>
      <c r="G985" s="7"/>
      <c r="H985" s="7"/>
      <c r="I985" s="7"/>
      <c r="J985" s="7"/>
      <c r="K985" s="7"/>
      <c r="L985" s="7"/>
      <c r="M985" s="7"/>
      <c r="N985" s="7"/>
    </row>
    <row r="986" spans="6:14" s="13" customFormat="1" ht="14.25" customHeight="1" x14ac:dyDescent="0.7">
      <c r="F986" s="7"/>
      <c r="G986" s="7"/>
      <c r="H986" s="7"/>
      <c r="I986" s="7"/>
      <c r="J986" s="7"/>
      <c r="K986" s="7"/>
      <c r="L986" s="7"/>
      <c r="M986" s="7"/>
      <c r="N986" s="7"/>
    </row>
    <row r="987" spans="6:14" s="13" customFormat="1" ht="14.25" customHeight="1" x14ac:dyDescent="0.7">
      <c r="F987" s="7"/>
      <c r="G987" s="7"/>
      <c r="H987" s="7"/>
      <c r="I987" s="7"/>
      <c r="J987" s="7"/>
      <c r="K987" s="7"/>
      <c r="L987" s="7"/>
      <c r="M987" s="7"/>
      <c r="N987" s="7"/>
    </row>
    <row r="988" spans="6:14" s="13" customFormat="1" ht="14.25" customHeight="1" x14ac:dyDescent="0.7">
      <c r="F988" s="7"/>
      <c r="G988" s="7"/>
      <c r="H988" s="7"/>
      <c r="I988" s="7"/>
      <c r="J988" s="7"/>
      <c r="K988" s="7"/>
      <c r="L988" s="7"/>
      <c r="M988" s="7"/>
      <c r="N988" s="7"/>
    </row>
    <row r="989" spans="6:14" s="13" customFormat="1" ht="14.25" customHeight="1" x14ac:dyDescent="0.7">
      <c r="F989" s="7"/>
      <c r="G989" s="7"/>
      <c r="H989" s="7"/>
      <c r="I989" s="7"/>
      <c r="J989" s="7"/>
      <c r="K989" s="7"/>
      <c r="L989" s="7"/>
      <c r="M989" s="7"/>
      <c r="N989" s="7"/>
    </row>
    <row r="990" spans="6:14" s="13" customFormat="1" ht="14.25" customHeight="1" x14ac:dyDescent="0.7">
      <c r="F990" s="7"/>
      <c r="G990" s="7"/>
      <c r="H990" s="7"/>
      <c r="I990" s="7"/>
      <c r="J990" s="7"/>
      <c r="K990" s="7"/>
      <c r="L990" s="7"/>
      <c r="M990" s="7"/>
      <c r="N990" s="7"/>
    </row>
    <row r="991" spans="6:14" s="13" customFormat="1" ht="14.25" customHeight="1" x14ac:dyDescent="0.7">
      <c r="F991" s="7"/>
      <c r="G991" s="7"/>
      <c r="H991" s="7"/>
      <c r="I991" s="7"/>
      <c r="J991" s="7"/>
      <c r="K991" s="7"/>
      <c r="L991" s="7"/>
      <c r="M991" s="7"/>
      <c r="N991" s="7"/>
    </row>
    <row r="992" spans="6:14" s="13" customFormat="1" ht="14.25" customHeight="1" x14ac:dyDescent="0.7">
      <c r="F992" s="7"/>
      <c r="G992" s="7"/>
      <c r="H992" s="7"/>
      <c r="I992" s="7"/>
      <c r="J992" s="7"/>
      <c r="K992" s="7"/>
      <c r="L992" s="7"/>
      <c r="M992" s="7"/>
      <c r="N992" s="7"/>
    </row>
    <row r="993" spans="6:14" s="13" customFormat="1" ht="14.25" customHeight="1" x14ac:dyDescent="0.7">
      <c r="F993" s="7"/>
      <c r="G993" s="7"/>
      <c r="H993" s="7"/>
      <c r="I993" s="7"/>
      <c r="J993" s="7"/>
      <c r="K993" s="7"/>
      <c r="L993" s="7"/>
      <c r="M993" s="7"/>
      <c r="N993" s="7"/>
    </row>
    <row r="994" spans="6:14" s="13" customFormat="1" ht="14.25" customHeight="1" x14ac:dyDescent="0.7">
      <c r="F994" s="7"/>
      <c r="G994" s="7"/>
      <c r="H994" s="7"/>
      <c r="I994" s="7"/>
      <c r="J994" s="7"/>
      <c r="K994" s="7"/>
      <c r="L994" s="7"/>
      <c r="M994" s="7"/>
      <c r="N994" s="7"/>
    </row>
    <row r="995" spans="6:14" s="13" customFormat="1" ht="14.25" customHeight="1" x14ac:dyDescent="0.7">
      <c r="F995" s="7"/>
      <c r="G995" s="7"/>
      <c r="H995" s="7"/>
      <c r="I995" s="7"/>
      <c r="J995" s="7"/>
      <c r="K995" s="7"/>
      <c r="L995" s="7"/>
      <c r="M995" s="7"/>
      <c r="N995" s="7"/>
    </row>
    <row r="996" spans="6:14" s="13" customFormat="1" ht="14.25" customHeight="1" x14ac:dyDescent="0.7">
      <c r="F996" s="7"/>
      <c r="G996" s="7"/>
      <c r="H996" s="7"/>
      <c r="I996" s="7"/>
      <c r="J996" s="7"/>
      <c r="K996" s="7"/>
      <c r="L996" s="7"/>
      <c r="M996" s="7"/>
      <c r="N996" s="7"/>
    </row>
    <row r="997" spans="6:14" s="13" customFormat="1" ht="14.25" customHeight="1" x14ac:dyDescent="0.7">
      <c r="F997" s="7"/>
      <c r="G997" s="7"/>
      <c r="H997" s="7"/>
      <c r="I997" s="7"/>
      <c r="J997" s="7"/>
      <c r="K997" s="7"/>
      <c r="L997" s="7"/>
      <c r="M997" s="7"/>
      <c r="N997" s="7"/>
    </row>
    <row r="998" spans="6:14" s="13" customFormat="1" ht="14.25" customHeight="1" x14ac:dyDescent="0.7">
      <c r="F998" s="7"/>
      <c r="G998" s="7"/>
      <c r="H998" s="7"/>
      <c r="I998" s="7"/>
      <c r="J998" s="7"/>
      <c r="K998" s="7"/>
      <c r="L998" s="7"/>
      <c r="M998" s="7"/>
      <c r="N998" s="7"/>
    </row>
    <row r="999" spans="6:14" s="13" customFormat="1" ht="14.25" customHeight="1" x14ac:dyDescent="0.7">
      <c r="F999" s="7"/>
      <c r="G999" s="7"/>
      <c r="H999" s="7"/>
      <c r="I999" s="7"/>
      <c r="J999" s="7"/>
      <c r="K999" s="7"/>
      <c r="L999" s="7"/>
      <c r="M999" s="7"/>
      <c r="N999" s="7"/>
    </row>
    <row r="1000" spans="6:14" s="13" customFormat="1" ht="14.25" customHeight="1" x14ac:dyDescent="0.7"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6:14" s="13" customFormat="1" ht="14.25" customHeight="1" x14ac:dyDescent="0.7"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6:14" s="13" customFormat="1" ht="14.25" customHeight="1" x14ac:dyDescent="0.7">
      <c r="F1002" s="7"/>
      <c r="G1002" s="7"/>
      <c r="H1002" s="7"/>
      <c r="I1002" s="7"/>
      <c r="J1002" s="7"/>
      <c r="K1002" s="7"/>
      <c r="L1002" s="7"/>
      <c r="M1002" s="7"/>
      <c r="N1002" s="7"/>
    </row>
    <row r="1003" spans="6:14" s="13" customFormat="1" ht="14.25" customHeight="1" x14ac:dyDescent="0.7">
      <c r="F1003" s="7"/>
      <c r="G1003" s="7"/>
      <c r="H1003" s="7"/>
      <c r="I1003" s="7"/>
      <c r="J1003" s="7"/>
      <c r="K1003" s="7"/>
      <c r="L1003" s="7"/>
      <c r="M1003" s="7"/>
      <c r="N1003" s="7"/>
    </row>
    <row r="1004" spans="6:14" s="13" customFormat="1" ht="14.25" customHeight="1" x14ac:dyDescent="0.7">
      <c r="F1004" s="7"/>
      <c r="G1004" s="7"/>
      <c r="H1004" s="7"/>
      <c r="I1004" s="7"/>
      <c r="J1004" s="7"/>
      <c r="K1004" s="7"/>
      <c r="L1004" s="7"/>
      <c r="M1004" s="7"/>
      <c r="N1004" s="7"/>
    </row>
    <row r="1005" spans="6:14" s="13" customFormat="1" ht="14.25" customHeight="1" x14ac:dyDescent="0.7">
      <c r="F1005" s="7"/>
      <c r="G1005" s="7"/>
      <c r="H1005" s="7"/>
      <c r="I1005" s="7"/>
      <c r="J1005" s="7"/>
      <c r="K1005" s="7"/>
      <c r="L1005" s="7"/>
      <c r="M1005" s="7"/>
      <c r="N1005" s="7"/>
    </row>
    <row r="1006" spans="6:14" s="13" customFormat="1" ht="14.25" customHeight="1" x14ac:dyDescent="0.7">
      <c r="F1006" s="7"/>
      <c r="G1006" s="7"/>
      <c r="H1006" s="7"/>
      <c r="I1006" s="7"/>
      <c r="J1006" s="7"/>
      <c r="K1006" s="7"/>
      <c r="L1006" s="7"/>
      <c r="M1006" s="7"/>
      <c r="N1006" s="7"/>
    </row>
    <row r="1007" spans="6:14" s="13" customFormat="1" ht="14.25" customHeight="1" x14ac:dyDescent="0.7">
      <c r="F1007" s="7"/>
      <c r="G1007" s="7"/>
      <c r="H1007" s="7"/>
      <c r="I1007" s="7"/>
      <c r="J1007" s="7"/>
      <c r="K1007" s="7"/>
      <c r="L1007" s="7"/>
      <c r="M1007" s="7"/>
      <c r="N1007" s="7"/>
    </row>
    <row r="1008" spans="6:14" s="13" customFormat="1" ht="14.25" customHeight="1" x14ac:dyDescent="0.7">
      <c r="F1008" s="7"/>
      <c r="G1008" s="7"/>
      <c r="H1008" s="7"/>
      <c r="I1008" s="7"/>
      <c r="J1008" s="7"/>
      <c r="K1008" s="7"/>
      <c r="L1008" s="7"/>
      <c r="M1008" s="7"/>
      <c r="N1008" s="7"/>
    </row>
    <row r="1009" spans="6:14" s="13" customFormat="1" ht="14.25" customHeight="1" x14ac:dyDescent="0.7">
      <c r="F1009" s="7"/>
      <c r="G1009" s="7"/>
      <c r="H1009" s="7"/>
      <c r="I1009" s="7"/>
      <c r="J1009" s="7"/>
      <c r="K1009" s="7"/>
      <c r="L1009" s="7"/>
      <c r="M1009" s="7"/>
      <c r="N1009" s="7"/>
    </row>
    <row r="1010" spans="6:14" s="13" customFormat="1" ht="14.25" customHeight="1" x14ac:dyDescent="0.7">
      <c r="F1010" s="7"/>
      <c r="G1010" s="7"/>
      <c r="H1010" s="7"/>
      <c r="I1010" s="7"/>
      <c r="J1010" s="7"/>
      <c r="K1010" s="7"/>
      <c r="L1010" s="7"/>
      <c r="M1010" s="7"/>
      <c r="N1010" s="7"/>
    </row>
    <row r="1011" spans="6:14" s="13" customFormat="1" ht="14.25" customHeight="1" x14ac:dyDescent="0.7">
      <c r="F1011" s="7"/>
      <c r="G1011" s="7"/>
      <c r="H1011" s="7"/>
      <c r="I1011" s="7"/>
      <c r="J1011" s="7"/>
      <c r="K1011" s="7"/>
      <c r="L1011" s="7"/>
      <c r="M1011" s="7"/>
      <c r="N1011" s="7"/>
    </row>
    <row r="1012" spans="6:14" s="13" customFormat="1" ht="14.25" customHeight="1" x14ac:dyDescent="0.7">
      <c r="F1012" s="7"/>
      <c r="G1012" s="7"/>
      <c r="H1012" s="7"/>
      <c r="I1012" s="7"/>
      <c r="J1012" s="7"/>
      <c r="K1012" s="7"/>
      <c r="L1012" s="7"/>
      <c r="M1012" s="7"/>
      <c r="N1012" s="7"/>
    </row>
    <row r="1013" spans="6:14" s="13" customFormat="1" ht="14.25" customHeight="1" x14ac:dyDescent="0.7">
      <c r="F1013" s="7"/>
      <c r="G1013" s="7"/>
      <c r="H1013" s="7"/>
      <c r="I1013" s="7"/>
      <c r="J1013" s="7"/>
      <c r="K1013" s="7"/>
      <c r="L1013" s="7"/>
      <c r="M1013" s="7"/>
      <c r="N1013" s="7"/>
    </row>
  </sheetData>
  <mergeCells count="29">
    <mergeCell ref="E99:M99"/>
    <mergeCell ref="P34:P35"/>
    <mergeCell ref="H53:H54"/>
    <mergeCell ref="E93:M93"/>
    <mergeCell ref="E96:M96"/>
    <mergeCell ref="E98:M98"/>
    <mergeCell ref="K34:K35"/>
    <mergeCell ref="L34:L35"/>
    <mergeCell ref="M34:M35"/>
    <mergeCell ref="N34:N35"/>
    <mergeCell ref="O34:O35"/>
    <mergeCell ref="F34:F35"/>
    <mergeCell ref="G34:G35"/>
    <mergeCell ref="H34:H35"/>
    <mergeCell ref="I34:I35"/>
    <mergeCell ref="J34:J35"/>
    <mergeCell ref="A1:P1"/>
    <mergeCell ref="A2:P2"/>
    <mergeCell ref="A3:P3"/>
    <mergeCell ref="B5:E6"/>
    <mergeCell ref="F5:H5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23622047244094491" right="0.19685039370078741" top="0.31496062992125984" bottom="0.19685039370078741" header="0.55118110236220474" footer="0.19685039370078741"/>
  <pageSetup paperSize="9" scale="7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1013"/>
  <sheetViews>
    <sheetView showGridLines="0" view="pageBreakPreview" zoomScale="85" zoomScaleNormal="90" zoomScaleSheetLayoutView="85" workbookViewId="0">
      <pane ySplit="6" topLeftCell="A67" activePane="bottomLeft" state="frozen"/>
      <selection pane="bottomLeft" activeCell="N64" sqref="N64"/>
    </sheetView>
  </sheetViews>
  <sheetFormatPr defaultColWidth="12.59765625" defaultRowHeight="24.6" x14ac:dyDescent="0.7"/>
  <cols>
    <col min="1" max="1" width="1.3984375" style="2" customWidth="1"/>
    <col min="2" max="4" width="1.8984375" style="2" customWidth="1"/>
    <col min="5" max="5" width="53.69921875" style="2" customWidth="1"/>
    <col min="6" max="8" width="17.3984375" style="14" customWidth="1"/>
    <col min="9" max="10" width="15.59765625" style="14" hidden="1" customWidth="1"/>
    <col min="11" max="11" width="7.69921875" style="14" hidden="1" customWidth="1"/>
    <col min="12" max="12" width="23.09765625" style="14" bestFit="1" customWidth="1"/>
    <col min="13" max="13" width="11" style="14" hidden="1" customWidth="1"/>
    <col min="14" max="14" width="15.59765625" style="14" bestFit="1" customWidth="1"/>
    <col min="15" max="15" width="15.59765625" style="13" bestFit="1" customWidth="1"/>
    <col min="16" max="16" width="29.296875" style="2" bestFit="1" customWidth="1"/>
    <col min="17" max="17" width="12.8984375" style="2" customWidth="1"/>
    <col min="18" max="18" width="29" style="2" customWidth="1"/>
    <col min="19" max="31" width="7.59765625" style="2" customWidth="1"/>
    <col min="32" max="260" width="12.59765625" style="2"/>
    <col min="261" max="261" width="2" style="2" customWidth="1"/>
    <col min="262" max="264" width="2.3984375" style="2" customWidth="1"/>
    <col min="265" max="265" width="65" style="2" customWidth="1"/>
    <col min="266" max="271" width="13.3984375" style="2" customWidth="1"/>
    <col min="272" max="272" width="20.3984375" style="2" customWidth="1"/>
    <col min="273" max="273" width="7.59765625" style="2" customWidth="1"/>
    <col min="274" max="274" width="14.3984375" style="2" bestFit="1" customWidth="1"/>
    <col min="275" max="287" width="7.59765625" style="2" customWidth="1"/>
    <col min="288" max="516" width="12.59765625" style="2"/>
    <col min="517" max="517" width="2" style="2" customWidth="1"/>
    <col min="518" max="520" width="2.3984375" style="2" customWidth="1"/>
    <col min="521" max="521" width="65" style="2" customWidth="1"/>
    <col min="522" max="527" width="13.3984375" style="2" customWidth="1"/>
    <col min="528" max="528" width="20.3984375" style="2" customWidth="1"/>
    <col min="529" max="529" width="7.59765625" style="2" customWidth="1"/>
    <col min="530" max="530" width="14.3984375" style="2" bestFit="1" customWidth="1"/>
    <col min="531" max="543" width="7.59765625" style="2" customWidth="1"/>
    <col min="544" max="772" width="12.59765625" style="2"/>
    <col min="773" max="773" width="2" style="2" customWidth="1"/>
    <col min="774" max="776" width="2.3984375" style="2" customWidth="1"/>
    <col min="777" max="777" width="65" style="2" customWidth="1"/>
    <col min="778" max="783" width="13.3984375" style="2" customWidth="1"/>
    <col min="784" max="784" width="20.3984375" style="2" customWidth="1"/>
    <col min="785" max="785" width="7.59765625" style="2" customWidth="1"/>
    <col min="786" max="786" width="14.3984375" style="2" bestFit="1" customWidth="1"/>
    <col min="787" max="799" width="7.59765625" style="2" customWidth="1"/>
    <col min="800" max="1028" width="12.59765625" style="2"/>
    <col min="1029" max="1029" width="2" style="2" customWidth="1"/>
    <col min="1030" max="1032" width="2.3984375" style="2" customWidth="1"/>
    <col min="1033" max="1033" width="65" style="2" customWidth="1"/>
    <col min="1034" max="1039" width="13.3984375" style="2" customWidth="1"/>
    <col min="1040" max="1040" width="20.3984375" style="2" customWidth="1"/>
    <col min="1041" max="1041" width="7.59765625" style="2" customWidth="1"/>
    <col min="1042" max="1042" width="14.3984375" style="2" bestFit="1" customWidth="1"/>
    <col min="1043" max="1055" width="7.59765625" style="2" customWidth="1"/>
    <col min="1056" max="1284" width="12.59765625" style="2"/>
    <col min="1285" max="1285" width="2" style="2" customWidth="1"/>
    <col min="1286" max="1288" width="2.3984375" style="2" customWidth="1"/>
    <col min="1289" max="1289" width="65" style="2" customWidth="1"/>
    <col min="1290" max="1295" width="13.3984375" style="2" customWidth="1"/>
    <col min="1296" max="1296" width="20.3984375" style="2" customWidth="1"/>
    <col min="1297" max="1297" width="7.59765625" style="2" customWidth="1"/>
    <col min="1298" max="1298" width="14.3984375" style="2" bestFit="1" customWidth="1"/>
    <col min="1299" max="1311" width="7.59765625" style="2" customWidth="1"/>
    <col min="1312" max="1540" width="12.59765625" style="2"/>
    <col min="1541" max="1541" width="2" style="2" customWidth="1"/>
    <col min="1542" max="1544" width="2.3984375" style="2" customWidth="1"/>
    <col min="1545" max="1545" width="65" style="2" customWidth="1"/>
    <col min="1546" max="1551" width="13.3984375" style="2" customWidth="1"/>
    <col min="1552" max="1552" width="20.3984375" style="2" customWidth="1"/>
    <col min="1553" max="1553" width="7.59765625" style="2" customWidth="1"/>
    <col min="1554" max="1554" width="14.3984375" style="2" bestFit="1" customWidth="1"/>
    <col min="1555" max="1567" width="7.59765625" style="2" customWidth="1"/>
    <col min="1568" max="1796" width="12.59765625" style="2"/>
    <col min="1797" max="1797" width="2" style="2" customWidth="1"/>
    <col min="1798" max="1800" width="2.3984375" style="2" customWidth="1"/>
    <col min="1801" max="1801" width="65" style="2" customWidth="1"/>
    <col min="1802" max="1807" width="13.3984375" style="2" customWidth="1"/>
    <col min="1808" max="1808" width="20.3984375" style="2" customWidth="1"/>
    <col min="1809" max="1809" width="7.59765625" style="2" customWidth="1"/>
    <col min="1810" max="1810" width="14.3984375" style="2" bestFit="1" customWidth="1"/>
    <col min="1811" max="1823" width="7.59765625" style="2" customWidth="1"/>
    <col min="1824" max="2052" width="12.59765625" style="2"/>
    <col min="2053" max="2053" width="2" style="2" customWidth="1"/>
    <col min="2054" max="2056" width="2.3984375" style="2" customWidth="1"/>
    <col min="2057" max="2057" width="65" style="2" customWidth="1"/>
    <col min="2058" max="2063" width="13.3984375" style="2" customWidth="1"/>
    <col min="2064" max="2064" width="20.3984375" style="2" customWidth="1"/>
    <col min="2065" max="2065" width="7.59765625" style="2" customWidth="1"/>
    <col min="2066" max="2066" width="14.3984375" style="2" bestFit="1" customWidth="1"/>
    <col min="2067" max="2079" width="7.59765625" style="2" customWidth="1"/>
    <col min="2080" max="2308" width="12.59765625" style="2"/>
    <col min="2309" max="2309" width="2" style="2" customWidth="1"/>
    <col min="2310" max="2312" width="2.3984375" style="2" customWidth="1"/>
    <col min="2313" max="2313" width="65" style="2" customWidth="1"/>
    <col min="2314" max="2319" width="13.3984375" style="2" customWidth="1"/>
    <col min="2320" max="2320" width="20.3984375" style="2" customWidth="1"/>
    <col min="2321" max="2321" width="7.59765625" style="2" customWidth="1"/>
    <col min="2322" max="2322" width="14.3984375" style="2" bestFit="1" customWidth="1"/>
    <col min="2323" max="2335" width="7.59765625" style="2" customWidth="1"/>
    <col min="2336" max="2564" width="12.59765625" style="2"/>
    <col min="2565" max="2565" width="2" style="2" customWidth="1"/>
    <col min="2566" max="2568" width="2.3984375" style="2" customWidth="1"/>
    <col min="2569" max="2569" width="65" style="2" customWidth="1"/>
    <col min="2570" max="2575" width="13.3984375" style="2" customWidth="1"/>
    <col min="2576" max="2576" width="20.3984375" style="2" customWidth="1"/>
    <col min="2577" max="2577" width="7.59765625" style="2" customWidth="1"/>
    <col min="2578" max="2578" width="14.3984375" style="2" bestFit="1" customWidth="1"/>
    <col min="2579" max="2591" width="7.59765625" style="2" customWidth="1"/>
    <col min="2592" max="2820" width="12.59765625" style="2"/>
    <col min="2821" max="2821" width="2" style="2" customWidth="1"/>
    <col min="2822" max="2824" width="2.3984375" style="2" customWidth="1"/>
    <col min="2825" max="2825" width="65" style="2" customWidth="1"/>
    <col min="2826" max="2831" width="13.3984375" style="2" customWidth="1"/>
    <col min="2832" max="2832" width="20.3984375" style="2" customWidth="1"/>
    <col min="2833" max="2833" width="7.59765625" style="2" customWidth="1"/>
    <col min="2834" max="2834" width="14.3984375" style="2" bestFit="1" customWidth="1"/>
    <col min="2835" max="2847" width="7.59765625" style="2" customWidth="1"/>
    <col min="2848" max="3076" width="12.59765625" style="2"/>
    <col min="3077" max="3077" width="2" style="2" customWidth="1"/>
    <col min="3078" max="3080" width="2.3984375" style="2" customWidth="1"/>
    <col min="3081" max="3081" width="65" style="2" customWidth="1"/>
    <col min="3082" max="3087" width="13.3984375" style="2" customWidth="1"/>
    <col min="3088" max="3088" width="20.3984375" style="2" customWidth="1"/>
    <col min="3089" max="3089" width="7.59765625" style="2" customWidth="1"/>
    <col min="3090" max="3090" width="14.3984375" style="2" bestFit="1" customWidth="1"/>
    <col min="3091" max="3103" width="7.59765625" style="2" customWidth="1"/>
    <col min="3104" max="3332" width="12.59765625" style="2"/>
    <col min="3333" max="3333" width="2" style="2" customWidth="1"/>
    <col min="3334" max="3336" width="2.3984375" style="2" customWidth="1"/>
    <col min="3337" max="3337" width="65" style="2" customWidth="1"/>
    <col min="3338" max="3343" width="13.3984375" style="2" customWidth="1"/>
    <col min="3344" max="3344" width="20.3984375" style="2" customWidth="1"/>
    <col min="3345" max="3345" width="7.59765625" style="2" customWidth="1"/>
    <col min="3346" max="3346" width="14.3984375" style="2" bestFit="1" customWidth="1"/>
    <col min="3347" max="3359" width="7.59765625" style="2" customWidth="1"/>
    <col min="3360" max="3588" width="12.59765625" style="2"/>
    <col min="3589" max="3589" width="2" style="2" customWidth="1"/>
    <col min="3590" max="3592" width="2.3984375" style="2" customWidth="1"/>
    <col min="3593" max="3593" width="65" style="2" customWidth="1"/>
    <col min="3594" max="3599" width="13.3984375" style="2" customWidth="1"/>
    <col min="3600" max="3600" width="20.3984375" style="2" customWidth="1"/>
    <col min="3601" max="3601" width="7.59765625" style="2" customWidth="1"/>
    <col min="3602" max="3602" width="14.3984375" style="2" bestFit="1" customWidth="1"/>
    <col min="3603" max="3615" width="7.59765625" style="2" customWidth="1"/>
    <col min="3616" max="3844" width="12.59765625" style="2"/>
    <col min="3845" max="3845" width="2" style="2" customWidth="1"/>
    <col min="3846" max="3848" width="2.3984375" style="2" customWidth="1"/>
    <col min="3849" max="3849" width="65" style="2" customWidth="1"/>
    <col min="3850" max="3855" width="13.3984375" style="2" customWidth="1"/>
    <col min="3856" max="3856" width="20.3984375" style="2" customWidth="1"/>
    <col min="3857" max="3857" width="7.59765625" style="2" customWidth="1"/>
    <col min="3858" max="3858" width="14.3984375" style="2" bestFit="1" customWidth="1"/>
    <col min="3859" max="3871" width="7.59765625" style="2" customWidth="1"/>
    <col min="3872" max="4100" width="12.59765625" style="2"/>
    <col min="4101" max="4101" width="2" style="2" customWidth="1"/>
    <col min="4102" max="4104" width="2.3984375" style="2" customWidth="1"/>
    <col min="4105" max="4105" width="65" style="2" customWidth="1"/>
    <col min="4106" max="4111" width="13.3984375" style="2" customWidth="1"/>
    <col min="4112" max="4112" width="20.3984375" style="2" customWidth="1"/>
    <col min="4113" max="4113" width="7.59765625" style="2" customWidth="1"/>
    <col min="4114" max="4114" width="14.3984375" style="2" bestFit="1" customWidth="1"/>
    <col min="4115" max="4127" width="7.59765625" style="2" customWidth="1"/>
    <col min="4128" max="4356" width="12.59765625" style="2"/>
    <col min="4357" max="4357" width="2" style="2" customWidth="1"/>
    <col min="4358" max="4360" width="2.3984375" style="2" customWidth="1"/>
    <col min="4361" max="4361" width="65" style="2" customWidth="1"/>
    <col min="4362" max="4367" width="13.3984375" style="2" customWidth="1"/>
    <col min="4368" max="4368" width="20.3984375" style="2" customWidth="1"/>
    <col min="4369" max="4369" width="7.59765625" style="2" customWidth="1"/>
    <col min="4370" max="4370" width="14.3984375" style="2" bestFit="1" customWidth="1"/>
    <col min="4371" max="4383" width="7.59765625" style="2" customWidth="1"/>
    <col min="4384" max="4612" width="12.59765625" style="2"/>
    <col min="4613" max="4613" width="2" style="2" customWidth="1"/>
    <col min="4614" max="4616" width="2.3984375" style="2" customWidth="1"/>
    <col min="4617" max="4617" width="65" style="2" customWidth="1"/>
    <col min="4618" max="4623" width="13.3984375" style="2" customWidth="1"/>
    <col min="4624" max="4624" width="20.3984375" style="2" customWidth="1"/>
    <col min="4625" max="4625" width="7.59765625" style="2" customWidth="1"/>
    <col min="4626" max="4626" width="14.3984375" style="2" bestFit="1" customWidth="1"/>
    <col min="4627" max="4639" width="7.59765625" style="2" customWidth="1"/>
    <col min="4640" max="4868" width="12.59765625" style="2"/>
    <col min="4869" max="4869" width="2" style="2" customWidth="1"/>
    <col min="4870" max="4872" width="2.3984375" style="2" customWidth="1"/>
    <col min="4873" max="4873" width="65" style="2" customWidth="1"/>
    <col min="4874" max="4879" width="13.3984375" style="2" customWidth="1"/>
    <col min="4880" max="4880" width="20.3984375" style="2" customWidth="1"/>
    <col min="4881" max="4881" width="7.59765625" style="2" customWidth="1"/>
    <col min="4882" max="4882" width="14.3984375" style="2" bestFit="1" customWidth="1"/>
    <col min="4883" max="4895" width="7.59765625" style="2" customWidth="1"/>
    <col min="4896" max="5124" width="12.59765625" style="2"/>
    <col min="5125" max="5125" width="2" style="2" customWidth="1"/>
    <col min="5126" max="5128" width="2.3984375" style="2" customWidth="1"/>
    <col min="5129" max="5129" width="65" style="2" customWidth="1"/>
    <col min="5130" max="5135" width="13.3984375" style="2" customWidth="1"/>
    <col min="5136" max="5136" width="20.3984375" style="2" customWidth="1"/>
    <col min="5137" max="5137" width="7.59765625" style="2" customWidth="1"/>
    <col min="5138" max="5138" width="14.3984375" style="2" bestFit="1" customWidth="1"/>
    <col min="5139" max="5151" width="7.59765625" style="2" customWidth="1"/>
    <col min="5152" max="5380" width="12.59765625" style="2"/>
    <col min="5381" max="5381" width="2" style="2" customWidth="1"/>
    <col min="5382" max="5384" width="2.3984375" style="2" customWidth="1"/>
    <col min="5385" max="5385" width="65" style="2" customWidth="1"/>
    <col min="5386" max="5391" width="13.3984375" style="2" customWidth="1"/>
    <col min="5392" max="5392" width="20.3984375" style="2" customWidth="1"/>
    <col min="5393" max="5393" width="7.59765625" style="2" customWidth="1"/>
    <col min="5394" max="5394" width="14.3984375" style="2" bestFit="1" customWidth="1"/>
    <col min="5395" max="5407" width="7.59765625" style="2" customWidth="1"/>
    <col min="5408" max="5636" width="12.59765625" style="2"/>
    <col min="5637" max="5637" width="2" style="2" customWidth="1"/>
    <col min="5638" max="5640" width="2.3984375" style="2" customWidth="1"/>
    <col min="5641" max="5641" width="65" style="2" customWidth="1"/>
    <col min="5642" max="5647" width="13.3984375" style="2" customWidth="1"/>
    <col min="5648" max="5648" width="20.3984375" style="2" customWidth="1"/>
    <col min="5649" max="5649" width="7.59765625" style="2" customWidth="1"/>
    <col min="5650" max="5650" width="14.3984375" style="2" bestFit="1" customWidth="1"/>
    <col min="5651" max="5663" width="7.59765625" style="2" customWidth="1"/>
    <col min="5664" max="5892" width="12.59765625" style="2"/>
    <col min="5893" max="5893" width="2" style="2" customWidth="1"/>
    <col min="5894" max="5896" width="2.3984375" style="2" customWidth="1"/>
    <col min="5897" max="5897" width="65" style="2" customWidth="1"/>
    <col min="5898" max="5903" width="13.3984375" style="2" customWidth="1"/>
    <col min="5904" max="5904" width="20.3984375" style="2" customWidth="1"/>
    <col min="5905" max="5905" width="7.59765625" style="2" customWidth="1"/>
    <col min="5906" max="5906" width="14.3984375" style="2" bestFit="1" customWidth="1"/>
    <col min="5907" max="5919" width="7.59765625" style="2" customWidth="1"/>
    <col min="5920" max="6148" width="12.59765625" style="2"/>
    <col min="6149" max="6149" width="2" style="2" customWidth="1"/>
    <col min="6150" max="6152" width="2.3984375" style="2" customWidth="1"/>
    <col min="6153" max="6153" width="65" style="2" customWidth="1"/>
    <col min="6154" max="6159" width="13.3984375" style="2" customWidth="1"/>
    <col min="6160" max="6160" width="20.3984375" style="2" customWidth="1"/>
    <col min="6161" max="6161" width="7.59765625" style="2" customWidth="1"/>
    <col min="6162" max="6162" width="14.3984375" style="2" bestFit="1" customWidth="1"/>
    <col min="6163" max="6175" width="7.59765625" style="2" customWidth="1"/>
    <col min="6176" max="6404" width="12.59765625" style="2"/>
    <col min="6405" max="6405" width="2" style="2" customWidth="1"/>
    <col min="6406" max="6408" width="2.3984375" style="2" customWidth="1"/>
    <col min="6409" max="6409" width="65" style="2" customWidth="1"/>
    <col min="6410" max="6415" width="13.3984375" style="2" customWidth="1"/>
    <col min="6416" max="6416" width="20.3984375" style="2" customWidth="1"/>
    <col min="6417" max="6417" width="7.59765625" style="2" customWidth="1"/>
    <col min="6418" max="6418" width="14.3984375" style="2" bestFit="1" customWidth="1"/>
    <col min="6419" max="6431" width="7.59765625" style="2" customWidth="1"/>
    <col min="6432" max="6660" width="12.59765625" style="2"/>
    <col min="6661" max="6661" width="2" style="2" customWidth="1"/>
    <col min="6662" max="6664" width="2.3984375" style="2" customWidth="1"/>
    <col min="6665" max="6665" width="65" style="2" customWidth="1"/>
    <col min="6666" max="6671" width="13.3984375" style="2" customWidth="1"/>
    <col min="6672" max="6672" width="20.3984375" style="2" customWidth="1"/>
    <col min="6673" max="6673" width="7.59765625" style="2" customWidth="1"/>
    <col min="6674" max="6674" width="14.3984375" style="2" bestFit="1" customWidth="1"/>
    <col min="6675" max="6687" width="7.59765625" style="2" customWidth="1"/>
    <col min="6688" max="6916" width="12.59765625" style="2"/>
    <col min="6917" max="6917" width="2" style="2" customWidth="1"/>
    <col min="6918" max="6920" width="2.3984375" style="2" customWidth="1"/>
    <col min="6921" max="6921" width="65" style="2" customWidth="1"/>
    <col min="6922" max="6927" width="13.3984375" style="2" customWidth="1"/>
    <col min="6928" max="6928" width="20.3984375" style="2" customWidth="1"/>
    <col min="6929" max="6929" width="7.59765625" style="2" customWidth="1"/>
    <col min="6930" max="6930" width="14.3984375" style="2" bestFit="1" customWidth="1"/>
    <col min="6931" max="6943" width="7.59765625" style="2" customWidth="1"/>
    <col min="6944" max="7172" width="12.59765625" style="2"/>
    <col min="7173" max="7173" width="2" style="2" customWidth="1"/>
    <col min="7174" max="7176" width="2.3984375" style="2" customWidth="1"/>
    <col min="7177" max="7177" width="65" style="2" customWidth="1"/>
    <col min="7178" max="7183" width="13.3984375" style="2" customWidth="1"/>
    <col min="7184" max="7184" width="20.3984375" style="2" customWidth="1"/>
    <col min="7185" max="7185" width="7.59765625" style="2" customWidth="1"/>
    <col min="7186" max="7186" width="14.3984375" style="2" bestFit="1" customWidth="1"/>
    <col min="7187" max="7199" width="7.59765625" style="2" customWidth="1"/>
    <col min="7200" max="7428" width="12.59765625" style="2"/>
    <col min="7429" max="7429" width="2" style="2" customWidth="1"/>
    <col min="7430" max="7432" width="2.3984375" style="2" customWidth="1"/>
    <col min="7433" max="7433" width="65" style="2" customWidth="1"/>
    <col min="7434" max="7439" width="13.3984375" style="2" customWidth="1"/>
    <col min="7440" max="7440" width="20.3984375" style="2" customWidth="1"/>
    <col min="7441" max="7441" width="7.59765625" style="2" customWidth="1"/>
    <col min="7442" max="7442" width="14.3984375" style="2" bestFit="1" customWidth="1"/>
    <col min="7443" max="7455" width="7.59765625" style="2" customWidth="1"/>
    <col min="7456" max="7684" width="12.59765625" style="2"/>
    <col min="7685" max="7685" width="2" style="2" customWidth="1"/>
    <col min="7686" max="7688" width="2.3984375" style="2" customWidth="1"/>
    <col min="7689" max="7689" width="65" style="2" customWidth="1"/>
    <col min="7690" max="7695" width="13.3984375" style="2" customWidth="1"/>
    <col min="7696" max="7696" width="20.3984375" style="2" customWidth="1"/>
    <col min="7697" max="7697" width="7.59765625" style="2" customWidth="1"/>
    <col min="7698" max="7698" width="14.3984375" style="2" bestFit="1" customWidth="1"/>
    <col min="7699" max="7711" width="7.59765625" style="2" customWidth="1"/>
    <col min="7712" max="7940" width="12.59765625" style="2"/>
    <col min="7941" max="7941" width="2" style="2" customWidth="1"/>
    <col min="7942" max="7944" width="2.3984375" style="2" customWidth="1"/>
    <col min="7945" max="7945" width="65" style="2" customWidth="1"/>
    <col min="7946" max="7951" width="13.3984375" style="2" customWidth="1"/>
    <col min="7952" max="7952" width="20.3984375" style="2" customWidth="1"/>
    <col min="7953" max="7953" width="7.59765625" style="2" customWidth="1"/>
    <col min="7954" max="7954" width="14.3984375" style="2" bestFit="1" customWidth="1"/>
    <col min="7955" max="7967" width="7.59765625" style="2" customWidth="1"/>
    <col min="7968" max="8196" width="12.59765625" style="2"/>
    <col min="8197" max="8197" width="2" style="2" customWidth="1"/>
    <col min="8198" max="8200" width="2.3984375" style="2" customWidth="1"/>
    <col min="8201" max="8201" width="65" style="2" customWidth="1"/>
    <col min="8202" max="8207" width="13.3984375" style="2" customWidth="1"/>
    <col min="8208" max="8208" width="20.3984375" style="2" customWidth="1"/>
    <col min="8209" max="8209" width="7.59765625" style="2" customWidth="1"/>
    <col min="8210" max="8210" width="14.3984375" style="2" bestFit="1" customWidth="1"/>
    <col min="8211" max="8223" width="7.59765625" style="2" customWidth="1"/>
    <col min="8224" max="8452" width="12.59765625" style="2"/>
    <col min="8453" max="8453" width="2" style="2" customWidth="1"/>
    <col min="8454" max="8456" width="2.3984375" style="2" customWidth="1"/>
    <col min="8457" max="8457" width="65" style="2" customWidth="1"/>
    <col min="8458" max="8463" width="13.3984375" style="2" customWidth="1"/>
    <col min="8464" max="8464" width="20.3984375" style="2" customWidth="1"/>
    <col min="8465" max="8465" width="7.59765625" style="2" customWidth="1"/>
    <col min="8466" max="8466" width="14.3984375" style="2" bestFit="1" customWidth="1"/>
    <col min="8467" max="8479" width="7.59765625" style="2" customWidth="1"/>
    <col min="8480" max="8708" width="12.59765625" style="2"/>
    <col min="8709" max="8709" width="2" style="2" customWidth="1"/>
    <col min="8710" max="8712" width="2.3984375" style="2" customWidth="1"/>
    <col min="8713" max="8713" width="65" style="2" customWidth="1"/>
    <col min="8714" max="8719" width="13.3984375" style="2" customWidth="1"/>
    <col min="8720" max="8720" width="20.3984375" style="2" customWidth="1"/>
    <col min="8721" max="8721" width="7.59765625" style="2" customWidth="1"/>
    <col min="8722" max="8722" width="14.3984375" style="2" bestFit="1" customWidth="1"/>
    <col min="8723" max="8735" width="7.59765625" style="2" customWidth="1"/>
    <col min="8736" max="8964" width="12.59765625" style="2"/>
    <col min="8965" max="8965" width="2" style="2" customWidth="1"/>
    <col min="8966" max="8968" width="2.3984375" style="2" customWidth="1"/>
    <col min="8969" max="8969" width="65" style="2" customWidth="1"/>
    <col min="8970" max="8975" width="13.3984375" style="2" customWidth="1"/>
    <col min="8976" max="8976" width="20.3984375" style="2" customWidth="1"/>
    <col min="8977" max="8977" width="7.59765625" style="2" customWidth="1"/>
    <col min="8978" max="8978" width="14.3984375" style="2" bestFit="1" customWidth="1"/>
    <col min="8979" max="8991" width="7.59765625" style="2" customWidth="1"/>
    <col min="8992" max="9220" width="12.59765625" style="2"/>
    <col min="9221" max="9221" width="2" style="2" customWidth="1"/>
    <col min="9222" max="9224" width="2.3984375" style="2" customWidth="1"/>
    <col min="9225" max="9225" width="65" style="2" customWidth="1"/>
    <col min="9226" max="9231" width="13.3984375" style="2" customWidth="1"/>
    <col min="9232" max="9232" width="20.3984375" style="2" customWidth="1"/>
    <col min="9233" max="9233" width="7.59765625" style="2" customWidth="1"/>
    <col min="9234" max="9234" width="14.3984375" style="2" bestFit="1" customWidth="1"/>
    <col min="9235" max="9247" width="7.59765625" style="2" customWidth="1"/>
    <col min="9248" max="9476" width="12.59765625" style="2"/>
    <col min="9477" max="9477" width="2" style="2" customWidth="1"/>
    <col min="9478" max="9480" width="2.3984375" style="2" customWidth="1"/>
    <col min="9481" max="9481" width="65" style="2" customWidth="1"/>
    <col min="9482" max="9487" width="13.3984375" style="2" customWidth="1"/>
    <col min="9488" max="9488" width="20.3984375" style="2" customWidth="1"/>
    <col min="9489" max="9489" width="7.59765625" style="2" customWidth="1"/>
    <col min="9490" max="9490" width="14.3984375" style="2" bestFit="1" customWidth="1"/>
    <col min="9491" max="9503" width="7.59765625" style="2" customWidth="1"/>
    <col min="9504" max="9732" width="12.59765625" style="2"/>
    <col min="9733" max="9733" width="2" style="2" customWidth="1"/>
    <col min="9734" max="9736" width="2.3984375" style="2" customWidth="1"/>
    <col min="9737" max="9737" width="65" style="2" customWidth="1"/>
    <col min="9738" max="9743" width="13.3984375" style="2" customWidth="1"/>
    <col min="9744" max="9744" width="20.3984375" style="2" customWidth="1"/>
    <col min="9745" max="9745" width="7.59765625" style="2" customWidth="1"/>
    <col min="9746" max="9746" width="14.3984375" style="2" bestFit="1" customWidth="1"/>
    <col min="9747" max="9759" width="7.59765625" style="2" customWidth="1"/>
    <col min="9760" max="9988" width="12.59765625" style="2"/>
    <col min="9989" max="9989" width="2" style="2" customWidth="1"/>
    <col min="9990" max="9992" width="2.3984375" style="2" customWidth="1"/>
    <col min="9993" max="9993" width="65" style="2" customWidth="1"/>
    <col min="9994" max="9999" width="13.3984375" style="2" customWidth="1"/>
    <col min="10000" max="10000" width="20.3984375" style="2" customWidth="1"/>
    <col min="10001" max="10001" width="7.59765625" style="2" customWidth="1"/>
    <col min="10002" max="10002" width="14.3984375" style="2" bestFit="1" customWidth="1"/>
    <col min="10003" max="10015" width="7.59765625" style="2" customWidth="1"/>
    <col min="10016" max="10244" width="12.59765625" style="2"/>
    <col min="10245" max="10245" width="2" style="2" customWidth="1"/>
    <col min="10246" max="10248" width="2.3984375" style="2" customWidth="1"/>
    <col min="10249" max="10249" width="65" style="2" customWidth="1"/>
    <col min="10250" max="10255" width="13.3984375" style="2" customWidth="1"/>
    <col min="10256" max="10256" width="20.3984375" style="2" customWidth="1"/>
    <col min="10257" max="10257" width="7.59765625" style="2" customWidth="1"/>
    <col min="10258" max="10258" width="14.3984375" style="2" bestFit="1" customWidth="1"/>
    <col min="10259" max="10271" width="7.59765625" style="2" customWidth="1"/>
    <col min="10272" max="10500" width="12.59765625" style="2"/>
    <col min="10501" max="10501" width="2" style="2" customWidth="1"/>
    <col min="10502" max="10504" width="2.3984375" style="2" customWidth="1"/>
    <col min="10505" max="10505" width="65" style="2" customWidth="1"/>
    <col min="10506" max="10511" width="13.3984375" style="2" customWidth="1"/>
    <col min="10512" max="10512" width="20.3984375" style="2" customWidth="1"/>
    <col min="10513" max="10513" width="7.59765625" style="2" customWidth="1"/>
    <col min="10514" max="10514" width="14.3984375" style="2" bestFit="1" customWidth="1"/>
    <col min="10515" max="10527" width="7.59765625" style="2" customWidth="1"/>
    <col min="10528" max="10756" width="12.59765625" style="2"/>
    <col min="10757" max="10757" width="2" style="2" customWidth="1"/>
    <col min="10758" max="10760" width="2.3984375" style="2" customWidth="1"/>
    <col min="10761" max="10761" width="65" style="2" customWidth="1"/>
    <col min="10762" max="10767" width="13.3984375" style="2" customWidth="1"/>
    <col min="10768" max="10768" width="20.3984375" style="2" customWidth="1"/>
    <col min="10769" max="10769" width="7.59765625" style="2" customWidth="1"/>
    <col min="10770" max="10770" width="14.3984375" style="2" bestFit="1" customWidth="1"/>
    <col min="10771" max="10783" width="7.59765625" style="2" customWidth="1"/>
    <col min="10784" max="11012" width="12.59765625" style="2"/>
    <col min="11013" max="11013" width="2" style="2" customWidth="1"/>
    <col min="11014" max="11016" width="2.3984375" style="2" customWidth="1"/>
    <col min="11017" max="11017" width="65" style="2" customWidth="1"/>
    <col min="11018" max="11023" width="13.3984375" style="2" customWidth="1"/>
    <col min="11024" max="11024" width="20.3984375" style="2" customWidth="1"/>
    <col min="11025" max="11025" width="7.59765625" style="2" customWidth="1"/>
    <col min="11026" max="11026" width="14.3984375" style="2" bestFit="1" customWidth="1"/>
    <col min="11027" max="11039" width="7.59765625" style="2" customWidth="1"/>
    <col min="11040" max="11268" width="12.59765625" style="2"/>
    <col min="11269" max="11269" width="2" style="2" customWidth="1"/>
    <col min="11270" max="11272" width="2.3984375" style="2" customWidth="1"/>
    <col min="11273" max="11273" width="65" style="2" customWidth="1"/>
    <col min="11274" max="11279" width="13.3984375" style="2" customWidth="1"/>
    <col min="11280" max="11280" width="20.3984375" style="2" customWidth="1"/>
    <col min="11281" max="11281" width="7.59765625" style="2" customWidth="1"/>
    <col min="11282" max="11282" width="14.3984375" style="2" bestFit="1" customWidth="1"/>
    <col min="11283" max="11295" width="7.59765625" style="2" customWidth="1"/>
    <col min="11296" max="11524" width="12.59765625" style="2"/>
    <col min="11525" max="11525" width="2" style="2" customWidth="1"/>
    <col min="11526" max="11528" width="2.3984375" style="2" customWidth="1"/>
    <col min="11529" max="11529" width="65" style="2" customWidth="1"/>
    <col min="11530" max="11535" width="13.3984375" style="2" customWidth="1"/>
    <col min="11536" max="11536" width="20.3984375" style="2" customWidth="1"/>
    <col min="11537" max="11537" width="7.59765625" style="2" customWidth="1"/>
    <col min="11538" max="11538" width="14.3984375" style="2" bestFit="1" customWidth="1"/>
    <col min="11539" max="11551" width="7.59765625" style="2" customWidth="1"/>
    <col min="11552" max="11780" width="12.59765625" style="2"/>
    <col min="11781" max="11781" width="2" style="2" customWidth="1"/>
    <col min="11782" max="11784" width="2.3984375" style="2" customWidth="1"/>
    <col min="11785" max="11785" width="65" style="2" customWidth="1"/>
    <col min="11786" max="11791" width="13.3984375" style="2" customWidth="1"/>
    <col min="11792" max="11792" width="20.3984375" style="2" customWidth="1"/>
    <col min="11793" max="11793" width="7.59765625" style="2" customWidth="1"/>
    <col min="11794" max="11794" width="14.3984375" style="2" bestFit="1" customWidth="1"/>
    <col min="11795" max="11807" width="7.59765625" style="2" customWidth="1"/>
    <col min="11808" max="12036" width="12.59765625" style="2"/>
    <col min="12037" max="12037" width="2" style="2" customWidth="1"/>
    <col min="12038" max="12040" width="2.3984375" style="2" customWidth="1"/>
    <col min="12041" max="12041" width="65" style="2" customWidth="1"/>
    <col min="12042" max="12047" width="13.3984375" style="2" customWidth="1"/>
    <col min="12048" max="12048" width="20.3984375" style="2" customWidth="1"/>
    <col min="12049" max="12049" width="7.59765625" style="2" customWidth="1"/>
    <col min="12050" max="12050" width="14.3984375" style="2" bestFit="1" customWidth="1"/>
    <col min="12051" max="12063" width="7.59765625" style="2" customWidth="1"/>
    <col min="12064" max="12292" width="12.59765625" style="2"/>
    <col min="12293" max="12293" width="2" style="2" customWidth="1"/>
    <col min="12294" max="12296" width="2.3984375" style="2" customWidth="1"/>
    <col min="12297" max="12297" width="65" style="2" customWidth="1"/>
    <col min="12298" max="12303" width="13.3984375" style="2" customWidth="1"/>
    <col min="12304" max="12304" width="20.3984375" style="2" customWidth="1"/>
    <col min="12305" max="12305" width="7.59765625" style="2" customWidth="1"/>
    <col min="12306" max="12306" width="14.3984375" style="2" bestFit="1" customWidth="1"/>
    <col min="12307" max="12319" width="7.59765625" style="2" customWidth="1"/>
    <col min="12320" max="12548" width="12.59765625" style="2"/>
    <col min="12549" max="12549" width="2" style="2" customWidth="1"/>
    <col min="12550" max="12552" width="2.3984375" style="2" customWidth="1"/>
    <col min="12553" max="12553" width="65" style="2" customWidth="1"/>
    <col min="12554" max="12559" width="13.3984375" style="2" customWidth="1"/>
    <col min="12560" max="12560" width="20.3984375" style="2" customWidth="1"/>
    <col min="12561" max="12561" width="7.59765625" style="2" customWidth="1"/>
    <col min="12562" max="12562" width="14.3984375" style="2" bestFit="1" customWidth="1"/>
    <col min="12563" max="12575" width="7.59765625" style="2" customWidth="1"/>
    <col min="12576" max="12804" width="12.59765625" style="2"/>
    <col min="12805" max="12805" width="2" style="2" customWidth="1"/>
    <col min="12806" max="12808" width="2.3984375" style="2" customWidth="1"/>
    <col min="12809" max="12809" width="65" style="2" customWidth="1"/>
    <col min="12810" max="12815" width="13.3984375" style="2" customWidth="1"/>
    <col min="12816" max="12816" width="20.3984375" style="2" customWidth="1"/>
    <col min="12817" max="12817" width="7.59765625" style="2" customWidth="1"/>
    <col min="12818" max="12818" width="14.3984375" style="2" bestFit="1" customWidth="1"/>
    <col min="12819" max="12831" width="7.59765625" style="2" customWidth="1"/>
    <col min="12832" max="13060" width="12.59765625" style="2"/>
    <col min="13061" max="13061" width="2" style="2" customWidth="1"/>
    <col min="13062" max="13064" width="2.3984375" style="2" customWidth="1"/>
    <col min="13065" max="13065" width="65" style="2" customWidth="1"/>
    <col min="13066" max="13071" width="13.3984375" style="2" customWidth="1"/>
    <col min="13072" max="13072" width="20.3984375" style="2" customWidth="1"/>
    <col min="13073" max="13073" width="7.59765625" style="2" customWidth="1"/>
    <col min="13074" max="13074" width="14.3984375" style="2" bestFit="1" customWidth="1"/>
    <col min="13075" max="13087" width="7.59765625" style="2" customWidth="1"/>
    <col min="13088" max="13316" width="12.59765625" style="2"/>
    <col min="13317" max="13317" width="2" style="2" customWidth="1"/>
    <col min="13318" max="13320" width="2.3984375" style="2" customWidth="1"/>
    <col min="13321" max="13321" width="65" style="2" customWidth="1"/>
    <col min="13322" max="13327" width="13.3984375" style="2" customWidth="1"/>
    <col min="13328" max="13328" width="20.3984375" style="2" customWidth="1"/>
    <col min="13329" max="13329" width="7.59765625" style="2" customWidth="1"/>
    <col min="13330" max="13330" width="14.3984375" style="2" bestFit="1" customWidth="1"/>
    <col min="13331" max="13343" width="7.59765625" style="2" customWidth="1"/>
    <col min="13344" max="13572" width="12.59765625" style="2"/>
    <col min="13573" max="13573" width="2" style="2" customWidth="1"/>
    <col min="13574" max="13576" width="2.3984375" style="2" customWidth="1"/>
    <col min="13577" max="13577" width="65" style="2" customWidth="1"/>
    <col min="13578" max="13583" width="13.3984375" style="2" customWidth="1"/>
    <col min="13584" max="13584" width="20.3984375" style="2" customWidth="1"/>
    <col min="13585" max="13585" width="7.59765625" style="2" customWidth="1"/>
    <col min="13586" max="13586" width="14.3984375" style="2" bestFit="1" customWidth="1"/>
    <col min="13587" max="13599" width="7.59765625" style="2" customWidth="1"/>
    <col min="13600" max="13828" width="12.59765625" style="2"/>
    <col min="13829" max="13829" width="2" style="2" customWidth="1"/>
    <col min="13830" max="13832" width="2.3984375" style="2" customWidth="1"/>
    <col min="13833" max="13833" width="65" style="2" customWidth="1"/>
    <col min="13834" max="13839" width="13.3984375" style="2" customWidth="1"/>
    <col min="13840" max="13840" width="20.3984375" style="2" customWidth="1"/>
    <col min="13841" max="13841" width="7.59765625" style="2" customWidth="1"/>
    <col min="13842" max="13842" width="14.3984375" style="2" bestFit="1" customWidth="1"/>
    <col min="13843" max="13855" width="7.59765625" style="2" customWidth="1"/>
    <col min="13856" max="14084" width="12.59765625" style="2"/>
    <col min="14085" max="14085" width="2" style="2" customWidth="1"/>
    <col min="14086" max="14088" width="2.3984375" style="2" customWidth="1"/>
    <col min="14089" max="14089" width="65" style="2" customWidth="1"/>
    <col min="14090" max="14095" width="13.3984375" style="2" customWidth="1"/>
    <col min="14096" max="14096" width="20.3984375" style="2" customWidth="1"/>
    <col min="14097" max="14097" width="7.59765625" style="2" customWidth="1"/>
    <col min="14098" max="14098" width="14.3984375" style="2" bestFit="1" customWidth="1"/>
    <col min="14099" max="14111" width="7.59765625" style="2" customWidth="1"/>
    <col min="14112" max="14340" width="12.59765625" style="2"/>
    <col min="14341" max="14341" width="2" style="2" customWidth="1"/>
    <col min="14342" max="14344" width="2.3984375" style="2" customWidth="1"/>
    <col min="14345" max="14345" width="65" style="2" customWidth="1"/>
    <col min="14346" max="14351" width="13.3984375" style="2" customWidth="1"/>
    <col min="14352" max="14352" width="20.3984375" style="2" customWidth="1"/>
    <col min="14353" max="14353" width="7.59765625" style="2" customWidth="1"/>
    <col min="14354" max="14354" width="14.3984375" style="2" bestFit="1" customWidth="1"/>
    <col min="14355" max="14367" width="7.59765625" style="2" customWidth="1"/>
    <col min="14368" max="14596" width="12.59765625" style="2"/>
    <col min="14597" max="14597" width="2" style="2" customWidth="1"/>
    <col min="14598" max="14600" width="2.3984375" style="2" customWidth="1"/>
    <col min="14601" max="14601" width="65" style="2" customWidth="1"/>
    <col min="14602" max="14607" width="13.3984375" style="2" customWidth="1"/>
    <col min="14608" max="14608" width="20.3984375" style="2" customWidth="1"/>
    <col min="14609" max="14609" width="7.59765625" style="2" customWidth="1"/>
    <col min="14610" max="14610" width="14.3984375" style="2" bestFit="1" customWidth="1"/>
    <col min="14611" max="14623" width="7.59765625" style="2" customWidth="1"/>
    <col min="14624" max="14852" width="12.59765625" style="2"/>
    <col min="14853" max="14853" width="2" style="2" customWidth="1"/>
    <col min="14854" max="14856" width="2.3984375" style="2" customWidth="1"/>
    <col min="14857" max="14857" width="65" style="2" customWidth="1"/>
    <col min="14858" max="14863" width="13.3984375" style="2" customWidth="1"/>
    <col min="14864" max="14864" width="20.3984375" style="2" customWidth="1"/>
    <col min="14865" max="14865" width="7.59765625" style="2" customWidth="1"/>
    <col min="14866" max="14866" width="14.3984375" style="2" bestFit="1" customWidth="1"/>
    <col min="14867" max="14879" width="7.59765625" style="2" customWidth="1"/>
    <col min="14880" max="15108" width="12.59765625" style="2"/>
    <col min="15109" max="15109" width="2" style="2" customWidth="1"/>
    <col min="15110" max="15112" width="2.3984375" style="2" customWidth="1"/>
    <col min="15113" max="15113" width="65" style="2" customWidth="1"/>
    <col min="15114" max="15119" width="13.3984375" style="2" customWidth="1"/>
    <col min="15120" max="15120" width="20.3984375" style="2" customWidth="1"/>
    <col min="15121" max="15121" width="7.59765625" style="2" customWidth="1"/>
    <col min="15122" max="15122" width="14.3984375" style="2" bestFit="1" customWidth="1"/>
    <col min="15123" max="15135" width="7.59765625" style="2" customWidth="1"/>
    <col min="15136" max="15364" width="12.59765625" style="2"/>
    <col min="15365" max="15365" width="2" style="2" customWidth="1"/>
    <col min="15366" max="15368" width="2.3984375" style="2" customWidth="1"/>
    <col min="15369" max="15369" width="65" style="2" customWidth="1"/>
    <col min="15370" max="15375" width="13.3984375" style="2" customWidth="1"/>
    <col min="15376" max="15376" width="20.3984375" style="2" customWidth="1"/>
    <col min="15377" max="15377" width="7.59765625" style="2" customWidth="1"/>
    <col min="15378" max="15378" width="14.3984375" style="2" bestFit="1" customWidth="1"/>
    <col min="15379" max="15391" width="7.59765625" style="2" customWidth="1"/>
    <col min="15392" max="15620" width="12.59765625" style="2"/>
    <col min="15621" max="15621" width="2" style="2" customWidth="1"/>
    <col min="15622" max="15624" width="2.3984375" style="2" customWidth="1"/>
    <col min="15625" max="15625" width="65" style="2" customWidth="1"/>
    <col min="15626" max="15631" width="13.3984375" style="2" customWidth="1"/>
    <col min="15632" max="15632" width="20.3984375" style="2" customWidth="1"/>
    <col min="15633" max="15633" width="7.59765625" style="2" customWidth="1"/>
    <col min="15634" max="15634" width="14.3984375" style="2" bestFit="1" customWidth="1"/>
    <col min="15635" max="15647" width="7.59765625" style="2" customWidth="1"/>
    <col min="15648" max="15876" width="12.59765625" style="2"/>
    <col min="15877" max="15877" width="2" style="2" customWidth="1"/>
    <col min="15878" max="15880" width="2.3984375" style="2" customWidth="1"/>
    <col min="15881" max="15881" width="65" style="2" customWidth="1"/>
    <col min="15882" max="15887" width="13.3984375" style="2" customWidth="1"/>
    <col min="15888" max="15888" width="20.3984375" style="2" customWidth="1"/>
    <col min="15889" max="15889" width="7.59765625" style="2" customWidth="1"/>
    <col min="15890" max="15890" width="14.3984375" style="2" bestFit="1" customWidth="1"/>
    <col min="15891" max="15903" width="7.59765625" style="2" customWidth="1"/>
    <col min="15904" max="16132" width="12.59765625" style="2"/>
    <col min="16133" max="16133" width="2" style="2" customWidth="1"/>
    <col min="16134" max="16136" width="2.3984375" style="2" customWidth="1"/>
    <col min="16137" max="16137" width="65" style="2" customWidth="1"/>
    <col min="16138" max="16143" width="13.3984375" style="2" customWidth="1"/>
    <col min="16144" max="16144" width="20.3984375" style="2" customWidth="1"/>
    <col min="16145" max="16145" width="7.59765625" style="2" customWidth="1"/>
    <col min="16146" max="16146" width="14.3984375" style="2" bestFit="1" customWidth="1"/>
    <col min="16147" max="16159" width="7.59765625" style="2" customWidth="1"/>
    <col min="16160" max="16384" width="12.59765625" style="2"/>
  </cols>
  <sheetData>
    <row r="1" spans="1:17" s="16" customFormat="1" ht="21" customHeight="1" x14ac:dyDescent="0.75">
      <c r="A1" s="1458" t="s">
        <v>95</v>
      </c>
      <c r="B1" s="1458"/>
      <c r="C1" s="1458"/>
      <c r="D1" s="1458"/>
      <c r="E1" s="1458"/>
      <c r="F1" s="1458"/>
      <c r="G1" s="1458"/>
      <c r="H1" s="1458"/>
      <c r="I1" s="1458"/>
      <c r="J1" s="1458"/>
      <c r="K1" s="1458"/>
      <c r="L1" s="1458"/>
      <c r="M1" s="1458"/>
      <c r="N1" s="1458"/>
      <c r="O1" s="1458"/>
      <c r="P1" s="1458"/>
      <c r="Q1" s="1458"/>
    </row>
    <row r="2" spans="1:17" s="16" customFormat="1" ht="21" customHeight="1" x14ac:dyDescent="0.75">
      <c r="A2" s="1458" t="s">
        <v>96</v>
      </c>
      <c r="B2" s="1458"/>
      <c r="C2" s="1458"/>
      <c r="D2" s="1458"/>
      <c r="E2" s="1458"/>
      <c r="F2" s="1458"/>
      <c r="G2" s="1458"/>
      <c r="H2" s="1458"/>
      <c r="I2" s="1458"/>
      <c r="J2" s="1458"/>
      <c r="K2" s="1458"/>
      <c r="L2" s="1458"/>
      <c r="M2" s="1458"/>
      <c r="N2" s="1458"/>
      <c r="O2" s="1458"/>
      <c r="P2" s="1458"/>
      <c r="Q2" s="1458"/>
    </row>
    <row r="3" spans="1:17" s="16" customFormat="1" ht="21" customHeight="1" x14ac:dyDescent="0.75">
      <c r="A3" s="1458" t="s">
        <v>401</v>
      </c>
      <c r="B3" s="1458"/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</row>
    <row r="4" spans="1:17" ht="21" customHeight="1" x14ac:dyDescent="0.7">
      <c r="A4" s="1"/>
      <c r="B4" s="1"/>
      <c r="C4" s="1"/>
      <c r="D4" s="1"/>
      <c r="E4" s="57"/>
      <c r="F4" s="3"/>
      <c r="G4" s="3"/>
      <c r="H4" s="3"/>
      <c r="I4" s="3"/>
      <c r="J4" s="3"/>
      <c r="K4" s="3"/>
      <c r="L4" s="3"/>
      <c r="M4" s="3"/>
      <c r="N4" s="3"/>
      <c r="O4" s="4" t="s">
        <v>0</v>
      </c>
      <c r="Q4" s="2" t="s">
        <v>0</v>
      </c>
    </row>
    <row r="5" spans="1:17" ht="21" customHeight="1" x14ac:dyDescent="0.7">
      <c r="A5" s="1"/>
      <c r="B5" s="1490" t="s">
        <v>2</v>
      </c>
      <c r="C5" s="1491"/>
      <c r="D5" s="1491"/>
      <c r="E5" s="1491"/>
      <c r="F5" s="1478" t="s">
        <v>5</v>
      </c>
      <c r="G5" s="1479"/>
      <c r="H5" s="1480"/>
      <c r="I5" s="1483" t="s">
        <v>123</v>
      </c>
      <c r="J5" s="1483" t="s">
        <v>124</v>
      </c>
      <c r="K5" s="1467" t="s">
        <v>121</v>
      </c>
      <c r="L5" s="1493" t="s">
        <v>122</v>
      </c>
      <c r="M5" s="1494" t="s">
        <v>125</v>
      </c>
      <c r="N5" s="1484" t="s">
        <v>7</v>
      </c>
      <c r="O5" s="1484" t="s">
        <v>91</v>
      </c>
      <c r="P5" s="1465" t="s">
        <v>119</v>
      </c>
      <c r="Q5" s="1467" t="s">
        <v>118</v>
      </c>
    </row>
    <row r="6" spans="1:17" ht="21" customHeight="1" x14ac:dyDescent="0.7">
      <c r="A6" s="1"/>
      <c r="B6" s="1492"/>
      <c r="C6" s="1469"/>
      <c r="D6" s="1469"/>
      <c r="E6" s="1469"/>
      <c r="F6" s="17" t="s">
        <v>94</v>
      </c>
      <c r="G6" s="5" t="s">
        <v>93</v>
      </c>
      <c r="H6" s="5" t="s">
        <v>92</v>
      </c>
      <c r="I6" s="1468"/>
      <c r="J6" s="1468"/>
      <c r="K6" s="1468"/>
      <c r="L6" s="1485"/>
      <c r="M6" s="1495"/>
      <c r="N6" s="1485"/>
      <c r="O6" s="1485"/>
      <c r="P6" s="1466"/>
      <c r="Q6" s="1468"/>
    </row>
    <row r="7" spans="1:17" s="27" customFormat="1" ht="21.9" customHeight="1" x14ac:dyDescent="0.25">
      <c r="A7" s="28"/>
      <c r="B7" s="47" t="s">
        <v>8</v>
      </c>
      <c r="C7" s="48"/>
      <c r="D7" s="48"/>
      <c r="E7" s="48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</row>
    <row r="8" spans="1:17" s="27" customFormat="1" ht="21.9" customHeight="1" x14ac:dyDescent="0.25">
      <c r="A8" s="28"/>
      <c r="B8" s="50"/>
      <c r="C8" s="48" t="s">
        <v>9</v>
      </c>
      <c r="D8" s="48"/>
      <c r="E8" s="48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</row>
    <row r="9" spans="1:17" s="27" customFormat="1" ht="21.9" customHeight="1" x14ac:dyDescent="0.25">
      <c r="A9" s="28"/>
      <c r="B9" s="29"/>
      <c r="C9" s="26"/>
      <c r="D9" s="26"/>
      <c r="E9" s="30" t="s">
        <v>10</v>
      </c>
      <c r="F9" s="61">
        <v>530486207.92000002</v>
      </c>
      <c r="G9" s="61">
        <v>708594620.15999997</v>
      </c>
      <c r="H9" s="20">
        <f>256205985.2+147863308.35+108660563.33</f>
        <v>512729856.87999994</v>
      </c>
      <c r="I9" s="46">
        <f>250000000+155000000</f>
        <v>405000000</v>
      </c>
      <c r="J9" s="46">
        <f>150133838.1+113286366.95+3886925.15</f>
        <v>267307130.20000002</v>
      </c>
      <c r="K9" s="46">
        <f>+J9/I9*100</f>
        <v>66.001760543209883</v>
      </c>
      <c r="L9" s="46" t="e">
        <f>+ประมาณการรายรับ!#REF!+ประมาณการรายรับ!#REF!</f>
        <v>#REF!</v>
      </c>
      <c r="M9" s="46" t="e">
        <f>+(L9-I9)/I9*100</f>
        <v>#REF!</v>
      </c>
      <c r="N9" s="46">
        <v>420250000</v>
      </c>
      <c r="O9" s="46">
        <v>462275000</v>
      </c>
      <c r="P9" s="79">
        <f>82032759.91+75105825.64</f>
        <v>157138585.55000001</v>
      </c>
      <c r="Q9" s="78">
        <f t="shared" ref="Q9:Q17" si="0">+P9/I9*100</f>
        <v>38.799650753086425</v>
      </c>
    </row>
    <row r="10" spans="1:17" s="27" customFormat="1" ht="21.9" customHeight="1" x14ac:dyDescent="0.25">
      <c r="A10" s="28"/>
      <c r="B10" s="29"/>
      <c r="C10" s="26"/>
      <c r="D10" s="26"/>
      <c r="E10" s="30" t="s">
        <v>11</v>
      </c>
      <c r="F10" s="61">
        <v>19207318.109999999</v>
      </c>
      <c r="G10" s="61">
        <v>19448683.25</v>
      </c>
      <c r="H10" s="20">
        <v>17480288.41</v>
      </c>
      <c r="I10" s="46">
        <v>17000000</v>
      </c>
      <c r="J10" s="46">
        <v>0</v>
      </c>
      <c r="K10" s="46">
        <f t="shared" ref="K10:K17" si="1">+J10/I10*100</f>
        <v>0</v>
      </c>
      <c r="L10" s="46" t="e">
        <f>+ประมาณการรายรับ!#REF!</f>
        <v>#REF!</v>
      </c>
      <c r="M10" s="46" t="e">
        <f t="shared" ref="M10:M17" si="2">+(L10-I10)/I10*100</f>
        <v>#REF!</v>
      </c>
      <c r="N10" s="46">
        <f>+I10</f>
        <v>17000000</v>
      </c>
      <c r="O10" s="46">
        <v>18000000</v>
      </c>
      <c r="P10" s="79">
        <v>0</v>
      </c>
      <c r="Q10" s="38">
        <f t="shared" si="0"/>
        <v>0</v>
      </c>
    </row>
    <row r="11" spans="1:17" s="27" customFormat="1" ht="21.9" customHeight="1" x14ac:dyDescent="0.25">
      <c r="A11" s="28"/>
      <c r="B11" s="29"/>
      <c r="C11" s="26"/>
      <c r="D11" s="26"/>
      <c r="E11" s="31" t="s">
        <v>12</v>
      </c>
      <c r="F11" s="62">
        <v>1538817.06</v>
      </c>
      <c r="G11" s="62">
        <v>1644850</v>
      </c>
      <c r="H11" s="20">
        <v>1081750</v>
      </c>
      <c r="I11" s="46">
        <v>1500000</v>
      </c>
      <c r="J11" s="46">
        <v>1060291.5</v>
      </c>
      <c r="K11" s="46">
        <f t="shared" si="1"/>
        <v>70.686099999999996</v>
      </c>
      <c r="L11" s="46" t="e">
        <f>+ประมาณการรายรับ!#REF!</f>
        <v>#REF!</v>
      </c>
      <c r="M11" s="46" t="e">
        <f t="shared" si="2"/>
        <v>#REF!</v>
      </c>
      <c r="N11" s="46">
        <v>1500000</v>
      </c>
      <c r="O11" s="46">
        <v>1500000</v>
      </c>
      <c r="P11" s="79">
        <v>9754</v>
      </c>
      <c r="Q11" s="78">
        <f t="shared" si="0"/>
        <v>0.65026666666666666</v>
      </c>
    </row>
    <row r="12" spans="1:17" s="27" customFormat="1" ht="21.9" customHeight="1" x14ac:dyDescent="0.25">
      <c r="A12" s="28"/>
      <c r="B12" s="29"/>
      <c r="C12" s="26"/>
      <c r="D12" s="26"/>
      <c r="E12" s="30" t="s">
        <v>13</v>
      </c>
      <c r="F12" s="63">
        <v>317202709.10000002</v>
      </c>
      <c r="G12" s="63">
        <v>358071658.10000002</v>
      </c>
      <c r="H12" s="20">
        <v>335753903.76999998</v>
      </c>
      <c r="I12" s="46">
        <v>370000000</v>
      </c>
      <c r="J12" s="46">
        <v>184678628.63</v>
      </c>
      <c r="K12" s="46">
        <f t="shared" si="1"/>
        <v>49.913142872972969</v>
      </c>
      <c r="L12" s="46" t="e">
        <f>+ประมาณการรายรับ!#REF!</f>
        <v>#REF!</v>
      </c>
      <c r="M12" s="46" t="e">
        <f t="shared" si="2"/>
        <v>#REF!</v>
      </c>
      <c r="N12" s="46">
        <v>370000000</v>
      </c>
      <c r="O12" s="46">
        <v>370000000</v>
      </c>
      <c r="P12" s="79">
        <v>91062438.140000001</v>
      </c>
      <c r="Q12" s="78">
        <f t="shared" si="0"/>
        <v>24.611469767567566</v>
      </c>
    </row>
    <row r="13" spans="1:17" s="27" customFormat="1" ht="21.9" customHeight="1" x14ac:dyDescent="0.25">
      <c r="A13" s="28"/>
      <c r="B13" s="29"/>
      <c r="C13" s="26"/>
      <c r="D13" s="26"/>
      <c r="E13" s="30" t="s">
        <v>14</v>
      </c>
      <c r="F13" s="63">
        <v>80308337.230000004</v>
      </c>
      <c r="G13" s="63">
        <v>199068334.88999999</v>
      </c>
      <c r="H13" s="20">
        <v>113391295.02</v>
      </c>
      <c r="I13" s="46">
        <v>140000000</v>
      </c>
      <c r="J13" s="46">
        <v>59921807.07</v>
      </c>
      <c r="K13" s="46">
        <f t="shared" si="1"/>
        <v>42.801290764285717</v>
      </c>
      <c r="L13" s="46" t="e">
        <f>+ประมาณการรายรับ!#REF!</f>
        <v>#REF!</v>
      </c>
      <c r="M13" s="46" t="e">
        <f t="shared" si="2"/>
        <v>#REF!</v>
      </c>
      <c r="N13" s="46">
        <v>140000000</v>
      </c>
      <c r="O13" s="46">
        <v>140000000</v>
      </c>
      <c r="P13" s="79">
        <v>28464879.370000001</v>
      </c>
      <c r="Q13" s="78">
        <f t="shared" si="0"/>
        <v>20.332056692857144</v>
      </c>
    </row>
    <row r="14" spans="1:17" s="27" customFormat="1" ht="21.9" customHeight="1" x14ac:dyDescent="0.25">
      <c r="A14" s="28"/>
      <c r="B14" s="29"/>
      <c r="C14" s="26"/>
      <c r="D14" s="26"/>
      <c r="E14" s="31" t="s">
        <v>15</v>
      </c>
      <c r="F14" s="63">
        <v>33519999.82</v>
      </c>
      <c r="G14" s="63">
        <v>34138822.619999997</v>
      </c>
      <c r="H14" s="20">
        <v>33388979.420000002</v>
      </c>
      <c r="I14" s="46">
        <v>40000000</v>
      </c>
      <c r="J14" s="46">
        <v>34162533.93</v>
      </c>
      <c r="K14" s="46">
        <f t="shared" si="1"/>
        <v>85.406334825000002</v>
      </c>
      <c r="L14" s="46" t="e">
        <f>+ประมาณการรายรับ!#REF!</f>
        <v>#REF!</v>
      </c>
      <c r="M14" s="46" t="e">
        <f t="shared" si="2"/>
        <v>#REF!</v>
      </c>
      <c r="N14" s="46">
        <v>40000000</v>
      </c>
      <c r="O14" s="46">
        <v>40000000</v>
      </c>
      <c r="P14" s="79">
        <v>33589840.93</v>
      </c>
      <c r="Q14" s="78">
        <f t="shared" si="0"/>
        <v>83.974602325000006</v>
      </c>
    </row>
    <row r="15" spans="1:17" s="27" customFormat="1" ht="21.9" customHeight="1" x14ac:dyDescent="0.25">
      <c r="A15" s="28"/>
      <c r="B15" s="29"/>
      <c r="C15" s="26"/>
      <c r="D15" s="26"/>
      <c r="E15" s="31" t="s">
        <v>16</v>
      </c>
      <c r="F15" s="63">
        <v>319777344.06999999</v>
      </c>
      <c r="G15" s="63">
        <v>424079959.12</v>
      </c>
      <c r="H15" s="20">
        <f>294588801.48+8298890.2</f>
        <v>302887691.68000001</v>
      </c>
      <c r="I15" s="46">
        <v>340000000</v>
      </c>
      <c r="J15" s="46">
        <v>205413626.63999999</v>
      </c>
      <c r="K15" s="46">
        <f t="shared" si="1"/>
        <v>60.415772541176473</v>
      </c>
      <c r="L15" s="46" t="e">
        <f>+ประมาณการรายรับ!#REF!</f>
        <v>#REF!</v>
      </c>
      <c r="M15" s="46" t="e">
        <f t="shared" si="2"/>
        <v>#REF!</v>
      </c>
      <c r="N15" s="46">
        <v>357000000</v>
      </c>
      <c r="O15" s="46">
        <v>382000000</v>
      </c>
      <c r="P15" s="79">
        <v>110219054.31999999</v>
      </c>
      <c r="Q15" s="78">
        <f t="shared" si="0"/>
        <v>32.417368917647053</v>
      </c>
    </row>
    <row r="16" spans="1:17" s="27" customFormat="1" ht="21.9" customHeight="1" x14ac:dyDescent="0.25">
      <c r="A16" s="28"/>
      <c r="B16" s="29"/>
      <c r="C16" s="26"/>
      <c r="D16" s="26"/>
      <c r="E16" s="31" t="s">
        <v>17</v>
      </c>
      <c r="F16" s="63">
        <v>52237456.57</v>
      </c>
      <c r="G16" s="63">
        <v>59446164.280000001</v>
      </c>
      <c r="H16" s="20">
        <v>53074741.299999997</v>
      </c>
      <c r="I16" s="46">
        <v>63000000</v>
      </c>
      <c r="J16" s="46">
        <v>32355624.920000002</v>
      </c>
      <c r="K16" s="46">
        <f t="shared" si="1"/>
        <v>51.358134793650798</v>
      </c>
      <c r="L16" s="46" t="e">
        <f>+ประมาณการรายรับ!#REF!</f>
        <v>#REF!</v>
      </c>
      <c r="M16" s="46" t="e">
        <f t="shared" si="2"/>
        <v>#REF!</v>
      </c>
      <c r="N16" s="46">
        <v>64890000</v>
      </c>
      <c r="O16" s="46">
        <v>66836700</v>
      </c>
      <c r="P16" s="79">
        <v>15213104.98</v>
      </c>
      <c r="Q16" s="78">
        <f t="shared" si="0"/>
        <v>24.147785682539684</v>
      </c>
    </row>
    <row r="17" spans="1:18" s="27" customFormat="1" ht="21.9" customHeight="1" x14ac:dyDescent="0.25">
      <c r="A17" s="28"/>
      <c r="B17" s="29"/>
      <c r="C17" s="26"/>
      <c r="D17" s="26"/>
      <c r="E17" s="31" t="s">
        <v>18</v>
      </c>
      <c r="F17" s="63">
        <v>306617962.72000003</v>
      </c>
      <c r="G17" s="63">
        <v>393883511.29000002</v>
      </c>
      <c r="H17" s="20">
        <f>1774113364.95+152985171.02-(H9+H10+H11+H12+H13+H14+H15+H16)-H21-H22-H23</f>
        <v>496650325.08000028</v>
      </c>
      <c r="I17" s="46">
        <f>1969000000-(I9+I10+I11+I12+I13+I14+I15+I16)-I21-I22-I23</f>
        <v>491000000</v>
      </c>
      <c r="J17" s="46">
        <f>1615290+215736235.03+20157485.24</f>
        <v>237509010.27000001</v>
      </c>
      <c r="K17" s="46">
        <f t="shared" si="1"/>
        <v>48.37250718329939</v>
      </c>
      <c r="L17" s="101" t="e">
        <f>+ประมาณการรายรับ!#REF!+ประมาณการรายรับ!#REF!+ประมาณการรายรับ!#REF!</f>
        <v>#REF!</v>
      </c>
      <c r="M17" s="46" t="e">
        <f t="shared" si="2"/>
        <v>#REF!</v>
      </c>
      <c r="N17" s="46">
        <v>490000000</v>
      </c>
      <c r="O17" s="46">
        <v>490000000</v>
      </c>
      <c r="P17" s="79">
        <f>104712808.69+9364522.61+764700</f>
        <v>114842031.3</v>
      </c>
      <c r="Q17" s="78">
        <f t="shared" si="0"/>
        <v>23.389415743380855</v>
      </c>
    </row>
    <row r="18" spans="1:18" s="27" customFormat="1" ht="21.9" customHeight="1" x14ac:dyDescent="0.25">
      <c r="A18" s="28"/>
      <c r="B18" s="29"/>
      <c r="C18" s="48" t="s">
        <v>19</v>
      </c>
      <c r="D18" s="48"/>
      <c r="E18" s="52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</row>
    <row r="19" spans="1:18" s="27" customFormat="1" ht="21.9" customHeight="1" x14ac:dyDescent="0.25">
      <c r="A19" s="28"/>
      <c r="B19" s="29"/>
      <c r="C19" s="26"/>
      <c r="D19" s="26"/>
      <c r="E19" s="31" t="s">
        <v>20</v>
      </c>
      <c r="F19" s="64">
        <v>0</v>
      </c>
      <c r="G19" s="64">
        <v>0</v>
      </c>
      <c r="H19" s="20">
        <v>0</v>
      </c>
      <c r="I19" s="46">
        <v>0</v>
      </c>
      <c r="J19" s="46">
        <v>0</v>
      </c>
      <c r="K19" s="46"/>
      <c r="L19" s="46">
        <v>0</v>
      </c>
      <c r="M19" s="46"/>
      <c r="N19" s="46">
        <v>0</v>
      </c>
      <c r="O19" s="46">
        <v>0</v>
      </c>
      <c r="P19" s="38"/>
      <c r="Q19" s="38"/>
    </row>
    <row r="20" spans="1:18" s="27" customFormat="1" ht="21.9" customHeight="1" x14ac:dyDescent="0.25">
      <c r="A20" s="28"/>
      <c r="B20" s="29"/>
      <c r="C20" s="26"/>
      <c r="D20" s="26"/>
      <c r="E20" s="31" t="s">
        <v>21</v>
      </c>
      <c r="F20" s="64">
        <v>0</v>
      </c>
      <c r="G20" s="64">
        <v>0</v>
      </c>
      <c r="H20" s="20">
        <v>0</v>
      </c>
      <c r="I20" s="46">
        <v>0</v>
      </c>
      <c r="J20" s="46">
        <v>0</v>
      </c>
      <c r="K20" s="46"/>
      <c r="L20" s="46">
        <v>0</v>
      </c>
      <c r="M20" s="46"/>
      <c r="N20" s="46">
        <v>0</v>
      </c>
      <c r="O20" s="46">
        <v>0</v>
      </c>
      <c r="P20" s="38"/>
      <c r="Q20" s="38"/>
    </row>
    <row r="21" spans="1:18" s="27" customFormat="1" ht="21.9" customHeight="1" x14ac:dyDescent="0.7">
      <c r="A21" s="28"/>
      <c r="B21" s="29"/>
      <c r="C21" s="26"/>
      <c r="D21" s="26"/>
      <c r="E21" s="31" t="s">
        <v>22</v>
      </c>
      <c r="F21" s="6">
        <v>24490529.170000002</v>
      </c>
      <c r="G21" s="6">
        <v>23281928.710000001</v>
      </c>
      <c r="H21" s="20">
        <v>39570973.75</v>
      </c>
      <c r="I21" s="46">
        <v>80000000</v>
      </c>
      <c r="J21" s="46">
        <v>33693691.200000003</v>
      </c>
      <c r="K21" s="46">
        <f>+J21/I21*100</f>
        <v>42.117114000000008</v>
      </c>
      <c r="L21" s="46" t="e">
        <f>+ประมาณการรายรับ!#REF!</f>
        <v>#REF!</v>
      </c>
      <c r="M21" s="46" t="e">
        <f>+(L21-I21)/I21*100</f>
        <v>#REF!</v>
      </c>
      <c r="N21" s="46">
        <v>80000000</v>
      </c>
      <c r="O21" s="46">
        <v>80000000</v>
      </c>
      <c r="P21" s="79">
        <v>20382897.199999999</v>
      </c>
      <c r="Q21" s="78">
        <f>+P21/I21*100</f>
        <v>25.478621499999999</v>
      </c>
    </row>
    <row r="22" spans="1:18" s="27" customFormat="1" ht="21.9" customHeight="1" x14ac:dyDescent="0.7">
      <c r="A22" s="28"/>
      <c r="B22" s="29"/>
      <c r="C22" s="26"/>
      <c r="D22" s="26"/>
      <c r="E22" s="31" t="s">
        <v>23</v>
      </c>
      <c r="F22" s="6">
        <v>365997.15</v>
      </c>
      <c r="G22" s="6">
        <v>706946.53</v>
      </c>
      <c r="H22" s="20">
        <v>2022594.46</v>
      </c>
      <c r="I22" s="46">
        <v>1500000</v>
      </c>
      <c r="J22" s="46">
        <v>1426104.77</v>
      </c>
      <c r="K22" s="46">
        <f>+J22/I22*100</f>
        <v>95.073651333333331</v>
      </c>
      <c r="L22" s="46" t="e">
        <f>+ประมาณการรายรับ!#REF!</f>
        <v>#REF!</v>
      </c>
      <c r="M22" s="46" t="e">
        <f>+(L22-I22)/I22*100</f>
        <v>#REF!</v>
      </c>
      <c r="N22" s="46">
        <v>1000000</v>
      </c>
      <c r="O22" s="46">
        <f>+N22</f>
        <v>1000000</v>
      </c>
      <c r="P22" s="79">
        <v>1240872.19</v>
      </c>
      <c r="Q22" s="78">
        <f>+P22/I22*100</f>
        <v>82.724812666666665</v>
      </c>
    </row>
    <row r="23" spans="1:18" s="27" customFormat="1" ht="21.9" customHeight="1" x14ac:dyDescent="0.7">
      <c r="A23" s="28"/>
      <c r="B23" s="29"/>
      <c r="C23" s="26"/>
      <c r="D23" s="26"/>
      <c r="E23" s="31" t="s">
        <v>24</v>
      </c>
      <c r="F23" s="6">
        <f>20906672.21-732637</f>
        <v>20174035.210000001</v>
      </c>
      <c r="G23" s="6">
        <v>19066649.559999999</v>
      </c>
      <c r="H23" s="20">
        <v>19066136.199999999</v>
      </c>
      <c r="I23" s="46">
        <v>20000000</v>
      </c>
      <c r="J23" s="46">
        <v>10961291.880000001</v>
      </c>
      <c r="K23" s="46">
        <f>+J23/I23*100</f>
        <v>54.806459400000008</v>
      </c>
      <c r="L23" s="46" t="e">
        <f>+ประมาณการรายรับ!#REF!</f>
        <v>#REF!</v>
      </c>
      <c r="M23" s="46" t="e">
        <f>+(L23-I23)/I23*100</f>
        <v>#REF!</v>
      </c>
      <c r="N23" s="46">
        <v>20000000</v>
      </c>
      <c r="O23" s="46">
        <v>20000000</v>
      </c>
      <c r="P23" s="79">
        <v>4684540.2</v>
      </c>
      <c r="Q23" s="78">
        <f>+P23/I23*100</f>
        <v>23.422701</v>
      </c>
    </row>
    <row r="24" spans="1:18" s="27" customFormat="1" ht="21.9" customHeight="1" x14ac:dyDescent="0.25">
      <c r="A24" s="28"/>
      <c r="B24" s="29"/>
      <c r="C24" s="33"/>
      <c r="D24" s="33"/>
      <c r="E24" s="80" t="s">
        <v>25</v>
      </c>
      <c r="F24" s="81">
        <f>SUM(F9:F23)</f>
        <v>1705926714.1300001</v>
      </c>
      <c r="G24" s="81">
        <f>SUM(G9:G23)</f>
        <v>2241432128.5100002</v>
      </c>
      <c r="H24" s="81">
        <f>SUM(H9:H23)</f>
        <v>1927098535.97</v>
      </c>
      <c r="I24" s="81">
        <f>SUM(I9:I23)</f>
        <v>1969000000</v>
      </c>
      <c r="J24" s="81">
        <f>SUM(J9:J23)</f>
        <v>1068489741.01</v>
      </c>
      <c r="K24" s="81">
        <f>+J24/I24*100</f>
        <v>54.265603911122398</v>
      </c>
      <c r="L24" s="81" t="e">
        <f>SUM(L9:L23)</f>
        <v>#REF!</v>
      </c>
      <c r="M24" s="104" t="e">
        <f>+(L24-I24)/I24*100</f>
        <v>#REF!</v>
      </c>
      <c r="N24" s="81">
        <f>SUM(N9:N23)</f>
        <v>2001640000</v>
      </c>
      <c r="O24" s="81">
        <f>SUM(O9:O23)</f>
        <v>2071611700</v>
      </c>
      <c r="P24" s="81">
        <f>SUM(P9:P23)</f>
        <v>576847998.18000019</v>
      </c>
      <c r="Q24" s="82">
        <f>+P24/I24*100</f>
        <v>29.296495590655162</v>
      </c>
      <c r="R24" s="84"/>
    </row>
    <row r="25" spans="1:18" s="27" customFormat="1" ht="21.9" customHeight="1" x14ac:dyDescent="0.25">
      <c r="A25" s="28"/>
      <c r="B25" s="53" t="s">
        <v>26</v>
      </c>
      <c r="C25" s="48"/>
      <c r="D25" s="48"/>
      <c r="E25" s="52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</row>
    <row r="26" spans="1:18" s="27" customFormat="1" ht="21.9" customHeight="1" x14ac:dyDescent="0.25">
      <c r="A26" s="28"/>
      <c r="B26" s="53"/>
      <c r="C26" s="54" t="s">
        <v>27</v>
      </c>
      <c r="D26" s="48"/>
      <c r="E26" s="52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</row>
    <row r="27" spans="1:18" s="27" customFormat="1" ht="21.9" customHeight="1" x14ac:dyDescent="0.7">
      <c r="A27" s="28"/>
      <c r="B27" s="35"/>
      <c r="C27" s="34"/>
      <c r="D27" s="26"/>
      <c r="E27" s="31" t="s">
        <v>28</v>
      </c>
      <c r="F27" s="6">
        <v>180533834.22999999</v>
      </c>
      <c r="G27" s="6">
        <v>188204023.53</v>
      </c>
      <c r="H27" s="20">
        <v>188464884.25</v>
      </c>
      <c r="I27" s="46">
        <v>195000000</v>
      </c>
      <c r="J27" s="46">
        <v>94467538.909999996</v>
      </c>
      <c r="K27" s="46">
        <f t="shared" ref="K27:K48" si="3">+J27/I27*100</f>
        <v>48.444891748717943</v>
      </c>
      <c r="L27" s="46">
        <f>+รายละเอียดรายจ่าย!X5</f>
        <v>205000000</v>
      </c>
      <c r="M27" s="46">
        <f>+(L27-I27)/I27*100</f>
        <v>5.1282051282051277</v>
      </c>
      <c r="N27" s="70">
        <f>+I27*0.04+I27</f>
        <v>202800000</v>
      </c>
      <c r="O27" s="70">
        <f>+N27*0.04+N27</f>
        <v>210912000</v>
      </c>
      <c r="P27" s="79">
        <v>47953471.240000002</v>
      </c>
      <c r="Q27" s="78">
        <f>+P27/I27*100</f>
        <v>24.591523712820514</v>
      </c>
    </row>
    <row r="28" spans="1:18" s="27" customFormat="1" ht="21.9" customHeight="1" x14ac:dyDescent="0.25">
      <c r="A28" s="28"/>
      <c r="B28" s="35"/>
      <c r="C28" s="34"/>
      <c r="D28" s="26"/>
      <c r="E28" s="31" t="s">
        <v>71</v>
      </c>
      <c r="F28" s="46">
        <v>0</v>
      </c>
      <c r="G28" s="46">
        <v>0</v>
      </c>
      <c r="H28" s="20">
        <v>0</v>
      </c>
      <c r="I28" s="46">
        <v>0</v>
      </c>
      <c r="J28" s="46">
        <v>0</v>
      </c>
      <c r="K28" s="46"/>
      <c r="L28" s="46">
        <v>0</v>
      </c>
      <c r="M28" s="46"/>
      <c r="N28" s="46">
        <v>0</v>
      </c>
      <c r="O28" s="46">
        <v>0</v>
      </c>
      <c r="P28" s="79"/>
      <c r="Q28" s="78">
        <v>0</v>
      </c>
    </row>
    <row r="29" spans="1:18" s="27" customFormat="1" ht="21.9" customHeight="1" x14ac:dyDescent="0.25">
      <c r="B29" s="36"/>
      <c r="C29" s="37"/>
      <c r="D29" s="38"/>
      <c r="E29" s="31" t="s">
        <v>88</v>
      </c>
      <c r="F29" s="65">
        <v>31484140</v>
      </c>
      <c r="G29" s="65">
        <v>30139045</v>
      </c>
      <c r="H29" s="20">
        <v>26605920</v>
      </c>
      <c r="I29" s="46">
        <v>30000000</v>
      </c>
      <c r="J29" s="46">
        <v>29945470</v>
      </c>
      <c r="K29" s="46">
        <f t="shared" si="3"/>
        <v>99.818233333333325</v>
      </c>
      <c r="L29" s="46">
        <v>40000000</v>
      </c>
      <c r="M29" s="46">
        <f t="shared" ref="M29:M48" si="4">+(L29-I29)/I29*100</f>
        <v>33.333333333333329</v>
      </c>
      <c r="N29" s="70">
        <v>30000000</v>
      </c>
      <c r="O29" s="70">
        <v>30000000</v>
      </c>
      <c r="P29" s="86">
        <v>17331340</v>
      </c>
      <c r="Q29" s="78">
        <f>+P29/I29*100</f>
        <v>57.771133333333339</v>
      </c>
    </row>
    <row r="30" spans="1:18" s="27" customFormat="1" ht="21.9" customHeight="1" x14ac:dyDescent="0.7">
      <c r="B30" s="36"/>
      <c r="C30" s="37"/>
      <c r="D30" s="38"/>
      <c r="E30" s="31" t="s">
        <v>29</v>
      </c>
      <c r="F30" s="6">
        <v>1167600</v>
      </c>
      <c r="G30" s="6">
        <v>10385000</v>
      </c>
      <c r="H30" s="20">
        <v>10495200</v>
      </c>
      <c r="I30" s="46">
        <v>10960000</v>
      </c>
      <c r="J30" s="46">
        <v>5346600</v>
      </c>
      <c r="K30" s="46">
        <f t="shared" si="3"/>
        <v>48.782846715328468</v>
      </c>
      <c r="L30" s="46">
        <f>+รายละเอียดรายจ่าย!X111</f>
        <v>11136000</v>
      </c>
      <c r="M30" s="46">
        <f t="shared" si="4"/>
        <v>1.6058394160583942</v>
      </c>
      <c r="N30" s="70">
        <v>11000000</v>
      </c>
      <c r="O30" s="70">
        <f>+N30</f>
        <v>11000000</v>
      </c>
      <c r="P30" s="86">
        <v>2687000</v>
      </c>
      <c r="Q30" s="78">
        <f>+P30/I30*100</f>
        <v>24.516423357664234</v>
      </c>
    </row>
    <row r="31" spans="1:18" s="27" customFormat="1" ht="21.9" customHeight="1" x14ac:dyDescent="0.25">
      <c r="B31" s="36"/>
      <c r="C31" s="37"/>
      <c r="D31" s="38"/>
      <c r="E31" s="31" t="s">
        <v>30</v>
      </c>
      <c r="F31" s="46">
        <v>0</v>
      </c>
      <c r="G31" s="46">
        <v>0</v>
      </c>
      <c r="H31" s="20">
        <v>0</v>
      </c>
      <c r="I31" s="46">
        <v>0</v>
      </c>
      <c r="J31" s="46">
        <v>0</v>
      </c>
      <c r="K31" s="46"/>
      <c r="L31" s="46">
        <v>0</v>
      </c>
      <c r="M31" s="46"/>
      <c r="N31" s="70">
        <v>0</v>
      </c>
      <c r="O31" s="70">
        <v>0</v>
      </c>
      <c r="P31" s="79"/>
      <c r="Q31" s="78">
        <v>0</v>
      </c>
    </row>
    <row r="32" spans="1:18" s="27" customFormat="1" ht="21.9" customHeight="1" x14ac:dyDescent="0.7">
      <c r="B32" s="36"/>
      <c r="C32" s="37"/>
      <c r="D32" s="38"/>
      <c r="E32" s="31" t="s">
        <v>31</v>
      </c>
      <c r="F32" s="6">
        <v>10193251</v>
      </c>
      <c r="G32" s="6">
        <v>5202971</v>
      </c>
      <c r="H32" s="20">
        <v>8605550.9800000004</v>
      </c>
      <c r="I32" s="46">
        <v>41200000</v>
      </c>
      <c r="J32" s="46">
        <v>17747007</v>
      </c>
      <c r="K32" s="46">
        <f t="shared" si="3"/>
        <v>43.07525970873786</v>
      </c>
      <c r="L32" s="46">
        <f>+รายละเอียดรายจ่าย!X10</f>
        <v>41200000</v>
      </c>
      <c r="M32" s="46">
        <f t="shared" si="4"/>
        <v>0</v>
      </c>
      <c r="N32" s="70">
        <f>+I32</f>
        <v>41200000</v>
      </c>
      <c r="O32" s="70">
        <f>+N32</f>
        <v>41200000</v>
      </c>
      <c r="P32" s="79">
        <v>17747007</v>
      </c>
      <c r="Q32" s="78">
        <f>+P32/I32*100</f>
        <v>43.07525970873786</v>
      </c>
    </row>
    <row r="33" spans="2:17" s="27" customFormat="1" ht="21.9" customHeight="1" x14ac:dyDescent="0.25">
      <c r="B33" s="36"/>
      <c r="C33" s="37"/>
      <c r="D33" s="38"/>
      <c r="E33" s="31" t="s">
        <v>32</v>
      </c>
      <c r="F33" s="46">
        <v>0</v>
      </c>
      <c r="G33" s="46">
        <v>0</v>
      </c>
      <c r="H33" s="20">
        <v>225000</v>
      </c>
      <c r="I33" s="46">
        <v>300000</v>
      </c>
      <c r="J33" s="46">
        <v>0</v>
      </c>
      <c r="K33" s="46">
        <f t="shared" si="3"/>
        <v>0</v>
      </c>
      <c r="L33" s="46">
        <f>+รายละเอียดรายจ่าย!X13</f>
        <v>300000</v>
      </c>
      <c r="M33" s="46">
        <f t="shared" si="4"/>
        <v>0</v>
      </c>
      <c r="N33" s="46">
        <f>+I33</f>
        <v>300000</v>
      </c>
      <c r="O33" s="46">
        <f>+N33</f>
        <v>300000</v>
      </c>
      <c r="P33" s="79">
        <v>0</v>
      </c>
      <c r="Q33" s="78">
        <f>+P33/I33*100</f>
        <v>0</v>
      </c>
    </row>
    <row r="34" spans="2:17" s="27" customFormat="1" ht="21.9" customHeight="1" x14ac:dyDescent="0.25">
      <c r="B34" s="36"/>
      <c r="C34" s="37"/>
      <c r="D34" s="38"/>
      <c r="E34" s="31" t="s">
        <v>74</v>
      </c>
      <c r="F34" s="1481">
        <v>278309970.18000001</v>
      </c>
      <c r="G34" s="1481">
        <f>340999774.4-G29-G30</f>
        <v>300475729.39999998</v>
      </c>
      <c r="H34" s="1486">
        <f>367202135.79+10495200-H29-H30</f>
        <v>340596215.79000002</v>
      </c>
      <c r="I34" s="1488">
        <f>432000000+10960000-I29-I30</f>
        <v>402000000</v>
      </c>
      <c r="J34" s="1488">
        <f>216192538.77-J29</f>
        <v>186247068.77000001</v>
      </c>
      <c r="K34" s="1488">
        <f t="shared" si="3"/>
        <v>46.330116609452737</v>
      </c>
      <c r="L34" s="1488">
        <f>432000000-L29</f>
        <v>392000000</v>
      </c>
      <c r="M34" s="1488">
        <f t="shared" si="4"/>
        <v>-2.4875621890547266</v>
      </c>
      <c r="N34" s="1488">
        <v>402000000</v>
      </c>
      <c r="O34" s="1488">
        <v>402000000</v>
      </c>
      <c r="P34" s="1474">
        <f>107757770.55-P29</f>
        <v>90426430.549999997</v>
      </c>
      <c r="Q34" s="1470">
        <f>+P34/I34*100</f>
        <v>22.494136952736319</v>
      </c>
    </row>
    <row r="35" spans="2:17" s="27" customFormat="1" ht="21.9" customHeight="1" x14ac:dyDescent="0.25">
      <c r="B35" s="35"/>
      <c r="C35" s="34"/>
      <c r="D35" s="26"/>
      <c r="E35" s="31" t="s">
        <v>33</v>
      </c>
      <c r="F35" s="1482"/>
      <c r="G35" s="1482"/>
      <c r="H35" s="1487"/>
      <c r="I35" s="1489"/>
      <c r="J35" s="1489"/>
      <c r="K35" s="1489"/>
      <c r="L35" s="1489"/>
      <c r="M35" s="1489"/>
      <c r="N35" s="1489"/>
      <c r="O35" s="1489"/>
      <c r="P35" s="1475"/>
      <c r="Q35" s="1471"/>
    </row>
    <row r="36" spans="2:17" s="27" customFormat="1" ht="21.9" customHeight="1" x14ac:dyDescent="0.7">
      <c r="B36" s="35"/>
      <c r="C36" s="34"/>
      <c r="D36" s="26"/>
      <c r="E36" s="31" t="s">
        <v>69</v>
      </c>
      <c r="F36" s="6">
        <v>709725</v>
      </c>
      <c r="G36" s="6">
        <f>868400+299500+618600+9852500</f>
        <v>11639000</v>
      </c>
      <c r="H36" s="20">
        <f>555000+295380+1278500</f>
        <v>2128880</v>
      </c>
      <c r="I36" s="46">
        <f>550000+300000+1250000+100000</f>
        <v>2200000</v>
      </c>
      <c r="J36" s="46">
        <f>255000+105500+1035900</f>
        <v>1396400</v>
      </c>
      <c r="K36" s="46">
        <f t="shared" si="3"/>
        <v>63.472727272727269</v>
      </c>
      <c r="L36" s="46">
        <f>+รายละเอียดรายจ่าย!X8+รายละเอียดรายจ่าย!X11+รายละเอียดรายจ่าย!X12+รายละเอียดรายจ่าย!X15</f>
        <v>2200000</v>
      </c>
      <c r="M36" s="46">
        <f t="shared" si="4"/>
        <v>0</v>
      </c>
      <c r="N36" s="46">
        <v>2000000</v>
      </c>
      <c r="O36" s="46">
        <v>2000000</v>
      </c>
      <c r="P36" s="79">
        <f>130000+586800+46400</f>
        <v>763200</v>
      </c>
      <c r="Q36" s="78">
        <f>+P36/I36*100</f>
        <v>34.690909090909088</v>
      </c>
    </row>
    <row r="37" spans="2:17" s="103" customFormat="1" ht="21.9" customHeight="1" x14ac:dyDescent="0.25">
      <c r="B37" s="96"/>
      <c r="C37" s="72"/>
      <c r="D37" s="73"/>
      <c r="E37" s="74" t="s">
        <v>34</v>
      </c>
      <c r="F37" s="63">
        <v>88500</v>
      </c>
      <c r="G37" s="63">
        <v>223200</v>
      </c>
      <c r="H37" s="75">
        <f>189000+247200</f>
        <v>436200</v>
      </c>
      <c r="I37" s="76">
        <f>200000+300000</f>
        <v>500000</v>
      </c>
      <c r="J37" s="76">
        <v>66300</v>
      </c>
      <c r="K37" s="46">
        <f t="shared" si="3"/>
        <v>13.26</v>
      </c>
      <c r="L37" s="76">
        <f>+รายละเอียดรายจ่าย!X9+รายละเอียดรายจ่าย!X16</f>
        <v>500000</v>
      </c>
      <c r="M37" s="46">
        <f t="shared" si="4"/>
        <v>0</v>
      </c>
      <c r="N37" s="76">
        <v>500000</v>
      </c>
      <c r="O37" s="76">
        <v>500000</v>
      </c>
      <c r="P37" s="83">
        <v>46200</v>
      </c>
      <c r="Q37" s="78">
        <f>+P37/I37*100</f>
        <v>9.24</v>
      </c>
    </row>
    <row r="38" spans="2:17" s="27" customFormat="1" ht="21.9" customHeight="1" x14ac:dyDescent="0.25">
      <c r="B38" s="36"/>
      <c r="C38" s="92" t="s">
        <v>35</v>
      </c>
      <c r="D38" s="93"/>
      <c r="E38" s="94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</row>
    <row r="39" spans="2:17" s="27" customFormat="1" ht="21.9" customHeight="1" x14ac:dyDescent="0.7">
      <c r="B39" s="36"/>
      <c r="C39" s="26"/>
      <c r="D39" s="26"/>
      <c r="E39" s="32" t="s">
        <v>36</v>
      </c>
      <c r="F39" s="66">
        <v>381568335.67000002</v>
      </c>
      <c r="G39" s="66">
        <v>402783945.05000001</v>
      </c>
      <c r="H39" s="22">
        <v>423646772.83999997</v>
      </c>
      <c r="I39" s="46">
        <f>410000000+12000000</f>
        <v>422000000</v>
      </c>
      <c r="J39" s="46">
        <v>223446874.94999999</v>
      </c>
      <c r="K39" s="46">
        <f t="shared" si="3"/>
        <v>52.949496433649287</v>
      </c>
      <c r="L39" s="46">
        <f>+รายละเอียดรายจ่าย!X136</f>
        <v>480000000</v>
      </c>
      <c r="M39" s="46">
        <f t="shared" si="4"/>
        <v>13.744075829383887</v>
      </c>
      <c r="N39" s="46">
        <f>438000000+13000000</f>
        <v>451000000</v>
      </c>
      <c r="O39" s="46">
        <f>470000000+14000000</f>
        <v>484000000</v>
      </c>
      <c r="P39" s="86">
        <v>113828659.47</v>
      </c>
      <c r="Q39" s="78">
        <f>+P39/I39*100</f>
        <v>26.973615988151657</v>
      </c>
    </row>
    <row r="40" spans="2:17" s="27" customFormat="1" ht="21.9" customHeight="1" x14ac:dyDescent="0.25">
      <c r="B40" s="36"/>
      <c r="C40" s="34"/>
      <c r="D40" s="26"/>
      <c r="E40" s="32" t="s">
        <v>81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</row>
    <row r="41" spans="2:17" s="27" customFormat="1" ht="21.9" customHeight="1" x14ac:dyDescent="0.7">
      <c r="B41" s="36"/>
      <c r="C41" s="34"/>
      <c r="D41" s="38"/>
      <c r="E41" s="31" t="s">
        <v>37</v>
      </c>
      <c r="F41" s="67">
        <v>283383304.85000002</v>
      </c>
      <c r="G41" s="67">
        <v>269171871.07999998</v>
      </c>
      <c r="H41" s="21">
        <v>294582710.36000001</v>
      </c>
      <c r="I41" s="46">
        <v>278600000</v>
      </c>
      <c r="J41" s="46">
        <v>184615422.77000001</v>
      </c>
      <c r="K41" s="46">
        <f t="shared" si="3"/>
        <v>66.265406593682712</v>
      </c>
      <c r="L41" s="46">
        <f>+รายละเอียดรายจ่าย!X144</f>
        <v>332850000</v>
      </c>
      <c r="M41" s="46">
        <f t="shared" si="4"/>
        <v>19.472361809045228</v>
      </c>
      <c r="N41" s="46">
        <f>+I41</f>
        <v>278600000</v>
      </c>
      <c r="O41" s="46">
        <f>+N41</f>
        <v>278600000</v>
      </c>
      <c r="P41" s="79">
        <v>88895304.400000006</v>
      </c>
      <c r="Q41" s="78">
        <f t="shared" ref="Q41:Q48" si="5">+P41/I41*100</f>
        <v>31.907862311557789</v>
      </c>
    </row>
    <row r="42" spans="2:17" s="27" customFormat="1" ht="21.9" customHeight="1" x14ac:dyDescent="0.7">
      <c r="B42" s="36"/>
      <c r="C42" s="34"/>
      <c r="D42" s="38"/>
      <c r="E42" s="31" t="s">
        <v>38</v>
      </c>
      <c r="F42" s="67">
        <v>113598032.58</v>
      </c>
      <c r="G42" s="67">
        <v>173517852.77000001</v>
      </c>
      <c r="H42" s="21">
        <v>108302691.62</v>
      </c>
      <c r="I42" s="46">
        <f>1500000+29000000+2500000+2000000+62000000+3600000</f>
        <v>100600000</v>
      </c>
      <c r="J42" s="46">
        <v>51084516.140000001</v>
      </c>
      <c r="K42" s="46">
        <f t="shared" si="3"/>
        <v>50.779837117296225</v>
      </c>
      <c r="L42" s="102">
        <f>+รายละเอียดรายจ่าย!X128</f>
        <v>115000000</v>
      </c>
      <c r="M42" s="46">
        <f t="shared" si="4"/>
        <v>14.314115308151093</v>
      </c>
      <c r="N42" s="46">
        <f>105000000+3600000+1500000</f>
        <v>110100000</v>
      </c>
      <c r="O42" s="46">
        <f>110000000+3600000+1500000</f>
        <v>115100000</v>
      </c>
      <c r="P42" s="79">
        <v>22290949.23</v>
      </c>
      <c r="Q42" s="78">
        <f t="shared" si="5"/>
        <v>22.158001222664016</v>
      </c>
    </row>
    <row r="43" spans="2:17" s="27" customFormat="1" ht="21.9" customHeight="1" x14ac:dyDescent="0.7">
      <c r="B43" s="36"/>
      <c r="C43" s="34"/>
      <c r="D43" s="38"/>
      <c r="E43" s="31" t="s">
        <v>39</v>
      </c>
      <c r="F43" s="67">
        <v>4624692.5599999996</v>
      </c>
      <c r="G43" s="67">
        <v>5063862.54</v>
      </c>
      <c r="H43" s="21">
        <v>4860582.3600000003</v>
      </c>
      <c r="I43" s="46">
        <v>5000000</v>
      </c>
      <c r="J43" s="46">
        <v>4374958.88</v>
      </c>
      <c r="K43" s="46">
        <f t="shared" si="3"/>
        <v>87.499177599999996</v>
      </c>
      <c r="L43" s="46">
        <f>+รายละเอียดรายจ่าย!X138</f>
        <v>8000000</v>
      </c>
      <c r="M43" s="46">
        <f t="shared" si="4"/>
        <v>60</v>
      </c>
      <c r="N43" s="46">
        <f>+I43</f>
        <v>5000000</v>
      </c>
      <c r="O43" s="46">
        <f>+N43</f>
        <v>5000000</v>
      </c>
      <c r="P43" s="86">
        <v>1699498.04</v>
      </c>
      <c r="Q43" s="78">
        <f t="shared" si="5"/>
        <v>33.989960799999999</v>
      </c>
    </row>
    <row r="44" spans="2:17" s="27" customFormat="1" ht="21.9" customHeight="1" x14ac:dyDescent="0.7">
      <c r="B44" s="36"/>
      <c r="C44" s="34"/>
      <c r="D44" s="38"/>
      <c r="E44" s="31" t="s">
        <v>40</v>
      </c>
      <c r="F44" s="67">
        <v>8920065.0600000005</v>
      </c>
      <c r="G44" s="67">
        <v>7202711.8600000003</v>
      </c>
      <c r="H44" s="21">
        <v>10163306.949999999</v>
      </c>
      <c r="I44" s="46">
        <v>10000000</v>
      </c>
      <c r="J44" s="46">
        <v>5630163.2800000003</v>
      </c>
      <c r="K44" s="46">
        <f t="shared" si="3"/>
        <v>56.3016328</v>
      </c>
      <c r="L44" s="46">
        <f>+รายละเอียดรายจ่าย!X139</f>
        <v>10000000</v>
      </c>
      <c r="M44" s="46">
        <f t="shared" si="4"/>
        <v>0</v>
      </c>
      <c r="N44" s="46">
        <f>+I44</f>
        <v>10000000</v>
      </c>
      <c r="O44" s="46">
        <f>+N44</f>
        <v>10000000</v>
      </c>
      <c r="P44" s="86">
        <v>1906294.56</v>
      </c>
      <c r="Q44" s="78">
        <f t="shared" si="5"/>
        <v>19.062945599999999</v>
      </c>
    </row>
    <row r="45" spans="2:17" s="27" customFormat="1" ht="21.9" customHeight="1" x14ac:dyDescent="0.7">
      <c r="B45" s="36"/>
      <c r="C45" s="34"/>
      <c r="D45" s="38"/>
      <c r="E45" s="31" t="s">
        <v>41</v>
      </c>
      <c r="F45" s="67">
        <v>12301882</v>
      </c>
      <c r="G45" s="67">
        <v>2353159.4</v>
      </c>
      <c r="H45" s="21">
        <v>4427235.5</v>
      </c>
      <c r="I45" s="46">
        <v>14000000</v>
      </c>
      <c r="J45" s="46">
        <v>6825150</v>
      </c>
      <c r="K45" s="46">
        <f t="shared" si="3"/>
        <v>48.751071428571429</v>
      </c>
      <c r="L45" s="46">
        <f>+รายละเอียดรายจ่าย!X140</f>
        <v>30000000</v>
      </c>
      <c r="M45" s="46">
        <f t="shared" si="4"/>
        <v>114.28571428571428</v>
      </c>
      <c r="N45" s="46">
        <f>+I45</f>
        <v>14000000</v>
      </c>
      <c r="O45" s="46">
        <f>+N45</f>
        <v>14000000</v>
      </c>
      <c r="P45" s="86">
        <v>3163628</v>
      </c>
      <c r="Q45" s="78">
        <f t="shared" si="5"/>
        <v>22.597342857142859</v>
      </c>
    </row>
    <row r="46" spans="2:17" s="27" customFormat="1" ht="21.9" customHeight="1" x14ac:dyDescent="0.7">
      <c r="B46" s="36"/>
      <c r="C46" s="34"/>
      <c r="D46" s="26"/>
      <c r="E46" s="32" t="s">
        <v>86</v>
      </c>
      <c r="F46" s="6">
        <v>52239803.799999997</v>
      </c>
      <c r="G46" s="6">
        <v>52142381.509999998</v>
      </c>
      <c r="H46" s="20">
        <f>904032336.97-H41-H42-H43-H44-H45-H39</f>
        <v>58049037.340000033</v>
      </c>
      <c r="I46" s="46">
        <f>891600000-I41-I42-I43-I44-I45-I39</f>
        <v>61400000</v>
      </c>
      <c r="J46" s="46">
        <f>508399313.78-J39-J41-J42-J43-J44-J45</f>
        <v>32422227.759999968</v>
      </c>
      <c r="K46" s="46">
        <f t="shared" si="3"/>
        <v>52.804931205211666</v>
      </c>
      <c r="L46" s="46">
        <f>+รายละเอียดรายจ่าย!X116-L39-L41-L42-L43-L44-L45</f>
        <v>74130000</v>
      </c>
      <c r="M46" s="46">
        <f t="shared" si="4"/>
        <v>20.732899022801302</v>
      </c>
      <c r="N46" s="46">
        <f>+I46</f>
        <v>61400000</v>
      </c>
      <c r="O46" s="46">
        <f>+N46</f>
        <v>61400000</v>
      </c>
      <c r="P46" s="86">
        <v>12888114.880000001</v>
      </c>
      <c r="Q46" s="78">
        <f t="shared" si="5"/>
        <v>20.990415114006517</v>
      </c>
    </row>
    <row r="47" spans="2:17" s="27" customFormat="1" ht="21.9" customHeight="1" x14ac:dyDescent="0.7">
      <c r="B47" s="36"/>
      <c r="C47" s="34"/>
      <c r="D47" s="26"/>
      <c r="E47" s="32" t="s">
        <v>42</v>
      </c>
      <c r="F47" s="6">
        <v>46273598.899999999</v>
      </c>
      <c r="G47" s="6">
        <v>57251974.939999998</v>
      </c>
      <c r="H47" s="20">
        <v>64033302.310000002</v>
      </c>
      <c r="I47" s="46">
        <v>63200000</v>
      </c>
      <c r="J47" s="46">
        <v>28765949.420000002</v>
      </c>
      <c r="K47" s="46">
        <f t="shared" si="3"/>
        <v>45.51574275316456</v>
      </c>
      <c r="L47" s="46">
        <f>+รายละเอียดรายจ่าย!X106</f>
        <v>70000000</v>
      </c>
      <c r="M47" s="46">
        <f t="shared" si="4"/>
        <v>10.759493670886076</v>
      </c>
      <c r="N47" s="46">
        <v>64000000</v>
      </c>
      <c r="O47" s="46">
        <v>64000000</v>
      </c>
      <c r="P47" s="79">
        <v>14127010.15</v>
      </c>
      <c r="Q47" s="78">
        <f t="shared" si="5"/>
        <v>22.352864161392404</v>
      </c>
    </row>
    <row r="48" spans="2:17" s="27" customFormat="1" ht="21.9" customHeight="1" x14ac:dyDescent="0.7">
      <c r="B48" s="36"/>
      <c r="C48" s="34"/>
      <c r="D48" s="26"/>
      <c r="E48" s="32" t="s">
        <v>43</v>
      </c>
      <c r="F48" s="6">
        <v>143384959.49000001</v>
      </c>
      <c r="G48" s="6">
        <v>230607987.06</v>
      </c>
      <c r="H48" s="20">
        <v>170224752.50999999</v>
      </c>
      <c r="I48" s="46">
        <v>182776000</v>
      </c>
      <c r="J48" s="46">
        <v>112622051.33</v>
      </c>
      <c r="K48" s="46">
        <f t="shared" si="3"/>
        <v>61.617527098743821</v>
      </c>
      <c r="L48" s="46" t="e">
        <f>+รายละเอียดรายจ่าย!#REF!</f>
        <v>#REF!</v>
      </c>
      <c r="M48" s="46" t="e">
        <f t="shared" si="4"/>
        <v>#REF!</v>
      </c>
      <c r="N48" s="46">
        <f>+I48</f>
        <v>182776000</v>
      </c>
      <c r="O48" s="46">
        <f>+N48</f>
        <v>182776000</v>
      </c>
      <c r="P48" s="79">
        <v>64208414.890000001</v>
      </c>
      <c r="Q48" s="78">
        <f t="shared" si="5"/>
        <v>35.129565637720489</v>
      </c>
    </row>
    <row r="49" spans="2:18" s="27" customFormat="1" ht="21.9" customHeight="1" x14ac:dyDescent="0.25">
      <c r="B49" s="36"/>
      <c r="C49" s="34"/>
      <c r="D49" s="26"/>
      <c r="E49" s="32" t="s">
        <v>44</v>
      </c>
      <c r="F49" s="68">
        <v>0</v>
      </c>
      <c r="G49" s="68">
        <v>0</v>
      </c>
      <c r="H49" s="20">
        <v>0</v>
      </c>
      <c r="I49" s="46">
        <v>0</v>
      </c>
      <c r="J49" s="46">
        <v>0</v>
      </c>
      <c r="K49" s="46"/>
      <c r="L49" s="46">
        <v>0</v>
      </c>
      <c r="M49" s="46"/>
      <c r="N49" s="46">
        <v>0</v>
      </c>
      <c r="O49" s="46">
        <v>0</v>
      </c>
      <c r="P49" s="38"/>
      <c r="Q49" s="38"/>
    </row>
    <row r="50" spans="2:18" s="27" customFormat="1" ht="21.9" customHeight="1" x14ac:dyDescent="0.25">
      <c r="B50" s="36"/>
      <c r="C50" s="58" t="s">
        <v>77</v>
      </c>
      <c r="D50" s="59"/>
      <c r="E50" s="60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</row>
    <row r="51" spans="2:18" s="27" customFormat="1" ht="21.9" customHeight="1" x14ac:dyDescent="0.25">
      <c r="B51" s="36"/>
      <c r="C51" s="34"/>
      <c r="D51" s="26"/>
      <c r="E51" s="34" t="s">
        <v>70</v>
      </c>
      <c r="F51" s="51"/>
      <c r="G51" s="51"/>
      <c r="H51" s="51"/>
      <c r="I51" s="55"/>
      <c r="J51" s="55"/>
      <c r="K51" s="55"/>
      <c r="L51" s="55"/>
      <c r="M51" s="55"/>
      <c r="N51" s="55"/>
      <c r="O51" s="55"/>
      <c r="P51" s="55"/>
      <c r="Q51" s="55"/>
      <c r="R51" s="39"/>
    </row>
    <row r="52" spans="2:18" s="27" customFormat="1" ht="21.9" customHeight="1" x14ac:dyDescent="0.25">
      <c r="B52" s="36"/>
      <c r="C52" s="34"/>
      <c r="D52" s="26"/>
      <c r="E52" s="38" t="s">
        <v>83</v>
      </c>
      <c r="F52" s="20">
        <v>19207318.109999999</v>
      </c>
      <c r="G52" s="20">
        <v>18299059.25</v>
      </c>
      <c r="H52" s="20">
        <v>16655750</v>
      </c>
      <c r="I52" s="46">
        <v>17000000</v>
      </c>
      <c r="J52" s="46">
        <v>0</v>
      </c>
      <c r="K52" s="46"/>
      <c r="L52" s="46">
        <f>+รายละเอียดรายจ่าย!X174</f>
        <v>16000000</v>
      </c>
      <c r="M52" s="46">
        <f>+(L52-I52)/I52*100</f>
        <v>-5.8823529411764701</v>
      </c>
      <c r="N52" s="46">
        <v>17000000</v>
      </c>
      <c r="O52" s="46">
        <v>18000000</v>
      </c>
      <c r="P52" s="85">
        <v>0</v>
      </c>
      <c r="Q52" s="78">
        <f>+P52/I52*100</f>
        <v>0</v>
      </c>
      <c r="R52" s="39"/>
    </row>
    <row r="53" spans="2:18" s="27" customFormat="1" ht="21.9" customHeight="1" x14ac:dyDescent="0.25">
      <c r="B53" s="36"/>
      <c r="C53" s="34"/>
      <c r="D53" s="26"/>
      <c r="E53" s="38" t="s">
        <v>84</v>
      </c>
      <c r="F53" s="20">
        <v>22086315.170000002</v>
      </c>
      <c r="G53" s="20">
        <v>9966511.5</v>
      </c>
      <c r="H53" s="1488">
        <f>62031461.74-H52</f>
        <v>45375711.740000002</v>
      </c>
      <c r="I53" s="46">
        <v>0</v>
      </c>
      <c r="J53" s="46">
        <v>0</v>
      </c>
      <c r="K53" s="46"/>
      <c r="L53" s="46" t="e">
        <f>+รายละเอียดรายจ่าย!#REF!</f>
        <v>#REF!</v>
      </c>
      <c r="M53" s="46"/>
      <c r="N53" s="46">
        <v>0</v>
      </c>
      <c r="O53" s="46">
        <v>0</v>
      </c>
      <c r="P53" s="38"/>
      <c r="Q53" s="78"/>
      <c r="R53" s="39"/>
    </row>
    <row r="54" spans="2:18" s="27" customFormat="1" ht="21.9" customHeight="1" x14ac:dyDescent="0.25">
      <c r="B54" s="36"/>
      <c r="C54" s="34"/>
      <c r="D54" s="26"/>
      <c r="E54" s="38" t="s">
        <v>85</v>
      </c>
      <c r="F54" s="20">
        <v>31693585.300000001</v>
      </c>
      <c r="G54" s="20">
        <f>50941596.51-G52</f>
        <v>32642537.259999998</v>
      </c>
      <c r="H54" s="1489"/>
      <c r="I54" s="46">
        <f>125588976.2-I52</f>
        <v>108588976.2</v>
      </c>
      <c r="J54" s="46">
        <v>24892105.98</v>
      </c>
      <c r="K54" s="46">
        <f>+J54/I54*100</f>
        <v>22.923234798856129</v>
      </c>
      <c r="L54" s="46" t="e">
        <f>+รายละเอียดรายจ่าย!X159-L52-L53</f>
        <v>#REF!</v>
      </c>
      <c r="M54" s="46" t="e">
        <f>+(L54-I54)/I54*100</f>
        <v>#REF!</v>
      </c>
      <c r="N54" s="46">
        <v>19863290</v>
      </c>
      <c r="O54" s="46" t="e">
        <f>+#REF!-O52</f>
        <v>#REF!</v>
      </c>
      <c r="P54" s="79">
        <v>15572406.82</v>
      </c>
      <c r="Q54" s="78">
        <f>+P54/I54*100</f>
        <v>14.340688497991383</v>
      </c>
      <c r="R54" s="39"/>
    </row>
    <row r="55" spans="2:18" s="27" customFormat="1" ht="21.9" customHeight="1" x14ac:dyDescent="0.25">
      <c r="B55" s="36"/>
      <c r="C55" s="34"/>
      <c r="D55" s="26"/>
      <c r="E55" s="34" t="s">
        <v>45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</row>
    <row r="56" spans="2:18" s="27" customFormat="1" ht="21.9" customHeight="1" x14ac:dyDescent="0.25">
      <c r="B56" s="36"/>
      <c r="C56" s="34"/>
      <c r="D56" s="26"/>
      <c r="E56" s="37" t="s">
        <v>78</v>
      </c>
      <c r="F56" s="69">
        <v>0</v>
      </c>
      <c r="G56" s="69">
        <v>0</v>
      </c>
      <c r="H56" s="20">
        <v>0</v>
      </c>
      <c r="I56" s="46">
        <v>0</v>
      </c>
      <c r="J56" s="46">
        <v>0</v>
      </c>
      <c r="K56" s="46"/>
      <c r="L56" s="46">
        <v>0</v>
      </c>
      <c r="M56" s="46"/>
      <c r="N56" s="46">
        <v>0</v>
      </c>
      <c r="O56" s="46">
        <v>0</v>
      </c>
      <c r="P56" s="38"/>
      <c r="Q56" s="38"/>
    </row>
    <row r="57" spans="2:18" s="27" customFormat="1" ht="21.9" customHeight="1" x14ac:dyDescent="0.25">
      <c r="B57" s="36"/>
      <c r="C57" s="34"/>
      <c r="D57" s="26"/>
      <c r="E57" s="37" t="s">
        <v>79</v>
      </c>
      <c r="F57" s="69">
        <v>0</v>
      </c>
      <c r="G57" s="69">
        <v>0</v>
      </c>
      <c r="H57" s="20">
        <v>0</v>
      </c>
      <c r="I57" s="46">
        <v>0</v>
      </c>
      <c r="J57" s="46">
        <v>0</v>
      </c>
      <c r="K57" s="46"/>
      <c r="L57" s="46">
        <f>+รายละเอียดรายจ่าย!X178</f>
        <v>24000000</v>
      </c>
      <c r="M57" s="46"/>
      <c r="N57" s="46">
        <v>10340000</v>
      </c>
      <c r="O57" s="46">
        <v>0</v>
      </c>
      <c r="P57" s="38"/>
      <c r="Q57" s="38"/>
    </row>
    <row r="58" spans="2:18" s="27" customFormat="1" ht="21.9" customHeight="1" x14ac:dyDescent="0.25">
      <c r="B58" s="36"/>
      <c r="C58" s="34"/>
      <c r="D58" s="26"/>
      <c r="E58" s="37" t="s">
        <v>80</v>
      </c>
      <c r="F58" s="69">
        <v>0</v>
      </c>
      <c r="G58" s="20">
        <v>13265578</v>
      </c>
      <c r="H58" s="20">
        <v>0</v>
      </c>
      <c r="I58" s="46">
        <v>112480442.59999999</v>
      </c>
      <c r="J58" s="46">
        <v>0</v>
      </c>
      <c r="K58" s="46"/>
      <c r="L58" s="46">
        <f>+รายละเอียดรายจ่าย!X177</f>
        <v>226026911.13999999</v>
      </c>
      <c r="M58" s="46">
        <f t="shared" ref="M58:M63" si="6">+(L58-I58)/I58*100</f>
        <v>100.94774337241094</v>
      </c>
      <c r="N58" s="46">
        <v>16844400</v>
      </c>
      <c r="O58" s="46"/>
      <c r="P58" s="85">
        <v>0</v>
      </c>
      <c r="Q58" s="78">
        <f>+P58/I58*100</f>
        <v>0</v>
      </c>
    </row>
    <row r="59" spans="2:18" s="27" customFormat="1" ht="21.9" customHeight="1" x14ac:dyDescent="0.25">
      <c r="B59" s="40"/>
      <c r="C59" s="54" t="s">
        <v>76</v>
      </c>
      <c r="D59" s="48"/>
      <c r="E59" s="48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</row>
    <row r="60" spans="2:18" s="27" customFormat="1" ht="21.9" customHeight="1" x14ac:dyDescent="0.25">
      <c r="B60" s="40"/>
      <c r="C60" s="34"/>
      <c r="D60" s="38" t="s">
        <v>87</v>
      </c>
      <c r="E60" s="38"/>
      <c r="F60" s="20">
        <f>8164178.01+2129000</f>
        <v>10293178.01</v>
      </c>
      <c r="G60" s="20">
        <f>8208166.77+64500</f>
        <v>8272666.7699999996</v>
      </c>
      <c r="H60" s="20">
        <f>127930+1102457.67+1099806.51+4230700</f>
        <v>6560894.1799999997</v>
      </c>
      <c r="I60" s="46">
        <f>600000+2000000</f>
        <v>2600000</v>
      </c>
      <c r="J60" s="46">
        <v>87000</v>
      </c>
      <c r="K60" s="46">
        <f>+J60/I60*100</f>
        <v>3.3461538461538458</v>
      </c>
      <c r="L60" s="46" t="e">
        <f>+รายละเอียดรายจ่าย!X184+รายละเอียดรายจ่าย!#REF!</f>
        <v>#REF!</v>
      </c>
      <c r="M60" s="46" t="e">
        <f t="shared" si="6"/>
        <v>#REF!</v>
      </c>
      <c r="N60" s="46">
        <v>4000000</v>
      </c>
      <c r="O60" s="46">
        <v>4000000</v>
      </c>
      <c r="P60" s="38">
        <v>0</v>
      </c>
      <c r="Q60" s="38"/>
    </row>
    <row r="61" spans="2:18" s="27" customFormat="1" ht="21.9" customHeight="1" x14ac:dyDescent="0.25">
      <c r="B61" s="40"/>
      <c r="C61" s="34"/>
      <c r="D61" s="27" t="s">
        <v>75</v>
      </c>
      <c r="E61" s="37"/>
      <c r="F61" s="20">
        <f>18494540.71-F60</f>
        <v>8201362.7000000011</v>
      </c>
      <c r="G61" s="20">
        <f>13567272.48-G60</f>
        <v>5294605.7100000009</v>
      </c>
      <c r="H61" s="20">
        <f>12299449.89-H60+4357500</f>
        <v>10096055.710000001</v>
      </c>
      <c r="I61" s="46">
        <f>8000000-I60</f>
        <v>5400000</v>
      </c>
      <c r="J61" s="46">
        <f>10722949.75-J60</f>
        <v>10635949.75</v>
      </c>
      <c r="K61" s="46">
        <f>+J61/I61*100</f>
        <v>196.96203240740741</v>
      </c>
      <c r="L61" s="46" t="e">
        <f>+รายละเอียดรายจ่าย!#REF!+รายละเอียดรายจ่าย!#REF!+รายละเอียดรายจ่าย!#REF!</f>
        <v>#REF!</v>
      </c>
      <c r="M61" s="46" t="e">
        <f t="shared" si="6"/>
        <v>#REF!</v>
      </c>
      <c r="N61" s="46">
        <v>6000000</v>
      </c>
      <c r="O61" s="46">
        <v>6000000</v>
      </c>
      <c r="P61" s="86">
        <v>3757346.75</v>
      </c>
      <c r="Q61" s="78">
        <f>+P61/I61*100</f>
        <v>69.580495370370372</v>
      </c>
    </row>
    <row r="62" spans="2:18" s="27" customFormat="1" ht="21.9" customHeight="1" x14ac:dyDescent="0.25">
      <c r="B62" s="40"/>
      <c r="C62" s="26" t="s">
        <v>90</v>
      </c>
      <c r="D62" s="26"/>
      <c r="F62" s="21"/>
      <c r="G62" s="21"/>
      <c r="H62" s="21"/>
      <c r="I62" s="46">
        <v>10000000</v>
      </c>
      <c r="J62" s="46">
        <v>0</v>
      </c>
      <c r="K62" s="46">
        <f>+J62/I62*100</f>
        <v>0</v>
      </c>
      <c r="L62" s="46">
        <f>+รายละเอียดรายจ่าย!X205</f>
        <v>10000000</v>
      </c>
      <c r="M62" s="46">
        <f t="shared" si="6"/>
        <v>0</v>
      </c>
      <c r="N62" s="46">
        <v>10000000</v>
      </c>
      <c r="O62" s="46">
        <v>10000000</v>
      </c>
      <c r="P62" s="85">
        <v>0</v>
      </c>
      <c r="Q62" s="78">
        <f>+P62/I62*100</f>
        <v>0</v>
      </c>
    </row>
    <row r="63" spans="2:18" s="27" customFormat="1" ht="21.9" customHeight="1" x14ac:dyDescent="0.25">
      <c r="B63" s="88"/>
      <c r="C63" s="89"/>
      <c r="D63" s="89"/>
      <c r="E63" s="90" t="s">
        <v>46</v>
      </c>
      <c r="F63" s="81">
        <f>SUM(F27:F62)</f>
        <v>1640263454.6099997</v>
      </c>
      <c r="G63" s="81">
        <f t="shared" ref="G63:P63" si="7">SUM(G27:G62)</f>
        <v>1834105673.6299999</v>
      </c>
      <c r="H63" s="81">
        <f t="shared" si="7"/>
        <v>1794536654.4399998</v>
      </c>
      <c r="I63" s="81">
        <f t="shared" si="7"/>
        <v>2075805418.8</v>
      </c>
      <c r="J63" s="81">
        <f t="shared" si="7"/>
        <v>1020618754.9399999</v>
      </c>
      <c r="K63" s="104">
        <f>+J63/I63*100</f>
        <v>49.167361530928474</v>
      </c>
      <c r="L63" s="81" t="e">
        <f>SUM(L25:L62)</f>
        <v>#REF!</v>
      </c>
      <c r="M63" s="104" t="e">
        <f t="shared" si="6"/>
        <v>#REF!</v>
      </c>
      <c r="N63" s="81">
        <f t="shared" si="7"/>
        <v>1950723690</v>
      </c>
      <c r="O63" s="81" t="e">
        <f t="shared" si="7"/>
        <v>#REF!</v>
      </c>
      <c r="P63" s="81">
        <f t="shared" si="7"/>
        <v>519292275.97999996</v>
      </c>
      <c r="Q63" s="91">
        <f>+P63/I63*100</f>
        <v>25.016423566337785</v>
      </c>
    </row>
    <row r="64" spans="2:18" s="27" customFormat="1" ht="21.9" customHeight="1" x14ac:dyDescent="0.25">
      <c r="B64" s="38"/>
      <c r="C64" s="26"/>
      <c r="D64" s="26"/>
      <c r="E64" s="41" t="s">
        <v>47</v>
      </c>
      <c r="F64" s="20">
        <f t="shared" ref="F64:O64" si="8">F24-F63</f>
        <v>65663259.520000458</v>
      </c>
      <c r="G64" s="20">
        <f t="shared" si="8"/>
        <v>407326454.88000035</v>
      </c>
      <c r="H64" s="20">
        <f t="shared" si="8"/>
        <v>132561881.53000021</v>
      </c>
      <c r="I64" s="20">
        <f t="shared" si="8"/>
        <v>-106805418.79999995</v>
      </c>
      <c r="J64" s="20"/>
      <c r="K64" s="20"/>
      <c r="L64" s="20" t="e">
        <f t="shared" si="8"/>
        <v>#REF!</v>
      </c>
      <c r="M64" s="20"/>
      <c r="N64" s="133">
        <v>-157345600</v>
      </c>
      <c r="O64" s="20" t="e">
        <f t="shared" si="8"/>
        <v>#REF!</v>
      </c>
      <c r="P64" s="77">
        <f>+P24-P63</f>
        <v>57555722.200000226</v>
      </c>
      <c r="Q64" s="78">
        <f>+Q24-Q63</f>
        <v>4.2800720243173771</v>
      </c>
    </row>
    <row r="65" spans="1:17" s="27" customFormat="1" ht="21.9" customHeight="1" x14ac:dyDescent="0.25">
      <c r="A65" s="100"/>
      <c r="B65" s="38"/>
      <c r="C65" s="38"/>
      <c r="D65" s="38"/>
      <c r="E65" s="41" t="s">
        <v>48</v>
      </c>
      <c r="F65" s="20">
        <v>136248645.56999972</v>
      </c>
      <c r="G65" s="20">
        <v>201105725.03000024</v>
      </c>
      <c r="H65" s="20">
        <f>+G66</f>
        <v>608432179.91000056</v>
      </c>
      <c r="I65" s="20">
        <f>+H66</f>
        <v>740994061.44000077</v>
      </c>
      <c r="J65" s="20"/>
      <c r="K65" s="20"/>
      <c r="L65" s="134">
        <f>+I66</f>
        <v>634188642.64000082</v>
      </c>
      <c r="M65" s="20"/>
      <c r="N65" s="133">
        <f>+I66</f>
        <v>634188642.64000082</v>
      </c>
      <c r="O65" s="20">
        <f>+N66</f>
        <v>200145465.04000044</v>
      </c>
      <c r="P65" s="86">
        <f>+I66</f>
        <v>634188642.64000082</v>
      </c>
      <c r="Q65" s="78">
        <f>+P65/I65*100</f>
        <v>85.586197736532327</v>
      </c>
    </row>
    <row r="66" spans="1:17" s="27" customFormat="1" ht="21.9" customHeight="1" x14ac:dyDescent="0.25">
      <c r="B66" s="40"/>
      <c r="C66" s="40"/>
      <c r="D66" s="40"/>
      <c r="E66" s="97" t="s">
        <v>49</v>
      </c>
      <c r="F66" s="22">
        <f>+F64+F65</f>
        <v>201911905.09000018</v>
      </c>
      <c r="G66" s="22">
        <f>+G64+G65</f>
        <v>608432179.91000056</v>
      </c>
      <c r="H66" s="22">
        <f>+H64+H65</f>
        <v>740994061.44000077</v>
      </c>
      <c r="I66" s="22">
        <f>+I64+I65</f>
        <v>634188642.64000082</v>
      </c>
      <c r="J66" s="22"/>
      <c r="K66" s="22"/>
      <c r="L66" s="22" t="e">
        <f>+L64+L65</f>
        <v>#REF!</v>
      </c>
      <c r="M66" s="22"/>
      <c r="N66" s="22">
        <v>200145465.04000044</v>
      </c>
      <c r="O66" s="22" t="e">
        <f>+O64+O65</f>
        <v>#REF!</v>
      </c>
      <c r="P66" s="98">
        <f>+P64+P65</f>
        <v>691744364.84000111</v>
      </c>
      <c r="Q66" s="99">
        <f>+Q64+Q65</f>
        <v>89.866269760849704</v>
      </c>
    </row>
    <row r="67" spans="1:17" s="27" customFormat="1" ht="21.9" customHeight="1" x14ac:dyDescent="0.25">
      <c r="B67" s="38"/>
      <c r="C67" s="38"/>
      <c r="D67" s="38"/>
      <c r="E67" s="41" t="s">
        <v>50</v>
      </c>
      <c r="F67" s="20">
        <v>58045277.850000001</v>
      </c>
      <c r="G67" s="20">
        <v>56325869.409999996</v>
      </c>
      <c r="H67" s="20">
        <v>85488666.950000003</v>
      </c>
      <c r="I67" s="20" t="e">
        <f>+#REF!</f>
        <v>#REF!</v>
      </c>
      <c r="J67" s="20"/>
      <c r="K67" s="20"/>
      <c r="L67" s="20" t="e">
        <f>+I67</f>
        <v>#REF!</v>
      </c>
      <c r="M67" s="20"/>
      <c r="N67" s="20" t="e">
        <f>+#REF!</f>
        <v>#REF!</v>
      </c>
      <c r="O67" s="20" t="e">
        <f>+#REF!</f>
        <v>#REF!</v>
      </c>
      <c r="P67" s="86">
        <f>76296849.02</f>
        <v>76296849.019999996</v>
      </c>
      <c r="Q67" s="38"/>
    </row>
    <row r="68" spans="1:17" s="27" customFormat="1" ht="21.9" customHeight="1" x14ac:dyDescent="0.25">
      <c r="B68" s="38"/>
      <c r="C68" s="38"/>
      <c r="D68" s="38"/>
      <c r="E68" s="41" t="s">
        <v>51</v>
      </c>
      <c r="F68" s="20">
        <v>493604929.52999997</v>
      </c>
      <c r="G68" s="20">
        <v>399847504.07000005</v>
      </c>
      <c r="H68" s="20">
        <v>523497531.72000003</v>
      </c>
      <c r="I68" s="20" t="e">
        <f>+#REF!</f>
        <v>#REF!</v>
      </c>
      <c r="J68" s="20"/>
      <c r="K68" s="20"/>
      <c r="L68" s="20" t="e">
        <f>+#REF!</f>
        <v>#REF!</v>
      </c>
      <c r="M68" s="20"/>
      <c r="N68" s="20" t="e">
        <f>+#REF!</f>
        <v>#REF!</v>
      </c>
      <c r="O68" s="20" t="e">
        <f>+#REF!</f>
        <v>#REF!</v>
      </c>
      <c r="P68" s="87">
        <f>501750088.48-P67</f>
        <v>425453239.46000004</v>
      </c>
      <c r="Q68" s="38"/>
    </row>
    <row r="69" spans="1:17" s="27" customFormat="1" ht="21.9" customHeight="1" x14ac:dyDescent="0.25">
      <c r="B69" s="38"/>
      <c r="C69" s="38"/>
      <c r="D69" s="38"/>
      <c r="E69" s="41" t="s">
        <v>82</v>
      </c>
      <c r="F69" s="20">
        <f>+F66-F67-F68</f>
        <v>-349738302.28999978</v>
      </c>
      <c r="G69" s="20">
        <f t="shared" ref="G69:O69" si="9">+G66-G67-G68</f>
        <v>152258806.43000054</v>
      </c>
      <c r="H69" s="20">
        <f t="shared" si="9"/>
        <v>132007862.7700007</v>
      </c>
      <c r="I69" s="20" t="e">
        <f t="shared" si="9"/>
        <v>#REF!</v>
      </c>
      <c r="J69" s="20"/>
      <c r="K69" s="20"/>
      <c r="L69" s="20" t="e">
        <f t="shared" si="9"/>
        <v>#REF!</v>
      </c>
      <c r="M69" s="20"/>
      <c r="N69" s="20">
        <v>-331154534.95999956</v>
      </c>
      <c r="O69" s="20" t="e">
        <f t="shared" si="9"/>
        <v>#REF!</v>
      </c>
      <c r="P69" s="77">
        <f>+P66-P67-P68</f>
        <v>189994276.36000109</v>
      </c>
      <c r="Q69" s="78">
        <f>+Q66-Q67-Q68</f>
        <v>89.866269760849704</v>
      </c>
    </row>
    <row r="70" spans="1:17" s="27" customFormat="1" ht="21.9" customHeight="1" x14ac:dyDescent="0.25">
      <c r="B70" s="29" t="s">
        <v>52</v>
      </c>
      <c r="C70" s="28"/>
      <c r="D70" s="28"/>
      <c r="E70" s="42"/>
      <c r="F70" s="23"/>
      <c r="G70" s="23"/>
      <c r="H70" s="23"/>
      <c r="I70" s="24"/>
      <c r="J70" s="24"/>
      <c r="K70" s="24"/>
      <c r="L70" s="24"/>
      <c r="M70" s="24"/>
      <c r="N70" s="24"/>
      <c r="O70" s="25"/>
      <c r="P70" s="38"/>
      <c r="Q70" s="38"/>
    </row>
    <row r="71" spans="1:17" s="27" customFormat="1" ht="21.9" customHeight="1" x14ac:dyDescent="0.25">
      <c r="B71" s="26"/>
      <c r="C71" s="26" t="s">
        <v>53</v>
      </c>
      <c r="D71" s="26"/>
      <c r="E71" s="38"/>
      <c r="F71" s="20">
        <v>0</v>
      </c>
      <c r="G71" s="20">
        <v>0</v>
      </c>
      <c r="H71" s="21"/>
      <c r="I71" s="46">
        <v>0</v>
      </c>
      <c r="J71" s="46"/>
      <c r="K71" s="46"/>
      <c r="L71" s="46">
        <v>0</v>
      </c>
      <c r="M71" s="46"/>
      <c r="N71" s="46">
        <v>0</v>
      </c>
      <c r="O71" s="46">
        <v>0</v>
      </c>
      <c r="P71" s="38"/>
      <c r="Q71" s="38"/>
    </row>
    <row r="72" spans="1:17" s="27" customFormat="1" ht="21.9" customHeight="1" x14ac:dyDescent="0.25">
      <c r="B72" s="26"/>
      <c r="C72" s="26" t="s">
        <v>54</v>
      </c>
      <c r="D72" s="26"/>
      <c r="E72" s="38"/>
      <c r="F72" s="20">
        <v>13450973.619999999</v>
      </c>
      <c r="G72" s="20">
        <v>14604822.869999999</v>
      </c>
      <c r="H72" s="20">
        <v>83264087.5</v>
      </c>
      <c r="I72" s="46">
        <v>63000000</v>
      </c>
      <c r="J72" s="46"/>
      <c r="K72" s="46"/>
      <c r="L72" s="46">
        <v>158000000</v>
      </c>
      <c r="M72" s="46"/>
      <c r="N72" s="46">
        <v>62000000</v>
      </c>
      <c r="O72" s="46">
        <v>62000000</v>
      </c>
      <c r="P72" s="86">
        <v>99409351.780000001</v>
      </c>
      <c r="Q72" s="38"/>
    </row>
    <row r="73" spans="1:17" s="27" customFormat="1" ht="21.9" customHeight="1" x14ac:dyDescent="0.25">
      <c r="B73" s="26"/>
      <c r="C73" s="26" t="s">
        <v>55</v>
      </c>
      <c r="D73" s="26"/>
      <c r="E73" s="26"/>
      <c r="F73" s="51"/>
      <c r="G73" s="51"/>
      <c r="H73" s="51"/>
      <c r="I73" s="56"/>
      <c r="J73" s="56"/>
      <c r="K73" s="56"/>
      <c r="L73" s="56"/>
      <c r="M73" s="56"/>
      <c r="N73" s="56"/>
      <c r="O73" s="56"/>
      <c r="P73" s="56"/>
      <c r="Q73" s="51"/>
    </row>
    <row r="74" spans="1:17" s="27" customFormat="1" ht="21.9" customHeight="1" x14ac:dyDescent="0.25">
      <c r="B74" s="26"/>
      <c r="C74" s="26"/>
      <c r="D74" s="26"/>
      <c r="E74" s="26" t="s">
        <v>56</v>
      </c>
      <c r="F74" s="20">
        <v>0</v>
      </c>
      <c r="G74" s="20">
        <v>0</v>
      </c>
      <c r="H74" s="20">
        <v>0</v>
      </c>
      <c r="I74" s="46">
        <v>0</v>
      </c>
      <c r="J74" s="46"/>
      <c r="K74" s="46"/>
      <c r="L74" s="46">
        <v>0</v>
      </c>
      <c r="M74" s="46"/>
      <c r="N74" s="46">
        <v>0</v>
      </c>
      <c r="O74" s="46">
        <v>0</v>
      </c>
      <c r="P74" s="38"/>
      <c r="Q74" s="38"/>
    </row>
    <row r="75" spans="1:17" s="27" customFormat="1" ht="21.9" customHeight="1" x14ac:dyDescent="0.25">
      <c r="B75" s="26"/>
      <c r="C75" s="26"/>
      <c r="D75" s="26"/>
      <c r="E75" s="26" t="s">
        <v>57</v>
      </c>
      <c r="F75" s="20">
        <v>95785349.439999998</v>
      </c>
      <c r="G75" s="20">
        <v>438711968.37</v>
      </c>
      <c r="H75" s="20">
        <v>613592120.99000001</v>
      </c>
      <c r="I75" s="46">
        <v>350000000</v>
      </c>
      <c r="J75" s="46"/>
      <c r="K75" s="46"/>
      <c r="L75" s="46">
        <v>673395471.58000004</v>
      </c>
      <c r="M75" s="46"/>
      <c r="N75" s="46">
        <v>300000000</v>
      </c>
      <c r="O75" s="46">
        <v>250000000</v>
      </c>
      <c r="P75" s="86">
        <v>487723348.81</v>
      </c>
      <c r="Q75" s="38"/>
    </row>
    <row r="76" spans="1:17" s="27" customFormat="1" ht="21.9" customHeight="1" x14ac:dyDescent="0.25">
      <c r="B76" s="26"/>
      <c r="C76" s="26"/>
      <c r="D76" s="26"/>
      <c r="E76" s="26" t="s">
        <v>58</v>
      </c>
      <c r="F76" s="20">
        <v>0</v>
      </c>
      <c r="G76" s="20">
        <v>0</v>
      </c>
      <c r="H76" s="20">
        <v>0</v>
      </c>
      <c r="I76" s="46">
        <v>0</v>
      </c>
      <c r="J76" s="46"/>
      <c r="K76" s="46"/>
      <c r="L76" s="46">
        <v>0</v>
      </c>
      <c r="M76" s="46"/>
      <c r="N76" s="46">
        <v>0</v>
      </c>
      <c r="O76" s="46">
        <v>0</v>
      </c>
      <c r="P76" s="38"/>
      <c r="Q76" s="38"/>
    </row>
    <row r="77" spans="1:17" s="27" customFormat="1" ht="21.9" customHeight="1" x14ac:dyDescent="0.25">
      <c r="B77" s="26"/>
      <c r="C77" s="26"/>
      <c r="D77" s="26"/>
      <c r="E77" s="43" t="s">
        <v>59</v>
      </c>
      <c r="F77" s="20">
        <f>SUM(F71:F72,F74,F75,F76)</f>
        <v>109236323.06</v>
      </c>
      <c r="G77" s="20">
        <f>SUM(G71:G72,G74,G75,G76)</f>
        <v>453316791.24000001</v>
      </c>
      <c r="H77" s="20">
        <f>SUM(H71:H72,H74,H75,H76)</f>
        <v>696856208.49000001</v>
      </c>
      <c r="I77" s="20">
        <f>SUM(I71:I72,I74,I75,I76)</f>
        <v>413000000</v>
      </c>
      <c r="J77" s="20"/>
      <c r="K77" s="20"/>
      <c r="L77" s="20">
        <f>SUM(L71:L72,L74,L75,L76)</f>
        <v>831395471.58000004</v>
      </c>
      <c r="M77" s="20"/>
      <c r="N77" s="20">
        <v>462000000</v>
      </c>
      <c r="O77" s="20">
        <f>SUM(O71:O72,O74,O75,O76)</f>
        <v>312000000</v>
      </c>
      <c r="P77" s="77">
        <f>+(I77+P24)-P63</f>
        <v>470555722.20000023</v>
      </c>
      <c r="Q77" s="38"/>
    </row>
    <row r="78" spans="1:17" ht="21.75" customHeight="1" x14ac:dyDescent="0.7">
      <c r="B78" s="1"/>
      <c r="C78" s="1"/>
      <c r="D78" s="1"/>
      <c r="E78" s="8"/>
      <c r="F78" s="9"/>
      <c r="G78" s="9"/>
      <c r="H78" s="9"/>
      <c r="I78" s="10"/>
      <c r="J78" s="10"/>
      <c r="K78" s="10"/>
      <c r="L78" s="10"/>
      <c r="M78" s="10"/>
      <c r="N78" s="10"/>
      <c r="O78" s="10"/>
    </row>
    <row r="79" spans="1:17" ht="21.75" hidden="1" customHeight="1" x14ac:dyDescent="0.7">
      <c r="B79" s="11" t="s">
        <v>60</v>
      </c>
      <c r="C79" s="1"/>
      <c r="D79" s="1"/>
      <c r="E79" s="8"/>
      <c r="F79" s="12"/>
      <c r="G79" s="12"/>
      <c r="H79" s="12"/>
      <c r="I79" s="18" t="s">
        <v>6</v>
      </c>
      <c r="J79" s="18"/>
      <c r="K79" s="18"/>
      <c r="L79" s="18"/>
      <c r="M79" s="18"/>
      <c r="N79" s="18" t="s">
        <v>7</v>
      </c>
      <c r="O79" s="18" t="s">
        <v>91</v>
      </c>
    </row>
    <row r="80" spans="1:17" ht="21.75" hidden="1" customHeight="1" x14ac:dyDescent="0.7">
      <c r="B80" s="1"/>
      <c r="C80" s="1"/>
      <c r="D80" s="1"/>
      <c r="E80" s="8" t="s">
        <v>61</v>
      </c>
      <c r="F80" s="12"/>
      <c r="G80" s="12"/>
      <c r="H80" s="12"/>
      <c r="I80" s="19">
        <f>+(I24-H24)/H24</f>
        <v>2.1743290884142039E-2</v>
      </c>
      <c r="J80" s="19"/>
      <c r="K80" s="19"/>
      <c r="L80" s="19"/>
      <c r="M80" s="19"/>
      <c r="N80" s="19">
        <f>+(N24-I24)/I24</f>
        <v>1.6576942610462164E-2</v>
      </c>
      <c r="O80" s="19">
        <f>+(O24-N24)/N24</f>
        <v>3.4957185108211268E-2</v>
      </c>
    </row>
    <row r="81" spans="2:15" ht="21.75" hidden="1" customHeight="1" x14ac:dyDescent="0.7">
      <c r="B81" s="1"/>
      <c r="C81" s="1"/>
      <c r="D81" s="1"/>
      <c r="E81" s="8" t="s">
        <v>62</v>
      </c>
      <c r="F81" s="12"/>
      <c r="G81" s="12"/>
      <c r="H81" s="12"/>
      <c r="I81" s="19">
        <f>+(I63-H63)/H63</f>
        <v>0.15673614894635429</v>
      </c>
      <c r="J81" s="19"/>
      <c r="K81" s="19"/>
      <c r="L81" s="19"/>
      <c r="M81" s="19"/>
      <c r="N81" s="19">
        <f>+(N63-I63)/I63</f>
        <v>-6.0256962269762411E-2</v>
      </c>
      <c r="O81" s="19" t="e">
        <f>+(O63-N63)/N63</f>
        <v>#REF!</v>
      </c>
    </row>
    <row r="82" spans="2:15" ht="21.75" hidden="1" customHeight="1" x14ac:dyDescent="0.7">
      <c r="B82" s="1"/>
      <c r="C82" s="1"/>
      <c r="D82" s="1"/>
      <c r="E82" s="8" t="s">
        <v>63</v>
      </c>
      <c r="F82" s="12"/>
      <c r="G82" s="12"/>
      <c r="H82" s="12"/>
      <c r="I82" s="19">
        <f>+(I52+I53+I54+I56+I57+I58)/I63</f>
        <v>0.11468773356301637</v>
      </c>
      <c r="J82" s="19"/>
      <c r="K82" s="19"/>
      <c r="L82" s="19"/>
      <c r="M82" s="19"/>
      <c r="N82" s="19">
        <f>+(N52+N53+N54+N56+N57+N58)/N63</f>
        <v>3.2832784226863004E-2</v>
      </c>
      <c r="O82" s="19" t="e">
        <f>+(O52+O53+O54+O56+O57+O58)/O63</f>
        <v>#REF!</v>
      </c>
    </row>
    <row r="83" spans="2:15" ht="21.75" hidden="1" customHeight="1" x14ac:dyDescent="0.7">
      <c r="B83" s="2" t="s">
        <v>72</v>
      </c>
      <c r="C83" s="1"/>
      <c r="D83" s="1"/>
      <c r="E83" s="8"/>
      <c r="F83" s="12"/>
      <c r="G83" s="12"/>
      <c r="H83" s="12"/>
      <c r="I83" s="15"/>
      <c r="J83" s="15"/>
      <c r="K83" s="15"/>
      <c r="L83" s="15"/>
      <c r="M83" s="15"/>
      <c r="N83" s="15"/>
      <c r="O83" s="15"/>
    </row>
    <row r="84" spans="2:15" ht="21.75" hidden="1" customHeight="1" x14ac:dyDescent="0.7">
      <c r="E84" s="71" t="s">
        <v>73</v>
      </c>
      <c r="F84" s="7"/>
      <c r="G84" s="7"/>
      <c r="H84" s="7"/>
      <c r="I84" s="7"/>
      <c r="J84" s="7"/>
      <c r="K84" s="7"/>
      <c r="L84" s="7"/>
      <c r="M84" s="7"/>
      <c r="N84" s="7"/>
    </row>
    <row r="85" spans="2:15" ht="21.75" hidden="1" customHeight="1" x14ac:dyDescent="0.7">
      <c r="B85" s="1"/>
      <c r="E85" s="71" t="s">
        <v>64</v>
      </c>
      <c r="F85" s="3"/>
      <c r="G85" s="3"/>
      <c r="H85" s="3"/>
      <c r="I85" s="3"/>
      <c r="J85" s="3"/>
      <c r="K85" s="3"/>
      <c r="L85" s="3"/>
      <c r="M85" s="3"/>
      <c r="N85" s="3"/>
    </row>
    <row r="86" spans="2:15" ht="21.75" hidden="1" customHeight="1" x14ac:dyDescent="0.7">
      <c r="E86" s="71" t="s">
        <v>65</v>
      </c>
      <c r="F86" s="3"/>
      <c r="G86" s="3"/>
      <c r="H86" s="3"/>
      <c r="I86" s="3"/>
      <c r="J86" s="3"/>
      <c r="K86" s="3"/>
      <c r="L86" s="3"/>
      <c r="M86" s="3"/>
      <c r="N86" s="3"/>
    </row>
    <row r="87" spans="2:15" ht="21.75" hidden="1" customHeight="1" x14ac:dyDescent="0.7">
      <c r="E87" s="71" t="s">
        <v>66</v>
      </c>
      <c r="F87" s="3"/>
      <c r="G87" s="3"/>
      <c r="H87" s="3"/>
      <c r="I87" s="3"/>
      <c r="J87" s="3"/>
      <c r="K87" s="3"/>
      <c r="L87" s="3"/>
      <c r="M87" s="3"/>
      <c r="N87" s="3"/>
    </row>
    <row r="88" spans="2:15" ht="21.75" hidden="1" customHeight="1" x14ac:dyDescent="0.7">
      <c r="E88" s="71" t="s">
        <v>67</v>
      </c>
      <c r="F88" s="3"/>
      <c r="G88" s="3"/>
      <c r="H88" s="3"/>
      <c r="I88" s="3"/>
      <c r="J88" s="3"/>
      <c r="K88" s="3"/>
      <c r="L88" s="3"/>
      <c r="M88" s="3"/>
      <c r="N88" s="3"/>
    </row>
    <row r="89" spans="2:15" ht="21.75" customHeight="1" x14ac:dyDescent="0.7">
      <c r="E89" s="71"/>
      <c r="F89" s="3"/>
      <c r="G89" s="3"/>
      <c r="H89" s="3"/>
      <c r="I89" s="3"/>
      <c r="J89" s="3"/>
      <c r="K89" s="3"/>
      <c r="L89" s="3"/>
      <c r="M89" s="3"/>
      <c r="N89" s="3"/>
    </row>
    <row r="90" spans="2:15" ht="21.75" customHeight="1" x14ac:dyDescent="0.7">
      <c r="E90" s="71"/>
      <c r="F90" s="3"/>
      <c r="G90" s="3"/>
      <c r="H90" s="3"/>
      <c r="I90" s="3"/>
      <c r="J90" s="3"/>
      <c r="K90" s="3"/>
      <c r="L90" s="3"/>
      <c r="M90" s="3"/>
      <c r="N90" s="3"/>
    </row>
    <row r="91" spans="2:15" ht="21.75" customHeight="1" x14ac:dyDescent="0.7">
      <c r="F91" s="3"/>
      <c r="G91" s="3"/>
      <c r="H91" s="3"/>
      <c r="I91" s="3"/>
      <c r="J91" s="3"/>
      <c r="K91" s="3"/>
      <c r="L91" s="3"/>
      <c r="M91" s="3"/>
      <c r="N91" s="3"/>
    </row>
    <row r="92" spans="2:15" ht="21.75" customHeight="1" x14ac:dyDescent="0.7">
      <c r="E92" s="1"/>
      <c r="F92" s="3"/>
      <c r="G92" s="3"/>
      <c r="H92" s="3"/>
      <c r="I92" s="3"/>
      <c r="J92" s="3"/>
      <c r="K92" s="3"/>
      <c r="L92" s="3"/>
      <c r="M92" s="3"/>
      <c r="N92" s="3"/>
    </row>
    <row r="93" spans="2:15" ht="21.75" customHeight="1" x14ac:dyDescent="0.7">
      <c r="B93" s="1"/>
      <c r="C93" s="1" t="s">
        <v>68</v>
      </c>
      <c r="D93" s="1"/>
      <c r="E93" s="1469" t="s">
        <v>120</v>
      </c>
      <c r="F93" s="1473"/>
      <c r="G93" s="1473"/>
      <c r="H93" s="1473"/>
      <c r="I93" s="1473"/>
      <c r="J93" s="1473"/>
      <c r="K93" s="1473"/>
      <c r="L93" s="1473"/>
      <c r="M93" s="1473"/>
      <c r="N93" s="1473"/>
      <c r="O93" s="1473"/>
    </row>
    <row r="94" spans="2:15" ht="21.75" customHeight="1" x14ac:dyDescent="0.7">
      <c r="B94" s="1"/>
      <c r="C94" s="1"/>
      <c r="D94" s="1"/>
      <c r="E94" s="45"/>
      <c r="F94" s="44"/>
      <c r="G94" s="44"/>
      <c r="H94" s="44"/>
      <c r="I94" s="44"/>
      <c r="J94" s="44"/>
      <c r="K94" s="44"/>
      <c r="L94" s="44"/>
      <c r="M94" s="44"/>
      <c r="N94" s="44"/>
      <c r="O94" s="44"/>
    </row>
    <row r="95" spans="2:15" ht="21.75" customHeight="1" x14ac:dyDescent="0.7">
      <c r="B95" s="1"/>
      <c r="C95" s="1"/>
      <c r="D95" s="1"/>
      <c r="E95" s="45"/>
      <c r="F95" s="44"/>
      <c r="G95" s="44"/>
      <c r="H95" s="44"/>
      <c r="I95" s="44"/>
      <c r="J95" s="44"/>
      <c r="K95" s="44"/>
      <c r="L95" s="44"/>
      <c r="M95" s="44"/>
      <c r="N95" s="44"/>
      <c r="O95" s="44"/>
    </row>
    <row r="96" spans="2:15" s="44" customFormat="1" ht="21.75" customHeight="1" x14ac:dyDescent="0.25">
      <c r="B96" s="45"/>
      <c r="C96" s="45"/>
      <c r="D96" s="45"/>
      <c r="E96" s="1469"/>
      <c r="F96" s="1473"/>
      <c r="G96" s="1473"/>
      <c r="H96" s="1473"/>
      <c r="I96" s="1473"/>
      <c r="J96" s="1473"/>
      <c r="K96" s="1473"/>
      <c r="L96" s="1473"/>
      <c r="M96" s="1473"/>
      <c r="N96" s="1473"/>
      <c r="O96" s="1473"/>
    </row>
    <row r="97" spans="2:15" s="44" customFormat="1" ht="21.75" customHeight="1" x14ac:dyDescent="0.25">
      <c r="B97" s="45"/>
      <c r="C97" s="45"/>
      <c r="D97" s="45"/>
      <c r="E97" s="45"/>
    </row>
    <row r="98" spans="2:15" s="44" customFormat="1" ht="21.75" customHeight="1" x14ac:dyDescent="0.25">
      <c r="E98" s="1469"/>
      <c r="F98" s="1469"/>
      <c r="G98" s="1469"/>
      <c r="H98" s="1469"/>
      <c r="I98" s="1469"/>
      <c r="J98" s="1469"/>
      <c r="K98" s="1469"/>
      <c r="L98" s="1469"/>
      <c r="M98" s="1469"/>
      <c r="N98" s="1469"/>
      <c r="O98" s="1469"/>
    </row>
    <row r="99" spans="2:15" s="44" customFormat="1" ht="21.75" customHeight="1" x14ac:dyDescent="0.25">
      <c r="E99" s="1469"/>
      <c r="F99" s="1469"/>
      <c r="G99" s="1469"/>
      <c r="H99" s="1469"/>
      <c r="I99" s="1469"/>
      <c r="J99" s="1469"/>
      <c r="K99" s="1469"/>
      <c r="L99" s="1469"/>
      <c r="M99" s="1469"/>
      <c r="N99" s="1469"/>
      <c r="O99" s="1469"/>
    </row>
    <row r="100" spans="2:15" ht="21.75" customHeight="1" x14ac:dyDescent="0.7"/>
    <row r="101" spans="2:15" ht="20.25" customHeight="1" x14ac:dyDescent="0.7">
      <c r="F101" s="7"/>
      <c r="G101" s="7"/>
      <c r="H101" s="7"/>
      <c r="I101" s="7"/>
      <c r="J101" s="7"/>
      <c r="K101" s="7"/>
      <c r="L101" s="7"/>
      <c r="M101" s="7"/>
      <c r="N101" s="7"/>
    </row>
    <row r="102" spans="2:15" ht="20.25" customHeight="1" x14ac:dyDescent="0.7">
      <c r="F102" s="7"/>
      <c r="G102" s="7"/>
      <c r="H102" s="7"/>
      <c r="I102" s="7"/>
      <c r="J102" s="7"/>
      <c r="K102" s="7"/>
      <c r="L102" s="7"/>
      <c r="M102" s="7"/>
      <c r="N102" s="7"/>
    </row>
    <row r="103" spans="2:15" ht="20.25" customHeight="1" x14ac:dyDescent="0.7">
      <c r="F103" s="7"/>
      <c r="G103" s="7"/>
      <c r="H103" s="7"/>
      <c r="I103" s="7"/>
      <c r="J103" s="7"/>
      <c r="K103" s="7"/>
      <c r="L103" s="7"/>
      <c r="M103" s="7"/>
      <c r="N103" s="7"/>
    </row>
    <row r="104" spans="2:15" ht="20.25" customHeight="1" x14ac:dyDescent="0.7">
      <c r="F104" s="7"/>
      <c r="G104" s="7"/>
      <c r="H104" s="7"/>
      <c r="I104" s="7"/>
      <c r="J104" s="7"/>
      <c r="K104" s="7"/>
      <c r="L104" s="7"/>
      <c r="M104" s="7"/>
      <c r="N104" s="7"/>
    </row>
    <row r="105" spans="2:15" ht="20.25" customHeight="1" x14ac:dyDescent="0.7">
      <c r="F105" s="7"/>
      <c r="G105" s="7"/>
      <c r="H105" s="7"/>
      <c r="I105" s="7"/>
      <c r="J105" s="7"/>
      <c r="K105" s="7"/>
      <c r="L105" s="7"/>
      <c r="M105" s="7"/>
      <c r="N105" s="7"/>
    </row>
    <row r="106" spans="2:15" ht="20.25" customHeight="1" x14ac:dyDescent="0.7">
      <c r="F106" s="7"/>
      <c r="G106" s="7"/>
      <c r="H106" s="7"/>
      <c r="I106" s="7"/>
      <c r="J106" s="7"/>
      <c r="K106" s="7"/>
      <c r="L106" s="7"/>
      <c r="M106" s="7"/>
      <c r="N106" s="7"/>
    </row>
    <row r="107" spans="2:15" ht="20.25" customHeight="1" x14ac:dyDescent="0.7">
      <c r="F107" s="7"/>
      <c r="G107" s="7"/>
      <c r="H107" s="7"/>
      <c r="I107" s="7"/>
      <c r="J107" s="7"/>
      <c r="K107" s="7"/>
      <c r="L107" s="7"/>
      <c r="M107" s="7"/>
      <c r="N107" s="7"/>
    </row>
    <row r="108" spans="2:15" ht="20.25" customHeight="1" x14ac:dyDescent="0.7">
      <c r="F108" s="7"/>
      <c r="G108" s="7"/>
      <c r="H108" s="7"/>
      <c r="I108" s="7"/>
      <c r="J108" s="7"/>
      <c r="K108" s="7"/>
      <c r="L108" s="7"/>
      <c r="M108" s="7"/>
      <c r="N108" s="7"/>
    </row>
    <row r="109" spans="2:15" ht="20.25" customHeight="1" x14ac:dyDescent="0.7">
      <c r="F109" s="7"/>
      <c r="G109" s="7"/>
      <c r="H109" s="7"/>
      <c r="I109" s="7"/>
      <c r="J109" s="7"/>
      <c r="K109" s="7"/>
      <c r="L109" s="7"/>
      <c r="M109" s="7"/>
      <c r="N109" s="7"/>
    </row>
    <row r="110" spans="2:15" ht="20.25" customHeight="1" x14ac:dyDescent="0.7">
      <c r="F110" s="7"/>
      <c r="G110" s="7"/>
      <c r="H110" s="7"/>
      <c r="I110" s="7"/>
      <c r="J110" s="7"/>
      <c r="K110" s="7"/>
      <c r="L110" s="7"/>
      <c r="M110" s="7"/>
      <c r="N110" s="7"/>
    </row>
    <row r="111" spans="2:15" ht="20.25" customHeight="1" x14ac:dyDescent="0.7">
      <c r="F111" s="7"/>
      <c r="G111" s="7"/>
      <c r="H111" s="7"/>
      <c r="I111" s="7"/>
      <c r="J111" s="7"/>
      <c r="K111" s="7"/>
      <c r="L111" s="7"/>
      <c r="M111" s="7"/>
      <c r="N111" s="7"/>
    </row>
    <row r="112" spans="2:15" ht="20.25" customHeight="1" x14ac:dyDescent="0.7">
      <c r="F112" s="7"/>
      <c r="G112" s="7"/>
      <c r="H112" s="7"/>
      <c r="I112" s="7"/>
      <c r="J112" s="7"/>
      <c r="K112" s="7"/>
      <c r="L112" s="7"/>
      <c r="M112" s="7"/>
      <c r="N112" s="7"/>
    </row>
    <row r="113" spans="6:14" ht="20.25" customHeight="1" x14ac:dyDescent="0.7">
      <c r="F113" s="7"/>
      <c r="G113" s="7"/>
      <c r="H113" s="7"/>
      <c r="I113" s="7"/>
      <c r="J113" s="7"/>
      <c r="K113" s="7"/>
      <c r="L113" s="7"/>
      <c r="M113" s="7"/>
      <c r="N113" s="7"/>
    </row>
    <row r="114" spans="6:14" ht="20.25" customHeight="1" x14ac:dyDescent="0.7">
      <c r="F114" s="7"/>
      <c r="G114" s="7"/>
      <c r="H114" s="7"/>
      <c r="I114" s="7"/>
      <c r="J114" s="7"/>
      <c r="K114" s="7"/>
      <c r="L114" s="7"/>
      <c r="M114" s="7"/>
      <c r="N114" s="7"/>
    </row>
    <row r="115" spans="6:14" ht="20.25" customHeight="1" x14ac:dyDescent="0.7">
      <c r="F115" s="7"/>
      <c r="G115" s="7"/>
      <c r="H115" s="7"/>
      <c r="I115" s="7"/>
      <c r="J115" s="7"/>
      <c r="K115" s="7"/>
      <c r="L115" s="7"/>
      <c r="M115" s="7"/>
      <c r="N115" s="7"/>
    </row>
    <row r="116" spans="6:14" ht="20.25" customHeight="1" x14ac:dyDescent="0.7">
      <c r="F116" s="7"/>
      <c r="G116" s="7"/>
      <c r="H116" s="7"/>
      <c r="I116" s="7"/>
      <c r="J116" s="7"/>
      <c r="K116" s="7"/>
      <c r="L116" s="7"/>
      <c r="M116" s="7"/>
      <c r="N116" s="7"/>
    </row>
    <row r="117" spans="6:14" ht="20.25" customHeight="1" x14ac:dyDescent="0.7">
      <c r="F117" s="7"/>
      <c r="G117" s="7"/>
      <c r="H117" s="7"/>
      <c r="I117" s="7"/>
      <c r="J117" s="7"/>
      <c r="K117" s="7"/>
      <c r="L117" s="7"/>
      <c r="M117" s="7"/>
      <c r="N117" s="7"/>
    </row>
    <row r="118" spans="6:14" ht="14.25" customHeight="1" x14ac:dyDescent="0.7">
      <c r="F118" s="7"/>
      <c r="G118" s="7"/>
      <c r="H118" s="7"/>
      <c r="I118" s="7"/>
      <c r="J118" s="7"/>
      <c r="K118" s="7"/>
      <c r="L118" s="7"/>
      <c r="M118" s="7"/>
      <c r="N118" s="7"/>
    </row>
    <row r="119" spans="6:14" ht="14.25" customHeight="1" x14ac:dyDescent="0.7">
      <c r="F119" s="7"/>
      <c r="G119" s="7"/>
      <c r="H119" s="7"/>
      <c r="I119" s="7"/>
      <c r="J119" s="7"/>
      <c r="K119" s="7"/>
      <c r="L119" s="7"/>
      <c r="M119" s="7"/>
      <c r="N119" s="7"/>
    </row>
    <row r="120" spans="6:14" ht="14.25" customHeight="1" x14ac:dyDescent="0.7">
      <c r="F120" s="7"/>
      <c r="G120" s="7"/>
      <c r="H120" s="7"/>
      <c r="I120" s="7"/>
      <c r="J120" s="7"/>
      <c r="K120" s="7"/>
      <c r="L120" s="7"/>
      <c r="M120" s="7"/>
      <c r="N120" s="7"/>
    </row>
    <row r="121" spans="6:14" ht="14.25" customHeight="1" x14ac:dyDescent="0.7">
      <c r="F121" s="7"/>
      <c r="G121" s="7"/>
      <c r="H121" s="7"/>
      <c r="I121" s="7"/>
      <c r="J121" s="7"/>
      <c r="K121" s="7"/>
      <c r="L121" s="7"/>
      <c r="M121" s="7"/>
      <c r="N121" s="7"/>
    </row>
    <row r="122" spans="6:14" ht="14.25" customHeight="1" x14ac:dyDescent="0.7">
      <c r="F122" s="7"/>
      <c r="G122" s="7"/>
      <c r="H122" s="7"/>
      <c r="I122" s="7"/>
      <c r="J122" s="7"/>
      <c r="K122" s="7"/>
      <c r="L122" s="7"/>
      <c r="M122" s="7"/>
      <c r="N122" s="7"/>
    </row>
    <row r="123" spans="6:14" ht="14.25" customHeight="1" x14ac:dyDescent="0.7">
      <c r="F123" s="7"/>
      <c r="G123" s="7"/>
      <c r="H123" s="7"/>
      <c r="I123" s="7"/>
      <c r="J123" s="7"/>
      <c r="K123" s="7"/>
      <c r="L123" s="7"/>
      <c r="M123" s="7"/>
      <c r="N123" s="7"/>
    </row>
    <row r="124" spans="6:14" ht="14.25" customHeight="1" x14ac:dyDescent="0.7">
      <c r="F124" s="7"/>
      <c r="G124" s="7"/>
      <c r="H124" s="7"/>
      <c r="I124" s="7"/>
      <c r="J124" s="7"/>
      <c r="K124" s="7"/>
      <c r="L124" s="7"/>
      <c r="M124" s="7"/>
      <c r="N124" s="7"/>
    </row>
    <row r="125" spans="6:14" ht="14.25" customHeight="1" x14ac:dyDescent="0.7">
      <c r="F125" s="7"/>
      <c r="G125" s="7"/>
      <c r="H125" s="7"/>
      <c r="I125" s="7"/>
      <c r="J125" s="7"/>
      <c r="K125" s="7"/>
      <c r="L125" s="7"/>
      <c r="M125" s="7"/>
      <c r="N125" s="7"/>
    </row>
    <row r="126" spans="6:14" ht="14.25" customHeight="1" x14ac:dyDescent="0.7">
      <c r="F126" s="7"/>
      <c r="G126" s="7"/>
      <c r="H126" s="7"/>
      <c r="I126" s="7"/>
      <c r="J126" s="7"/>
      <c r="K126" s="7"/>
      <c r="L126" s="7"/>
      <c r="M126" s="7"/>
      <c r="N126" s="7"/>
    </row>
    <row r="127" spans="6:14" ht="14.25" customHeight="1" x14ac:dyDescent="0.7">
      <c r="F127" s="7"/>
      <c r="G127" s="7"/>
      <c r="H127" s="7"/>
      <c r="I127" s="7"/>
      <c r="J127" s="7"/>
      <c r="K127" s="7"/>
      <c r="L127" s="7"/>
      <c r="M127" s="7"/>
      <c r="N127" s="7"/>
    </row>
    <row r="128" spans="6:14" ht="14.25" customHeight="1" x14ac:dyDescent="0.7">
      <c r="F128" s="7"/>
      <c r="G128" s="7"/>
      <c r="H128" s="7"/>
      <c r="I128" s="7"/>
      <c r="J128" s="7"/>
      <c r="K128" s="7"/>
      <c r="L128" s="7"/>
      <c r="M128" s="7"/>
      <c r="N128" s="7"/>
    </row>
    <row r="129" spans="6:14" ht="14.25" customHeight="1" x14ac:dyDescent="0.7">
      <c r="F129" s="7"/>
      <c r="G129" s="7"/>
      <c r="H129" s="7"/>
      <c r="I129" s="7"/>
      <c r="J129" s="7"/>
      <c r="K129" s="7"/>
      <c r="L129" s="7"/>
      <c r="M129" s="7"/>
      <c r="N129" s="7"/>
    </row>
    <row r="130" spans="6:14" ht="14.25" customHeight="1" x14ac:dyDescent="0.7">
      <c r="F130" s="7"/>
      <c r="G130" s="7"/>
      <c r="H130" s="7"/>
      <c r="I130" s="7"/>
      <c r="J130" s="7"/>
      <c r="K130" s="7"/>
      <c r="L130" s="7"/>
      <c r="M130" s="7"/>
      <c r="N130" s="7"/>
    </row>
    <row r="131" spans="6:14" ht="14.25" customHeight="1" x14ac:dyDescent="0.7">
      <c r="F131" s="7"/>
      <c r="G131" s="7"/>
      <c r="H131" s="7"/>
      <c r="I131" s="7"/>
      <c r="J131" s="7"/>
      <c r="K131" s="7"/>
      <c r="L131" s="7"/>
      <c r="M131" s="7"/>
      <c r="N131" s="7"/>
    </row>
    <row r="132" spans="6:14" ht="14.25" customHeight="1" x14ac:dyDescent="0.7">
      <c r="F132" s="7"/>
      <c r="G132" s="7"/>
      <c r="H132" s="7"/>
      <c r="I132" s="7"/>
      <c r="J132" s="7"/>
      <c r="K132" s="7"/>
      <c r="L132" s="7"/>
      <c r="M132" s="7"/>
      <c r="N132" s="7"/>
    </row>
    <row r="133" spans="6:14" ht="14.25" customHeight="1" x14ac:dyDescent="0.7">
      <c r="F133" s="7"/>
      <c r="G133" s="7"/>
      <c r="H133" s="7"/>
      <c r="I133" s="7"/>
      <c r="J133" s="7"/>
      <c r="K133" s="7"/>
      <c r="L133" s="7"/>
      <c r="M133" s="7"/>
      <c r="N133" s="7"/>
    </row>
    <row r="134" spans="6:14" ht="14.25" customHeight="1" x14ac:dyDescent="0.7">
      <c r="F134" s="7"/>
      <c r="G134" s="7"/>
      <c r="H134" s="7"/>
      <c r="I134" s="7"/>
      <c r="J134" s="7"/>
      <c r="K134" s="7"/>
      <c r="L134" s="7"/>
      <c r="M134" s="7"/>
      <c r="N134" s="7"/>
    </row>
    <row r="135" spans="6:14" ht="14.25" customHeight="1" x14ac:dyDescent="0.7">
      <c r="F135" s="7"/>
      <c r="G135" s="7"/>
      <c r="H135" s="7"/>
      <c r="I135" s="7"/>
      <c r="J135" s="7"/>
      <c r="K135" s="7"/>
      <c r="L135" s="7"/>
      <c r="M135" s="7"/>
      <c r="N135" s="7"/>
    </row>
    <row r="136" spans="6:14" ht="14.25" customHeight="1" x14ac:dyDescent="0.7">
      <c r="F136" s="7"/>
      <c r="G136" s="7"/>
      <c r="H136" s="7"/>
      <c r="I136" s="7"/>
      <c r="J136" s="7"/>
      <c r="K136" s="7"/>
      <c r="L136" s="7"/>
      <c r="M136" s="7"/>
      <c r="N136" s="7"/>
    </row>
    <row r="137" spans="6:14" ht="14.25" customHeight="1" x14ac:dyDescent="0.7">
      <c r="F137" s="7"/>
      <c r="G137" s="7"/>
      <c r="H137" s="7"/>
      <c r="I137" s="7"/>
      <c r="J137" s="7"/>
      <c r="K137" s="7"/>
      <c r="L137" s="7"/>
      <c r="M137" s="7"/>
      <c r="N137" s="7"/>
    </row>
    <row r="138" spans="6:14" ht="14.25" customHeight="1" x14ac:dyDescent="0.7">
      <c r="F138" s="7"/>
      <c r="G138" s="7"/>
      <c r="H138" s="7"/>
      <c r="I138" s="7"/>
      <c r="J138" s="7"/>
      <c r="K138" s="7"/>
      <c r="L138" s="7"/>
      <c r="M138" s="7"/>
      <c r="N138" s="7"/>
    </row>
    <row r="139" spans="6:14" ht="14.25" customHeight="1" x14ac:dyDescent="0.7">
      <c r="F139" s="7"/>
      <c r="G139" s="7"/>
      <c r="H139" s="7"/>
      <c r="I139" s="7"/>
      <c r="J139" s="7"/>
      <c r="K139" s="7"/>
      <c r="L139" s="7"/>
      <c r="M139" s="7"/>
      <c r="N139" s="7"/>
    </row>
    <row r="140" spans="6:14" ht="14.25" customHeight="1" x14ac:dyDescent="0.7">
      <c r="F140" s="7"/>
      <c r="G140" s="7"/>
      <c r="H140" s="7"/>
      <c r="I140" s="7"/>
      <c r="J140" s="7"/>
      <c r="K140" s="7"/>
      <c r="L140" s="7"/>
      <c r="M140" s="7"/>
      <c r="N140" s="7"/>
    </row>
    <row r="141" spans="6:14" ht="14.25" customHeight="1" x14ac:dyDescent="0.7">
      <c r="F141" s="7"/>
      <c r="G141" s="7"/>
      <c r="H141" s="7"/>
      <c r="I141" s="7"/>
      <c r="J141" s="7"/>
      <c r="K141" s="7"/>
      <c r="L141" s="7"/>
      <c r="M141" s="7"/>
      <c r="N141" s="7"/>
    </row>
    <row r="142" spans="6:14" ht="14.25" customHeight="1" x14ac:dyDescent="0.7">
      <c r="F142" s="7"/>
      <c r="G142" s="7"/>
      <c r="H142" s="7"/>
      <c r="I142" s="7"/>
      <c r="J142" s="7"/>
      <c r="K142" s="7"/>
      <c r="L142" s="7"/>
      <c r="M142" s="7"/>
      <c r="N142" s="7"/>
    </row>
    <row r="143" spans="6:14" ht="14.25" customHeight="1" x14ac:dyDescent="0.7">
      <c r="F143" s="7"/>
      <c r="G143" s="7"/>
      <c r="H143" s="7"/>
      <c r="I143" s="7"/>
      <c r="J143" s="7"/>
      <c r="K143" s="7"/>
      <c r="L143" s="7"/>
      <c r="M143" s="7"/>
      <c r="N143" s="7"/>
    </row>
    <row r="144" spans="6:14" ht="14.25" customHeight="1" x14ac:dyDescent="0.7">
      <c r="F144" s="7"/>
      <c r="G144" s="7"/>
      <c r="H144" s="7"/>
      <c r="I144" s="7"/>
      <c r="J144" s="7"/>
      <c r="K144" s="7"/>
      <c r="L144" s="7"/>
      <c r="M144" s="7"/>
      <c r="N144" s="7"/>
    </row>
    <row r="145" spans="6:14" ht="14.25" customHeight="1" x14ac:dyDescent="0.7">
      <c r="F145" s="7"/>
      <c r="G145" s="7"/>
      <c r="H145" s="7"/>
      <c r="I145" s="7"/>
      <c r="J145" s="7"/>
      <c r="K145" s="7"/>
      <c r="L145" s="7"/>
      <c r="M145" s="7"/>
      <c r="N145" s="7"/>
    </row>
    <row r="146" spans="6:14" ht="14.25" customHeight="1" x14ac:dyDescent="0.7">
      <c r="F146" s="7"/>
      <c r="G146" s="7"/>
      <c r="H146" s="7"/>
      <c r="I146" s="7"/>
      <c r="J146" s="7"/>
      <c r="K146" s="7"/>
      <c r="L146" s="7"/>
      <c r="M146" s="7"/>
      <c r="N146" s="7"/>
    </row>
    <row r="147" spans="6:14" ht="14.25" customHeight="1" x14ac:dyDescent="0.7">
      <c r="F147" s="7"/>
      <c r="G147" s="7"/>
      <c r="H147" s="7"/>
      <c r="I147" s="7"/>
      <c r="J147" s="7"/>
      <c r="K147" s="7"/>
      <c r="L147" s="7"/>
      <c r="M147" s="7"/>
      <c r="N147" s="7"/>
    </row>
    <row r="148" spans="6:14" ht="14.25" customHeight="1" x14ac:dyDescent="0.7">
      <c r="F148" s="7"/>
      <c r="G148" s="7"/>
      <c r="H148" s="7"/>
      <c r="I148" s="7"/>
      <c r="J148" s="7"/>
      <c r="K148" s="7"/>
      <c r="L148" s="7"/>
      <c r="M148" s="7"/>
      <c r="N148" s="7"/>
    </row>
    <row r="149" spans="6:14" ht="14.25" customHeight="1" x14ac:dyDescent="0.7">
      <c r="F149" s="7"/>
      <c r="G149" s="7"/>
      <c r="H149" s="7"/>
      <c r="I149" s="7"/>
      <c r="J149" s="7"/>
      <c r="K149" s="7"/>
      <c r="L149" s="7"/>
      <c r="M149" s="7"/>
      <c r="N149" s="7"/>
    </row>
    <row r="150" spans="6:14" ht="14.25" customHeight="1" x14ac:dyDescent="0.7">
      <c r="F150" s="7"/>
      <c r="G150" s="7"/>
      <c r="H150" s="7"/>
      <c r="I150" s="7"/>
      <c r="J150" s="7"/>
      <c r="K150" s="7"/>
      <c r="L150" s="7"/>
      <c r="M150" s="7"/>
      <c r="N150" s="7"/>
    </row>
    <row r="151" spans="6:14" ht="14.25" customHeight="1" x14ac:dyDescent="0.7">
      <c r="F151" s="7"/>
      <c r="G151" s="7"/>
      <c r="H151" s="7"/>
      <c r="I151" s="7"/>
      <c r="J151" s="7"/>
      <c r="K151" s="7"/>
      <c r="L151" s="7"/>
      <c r="M151" s="7"/>
      <c r="N151" s="7"/>
    </row>
    <row r="152" spans="6:14" ht="14.25" customHeight="1" x14ac:dyDescent="0.7">
      <c r="F152" s="7"/>
      <c r="G152" s="7"/>
      <c r="H152" s="7"/>
      <c r="I152" s="7"/>
      <c r="J152" s="7"/>
      <c r="K152" s="7"/>
      <c r="L152" s="7"/>
      <c r="M152" s="7"/>
      <c r="N152" s="7"/>
    </row>
    <row r="153" spans="6:14" ht="14.25" customHeight="1" x14ac:dyDescent="0.7">
      <c r="F153" s="7"/>
      <c r="G153" s="7"/>
      <c r="H153" s="7"/>
      <c r="I153" s="7"/>
      <c r="J153" s="7"/>
      <c r="K153" s="7"/>
      <c r="L153" s="7"/>
      <c r="M153" s="7"/>
      <c r="N153" s="7"/>
    </row>
    <row r="154" spans="6:14" ht="14.25" customHeight="1" x14ac:dyDescent="0.7">
      <c r="F154" s="7"/>
      <c r="G154" s="7"/>
      <c r="H154" s="7"/>
      <c r="I154" s="7"/>
      <c r="J154" s="7"/>
      <c r="K154" s="7"/>
      <c r="L154" s="7"/>
      <c r="M154" s="7"/>
      <c r="N154" s="7"/>
    </row>
    <row r="155" spans="6:14" ht="14.25" customHeight="1" x14ac:dyDescent="0.7">
      <c r="F155" s="7"/>
      <c r="G155" s="7"/>
      <c r="H155" s="7"/>
      <c r="I155" s="7"/>
      <c r="J155" s="7"/>
      <c r="K155" s="7"/>
      <c r="L155" s="7"/>
      <c r="M155" s="7"/>
      <c r="N155" s="7"/>
    </row>
    <row r="156" spans="6:14" ht="14.25" customHeight="1" x14ac:dyDescent="0.7">
      <c r="F156" s="7"/>
      <c r="G156" s="7"/>
      <c r="H156" s="7"/>
      <c r="I156" s="7"/>
      <c r="J156" s="7"/>
      <c r="K156" s="7"/>
      <c r="L156" s="7"/>
      <c r="M156" s="7"/>
      <c r="N156" s="7"/>
    </row>
    <row r="157" spans="6:14" ht="14.25" customHeight="1" x14ac:dyDescent="0.7">
      <c r="F157" s="7"/>
      <c r="G157" s="7"/>
      <c r="H157" s="7"/>
      <c r="I157" s="7"/>
      <c r="J157" s="7"/>
      <c r="K157" s="7"/>
      <c r="L157" s="7"/>
      <c r="M157" s="7"/>
      <c r="N157" s="7"/>
    </row>
    <row r="158" spans="6:14" ht="14.25" customHeight="1" x14ac:dyDescent="0.7">
      <c r="F158" s="7"/>
      <c r="G158" s="7"/>
      <c r="H158" s="7"/>
      <c r="I158" s="7"/>
      <c r="J158" s="7"/>
      <c r="K158" s="7"/>
      <c r="L158" s="7"/>
      <c r="M158" s="7"/>
      <c r="N158" s="7"/>
    </row>
    <row r="159" spans="6:14" ht="14.25" customHeight="1" x14ac:dyDescent="0.7">
      <c r="F159" s="7"/>
      <c r="G159" s="7"/>
      <c r="H159" s="7"/>
      <c r="I159" s="7"/>
      <c r="J159" s="7"/>
      <c r="K159" s="7"/>
      <c r="L159" s="7"/>
      <c r="M159" s="7"/>
      <c r="N159" s="7"/>
    </row>
    <row r="160" spans="6:14" ht="14.25" customHeight="1" x14ac:dyDescent="0.7">
      <c r="F160" s="7"/>
      <c r="G160" s="7"/>
      <c r="H160" s="7"/>
      <c r="I160" s="7"/>
      <c r="J160" s="7"/>
      <c r="K160" s="7"/>
      <c r="L160" s="7"/>
      <c r="M160" s="7"/>
      <c r="N160" s="7"/>
    </row>
    <row r="161" spans="6:14" ht="14.25" customHeight="1" x14ac:dyDescent="0.7">
      <c r="F161" s="7"/>
      <c r="G161" s="7"/>
      <c r="H161" s="7"/>
      <c r="I161" s="7"/>
      <c r="J161" s="7"/>
      <c r="K161" s="7"/>
      <c r="L161" s="7"/>
      <c r="M161" s="7"/>
      <c r="N161" s="7"/>
    </row>
    <row r="162" spans="6:14" ht="14.25" customHeight="1" x14ac:dyDescent="0.7">
      <c r="F162" s="7"/>
      <c r="G162" s="7"/>
      <c r="H162" s="7"/>
      <c r="I162" s="7"/>
      <c r="J162" s="7"/>
      <c r="K162" s="7"/>
      <c r="L162" s="7"/>
      <c r="M162" s="7"/>
      <c r="N162" s="7"/>
    </row>
    <row r="163" spans="6:14" ht="14.25" customHeight="1" x14ac:dyDescent="0.7">
      <c r="F163" s="7"/>
      <c r="G163" s="7"/>
      <c r="H163" s="7"/>
      <c r="I163" s="7"/>
      <c r="J163" s="7"/>
      <c r="K163" s="7"/>
      <c r="L163" s="7"/>
      <c r="M163" s="7"/>
      <c r="N163" s="7"/>
    </row>
    <row r="164" spans="6:14" ht="14.25" customHeight="1" x14ac:dyDescent="0.7">
      <c r="F164" s="7"/>
      <c r="G164" s="7"/>
      <c r="H164" s="7"/>
      <c r="I164" s="7"/>
      <c r="J164" s="7"/>
      <c r="K164" s="7"/>
      <c r="L164" s="7"/>
      <c r="M164" s="7"/>
      <c r="N164" s="7"/>
    </row>
    <row r="165" spans="6:14" ht="14.25" customHeight="1" x14ac:dyDescent="0.7">
      <c r="F165" s="7"/>
      <c r="G165" s="7"/>
      <c r="H165" s="7"/>
      <c r="I165" s="7"/>
      <c r="J165" s="7"/>
      <c r="K165" s="7"/>
      <c r="L165" s="7"/>
      <c r="M165" s="7"/>
      <c r="N165" s="7"/>
    </row>
    <row r="166" spans="6:14" ht="14.25" customHeight="1" x14ac:dyDescent="0.7">
      <c r="F166" s="7"/>
      <c r="G166" s="7"/>
      <c r="H166" s="7"/>
      <c r="I166" s="7"/>
      <c r="J166" s="7"/>
      <c r="K166" s="7"/>
      <c r="L166" s="7"/>
      <c r="M166" s="7"/>
      <c r="N166" s="7"/>
    </row>
    <row r="167" spans="6:14" ht="14.25" customHeight="1" x14ac:dyDescent="0.7">
      <c r="F167" s="7"/>
      <c r="G167" s="7"/>
      <c r="H167" s="7"/>
      <c r="I167" s="7"/>
      <c r="J167" s="7"/>
      <c r="K167" s="7"/>
      <c r="L167" s="7"/>
      <c r="M167" s="7"/>
      <c r="N167" s="7"/>
    </row>
    <row r="168" spans="6:14" ht="14.25" customHeight="1" x14ac:dyDescent="0.7">
      <c r="F168" s="7"/>
      <c r="G168" s="7"/>
      <c r="H168" s="7"/>
      <c r="I168" s="7"/>
      <c r="J168" s="7"/>
      <c r="K168" s="7"/>
      <c r="L168" s="7"/>
      <c r="M168" s="7"/>
      <c r="N168" s="7"/>
    </row>
    <row r="169" spans="6:14" ht="14.25" customHeight="1" x14ac:dyDescent="0.7">
      <c r="F169" s="7"/>
      <c r="G169" s="7"/>
      <c r="H169" s="7"/>
      <c r="I169" s="7"/>
      <c r="J169" s="7"/>
      <c r="K169" s="7"/>
      <c r="L169" s="7"/>
      <c r="M169" s="7"/>
      <c r="N169" s="7"/>
    </row>
    <row r="170" spans="6:14" ht="14.25" customHeight="1" x14ac:dyDescent="0.7">
      <c r="F170" s="7"/>
      <c r="G170" s="7"/>
      <c r="H170" s="7"/>
      <c r="I170" s="7"/>
      <c r="J170" s="7"/>
      <c r="K170" s="7"/>
      <c r="L170" s="7"/>
      <c r="M170" s="7"/>
      <c r="N170" s="7"/>
    </row>
    <row r="171" spans="6:14" ht="14.25" customHeight="1" x14ac:dyDescent="0.7">
      <c r="F171" s="7"/>
      <c r="G171" s="7"/>
      <c r="H171" s="7"/>
      <c r="I171" s="7"/>
      <c r="J171" s="7"/>
      <c r="K171" s="7"/>
      <c r="L171" s="7"/>
      <c r="M171" s="7"/>
      <c r="N171" s="7"/>
    </row>
    <row r="172" spans="6:14" ht="14.25" customHeight="1" x14ac:dyDescent="0.7">
      <c r="F172" s="7"/>
      <c r="G172" s="7"/>
      <c r="H172" s="7"/>
      <c r="I172" s="7"/>
      <c r="J172" s="7"/>
      <c r="K172" s="7"/>
      <c r="L172" s="7"/>
      <c r="M172" s="7"/>
      <c r="N172" s="7"/>
    </row>
    <row r="173" spans="6:14" ht="14.25" customHeight="1" x14ac:dyDescent="0.7">
      <c r="F173" s="7"/>
      <c r="G173" s="7"/>
      <c r="H173" s="7"/>
      <c r="I173" s="7"/>
      <c r="J173" s="7"/>
      <c r="K173" s="7"/>
      <c r="L173" s="7"/>
      <c r="M173" s="7"/>
      <c r="N173" s="7"/>
    </row>
    <row r="174" spans="6:14" ht="14.25" customHeight="1" x14ac:dyDescent="0.7">
      <c r="F174" s="7"/>
      <c r="G174" s="7"/>
      <c r="H174" s="7"/>
      <c r="I174" s="7"/>
      <c r="J174" s="7"/>
      <c r="K174" s="7"/>
      <c r="L174" s="7"/>
      <c r="M174" s="7"/>
      <c r="N174" s="7"/>
    </row>
    <row r="175" spans="6:14" ht="14.25" customHeight="1" x14ac:dyDescent="0.7">
      <c r="F175" s="7"/>
      <c r="G175" s="7"/>
      <c r="H175" s="7"/>
      <c r="I175" s="7"/>
      <c r="J175" s="7"/>
      <c r="K175" s="7"/>
      <c r="L175" s="7"/>
      <c r="M175" s="7"/>
      <c r="N175" s="7"/>
    </row>
    <row r="176" spans="6:14" ht="14.25" customHeight="1" x14ac:dyDescent="0.7">
      <c r="F176" s="7"/>
      <c r="G176" s="7"/>
      <c r="H176" s="7"/>
      <c r="I176" s="7"/>
      <c r="J176" s="7"/>
      <c r="K176" s="7"/>
      <c r="L176" s="7"/>
      <c r="M176" s="7"/>
      <c r="N176" s="7"/>
    </row>
    <row r="177" spans="6:14" ht="14.25" customHeight="1" x14ac:dyDescent="0.7">
      <c r="F177" s="7"/>
      <c r="G177" s="7"/>
      <c r="H177" s="7"/>
      <c r="I177" s="7"/>
      <c r="J177" s="7"/>
      <c r="K177" s="7"/>
      <c r="L177" s="7"/>
      <c r="M177" s="7"/>
      <c r="N177" s="7"/>
    </row>
    <row r="178" spans="6:14" ht="14.25" customHeight="1" x14ac:dyDescent="0.7">
      <c r="F178" s="7"/>
      <c r="G178" s="7"/>
      <c r="H178" s="7"/>
      <c r="I178" s="7"/>
      <c r="J178" s="7"/>
      <c r="K178" s="7"/>
      <c r="L178" s="7"/>
      <c r="M178" s="7"/>
      <c r="N178" s="7"/>
    </row>
    <row r="179" spans="6:14" ht="14.25" customHeight="1" x14ac:dyDescent="0.7">
      <c r="F179" s="7"/>
      <c r="G179" s="7"/>
      <c r="H179" s="7"/>
      <c r="I179" s="7"/>
      <c r="J179" s="7"/>
      <c r="K179" s="7"/>
      <c r="L179" s="7"/>
      <c r="M179" s="7"/>
      <c r="N179" s="7"/>
    </row>
    <row r="180" spans="6:14" ht="14.25" customHeight="1" x14ac:dyDescent="0.7">
      <c r="F180" s="7"/>
      <c r="G180" s="7"/>
      <c r="H180" s="7"/>
      <c r="I180" s="7"/>
      <c r="J180" s="7"/>
      <c r="K180" s="7"/>
      <c r="L180" s="7"/>
      <c r="M180" s="7"/>
      <c r="N180" s="7"/>
    </row>
    <row r="181" spans="6:14" ht="14.25" customHeight="1" x14ac:dyDescent="0.7">
      <c r="F181" s="7"/>
      <c r="G181" s="7"/>
      <c r="H181" s="7"/>
      <c r="I181" s="7"/>
      <c r="J181" s="7"/>
      <c r="K181" s="7"/>
      <c r="L181" s="7"/>
      <c r="M181" s="7"/>
      <c r="N181" s="7"/>
    </row>
    <row r="182" spans="6:14" ht="14.25" customHeight="1" x14ac:dyDescent="0.7">
      <c r="F182" s="7"/>
      <c r="G182" s="7"/>
      <c r="H182" s="7"/>
      <c r="I182" s="7"/>
      <c r="J182" s="7"/>
      <c r="K182" s="7"/>
      <c r="L182" s="7"/>
      <c r="M182" s="7"/>
      <c r="N182" s="7"/>
    </row>
    <row r="183" spans="6:14" ht="14.25" customHeight="1" x14ac:dyDescent="0.7">
      <c r="F183" s="7"/>
      <c r="G183" s="7"/>
      <c r="H183" s="7"/>
      <c r="I183" s="7"/>
      <c r="J183" s="7"/>
      <c r="K183" s="7"/>
      <c r="L183" s="7"/>
      <c r="M183" s="7"/>
      <c r="N183" s="7"/>
    </row>
    <row r="184" spans="6:14" ht="14.25" customHeight="1" x14ac:dyDescent="0.7">
      <c r="F184" s="7"/>
      <c r="G184" s="7"/>
      <c r="H184" s="7"/>
      <c r="I184" s="7"/>
      <c r="J184" s="7"/>
      <c r="K184" s="7"/>
      <c r="L184" s="7"/>
      <c r="M184" s="7"/>
      <c r="N184" s="7"/>
    </row>
    <row r="185" spans="6:14" ht="14.25" customHeight="1" x14ac:dyDescent="0.7">
      <c r="F185" s="7"/>
      <c r="G185" s="7"/>
      <c r="H185" s="7"/>
      <c r="I185" s="7"/>
      <c r="J185" s="7"/>
      <c r="K185" s="7"/>
      <c r="L185" s="7"/>
      <c r="M185" s="7"/>
      <c r="N185" s="7"/>
    </row>
    <row r="186" spans="6:14" ht="14.25" customHeight="1" x14ac:dyDescent="0.7">
      <c r="F186" s="7"/>
      <c r="G186" s="7"/>
      <c r="H186" s="7"/>
      <c r="I186" s="7"/>
      <c r="J186" s="7"/>
      <c r="K186" s="7"/>
      <c r="L186" s="7"/>
      <c r="M186" s="7"/>
      <c r="N186" s="7"/>
    </row>
    <row r="187" spans="6:14" ht="14.25" customHeight="1" x14ac:dyDescent="0.7">
      <c r="F187" s="7"/>
      <c r="G187" s="7"/>
      <c r="H187" s="7"/>
      <c r="I187" s="7"/>
      <c r="J187" s="7"/>
      <c r="K187" s="7"/>
      <c r="L187" s="7"/>
      <c r="M187" s="7"/>
      <c r="N187" s="7"/>
    </row>
    <row r="188" spans="6:14" ht="14.25" customHeight="1" x14ac:dyDescent="0.7">
      <c r="F188" s="7"/>
      <c r="G188" s="7"/>
      <c r="H188" s="7"/>
      <c r="I188" s="7"/>
      <c r="J188" s="7"/>
      <c r="K188" s="7"/>
      <c r="L188" s="7"/>
      <c r="M188" s="7"/>
      <c r="N188" s="7"/>
    </row>
    <row r="189" spans="6:14" ht="14.25" customHeight="1" x14ac:dyDescent="0.7">
      <c r="F189" s="7"/>
      <c r="G189" s="7"/>
      <c r="H189" s="7"/>
      <c r="I189" s="7"/>
      <c r="J189" s="7"/>
      <c r="K189" s="7"/>
      <c r="L189" s="7"/>
      <c r="M189" s="7"/>
      <c r="N189" s="7"/>
    </row>
    <row r="190" spans="6:14" ht="14.25" customHeight="1" x14ac:dyDescent="0.7">
      <c r="F190" s="7"/>
      <c r="G190" s="7"/>
      <c r="H190" s="7"/>
      <c r="I190" s="7"/>
      <c r="J190" s="7"/>
      <c r="K190" s="7"/>
      <c r="L190" s="7"/>
      <c r="M190" s="7"/>
      <c r="N190" s="7"/>
    </row>
    <row r="191" spans="6:14" ht="14.25" customHeight="1" x14ac:dyDescent="0.7">
      <c r="F191" s="7"/>
      <c r="G191" s="7"/>
      <c r="H191" s="7"/>
      <c r="I191" s="7"/>
      <c r="J191" s="7"/>
      <c r="K191" s="7"/>
      <c r="L191" s="7"/>
      <c r="M191" s="7"/>
      <c r="N191" s="7"/>
    </row>
    <row r="192" spans="6:14" ht="14.25" customHeight="1" x14ac:dyDescent="0.7">
      <c r="F192" s="7"/>
      <c r="G192" s="7"/>
      <c r="H192" s="7"/>
      <c r="I192" s="7"/>
      <c r="J192" s="7"/>
      <c r="K192" s="7"/>
      <c r="L192" s="7"/>
      <c r="M192" s="7"/>
      <c r="N192" s="7"/>
    </row>
    <row r="193" spans="6:14" ht="14.25" customHeight="1" x14ac:dyDescent="0.7">
      <c r="F193" s="7"/>
      <c r="G193" s="7"/>
      <c r="H193" s="7"/>
      <c r="I193" s="7"/>
      <c r="J193" s="7"/>
      <c r="K193" s="7"/>
      <c r="L193" s="7"/>
      <c r="M193" s="7"/>
      <c r="N193" s="7"/>
    </row>
    <row r="194" spans="6:14" ht="14.25" customHeight="1" x14ac:dyDescent="0.7">
      <c r="F194" s="7"/>
      <c r="G194" s="7"/>
      <c r="H194" s="7"/>
      <c r="I194" s="7"/>
      <c r="J194" s="7"/>
      <c r="K194" s="7"/>
      <c r="L194" s="7"/>
      <c r="M194" s="7"/>
      <c r="N194" s="7"/>
    </row>
    <row r="195" spans="6:14" ht="14.25" customHeight="1" x14ac:dyDescent="0.7">
      <c r="F195" s="7"/>
      <c r="G195" s="7"/>
      <c r="H195" s="7"/>
      <c r="I195" s="7"/>
      <c r="J195" s="7"/>
      <c r="K195" s="7"/>
      <c r="L195" s="7"/>
      <c r="M195" s="7"/>
      <c r="N195" s="7"/>
    </row>
    <row r="196" spans="6:14" ht="14.25" customHeight="1" x14ac:dyDescent="0.7">
      <c r="F196" s="7"/>
      <c r="G196" s="7"/>
      <c r="H196" s="7"/>
      <c r="I196" s="7"/>
      <c r="J196" s="7"/>
      <c r="K196" s="7"/>
      <c r="L196" s="7"/>
      <c r="M196" s="7"/>
      <c r="N196" s="7"/>
    </row>
    <row r="197" spans="6:14" ht="14.25" customHeight="1" x14ac:dyDescent="0.7">
      <c r="F197" s="7"/>
      <c r="G197" s="7"/>
      <c r="H197" s="7"/>
      <c r="I197" s="7"/>
      <c r="J197" s="7"/>
      <c r="K197" s="7"/>
      <c r="L197" s="7"/>
      <c r="M197" s="7"/>
      <c r="N197" s="7"/>
    </row>
    <row r="198" spans="6:14" ht="14.25" customHeight="1" x14ac:dyDescent="0.7">
      <c r="F198" s="7"/>
      <c r="G198" s="7"/>
      <c r="H198" s="7"/>
      <c r="I198" s="7"/>
      <c r="J198" s="7"/>
      <c r="K198" s="7"/>
      <c r="L198" s="7"/>
      <c r="M198" s="7"/>
      <c r="N198" s="7"/>
    </row>
    <row r="199" spans="6:14" ht="14.25" customHeight="1" x14ac:dyDescent="0.7">
      <c r="F199" s="7"/>
      <c r="G199" s="7"/>
      <c r="H199" s="7"/>
      <c r="I199" s="7"/>
      <c r="J199" s="7"/>
      <c r="K199" s="7"/>
      <c r="L199" s="7"/>
      <c r="M199" s="7"/>
      <c r="N199" s="7"/>
    </row>
    <row r="200" spans="6:14" ht="14.25" customHeight="1" x14ac:dyDescent="0.7">
      <c r="F200" s="7"/>
      <c r="G200" s="7"/>
      <c r="H200" s="7"/>
      <c r="I200" s="7"/>
      <c r="J200" s="7"/>
      <c r="K200" s="7"/>
      <c r="L200" s="7"/>
      <c r="M200" s="7"/>
      <c r="N200" s="7"/>
    </row>
    <row r="201" spans="6:14" ht="14.25" customHeight="1" x14ac:dyDescent="0.7">
      <c r="F201" s="7"/>
      <c r="G201" s="7"/>
      <c r="H201" s="7"/>
      <c r="I201" s="7"/>
      <c r="J201" s="7"/>
      <c r="K201" s="7"/>
      <c r="L201" s="7"/>
      <c r="M201" s="7"/>
      <c r="N201" s="7"/>
    </row>
    <row r="202" spans="6:14" ht="14.25" customHeight="1" x14ac:dyDescent="0.7">
      <c r="F202" s="7"/>
      <c r="G202" s="7"/>
      <c r="H202" s="7"/>
      <c r="I202" s="7"/>
      <c r="J202" s="7"/>
      <c r="K202" s="7"/>
      <c r="L202" s="7"/>
      <c r="M202" s="7"/>
      <c r="N202" s="7"/>
    </row>
    <row r="203" spans="6:14" ht="14.25" customHeight="1" x14ac:dyDescent="0.7">
      <c r="F203" s="7"/>
      <c r="G203" s="7"/>
      <c r="H203" s="7"/>
      <c r="I203" s="7"/>
      <c r="J203" s="7"/>
      <c r="K203" s="7"/>
      <c r="L203" s="7"/>
      <c r="M203" s="7"/>
      <c r="N203" s="7"/>
    </row>
    <row r="204" spans="6:14" ht="14.25" customHeight="1" x14ac:dyDescent="0.7">
      <c r="F204" s="7"/>
      <c r="G204" s="7"/>
      <c r="H204" s="7"/>
      <c r="I204" s="7"/>
      <c r="J204" s="7"/>
      <c r="K204" s="7"/>
      <c r="L204" s="7"/>
      <c r="M204" s="7"/>
      <c r="N204" s="7"/>
    </row>
    <row r="205" spans="6:14" ht="14.25" customHeight="1" x14ac:dyDescent="0.7">
      <c r="F205" s="7"/>
      <c r="G205" s="7"/>
      <c r="H205" s="7"/>
      <c r="I205" s="7"/>
      <c r="J205" s="7"/>
      <c r="K205" s="7"/>
      <c r="L205" s="7"/>
      <c r="M205" s="7"/>
      <c r="N205" s="7"/>
    </row>
    <row r="206" spans="6:14" ht="14.25" customHeight="1" x14ac:dyDescent="0.7">
      <c r="F206" s="7"/>
      <c r="G206" s="7"/>
      <c r="H206" s="7"/>
      <c r="I206" s="7"/>
      <c r="J206" s="7"/>
      <c r="K206" s="7"/>
      <c r="L206" s="7"/>
      <c r="M206" s="7"/>
      <c r="N206" s="7"/>
    </row>
    <row r="207" spans="6:14" ht="14.25" customHeight="1" x14ac:dyDescent="0.7">
      <c r="F207" s="7"/>
      <c r="G207" s="7"/>
      <c r="H207" s="7"/>
      <c r="I207" s="7"/>
      <c r="J207" s="7"/>
      <c r="K207" s="7"/>
      <c r="L207" s="7"/>
      <c r="M207" s="7"/>
      <c r="N207" s="7"/>
    </row>
    <row r="208" spans="6:14" ht="14.25" customHeight="1" x14ac:dyDescent="0.7">
      <c r="F208" s="7"/>
      <c r="G208" s="7"/>
      <c r="H208" s="7"/>
      <c r="I208" s="7"/>
      <c r="J208" s="7"/>
      <c r="K208" s="7"/>
      <c r="L208" s="7"/>
      <c r="M208" s="7"/>
      <c r="N208" s="7"/>
    </row>
    <row r="209" spans="6:14" ht="14.25" customHeight="1" x14ac:dyDescent="0.7">
      <c r="F209" s="7"/>
      <c r="G209" s="7"/>
      <c r="H209" s="7"/>
      <c r="I209" s="7"/>
      <c r="J209" s="7"/>
      <c r="K209" s="7"/>
      <c r="L209" s="7"/>
      <c r="M209" s="7"/>
      <c r="N209" s="7"/>
    </row>
    <row r="210" spans="6:14" ht="14.25" customHeight="1" x14ac:dyDescent="0.7">
      <c r="F210" s="7"/>
      <c r="G210" s="7"/>
      <c r="H210" s="7"/>
      <c r="I210" s="7"/>
      <c r="J210" s="7"/>
      <c r="K210" s="7"/>
      <c r="L210" s="7"/>
      <c r="M210" s="7"/>
      <c r="N210" s="7"/>
    </row>
    <row r="211" spans="6:14" ht="14.25" customHeight="1" x14ac:dyDescent="0.7">
      <c r="F211" s="7"/>
      <c r="G211" s="7"/>
      <c r="H211" s="7"/>
      <c r="I211" s="7"/>
      <c r="J211" s="7"/>
      <c r="K211" s="7"/>
      <c r="L211" s="7"/>
      <c r="M211" s="7"/>
      <c r="N211" s="7"/>
    </row>
    <row r="212" spans="6:14" ht="14.25" customHeight="1" x14ac:dyDescent="0.7">
      <c r="F212" s="7"/>
      <c r="G212" s="7"/>
      <c r="H212" s="7"/>
      <c r="I212" s="7"/>
      <c r="J212" s="7"/>
      <c r="K212" s="7"/>
      <c r="L212" s="7"/>
      <c r="M212" s="7"/>
      <c r="N212" s="7"/>
    </row>
    <row r="213" spans="6:14" ht="14.25" customHeight="1" x14ac:dyDescent="0.7">
      <c r="F213" s="7"/>
      <c r="G213" s="7"/>
      <c r="H213" s="7"/>
      <c r="I213" s="7"/>
      <c r="J213" s="7"/>
      <c r="K213" s="7"/>
      <c r="L213" s="7"/>
      <c r="M213" s="7"/>
      <c r="N213" s="7"/>
    </row>
    <row r="214" spans="6:14" ht="14.25" customHeight="1" x14ac:dyDescent="0.7">
      <c r="F214" s="7"/>
      <c r="G214" s="7"/>
      <c r="H214" s="7"/>
      <c r="I214" s="7"/>
      <c r="J214" s="7"/>
      <c r="K214" s="7"/>
      <c r="L214" s="7"/>
      <c r="M214" s="7"/>
      <c r="N214" s="7"/>
    </row>
    <row r="215" spans="6:14" ht="14.25" customHeight="1" x14ac:dyDescent="0.7">
      <c r="F215" s="7"/>
      <c r="G215" s="7"/>
      <c r="H215" s="7"/>
      <c r="I215" s="7"/>
      <c r="J215" s="7"/>
      <c r="K215" s="7"/>
      <c r="L215" s="7"/>
      <c r="M215" s="7"/>
      <c r="N215" s="7"/>
    </row>
    <row r="216" spans="6:14" ht="14.25" customHeight="1" x14ac:dyDescent="0.7">
      <c r="F216" s="7"/>
      <c r="G216" s="7"/>
      <c r="H216" s="7"/>
      <c r="I216" s="7"/>
      <c r="J216" s="7"/>
      <c r="K216" s="7"/>
      <c r="L216" s="7"/>
      <c r="M216" s="7"/>
      <c r="N216" s="7"/>
    </row>
    <row r="217" spans="6:14" ht="14.25" customHeight="1" x14ac:dyDescent="0.7">
      <c r="F217" s="7"/>
      <c r="G217" s="7"/>
      <c r="H217" s="7"/>
      <c r="I217" s="7"/>
      <c r="J217" s="7"/>
      <c r="K217" s="7"/>
      <c r="L217" s="7"/>
      <c r="M217" s="7"/>
      <c r="N217" s="7"/>
    </row>
    <row r="218" spans="6:14" ht="14.25" customHeight="1" x14ac:dyDescent="0.7">
      <c r="F218" s="7"/>
      <c r="G218" s="7"/>
      <c r="H218" s="7"/>
      <c r="I218" s="7"/>
      <c r="J218" s="7"/>
      <c r="K218" s="7"/>
      <c r="L218" s="7"/>
      <c r="M218" s="7"/>
      <c r="N218" s="7"/>
    </row>
    <row r="219" spans="6:14" ht="14.25" customHeight="1" x14ac:dyDescent="0.7">
      <c r="F219" s="7"/>
      <c r="G219" s="7"/>
      <c r="H219" s="7"/>
      <c r="I219" s="7"/>
      <c r="J219" s="7"/>
      <c r="K219" s="7"/>
      <c r="L219" s="7"/>
      <c r="M219" s="7"/>
      <c r="N219" s="7"/>
    </row>
    <row r="220" spans="6:14" ht="14.25" customHeight="1" x14ac:dyDescent="0.7">
      <c r="F220" s="7"/>
      <c r="G220" s="7"/>
      <c r="H220" s="7"/>
      <c r="I220" s="7"/>
      <c r="J220" s="7"/>
      <c r="K220" s="7"/>
      <c r="L220" s="7"/>
      <c r="M220" s="7"/>
      <c r="N220" s="7"/>
    </row>
    <row r="221" spans="6:14" ht="14.25" customHeight="1" x14ac:dyDescent="0.7">
      <c r="F221" s="7"/>
      <c r="G221" s="7"/>
      <c r="H221" s="7"/>
      <c r="I221" s="7"/>
      <c r="J221" s="7"/>
      <c r="K221" s="7"/>
      <c r="L221" s="7"/>
      <c r="M221" s="7"/>
      <c r="N221" s="7"/>
    </row>
    <row r="222" spans="6:14" ht="14.25" customHeight="1" x14ac:dyDescent="0.7">
      <c r="F222" s="7"/>
      <c r="G222" s="7"/>
      <c r="H222" s="7"/>
      <c r="I222" s="7"/>
      <c r="J222" s="7"/>
      <c r="K222" s="7"/>
      <c r="L222" s="7"/>
      <c r="M222" s="7"/>
      <c r="N222" s="7"/>
    </row>
    <row r="223" spans="6:14" ht="14.25" customHeight="1" x14ac:dyDescent="0.7">
      <c r="F223" s="7"/>
      <c r="G223" s="7"/>
      <c r="H223" s="7"/>
      <c r="I223" s="7"/>
      <c r="J223" s="7"/>
      <c r="K223" s="7"/>
      <c r="L223" s="7"/>
      <c r="M223" s="7"/>
      <c r="N223" s="7"/>
    </row>
    <row r="224" spans="6:14" ht="14.25" customHeight="1" x14ac:dyDescent="0.7">
      <c r="F224" s="7"/>
      <c r="G224" s="7"/>
      <c r="H224" s="7"/>
      <c r="I224" s="7"/>
      <c r="J224" s="7"/>
      <c r="K224" s="7"/>
      <c r="L224" s="7"/>
      <c r="M224" s="7"/>
      <c r="N224" s="7"/>
    </row>
    <row r="225" spans="6:14" ht="14.25" customHeight="1" x14ac:dyDescent="0.7">
      <c r="F225" s="7"/>
      <c r="G225" s="7"/>
      <c r="H225" s="7"/>
      <c r="I225" s="7"/>
      <c r="J225" s="7"/>
      <c r="K225" s="7"/>
      <c r="L225" s="7"/>
      <c r="M225" s="7"/>
      <c r="N225" s="7"/>
    </row>
    <row r="226" spans="6:14" ht="14.25" customHeight="1" x14ac:dyDescent="0.7">
      <c r="F226" s="7"/>
      <c r="G226" s="7"/>
      <c r="H226" s="7"/>
      <c r="I226" s="7"/>
      <c r="J226" s="7"/>
      <c r="K226" s="7"/>
      <c r="L226" s="7"/>
      <c r="M226" s="7"/>
      <c r="N226" s="7"/>
    </row>
    <row r="227" spans="6:14" ht="14.25" customHeight="1" x14ac:dyDescent="0.7">
      <c r="F227" s="7"/>
      <c r="G227" s="7"/>
      <c r="H227" s="7"/>
      <c r="I227" s="7"/>
      <c r="J227" s="7"/>
      <c r="K227" s="7"/>
      <c r="L227" s="7"/>
      <c r="M227" s="7"/>
      <c r="N227" s="7"/>
    </row>
    <row r="228" spans="6:14" ht="14.25" customHeight="1" x14ac:dyDescent="0.7">
      <c r="F228" s="7"/>
      <c r="G228" s="7"/>
      <c r="H228" s="7"/>
      <c r="I228" s="7"/>
      <c r="J228" s="7"/>
      <c r="K228" s="7"/>
      <c r="L228" s="7"/>
      <c r="M228" s="7"/>
      <c r="N228" s="7"/>
    </row>
    <row r="229" spans="6:14" ht="14.25" customHeight="1" x14ac:dyDescent="0.7">
      <c r="F229" s="7"/>
      <c r="G229" s="7"/>
      <c r="H229" s="7"/>
      <c r="I229" s="7"/>
      <c r="J229" s="7"/>
      <c r="K229" s="7"/>
      <c r="L229" s="7"/>
      <c r="M229" s="7"/>
      <c r="N229" s="7"/>
    </row>
    <row r="230" spans="6:14" ht="14.25" customHeight="1" x14ac:dyDescent="0.7">
      <c r="F230" s="7"/>
      <c r="G230" s="7"/>
      <c r="H230" s="7"/>
      <c r="I230" s="7"/>
      <c r="J230" s="7"/>
      <c r="K230" s="7"/>
      <c r="L230" s="7"/>
      <c r="M230" s="7"/>
      <c r="N230" s="7"/>
    </row>
    <row r="231" spans="6:14" ht="14.25" customHeight="1" x14ac:dyDescent="0.7">
      <c r="F231" s="7"/>
      <c r="G231" s="7"/>
      <c r="H231" s="7"/>
      <c r="I231" s="7"/>
      <c r="J231" s="7"/>
      <c r="K231" s="7"/>
      <c r="L231" s="7"/>
      <c r="M231" s="7"/>
      <c r="N231" s="7"/>
    </row>
    <row r="232" spans="6:14" ht="14.25" customHeight="1" x14ac:dyDescent="0.7">
      <c r="F232" s="7"/>
      <c r="G232" s="7"/>
      <c r="H232" s="7"/>
      <c r="I232" s="7"/>
      <c r="J232" s="7"/>
      <c r="K232" s="7"/>
      <c r="L232" s="7"/>
      <c r="M232" s="7"/>
      <c r="N232" s="7"/>
    </row>
    <row r="233" spans="6:14" ht="14.25" customHeight="1" x14ac:dyDescent="0.7">
      <c r="F233" s="7"/>
      <c r="G233" s="7"/>
      <c r="H233" s="7"/>
      <c r="I233" s="7"/>
      <c r="J233" s="7"/>
      <c r="K233" s="7"/>
      <c r="L233" s="7"/>
      <c r="M233" s="7"/>
      <c r="N233" s="7"/>
    </row>
    <row r="234" spans="6:14" ht="14.25" customHeight="1" x14ac:dyDescent="0.7">
      <c r="F234" s="7"/>
      <c r="G234" s="7"/>
      <c r="H234" s="7"/>
      <c r="I234" s="7"/>
      <c r="J234" s="7"/>
      <c r="K234" s="7"/>
      <c r="L234" s="7"/>
      <c r="M234" s="7"/>
      <c r="N234" s="7"/>
    </row>
    <row r="235" spans="6:14" ht="14.25" customHeight="1" x14ac:dyDescent="0.7">
      <c r="F235" s="7"/>
      <c r="G235" s="7"/>
      <c r="H235" s="7"/>
      <c r="I235" s="7"/>
      <c r="J235" s="7"/>
      <c r="K235" s="7"/>
      <c r="L235" s="7"/>
      <c r="M235" s="7"/>
      <c r="N235" s="7"/>
    </row>
    <row r="236" spans="6:14" ht="14.25" customHeight="1" x14ac:dyDescent="0.7">
      <c r="F236" s="7"/>
      <c r="G236" s="7"/>
      <c r="H236" s="7"/>
      <c r="I236" s="7"/>
      <c r="J236" s="7"/>
      <c r="K236" s="7"/>
      <c r="L236" s="7"/>
      <c r="M236" s="7"/>
      <c r="N236" s="7"/>
    </row>
    <row r="237" spans="6:14" ht="14.25" customHeight="1" x14ac:dyDescent="0.7">
      <c r="F237" s="7"/>
      <c r="G237" s="7"/>
      <c r="H237" s="7"/>
      <c r="I237" s="7"/>
      <c r="J237" s="7"/>
      <c r="K237" s="7"/>
      <c r="L237" s="7"/>
      <c r="M237" s="7"/>
      <c r="N237" s="7"/>
    </row>
    <row r="238" spans="6:14" ht="14.25" customHeight="1" x14ac:dyDescent="0.7">
      <c r="F238" s="7"/>
      <c r="G238" s="7"/>
      <c r="H238" s="7"/>
      <c r="I238" s="7"/>
      <c r="J238" s="7"/>
      <c r="K238" s="7"/>
      <c r="L238" s="7"/>
      <c r="M238" s="7"/>
      <c r="N238" s="7"/>
    </row>
    <row r="239" spans="6:14" ht="14.25" customHeight="1" x14ac:dyDescent="0.7">
      <c r="F239" s="7"/>
      <c r="G239" s="7"/>
      <c r="H239" s="7"/>
      <c r="I239" s="7"/>
      <c r="J239" s="7"/>
      <c r="K239" s="7"/>
      <c r="L239" s="7"/>
      <c r="M239" s="7"/>
      <c r="N239" s="7"/>
    </row>
    <row r="240" spans="6:14" ht="14.25" customHeight="1" x14ac:dyDescent="0.7">
      <c r="F240" s="7"/>
      <c r="G240" s="7"/>
      <c r="H240" s="7"/>
      <c r="I240" s="7"/>
      <c r="J240" s="7"/>
      <c r="K240" s="7"/>
      <c r="L240" s="7"/>
      <c r="M240" s="7"/>
      <c r="N240" s="7"/>
    </row>
    <row r="241" spans="6:14" ht="14.25" customHeight="1" x14ac:dyDescent="0.7">
      <c r="F241" s="7"/>
      <c r="G241" s="7"/>
      <c r="H241" s="7"/>
      <c r="I241" s="7"/>
      <c r="J241" s="7"/>
      <c r="K241" s="7"/>
      <c r="L241" s="7"/>
      <c r="M241" s="7"/>
      <c r="N241" s="7"/>
    </row>
    <row r="242" spans="6:14" ht="14.25" customHeight="1" x14ac:dyDescent="0.7">
      <c r="F242" s="7"/>
      <c r="G242" s="7"/>
      <c r="H242" s="7"/>
      <c r="I242" s="7"/>
      <c r="J242" s="7"/>
      <c r="K242" s="7"/>
      <c r="L242" s="7"/>
      <c r="M242" s="7"/>
      <c r="N242" s="7"/>
    </row>
    <row r="243" spans="6:14" ht="14.25" customHeight="1" x14ac:dyDescent="0.7">
      <c r="F243" s="7"/>
      <c r="G243" s="7"/>
      <c r="H243" s="7"/>
      <c r="I243" s="7"/>
      <c r="J243" s="7"/>
      <c r="K243" s="7"/>
      <c r="L243" s="7"/>
      <c r="M243" s="7"/>
      <c r="N243" s="7"/>
    </row>
    <row r="244" spans="6:14" ht="14.25" customHeight="1" x14ac:dyDescent="0.7">
      <c r="F244" s="7"/>
      <c r="G244" s="7"/>
      <c r="H244" s="7"/>
      <c r="I244" s="7"/>
      <c r="J244" s="7"/>
      <c r="K244" s="7"/>
      <c r="L244" s="7"/>
      <c r="M244" s="7"/>
      <c r="N244" s="7"/>
    </row>
    <row r="245" spans="6:14" ht="14.25" customHeight="1" x14ac:dyDescent="0.7">
      <c r="F245" s="7"/>
      <c r="G245" s="7"/>
      <c r="H245" s="7"/>
      <c r="I245" s="7"/>
      <c r="J245" s="7"/>
      <c r="K245" s="7"/>
      <c r="L245" s="7"/>
      <c r="M245" s="7"/>
      <c r="N245" s="7"/>
    </row>
    <row r="246" spans="6:14" ht="14.25" customHeight="1" x14ac:dyDescent="0.7">
      <c r="F246" s="7"/>
      <c r="G246" s="7"/>
      <c r="H246" s="7"/>
      <c r="I246" s="7"/>
      <c r="J246" s="7"/>
      <c r="K246" s="7"/>
      <c r="L246" s="7"/>
      <c r="M246" s="7"/>
      <c r="N246" s="7"/>
    </row>
    <row r="247" spans="6:14" ht="14.25" customHeight="1" x14ac:dyDescent="0.7">
      <c r="F247" s="7"/>
      <c r="G247" s="7"/>
      <c r="H247" s="7"/>
      <c r="I247" s="7"/>
      <c r="J247" s="7"/>
      <c r="K247" s="7"/>
      <c r="L247" s="7"/>
      <c r="M247" s="7"/>
      <c r="N247" s="7"/>
    </row>
    <row r="248" spans="6:14" ht="14.25" customHeight="1" x14ac:dyDescent="0.7">
      <c r="F248" s="7"/>
      <c r="G248" s="7"/>
      <c r="H248" s="7"/>
      <c r="I248" s="7"/>
      <c r="J248" s="7"/>
      <c r="K248" s="7"/>
      <c r="L248" s="7"/>
      <c r="M248" s="7"/>
      <c r="N248" s="7"/>
    </row>
    <row r="249" spans="6:14" ht="14.25" customHeight="1" x14ac:dyDescent="0.7">
      <c r="F249" s="7"/>
      <c r="G249" s="7"/>
      <c r="H249" s="7"/>
      <c r="I249" s="7"/>
      <c r="J249" s="7"/>
      <c r="K249" s="7"/>
      <c r="L249" s="7"/>
      <c r="M249" s="7"/>
      <c r="N249" s="7"/>
    </row>
    <row r="250" spans="6:14" ht="14.25" customHeight="1" x14ac:dyDescent="0.7">
      <c r="F250" s="7"/>
      <c r="G250" s="7"/>
      <c r="H250" s="7"/>
      <c r="I250" s="7"/>
      <c r="J250" s="7"/>
      <c r="K250" s="7"/>
      <c r="L250" s="7"/>
      <c r="M250" s="7"/>
      <c r="N250" s="7"/>
    </row>
    <row r="251" spans="6:14" ht="14.25" customHeight="1" x14ac:dyDescent="0.7">
      <c r="F251" s="7"/>
      <c r="G251" s="7"/>
      <c r="H251" s="7"/>
      <c r="I251" s="7"/>
      <c r="J251" s="7"/>
      <c r="K251" s="7"/>
      <c r="L251" s="7"/>
      <c r="M251" s="7"/>
      <c r="N251" s="7"/>
    </row>
    <row r="252" spans="6:14" ht="14.25" customHeight="1" x14ac:dyDescent="0.7">
      <c r="F252" s="7"/>
      <c r="G252" s="7"/>
      <c r="H252" s="7"/>
      <c r="I252" s="7"/>
      <c r="J252" s="7"/>
      <c r="K252" s="7"/>
      <c r="L252" s="7"/>
      <c r="M252" s="7"/>
      <c r="N252" s="7"/>
    </row>
    <row r="253" spans="6:14" ht="14.25" customHeight="1" x14ac:dyDescent="0.7">
      <c r="F253" s="7"/>
      <c r="G253" s="7"/>
      <c r="H253" s="7"/>
      <c r="I253" s="7"/>
      <c r="J253" s="7"/>
      <c r="K253" s="7"/>
      <c r="L253" s="7"/>
      <c r="M253" s="7"/>
      <c r="N253" s="7"/>
    </row>
    <row r="254" spans="6:14" ht="14.25" customHeight="1" x14ac:dyDescent="0.7">
      <c r="F254" s="7"/>
      <c r="G254" s="7"/>
      <c r="H254" s="7"/>
      <c r="I254" s="7"/>
      <c r="J254" s="7"/>
      <c r="K254" s="7"/>
      <c r="L254" s="7"/>
      <c r="M254" s="7"/>
      <c r="N254" s="7"/>
    </row>
    <row r="255" spans="6:14" ht="14.25" customHeight="1" x14ac:dyDescent="0.7">
      <c r="F255" s="7"/>
      <c r="G255" s="7"/>
      <c r="H255" s="7"/>
      <c r="I255" s="7"/>
      <c r="J255" s="7"/>
      <c r="K255" s="7"/>
      <c r="L255" s="7"/>
      <c r="M255" s="7"/>
      <c r="N255" s="7"/>
    </row>
    <row r="256" spans="6:14" ht="14.25" customHeight="1" x14ac:dyDescent="0.7">
      <c r="F256" s="7"/>
      <c r="G256" s="7"/>
      <c r="H256" s="7"/>
      <c r="I256" s="7"/>
      <c r="J256" s="7"/>
      <c r="K256" s="7"/>
      <c r="L256" s="7"/>
      <c r="M256" s="7"/>
      <c r="N256" s="7"/>
    </row>
    <row r="257" spans="6:14" ht="14.25" customHeight="1" x14ac:dyDescent="0.7">
      <c r="F257" s="7"/>
      <c r="G257" s="7"/>
      <c r="H257" s="7"/>
      <c r="I257" s="7"/>
      <c r="J257" s="7"/>
      <c r="K257" s="7"/>
      <c r="L257" s="7"/>
      <c r="M257" s="7"/>
      <c r="N257" s="7"/>
    </row>
    <row r="258" spans="6:14" ht="14.25" customHeight="1" x14ac:dyDescent="0.7">
      <c r="F258" s="7"/>
      <c r="G258" s="7"/>
      <c r="H258" s="7"/>
      <c r="I258" s="7"/>
      <c r="J258" s="7"/>
      <c r="K258" s="7"/>
      <c r="L258" s="7"/>
      <c r="M258" s="7"/>
      <c r="N258" s="7"/>
    </row>
    <row r="259" spans="6:14" ht="14.25" customHeight="1" x14ac:dyDescent="0.7">
      <c r="F259" s="7"/>
      <c r="G259" s="7"/>
      <c r="H259" s="7"/>
      <c r="I259" s="7"/>
      <c r="J259" s="7"/>
      <c r="K259" s="7"/>
      <c r="L259" s="7"/>
      <c r="M259" s="7"/>
      <c r="N259" s="7"/>
    </row>
    <row r="260" spans="6:14" ht="14.25" customHeight="1" x14ac:dyDescent="0.7">
      <c r="F260" s="7"/>
      <c r="G260" s="7"/>
      <c r="H260" s="7"/>
      <c r="I260" s="7"/>
      <c r="J260" s="7"/>
      <c r="K260" s="7"/>
      <c r="L260" s="7"/>
      <c r="M260" s="7"/>
      <c r="N260" s="7"/>
    </row>
    <row r="261" spans="6:14" ht="14.25" customHeight="1" x14ac:dyDescent="0.7">
      <c r="F261" s="7"/>
      <c r="G261" s="7"/>
      <c r="H261" s="7"/>
      <c r="I261" s="7"/>
      <c r="J261" s="7"/>
      <c r="K261" s="7"/>
      <c r="L261" s="7"/>
      <c r="M261" s="7"/>
      <c r="N261" s="7"/>
    </row>
    <row r="262" spans="6:14" ht="14.25" customHeight="1" x14ac:dyDescent="0.7">
      <c r="F262" s="7"/>
      <c r="G262" s="7"/>
      <c r="H262" s="7"/>
      <c r="I262" s="7"/>
      <c r="J262" s="7"/>
      <c r="K262" s="7"/>
      <c r="L262" s="7"/>
      <c r="M262" s="7"/>
      <c r="N262" s="7"/>
    </row>
    <row r="263" spans="6:14" ht="14.25" customHeight="1" x14ac:dyDescent="0.7">
      <c r="F263" s="7"/>
      <c r="G263" s="7"/>
      <c r="H263" s="7"/>
      <c r="I263" s="7"/>
      <c r="J263" s="7"/>
      <c r="K263" s="7"/>
      <c r="L263" s="7"/>
      <c r="M263" s="7"/>
      <c r="N263" s="7"/>
    </row>
    <row r="264" spans="6:14" ht="14.25" customHeight="1" x14ac:dyDescent="0.7">
      <c r="F264" s="7"/>
      <c r="G264" s="7"/>
      <c r="H264" s="7"/>
      <c r="I264" s="7"/>
      <c r="J264" s="7"/>
      <c r="K264" s="7"/>
      <c r="L264" s="7"/>
      <c r="M264" s="7"/>
      <c r="N264" s="7"/>
    </row>
    <row r="265" spans="6:14" ht="14.25" customHeight="1" x14ac:dyDescent="0.7">
      <c r="F265" s="7"/>
      <c r="G265" s="7"/>
      <c r="H265" s="7"/>
      <c r="I265" s="7"/>
      <c r="J265" s="7"/>
      <c r="K265" s="7"/>
      <c r="L265" s="7"/>
      <c r="M265" s="7"/>
      <c r="N265" s="7"/>
    </row>
    <row r="266" spans="6:14" ht="14.25" customHeight="1" x14ac:dyDescent="0.7">
      <c r="F266" s="7"/>
      <c r="G266" s="7"/>
      <c r="H266" s="7"/>
      <c r="I266" s="7"/>
      <c r="J266" s="7"/>
      <c r="K266" s="7"/>
      <c r="L266" s="7"/>
      <c r="M266" s="7"/>
      <c r="N266" s="7"/>
    </row>
    <row r="267" spans="6:14" ht="14.25" customHeight="1" x14ac:dyDescent="0.7">
      <c r="F267" s="7"/>
      <c r="G267" s="7"/>
      <c r="H267" s="7"/>
      <c r="I267" s="7"/>
      <c r="J267" s="7"/>
      <c r="K267" s="7"/>
      <c r="L267" s="7"/>
      <c r="M267" s="7"/>
      <c r="N267" s="7"/>
    </row>
    <row r="268" spans="6:14" ht="14.25" customHeight="1" x14ac:dyDescent="0.7">
      <c r="F268" s="7"/>
      <c r="G268" s="7"/>
      <c r="H268" s="7"/>
      <c r="I268" s="7"/>
      <c r="J268" s="7"/>
      <c r="K268" s="7"/>
      <c r="L268" s="7"/>
      <c r="M268" s="7"/>
      <c r="N268" s="7"/>
    </row>
    <row r="269" spans="6:14" ht="14.25" customHeight="1" x14ac:dyDescent="0.7">
      <c r="F269" s="7"/>
      <c r="G269" s="7"/>
      <c r="H269" s="7"/>
      <c r="I269" s="7"/>
      <c r="J269" s="7"/>
      <c r="K269" s="7"/>
      <c r="L269" s="7"/>
      <c r="M269" s="7"/>
      <c r="N269" s="7"/>
    </row>
    <row r="270" spans="6:14" ht="14.25" customHeight="1" x14ac:dyDescent="0.7">
      <c r="F270" s="7"/>
      <c r="G270" s="7"/>
      <c r="H270" s="7"/>
      <c r="I270" s="7"/>
      <c r="J270" s="7"/>
      <c r="K270" s="7"/>
      <c r="L270" s="7"/>
      <c r="M270" s="7"/>
      <c r="N270" s="7"/>
    </row>
    <row r="271" spans="6:14" ht="14.25" customHeight="1" x14ac:dyDescent="0.7">
      <c r="F271" s="7"/>
      <c r="G271" s="7"/>
      <c r="H271" s="7"/>
      <c r="I271" s="7"/>
      <c r="J271" s="7"/>
      <c r="K271" s="7"/>
      <c r="L271" s="7"/>
      <c r="M271" s="7"/>
      <c r="N271" s="7"/>
    </row>
    <row r="272" spans="6:14" ht="14.25" customHeight="1" x14ac:dyDescent="0.7">
      <c r="F272" s="7"/>
      <c r="G272" s="7"/>
      <c r="H272" s="7"/>
      <c r="I272" s="7"/>
      <c r="J272" s="7"/>
      <c r="K272" s="7"/>
      <c r="L272" s="7"/>
      <c r="M272" s="7"/>
      <c r="N272" s="7"/>
    </row>
    <row r="273" spans="6:14" ht="14.25" customHeight="1" x14ac:dyDescent="0.7">
      <c r="F273" s="7"/>
      <c r="G273" s="7"/>
      <c r="H273" s="7"/>
      <c r="I273" s="7"/>
      <c r="J273" s="7"/>
      <c r="K273" s="7"/>
      <c r="L273" s="7"/>
      <c r="M273" s="7"/>
      <c r="N273" s="7"/>
    </row>
    <row r="274" spans="6:14" ht="14.25" customHeight="1" x14ac:dyDescent="0.7">
      <c r="F274" s="7"/>
      <c r="G274" s="7"/>
      <c r="H274" s="7"/>
      <c r="I274" s="7"/>
      <c r="J274" s="7"/>
      <c r="K274" s="7"/>
      <c r="L274" s="7"/>
      <c r="M274" s="7"/>
      <c r="N274" s="7"/>
    </row>
    <row r="275" spans="6:14" ht="14.25" customHeight="1" x14ac:dyDescent="0.7">
      <c r="F275" s="7"/>
      <c r="G275" s="7"/>
      <c r="H275" s="7"/>
      <c r="I275" s="7"/>
      <c r="J275" s="7"/>
      <c r="K275" s="7"/>
      <c r="L275" s="7"/>
      <c r="M275" s="7"/>
      <c r="N275" s="7"/>
    </row>
    <row r="276" spans="6:14" ht="14.25" customHeight="1" x14ac:dyDescent="0.7">
      <c r="F276" s="7"/>
      <c r="G276" s="7"/>
      <c r="H276" s="7"/>
      <c r="I276" s="7"/>
      <c r="J276" s="7"/>
      <c r="K276" s="7"/>
      <c r="L276" s="7"/>
      <c r="M276" s="7"/>
      <c r="N276" s="7"/>
    </row>
    <row r="277" spans="6:14" ht="14.25" customHeight="1" x14ac:dyDescent="0.7">
      <c r="F277" s="7"/>
      <c r="G277" s="7"/>
      <c r="H277" s="7"/>
      <c r="I277" s="7"/>
      <c r="J277" s="7"/>
      <c r="K277" s="7"/>
      <c r="L277" s="7"/>
      <c r="M277" s="7"/>
      <c r="N277" s="7"/>
    </row>
    <row r="278" spans="6:14" ht="14.25" customHeight="1" x14ac:dyDescent="0.7">
      <c r="F278" s="7"/>
      <c r="G278" s="7"/>
      <c r="H278" s="7"/>
      <c r="I278" s="7"/>
      <c r="J278" s="7"/>
      <c r="K278" s="7"/>
      <c r="L278" s="7"/>
      <c r="M278" s="7"/>
      <c r="N278" s="7"/>
    </row>
    <row r="279" spans="6:14" ht="14.25" customHeight="1" x14ac:dyDescent="0.7">
      <c r="F279" s="7"/>
      <c r="G279" s="7"/>
      <c r="H279" s="7"/>
      <c r="I279" s="7"/>
      <c r="J279" s="7"/>
      <c r="K279" s="7"/>
      <c r="L279" s="7"/>
      <c r="M279" s="7"/>
      <c r="N279" s="7"/>
    </row>
    <row r="280" spans="6:14" ht="14.25" customHeight="1" x14ac:dyDescent="0.7">
      <c r="F280" s="7"/>
      <c r="G280" s="7"/>
      <c r="H280" s="7"/>
      <c r="I280" s="7"/>
      <c r="J280" s="7"/>
      <c r="K280" s="7"/>
      <c r="L280" s="7"/>
      <c r="M280" s="7"/>
      <c r="N280" s="7"/>
    </row>
    <row r="281" spans="6:14" ht="14.25" customHeight="1" x14ac:dyDescent="0.7">
      <c r="F281" s="7"/>
      <c r="G281" s="7"/>
      <c r="H281" s="7"/>
      <c r="I281" s="7"/>
      <c r="J281" s="7"/>
      <c r="K281" s="7"/>
      <c r="L281" s="7"/>
      <c r="M281" s="7"/>
      <c r="N281" s="7"/>
    </row>
    <row r="282" spans="6:14" ht="14.25" customHeight="1" x14ac:dyDescent="0.7">
      <c r="F282" s="7"/>
      <c r="G282" s="7"/>
      <c r="H282" s="7"/>
      <c r="I282" s="7"/>
      <c r="J282" s="7"/>
      <c r="K282" s="7"/>
      <c r="L282" s="7"/>
      <c r="M282" s="7"/>
      <c r="N282" s="7"/>
    </row>
    <row r="283" spans="6:14" ht="14.25" customHeight="1" x14ac:dyDescent="0.7">
      <c r="F283" s="7"/>
      <c r="G283" s="7"/>
      <c r="H283" s="7"/>
      <c r="I283" s="7"/>
      <c r="J283" s="7"/>
      <c r="K283" s="7"/>
      <c r="L283" s="7"/>
      <c r="M283" s="7"/>
      <c r="N283" s="7"/>
    </row>
    <row r="284" spans="6:14" ht="14.25" customHeight="1" x14ac:dyDescent="0.7">
      <c r="F284" s="7"/>
      <c r="G284" s="7"/>
      <c r="H284" s="7"/>
      <c r="I284" s="7"/>
      <c r="J284" s="7"/>
      <c r="K284" s="7"/>
      <c r="L284" s="7"/>
      <c r="M284" s="7"/>
      <c r="N284" s="7"/>
    </row>
    <row r="285" spans="6:14" ht="14.25" customHeight="1" x14ac:dyDescent="0.7">
      <c r="F285" s="7"/>
      <c r="G285" s="7"/>
      <c r="H285" s="7"/>
      <c r="I285" s="7"/>
      <c r="J285" s="7"/>
      <c r="K285" s="7"/>
      <c r="L285" s="7"/>
      <c r="M285" s="7"/>
      <c r="N285" s="7"/>
    </row>
    <row r="286" spans="6:14" ht="14.25" customHeight="1" x14ac:dyDescent="0.7">
      <c r="F286" s="7"/>
      <c r="G286" s="7"/>
      <c r="H286" s="7"/>
      <c r="I286" s="7"/>
      <c r="J286" s="7"/>
      <c r="K286" s="7"/>
      <c r="L286" s="7"/>
      <c r="M286" s="7"/>
      <c r="N286" s="7"/>
    </row>
    <row r="287" spans="6:14" ht="14.25" customHeight="1" x14ac:dyDescent="0.7">
      <c r="F287" s="7"/>
      <c r="G287" s="7"/>
      <c r="H287" s="7"/>
      <c r="I287" s="7"/>
      <c r="J287" s="7"/>
      <c r="K287" s="7"/>
      <c r="L287" s="7"/>
      <c r="M287" s="7"/>
      <c r="N287" s="7"/>
    </row>
    <row r="288" spans="6:14" ht="14.25" customHeight="1" x14ac:dyDescent="0.7">
      <c r="F288" s="7"/>
      <c r="G288" s="7"/>
      <c r="H288" s="7"/>
      <c r="I288" s="7"/>
      <c r="J288" s="7"/>
      <c r="K288" s="7"/>
      <c r="L288" s="7"/>
      <c r="M288" s="7"/>
      <c r="N288" s="7"/>
    </row>
    <row r="289" spans="6:14" ht="14.25" customHeight="1" x14ac:dyDescent="0.7">
      <c r="F289" s="7"/>
      <c r="G289" s="7"/>
      <c r="H289" s="7"/>
      <c r="I289" s="7"/>
      <c r="J289" s="7"/>
      <c r="K289" s="7"/>
      <c r="L289" s="7"/>
      <c r="M289" s="7"/>
      <c r="N289" s="7"/>
    </row>
    <row r="290" spans="6:14" ht="14.25" customHeight="1" x14ac:dyDescent="0.7">
      <c r="F290" s="7"/>
      <c r="G290" s="7"/>
      <c r="H290" s="7"/>
      <c r="I290" s="7"/>
      <c r="J290" s="7"/>
      <c r="K290" s="7"/>
      <c r="L290" s="7"/>
      <c r="M290" s="7"/>
      <c r="N290" s="7"/>
    </row>
    <row r="291" spans="6:14" ht="14.25" customHeight="1" x14ac:dyDescent="0.7">
      <c r="F291" s="7"/>
      <c r="G291" s="7"/>
      <c r="H291" s="7"/>
      <c r="I291" s="7"/>
      <c r="J291" s="7"/>
      <c r="K291" s="7"/>
      <c r="L291" s="7"/>
      <c r="M291" s="7"/>
      <c r="N291" s="7"/>
    </row>
    <row r="292" spans="6:14" ht="14.25" customHeight="1" x14ac:dyDescent="0.7">
      <c r="F292" s="7"/>
      <c r="G292" s="7"/>
      <c r="H292" s="7"/>
      <c r="I292" s="7"/>
      <c r="J292" s="7"/>
      <c r="K292" s="7"/>
      <c r="L292" s="7"/>
      <c r="M292" s="7"/>
      <c r="N292" s="7"/>
    </row>
    <row r="293" spans="6:14" ht="14.25" customHeight="1" x14ac:dyDescent="0.7">
      <c r="F293" s="7"/>
      <c r="G293" s="7"/>
      <c r="H293" s="7"/>
      <c r="I293" s="7"/>
      <c r="J293" s="7"/>
      <c r="K293" s="7"/>
      <c r="L293" s="7"/>
      <c r="M293" s="7"/>
      <c r="N293" s="7"/>
    </row>
    <row r="294" spans="6:14" ht="14.25" customHeight="1" x14ac:dyDescent="0.7">
      <c r="F294" s="7"/>
      <c r="G294" s="7"/>
      <c r="H294" s="7"/>
      <c r="I294" s="7"/>
      <c r="J294" s="7"/>
      <c r="K294" s="7"/>
      <c r="L294" s="7"/>
      <c r="M294" s="7"/>
      <c r="N294" s="7"/>
    </row>
    <row r="295" spans="6:14" ht="14.25" customHeight="1" x14ac:dyDescent="0.7">
      <c r="F295" s="7"/>
      <c r="G295" s="7"/>
      <c r="H295" s="7"/>
      <c r="I295" s="7"/>
      <c r="J295" s="7"/>
      <c r="K295" s="7"/>
      <c r="L295" s="7"/>
      <c r="M295" s="7"/>
      <c r="N295" s="7"/>
    </row>
    <row r="296" spans="6:14" ht="14.25" customHeight="1" x14ac:dyDescent="0.7">
      <c r="F296" s="7"/>
      <c r="G296" s="7"/>
      <c r="H296" s="7"/>
      <c r="I296" s="7"/>
      <c r="J296" s="7"/>
      <c r="K296" s="7"/>
      <c r="L296" s="7"/>
      <c r="M296" s="7"/>
      <c r="N296" s="7"/>
    </row>
    <row r="297" spans="6:14" ht="14.25" customHeight="1" x14ac:dyDescent="0.7">
      <c r="F297" s="7"/>
      <c r="G297" s="7"/>
      <c r="H297" s="7"/>
      <c r="I297" s="7"/>
      <c r="J297" s="7"/>
      <c r="K297" s="7"/>
      <c r="L297" s="7"/>
      <c r="M297" s="7"/>
      <c r="N297" s="7"/>
    </row>
    <row r="298" spans="6:14" ht="14.25" customHeight="1" x14ac:dyDescent="0.7">
      <c r="F298" s="7"/>
      <c r="G298" s="7"/>
      <c r="H298" s="7"/>
      <c r="I298" s="7"/>
      <c r="J298" s="7"/>
      <c r="K298" s="7"/>
      <c r="L298" s="7"/>
      <c r="M298" s="7"/>
      <c r="N298" s="7"/>
    </row>
    <row r="299" spans="6:14" ht="14.25" customHeight="1" x14ac:dyDescent="0.7">
      <c r="F299" s="7"/>
      <c r="G299" s="7"/>
      <c r="H299" s="7"/>
      <c r="I299" s="7"/>
      <c r="J299" s="7"/>
      <c r="K299" s="7"/>
      <c r="L299" s="7"/>
      <c r="M299" s="7"/>
      <c r="N299" s="7"/>
    </row>
    <row r="300" spans="6:14" ht="14.25" customHeight="1" x14ac:dyDescent="0.7">
      <c r="F300" s="7"/>
      <c r="G300" s="7"/>
      <c r="H300" s="7"/>
      <c r="I300" s="7"/>
      <c r="J300" s="7"/>
      <c r="K300" s="7"/>
      <c r="L300" s="7"/>
      <c r="M300" s="7"/>
      <c r="N300" s="7"/>
    </row>
    <row r="301" spans="6:14" ht="14.25" customHeight="1" x14ac:dyDescent="0.7">
      <c r="F301" s="7"/>
      <c r="G301" s="7"/>
      <c r="H301" s="7"/>
      <c r="I301" s="7"/>
      <c r="J301" s="7"/>
      <c r="K301" s="7"/>
      <c r="L301" s="7"/>
      <c r="M301" s="7"/>
      <c r="N301" s="7"/>
    </row>
    <row r="302" spans="6:14" ht="14.25" customHeight="1" x14ac:dyDescent="0.7">
      <c r="F302" s="7"/>
      <c r="G302" s="7"/>
      <c r="H302" s="7"/>
      <c r="I302" s="7"/>
      <c r="J302" s="7"/>
      <c r="K302" s="7"/>
      <c r="L302" s="7"/>
      <c r="M302" s="7"/>
      <c r="N302" s="7"/>
    </row>
    <row r="303" spans="6:14" ht="14.25" customHeight="1" x14ac:dyDescent="0.7">
      <c r="F303" s="7"/>
      <c r="G303" s="7"/>
      <c r="H303" s="7"/>
      <c r="I303" s="7"/>
      <c r="J303" s="7"/>
      <c r="K303" s="7"/>
      <c r="L303" s="7"/>
      <c r="M303" s="7"/>
      <c r="N303" s="7"/>
    </row>
    <row r="304" spans="6:14" ht="14.25" customHeight="1" x14ac:dyDescent="0.7">
      <c r="F304" s="7"/>
      <c r="G304" s="7"/>
      <c r="H304" s="7"/>
      <c r="I304" s="7"/>
      <c r="J304" s="7"/>
      <c r="K304" s="7"/>
      <c r="L304" s="7"/>
      <c r="M304" s="7"/>
      <c r="N304" s="7"/>
    </row>
    <row r="305" spans="6:14" ht="14.25" customHeight="1" x14ac:dyDescent="0.7">
      <c r="F305" s="7"/>
      <c r="G305" s="7"/>
      <c r="H305" s="7"/>
      <c r="I305" s="7"/>
      <c r="J305" s="7"/>
      <c r="K305" s="7"/>
      <c r="L305" s="7"/>
      <c r="M305" s="7"/>
      <c r="N305" s="7"/>
    </row>
    <row r="306" spans="6:14" ht="14.25" customHeight="1" x14ac:dyDescent="0.7">
      <c r="F306" s="7"/>
      <c r="G306" s="7"/>
      <c r="H306" s="7"/>
      <c r="I306" s="7"/>
      <c r="J306" s="7"/>
      <c r="K306" s="7"/>
      <c r="L306" s="7"/>
      <c r="M306" s="7"/>
      <c r="N306" s="7"/>
    </row>
    <row r="307" spans="6:14" ht="14.25" customHeight="1" x14ac:dyDescent="0.7">
      <c r="F307" s="7"/>
      <c r="G307" s="7"/>
      <c r="H307" s="7"/>
      <c r="I307" s="7"/>
      <c r="J307" s="7"/>
      <c r="K307" s="7"/>
      <c r="L307" s="7"/>
      <c r="M307" s="7"/>
      <c r="N307" s="7"/>
    </row>
    <row r="308" spans="6:14" ht="14.25" customHeight="1" x14ac:dyDescent="0.7">
      <c r="F308" s="7"/>
      <c r="G308" s="7"/>
      <c r="H308" s="7"/>
      <c r="I308" s="7"/>
      <c r="J308" s="7"/>
      <c r="K308" s="7"/>
      <c r="L308" s="7"/>
      <c r="M308" s="7"/>
      <c r="N308" s="7"/>
    </row>
    <row r="309" spans="6:14" ht="14.25" customHeight="1" x14ac:dyDescent="0.7">
      <c r="F309" s="7"/>
      <c r="G309" s="7"/>
      <c r="H309" s="7"/>
      <c r="I309" s="7"/>
      <c r="J309" s="7"/>
      <c r="K309" s="7"/>
      <c r="L309" s="7"/>
      <c r="M309" s="7"/>
      <c r="N309" s="7"/>
    </row>
    <row r="310" spans="6:14" ht="14.25" customHeight="1" x14ac:dyDescent="0.7">
      <c r="F310" s="7"/>
      <c r="G310" s="7"/>
      <c r="H310" s="7"/>
      <c r="I310" s="7"/>
      <c r="J310" s="7"/>
      <c r="K310" s="7"/>
      <c r="L310" s="7"/>
      <c r="M310" s="7"/>
      <c r="N310" s="7"/>
    </row>
    <row r="311" spans="6:14" ht="14.25" customHeight="1" x14ac:dyDescent="0.7">
      <c r="F311" s="7"/>
      <c r="G311" s="7"/>
      <c r="H311" s="7"/>
      <c r="I311" s="7"/>
      <c r="J311" s="7"/>
      <c r="K311" s="7"/>
      <c r="L311" s="7"/>
      <c r="M311" s="7"/>
      <c r="N311" s="7"/>
    </row>
    <row r="312" spans="6:14" ht="14.25" customHeight="1" x14ac:dyDescent="0.7">
      <c r="F312" s="7"/>
      <c r="G312" s="7"/>
      <c r="H312" s="7"/>
      <c r="I312" s="7"/>
      <c r="J312" s="7"/>
      <c r="K312" s="7"/>
      <c r="L312" s="7"/>
      <c r="M312" s="7"/>
      <c r="N312" s="7"/>
    </row>
    <row r="313" spans="6:14" ht="14.25" customHeight="1" x14ac:dyDescent="0.7">
      <c r="F313" s="7"/>
      <c r="G313" s="7"/>
      <c r="H313" s="7"/>
      <c r="I313" s="7"/>
      <c r="J313" s="7"/>
      <c r="K313" s="7"/>
      <c r="L313" s="7"/>
      <c r="M313" s="7"/>
      <c r="N313" s="7"/>
    </row>
    <row r="314" spans="6:14" ht="14.25" customHeight="1" x14ac:dyDescent="0.7">
      <c r="F314" s="7"/>
      <c r="G314" s="7"/>
      <c r="H314" s="7"/>
      <c r="I314" s="7"/>
      <c r="J314" s="7"/>
      <c r="K314" s="7"/>
      <c r="L314" s="7"/>
      <c r="M314" s="7"/>
      <c r="N314" s="7"/>
    </row>
    <row r="315" spans="6:14" ht="14.25" customHeight="1" x14ac:dyDescent="0.7">
      <c r="F315" s="7"/>
      <c r="G315" s="7"/>
      <c r="H315" s="7"/>
      <c r="I315" s="7"/>
      <c r="J315" s="7"/>
      <c r="K315" s="7"/>
      <c r="L315" s="7"/>
      <c r="M315" s="7"/>
      <c r="N315" s="7"/>
    </row>
    <row r="316" spans="6:14" ht="14.25" customHeight="1" x14ac:dyDescent="0.7">
      <c r="F316" s="7"/>
      <c r="G316" s="7"/>
      <c r="H316" s="7"/>
      <c r="I316" s="7"/>
      <c r="J316" s="7"/>
      <c r="K316" s="7"/>
      <c r="L316" s="7"/>
      <c r="M316" s="7"/>
      <c r="N316" s="7"/>
    </row>
    <row r="317" spans="6:14" ht="14.25" customHeight="1" x14ac:dyDescent="0.7">
      <c r="F317" s="7"/>
      <c r="G317" s="7"/>
      <c r="H317" s="7"/>
      <c r="I317" s="7"/>
      <c r="J317" s="7"/>
      <c r="K317" s="7"/>
      <c r="L317" s="7"/>
      <c r="M317" s="7"/>
      <c r="N317" s="7"/>
    </row>
    <row r="318" spans="6:14" ht="14.25" customHeight="1" x14ac:dyDescent="0.7">
      <c r="F318" s="7"/>
      <c r="G318" s="7"/>
      <c r="H318" s="7"/>
      <c r="I318" s="7"/>
      <c r="J318" s="7"/>
      <c r="K318" s="7"/>
      <c r="L318" s="7"/>
      <c r="M318" s="7"/>
      <c r="N318" s="7"/>
    </row>
    <row r="319" spans="6:14" ht="14.25" customHeight="1" x14ac:dyDescent="0.7">
      <c r="F319" s="7"/>
      <c r="G319" s="7"/>
      <c r="H319" s="7"/>
      <c r="I319" s="7"/>
      <c r="J319" s="7"/>
      <c r="K319" s="7"/>
      <c r="L319" s="7"/>
      <c r="M319" s="7"/>
      <c r="N319" s="7"/>
    </row>
    <row r="320" spans="6:14" ht="14.25" customHeight="1" x14ac:dyDescent="0.7">
      <c r="F320" s="7"/>
      <c r="G320" s="7"/>
      <c r="H320" s="7"/>
      <c r="I320" s="7"/>
      <c r="J320" s="7"/>
      <c r="K320" s="7"/>
      <c r="L320" s="7"/>
      <c r="M320" s="7"/>
      <c r="N320" s="7"/>
    </row>
    <row r="321" spans="6:14" ht="14.25" customHeight="1" x14ac:dyDescent="0.7">
      <c r="F321" s="7"/>
      <c r="G321" s="7"/>
      <c r="H321" s="7"/>
      <c r="I321" s="7"/>
      <c r="J321" s="7"/>
      <c r="K321" s="7"/>
      <c r="L321" s="7"/>
      <c r="M321" s="7"/>
      <c r="N321" s="7"/>
    </row>
    <row r="322" spans="6:14" ht="14.25" customHeight="1" x14ac:dyDescent="0.7">
      <c r="F322" s="7"/>
      <c r="G322" s="7"/>
      <c r="H322" s="7"/>
      <c r="I322" s="7"/>
      <c r="J322" s="7"/>
      <c r="K322" s="7"/>
      <c r="L322" s="7"/>
      <c r="M322" s="7"/>
      <c r="N322" s="7"/>
    </row>
    <row r="323" spans="6:14" ht="14.25" customHeight="1" x14ac:dyDescent="0.7">
      <c r="F323" s="7"/>
      <c r="G323" s="7"/>
      <c r="H323" s="7"/>
      <c r="I323" s="7"/>
      <c r="J323" s="7"/>
      <c r="K323" s="7"/>
      <c r="L323" s="7"/>
      <c r="M323" s="7"/>
      <c r="N323" s="7"/>
    </row>
    <row r="324" spans="6:14" ht="14.25" customHeight="1" x14ac:dyDescent="0.7">
      <c r="F324" s="7"/>
      <c r="G324" s="7"/>
      <c r="H324" s="7"/>
      <c r="I324" s="7"/>
      <c r="J324" s="7"/>
      <c r="K324" s="7"/>
      <c r="L324" s="7"/>
      <c r="M324" s="7"/>
      <c r="N324" s="7"/>
    </row>
    <row r="325" spans="6:14" ht="14.25" customHeight="1" x14ac:dyDescent="0.7">
      <c r="F325" s="7"/>
      <c r="G325" s="7"/>
      <c r="H325" s="7"/>
      <c r="I325" s="7"/>
      <c r="J325" s="7"/>
      <c r="K325" s="7"/>
      <c r="L325" s="7"/>
      <c r="M325" s="7"/>
      <c r="N325" s="7"/>
    </row>
    <row r="326" spans="6:14" ht="14.25" customHeight="1" x14ac:dyDescent="0.7">
      <c r="F326" s="7"/>
      <c r="G326" s="7"/>
      <c r="H326" s="7"/>
      <c r="I326" s="7"/>
      <c r="J326" s="7"/>
      <c r="K326" s="7"/>
      <c r="L326" s="7"/>
      <c r="M326" s="7"/>
      <c r="N326" s="7"/>
    </row>
    <row r="327" spans="6:14" ht="14.25" customHeight="1" x14ac:dyDescent="0.7">
      <c r="F327" s="7"/>
      <c r="G327" s="7"/>
      <c r="H327" s="7"/>
      <c r="I327" s="7"/>
      <c r="J327" s="7"/>
      <c r="K327" s="7"/>
      <c r="L327" s="7"/>
      <c r="M327" s="7"/>
      <c r="N327" s="7"/>
    </row>
    <row r="328" spans="6:14" ht="14.25" customHeight="1" x14ac:dyDescent="0.7">
      <c r="F328" s="7"/>
      <c r="G328" s="7"/>
      <c r="H328" s="7"/>
      <c r="I328" s="7"/>
      <c r="J328" s="7"/>
      <c r="K328" s="7"/>
      <c r="L328" s="7"/>
      <c r="M328" s="7"/>
      <c r="N328" s="7"/>
    </row>
    <row r="329" spans="6:14" ht="14.25" customHeight="1" x14ac:dyDescent="0.7">
      <c r="F329" s="7"/>
      <c r="G329" s="7"/>
      <c r="H329" s="7"/>
      <c r="I329" s="7"/>
      <c r="J329" s="7"/>
      <c r="K329" s="7"/>
      <c r="L329" s="7"/>
      <c r="M329" s="7"/>
      <c r="N329" s="7"/>
    </row>
    <row r="330" spans="6:14" ht="14.25" customHeight="1" x14ac:dyDescent="0.7">
      <c r="F330" s="7"/>
      <c r="G330" s="7"/>
      <c r="H330" s="7"/>
      <c r="I330" s="7"/>
      <c r="J330" s="7"/>
      <c r="K330" s="7"/>
      <c r="L330" s="7"/>
      <c r="M330" s="7"/>
      <c r="N330" s="7"/>
    </row>
    <row r="331" spans="6:14" ht="14.25" customHeight="1" x14ac:dyDescent="0.7">
      <c r="F331" s="7"/>
      <c r="G331" s="7"/>
      <c r="H331" s="7"/>
      <c r="I331" s="7"/>
      <c r="J331" s="7"/>
      <c r="K331" s="7"/>
      <c r="L331" s="7"/>
      <c r="M331" s="7"/>
      <c r="N331" s="7"/>
    </row>
    <row r="332" spans="6:14" ht="14.25" customHeight="1" x14ac:dyDescent="0.7">
      <c r="F332" s="7"/>
      <c r="G332" s="7"/>
      <c r="H332" s="7"/>
      <c r="I332" s="7"/>
      <c r="J332" s="7"/>
      <c r="K332" s="7"/>
      <c r="L332" s="7"/>
      <c r="M332" s="7"/>
      <c r="N332" s="7"/>
    </row>
    <row r="333" spans="6:14" ht="14.25" customHeight="1" x14ac:dyDescent="0.7">
      <c r="F333" s="7"/>
      <c r="G333" s="7"/>
      <c r="H333" s="7"/>
      <c r="I333" s="7"/>
      <c r="J333" s="7"/>
      <c r="K333" s="7"/>
      <c r="L333" s="7"/>
      <c r="M333" s="7"/>
      <c r="N333" s="7"/>
    </row>
    <row r="334" spans="6:14" ht="14.25" customHeight="1" x14ac:dyDescent="0.7">
      <c r="F334" s="7"/>
      <c r="G334" s="7"/>
      <c r="H334" s="7"/>
      <c r="I334" s="7"/>
      <c r="J334" s="7"/>
      <c r="K334" s="7"/>
      <c r="L334" s="7"/>
      <c r="M334" s="7"/>
      <c r="N334" s="7"/>
    </row>
    <row r="335" spans="6:14" ht="14.25" customHeight="1" x14ac:dyDescent="0.7">
      <c r="F335" s="7"/>
      <c r="G335" s="7"/>
      <c r="H335" s="7"/>
      <c r="I335" s="7"/>
      <c r="J335" s="7"/>
      <c r="K335" s="7"/>
      <c r="L335" s="7"/>
      <c r="M335" s="7"/>
      <c r="N335" s="7"/>
    </row>
    <row r="336" spans="6:14" ht="14.25" customHeight="1" x14ac:dyDescent="0.7">
      <c r="F336" s="7"/>
      <c r="G336" s="7"/>
      <c r="H336" s="7"/>
      <c r="I336" s="7"/>
      <c r="J336" s="7"/>
      <c r="K336" s="7"/>
      <c r="L336" s="7"/>
      <c r="M336" s="7"/>
      <c r="N336" s="7"/>
    </row>
    <row r="337" spans="6:14" ht="14.25" customHeight="1" x14ac:dyDescent="0.7">
      <c r="F337" s="7"/>
      <c r="G337" s="7"/>
      <c r="H337" s="7"/>
      <c r="I337" s="7"/>
      <c r="J337" s="7"/>
      <c r="K337" s="7"/>
      <c r="L337" s="7"/>
      <c r="M337" s="7"/>
      <c r="N337" s="7"/>
    </row>
    <row r="338" spans="6:14" ht="14.25" customHeight="1" x14ac:dyDescent="0.7">
      <c r="F338" s="7"/>
      <c r="G338" s="7"/>
      <c r="H338" s="7"/>
      <c r="I338" s="7"/>
      <c r="J338" s="7"/>
      <c r="K338" s="7"/>
      <c r="L338" s="7"/>
      <c r="M338" s="7"/>
      <c r="N338" s="7"/>
    </row>
    <row r="339" spans="6:14" ht="14.25" customHeight="1" x14ac:dyDescent="0.7">
      <c r="F339" s="7"/>
      <c r="G339" s="7"/>
      <c r="H339" s="7"/>
      <c r="I339" s="7"/>
      <c r="J339" s="7"/>
      <c r="K339" s="7"/>
      <c r="L339" s="7"/>
      <c r="M339" s="7"/>
      <c r="N339" s="7"/>
    </row>
    <row r="340" spans="6:14" ht="14.25" customHeight="1" x14ac:dyDescent="0.7">
      <c r="F340" s="7"/>
      <c r="G340" s="7"/>
      <c r="H340" s="7"/>
      <c r="I340" s="7"/>
      <c r="J340" s="7"/>
      <c r="K340" s="7"/>
      <c r="L340" s="7"/>
      <c r="M340" s="7"/>
      <c r="N340" s="7"/>
    </row>
    <row r="341" spans="6:14" ht="14.25" customHeight="1" x14ac:dyDescent="0.7">
      <c r="F341" s="7"/>
      <c r="G341" s="7"/>
      <c r="H341" s="7"/>
      <c r="I341" s="7"/>
      <c r="J341" s="7"/>
      <c r="K341" s="7"/>
      <c r="L341" s="7"/>
      <c r="M341" s="7"/>
      <c r="N341" s="7"/>
    </row>
    <row r="342" spans="6:14" ht="14.25" customHeight="1" x14ac:dyDescent="0.7">
      <c r="F342" s="7"/>
      <c r="G342" s="7"/>
      <c r="H342" s="7"/>
      <c r="I342" s="7"/>
      <c r="J342" s="7"/>
      <c r="K342" s="7"/>
      <c r="L342" s="7"/>
      <c r="M342" s="7"/>
      <c r="N342" s="7"/>
    </row>
    <row r="343" spans="6:14" ht="14.25" customHeight="1" x14ac:dyDescent="0.7">
      <c r="F343" s="7"/>
      <c r="G343" s="7"/>
      <c r="H343" s="7"/>
      <c r="I343" s="7"/>
      <c r="J343" s="7"/>
      <c r="K343" s="7"/>
      <c r="L343" s="7"/>
      <c r="M343" s="7"/>
      <c r="N343" s="7"/>
    </row>
    <row r="344" spans="6:14" ht="14.25" customHeight="1" x14ac:dyDescent="0.7">
      <c r="F344" s="7"/>
      <c r="G344" s="7"/>
      <c r="H344" s="7"/>
      <c r="I344" s="7"/>
      <c r="J344" s="7"/>
      <c r="K344" s="7"/>
      <c r="L344" s="7"/>
      <c r="M344" s="7"/>
      <c r="N344" s="7"/>
    </row>
    <row r="345" spans="6:14" ht="14.25" customHeight="1" x14ac:dyDescent="0.7">
      <c r="F345" s="7"/>
      <c r="G345" s="7"/>
      <c r="H345" s="7"/>
      <c r="I345" s="7"/>
      <c r="J345" s="7"/>
      <c r="K345" s="7"/>
      <c r="L345" s="7"/>
      <c r="M345" s="7"/>
      <c r="N345" s="7"/>
    </row>
    <row r="346" spans="6:14" ht="14.25" customHeight="1" x14ac:dyDescent="0.7">
      <c r="F346" s="7"/>
      <c r="G346" s="7"/>
      <c r="H346" s="7"/>
      <c r="I346" s="7"/>
      <c r="J346" s="7"/>
      <c r="K346" s="7"/>
      <c r="L346" s="7"/>
      <c r="M346" s="7"/>
      <c r="N346" s="7"/>
    </row>
    <row r="347" spans="6:14" ht="14.25" customHeight="1" x14ac:dyDescent="0.7">
      <c r="F347" s="7"/>
      <c r="G347" s="7"/>
      <c r="H347" s="7"/>
      <c r="I347" s="7"/>
      <c r="J347" s="7"/>
      <c r="K347" s="7"/>
      <c r="L347" s="7"/>
      <c r="M347" s="7"/>
      <c r="N347" s="7"/>
    </row>
    <row r="348" spans="6:14" ht="14.25" customHeight="1" x14ac:dyDescent="0.7">
      <c r="F348" s="7"/>
      <c r="G348" s="7"/>
      <c r="H348" s="7"/>
      <c r="I348" s="7"/>
      <c r="J348" s="7"/>
      <c r="K348" s="7"/>
      <c r="L348" s="7"/>
      <c r="M348" s="7"/>
      <c r="N348" s="7"/>
    </row>
    <row r="349" spans="6:14" ht="14.25" customHeight="1" x14ac:dyDescent="0.7">
      <c r="F349" s="7"/>
      <c r="G349" s="7"/>
      <c r="H349" s="7"/>
      <c r="I349" s="7"/>
      <c r="J349" s="7"/>
      <c r="K349" s="7"/>
      <c r="L349" s="7"/>
      <c r="M349" s="7"/>
      <c r="N349" s="7"/>
    </row>
    <row r="350" spans="6:14" ht="14.25" customHeight="1" x14ac:dyDescent="0.7">
      <c r="F350" s="7"/>
      <c r="G350" s="7"/>
      <c r="H350" s="7"/>
      <c r="I350" s="7"/>
      <c r="J350" s="7"/>
      <c r="K350" s="7"/>
      <c r="L350" s="7"/>
      <c r="M350" s="7"/>
      <c r="N350" s="7"/>
    </row>
    <row r="351" spans="6:14" ht="14.25" customHeight="1" x14ac:dyDescent="0.7">
      <c r="F351" s="7"/>
      <c r="G351" s="7"/>
      <c r="H351" s="7"/>
      <c r="I351" s="7"/>
      <c r="J351" s="7"/>
      <c r="K351" s="7"/>
      <c r="L351" s="7"/>
      <c r="M351" s="7"/>
      <c r="N351" s="7"/>
    </row>
    <row r="352" spans="6:14" ht="14.25" customHeight="1" x14ac:dyDescent="0.7">
      <c r="F352" s="7"/>
      <c r="G352" s="7"/>
      <c r="H352" s="7"/>
      <c r="I352" s="7"/>
      <c r="J352" s="7"/>
      <c r="K352" s="7"/>
      <c r="L352" s="7"/>
      <c r="M352" s="7"/>
      <c r="N352" s="7"/>
    </row>
    <row r="353" spans="6:14" ht="14.25" customHeight="1" x14ac:dyDescent="0.7">
      <c r="F353" s="7"/>
      <c r="G353" s="7"/>
      <c r="H353" s="7"/>
      <c r="I353" s="7"/>
      <c r="J353" s="7"/>
      <c r="K353" s="7"/>
      <c r="L353" s="7"/>
      <c r="M353" s="7"/>
      <c r="N353" s="7"/>
    </row>
    <row r="354" spans="6:14" ht="14.25" customHeight="1" x14ac:dyDescent="0.7">
      <c r="F354" s="7"/>
      <c r="G354" s="7"/>
      <c r="H354" s="7"/>
      <c r="I354" s="7"/>
      <c r="J354" s="7"/>
      <c r="K354" s="7"/>
      <c r="L354" s="7"/>
      <c r="M354" s="7"/>
      <c r="N354" s="7"/>
    </row>
    <row r="355" spans="6:14" ht="14.25" customHeight="1" x14ac:dyDescent="0.7">
      <c r="F355" s="7"/>
      <c r="G355" s="7"/>
      <c r="H355" s="7"/>
      <c r="I355" s="7"/>
      <c r="J355" s="7"/>
      <c r="K355" s="7"/>
      <c r="L355" s="7"/>
      <c r="M355" s="7"/>
      <c r="N355" s="7"/>
    </row>
    <row r="356" spans="6:14" ht="14.25" customHeight="1" x14ac:dyDescent="0.7">
      <c r="F356" s="7"/>
      <c r="G356" s="7"/>
      <c r="H356" s="7"/>
      <c r="I356" s="7"/>
      <c r="J356" s="7"/>
      <c r="K356" s="7"/>
      <c r="L356" s="7"/>
      <c r="M356" s="7"/>
      <c r="N356" s="7"/>
    </row>
    <row r="357" spans="6:14" ht="14.25" customHeight="1" x14ac:dyDescent="0.7">
      <c r="F357" s="7"/>
      <c r="G357" s="7"/>
      <c r="H357" s="7"/>
      <c r="I357" s="7"/>
      <c r="J357" s="7"/>
      <c r="K357" s="7"/>
      <c r="L357" s="7"/>
      <c r="M357" s="7"/>
      <c r="N357" s="7"/>
    </row>
    <row r="358" spans="6:14" ht="14.25" customHeight="1" x14ac:dyDescent="0.7">
      <c r="F358" s="7"/>
      <c r="G358" s="7"/>
      <c r="H358" s="7"/>
      <c r="I358" s="7"/>
      <c r="J358" s="7"/>
      <c r="K358" s="7"/>
      <c r="L358" s="7"/>
      <c r="M358" s="7"/>
      <c r="N358" s="7"/>
    </row>
    <row r="359" spans="6:14" ht="14.25" customHeight="1" x14ac:dyDescent="0.7">
      <c r="F359" s="7"/>
      <c r="G359" s="7"/>
      <c r="H359" s="7"/>
      <c r="I359" s="7"/>
      <c r="J359" s="7"/>
      <c r="K359" s="7"/>
      <c r="L359" s="7"/>
      <c r="M359" s="7"/>
      <c r="N359" s="7"/>
    </row>
    <row r="360" spans="6:14" ht="14.25" customHeight="1" x14ac:dyDescent="0.7">
      <c r="F360" s="7"/>
      <c r="G360" s="7"/>
      <c r="H360" s="7"/>
      <c r="I360" s="7"/>
      <c r="J360" s="7"/>
      <c r="K360" s="7"/>
      <c r="L360" s="7"/>
      <c r="M360" s="7"/>
      <c r="N360" s="7"/>
    </row>
    <row r="361" spans="6:14" ht="14.25" customHeight="1" x14ac:dyDescent="0.7">
      <c r="F361" s="7"/>
      <c r="G361" s="7"/>
      <c r="H361" s="7"/>
      <c r="I361" s="7"/>
      <c r="J361" s="7"/>
      <c r="K361" s="7"/>
      <c r="L361" s="7"/>
      <c r="M361" s="7"/>
      <c r="N361" s="7"/>
    </row>
    <row r="362" spans="6:14" ht="14.25" customHeight="1" x14ac:dyDescent="0.7">
      <c r="F362" s="7"/>
      <c r="G362" s="7"/>
      <c r="H362" s="7"/>
      <c r="I362" s="7"/>
      <c r="J362" s="7"/>
      <c r="K362" s="7"/>
      <c r="L362" s="7"/>
      <c r="M362" s="7"/>
      <c r="N362" s="7"/>
    </row>
    <row r="363" spans="6:14" ht="14.25" customHeight="1" x14ac:dyDescent="0.7">
      <c r="F363" s="7"/>
      <c r="G363" s="7"/>
      <c r="H363" s="7"/>
      <c r="I363" s="7"/>
      <c r="J363" s="7"/>
      <c r="K363" s="7"/>
      <c r="L363" s="7"/>
      <c r="M363" s="7"/>
      <c r="N363" s="7"/>
    </row>
    <row r="364" spans="6:14" ht="14.25" customHeight="1" x14ac:dyDescent="0.7">
      <c r="F364" s="7"/>
      <c r="G364" s="7"/>
      <c r="H364" s="7"/>
      <c r="I364" s="7"/>
      <c r="J364" s="7"/>
      <c r="K364" s="7"/>
      <c r="L364" s="7"/>
      <c r="M364" s="7"/>
      <c r="N364" s="7"/>
    </row>
    <row r="365" spans="6:14" ht="14.25" customHeight="1" x14ac:dyDescent="0.7">
      <c r="F365" s="7"/>
      <c r="G365" s="7"/>
      <c r="H365" s="7"/>
      <c r="I365" s="7"/>
      <c r="J365" s="7"/>
      <c r="K365" s="7"/>
      <c r="L365" s="7"/>
      <c r="M365" s="7"/>
      <c r="N365" s="7"/>
    </row>
    <row r="366" spans="6:14" ht="14.25" customHeight="1" x14ac:dyDescent="0.7">
      <c r="F366" s="7"/>
      <c r="G366" s="7"/>
      <c r="H366" s="7"/>
      <c r="I366" s="7"/>
      <c r="J366" s="7"/>
      <c r="K366" s="7"/>
      <c r="L366" s="7"/>
      <c r="M366" s="7"/>
      <c r="N366" s="7"/>
    </row>
    <row r="367" spans="6:14" ht="14.25" customHeight="1" x14ac:dyDescent="0.7">
      <c r="F367" s="7"/>
      <c r="G367" s="7"/>
      <c r="H367" s="7"/>
      <c r="I367" s="7"/>
      <c r="J367" s="7"/>
      <c r="K367" s="7"/>
      <c r="L367" s="7"/>
      <c r="M367" s="7"/>
      <c r="N367" s="7"/>
    </row>
    <row r="368" spans="6:14" ht="14.25" customHeight="1" x14ac:dyDescent="0.7">
      <c r="F368" s="7"/>
      <c r="G368" s="7"/>
      <c r="H368" s="7"/>
      <c r="I368" s="7"/>
      <c r="J368" s="7"/>
      <c r="K368" s="7"/>
      <c r="L368" s="7"/>
      <c r="M368" s="7"/>
      <c r="N368" s="7"/>
    </row>
    <row r="369" spans="6:14" ht="14.25" customHeight="1" x14ac:dyDescent="0.7">
      <c r="F369" s="7"/>
      <c r="G369" s="7"/>
      <c r="H369" s="7"/>
      <c r="I369" s="7"/>
      <c r="J369" s="7"/>
      <c r="K369" s="7"/>
      <c r="L369" s="7"/>
      <c r="M369" s="7"/>
      <c r="N369" s="7"/>
    </row>
    <row r="370" spans="6:14" ht="14.25" customHeight="1" x14ac:dyDescent="0.7">
      <c r="F370" s="7"/>
      <c r="G370" s="7"/>
      <c r="H370" s="7"/>
      <c r="I370" s="7"/>
      <c r="J370" s="7"/>
      <c r="K370" s="7"/>
      <c r="L370" s="7"/>
      <c r="M370" s="7"/>
      <c r="N370" s="7"/>
    </row>
    <row r="371" spans="6:14" ht="14.25" customHeight="1" x14ac:dyDescent="0.7">
      <c r="F371" s="7"/>
      <c r="G371" s="7"/>
      <c r="H371" s="7"/>
      <c r="I371" s="7"/>
      <c r="J371" s="7"/>
      <c r="K371" s="7"/>
      <c r="L371" s="7"/>
      <c r="M371" s="7"/>
      <c r="N371" s="7"/>
    </row>
    <row r="372" spans="6:14" ht="14.25" customHeight="1" x14ac:dyDescent="0.7">
      <c r="F372" s="7"/>
      <c r="G372" s="7"/>
      <c r="H372" s="7"/>
      <c r="I372" s="7"/>
      <c r="J372" s="7"/>
      <c r="K372" s="7"/>
      <c r="L372" s="7"/>
      <c r="M372" s="7"/>
      <c r="N372" s="7"/>
    </row>
    <row r="373" spans="6:14" ht="14.25" customHeight="1" x14ac:dyDescent="0.7">
      <c r="F373" s="7"/>
      <c r="G373" s="7"/>
      <c r="H373" s="7"/>
      <c r="I373" s="7"/>
      <c r="J373" s="7"/>
      <c r="K373" s="7"/>
      <c r="L373" s="7"/>
      <c r="M373" s="7"/>
      <c r="N373" s="7"/>
    </row>
    <row r="374" spans="6:14" ht="14.25" customHeight="1" x14ac:dyDescent="0.7">
      <c r="F374" s="7"/>
      <c r="G374" s="7"/>
      <c r="H374" s="7"/>
      <c r="I374" s="7"/>
      <c r="J374" s="7"/>
      <c r="K374" s="7"/>
      <c r="L374" s="7"/>
      <c r="M374" s="7"/>
      <c r="N374" s="7"/>
    </row>
    <row r="375" spans="6:14" ht="14.25" customHeight="1" x14ac:dyDescent="0.7">
      <c r="F375" s="7"/>
      <c r="G375" s="7"/>
      <c r="H375" s="7"/>
      <c r="I375" s="7"/>
      <c r="J375" s="7"/>
      <c r="K375" s="7"/>
      <c r="L375" s="7"/>
      <c r="M375" s="7"/>
      <c r="N375" s="7"/>
    </row>
    <row r="376" spans="6:14" ht="14.25" customHeight="1" x14ac:dyDescent="0.7">
      <c r="F376" s="7"/>
      <c r="G376" s="7"/>
      <c r="H376" s="7"/>
      <c r="I376" s="7"/>
      <c r="J376" s="7"/>
      <c r="K376" s="7"/>
      <c r="L376" s="7"/>
      <c r="M376" s="7"/>
      <c r="N376" s="7"/>
    </row>
    <row r="377" spans="6:14" ht="14.25" customHeight="1" x14ac:dyDescent="0.7">
      <c r="F377" s="7"/>
      <c r="G377" s="7"/>
      <c r="H377" s="7"/>
      <c r="I377" s="7"/>
      <c r="J377" s="7"/>
      <c r="K377" s="7"/>
      <c r="L377" s="7"/>
      <c r="M377" s="7"/>
      <c r="N377" s="7"/>
    </row>
    <row r="378" spans="6:14" ht="14.25" customHeight="1" x14ac:dyDescent="0.7">
      <c r="F378" s="7"/>
      <c r="G378" s="7"/>
      <c r="H378" s="7"/>
      <c r="I378" s="7"/>
      <c r="J378" s="7"/>
      <c r="K378" s="7"/>
      <c r="L378" s="7"/>
      <c r="M378" s="7"/>
      <c r="N378" s="7"/>
    </row>
    <row r="379" spans="6:14" ht="14.25" customHeight="1" x14ac:dyDescent="0.7">
      <c r="F379" s="7"/>
      <c r="G379" s="7"/>
      <c r="H379" s="7"/>
      <c r="I379" s="7"/>
      <c r="J379" s="7"/>
      <c r="K379" s="7"/>
      <c r="L379" s="7"/>
      <c r="M379" s="7"/>
      <c r="N379" s="7"/>
    </row>
    <row r="380" spans="6:14" ht="14.25" customHeight="1" x14ac:dyDescent="0.7">
      <c r="F380" s="7"/>
      <c r="G380" s="7"/>
      <c r="H380" s="7"/>
      <c r="I380" s="7"/>
      <c r="J380" s="7"/>
      <c r="K380" s="7"/>
      <c r="L380" s="7"/>
      <c r="M380" s="7"/>
      <c r="N380" s="7"/>
    </row>
    <row r="381" spans="6:14" ht="14.25" customHeight="1" x14ac:dyDescent="0.7">
      <c r="F381" s="7"/>
      <c r="G381" s="7"/>
      <c r="H381" s="7"/>
      <c r="I381" s="7"/>
      <c r="J381" s="7"/>
      <c r="K381" s="7"/>
      <c r="L381" s="7"/>
      <c r="M381" s="7"/>
      <c r="N381" s="7"/>
    </row>
    <row r="382" spans="6:14" ht="14.25" customHeight="1" x14ac:dyDescent="0.7">
      <c r="F382" s="7"/>
      <c r="G382" s="7"/>
      <c r="H382" s="7"/>
      <c r="I382" s="7"/>
      <c r="J382" s="7"/>
      <c r="K382" s="7"/>
      <c r="L382" s="7"/>
      <c r="M382" s="7"/>
      <c r="N382" s="7"/>
    </row>
    <row r="383" spans="6:14" ht="14.25" customHeight="1" x14ac:dyDescent="0.7">
      <c r="F383" s="7"/>
      <c r="G383" s="7"/>
      <c r="H383" s="7"/>
      <c r="I383" s="7"/>
      <c r="J383" s="7"/>
      <c r="K383" s="7"/>
      <c r="L383" s="7"/>
      <c r="M383" s="7"/>
      <c r="N383" s="7"/>
    </row>
    <row r="384" spans="6:14" ht="14.25" customHeight="1" x14ac:dyDescent="0.7">
      <c r="F384" s="7"/>
      <c r="G384" s="7"/>
      <c r="H384" s="7"/>
      <c r="I384" s="7"/>
      <c r="J384" s="7"/>
      <c r="K384" s="7"/>
      <c r="L384" s="7"/>
      <c r="M384" s="7"/>
      <c r="N384" s="7"/>
    </row>
    <row r="385" spans="6:14" ht="14.25" customHeight="1" x14ac:dyDescent="0.7">
      <c r="F385" s="7"/>
      <c r="G385" s="7"/>
      <c r="H385" s="7"/>
      <c r="I385" s="7"/>
      <c r="J385" s="7"/>
      <c r="K385" s="7"/>
      <c r="L385" s="7"/>
      <c r="M385" s="7"/>
      <c r="N385" s="7"/>
    </row>
    <row r="386" spans="6:14" ht="14.25" customHeight="1" x14ac:dyDescent="0.7">
      <c r="F386" s="7"/>
      <c r="G386" s="7"/>
      <c r="H386" s="7"/>
      <c r="I386" s="7"/>
      <c r="J386" s="7"/>
      <c r="K386" s="7"/>
      <c r="L386" s="7"/>
      <c r="M386" s="7"/>
      <c r="N386" s="7"/>
    </row>
    <row r="387" spans="6:14" ht="14.25" customHeight="1" x14ac:dyDescent="0.7">
      <c r="F387" s="7"/>
      <c r="G387" s="7"/>
      <c r="H387" s="7"/>
      <c r="I387" s="7"/>
      <c r="J387" s="7"/>
      <c r="K387" s="7"/>
      <c r="L387" s="7"/>
      <c r="M387" s="7"/>
      <c r="N387" s="7"/>
    </row>
    <row r="388" spans="6:14" ht="14.25" customHeight="1" x14ac:dyDescent="0.7">
      <c r="F388" s="7"/>
      <c r="G388" s="7"/>
      <c r="H388" s="7"/>
      <c r="I388" s="7"/>
      <c r="J388" s="7"/>
      <c r="K388" s="7"/>
      <c r="L388" s="7"/>
      <c r="M388" s="7"/>
      <c r="N388" s="7"/>
    </row>
    <row r="389" spans="6:14" ht="14.25" customHeight="1" x14ac:dyDescent="0.7">
      <c r="F389" s="7"/>
      <c r="G389" s="7"/>
      <c r="H389" s="7"/>
      <c r="I389" s="7"/>
      <c r="J389" s="7"/>
      <c r="K389" s="7"/>
      <c r="L389" s="7"/>
      <c r="M389" s="7"/>
      <c r="N389" s="7"/>
    </row>
    <row r="390" spans="6:14" ht="14.25" customHeight="1" x14ac:dyDescent="0.7">
      <c r="F390" s="7"/>
      <c r="G390" s="7"/>
      <c r="H390" s="7"/>
      <c r="I390" s="7"/>
      <c r="J390" s="7"/>
      <c r="K390" s="7"/>
      <c r="L390" s="7"/>
      <c r="M390" s="7"/>
      <c r="N390" s="7"/>
    </row>
    <row r="391" spans="6:14" ht="14.25" customHeight="1" x14ac:dyDescent="0.7">
      <c r="F391" s="7"/>
      <c r="G391" s="7"/>
      <c r="H391" s="7"/>
      <c r="I391" s="7"/>
      <c r="J391" s="7"/>
      <c r="K391" s="7"/>
      <c r="L391" s="7"/>
      <c r="M391" s="7"/>
      <c r="N391" s="7"/>
    </row>
    <row r="392" spans="6:14" ht="14.25" customHeight="1" x14ac:dyDescent="0.7">
      <c r="F392" s="7"/>
      <c r="G392" s="7"/>
      <c r="H392" s="7"/>
      <c r="I392" s="7"/>
      <c r="J392" s="7"/>
      <c r="K392" s="7"/>
      <c r="L392" s="7"/>
      <c r="M392" s="7"/>
      <c r="N392" s="7"/>
    </row>
    <row r="393" spans="6:14" ht="14.25" customHeight="1" x14ac:dyDescent="0.7">
      <c r="F393" s="7"/>
      <c r="G393" s="7"/>
      <c r="H393" s="7"/>
      <c r="I393" s="7"/>
      <c r="J393" s="7"/>
      <c r="K393" s="7"/>
      <c r="L393" s="7"/>
      <c r="M393" s="7"/>
      <c r="N393" s="7"/>
    </row>
    <row r="394" spans="6:14" ht="14.25" customHeight="1" x14ac:dyDescent="0.7">
      <c r="F394" s="7"/>
      <c r="G394" s="7"/>
      <c r="H394" s="7"/>
      <c r="I394" s="7"/>
      <c r="J394" s="7"/>
      <c r="K394" s="7"/>
      <c r="L394" s="7"/>
      <c r="M394" s="7"/>
      <c r="N394" s="7"/>
    </row>
    <row r="395" spans="6:14" ht="14.25" customHeight="1" x14ac:dyDescent="0.7">
      <c r="F395" s="7"/>
      <c r="G395" s="7"/>
      <c r="H395" s="7"/>
      <c r="I395" s="7"/>
      <c r="J395" s="7"/>
      <c r="K395" s="7"/>
      <c r="L395" s="7"/>
      <c r="M395" s="7"/>
      <c r="N395" s="7"/>
    </row>
    <row r="396" spans="6:14" ht="14.25" customHeight="1" x14ac:dyDescent="0.7">
      <c r="F396" s="7"/>
      <c r="G396" s="7"/>
      <c r="H396" s="7"/>
      <c r="I396" s="7"/>
      <c r="J396" s="7"/>
      <c r="K396" s="7"/>
      <c r="L396" s="7"/>
      <c r="M396" s="7"/>
      <c r="N396" s="7"/>
    </row>
    <row r="397" spans="6:14" ht="14.25" customHeight="1" x14ac:dyDescent="0.7">
      <c r="F397" s="7"/>
      <c r="G397" s="7"/>
      <c r="H397" s="7"/>
      <c r="I397" s="7"/>
      <c r="J397" s="7"/>
      <c r="K397" s="7"/>
      <c r="L397" s="7"/>
      <c r="M397" s="7"/>
      <c r="N397" s="7"/>
    </row>
    <row r="398" spans="6:14" ht="14.25" customHeight="1" x14ac:dyDescent="0.7">
      <c r="F398" s="7"/>
      <c r="G398" s="7"/>
      <c r="H398" s="7"/>
      <c r="I398" s="7"/>
      <c r="J398" s="7"/>
      <c r="K398" s="7"/>
      <c r="L398" s="7"/>
      <c r="M398" s="7"/>
      <c r="N398" s="7"/>
    </row>
    <row r="399" spans="6:14" ht="14.25" customHeight="1" x14ac:dyDescent="0.7">
      <c r="F399" s="7"/>
      <c r="G399" s="7"/>
      <c r="H399" s="7"/>
      <c r="I399" s="7"/>
      <c r="J399" s="7"/>
      <c r="K399" s="7"/>
      <c r="L399" s="7"/>
      <c r="M399" s="7"/>
      <c r="N399" s="7"/>
    </row>
    <row r="400" spans="6:14" ht="14.25" customHeight="1" x14ac:dyDescent="0.7">
      <c r="F400" s="7"/>
      <c r="G400" s="7"/>
      <c r="H400" s="7"/>
      <c r="I400" s="7"/>
      <c r="J400" s="7"/>
      <c r="K400" s="7"/>
      <c r="L400" s="7"/>
      <c r="M400" s="7"/>
      <c r="N400" s="7"/>
    </row>
    <row r="401" spans="6:14" ht="14.25" customHeight="1" x14ac:dyDescent="0.7">
      <c r="F401" s="7"/>
      <c r="G401" s="7"/>
      <c r="H401" s="7"/>
      <c r="I401" s="7"/>
      <c r="J401" s="7"/>
      <c r="K401" s="7"/>
      <c r="L401" s="7"/>
      <c r="M401" s="7"/>
      <c r="N401" s="7"/>
    </row>
    <row r="402" spans="6:14" ht="14.25" customHeight="1" x14ac:dyDescent="0.7">
      <c r="F402" s="7"/>
      <c r="G402" s="7"/>
      <c r="H402" s="7"/>
      <c r="I402" s="7"/>
      <c r="J402" s="7"/>
      <c r="K402" s="7"/>
      <c r="L402" s="7"/>
      <c r="M402" s="7"/>
      <c r="N402" s="7"/>
    </row>
    <row r="403" spans="6:14" ht="14.25" customHeight="1" x14ac:dyDescent="0.7">
      <c r="F403" s="7"/>
      <c r="G403" s="7"/>
      <c r="H403" s="7"/>
      <c r="I403" s="7"/>
      <c r="J403" s="7"/>
      <c r="K403" s="7"/>
      <c r="L403" s="7"/>
      <c r="M403" s="7"/>
      <c r="N403" s="7"/>
    </row>
    <row r="404" spans="6:14" ht="14.25" customHeight="1" x14ac:dyDescent="0.7">
      <c r="F404" s="7"/>
      <c r="G404" s="7"/>
      <c r="H404" s="7"/>
      <c r="I404" s="7"/>
      <c r="J404" s="7"/>
      <c r="K404" s="7"/>
      <c r="L404" s="7"/>
      <c r="M404" s="7"/>
      <c r="N404" s="7"/>
    </row>
    <row r="405" spans="6:14" ht="14.25" customHeight="1" x14ac:dyDescent="0.7">
      <c r="F405" s="7"/>
      <c r="G405" s="7"/>
      <c r="H405" s="7"/>
      <c r="I405" s="7"/>
      <c r="J405" s="7"/>
      <c r="K405" s="7"/>
      <c r="L405" s="7"/>
      <c r="M405" s="7"/>
      <c r="N405" s="7"/>
    </row>
    <row r="406" spans="6:14" ht="14.25" customHeight="1" x14ac:dyDescent="0.7">
      <c r="F406" s="7"/>
      <c r="G406" s="7"/>
      <c r="H406" s="7"/>
      <c r="I406" s="7"/>
      <c r="J406" s="7"/>
      <c r="K406" s="7"/>
      <c r="L406" s="7"/>
      <c r="M406" s="7"/>
      <c r="N406" s="7"/>
    </row>
    <row r="407" spans="6:14" ht="14.25" customHeight="1" x14ac:dyDescent="0.7">
      <c r="F407" s="7"/>
      <c r="G407" s="7"/>
      <c r="H407" s="7"/>
      <c r="I407" s="7"/>
      <c r="J407" s="7"/>
      <c r="K407" s="7"/>
      <c r="L407" s="7"/>
      <c r="M407" s="7"/>
      <c r="N407" s="7"/>
    </row>
    <row r="408" spans="6:14" ht="14.25" customHeight="1" x14ac:dyDescent="0.7">
      <c r="F408" s="7"/>
      <c r="G408" s="7"/>
      <c r="H408" s="7"/>
      <c r="I408" s="7"/>
      <c r="J408" s="7"/>
      <c r="K408" s="7"/>
      <c r="L408" s="7"/>
      <c r="M408" s="7"/>
      <c r="N408" s="7"/>
    </row>
    <row r="409" spans="6:14" ht="14.25" customHeight="1" x14ac:dyDescent="0.7">
      <c r="F409" s="7"/>
      <c r="G409" s="7"/>
      <c r="H409" s="7"/>
      <c r="I409" s="7"/>
      <c r="J409" s="7"/>
      <c r="K409" s="7"/>
      <c r="L409" s="7"/>
      <c r="M409" s="7"/>
      <c r="N409" s="7"/>
    </row>
    <row r="410" spans="6:14" ht="14.25" customHeight="1" x14ac:dyDescent="0.7">
      <c r="F410" s="7"/>
      <c r="G410" s="7"/>
      <c r="H410" s="7"/>
      <c r="I410" s="7"/>
      <c r="J410" s="7"/>
      <c r="K410" s="7"/>
      <c r="L410" s="7"/>
      <c r="M410" s="7"/>
      <c r="N410" s="7"/>
    </row>
    <row r="411" spans="6:14" ht="14.25" customHeight="1" x14ac:dyDescent="0.7">
      <c r="F411" s="7"/>
      <c r="G411" s="7"/>
      <c r="H411" s="7"/>
      <c r="I411" s="7"/>
      <c r="J411" s="7"/>
      <c r="K411" s="7"/>
      <c r="L411" s="7"/>
      <c r="M411" s="7"/>
      <c r="N411" s="7"/>
    </row>
    <row r="412" spans="6:14" ht="14.25" customHeight="1" x14ac:dyDescent="0.7">
      <c r="F412" s="7"/>
      <c r="G412" s="7"/>
      <c r="H412" s="7"/>
      <c r="I412" s="7"/>
      <c r="J412" s="7"/>
      <c r="K412" s="7"/>
      <c r="L412" s="7"/>
      <c r="M412" s="7"/>
      <c r="N412" s="7"/>
    </row>
    <row r="413" spans="6:14" ht="14.25" customHeight="1" x14ac:dyDescent="0.7">
      <c r="F413" s="7"/>
      <c r="G413" s="7"/>
      <c r="H413" s="7"/>
      <c r="I413" s="7"/>
      <c r="J413" s="7"/>
      <c r="K413" s="7"/>
      <c r="L413" s="7"/>
      <c r="M413" s="7"/>
      <c r="N413" s="7"/>
    </row>
    <row r="414" spans="6:14" ht="14.25" customHeight="1" x14ac:dyDescent="0.7">
      <c r="F414" s="7"/>
      <c r="G414" s="7"/>
      <c r="H414" s="7"/>
      <c r="I414" s="7"/>
      <c r="J414" s="7"/>
      <c r="K414" s="7"/>
      <c r="L414" s="7"/>
      <c r="M414" s="7"/>
      <c r="N414" s="7"/>
    </row>
    <row r="415" spans="6:14" ht="14.25" customHeight="1" x14ac:dyDescent="0.7">
      <c r="F415" s="7"/>
      <c r="G415" s="7"/>
      <c r="H415" s="7"/>
      <c r="I415" s="7"/>
      <c r="J415" s="7"/>
      <c r="K415" s="7"/>
      <c r="L415" s="7"/>
      <c r="M415" s="7"/>
      <c r="N415" s="7"/>
    </row>
    <row r="416" spans="6:14" ht="14.25" customHeight="1" x14ac:dyDescent="0.7">
      <c r="F416" s="7"/>
      <c r="G416" s="7"/>
      <c r="H416" s="7"/>
      <c r="I416" s="7"/>
      <c r="J416" s="7"/>
      <c r="K416" s="7"/>
      <c r="L416" s="7"/>
      <c r="M416" s="7"/>
      <c r="N416" s="7"/>
    </row>
    <row r="417" spans="6:14" ht="14.25" customHeight="1" x14ac:dyDescent="0.7">
      <c r="F417" s="7"/>
      <c r="G417" s="7"/>
      <c r="H417" s="7"/>
      <c r="I417" s="7"/>
      <c r="J417" s="7"/>
      <c r="K417" s="7"/>
      <c r="L417" s="7"/>
      <c r="M417" s="7"/>
      <c r="N417" s="7"/>
    </row>
    <row r="418" spans="6:14" ht="14.25" customHeight="1" x14ac:dyDescent="0.7">
      <c r="F418" s="7"/>
      <c r="G418" s="7"/>
      <c r="H418" s="7"/>
      <c r="I418" s="7"/>
      <c r="J418" s="7"/>
      <c r="K418" s="7"/>
      <c r="L418" s="7"/>
      <c r="M418" s="7"/>
      <c r="N418" s="7"/>
    </row>
    <row r="419" spans="6:14" ht="14.25" customHeight="1" x14ac:dyDescent="0.7">
      <c r="F419" s="7"/>
      <c r="G419" s="7"/>
      <c r="H419" s="7"/>
      <c r="I419" s="7"/>
      <c r="J419" s="7"/>
      <c r="K419" s="7"/>
      <c r="L419" s="7"/>
      <c r="M419" s="7"/>
      <c r="N419" s="7"/>
    </row>
    <row r="420" spans="6:14" ht="14.25" customHeight="1" x14ac:dyDescent="0.7">
      <c r="F420" s="7"/>
      <c r="G420" s="7"/>
      <c r="H420" s="7"/>
      <c r="I420" s="7"/>
      <c r="J420" s="7"/>
      <c r="K420" s="7"/>
      <c r="L420" s="7"/>
      <c r="M420" s="7"/>
      <c r="N420" s="7"/>
    </row>
    <row r="421" spans="6:14" ht="14.25" customHeight="1" x14ac:dyDescent="0.7">
      <c r="F421" s="7"/>
      <c r="G421" s="7"/>
      <c r="H421" s="7"/>
      <c r="I421" s="7"/>
      <c r="J421" s="7"/>
      <c r="K421" s="7"/>
      <c r="L421" s="7"/>
      <c r="M421" s="7"/>
      <c r="N421" s="7"/>
    </row>
    <row r="422" spans="6:14" ht="14.25" customHeight="1" x14ac:dyDescent="0.7">
      <c r="F422" s="7"/>
      <c r="G422" s="7"/>
      <c r="H422" s="7"/>
      <c r="I422" s="7"/>
      <c r="J422" s="7"/>
      <c r="K422" s="7"/>
      <c r="L422" s="7"/>
      <c r="M422" s="7"/>
      <c r="N422" s="7"/>
    </row>
    <row r="423" spans="6:14" ht="14.25" customHeight="1" x14ac:dyDescent="0.7">
      <c r="F423" s="7"/>
      <c r="G423" s="7"/>
      <c r="H423" s="7"/>
      <c r="I423" s="7"/>
      <c r="J423" s="7"/>
      <c r="K423" s="7"/>
      <c r="L423" s="7"/>
      <c r="M423" s="7"/>
      <c r="N423" s="7"/>
    </row>
    <row r="424" spans="6:14" ht="14.25" customHeight="1" x14ac:dyDescent="0.7">
      <c r="F424" s="7"/>
      <c r="G424" s="7"/>
      <c r="H424" s="7"/>
      <c r="I424" s="7"/>
      <c r="J424" s="7"/>
      <c r="K424" s="7"/>
      <c r="L424" s="7"/>
      <c r="M424" s="7"/>
      <c r="N424" s="7"/>
    </row>
    <row r="425" spans="6:14" ht="14.25" customHeight="1" x14ac:dyDescent="0.7">
      <c r="F425" s="7"/>
      <c r="G425" s="7"/>
      <c r="H425" s="7"/>
      <c r="I425" s="7"/>
      <c r="J425" s="7"/>
      <c r="K425" s="7"/>
      <c r="L425" s="7"/>
      <c r="M425" s="7"/>
      <c r="N425" s="7"/>
    </row>
    <row r="426" spans="6:14" ht="14.25" customHeight="1" x14ac:dyDescent="0.7">
      <c r="F426" s="7"/>
      <c r="G426" s="7"/>
      <c r="H426" s="7"/>
      <c r="I426" s="7"/>
      <c r="J426" s="7"/>
      <c r="K426" s="7"/>
      <c r="L426" s="7"/>
      <c r="M426" s="7"/>
      <c r="N426" s="7"/>
    </row>
    <row r="427" spans="6:14" ht="14.25" customHeight="1" x14ac:dyDescent="0.7">
      <c r="F427" s="7"/>
      <c r="G427" s="7"/>
      <c r="H427" s="7"/>
      <c r="I427" s="7"/>
      <c r="J427" s="7"/>
      <c r="K427" s="7"/>
      <c r="L427" s="7"/>
      <c r="M427" s="7"/>
      <c r="N427" s="7"/>
    </row>
    <row r="428" spans="6:14" ht="14.25" customHeight="1" x14ac:dyDescent="0.7">
      <c r="F428" s="7"/>
      <c r="G428" s="7"/>
      <c r="H428" s="7"/>
      <c r="I428" s="7"/>
      <c r="J428" s="7"/>
      <c r="K428" s="7"/>
      <c r="L428" s="7"/>
      <c r="M428" s="7"/>
      <c r="N428" s="7"/>
    </row>
    <row r="429" spans="6:14" ht="14.25" customHeight="1" x14ac:dyDescent="0.7">
      <c r="F429" s="7"/>
      <c r="G429" s="7"/>
      <c r="H429" s="7"/>
      <c r="I429" s="7"/>
      <c r="J429" s="7"/>
      <c r="K429" s="7"/>
      <c r="L429" s="7"/>
      <c r="M429" s="7"/>
      <c r="N429" s="7"/>
    </row>
    <row r="430" spans="6:14" ht="14.25" customHeight="1" x14ac:dyDescent="0.7">
      <c r="F430" s="7"/>
      <c r="G430" s="7"/>
      <c r="H430" s="7"/>
      <c r="I430" s="7"/>
      <c r="J430" s="7"/>
      <c r="K430" s="7"/>
      <c r="L430" s="7"/>
      <c r="M430" s="7"/>
      <c r="N430" s="7"/>
    </row>
    <row r="431" spans="6:14" ht="14.25" customHeight="1" x14ac:dyDescent="0.7">
      <c r="F431" s="7"/>
      <c r="G431" s="7"/>
      <c r="H431" s="7"/>
      <c r="I431" s="7"/>
      <c r="J431" s="7"/>
      <c r="K431" s="7"/>
      <c r="L431" s="7"/>
      <c r="M431" s="7"/>
      <c r="N431" s="7"/>
    </row>
    <row r="432" spans="6:14" ht="14.25" customHeight="1" x14ac:dyDescent="0.7">
      <c r="F432" s="7"/>
      <c r="G432" s="7"/>
      <c r="H432" s="7"/>
      <c r="I432" s="7"/>
      <c r="J432" s="7"/>
      <c r="K432" s="7"/>
      <c r="L432" s="7"/>
      <c r="M432" s="7"/>
      <c r="N432" s="7"/>
    </row>
    <row r="433" spans="6:14" ht="14.25" customHeight="1" x14ac:dyDescent="0.7">
      <c r="F433" s="7"/>
      <c r="G433" s="7"/>
      <c r="H433" s="7"/>
      <c r="I433" s="7"/>
      <c r="J433" s="7"/>
      <c r="K433" s="7"/>
      <c r="L433" s="7"/>
      <c r="M433" s="7"/>
      <c r="N433" s="7"/>
    </row>
    <row r="434" spans="6:14" ht="14.25" customHeight="1" x14ac:dyDescent="0.7">
      <c r="F434" s="7"/>
      <c r="G434" s="7"/>
      <c r="H434" s="7"/>
      <c r="I434" s="7"/>
      <c r="J434" s="7"/>
      <c r="K434" s="7"/>
      <c r="L434" s="7"/>
      <c r="M434" s="7"/>
      <c r="N434" s="7"/>
    </row>
    <row r="435" spans="6:14" ht="14.25" customHeight="1" x14ac:dyDescent="0.7">
      <c r="F435" s="7"/>
      <c r="G435" s="7"/>
      <c r="H435" s="7"/>
      <c r="I435" s="7"/>
      <c r="J435" s="7"/>
      <c r="K435" s="7"/>
      <c r="L435" s="7"/>
      <c r="M435" s="7"/>
      <c r="N435" s="7"/>
    </row>
    <row r="436" spans="6:14" ht="14.25" customHeight="1" x14ac:dyDescent="0.7">
      <c r="F436" s="7"/>
      <c r="G436" s="7"/>
      <c r="H436" s="7"/>
      <c r="I436" s="7"/>
      <c r="J436" s="7"/>
      <c r="K436" s="7"/>
      <c r="L436" s="7"/>
      <c r="M436" s="7"/>
      <c r="N436" s="7"/>
    </row>
    <row r="437" spans="6:14" ht="14.25" customHeight="1" x14ac:dyDescent="0.7">
      <c r="F437" s="7"/>
      <c r="G437" s="7"/>
      <c r="H437" s="7"/>
      <c r="I437" s="7"/>
      <c r="J437" s="7"/>
      <c r="K437" s="7"/>
      <c r="L437" s="7"/>
      <c r="M437" s="7"/>
      <c r="N437" s="7"/>
    </row>
    <row r="438" spans="6:14" ht="14.25" customHeight="1" x14ac:dyDescent="0.7">
      <c r="F438" s="7"/>
      <c r="G438" s="7"/>
      <c r="H438" s="7"/>
      <c r="I438" s="7"/>
      <c r="J438" s="7"/>
      <c r="K438" s="7"/>
      <c r="L438" s="7"/>
      <c r="M438" s="7"/>
      <c r="N438" s="7"/>
    </row>
    <row r="439" spans="6:14" ht="14.25" customHeight="1" x14ac:dyDescent="0.7">
      <c r="F439" s="7"/>
      <c r="G439" s="7"/>
      <c r="H439" s="7"/>
      <c r="I439" s="7"/>
      <c r="J439" s="7"/>
      <c r="K439" s="7"/>
      <c r="L439" s="7"/>
      <c r="M439" s="7"/>
      <c r="N439" s="7"/>
    </row>
    <row r="440" spans="6:14" ht="14.25" customHeight="1" x14ac:dyDescent="0.7">
      <c r="F440" s="7"/>
      <c r="G440" s="7"/>
      <c r="H440" s="7"/>
      <c r="I440" s="7"/>
      <c r="J440" s="7"/>
      <c r="K440" s="7"/>
      <c r="L440" s="7"/>
      <c r="M440" s="7"/>
      <c r="N440" s="7"/>
    </row>
    <row r="441" spans="6:14" ht="14.25" customHeight="1" x14ac:dyDescent="0.7">
      <c r="F441" s="7"/>
      <c r="G441" s="7"/>
      <c r="H441" s="7"/>
      <c r="I441" s="7"/>
      <c r="J441" s="7"/>
      <c r="K441" s="7"/>
      <c r="L441" s="7"/>
      <c r="M441" s="7"/>
      <c r="N441" s="7"/>
    </row>
    <row r="442" spans="6:14" ht="14.25" customHeight="1" x14ac:dyDescent="0.7">
      <c r="F442" s="7"/>
      <c r="G442" s="7"/>
      <c r="H442" s="7"/>
      <c r="I442" s="7"/>
      <c r="J442" s="7"/>
      <c r="K442" s="7"/>
      <c r="L442" s="7"/>
      <c r="M442" s="7"/>
      <c r="N442" s="7"/>
    </row>
    <row r="443" spans="6:14" ht="14.25" customHeight="1" x14ac:dyDescent="0.7">
      <c r="F443" s="7"/>
      <c r="G443" s="7"/>
      <c r="H443" s="7"/>
      <c r="I443" s="7"/>
      <c r="J443" s="7"/>
      <c r="K443" s="7"/>
      <c r="L443" s="7"/>
      <c r="M443" s="7"/>
      <c r="N443" s="7"/>
    </row>
    <row r="444" spans="6:14" ht="14.25" customHeight="1" x14ac:dyDescent="0.7">
      <c r="F444" s="7"/>
      <c r="G444" s="7"/>
      <c r="H444" s="7"/>
      <c r="I444" s="7"/>
      <c r="J444" s="7"/>
      <c r="K444" s="7"/>
      <c r="L444" s="7"/>
      <c r="M444" s="7"/>
      <c r="N444" s="7"/>
    </row>
    <row r="445" spans="6:14" ht="14.25" customHeight="1" x14ac:dyDescent="0.7">
      <c r="F445" s="7"/>
      <c r="G445" s="7"/>
      <c r="H445" s="7"/>
      <c r="I445" s="7"/>
      <c r="J445" s="7"/>
      <c r="K445" s="7"/>
      <c r="L445" s="7"/>
      <c r="M445" s="7"/>
      <c r="N445" s="7"/>
    </row>
    <row r="446" spans="6:14" ht="14.25" customHeight="1" x14ac:dyDescent="0.7">
      <c r="F446" s="7"/>
      <c r="G446" s="7"/>
      <c r="H446" s="7"/>
      <c r="I446" s="7"/>
      <c r="J446" s="7"/>
      <c r="K446" s="7"/>
      <c r="L446" s="7"/>
      <c r="M446" s="7"/>
      <c r="N446" s="7"/>
    </row>
    <row r="447" spans="6:14" ht="14.25" customHeight="1" x14ac:dyDescent="0.7">
      <c r="F447" s="7"/>
      <c r="G447" s="7"/>
      <c r="H447" s="7"/>
      <c r="I447" s="7"/>
      <c r="J447" s="7"/>
      <c r="K447" s="7"/>
      <c r="L447" s="7"/>
      <c r="M447" s="7"/>
      <c r="N447" s="7"/>
    </row>
    <row r="448" spans="6:14" ht="14.25" customHeight="1" x14ac:dyDescent="0.7">
      <c r="F448" s="7"/>
      <c r="G448" s="7"/>
      <c r="H448" s="7"/>
      <c r="I448" s="7"/>
      <c r="J448" s="7"/>
      <c r="K448" s="7"/>
      <c r="L448" s="7"/>
      <c r="M448" s="7"/>
      <c r="N448" s="7"/>
    </row>
    <row r="449" spans="6:14" ht="14.25" customHeight="1" x14ac:dyDescent="0.7">
      <c r="F449" s="7"/>
      <c r="G449" s="7"/>
      <c r="H449" s="7"/>
      <c r="I449" s="7"/>
      <c r="J449" s="7"/>
      <c r="K449" s="7"/>
      <c r="L449" s="7"/>
      <c r="M449" s="7"/>
      <c r="N449" s="7"/>
    </row>
    <row r="450" spans="6:14" ht="14.25" customHeight="1" x14ac:dyDescent="0.7">
      <c r="F450" s="7"/>
      <c r="G450" s="7"/>
      <c r="H450" s="7"/>
      <c r="I450" s="7"/>
      <c r="J450" s="7"/>
      <c r="K450" s="7"/>
      <c r="L450" s="7"/>
      <c r="M450" s="7"/>
      <c r="N450" s="7"/>
    </row>
    <row r="451" spans="6:14" ht="14.25" customHeight="1" x14ac:dyDescent="0.7">
      <c r="F451" s="7"/>
      <c r="G451" s="7"/>
      <c r="H451" s="7"/>
      <c r="I451" s="7"/>
      <c r="J451" s="7"/>
      <c r="K451" s="7"/>
      <c r="L451" s="7"/>
      <c r="M451" s="7"/>
      <c r="N451" s="7"/>
    </row>
    <row r="452" spans="6:14" ht="14.25" customHeight="1" x14ac:dyDescent="0.7">
      <c r="F452" s="7"/>
      <c r="G452" s="7"/>
      <c r="H452" s="7"/>
      <c r="I452" s="7"/>
      <c r="J452" s="7"/>
      <c r="K452" s="7"/>
      <c r="L452" s="7"/>
      <c r="M452" s="7"/>
      <c r="N452" s="7"/>
    </row>
    <row r="453" spans="6:14" ht="14.25" customHeight="1" x14ac:dyDescent="0.7">
      <c r="F453" s="7"/>
      <c r="G453" s="7"/>
      <c r="H453" s="7"/>
      <c r="I453" s="7"/>
      <c r="J453" s="7"/>
      <c r="K453" s="7"/>
      <c r="L453" s="7"/>
      <c r="M453" s="7"/>
      <c r="N453" s="7"/>
    </row>
    <row r="454" spans="6:14" ht="14.25" customHeight="1" x14ac:dyDescent="0.7">
      <c r="F454" s="7"/>
      <c r="G454" s="7"/>
      <c r="H454" s="7"/>
      <c r="I454" s="7"/>
      <c r="J454" s="7"/>
      <c r="K454" s="7"/>
      <c r="L454" s="7"/>
      <c r="M454" s="7"/>
      <c r="N454" s="7"/>
    </row>
    <row r="455" spans="6:14" ht="14.25" customHeight="1" x14ac:dyDescent="0.7">
      <c r="F455" s="7"/>
      <c r="G455" s="7"/>
      <c r="H455" s="7"/>
      <c r="I455" s="7"/>
      <c r="J455" s="7"/>
      <c r="K455" s="7"/>
      <c r="L455" s="7"/>
      <c r="M455" s="7"/>
      <c r="N455" s="7"/>
    </row>
    <row r="456" spans="6:14" ht="14.25" customHeight="1" x14ac:dyDescent="0.7">
      <c r="F456" s="7"/>
      <c r="G456" s="7"/>
      <c r="H456" s="7"/>
      <c r="I456" s="7"/>
      <c r="J456" s="7"/>
      <c r="K456" s="7"/>
      <c r="L456" s="7"/>
      <c r="M456" s="7"/>
      <c r="N456" s="7"/>
    </row>
    <row r="457" spans="6:14" ht="14.25" customHeight="1" x14ac:dyDescent="0.7">
      <c r="F457" s="7"/>
      <c r="G457" s="7"/>
      <c r="H457" s="7"/>
      <c r="I457" s="7"/>
      <c r="J457" s="7"/>
      <c r="K457" s="7"/>
      <c r="L457" s="7"/>
      <c r="M457" s="7"/>
      <c r="N457" s="7"/>
    </row>
    <row r="458" spans="6:14" ht="14.25" customHeight="1" x14ac:dyDescent="0.7">
      <c r="F458" s="7"/>
      <c r="G458" s="7"/>
      <c r="H458" s="7"/>
      <c r="I458" s="7"/>
      <c r="J458" s="7"/>
      <c r="K458" s="7"/>
      <c r="L458" s="7"/>
      <c r="M458" s="7"/>
      <c r="N458" s="7"/>
    </row>
    <row r="459" spans="6:14" ht="14.25" customHeight="1" x14ac:dyDescent="0.7">
      <c r="F459" s="7"/>
      <c r="G459" s="7"/>
      <c r="H459" s="7"/>
      <c r="I459" s="7"/>
      <c r="J459" s="7"/>
      <c r="K459" s="7"/>
      <c r="L459" s="7"/>
      <c r="M459" s="7"/>
      <c r="N459" s="7"/>
    </row>
    <row r="460" spans="6:14" ht="14.25" customHeight="1" x14ac:dyDescent="0.7">
      <c r="F460" s="7"/>
      <c r="G460" s="7"/>
      <c r="H460" s="7"/>
      <c r="I460" s="7"/>
      <c r="J460" s="7"/>
      <c r="K460" s="7"/>
      <c r="L460" s="7"/>
      <c r="M460" s="7"/>
      <c r="N460" s="7"/>
    </row>
    <row r="461" spans="6:14" ht="14.25" customHeight="1" x14ac:dyDescent="0.7">
      <c r="F461" s="7"/>
      <c r="G461" s="7"/>
      <c r="H461" s="7"/>
      <c r="I461" s="7"/>
      <c r="J461" s="7"/>
      <c r="K461" s="7"/>
      <c r="L461" s="7"/>
      <c r="M461" s="7"/>
      <c r="N461" s="7"/>
    </row>
    <row r="462" spans="6:14" ht="14.25" customHeight="1" x14ac:dyDescent="0.7">
      <c r="F462" s="7"/>
      <c r="G462" s="7"/>
      <c r="H462" s="7"/>
      <c r="I462" s="7"/>
      <c r="J462" s="7"/>
      <c r="K462" s="7"/>
      <c r="L462" s="7"/>
      <c r="M462" s="7"/>
      <c r="N462" s="7"/>
    </row>
    <row r="463" spans="6:14" ht="14.25" customHeight="1" x14ac:dyDescent="0.7">
      <c r="F463" s="7"/>
      <c r="G463" s="7"/>
      <c r="H463" s="7"/>
      <c r="I463" s="7"/>
      <c r="J463" s="7"/>
      <c r="K463" s="7"/>
      <c r="L463" s="7"/>
      <c r="M463" s="7"/>
      <c r="N463" s="7"/>
    </row>
    <row r="464" spans="6:14" ht="14.25" customHeight="1" x14ac:dyDescent="0.7">
      <c r="F464" s="7"/>
      <c r="G464" s="7"/>
      <c r="H464" s="7"/>
      <c r="I464" s="7"/>
      <c r="J464" s="7"/>
      <c r="K464" s="7"/>
      <c r="L464" s="7"/>
      <c r="M464" s="7"/>
      <c r="N464" s="7"/>
    </row>
    <row r="465" spans="6:14" ht="14.25" customHeight="1" x14ac:dyDescent="0.7">
      <c r="F465" s="7"/>
      <c r="G465" s="7"/>
      <c r="H465" s="7"/>
      <c r="I465" s="7"/>
      <c r="J465" s="7"/>
      <c r="K465" s="7"/>
      <c r="L465" s="7"/>
      <c r="M465" s="7"/>
      <c r="N465" s="7"/>
    </row>
    <row r="466" spans="6:14" ht="14.25" customHeight="1" x14ac:dyDescent="0.7">
      <c r="F466" s="7"/>
      <c r="G466" s="7"/>
      <c r="H466" s="7"/>
      <c r="I466" s="7"/>
      <c r="J466" s="7"/>
      <c r="K466" s="7"/>
      <c r="L466" s="7"/>
      <c r="M466" s="7"/>
      <c r="N466" s="7"/>
    </row>
    <row r="467" spans="6:14" ht="14.25" customHeight="1" x14ac:dyDescent="0.7">
      <c r="F467" s="7"/>
      <c r="G467" s="7"/>
      <c r="H467" s="7"/>
      <c r="I467" s="7"/>
      <c r="J467" s="7"/>
      <c r="K467" s="7"/>
      <c r="L467" s="7"/>
      <c r="M467" s="7"/>
      <c r="N467" s="7"/>
    </row>
    <row r="468" spans="6:14" ht="14.25" customHeight="1" x14ac:dyDescent="0.7">
      <c r="F468" s="7"/>
      <c r="G468" s="7"/>
      <c r="H468" s="7"/>
      <c r="I468" s="7"/>
      <c r="J468" s="7"/>
      <c r="K468" s="7"/>
      <c r="L468" s="7"/>
      <c r="M468" s="7"/>
      <c r="N468" s="7"/>
    </row>
    <row r="469" spans="6:14" ht="14.25" customHeight="1" x14ac:dyDescent="0.7">
      <c r="F469" s="7"/>
      <c r="G469" s="7"/>
      <c r="H469" s="7"/>
      <c r="I469" s="7"/>
      <c r="J469" s="7"/>
      <c r="K469" s="7"/>
      <c r="L469" s="7"/>
      <c r="M469" s="7"/>
      <c r="N469" s="7"/>
    </row>
    <row r="470" spans="6:14" ht="14.25" customHeight="1" x14ac:dyDescent="0.7">
      <c r="F470" s="7"/>
      <c r="G470" s="7"/>
      <c r="H470" s="7"/>
      <c r="I470" s="7"/>
      <c r="J470" s="7"/>
      <c r="K470" s="7"/>
      <c r="L470" s="7"/>
      <c r="M470" s="7"/>
      <c r="N470" s="7"/>
    </row>
    <row r="471" spans="6:14" ht="14.25" customHeight="1" x14ac:dyDescent="0.7">
      <c r="F471" s="7"/>
      <c r="G471" s="7"/>
      <c r="H471" s="7"/>
      <c r="I471" s="7"/>
      <c r="J471" s="7"/>
      <c r="K471" s="7"/>
      <c r="L471" s="7"/>
      <c r="M471" s="7"/>
      <c r="N471" s="7"/>
    </row>
    <row r="472" spans="6:14" ht="14.25" customHeight="1" x14ac:dyDescent="0.7">
      <c r="F472" s="7"/>
      <c r="G472" s="7"/>
      <c r="H472" s="7"/>
      <c r="I472" s="7"/>
      <c r="J472" s="7"/>
      <c r="K472" s="7"/>
      <c r="L472" s="7"/>
      <c r="M472" s="7"/>
      <c r="N472" s="7"/>
    </row>
    <row r="473" spans="6:14" ht="14.25" customHeight="1" x14ac:dyDescent="0.7">
      <c r="F473" s="7"/>
      <c r="G473" s="7"/>
      <c r="H473" s="7"/>
      <c r="I473" s="7"/>
      <c r="J473" s="7"/>
      <c r="K473" s="7"/>
      <c r="L473" s="7"/>
      <c r="M473" s="7"/>
      <c r="N473" s="7"/>
    </row>
    <row r="474" spans="6:14" ht="14.25" customHeight="1" x14ac:dyDescent="0.7">
      <c r="F474" s="7"/>
      <c r="G474" s="7"/>
      <c r="H474" s="7"/>
      <c r="I474" s="7"/>
      <c r="J474" s="7"/>
      <c r="K474" s="7"/>
      <c r="L474" s="7"/>
      <c r="M474" s="7"/>
      <c r="N474" s="7"/>
    </row>
    <row r="475" spans="6:14" ht="14.25" customHeight="1" x14ac:dyDescent="0.7">
      <c r="F475" s="7"/>
      <c r="G475" s="7"/>
      <c r="H475" s="7"/>
      <c r="I475" s="7"/>
      <c r="J475" s="7"/>
      <c r="K475" s="7"/>
      <c r="L475" s="7"/>
      <c r="M475" s="7"/>
      <c r="N475" s="7"/>
    </row>
    <row r="476" spans="6:14" ht="14.25" customHeight="1" x14ac:dyDescent="0.7">
      <c r="F476" s="7"/>
      <c r="G476" s="7"/>
      <c r="H476" s="7"/>
      <c r="I476" s="7"/>
      <c r="J476" s="7"/>
      <c r="K476" s="7"/>
      <c r="L476" s="7"/>
      <c r="M476" s="7"/>
      <c r="N476" s="7"/>
    </row>
    <row r="477" spans="6:14" ht="14.25" customHeight="1" x14ac:dyDescent="0.7">
      <c r="F477" s="7"/>
      <c r="G477" s="7"/>
      <c r="H477" s="7"/>
      <c r="I477" s="7"/>
      <c r="J477" s="7"/>
      <c r="K477" s="7"/>
      <c r="L477" s="7"/>
      <c r="M477" s="7"/>
      <c r="N477" s="7"/>
    </row>
    <row r="478" spans="6:14" ht="14.25" customHeight="1" x14ac:dyDescent="0.7">
      <c r="F478" s="7"/>
      <c r="G478" s="7"/>
      <c r="H478" s="7"/>
      <c r="I478" s="7"/>
      <c r="J478" s="7"/>
      <c r="K478" s="7"/>
      <c r="L478" s="7"/>
      <c r="M478" s="7"/>
      <c r="N478" s="7"/>
    </row>
    <row r="479" spans="6:14" ht="14.25" customHeight="1" x14ac:dyDescent="0.7">
      <c r="F479" s="7"/>
      <c r="G479" s="7"/>
      <c r="H479" s="7"/>
      <c r="I479" s="7"/>
      <c r="J479" s="7"/>
      <c r="K479" s="7"/>
      <c r="L479" s="7"/>
      <c r="M479" s="7"/>
      <c r="N479" s="7"/>
    </row>
    <row r="480" spans="6:14" ht="14.25" customHeight="1" x14ac:dyDescent="0.7">
      <c r="F480" s="7"/>
      <c r="G480" s="7"/>
      <c r="H480" s="7"/>
      <c r="I480" s="7"/>
      <c r="J480" s="7"/>
      <c r="K480" s="7"/>
      <c r="L480" s="7"/>
      <c r="M480" s="7"/>
      <c r="N480" s="7"/>
    </row>
    <row r="481" spans="6:14" ht="14.25" customHeight="1" x14ac:dyDescent="0.7">
      <c r="F481" s="7"/>
      <c r="G481" s="7"/>
      <c r="H481" s="7"/>
      <c r="I481" s="7"/>
      <c r="J481" s="7"/>
      <c r="K481" s="7"/>
      <c r="L481" s="7"/>
      <c r="M481" s="7"/>
      <c r="N481" s="7"/>
    </row>
    <row r="482" spans="6:14" ht="14.25" customHeight="1" x14ac:dyDescent="0.7">
      <c r="F482" s="7"/>
      <c r="G482" s="7"/>
      <c r="H482" s="7"/>
      <c r="I482" s="7"/>
      <c r="J482" s="7"/>
      <c r="K482" s="7"/>
      <c r="L482" s="7"/>
      <c r="M482" s="7"/>
      <c r="N482" s="7"/>
    </row>
    <row r="483" spans="6:14" ht="14.25" customHeight="1" x14ac:dyDescent="0.7">
      <c r="F483" s="7"/>
      <c r="G483" s="7"/>
      <c r="H483" s="7"/>
      <c r="I483" s="7"/>
      <c r="J483" s="7"/>
      <c r="K483" s="7"/>
      <c r="L483" s="7"/>
      <c r="M483" s="7"/>
      <c r="N483" s="7"/>
    </row>
    <row r="484" spans="6:14" ht="14.25" customHeight="1" x14ac:dyDescent="0.7">
      <c r="F484" s="7"/>
      <c r="G484" s="7"/>
      <c r="H484" s="7"/>
      <c r="I484" s="7"/>
      <c r="J484" s="7"/>
      <c r="K484" s="7"/>
      <c r="L484" s="7"/>
      <c r="M484" s="7"/>
      <c r="N484" s="7"/>
    </row>
    <row r="485" spans="6:14" ht="14.25" customHeight="1" x14ac:dyDescent="0.7">
      <c r="F485" s="7"/>
      <c r="G485" s="7"/>
      <c r="H485" s="7"/>
      <c r="I485" s="7"/>
      <c r="J485" s="7"/>
      <c r="K485" s="7"/>
      <c r="L485" s="7"/>
      <c r="M485" s="7"/>
      <c r="N485" s="7"/>
    </row>
    <row r="486" spans="6:14" ht="14.25" customHeight="1" x14ac:dyDescent="0.7">
      <c r="F486" s="7"/>
      <c r="G486" s="7"/>
      <c r="H486" s="7"/>
      <c r="I486" s="7"/>
      <c r="J486" s="7"/>
      <c r="K486" s="7"/>
      <c r="L486" s="7"/>
      <c r="M486" s="7"/>
      <c r="N486" s="7"/>
    </row>
    <row r="487" spans="6:14" ht="14.25" customHeight="1" x14ac:dyDescent="0.7">
      <c r="F487" s="7"/>
      <c r="G487" s="7"/>
      <c r="H487" s="7"/>
      <c r="I487" s="7"/>
      <c r="J487" s="7"/>
      <c r="K487" s="7"/>
      <c r="L487" s="7"/>
      <c r="M487" s="7"/>
      <c r="N487" s="7"/>
    </row>
    <row r="488" spans="6:14" ht="14.25" customHeight="1" x14ac:dyDescent="0.7">
      <c r="F488" s="7"/>
      <c r="G488" s="7"/>
      <c r="H488" s="7"/>
      <c r="I488" s="7"/>
      <c r="J488" s="7"/>
      <c r="K488" s="7"/>
      <c r="L488" s="7"/>
      <c r="M488" s="7"/>
      <c r="N488" s="7"/>
    </row>
    <row r="489" spans="6:14" ht="14.25" customHeight="1" x14ac:dyDescent="0.7">
      <c r="F489" s="7"/>
      <c r="G489" s="7"/>
      <c r="H489" s="7"/>
      <c r="I489" s="7"/>
      <c r="J489" s="7"/>
      <c r="K489" s="7"/>
      <c r="L489" s="7"/>
      <c r="M489" s="7"/>
      <c r="N489" s="7"/>
    </row>
    <row r="490" spans="6:14" ht="14.25" customHeight="1" x14ac:dyDescent="0.7">
      <c r="F490" s="7"/>
      <c r="G490" s="7"/>
      <c r="H490" s="7"/>
      <c r="I490" s="7"/>
      <c r="J490" s="7"/>
      <c r="K490" s="7"/>
      <c r="L490" s="7"/>
      <c r="M490" s="7"/>
      <c r="N490" s="7"/>
    </row>
    <row r="491" spans="6:14" ht="14.25" customHeight="1" x14ac:dyDescent="0.7">
      <c r="F491" s="7"/>
      <c r="G491" s="7"/>
      <c r="H491" s="7"/>
      <c r="I491" s="7"/>
      <c r="J491" s="7"/>
      <c r="K491" s="7"/>
      <c r="L491" s="7"/>
      <c r="M491" s="7"/>
      <c r="N491" s="7"/>
    </row>
    <row r="492" spans="6:14" ht="14.25" customHeight="1" x14ac:dyDescent="0.7">
      <c r="F492" s="7"/>
      <c r="G492" s="7"/>
      <c r="H492" s="7"/>
      <c r="I492" s="7"/>
      <c r="J492" s="7"/>
      <c r="K492" s="7"/>
      <c r="L492" s="7"/>
      <c r="M492" s="7"/>
      <c r="N492" s="7"/>
    </row>
    <row r="493" spans="6:14" ht="14.25" customHeight="1" x14ac:dyDescent="0.7">
      <c r="F493" s="7"/>
      <c r="G493" s="7"/>
      <c r="H493" s="7"/>
      <c r="I493" s="7"/>
      <c r="J493" s="7"/>
      <c r="K493" s="7"/>
      <c r="L493" s="7"/>
      <c r="M493" s="7"/>
      <c r="N493" s="7"/>
    </row>
    <row r="494" spans="6:14" ht="14.25" customHeight="1" x14ac:dyDescent="0.7">
      <c r="F494" s="7"/>
      <c r="G494" s="7"/>
      <c r="H494" s="7"/>
      <c r="I494" s="7"/>
      <c r="J494" s="7"/>
      <c r="K494" s="7"/>
      <c r="L494" s="7"/>
      <c r="M494" s="7"/>
      <c r="N494" s="7"/>
    </row>
    <row r="495" spans="6:14" ht="14.25" customHeight="1" x14ac:dyDescent="0.7">
      <c r="F495" s="7"/>
      <c r="G495" s="7"/>
      <c r="H495" s="7"/>
      <c r="I495" s="7"/>
      <c r="J495" s="7"/>
      <c r="K495" s="7"/>
      <c r="L495" s="7"/>
      <c r="M495" s="7"/>
      <c r="N495" s="7"/>
    </row>
    <row r="496" spans="6:14" ht="14.25" customHeight="1" x14ac:dyDescent="0.7">
      <c r="F496" s="7"/>
      <c r="G496" s="7"/>
      <c r="H496" s="7"/>
      <c r="I496" s="7"/>
      <c r="J496" s="7"/>
      <c r="K496" s="7"/>
      <c r="L496" s="7"/>
      <c r="M496" s="7"/>
      <c r="N496" s="7"/>
    </row>
    <row r="497" spans="6:14" ht="14.25" customHeight="1" x14ac:dyDescent="0.7">
      <c r="F497" s="7"/>
      <c r="G497" s="7"/>
      <c r="H497" s="7"/>
      <c r="I497" s="7"/>
      <c r="J497" s="7"/>
      <c r="K497" s="7"/>
      <c r="L497" s="7"/>
      <c r="M497" s="7"/>
      <c r="N497" s="7"/>
    </row>
    <row r="498" spans="6:14" ht="14.25" customHeight="1" x14ac:dyDescent="0.7">
      <c r="F498" s="7"/>
      <c r="G498" s="7"/>
      <c r="H498" s="7"/>
      <c r="I498" s="7"/>
      <c r="J498" s="7"/>
      <c r="K498" s="7"/>
      <c r="L498" s="7"/>
      <c r="M498" s="7"/>
      <c r="N498" s="7"/>
    </row>
    <row r="499" spans="6:14" ht="14.25" customHeight="1" x14ac:dyDescent="0.7">
      <c r="F499" s="7"/>
      <c r="G499" s="7"/>
      <c r="H499" s="7"/>
      <c r="I499" s="7"/>
      <c r="J499" s="7"/>
      <c r="K499" s="7"/>
      <c r="L499" s="7"/>
      <c r="M499" s="7"/>
      <c r="N499" s="7"/>
    </row>
    <row r="500" spans="6:14" ht="14.25" customHeight="1" x14ac:dyDescent="0.7">
      <c r="F500" s="7"/>
      <c r="G500" s="7"/>
      <c r="H500" s="7"/>
      <c r="I500" s="7"/>
      <c r="J500" s="7"/>
      <c r="K500" s="7"/>
      <c r="L500" s="7"/>
      <c r="M500" s="7"/>
      <c r="N500" s="7"/>
    </row>
    <row r="501" spans="6:14" ht="14.25" customHeight="1" x14ac:dyDescent="0.7">
      <c r="F501" s="7"/>
      <c r="G501" s="7"/>
      <c r="H501" s="7"/>
      <c r="I501" s="7"/>
      <c r="J501" s="7"/>
      <c r="K501" s="7"/>
      <c r="L501" s="7"/>
      <c r="M501" s="7"/>
      <c r="N501" s="7"/>
    </row>
    <row r="502" spans="6:14" ht="14.25" customHeight="1" x14ac:dyDescent="0.7">
      <c r="F502" s="7"/>
      <c r="G502" s="7"/>
      <c r="H502" s="7"/>
      <c r="I502" s="7"/>
      <c r="J502" s="7"/>
      <c r="K502" s="7"/>
      <c r="L502" s="7"/>
      <c r="M502" s="7"/>
      <c r="N502" s="7"/>
    </row>
    <row r="503" spans="6:14" ht="14.25" customHeight="1" x14ac:dyDescent="0.7">
      <c r="F503" s="7"/>
      <c r="G503" s="7"/>
      <c r="H503" s="7"/>
      <c r="I503" s="7"/>
      <c r="J503" s="7"/>
      <c r="K503" s="7"/>
      <c r="L503" s="7"/>
      <c r="M503" s="7"/>
      <c r="N503" s="7"/>
    </row>
    <row r="504" spans="6:14" ht="14.25" customHeight="1" x14ac:dyDescent="0.7">
      <c r="F504" s="7"/>
      <c r="G504" s="7"/>
      <c r="H504" s="7"/>
      <c r="I504" s="7"/>
      <c r="J504" s="7"/>
      <c r="K504" s="7"/>
      <c r="L504" s="7"/>
      <c r="M504" s="7"/>
      <c r="N504" s="7"/>
    </row>
    <row r="505" spans="6:14" ht="14.25" customHeight="1" x14ac:dyDescent="0.7">
      <c r="F505" s="7"/>
      <c r="G505" s="7"/>
      <c r="H505" s="7"/>
      <c r="I505" s="7"/>
      <c r="J505" s="7"/>
      <c r="K505" s="7"/>
      <c r="L505" s="7"/>
      <c r="M505" s="7"/>
      <c r="N505" s="7"/>
    </row>
    <row r="506" spans="6:14" ht="14.25" customHeight="1" x14ac:dyDescent="0.7">
      <c r="F506" s="7"/>
      <c r="G506" s="7"/>
      <c r="H506" s="7"/>
      <c r="I506" s="7"/>
      <c r="J506" s="7"/>
      <c r="K506" s="7"/>
      <c r="L506" s="7"/>
      <c r="M506" s="7"/>
      <c r="N506" s="7"/>
    </row>
    <row r="507" spans="6:14" ht="14.25" customHeight="1" x14ac:dyDescent="0.7">
      <c r="F507" s="7"/>
      <c r="G507" s="7"/>
      <c r="H507" s="7"/>
      <c r="I507" s="7"/>
      <c r="J507" s="7"/>
      <c r="K507" s="7"/>
      <c r="L507" s="7"/>
      <c r="M507" s="7"/>
      <c r="N507" s="7"/>
    </row>
    <row r="508" spans="6:14" ht="14.25" customHeight="1" x14ac:dyDescent="0.7">
      <c r="F508" s="7"/>
      <c r="G508" s="7"/>
      <c r="H508" s="7"/>
      <c r="I508" s="7"/>
      <c r="J508" s="7"/>
      <c r="K508" s="7"/>
      <c r="L508" s="7"/>
      <c r="M508" s="7"/>
      <c r="N508" s="7"/>
    </row>
    <row r="509" spans="6:14" ht="14.25" customHeight="1" x14ac:dyDescent="0.7">
      <c r="F509" s="7"/>
      <c r="G509" s="7"/>
      <c r="H509" s="7"/>
      <c r="I509" s="7"/>
      <c r="J509" s="7"/>
      <c r="K509" s="7"/>
      <c r="L509" s="7"/>
      <c r="M509" s="7"/>
      <c r="N509" s="7"/>
    </row>
    <row r="510" spans="6:14" ht="14.25" customHeight="1" x14ac:dyDescent="0.7">
      <c r="F510" s="7"/>
      <c r="G510" s="7"/>
      <c r="H510" s="7"/>
      <c r="I510" s="7"/>
      <c r="J510" s="7"/>
      <c r="K510" s="7"/>
      <c r="L510" s="7"/>
      <c r="M510" s="7"/>
      <c r="N510" s="7"/>
    </row>
    <row r="511" spans="6:14" ht="14.25" customHeight="1" x14ac:dyDescent="0.7">
      <c r="F511" s="7"/>
      <c r="G511" s="7"/>
      <c r="H511" s="7"/>
      <c r="I511" s="7"/>
      <c r="J511" s="7"/>
      <c r="K511" s="7"/>
      <c r="L511" s="7"/>
      <c r="M511" s="7"/>
      <c r="N511" s="7"/>
    </row>
    <row r="512" spans="6:14" ht="14.25" customHeight="1" x14ac:dyDescent="0.7">
      <c r="F512" s="7"/>
      <c r="G512" s="7"/>
      <c r="H512" s="7"/>
      <c r="I512" s="7"/>
      <c r="J512" s="7"/>
      <c r="K512" s="7"/>
      <c r="L512" s="7"/>
      <c r="M512" s="7"/>
      <c r="N512" s="7"/>
    </row>
    <row r="513" spans="6:14" ht="14.25" customHeight="1" x14ac:dyDescent="0.7">
      <c r="F513" s="7"/>
      <c r="G513" s="7"/>
      <c r="H513" s="7"/>
      <c r="I513" s="7"/>
      <c r="J513" s="7"/>
      <c r="K513" s="7"/>
      <c r="L513" s="7"/>
      <c r="M513" s="7"/>
      <c r="N513" s="7"/>
    </row>
    <row r="514" spans="6:14" ht="14.25" customHeight="1" x14ac:dyDescent="0.7">
      <c r="F514" s="7"/>
      <c r="G514" s="7"/>
      <c r="H514" s="7"/>
      <c r="I514" s="7"/>
      <c r="J514" s="7"/>
      <c r="K514" s="7"/>
      <c r="L514" s="7"/>
      <c r="M514" s="7"/>
      <c r="N514" s="7"/>
    </row>
    <row r="515" spans="6:14" ht="14.25" customHeight="1" x14ac:dyDescent="0.7">
      <c r="F515" s="7"/>
      <c r="G515" s="7"/>
      <c r="H515" s="7"/>
      <c r="I515" s="7"/>
      <c r="J515" s="7"/>
      <c r="K515" s="7"/>
      <c r="L515" s="7"/>
      <c r="M515" s="7"/>
      <c r="N515" s="7"/>
    </row>
    <row r="516" spans="6:14" ht="14.25" customHeight="1" x14ac:dyDescent="0.7">
      <c r="F516" s="7"/>
      <c r="G516" s="7"/>
      <c r="H516" s="7"/>
      <c r="I516" s="7"/>
      <c r="J516" s="7"/>
      <c r="K516" s="7"/>
      <c r="L516" s="7"/>
      <c r="M516" s="7"/>
      <c r="N516" s="7"/>
    </row>
    <row r="517" spans="6:14" ht="14.25" customHeight="1" x14ac:dyDescent="0.7">
      <c r="F517" s="7"/>
      <c r="G517" s="7"/>
      <c r="H517" s="7"/>
      <c r="I517" s="7"/>
      <c r="J517" s="7"/>
      <c r="K517" s="7"/>
      <c r="L517" s="7"/>
      <c r="M517" s="7"/>
      <c r="N517" s="7"/>
    </row>
    <row r="518" spans="6:14" ht="14.25" customHeight="1" x14ac:dyDescent="0.7">
      <c r="F518" s="7"/>
      <c r="G518" s="7"/>
      <c r="H518" s="7"/>
      <c r="I518" s="7"/>
      <c r="J518" s="7"/>
      <c r="K518" s="7"/>
      <c r="L518" s="7"/>
      <c r="M518" s="7"/>
      <c r="N518" s="7"/>
    </row>
    <row r="519" spans="6:14" ht="14.25" customHeight="1" x14ac:dyDescent="0.7">
      <c r="F519" s="7"/>
      <c r="G519" s="7"/>
      <c r="H519" s="7"/>
      <c r="I519" s="7"/>
      <c r="J519" s="7"/>
      <c r="K519" s="7"/>
      <c r="L519" s="7"/>
      <c r="M519" s="7"/>
      <c r="N519" s="7"/>
    </row>
    <row r="520" spans="6:14" ht="14.25" customHeight="1" x14ac:dyDescent="0.7">
      <c r="F520" s="7"/>
      <c r="G520" s="7"/>
      <c r="H520" s="7"/>
      <c r="I520" s="7"/>
      <c r="J520" s="7"/>
      <c r="K520" s="7"/>
      <c r="L520" s="7"/>
      <c r="M520" s="7"/>
      <c r="N520" s="7"/>
    </row>
    <row r="521" spans="6:14" ht="14.25" customHeight="1" x14ac:dyDescent="0.7">
      <c r="F521" s="7"/>
      <c r="G521" s="7"/>
      <c r="H521" s="7"/>
      <c r="I521" s="7"/>
      <c r="J521" s="7"/>
      <c r="K521" s="7"/>
      <c r="L521" s="7"/>
      <c r="M521" s="7"/>
      <c r="N521" s="7"/>
    </row>
    <row r="522" spans="6:14" ht="14.25" customHeight="1" x14ac:dyDescent="0.7">
      <c r="F522" s="7"/>
      <c r="G522" s="7"/>
      <c r="H522" s="7"/>
      <c r="I522" s="7"/>
      <c r="J522" s="7"/>
      <c r="K522" s="7"/>
      <c r="L522" s="7"/>
      <c r="M522" s="7"/>
      <c r="N522" s="7"/>
    </row>
    <row r="523" spans="6:14" ht="14.25" customHeight="1" x14ac:dyDescent="0.7">
      <c r="F523" s="7"/>
      <c r="G523" s="7"/>
      <c r="H523" s="7"/>
      <c r="I523" s="7"/>
      <c r="J523" s="7"/>
      <c r="K523" s="7"/>
      <c r="L523" s="7"/>
      <c r="M523" s="7"/>
      <c r="N523" s="7"/>
    </row>
    <row r="524" spans="6:14" ht="14.25" customHeight="1" x14ac:dyDescent="0.7">
      <c r="F524" s="7"/>
      <c r="G524" s="7"/>
      <c r="H524" s="7"/>
      <c r="I524" s="7"/>
      <c r="J524" s="7"/>
      <c r="K524" s="7"/>
      <c r="L524" s="7"/>
      <c r="M524" s="7"/>
      <c r="N524" s="7"/>
    </row>
    <row r="525" spans="6:14" ht="14.25" customHeight="1" x14ac:dyDescent="0.7">
      <c r="F525" s="7"/>
      <c r="G525" s="7"/>
      <c r="H525" s="7"/>
      <c r="I525" s="7"/>
      <c r="J525" s="7"/>
      <c r="K525" s="7"/>
      <c r="L525" s="7"/>
      <c r="M525" s="7"/>
      <c r="N525" s="7"/>
    </row>
    <row r="526" spans="6:14" ht="14.25" customHeight="1" x14ac:dyDescent="0.7">
      <c r="F526" s="7"/>
      <c r="G526" s="7"/>
      <c r="H526" s="7"/>
      <c r="I526" s="7"/>
      <c r="J526" s="7"/>
      <c r="K526" s="7"/>
      <c r="L526" s="7"/>
      <c r="M526" s="7"/>
      <c r="N526" s="7"/>
    </row>
    <row r="527" spans="6:14" ht="14.25" customHeight="1" x14ac:dyDescent="0.7">
      <c r="F527" s="7"/>
      <c r="G527" s="7"/>
      <c r="H527" s="7"/>
      <c r="I527" s="7"/>
      <c r="J527" s="7"/>
      <c r="K527" s="7"/>
      <c r="L527" s="7"/>
      <c r="M527" s="7"/>
      <c r="N527" s="7"/>
    </row>
    <row r="528" spans="6:14" ht="14.25" customHeight="1" x14ac:dyDescent="0.7">
      <c r="F528" s="7"/>
      <c r="G528" s="7"/>
      <c r="H528" s="7"/>
      <c r="I528" s="7"/>
      <c r="J528" s="7"/>
      <c r="K528" s="7"/>
      <c r="L528" s="7"/>
      <c r="M528" s="7"/>
      <c r="N528" s="7"/>
    </row>
    <row r="529" spans="6:14" ht="14.25" customHeight="1" x14ac:dyDescent="0.7">
      <c r="F529" s="7"/>
      <c r="G529" s="7"/>
      <c r="H529" s="7"/>
      <c r="I529" s="7"/>
      <c r="J529" s="7"/>
      <c r="K529" s="7"/>
      <c r="L529" s="7"/>
      <c r="M529" s="7"/>
      <c r="N529" s="7"/>
    </row>
    <row r="530" spans="6:14" ht="14.25" customHeight="1" x14ac:dyDescent="0.7">
      <c r="F530" s="7"/>
      <c r="G530" s="7"/>
      <c r="H530" s="7"/>
      <c r="I530" s="7"/>
      <c r="J530" s="7"/>
      <c r="K530" s="7"/>
      <c r="L530" s="7"/>
      <c r="M530" s="7"/>
      <c r="N530" s="7"/>
    </row>
    <row r="531" spans="6:14" ht="14.25" customHeight="1" x14ac:dyDescent="0.7">
      <c r="F531" s="7"/>
      <c r="G531" s="7"/>
      <c r="H531" s="7"/>
      <c r="I531" s="7"/>
      <c r="J531" s="7"/>
      <c r="K531" s="7"/>
      <c r="L531" s="7"/>
      <c r="M531" s="7"/>
      <c r="N531" s="7"/>
    </row>
    <row r="532" spans="6:14" ht="14.25" customHeight="1" x14ac:dyDescent="0.7">
      <c r="F532" s="7"/>
      <c r="G532" s="7"/>
      <c r="H532" s="7"/>
      <c r="I532" s="7"/>
      <c r="J532" s="7"/>
      <c r="K532" s="7"/>
      <c r="L532" s="7"/>
      <c r="M532" s="7"/>
      <c r="N532" s="7"/>
    </row>
    <row r="533" spans="6:14" ht="14.25" customHeight="1" x14ac:dyDescent="0.7">
      <c r="F533" s="7"/>
      <c r="G533" s="7"/>
      <c r="H533" s="7"/>
      <c r="I533" s="7"/>
      <c r="J533" s="7"/>
      <c r="K533" s="7"/>
      <c r="L533" s="7"/>
      <c r="M533" s="7"/>
      <c r="N533" s="7"/>
    </row>
    <row r="534" spans="6:14" ht="14.25" customHeight="1" x14ac:dyDescent="0.7">
      <c r="F534" s="7"/>
      <c r="G534" s="7"/>
      <c r="H534" s="7"/>
      <c r="I534" s="7"/>
      <c r="J534" s="7"/>
      <c r="K534" s="7"/>
      <c r="L534" s="7"/>
      <c r="M534" s="7"/>
      <c r="N534" s="7"/>
    </row>
    <row r="535" spans="6:14" ht="14.25" customHeight="1" x14ac:dyDescent="0.7">
      <c r="F535" s="7"/>
      <c r="G535" s="7"/>
      <c r="H535" s="7"/>
      <c r="I535" s="7"/>
      <c r="J535" s="7"/>
      <c r="K535" s="7"/>
      <c r="L535" s="7"/>
      <c r="M535" s="7"/>
      <c r="N535" s="7"/>
    </row>
    <row r="536" spans="6:14" ht="14.25" customHeight="1" x14ac:dyDescent="0.7">
      <c r="F536" s="7"/>
      <c r="G536" s="7"/>
      <c r="H536" s="7"/>
      <c r="I536" s="7"/>
      <c r="J536" s="7"/>
      <c r="K536" s="7"/>
      <c r="L536" s="7"/>
      <c r="M536" s="7"/>
      <c r="N536" s="7"/>
    </row>
    <row r="537" spans="6:14" ht="14.25" customHeight="1" x14ac:dyDescent="0.7">
      <c r="F537" s="7"/>
      <c r="G537" s="7"/>
      <c r="H537" s="7"/>
      <c r="I537" s="7"/>
      <c r="J537" s="7"/>
      <c r="K537" s="7"/>
      <c r="L537" s="7"/>
      <c r="M537" s="7"/>
      <c r="N537" s="7"/>
    </row>
    <row r="538" spans="6:14" ht="14.25" customHeight="1" x14ac:dyDescent="0.7">
      <c r="F538" s="7"/>
      <c r="G538" s="7"/>
      <c r="H538" s="7"/>
      <c r="I538" s="7"/>
      <c r="J538" s="7"/>
      <c r="K538" s="7"/>
      <c r="L538" s="7"/>
      <c r="M538" s="7"/>
      <c r="N538" s="7"/>
    </row>
    <row r="539" spans="6:14" ht="14.25" customHeight="1" x14ac:dyDescent="0.7">
      <c r="F539" s="7"/>
      <c r="G539" s="7"/>
      <c r="H539" s="7"/>
      <c r="I539" s="7"/>
      <c r="J539" s="7"/>
      <c r="K539" s="7"/>
      <c r="L539" s="7"/>
      <c r="M539" s="7"/>
      <c r="N539" s="7"/>
    </row>
    <row r="540" spans="6:14" ht="14.25" customHeight="1" x14ac:dyDescent="0.7">
      <c r="F540" s="7"/>
      <c r="G540" s="7"/>
      <c r="H540" s="7"/>
      <c r="I540" s="7"/>
      <c r="J540" s="7"/>
      <c r="K540" s="7"/>
      <c r="L540" s="7"/>
      <c r="M540" s="7"/>
      <c r="N540" s="7"/>
    </row>
    <row r="541" spans="6:14" ht="14.25" customHeight="1" x14ac:dyDescent="0.7">
      <c r="F541" s="7"/>
      <c r="G541" s="7"/>
      <c r="H541" s="7"/>
      <c r="I541" s="7"/>
      <c r="J541" s="7"/>
      <c r="K541" s="7"/>
      <c r="L541" s="7"/>
      <c r="M541" s="7"/>
      <c r="N541" s="7"/>
    </row>
    <row r="542" spans="6:14" ht="14.25" customHeight="1" x14ac:dyDescent="0.7">
      <c r="F542" s="7"/>
      <c r="G542" s="7"/>
      <c r="H542" s="7"/>
      <c r="I542" s="7"/>
      <c r="J542" s="7"/>
      <c r="K542" s="7"/>
      <c r="L542" s="7"/>
      <c r="M542" s="7"/>
      <c r="N542" s="7"/>
    </row>
    <row r="543" spans="6:14" ht="14.25" customHeight="1" x14ac:dyDescent="0.7">
      <c r="F543" s="7"/>
      <c r="G543" s="7"/>
      <c r="H543" s="7"/>
      <c r="I543" s="7"/>
      <c r="J543" s="7"/>
      <c r="K543" s="7"/>
      <c r="L543" s="7"/>
      <c r="M543" s="7"/>
      <c r="N543" s="7"/>
    </row>
    <row r="544" spans="6:14" ht="14.25" customHeight="1" x14ac:dyDescent="0.7">
      <c r="F544" s="7"/>
      <c r="G544" s="7"/>
      <c r="H544" s="7"/>
      <c r="I544" s="7"/>
      <c r="J544" s="7"/>
      <c r="K544" s="7"/>
      <c r="L544" s="7"/>
      <c r="M544" s="7"/>
      <c r="N544" s="7"/>
    </row>
    <row r="545" spans="6:14" ht="14.25" customHeight="1" x14ac:dyDescent="0.7">
      <c r="F545" s="7"/>
      <c r="G545" s="7"/>
      <c r="H545" s="7"/>
      <c r="I545" s="7"/>
      <c r="J545" s="7"/>
      <c r="K545" s="7"/>
      <c r="L545" s="7"/>
      <c r="M545" s="7"/>
      <c r="N545" s="7"/>
    </row>
    <row r="546" spans="6:14" ht="14.25" customHeight="1" x14ac:dyDescent="0.7">
      <c r="F546" s="7"/>
      <c r="G546" s="7"/>
      <c r="H546" s="7"/>
      <c r="I546" s="7"/>
      <c r="J546" s="7"/>
      <c r="K546" s="7"/>
      <c r="L546" s="7"/>
      <c r="M546" s="7"/>
      <c r="N546" s="7"/>
    </row>
    <row r="547" spans="6:14" ht="14.25" customHeight="1" x14ac:dyDescent="0.7">
      <c r="F547" s="7"/>
      <c r="G547" s="7"/>
      <c r="H547" s="7"/>
      <c r="I547" s="7"/>
      <c r="J547" s="7"/>
      <c r="K547" s="7"/>
      <c r="L547" s="7"/>
      <c r="M547" s="7"/>
      <c r="N547" s="7"/>
    </row>
    <row r="548" spans="6:14" ht="14.25" customHeight="1" x14ac:dyDescent="0.7">
      <c r="F548" s="7"/>
      <c r="G548" s="7"/>
      <c r="H548" s="7"/>
      <c r="I548" s="7"/>
      <c r="J548" s="7"/>
      <c r="K548" s="7"/>
      <c r="L548" s="7"/>
      <c r="M548" s="7"/>
      <c r="N548" s="7"/>
    </row>
    <row r="549" spans="6:14" ht="14.25" customHeight="1" x14ac:dyDescent="0.7">
      <c r="F549" s="7"/>
      <c r="G549" s="7"/>
      <c r="H549" s="7"/>
      <c r="I549" s="7"/>
      <c r="J549" s="7"/>
      <c r="K549" s="7"/>
      <c r="L549" s="7"/>
      <c r="M549" s="7"/>
      <c r="N549" s="7"/>
    </row>
    <row r="550" spans="6:14" ht="14.25" customHeight="1" x14ac:dyDescent="0.7">
      <c r="F550" s="7"/>
      <c r="G550" s="7"/>
      <c r="H550" s="7"/>
      <c r="I550" s="7"/>
      <c r="J550" s="7"/>
      <c r="K550" s="7"/>
      <c r="L550" s="7"/>
      <c r="M550" s="7"/>
      <c r="N550" s="7"/>
    </row>
    <row r="551" spans="6:14" ht="14.25" customHeight="1" x14ac:dyDescent="0.7">
      <c r="F551" s="7"/>
      <c r="G551" s="7"/>
      <c r="H551" s="7"/>
      <c r="I551" s="7"/>
      <c r="J551" s="7"/>
      <c r="K551" s="7"/>
      <c r="L551" s="7"/>
      <c r="M551" s="7"/>
      <c r="N551" s="7"/>
    </row>
    <row r="552" spans="6:14" ht="14.25" customHeight="1" x14ac:dyDescent="0.7">
      <c r="F552" s="7"/>
      <c r="G552" s="7"/>
      <c r="H552" s="7"/>
      <c r="I552" s="7"/>
      <c r="J552" s="7"/>
      <c r="K552" s="7"/>
      <c r="L552" s="7"/>
      <c r="M552" s="7"/>
      <c r="N552" s="7"/>
    </row>
    <row r="553" spans="6:14" ht="14.25" customHeight="1" x14ac:dyDescent="0.7">
      <c r="F553" s="7"/>
      <c r="G553" s="7"/>
      <c r="H553" s="7"/>
      <c r="I553" s="7"/>
      <c r="J553" s="7"/>
      <c r="K553" s="7"/>
      <c r="L553" s="7"/>
      <c r="M553" s="7"/>
      <c r="N553" s="7"/>
    </row>
    <row r="554" spans="6:14" ht="14.25" customHeight="1" x14ac:dyDescent="0.7">
      <c r="F554" s="7"/>
      <c r="G554" s="7"/>
      <c r="H554" s="7"/>
      <c r="I554" s="7"/>
      <c r="J554" s="7"/>
      <c r="K554" s="7"/>
      <c r="L554" s="7"/>
      <c r="M554" s="7"/>
      <c r="N554" s="7"/>
    </row>
    <row r="555" spans="6:14" ht="14.25" customHeight="1" x14ac:dyDescent="0.7">
      <c r="F555" s="7"/>
      <c r="G555" s="7"/>
      <c r="H555" s="7"/>
      <c r="I555" s="7"/>
      <c r="J555" s="7"/>
      <c r="K555" s="7"/>
      <c r="L555" s="7"/>
      <c r="M555" s="7"/>
      <c r="N555" s="7"/>
    </row>
    <row r="556" spans="6:14" ht="14.25" customHeight="1" x14ac:dyDescent="0.7">
      <c r="F556" s="7"/>
      <c r="G556" s="7"/>
      <c r="H556" s="7"/>
      <c r="I556" s="7"/>
      <c r="J556" s="7"/>
      <c r="K556" s="7"/>
      <c r="L556" s="7"/>
      <c r="M556" s="7"/>
      <c r="N556" s="7"/>
    </row>
    <row r="557" spans="6:14" ht="14.25" customHeight="1" x14ac:dyDescent="0.7">
      <c r="F557" s="7"/>
      <c r="G557" s="7"/>
      <c r="H557" s="7"/>
      <c r="I557" s="7"/>
      <c r="J557" s="7"/>
      <c r="K557" s="7"/>
      <c r="L557" s="7"/>
      <c r="M557" s="7"/>
      <c r="N557" s="7"/>
    </row>
    <row r="558" spans="6:14" ht="14.25" customHeight="1" x14ac:dyDescent="0.7">
      <c r="F558" s="7"/>
      <c r="G558" s="7"/>
      <c r="H558" s="7"/>
      <c r="I558" s="7"/>
      <c r="J558" s="7"/>
      <c r="K558" s="7"/>
      <c r="L558" s="7"/>
      <c r="M558" s="7"/>
      <c r="N558" s="7"/>
    </row>
    <row r="559" spans="6:14" ht="14.25" customHeight="1" x14ac:dyDescent="0.7">
      <c r="F559" s="7"/>
      <c r="G559" s="7"/>
      <c r="H559" s="7"/>
      <c r="I559" s="7"/>
      <c r="J559" s="7"/>
      <c r="K559" s="7"/>
      <c r="L559" s="7"/>
      <c r="M559" s="7"/>
      <c r="N559" s="7"/>
    </row>
    <row r="560" spans="6:14" ht="14.25" customHeight="1" x14ac:dyDescent="0.7">
      <c r="F560" s="7"/>
      <c r="G560" s="7"/>
      <c r="H560" s="7"/>
      <c r="I560" s="7"/>
      <c r="J560" s="7"/>
      <c r="K560" s="7"/>
      <c r="L560" s="7"/>
      <c r="M560" s="7"/>
      <c r="N560" s="7"/>
    </row>
    <row r="561" spans="6:14" ht="14.25" customHeight="1" x14ac:dyDescent="0.7">
      <c r="F561" s="7"/>
      <c r="G561" s="7"/>
      <c r="H561" s="7"/>
      <c r="I561" s="7"/>
      <c r="J561" s="7"/>
      <c r="K561" s="7"/>
      <c r="L561" s="7"/>
      <c r="M561" s="7"/>
      <c r="N561" s="7"/>
    </row>
    <row r="562" spans="6:14" ht="14.25" customHeight="1" x14ac:dyDescent="0.7">
      <c r="F562" s="7"/>
      <c r="G562" s="7"/>
      <c r="H562" s="7"/>
      <c r="I562" s="7"/>
      <c r="J562" s="7"/>
      <c r="K562" s="7"/>
      <c r="L562" s="7"/>
      <c r="M562" s="7"/>
      <c r="N562" s="7"/>
    </row>
    <row r="563" spans="6:14" ht="14.25" customHeight="1" x14ac:dyDescent="0.7">
      <c r="F563" s="7"/>
      <c r="G563" s="7"/>
      <c r="H563" s="7"/>
      <c r="I563" s="7"/>
      <c r="J563" s="7"/>
      <c r="K563" s="7"/>
      <c r="L563" s="7"/>
      <c r="M563" s="7"/>
      <c r="N563" s="7"/>
    </row>
    <row r="564" spans="6:14" ht="14.25" customHeight="1" x14ac:dyDescent="0.7">
      <c r="F564" s="7"/>
      <c r="G564" s="7"/>
      <c r="H564" s="7"/>
      <c r="I564" s="7"/>
      <c r="J564" s="7"/>
      <c r="K564" s="7"/>
      <c r="L564" s="7"/>
      <c r="M564" s="7"/>
      <c r="N564" s="7"/>
    </row>
    <row r="565" spans="6:14" ht="14.25" customHeight="1" x14ac:dyDescent="0.7">
      <c r="F565" s="7"/>
      <c r="G565" s="7"/>
      <c r="H565" s="7"/>
      <c r="I565" s="7"/>
      <c r="J565" s="7"/>
      <c r="K565" s="7"/>
      <c r="L565" s="7"/>
      <c r="M565" s="7"/>
      <c r="N565" s="7"/>
    </row>
    <row r="566" spans="6:14" ht="14.25" customHeight="1" x14ac:dyDescent="0.7">
      <c r="F566" s="7"/>
      <c r="G566" s="7"/>
      <c r="H566" s="7"/>
      <c r="I566" s="7"/>
      <c r="J566" s="7"/>
      <c r="K566" s="7"/>
      <c r="L566" s="7"/>
      <c r="M566" s="7"/>
      <c r="N566" s="7"/>
    </row>
    <row r="567" spans="6:14" ht="14.25" customHeight="1" x14ac:dyDescent="0.7">
      <c r="F567" s="7"/>
      <c r="G567" s="7"/>
      <c r="H567" s="7"/>
      <c r="I567" s="7"/>
      <c r="J567" s="7"/>
      <c r="K567" s="7"/>
      <c r="L567" s="7"/>
      <c r="M567" s="7"/>
      <c r="N567" s="7"/>
    </row>
    <row r="568" spans="6:14" ht="14.25" customHeight="1" x14ac:dyDescent="0.7">
      <c r="F568" s="7"/>
      <c r="G568" s="7"/>
      <c r="H568" s="7"/>
      <c r="I568" s="7"/>
      <c r="J568" s="7"/>
      <c r="K568" s="7"/>
      <c r="L568" s="7"/>
      <c r="M568" s="7"/>
      <c r="N568" s="7"/>
    </row>
    <row r="569" spans="6:14" ht="14.25" customHeight="1" x14ac:dyDescent="0.7">
      <c r="F569" s="7"/>
      <c r="G569" s="7"/>
      <c r="H569" s="7"/>
      <c r="I569" s="7"/>
      <c r="J569" s="7"/>
      <c r="K569" s="7"/>
      <c r="L569" s="7"/>
      <c r="M569" s="7"/>
      <c r="N569" s="7"/>
    </row>
    <row r="570" spans="6:14" ht="14.25" customHeight="1" x14ac:dyDescent="0.7">
      <c r="F570" s="7"/>
      <c r="G570" s="7"/>
      <c r="H570" s="7"/>
      <c r="I570" s="7"/>
      <c r="J570" s="7"/>
      <c r="K570" s="7"/>
      <c r="L570" s="7"/>
      <c r="M570" s="7"/>
      <c r="N570" s="7"/>
    </row>
    <row r="571" spans="6:14" ht="14.25" customHeight="1" x14ac:dyDescent="0.7">
      <c r="F571" s="7"/>
      <c r="G571" s="7"/>
      <c r="H571" s="7"/>
      <c r="I571" s="7"/>
      <c r="J571" s="7"/>
      <c r="K571" s="7"/>
      <c r="L571" s="7"/>
      <c r="M571" s="7"/>
      <c r="N571" s="7"/>
    </row>
    <row r="572" spans="6:14" ht="14.25" customHeight="1" x14ac:dyDescent="0.7">
      <c r="F572" s="7"/>
      <c r="G572" s="7"/>
      <c r="H572" s="7"/>
      <c r="I572" s="7"/>
      <c r="J572" s="7"/>
      <c r="K572" s="7"/>
      <c r="L572" s="7"/>
      <c r="M572" s="7"/>
      <c r="N572" s="7"/>
    </row>
    <row r="573" spans="6:14" ht="14.25" customHeight="1" x14ac:dyDescent="0.7">
      <c r="F573" s="7"/>
      <c r="G573" s="7"/>
      <c r="H573" s="7"/>
      <c r="I573" s="7"/>
      <c r="J573" s="7"/>
      <c r="K573" s="7"/>
      <c r="L573" s="7"/>
      <c r="M573" s="7"/>
      <c r="N573" s="7"/>
    </row>
    <row r="574" spans="6:14" ht="14.25" customHeight="1" x14ac:dyDescent="0.7">
      <c r="F574" s="7"/>
      <c r="G574" s="7"/>
      <c r="H574" s="7"/>
      <c r="I574" s="7"/>
      <c r="J574" s="7"/>
      <c r="K574" s="7"/>
      <c r="L574" s="7"/>
      <c r="M574" s="7"/>
      <c r="N574" s="7"/>
    </row>
    <row r="575" spans="6:14" ht="14.25" customHeight="1" x14ac:dyDescent="0.7">
      <c r="F575" s="7"/>
      <c r="G575" s="7"/>
      <c r="H575" s="7"/>
      <c r="I575" s="7"/>
      <c r="J575" s="7"/>
      <c r="K575" s="7"/>
      <c r="L575" s="7"/>
      <c r="M575" s="7"/>
      <c r="N575" s="7"/>
    </row>
    <row r="576" spans="6:14" ht="14.25" customHeight="1" x14ac:dyDescent="0.7">
      <c r="F576" s="7"/>
      <c r="G576" s="7"/>
      <c r="H576" s="7"/>
      <c r="I576" s="7"/>
      <c r="J576" s="7"/>
      <c r="K576" s="7"/>
      <c r="L576" s="7"/>
      <c r="M576" s="7"/>
      <c r="N576" s="7"/>
    </row>
    <row r="577" spans="6:14" ht="14.25" customHeight="1" x14ac:dyDescent="0.7">
      <c r="F577" s="7"/>
      <c r="G577" s="7"/>
      <c r="H577" s="7"/>
      <c r="I577" s="7"/>
      <c r="J577" s="7"/>
      <c r="K577" s="7"/>
      <c r="L577" s="7"/>
      <c r="M577" s="7"/>
      <c r="N577" s="7"/>
    </row>
    <row r="578" spans="6:14" ht="14.25" customHeight="1" x14ac:dyDescent="0.7">
      <c r="F578" s="7"/>
      <c r="G578" s="7"/>
      <c r="H578" s="7"/>
      <c r="I578" s="7"/>
      <c r="J578" s="7"/>
      <c r="K578" s="7"/>
      <c r="L578" s="7"/>
      <c r="M578" s="7"/>
      <c r="N578" s="7"/>
    </row>
    <row r="579" spans="6:14" ht="14.25" customHeight="1" x14ac:dyDescent="0.7">
      <c r="F579" s="7"/>
      <c r="G579" s="7"/>
      <c r="H579" s="7"/>
      <c r="I579" s="7"/>
      <c r="J579" s="7"/>
      <c r="K579" s="7"/>
      <c r="L579" s="7"/>
      <c r="M579" s="7"/>
      <c r="N579" s="7"/>
    </row>
    <row r="580" spans="6:14" ht="14.25" customHeight="1" x14ac:dyDescent="0.7">
      <c r="F580" s="7"/>
      <c r="G580" s="7"/>
      <c r="H580" s="7"/>
      <c r="I580" s="7"/>
      <c r="J580" s="7"/>
      <c r="K580" s="7"/>
      <c r="L580" s="7"/>
      <c r="M580" s="7"/>
      <c r="N580" s="7"/>
    </row>
    <row r="581" spans="6:14" ht="14.25" customHeight="1" x14ac:dyDescent="0.7">
      <c r="F581" s="7"/>
      <c r="G581" s="7"/>
      <c r="H581" s="7"/>
      <c r="I581" s="7"/>
      <c r="J581" s="7"/>
      <c r="K581" s="7"/>
      <c r="L581" s="7"/>
      <c r="M581" s="7"/>
      <c r="N581" s="7"/>
    </row>
    <row r="582" spans="6:14" ht="14.25" customHeight="1" x14ac:dyDescent="0.7">
      <c r="F582" s="7"/>
      <c r="G582" s="7"/>
      <c r="H582" s="7"/>
      <c r="I582" s="7"/>
      <c r="J582" s="7"/>
      <c r="K582" s="7"/>
      <c r="L582" s="7"/>
      <c r="M582" s="7"/>
      <c r="N582" s="7"/>
    </row>
    <row r="583" spans="6:14" ht="14.25" customHeight="1" x14ac:dyDescent="0.7">
      <c r="F583" s="7"/>
      <c r="G583" s="7"/>
      <c r="H583" s="7"/>
      <c r="I583" s="7"/>
      <c r="J583" s="7"/>
      <c r="K583" s="7"/>
      <c r="L583" s="7"/>
      <c r="M583" s="7"/>
      <c r="N583" s="7"/>
    </row>
    <row r="584" spans="6:14" ht="14.25" customHeight="1" x14ac:dyDescent="0.7">
      <c r="F584" s="7"/>
      <c r="G584" s="7"/>
      <c r="H584" s="7"/>
      <c r="I584" s="7"/>
      <c r="J584" s="7"/>
      <c r="K584" s="7"/>
      <c r="L584" s="7"/>
      <c r="M584" s="7"/>
      <c r="N584" s="7"/>
    </row>
    <row r="585" spans="6:14" ht="14.25" customHeight="1" x14ac:dyDescent="0.7">
      <c r="F585" s="7"/>
      <c r="G585" s="7"/>
      <c r="H585" s="7"/>
      <c r="I585" s="7"/>
      <c r="J585" s="7"/>
      <c r="K585" s="7"/>
      <c r="L585" s="7"/>
      <c r="M585" s="7"/>
      <c r="N585" s="7"/>
    </row>
    <row r="586" spans="6:14" ht="14.25" customHeight="1" x14ac:dyDescent="0.7">
      <c r="F586" s="7"/>
      <c r="G586" s="7"/>
      <c r="H586" s="7"/>
      <c r="I586" s="7"/>
      <c r="J586" s="7"/>
      <c r="K586" s="7"/>
      <c r="L586" s="7"/>
      <c r="M586" s="7"/>
      <c r="N586" s="7"/>
    </row>
    <row r="587" spans="6:14" ht="14.25" customHeight="1" x14ac:dyDescent="0.7">
      <c r="F587" s="7"/>
      <c r="G587" s="7"/>
      <c r="H587" s="7"/>
      <c r="I587" s="7"/>
      <c r="J587" s="7"/>
      <c r="K587" s="7"/>
      <c r="L587" s="7"/>
      <c r="M587" s="7"/>
      <c r="N587" s="7"/>
    </row>
    <row r="588" spans="6:14" ht="14.25" customHeight="1" x14ac:dyDescent="0.7">
      <c r="F588" s="7"/>
      <c r="G588" s="7"/>
      <c r="H588" s="7"/>
      <c r="I588" s="7"/>
      <c r="J588" s="7"/>
      <c r="K588" s="7"/>
      <c r="L588" s="7"/>
      <c r="M588" s="7"/>
      <c r="N588" s="7"/>
    </row>
    <row r="589" spans="6:14" ht="14.25" customHeight="1" x14ac:dyDescent="0.7">
      <c r="F589" s="7"/>
      <c r="G589" s="7"/>
      <c r="H589" s="7"/>
      <c r="I589" s="7"/>
      <c r="J589" s="7"/>
      <c r="K589" s="7"/>
      <c r="L589" s="7"/>
      <c r="M589" s="7"/>
      <c r="N589" s="7"/>
    </row>
    <row r="590" spans="6:14" ht="14.25" customHeight="1" x14ac:dyDescent="0.7">
      <c r="F590" s="7"/>
      <c r="G590" s="7"/>
      <c r="H590" s="7"/>
      <c r="I590" s="7"/>
      <c r="J590" s="7"/>
      <c r="K590" s="7"/>
      <c r="L590" s="7"/>
      <c r="M590" s="7"/>
      <c r="N590" s="7"/>
    </row>
    <row r="591" spans="6:14" ht="14.25" customHeight="1" x14ac:dyDescent="0.7">
      <c r="F591" s="7"/>
      <c r="G591" s="7"/>
      <c r="H591" s="7"/>
      <c r="I591" s="7"/>
      <c r="J591" s="7"/>
      <c r="K591" s="7"/>
      <c r="L591" s="7"/>
      <c r="M591" s="7"/>
      <c r="N591" s="7"/>
    </row>
    <row r="592" spans="6:14" ht="14.25" customHeight="1" x14ac:dyDescent="0.7">
      <c r="F592" s="7"/>
      <c r="G592" s="7"/>
      <c r="H592" s="7"/>
      <c r="I592" s="7"/>
      <c r="J592" s="7"/>
      <c r="K592" s="7"/>
      <c r="L592" s="7"/>
      <c r="M592" s="7"/>
      <c r="N592" s="7"/>
    </row>
    <row r="593" spans="6:14" ht="14.25" customHeight="1" x14ac:dyDescent="0.7">
      <c r="F593" s="7"/>
      <c r="G593" s="7"/>
      <c r="H593" s="7"/>
      <c r="I593" s="7"/>
      <c r="J593" s="7"/>
      <c r="K593" s="7"/>
      <c r="L593" s="7"/>
      <c r="M593" s="7"/>
      <c r="N593" s="7"/>
    </row>
    <row r="594" spans="6:14" ht="14.25" customHeight="1" x14ac:dyDescent="0.7">
      <c r="F594" s="7"/>
      <c r="G594" s="7"/>
      <c r="H594" s="7"/>
      <c r="I594" s="7"/>
      <c r="J594" s="7"/>
      <c r="K594" s="7"/>
      <c r="L594" s="7"/>
      <c r="M594" s="7"/>
      <c r="N594" s="7"/>
    </row>
    <row r="595" spans="6:14" ht="14.25" customHeight="1" x14ac:dyDescent="0.7">
      <c r="F595" s="7"/>
      <c r="G595" s="7"/>
      <c r="H595" s="7"/>
      <c r="I595" s="7"/>
      <c r="J595" s="7"/>
      <c r="K595" s="7"/>
      <c r="L595" s="7"/>
      <c r="M595" s="7"/>
      <c r="N595" s="7"/>
    </row>
    <row r="596" spans="6:14" ht="14.25" customHeight="1" x14ac:dyDescent="0.7">
      <c r="F596" s="7"/>
      <c r="G596" s="7"/>
      <c r="H596" s="7"/>
      <c r="I596" s="7"/>
      <c r="J596" s="7"/>
      <c r="K596" s="7"/>
      <c r="L596" s="7"/>
      <c r="M596" s="7"/>
      <c r="N596" s="7"/>
    </row>
    <row r="597" spans="6:14" ht="14.25" customHeight="1" x14ac:dyDescent="0.7">
      <c r="F597" s="7"/>
      <c r="G597" s="7"/>
      <c r="H597" s="7"/>
      <c r="I597" s="7"/>
      <c r="J597" s="7"/>
      <c r="K597" s="7"/>
      <c r="L597" s="7"/>
      <c r="M597" s="7"/>
      <c r="N597" s="7"/>
    </row>
    <row r="598" spans="6:14" ht="14.25" customHeight="1" x14ac:dyDescent="0.7">
      <c r="F598" s="7"/>
      <c r="G598" s="7"/>
      <c r="H598" s="7"/>
      <c r="I598" s="7"/>
      <c r="J598" s="7"/>
      <c r="K598" s="7"/>
      <c r="L598" s="7"/>
      <c r="M598" s="7"/>
      <c r="N598" s="7"/>
    </row>
    <row r="599" spans="6:14" ht="14.25" customHeight="1" x14ac:dyDescent="0.7">
      <c r="F599" s="7"/>
      <c r="G599" s="7"/>
      <c r="H599" s="7"/>
      <c r="I599" s="7"/>
      <c r="J599" s="7"/>
      <c r="K599" s="7"/>
      <c r="L599" s="7"/>
      <c r="M599" s="7"/>
      <c r="N599" s="7"/>
    </row>
    <row r="600" spans="6:14" ht="14.25" customHeight="1" x14ac:dyDescent="0.7">
      <c r="F600" s="7"/>
      <c r="G600" s="7"/>
      <c r="H600" s="7"/>
      <c r="I600" s="7"/>
      <c r="J600" s="7"/>
      <c r="K600" s="7"/>
      <c r="L600" s="7"/>
      <c r="M600" s="7"/>
      <c r="N600" s="7"/>
    </row>
    <row r="601" spans="6:14" ht="14.25" customHeight="1" x14ac:dyDescent="0.7">
      <c r="F601" s="7"/>
      <c r="G601" s="7"/>
      <c r="H601" s="7"/>
      <c r="I601" s="7"/>
      <c r="J601" s="7"/>
      <c r="K601" s="7"/>
      <c r="L601" s="7"/>
      <c r="M601" s="7"/>
      <c r="N601" s="7"/>
    </row>
    <row r="602" spans="6:14" ht="14.25" customHeight="1" x14ac:dyDescent="0.7">
      <c r="F602" s="7"/>
      <c r="G602" s="7"/>
      <c r="H602" s="7"/>
      <c r="I602" s="7"/>
      <c r="J602" s="7"/>
      <c r="K602" s="7"/>
      <c r="L602" s="7"/>
      <c r="M602" s="7"/>
      <c r="N602" s="7"/>
    </row>
    <row r="603" spans="6:14" ht="14.25" customHeight="1" x14ac:dyDescent="0.7">
      <c r="F603" s="7"/>
      <c r="G603" s="7"/>
      <c r="H603" s="7"/>
      <c r="I603" s="7"/>
      <c r="J603" s="7"/>
      <c r="K603" s="7"/>
      <c r="L603" s="7"/>
      <c r="M603" s="7"/>
      <c r="N603" s="7"/>
    </row>
    <row r="604" spans="6:14" ht="14.25" customHeight="1" x14ac:dyDescent="0.7">
      <c r="F604" s="7"/>
      <c r="G604" s="7"/>
      <c r="H604" s="7"/>
      <c r="I604" s="7"/>
      <c r="J604" s="7"/>
      <c r="K604" s="7"/>
      <c r="L604" s="7"/>
      <c r="M604" s="7"/>
      <c r="N604" s="7"/>
    </row>
    <row r="605" spans="6:14" ht="14.25" customHeight="1" x14ac:dyDescent="0.7">
      <c r="F605" s="7"/>
      <c r="G605" s="7"/>
      <c r="H605" s="7"/>
      <c r="I605" s="7"/>
      <c r="J605" s="7"/>
      <c r="K605" s="7"/>
      <c r="L605" s="7"/>
      <c r="M605" s="7"/>
      <c r="N605" s="7"/>
    </row>
    <row r="606" spans="6:14" ht="14.25" customHeight="1" x14ac:dyDescent="0.7">
      <c r="F606" s="7"/>
      <c r="G606" s="7"/>
      <c r="H606" s="7"/>
      <c r="I606" s="7"/>
      <c r="J606" s="7"/>
      <c r="K606" s="7"/>
      <c r="L606" s="7"/>
      <c r="M606" s="7"/>
      <c r="N606" s="7"/>
    </row>
    <row r="607" spans="6:14" ht="14.25" customHeight="1" x14ac:dyDescent="0.7">
      <c r="F607" s="7"/>
      <c r="G607" s="7"/>
      <c r="H607" s="7"/>
      <c r="I607" s="7"/>
      <c r="J607" s="7"/>
      <c r="K607" s="7"/>
      <c r="L607" s="7"/>
      <c r="M607" s="7"/>
      <c r="N607" s="7"/>
    </row>
    <row r="608" spans="6:14" ht="14.25" customHeight="1" x14ac:dyDescent="0.7">
      <c r="F608" s="7"/>
      <c r="G608" s="7"/>
      <c r="H608" s="7"/>
      <c r="I608" s="7"/>
      <c r="J608" s="7"/>
      <c r="K608" s="7"/>
      <c r="L608" s="7"/>
      <c r="M608" s="7"/>
      <c r="N608" s="7"/>
    </row>
    <row r="609" spans="6:14" ht="14.25" customHeight="1" x14ac:dyDescent="0.7">
      <c r="F609" s="7"/>
      <c r="G609" s="7"/>
      <c r="H609" s="7"/>
      <c r="I609" s="7"/>
      <c r="J609" s="7"/>
      <c r="K609" s="7"/>
      <c r="L609" s="7"/>
      <c r="M609" s="7"/>
      <c r="N609" s="7"/>
    </row>
    <row r="610" spans="6:14" ht="14.25" customHeight="1" x14ac:dyDescent="0.7">
      <c r="F610" s="7"/>
      <c r="G610" s="7"/>
      <c r="H610" s="7"/>
      <c r="I610" s="7"/>
      <c r="J610" s="7"/>
      <c r="K610" s="7"/>
      <c r="L610" s="7"/>
      <c r="M610" s="7"/>
      <c r="N610" s="7"/>
    </row>
    <row r="611" spans="6:14" ht="14.25" customHeight="1" x14ac:dyDescent="0.7">
      <c r="F611" s="7"/>
      <c r="G611" s="7"/>
      <c r="H611" s="7"/>
      <c r="I611" s="7"/>
      <c r="J611" s="7"/>
      <c r="K611" s="7"/>
      <c r="L611" s="7"/>
      <c r="M611" s="7"/>
      <c r="N611" s="7"/>
    </row>
    <row r="612" spans="6:14" ht="14.25" customHeight="1" x14ac:dyDescent="0.7">
      <c r="F612" s="7"/>
      <c r="G612" s="7"/>
      <c r="H612" s="7"/>
      <c r="I612" s="7"/>
      <c r="J612" s="7"/>
      <c r="K612" s="7"/>
      <c r="L612" s="7"/>
      <c r="M612" s="7"/>
      <c r="N612" s="7"/>
    </row>
    <row r="613" spans="6:14" ht="14.25" customHeight="1" x14ac:dyDescent="0.7">
      <c r="F613" s="7"/>
      <c r="G613" s="7"/>
      <c r="H613" s="7"/>
      <c r="I613" s="7"/>
      <c r="J613" s="7"/>
      <c r="K613" s="7"/>
      <c r="L613" s="7"/>
      <c r="M613" s="7"/>
      <c r="N613" s="7"/>
    </row>
    <row r="614" spans="6:14" ht="14.25" customHeight="1" x14ac:dyDescent="0.7">
      <c r="F614" s="7"/>
      <c r="G614" s="7"/>
      <c r="H614" s="7"/>
      <c r="I614" s="7"/>
      <c r="J614" s="7"/>
      <c r="K614" s="7"/>
      <c r="L614" s="7"/>
      <c r="M614" s="7"/>
      <c r="N614" s="7"/>
    </row>
    <row r="615" spans="6:14" ht="14.25" customHeight="1" x14ac:dyDescent="0.7">
      <c r="F615" s="7"/>
      <c r="G615" s="7"/>
      <c r="H615" s="7"/>
      <c r="I615" s="7"/>
      <c r="J615" s="7"/>
      <c r="K615" s="7"/>
      <c r="L615" s="7"/>
      <c r="M615" s="7"/>
      <c r="N615" s="7"/>
    </row>
    <row r="616" spans="6:14" ht="14.25" customHeight="1" x14ac:dyDescent="0.7">
      <c r="F616" s="7"/>
      <c r="G616" s="7"/>
      <c r="H616" s="7"/>
      <c r="I616" s="7"/>
      <c r="J616" s="7"/>
      <c r="K616" s="7"/>
      <c r="L616" s="7"/>
      <c r="M616" s="7"/>
      <c r="N616" s="7"/>
    </row>
    <row r="617" spans="6:14" ht="14.25" customHeight="1" x14ac:dyDescent="0.7">
      <c r="F617" s="7"/>
      <c r="G617" s="7"/>
      <c r="H617" s="7"/>
      <c r="I617" s="7"/>
      <c r="J617" s="7"/>
      <c r="K617" s="7"/>
      <c r="L617" s="7"/>
      <c r="M617" s="7"/>
      <c r="N617" s="7"/>
    </row>
    <row r="618" spans="6:14" ht="14.25" customHeight="1" x14ac:dyDescent="0.7">
      <c r="F618" s="7"/>
      <c r="G618" s="7"/>
      <c r="H618" s="7"/>
      <c r="I618" s="7"/>
      <c r="J618" s="7"/>
      <c r="K618" s="7"/>
      <c r="L618" s="7"/>
      <c r="M618" s="7"/>
      <c r="N618" s="7"/>
    </row>
    <row r="619" spans="6:14" ht="14.25" customHeight="1" x14ac:dyDescent="0.7">
      <c r="F619" s="7"/>
      <c r="G619" s="7"/>
      <c r="H619" s="7"/>
      <c r="I619" s="7"/>
      <c r="J619" s="7"/>
      <c r="K619" s="7"/>
      <c r="L619" s="7"/>
      <c r="M619" s="7"/>
      <c r="N619" s="7"/>
    </row>
    <row r="620" spans="6:14" ht="14.25" customHeight="1" x14ac:dyDescent="0.7">
      <c r="F620" s="7"/>
      <c r="G620" s="7"/>
      <c r="H620" s="7"/>
      <c r="I620" s="7"/>
      <c r="J620" s="7"/>
      <c r="K620" s="7"/>
      <c r="L620" s="7"/>
      <c r="M620" s="7"/>
      <c r="N620" s="7"/>
    </row>
    <row r="621" spans="6:14" ht="14.25" customHeight="1" x14ac:dyDescent="0.7">
      <c r="F621" s="7"/>
      <c r="G621" s="7"/>
      <c r="H621" s="7"/>
      <c r="I621" s="7"/>
      <c r="J621" s="7"/>
      <c r="K621" s="7"/>
      <c r="L621" s="7"/>
      <c r="M621" s="7"/>
      <c r="N621" s="7"/>
    </row>
    <row r="622" spans="6:14" ht="14.25" customHeight="1" x14ac:dyDescent="0.7">
      <c r="F622" s="7"/>
      <c r="G622" s="7"/>
      <c r="H622" s="7"/>
      <c r="I622" s="7"/>
      <c r="J622" s="7"/>
      <c r="K622" s="7"/>
      <c r="L622" s="7"/>
      <c r="M622" s="7"/>
      <c r="N622" s="7"/>
    </row>
    <row r="623" spans="6:14" ht="14.25" customHeight="1" x14ac:dyDescent="0.7">
      <c r="F623" s="7"/>
      <c r="G623" s="7"/>
      <c r="H623" s="7"/>
      <c r="I623" s="7"/>
      <c r="J623" s="7"/>
      <c r="K623" s="7"/>
      <c r="L623" s="7"/>
      <c r="M623" s="7"/>
      <c r="N623" s="7"/>
    </row>
    <row r="624" spans="6:14" ht="14.25" customHeight="1" x14ac:dyDescent="0.7">
      <c r="F624" s="7"/>
      <c r="G624" s="7"/>
      <c r="H624" s="7"/>
      <c r="I624" s="7"/>
      <c r="J624" s="7"/>
      <c r="K624" s="7"/>
      <c r="L624" s="7"/>
      <c r="M624" s="7"/>
      <c r="N624" s="7"/>
    </row>
    <row r="625" spans="6:14" ht="14.25" customHeight="1" x14ac:dyDescent="0.7">
      <c r="F625" s="7"/>
      <c r="G625" s="7"/>
      <c r="H625" s="7"/>
      <c r="I625" s="7"/>
      <c r="J625" s="7"/>
      <c r="K625" s="7"/>
      <c r="L625" s="7"/>
      <c r="M625" s="7"/>
      <c r="N625" s="7"/>
    </row>
    <row r="626" spans="6:14" ht="14.25" customHeight="1" x14ac:dyDescent="0.7">
      <c r="F626" s="7"/>
      <c r="G626" s="7"/>
      <c r="H626" s="7"/>
      <c r="I626" s="7"/>
      <c r="J626" s="7"/>
      <c r="K626" s="7"/>
      <c r="L626" s="7"/>
      <c r="M626" s="7"/>
      <c r="N626" s="7"/>
    </row>
    <row r="627" spans="6:14" ht="14.25" customHeight="1" x14ac:dyDescent="0.7">
      <c r="F627" s="7"/>
      <c r="G627" s="7"/>
      <c r="H627" s="7"/>
      <c r="I627" s="7"/>
      <c r="J627" s="7"/>
      <c r="K627" s="7"/>
      <c r="L627" s="7"/>
      <c r="M627" s="7"/>
      <c r="N627" s="7"/>
    </row>
    <row r="628" spans="6:14" ht="14.25" customHeight="1" x14ac:dyDescent="0.7">
      <c r="F628" s="7"/>
      <c r="G628" s="7"/>
      <c r="H628" s="7"/>
      <c r="I628" s="7"/>
      <c r="J628" s="7"/>
      <c r="K628" s="7"/>
      <c r="L628" s="7"/>
      <c r="M628" s="7"/>
      <c r="N628" s="7"/>
    </row>
    <row r="629" spans="6:14" ht="14.25" customHeight="1" x14ac:dyDescent="0.7">
      <c r="F629" s="7"/>
      <c r="G629" s="7"/>
      <c r="H629" s="7"/>
      <c r="I629" s="7"/>
      <c r="J629" s="7"/>
      <c r="K629" s="7"/>
      <c r="L629" s="7"/>
      <c r="M629" s="7"/>
      <c r="N629" s="7"/>
    </row>
    <row r="630" spans="6:14" ht="14.25" customHeight="1" x14ac:dyDescent="0.7">
      <c r="F630" s="7"/>
      <c r="G630" s="7"/>
      <c r="H630" s="7"/>
      <c r="I630" s="7"/>
      <c r="J630" s="7"/>
      <c r="K630" s="7"/>
      <c r="L630" s="7"/>
      <c r="M630" s="7"/>
      <c r="N630" s="7"/>
    </row>
    <row r="631" spans="6:14" ht="14.25" customHeight="1" x14ac:dyDescent="0.7">
      <c r="F631" s="7"/>
      <c r="G631" s="7"/>
      <c r="H631" s="7"/>
      <c r="I631" s="7"/>
      <c r="J631" s="7"/>
      <c r="K631" s="7"/>
      <c r="L631" s="7"/>
      <c r="M631" s="7"/>
      <c r="N631" s="7"/>
    </row>
    <row r="632" spans="6:14" ht="14.25" customHeight="1" x14ac:dyDescent="0.7">
      <c r="F632" s="7"/>
      <c r="G632" s="7"/>
      <c r="H632" s="7"/>
      <c r="I632" s="7"/>
      <c r="J632" s="7"/>
      <c r="K632" s="7"/>
      <c r="L632" s="7"/>
      <c r="M632" s="7"/>
      <c r="N632" s="7"/>
    </row>
    <row r="633" spans="6:14" ht="14.25" customHeight="1" x14ac:dyDescent="0.7">
      <c r="F633" s="7"/>
      <c r="G633" s="7"/>
      <c r="H633" s="7"/>
      <c r="I633" s="7"/>
      <c r="J633" s="7"/>
      <c r="K633" s="7"/>
      <c r="L633" s="7"/>
      <c r="M633" s="7"/>
      <c r="N633" s="7"/>
    </row>
    <row r="634" spans="6:14" ht="14.25" customHeight="1" x14ac:dyDescent="0.7">
      <c r="F634" s="7"/>
      <c r="G634" s="7"/>
      <c r="H634" s="7"/>
      <c r="I634" s="7"/>
      <c r="J634" s="7"/>
      <c r="K634" s="7"/>
      <c r="L634" s="7"/>
      <c r="M634" s="7"/>
      <c r="N634" s="7"/>
    </row>
    <row r="635" spans="6:14" ht="14.25" customHeight="1" x14ac:dyDescent="0.7">
      <c r="F635" s="7"/>
      <c r="G635" s="7"/>
      <c r="H635" s="7"/>
      <c r="I635" s="7"/>
      <c r="J635" s="7"/>
      <c r="K635" s="7"/>
      <c r="L635" s="7"/>
      <c r="M635" s="7"/>
      <c r="N635" s="7"/>
    </row>
    <row r="636" spans="6:14" ht="14.25" customHeight="1" x14ac:dyDescent="0.7">
      <c r="F636" s="7"/>
      <c r="G636" s="7"/>
      <c r="H636" s="7"/>
      <c r="I636" s="7"/>
      <c r="J636" s="7"/>
      <c r="K636" s="7"/>
      <c r="L636" s="7"/>
      <c r="M636" s="7"/>
      <c r="N636" s="7"/>
    </row>
    <row r="637" spans="6:14" ht="14.25" customHeight="1" x14ac:dyDescent="0.7">
      <c r="F637" s="7"/>
      <c r="G637" s="7"/>
      <c r="H637" s="7"/>
      <c r="I637" s="7"/>
      <c r="J637" s="7"/>
      <c r="K637" s="7"/>
      <c r="L637" s="7"/>
      <c r="M637" s="7"/>
      <c r="N637" s="7"/>
    </row>
    <row r="638" spans="6:14" ht="14.25" customHeight="1" x14ac:dyDescent="0.7">
      <c r="F638" s="7"/>
      <c r="G638" s="7"/>
      <c r="H638" s="7"/>
      <c r="I638" s="7"/>
      <c r="J638" s="7"/>
      <c r="K638" s="7"/>
      <c r="L638" s="7"/>
      <c r="M638" s="7"/>
      <c r="N638" s="7"/>
    </row>
    <row r="639" spans="6:14" ht="14.25" customHeight="1" x14ac:dyDescent="0.7">
      <c r="F639" s="7"/>
      <c r="G639" s="7"/>
      <c r="H639" s="7"/>
      <c r="I639" s="7"/>
      <c r="J639" s="7"/>
      <c r="K639" s="7"/>
      <c r="L639" s="7"/>
      <c r="M639" s="7"/>
      <c r="N639" s="7"/>
    </row>
    <row r="640" spans="6:14" ht="14.25" customHeight="1" x14ac:dyDescent="0.7">
      <c r="F640" s="7"/>
      <c r="G640" s="7"/>
      <c r="H640" s="7"/>
      <c r="I640" s="7"/>
      <c r="J640" s="7"/>
      <c r="K640" s="7"/>
      <c r="L640" s="7"/>
      <c r="M640" s="7"/>
      <c r="N640" s="7"/>
    </row>
    <row r="641" spans="6:14" ht="14.25" customHeight="1" x14ac:dyDescent="0.7">
      <c r="F641" s="7"/>
      <c r="G641" s="7"/>
      <c r="H641" s="7"/>
      <c r="I641" s="7"/>
      <c r="J641" s="7"/>
      <c r="K641" s="7"/>
      <c r="L641" s="7"/>
      <c r="M641" s="7"/>
      <c r="N641" s="7"/>
    </row>
    <row r="642" spans="6:14" ht="14.25" customHeight="1" x14ac:dyDescent="0.7">
      <c r="F642" s="7"/>
      <c r="G642" s="7"/>
      <c r="H642" s="7"/>
      <c r="I642" s="7"/>
      <c r="J642" s="7"/>
      <c r="K642" s="7"/>
      <c r="L642" s="7"/>
      <c r="M642" s="7"/>
      <c r="N642" s="7"/>
    </row>
    <row r="643" spans="6:14" ht="14.25" customHeight="1" x14ac:dyDescent="0.7">
      <c r="F643" s="7"/>
      <c r="G643" s="7"/>
      <c r="H643" s="7"/>
      <c r="I643" s="7"/>
      <c r="J643" s="7"/>
      <c r="K643" s="7"/>
      <c r="L643" s="7"/>
      <c r="M643" s="7"/>
      <c r="N643" s="7"/>
    </row>
    <row r="644" spans="6:14" ht="14.25" customHeight="1" x14ac:dyDescent="0.7">
      <c r="F644" s="7"/>
      <c r="G644" s="7"/>
      <c r="H644" s="7"/>
      <c r="I644" s="7"/>
      <c r="J644" s="7"/>
      <c r="K644" s="7"/>
      <c r="L644" s="7"/>
      <c r="M644" s="7"/>
      <c r="N644" s="7"/>
    </row>
    <row r="645" spans="6:14" ht="14.25" customHeight="1" x14ac:dyDescent="0.7">
      <c r="F645" s="7"/>
      <c r="G645" s="7"/>
      <c r="H645" s="7"/>
      <c r="I645" s="7"/>
      <c r="J645" s="7"/>
      <c r="K645" s="7"/>
      <c r="L645" s="7"/>
      <c r="M645" s="7"/>
      <c r="N645" s="7"/>
    </row>
    <row r="646" spans="6:14" ht="14.25" customHeight="1" x14ac:dyDescent="0.7">
      <c r="F646" s="7"/>
      <c r="G646" s="7"/>
      <c r="H646" s="7"/>
      <c r="I646" s="7"/>
      <c r="J646" s="7"/>
      <c r="K646" s="7"/>
      <c r="L646" s="7"/>
      <c r="M646" s="7"/>
      <c r="N646" s="7"/>
    </row>
    <row r="647" spans="6:14" ht="14.25" customHeight="1" x14ac:dyDescent="0.7">
      <c r="F647" s="7"/>
      <c r="G647" s="7"/>
      <c r="H647" s="7"/>
      <c r="I647" s="7"/>
      <c r="J647" s="7"/>
      <c r="K647" s="7"/>
      <c r="L647" s="7"/>
      <c r="M647" s="7"/>
      <c r="N647" s="7"/>
    </row>
    <row r="648" spans="6:14" ht="14.25" customHeight="1" x14ac:dyDescent="0.7">
      <c r="F648" s="7"/>
      <c r="G648" s="7"/>
      <c r="H648" s="7"/>
      <c r="I648" s="7"/>
      <c r="J648" s="7"/>
      <c r="K648" s="7"/>
      <c r="L648" s="7"/>
      <c r="M648" s="7"/>
      <c r="N648" s="7"/>
    </row>
    <row r="649" spans="6:14" ht="14.25" customHeight="1" x14ac:dyDescent="0.7">
      <c r="F649" s="7"/>
      <c r="G649" s="7"/>
      <c r="H649" s="7"/>
      <c r="I649" s="7"/>
      <c r="J649" s="7"/>
      <c r="K649" s="7"/>
      <c r="L649" s="7"/>
      <c r="M649" s="7"/>
      <c r="N649" s="7"/>
    </row>
    <row r="650" spans="6:14" ht="14.25" customHeight="1" x14ac:dyDescent="0.7">
      <c r="F650" s="7"/>
      <c r="G650" s="7"/>
      <c r="H650" s="7"/>
      <c r="I650" s="7"/>
      <c r="J650" s="7"/>
      <c r="K650" s="7"/>
      <c r="L650" s="7"/>
      <c r="M650" s="7"/>
      <c r="N650" s="7"/>
    </row>
    <row r="651" spans="6:14" ht="14.25" customHeight="1" x14ac:dyDescent="0.7">
      <c r="F651" s="7"/>
      <c r="G651" s="7"/>
      <c r="H651" s="7"/>
      <c r="I651" s="7"/>
      <c r="J651" s="7"/>
      <c r="K651" s="7"/>
      <c r="L651" s="7"/>
      <c r="M651" s="7"/>
      <c r="N651" s="7"/>
    </row>
    <row r="652" spans="6:14" ht="14.25" customHeight="1" x14ac:dyDescent="0.7">
      <c r="F652" s="7"/>
      <c r="G652" s="7"/>
      <c r="H652" s="7"/>
      <c r="I652" s="7"/>
      <c r="J652" s="7"/>
      <c r="K652" s="7"/>
      <c r="L652" s="7"/>
      <c r="M652" s="7"/>
      <c r="N652" s="7"/>
    </row>
    <row r="653" spans="6:14" ht="14.25" customHeight="1" x14ac:dyDescent="0.7">
      <c r="F653" s="7"/>
      <c r="G653" s="7"/>
      <c r="H653" s="7"/>
      <c r="I653" s="7"/>
      <c r="J653" s="7"/>
      <c r="K653" s="7"/>
      <c r="L653" s="7"/>
      <c r="M653" s="7"/>
      <c r="N653" s="7"/>
    </row>
    <row r="654" spans="6:14" ht="14.25" customHeight="1" x14ac:dyDescent="0.7">
      <c r="F654" s="7"/>
      <c r="G654" s="7"/>
      <c r="H654" s="7"/>
      <c r="I654" s="7"/>
      <c r="J654" s="7"/>
      <c r="K654" s="7"/>
      <c r="L654" s="7"/>
      <c r="M654" s="7"/>
      <c r="N654" s="7"/>
    </row>
    <row r="655" spans="6:14" ht="14.25" customHeight="1" x14ac:dyDescent="0.7">
      <c r="F655" s="7"/>
      <c r="G655" s="7"/>
      <c r="H655" s="7"/>
      <c r="I655" s="7"/>
      <c r="J655" s="7"/>
      <c r="K655" s="7"/>
      <c r="L655" s="7"/>
      <c r="M655" s="7"/>
      <c r="N655" s="7"/>
    </row>
    <row r="656" spans="6:14" ht="14.25" customHeight="1" x14ac:dyDescent="0.7">
      <c r="F656" s="7"/>
      <c r="G656" s="7"/>
      <c r="H656" s="7"/>
      <c r="I656" s="7"/>
      <c r="J656" s="7"/>
      <c r="K656" s="7"/>
      <c r="L656" s="7"/>
      <c r="M656" s="7"/>
      <c r="N656" s="7"/>
    </row>
    <row r="657" spans="6:14" ht="14.25" customHeight="1" x14ac:dyDescent="0.7">
      <c r="F657" s="7"/>
      <c r="G657" s="7"/>
      <c r="H657" s="7"/>
      <c r="I657" s="7"/>
      <c r="J657" s="7"/>
      <c r="K657" s="7"/>
      <c r="L657" s="7"/>
      <c r="M657" s="7"/>
      <c r="N657" s="7"/>
    </row>
    <row r="658" spans="6:14" ht="14.25" customHeight="1" x14ac:dyDescent="0.7">
      <c r="F658" s="7"/>
      <c r="G658" s="7"/>
      <c r="H658" s="7"/>
      <c r="I658" s="7"/>
      <c r="J658" s="7"/>
      <c r="K658" s="7"/>
      <c r="L658" s="7"/>
      <c r="M658" s="7"/>
      <c r="N658" s="7"/>
    </row>
    <row r="659" spans="6:14" ht="14.25" customHeight="1" x14ac:dyDescent="0.7">
      <c r="F659" s="7"/>
      <c r="G659" s="7"/>
      <c r="H659" s="7"/>
      <c r="I659" s="7"/>
      <c r="J659" s="7"/>
      <c r="K659" s="7"/>
      <c r="L659" s="7"/>
      <c r="M659" s="7"/>
      <c r="N659" s="7"/>
    </row>
    <row r="660" spans="6:14" ht="14.25" customHeight="1" x14ac:dyDescent="0.7">
      <c r="F660" s="7"/>
      <c r="G660" s="7"/>
      <c r="H660" s="7"/>
      <c r="I660" s="7"/>
      <c r="J660" s="7"/>
      <c r="K660" s="7"/>
      <c r="L660" s="7"/>
      <c r="M660" s="7"/>
      <c r="N660" s="7"/>
    </row>
    <row r="661" spans="6:14" ht="14.25" customHeight="1" x14ac:dyDescent="0.7">
      <c r="F661" s="7"/>
      <c r="G661" s="7"/>
      <c r="H661" s="7"/>
      <c r="I661" s="7"/>
      <c r="J661" s="7"/>
      <c r="K661" s="7"/>
      <c r="L661" s="7"/>
      <c r="M661" s="7"/>
      <c r="N661" s="7"/>
    </row>
    <row r="662" spans="6:14" ht="14.25" customHeight="1" x14ac:dyDescent="0.7">
      <c r="F662" s="7"/>
      <c r="G662" s="7"/>
      <c r="H662" s="7"/>
      <c r="I662" s="7"/>
      <c r="J662" s="7"/>
      <c r="K662" s="7"/>
      <c r="L662" s="7"/>
      <c r="M662" s="7"/>
      <c r="N662" s="7"/>
    </row>
    <row r="663" spans="6:14" ht="14.25" customHeight="1" x14ac:dyDescent="0.7">
      <c r="F663" s="7"/>
      <c r="G663" s="7"/>
      <c r="H663" s="7"/>
      <c r="I663" s="7"/>
      <c r="J663" s="7"/>
      <c r="K663" s="7"/>
      <c r="L663" s="7"/>
      <c r="M663" s="7"/>
      <c r="N663" s="7"/>
    </row>
    <row r="664" spans="6:14" ht="14.25" customHeight="1" x14ac:dyDescent="0.7">
      <c r="F664" s="7"/>
      <c r="G664" s="7"/>
      <c r="H664" s="7"/>
      <c r="I664" s="7"/>
      <c r="J664" s="7"/>
      <c r="K664" s="7"/>
      <c r="L664" s="7"/>
      <c r="M664" s="7"/>
      <c r="N664" s="7"/>
    </row>
    <row r="665" spans="6:14" ht="14.25" customHeight="1" x14ac:dyDescent="0.7">
      <c r="F665" s="7"/>
      <c r="G665" s="7"/>
      <c r="H665" s="7"/>
      <c r="I665" s="7"/>
      <c r="J665" s="7"/>
      <c r="K665" s="7"/>
      <c r="L665" s="7"/>
      <c r="M665" s="7"/>
      <c r="N665" s="7"/>
    </row>
    <row r="666" spans="6:14" ht="14.25" customHeight="1" x14ac:dyDescent="0.7">
      <c r="F666" s="7"/>
      <c r="G666" s="7"/>
      <c r="H666" s="7"/>
      <c r="I666" s="7"/>
      <c r="J666" s="7"/>
      <c r="K666" s="7"/>
      <c r="L666" s="7"/>
      <c r="M666" s="7"/>
      <c r="N666" s="7"/>
    </row>
    <row r="667" spans="6:14" ht="14.25" customHeight="1" x14ac:dyDescent="0.7">
      <c r="F667" s="7"/>
      <c r="G667" s="7"/>
      <c r="H667" s="7"/>
      <c r="I667" s="7"/>
      <c r="J667" s="7"/>
      <c r="K667" s="7"/>
      <c r="L667" s="7"/>
      <c r="M667" s="7"/>
      <c r="N667" s="7"/>
    </row>
    <row r="668" spans="6:14" ht="14.25" customHeight="1" x14ac:dyDescent="0.7">
      <c r="F668" s="7"/>
      <c r="G668" s="7"/>
      <c r="H668" s="7"/>
      <c r="I668" s="7"/>
      <c r="J668" s="7"/>
      <c r="K668" s="7"/>
      <c r="L668" s="7"/>
      <c r="M668" s="7"/>
      <c r="N668" s="7"/>
    </row>
    <row r="669" spans="6:14" ht="14.25" customHeight="1" x14ac:dyDescent="0.7">
      <c r="F669" s="7"/>
      <c r="G669" s="7"/>
      <c r="H669" s="7"/>
      <c r="I669" s="7"/>
      <c r="J669" s="7"/>
      <c r="K669" s="7"/>
      <c r="L669" s="7"/>
      <c r="M669" s="7"/>
      <c r="N669" s="7"/>
    </row>
    <row r="670" spans="6:14" ht="14.25" customHeight="1" x14ac:dyDescent="0.7">
      <c r="F670" s="7"/>
      <c r="G670" s="7"/>
      <c r="H670" s="7"/>
      <c r="I670" s="7"/>
      <c r="J670" s="7"/>
      <c r="K670" s="7"/>
      <c r="L670" s="7"/>
      <c r="M670" s="7"/>
      <c r="N670" s="7"/>
    </row>
    <row r="671" spans="6:14" ht="14.25" customHeight="1" x14ac:dyDescent="0.7">
      <c r="F671" s="7"/>
      <c r="G671" s="7"/>
      <c r="H671" s="7"/>
      <c r="I671" s="7"/>
      <c r="J671" s="7"/>
      <c r="K671" s="7"/>
      <c r="L671" s="7"/>
      <c r="M671" s="7"/>
      <c r="N671" s="7"/>
    </row>
    <row r="672" spans="6:14" ht="14.25" customHeight="1" x14ac:dyDescent="0.7">
      <c r="F672" s="7"/>
      <c r="G672" s="7"/>
      <c r="H672" s="7"/>
      <c r="I672" s="7"/>
      <c r="J672" s="7"/>
      <c r="K672" s="7"/>
      <c r="L672" s="7"/>
      <c r="M672" s="7"/>
      <c r="N672" s="7"/>
    </row>
    <row r="673" spans="6:14" ht="14.25" customHeight="1" x14ac:dyDescent="0.7">
      <c r="F673" s="7"/>
      <c r="G673" s="7"/>
      <c r="H673" s="7"/>
      <c r="I673" s="7"/>
      <c r="J673" s="7"/>
      <c r="K673" s="7"/>
      <c r="L673" s="7"/>
      <c r="M673" s="7"/>
      <c r="N673" s="7"/>
    </row>
    <row r="674" spans="6:14" ht="14.25" customHeight="1" x14ac:dyDescent="0.7">
      <c r="F674" s="7"/>
      <c r="G674" s="7"/>
      <c r="H674" s="7"/>
      <c r="I674" s="7"/>
      <c r="J674" s="7"/>
      <c r="K674" s="7"/>
      <c r="L674" s="7"/>
      <c r="M674" s="7"/>
      <c r="N674" s="7"/>
    </row>
    <row r="675" spans="6:14" ht="14.25" customHeight="1" x14ac:dyDescent="0.7">
      <c r="F675" s="7"/>
      <c r="G675" s="7"/>
      <c r="H675" s="7"/>
      <c r="I675" s="7"/>
      <c r="J675" s="7"/>
      <c r="K675" s="7"/>
      <c r="L675" s="7"/>
      <c r="M675" s="7"/>
      <c r="N675" s="7"/>
    </row>
    <row r="676" spans="6:14" ht="14.25" customHeight="1" x14ac:dyDescent="0.7">
      <c r="F676" s="7"/>
      <c r="G676" s="7"/>
      <c r="H676" s="7"/>
      <c r="I676" s="7"/>
      <c r="J676" s="7"/>
      <c r="K676" s="7"/>
      <c r="L676" s="7"/>
      <c r="M676" s="7"/>
      <c r="N676" s="7"/>
    </row>
    <row r="677" spans="6:14" ht="14.25" customHeight="1" x14ac:dyDescent="0.7">
      <c r="F677" s="7"/>
      <c r="G677" s="7"/>
      <c r="H677" s="7"/>
      <c r="I677" s="7"/>
      <c r="J677" s="7"/>
      <c r="K677" s="7"/>
      <c r="L677" s="7"/>
      <c r="M677" s="7"/>
      <c r="N677" s="7"/>
    </row>
    <row r="678" spans="6:14" ht="14.25" customHeight="1" x14ac:dyDescent="0.7">
      <c r="F678" s="7"/>
      <c r="G678" s="7"/>
      <c r="H678" s="7"/>
      <c r="I678" s="7"/>
      <c r="J678" s="7"/>
      <c r="K678" s="7"/>
      <c r="L678" s="7"/>
      <c r="M678" s="7"/>
      <c r="N678" s="7"/>
    </row>
    <row r="679" spans="6:14" ht="14.25" customHeight="1" x14ac:dyDescent="0.7">
      <c r="F679" s="7"/>
      <c r="G679" s="7"/>
      <c r="H679" s="7"/>
      <c r="I679" s="7"/>
      <c r="J679" s="7"/>
      <c r="K679" s="7"/>
      <c r="L679" s="7"/>
      <c r="M679" s="7"/>
      <c r="N679" s="7"/>
    </row>
    <row r="680" spans="6:14" ht="14.25" customHeight="1" x14ac:dyDescent="0.7">
      <c r="F680" s="7"/>
      <c r="G680" s="7"/>
      <c r="H680" s="7"/>
      <c r="I680" s="7"/>
      <c r="J680" s="7"/>
      <c r="K680" s="7"/>
      <c r="L680" s="7"/>
      <c r="M680" s="7"/>
      <c r="N680" s="7"/>
    </row>
    <row r="681" spans="6:14" ht="14.25" customHeight="1" x14ac:dyDescent="0.7">
      <c r="F681" s="7"/>
      <c r="G681" s="7"/>
      <c r="H681" s="7"/>
      <c r="I681" s="7"/>
      <c r="J681" s="7"/>
      <c r="K681" s="7"/>
      <c r="L681" s="7"/>
      <c r="M681" s="7"/>
      <c r="N681" s="7"/>
    </row>
    <row r="682" spans="6:14" ht="14.25" customHeight="1" x14ac:dyDescent="0.7">
      <c r="F682" s="7"/>
      <c r="G682" s="7"/>
      <c r="H682" s="7"/>
      <c r="I682" s="7"/>
      <c r="J682" s="7"/>
      <c r="K682" s="7"/>
      <c r="L682" s="7"/>
      <c r="M682" s="7"/>
      <c r="N682" s="7"/>
    </row>
    <row r="683" spans="6:14" ht="14.25" customHeight="1" x14ac:dyDescent="0.7">
      <c r="F683" s="7"/>
      <c r="G683" s="7"/>
      <c r="H683" s="7"/>
      <c r="I683" s="7"/>
      <c r="J683" s="7"/>
      <c r="K683" s="7"/>
      <c r="L683" s="7"/>
      <c r="M683" s="7"/>
      <c r="N683" s="7"/>
    </row>
    <row r="684" spans="6:14" ht="14.25" customHeight="1" x14ac:dyDescent="0.7">
      <c r="F684" s="7"/>
      <c r="G684" s="7"/>
      <c r="H684" s="7"/>
      <c r="I684" s="7"/>
      <c r="J684" s="7"/>
      <c r="K684" s="7"/>
      <c r="L684" s="7"/>
      <c r="M684" s="7"/>
      <c r="N684" s="7"/>
    </row>
    <row r="685" spans="6:14" ht="14.25" customHeight="1" x14ac:dyDescent="0.7">
      <c r="F685" s="7"/>
      <c r="G685" s="7"/>
      <c r="H685" s="7"/>
      <c r="I685" s="7"/>
      <c r="J685" s="7"/>
      <c r="K685" s="7"/>
      <c r="L685" s="7"/>
      <c r="M685" s="7"/>
      <c r="N685" s="7"/>
    </row>
    <row r="686" spans="6:14" ht="14.25" customHeight="1" x14ac:dyDescent="0.7">
      <c r="F686" s="7"/>
      <c r="G686" s="7"/>
      <c r="H686" s="7"/>
      <c r="I686" s="7"/>
      <c r="J686" s="7"/>
      <c r="K686" s="7"/>
      <c r="L686" s="7"/>
      <c r="M686" s="7"/>
      <c r="N686" s="7"/>
    </row>
    <row r="687" spans="6:14" ht="14.25" customHeight="1" x14ac:dyDescent="0.7">
      <c r="F687" s="7"/>
      <c r="G687" s="7"/>
      <c r="H687" s="7"/>
      <c r="I687" s="7"/>
      <c r="J687" s="7"/>
      <c r="K687" s="7"/>
      <c r="L687" s="7"/>
      <c r="M687" s="7"/>
      <c r="N687" s="7"/>
    </row>
    <row r="688" spans="6:14" ht="14.25" customHeight="1" x14ac:dyDescent="0.7">
      <c r="F688" s="7"/>
      <c r="G688" s="7"/>
      <c r="H688" s="7"/>
      <c r="I688" s="7"/>
      <c r="J688" s="7"/>
      <c r="K688" s="7"/>
      <c r="L688" s="7"/>
      <c r="M688" s="7"/>
      <c r="N688" s="7"/>
    </row>
    <row r="689" spans="6:14" ht="14.25" customHeight="1" x14ac:dyDescent="0.7">
      <c r="F689" s="7"/>
      <c r="G689" s="7"/>
      <c r="H689" s="7"/>
      <c r="I689" s="7"/>
      <c r="J689" s="7"/>
      <c r="K689" s="7"/>
      <c r="L689" s="7"/>
      <c r="M689" s="7"/>
      <c r="N689" s="7"/>
    </row>
    <row r="690" spans="6:14" ht="14.25" customHeight="1" x14ac:dyDescent="0.7">
      <c r="F690" s="7"/>
      <c r="G690" s="7"/>
      <c r="H690" s="7"/>
      <c r="I690" s="7"/>
      <c r="J690" s="7"/>
      <c r="K690" s="7"/>
      <c r="L690" s="7"/>
      <c r="M690" s="7"/>
      <c r="N690" s="7"/>
    </row>
    <row r="691" spans="6:14" ht="14.25" customHeight="1" x14ac:dyDescent="0.7">
      <c r="F691" s="7"/>
      <c r="G691" s="7"/>
      <c r="H691" s="7"/>
      <c r="I691" s="7"/>
      <c r="J691" s="7"/>
      <c r="K691" s="7"/>
      <c r="L691" s="7"/>
      <c r="M691" s="7"/>
      <c r="N691" s="7"/>
    </row>
    <row r="692" spans="6:14" ht="14.25" customHeight="1" x14ac:dyDescent="0.7">
      <c r="F692" s="7"/>
      <c r="G692" s="7"/>
      <c r="H692" s="7"/>
      <c r="I692" s="7"/>
      <c r="J692" s="7"/>
      <c r="K692" s="7"/>
      <c r="L692" s="7"/>
      <c r="M692" s="7"/>
      <c r="N692" s="7"/>
    </row>
    <row r="693" spans="6:14" ht="14.25" customHeight="1" x14ac:dyDescent="0.7">
      <c r="F693" s="7"/>
      <c r="G693" s="7"/>
      <c r="H693" s="7"/>
      <c r="I693" s="7"/>
      <c r="J693" s="7"/>
      <c r="K693" s="7"/>
      <c r="L693" s="7"/>
      <c r="M693" s="7"/>
      <c r="N693" s="7"/>
    </row>
    <row r="694" spans="6:14" ht="14.25" customHeight="1" x14ac:dyDescent="0.7">
      <c r="F694" s="7"/>
      <c r="G694" s="7"/>
      <c r="H694" s="7"/>
      <c r="I694" s="7"/>
      <c r="J694" s="7"/>
      <c r="K694" s="7"/>
      <c r="L694" s="7"/>
      <c r="M694" s="7"/>
      <c r="N694" s="7"/>
    </row>
    <row r="695" spans="6:14" ht="14.25" customHeight="1" x14ac:dyDescent="0.7">
      <c r="F695" s="7"/>
      <c r="G695" s="7"/>
      <c r="H695" s="7"/>
      <c r="I695" s="7"/>
      <c r="J695" s="7"/>
      <c r="K695" s="7"/>
      <c r="L695" s="7"/>
      <c r="M695" s="7"/>
      <c r="N695" s="7"/>
    </row>
    <row r="696" spans="6:14" ht="14.25" customHeight="1" x14ac:dyDescent="0.7">
      <c r="F696" s="7"/>
      <c r="G696" s="7"/>
      <c r="H696" s="7"/>
      <c r="I696" s="7"/>
      <c r="J696" s="7"/>
      <c r="K696" s="7"/>
      <c r="L696" s="7"/>
      <c r="M696" s="7"/>
      <c r="N696" s="7"/>
    </row>
    <row r="697" spans="6:14" ht="14.25" customHeight="1" x14ac:dyDescent="0.7">
      <c r="F697" s="7"/>
      <c r="G697" s="7"/>
      <c r="H697" s="7"/>
      <c r="I697" s="7"/>
      <c r="J697" s="7"/>
      <c r="K697" s="7"/>
      <c r="L697" s="7"/>
      <c r="M697" s="7"/>
      <c r="N697" s="7"/>
    </row>
    <row r="698" spans="6:14" ht="14.25" customHeight="1" x14ac:dyDescent="0.7">
      <c r="F698" s="7"/>
      <c r="G698" s="7"/>
      <c r="H698" s="7"/>
      <c r="I698" s="7"/>
      <c r="J698" s="7"/>
      <c r="K698" s="7"/>
      <c r="L698" s="7"/>
      <c r="M698" s="7"/>
      <c r="N698" s="7"/>
    </row>
    <row r="699" spans="6:14" ht="14.25" customHeight="1" x14ac:dyDescent="0.7">
      <c r="F699" s="7"/>
      <c r="G699" s="7"/>
      <c r="H699" s="7"/>
      <c r="I699" s="7"/>
      <c r="J699" s="7"/>
      <c r="K699" s="7"/>
      <c r="L699" s="7"/>
      <c r="M699" s="7"/>
      <c r="N699" s="7"/>
    </row>
    <row r="700" spans="6:14" ht="14.25" customHeight="1" x14ac:dyDescent="0.7">
      <c r="F700" s="7"/>
      <c r="G700" s="7"/>
      <c r="H700" s="7"/>
      <c r="I700" s="7"/>
      <c r="J700" s="7"/>
      <c r="K700" s="7"/>
      <c r="L700" s="7"/>
      <c r="M700" s="7"/>
      <c r="N700" s="7"/>
    </row>
    <row r="701" spans="6:14" ht="14.25" customHeight="1" x14ac:dyDescent="0.7">
      <c r="F701" s="7"/>
      <c r="G701" s="7"/>
      <c r="H701" s="7"/>
      <c r="I701" s="7"/>
      <c r="J701" s="7"/>
      <c r="K701" s="7"/>
      <c r="L701" s="7"/>
      <c r="M701" s="7"/>
      <c r="N701" s="7"/>
    </row>
    <row r="702" spans="6:14" ht="14.25" customHeight="1" x14ac:dyDescent="0.7">
      <c r="F702" s="7"/>
      <c r="G702" s="7"/>
      <c r="H702" s="7"/>
      <c r="I702" s="7"/>
      <c r="J702" s="7"/>
      <c r="K702" s="7"/>
      <c r="L702" s="7"/>
      <c r="M702" s="7"/>
      <c r="N702" s="7"/>
    </row>
    <row r="703" spans="6:14" ht="14.25" customHeight="1" x14ac:dyDescent="0.7">
      <c r="F703" s="7"/>
      <c r="G703" s="7"/>
      <c r="H703" s="7"/>
      <c r="I703" s="7"/>
      <c r="J703" s="7"/>
      <c r="K703" s="7"/>
      <c r="L703" s="7"/>
      <c r="M703" s="7"/>
      <c r="N703" s="7"/>
    </row>
    <row r="704" spans="6:14" ht="14.25" customHeight="1" x14ac:dyDescent="0.7">
      <c r="F704" s="7"/>
      <c r="G704" s="7"/>
      <c r="H704" s="7"/>
      <c r="I704" s="7"/>
      <c r="J704" s="7"/>
      <c r="K704" s="7"/>
      <c r="L704" s="7"/>
      <c r="M704" s="7"/>
      <c r="N704" s="7"/>
    </row>
    <row r="705" spans="6:14" ht="14.25" customHeight="1" x14ac:dyDescent="0.7">
      <c r="F705" s="7"/>
      <c r="G705" s="7"/>
      <c r="H705" s="7"/>
      <c r="I705" s="7"/>
      <c r="J705" s="7"/>
      <c r="K705" s="7"/>
      <c r="L705" s="7"/>
      <c r="M705" s="7"/>
      <c r="N705" s="7"/>
    </row>
    <row r="706" spans="6:14" ht="14.25" customHeight="1" x14ac:dyDescent="0.7">
      <c r="F706" s="7"/>
      <c r="G706" s="7"/>
      <c r="H706" s="7"/>
      <c r="I706" s="7"/>
      <c r="J706" s="7"/>
      <c r="K706" s="7"/>
      <c r="L706" s="7"/>
      <c r="M706" s="7"/>
      <c r="N706" s="7"/>
    </row>
    <row r="707" spans="6:14" ht="14.25" customHeight="1" x14ac:dyDescent="0.7">
      <c r="F707" s="7"/>
      <c r="G707" s="7"/>
      <c r="H707" s="7"/>
      <c r="I707" s="7"/>
      <c r="J707" s="7"/>
      <c r="K707" s="7"/>
      <c r="L707" s="7"/>
      <c r="M707" s="7"/>
      <c r="N707" s="7"/>
    </row>
    <row r="708" spans="6:14" ht="14.25" customHeight="1" x14ac:dyDescent="0.7">
      <c r="F708" s="7"/>
      <c r="G708" s="7"/>
      <c r="H708" s="7"/>
      <c r="I708" s="7"/>
      <c r="J708" s="7"/>
      <c r="K708" s="7"/>
      <c r="L708" s="7"/>
      <c r="M708" s="7"/>
      <c r="N708" s="7"/>
    </row>
    <row r="709" spans="6:14" ht="14.25" customHeight="1" x14ac:dyDescent="0.7">
      <c r="F709" s="7"/>
      <c r="G709" s="7"/>
      <c r="H709" s="7"/>
      <c r="I709" s="7"/>
      <c r="J709" s="7"/>
      <c r="K709" s="7"/>
      <c r="L709" s="7"/>
      <c r="M709" s="7"/>
      <c r="N709" s="7"/>
    </row>
    <row r="710" spans="6:14" ht="14.25" customHeight="1" x14ac:dyDescent="0.7">
      <c r="F710" s="7"/>
      <c r="G710" s="7"/>
      <c r="H710" s="7"/>
      <c r="I710" s="7"/>
      <c r="J710" s="7"/>
      <c r="K710" s="7"/>
      <c r="L710" s="7"/>
      <c r="M710" s="7"/>
      <c r="N710" s="7"/>
    </row>
    <row r="711" spans="6:14" ht="14.25" customHeight="1" x14ac:dyDescent="0.7">
      <c r="F711" s="7"/>
      <c r="G711" s="7"/>
      <c r="H711" s="7"/>
      <c r="I711" s="7"/>
      <c r="J711" s="7"/>
      <c r="K711" s="7"/>
      <c r="L711" s="7"/>
      <c r="M711" s="7"/>
      <c r="N711" s="7"/>
    </row>
    <row r="712" spans="6:14" ht="14.25" customHeight="1" x14ac:dyDescent="0.7">
      <c r="F712" s="7"/>
      <c r="G712" s="7"/>
      <c r="H712" s="7"/>
      <c r="I712" s="7"/>
      <c r="J712" s="7"/>
      <c r="K712" s="7"/>
      <c r="L712" s="7"/>
      <c r="M712" s="7"/>
      <c r="N712" s="7"/>
    </row>
    <row r="713" spans="6:14" ht="14.25" customHeight="1" x14ac:dyDescent="0.7">
      <c r="F713" s="7"/>
      <c r="G713" s="7"/>
      <c r="H713" s="7"/>
      <c r="I713" s="7"/>
      <c r="J713" s="7"/>
      <c r="K713" s="7"/>
      <c r="L713" s="7"/>
      <c r="M713" s="7"/>
      <c r="N713" s="7"/>
    </row>
    <row r="714" spans="6:14" ht="14.25" customHeight="1" x14ac:dyDescent="0.7">
      <c r="F714" s="7"/>
      <c r="G714" s="7"/>
      <c r="H714" s="7"/>
      <c r="I714" s="7"/>
      <c r="J714" s="7"/>
      <c r="K714" s="7"/>
      <c r="L714" s="7"/>
      <c r="M714" s="7"/>
      <c r="N714" s="7"/>
    </row>
    <row r="715" spans="6:14" ht="14.25" customHeight="1" x14ac:dyDescent="0.7">
      <c r="F715" s="7"/>
      <c r="G715" s="7"/>
      <c r="H715" s="7"/>
      <c r="I715" s="7"/>
      <c r="J715" s="7"/>
      <c r="K715" s="7"/>
      <c r="L715" s="7"/>
      <c r="M715" s="7"/>
      <c r="N715" s="7"/>
    </row>
    <row r="716" spans="6:14" ht="14.25" customHeight="1" x14ac:dyDescent="0.7">
      <c r="F716" s="7"/>
      <c r="G716" s="7"/>
      <c r="H716" s="7"/>
      <c r="I716" s="7"/>
      <c r="J716" s="7"/>
      <c r="K716" s="7"/>
      <c r="L716" s="7"/>
      <c r="M716" s="7"/>
      <c r="N716" s="7"/>
    </row>
    <row r="717" spans="6:14" ht="14.25" customHeight="1" x14ac:dyDescent="0.7">
      <c r="F717" s="7"/>
      <c r="G717" s="7"/>
      <c r="H717" s="7"/>
      <c r="I717" s="7"/>
      <c r="J717" s="7"/>
      <c r="K717" s="7"/>
      <c r="L717" s="7"/>
      <c r="M717" s="7"/>
      <c r="N717" s="7"/>
    </row>
    <row r="718" spans="6:14" ht="14.25" customHeight="1" x14ac:dyDescent="0.7">
      <c r="F718" s="7"/>
      <c r="G718" s="7"/>
      <c r="H718" s="7"/>
      <c r="I718" s="7"/>
      <c r="J718" s="7"/>
      <c r="K718" s="7"/>
      <c r="L718" s="7"/>
      <c r="M718" s="7"/>
      <c r="N718" s="7"/>
    </row>
    <row r="719" spans="6:14" ht="14.25" customHeight="1" x14ac:dyDescent="0.7">
      <c r="F719" s="7"/>
      <c r="G719" s="7"/>
      <c r="H719" s="7"/>
      <c r="I719" s="7"/>
      <c r="J719" s="7"/>
      <c r="K719" s="7"/>
      <c r="L719" s="7"/>
      <c r="M719" s="7"/>
      <c r="N719" s="7"/>
    </row>
    <row r="720" spans="6:14" ht="14.25" customHeight="1" x14ac:dyDescent="0.7">
      <c r="F720" s="7"/>
      <c r="G720" s="7"/>
      <c r="H720" s="7"/>
      <c r="I720" s="7"/>
      <c r="J720" s="7"/>
      <c r="K720" s="7"/>
      <c r="L720" s="7"/>
      <c r="M720" s="7"/>
      <c r="N720" s="7"/>
    </row>
    <row r="721" spans="6:14" ht="14.25" customHeight="1" x14ac:dyDescent="0.7">
      <c r="F721" s="7"/>
      <c r="G721" s="7"/>
      <c r="H721" s="7"/>
      <c r="I721" s="7"/>
      <c r="J721" s="7"/>
      <c r="K721" s="7"/>
      <c r="L721" s="7"/>
      <c r="M721" s="7"/>
      <c r="N721" s="7"/>
    </row>
    <row r="722" spans="6:14" ht="14.25" customHeight="1" x14ac:dyDescent="0.7">
      <c r="F722" s="7"/>
      <c r="G722" s="7"/>
      <c r="H722" s="7"/>
      <c r="I722" s="7"/>
      <c r="J722" s="7"/>
      <c r="K722" s="7"/>
      <c r="L722" s="7"/>
      <c r="M722" s="7"/>
      <c r="N722" s="7"/>
    </row>
    <row r="723" spans="6:14" ht="14.25" customHeight="1" x14ac:dyDescent="0.7">
      <c r="F723" s="7"/>
      <c r="G723" s="7"/>
      <c r="H723" s="7"/>
      <c r="I723" s="7"/>
      <c r="J723" s="7"/>
      <c r="K723" s="7"/>
      <c r="L723" s="7"/>
      <c r="M723" s="7"/>
      <c r="N723" s="7"/>
    </row>
    <row r="724" spans="6:14" ht="14.25" customHeight="1" x14ac:dyDescent="0.7">
      <c r="F724" s="7"/>
      <c r="G724" s="7"/>
      <c r="H724" s="7"/>
      <c r="I724" s="7"/>
      <c r="J724" s="7"/>
      <c r="K724" s="7"/>
      <c r="L724" s="7"/>
      <c r="M724" s="7"/>
      <c r="N724" s="7"/>
    </row>
    <row r="725" spans="6:14" ht="14.25" customHeight="1" x14ac:dyDescent="0.7">
      <c r="F725" s="7"/>
      <c r="G725" s="7"/>
      <c r="H725" s="7"/>
      <c r="I725" s="7"/>
      <c r="J725" s="7"/>
      <c r="K725" s="7"/>
      <c r="L725" s="7"/>
      <c r="M725" s="7"/>
      <c r="N725" s="7"/>
    </row>
    <row r="726" spans="6:14" ht="14.25" customHeight="1" x14ac:dyDescent="0.7">
      <c r="F726" s="7"/>
      <c r="G726" s="7"/>
      <c r="H726" s="7"/>
      <c r="I726" s="7"/>
      <c r="J726" s="7"/>
      <c r="K726" s="7"/>
      <c r="L726" s="7"/>
      <c r="M726" s="7"/>
      <c r="N726" s="7"/>
    </row>
    <row r="727" spans="6:14" ht="14.25" customHeight="1" x14ac:dyDescent="0.7">
      <c r="F727" s="7"/>
      <c r="G727" s="7"/>
      <c r="H727" s="7"/>
      <c r="I727" s="7"/>
      <c r="J727" s="7"/>
      <c r="K727" s="7"/>
      <c r="L727" s="7"/>
      <c r="M727" s="7"/>
      <c r="N727" s="7"/>
    </row>
    <row r="728" spans="6:14" ht="14.25" customHeight="1" x14ac:dyDescent="0.7">
      <c r="F728" s="7"/>
      <c r="G728" s="7"/>
      <c r="H728" s="7"/>
      <c r="I728" s="7"/>
      <c r="J728" s="7"/>
      <c r="K728" s="7"/>
      <c r="L728" s="7"/>
      <c r="M728" s="7"/>
      <c r="N728" s="7"/>
    </row>
    <row r="729" spans="6:14" ht="14.25" customHeight="1" x14ac:dyDescent="0.7">
      <c r="F729" s="7"/>
      <c r="G729" s="7"/>
      <c r="H729" s="7"/>
      <c r="I729" s="7"/>
      <c r="J729" s="7"/>
      <c r="K729" s="7"/>
      <c r="L729" s="7"/>
      <c r="M729" s="7"/>
      <c r="N729" s="7"/>
    </row>
    <row r="730" spans="6:14" ht="14.25" customHeight="1" x14ac:dyDescent="0.7">
      <c r="F730" s="7"/>
      <c r="G730" s="7"/>
      <c r="H730" s="7"/>
      <c r="I730" s="7"/>
      <c r="J730" s="7"/>
      <c r="K730" s="7"/>
      <c r="L730" s="7"/>
      <c r="M730" s="7"/>
      <c r="N730" s="7"/>
    </row>
    <row r="731" spans="6:14" ht="14.25" customHeight="1" x14ac:dyDescent="0.7">
      <c r="F731" s="7"/>
      <c r="G731" s="7"/>
      <c r="H731" s="7"/>
      <c r="I731" s="7"/>
      <c r="J731" s="7"/>
      <c r="K731" s="7"/>
      <c r="L731" s="7"/>
      <c r="M731" s="7"/>
      <c r="N731" s="7"/>
    </row>
    <row r="732" spans="6:14" ht="14.25" customHeight="1" x14ac:dyDescent="0.7">
      <c r="F732" s="7"/>
      <c r="G732" s="7"/>
      <c r="H732" s="7"/>
      <c r="I732" s="7"/>
      <c r="J732" s="7"/>
      <c r="K732" s="7"/>
      <c r="L732" s="7"/>
      <c r="M732" s="7"/>
      <c r="N732" s="7"/>
    </row>
    <row r="733" spans="6:14" ht="14.25" customHeight="1" x14ac:dyDescent="0.7">
      <c r="F733" s="7"/>
      <c r="G733" s="7"/>
      <c r="H733" s="7"/>
      <c r="I733" s="7"/>
      <c r="J733" s="7"/>
      <c r="K733" s="7"/>
      <c r="L733" s="7"/>
      <c r="M733" s="7"/>
      <c r="N733" s="7"/>
    </row>
    <row r="734" spans="6:14" ht="14.25" customHeight="1" x14ac:dyDescent="0.7">
      <c r="F734" s="7"/>
      <c r="G734" s="7"/>
      <c r="H734" s="7"/>
      <c r="I734" s="7"/>
      <c r="J734" s="7"/>
      <c r="K734" s="7"/>
      <c r="L734" s="7"/>
      <c r="M734" s="7"/>
      <c r="N734" s="7"/>
    </row>
    <row r="735" spans="6:14" ht="14.25" customHeight="1" x14ac:dyDescent="0.7">
      <c r="F735" s="7"/>
      <c r="G735" s="7"/>
      <c r="H735" s="7"/>
      <c r="I735" s="7"/>
      <c r="J735" s="7"/>
      <c r="K735" s="7"/>
      <c r="L735" s="7"/>
      <c r="M735" s="7"/>
      <c r="N735" s="7"/>
    </row>
    <row r="736" spans="6:14" ht="14.25" customHeight="1" x14ac:dyDescent="0.7">
      <c r="F736" s="7"/>
      <c r="G736" s="7"/>
      <c r="H736" s="7"/>
      <c r="I736" s="7"/>
      <c r="J736" s="7"/>
      <c r="K736" s="7"/>
      <c r="L736" s="7"/>
      <c r="M736" s="7"/>
      <c r="N736" s="7"/>
    </row>
    <row r="737" spans="6:14" ht="14.25" customHeight="1" x14ac:dyDescent="0.7">
      <c r="F737" s="7"/>
      <c r="G737" s="7"/>
      <c r="H737" s="7"/>
      <c r="I737" s="7"/>
      <c r="J737" s="7"/>
      <c r="K737" s="7"/>
      <c r="L737" s="7"/>
      <c r="M737" s="7"/>
      <c r="N737" s="7"/>
    </row>
    <row r="738" spans="6:14" ht="14.25" customHeight="1" x14ac:dyDescent="0.7">
      <c r="F738" s="7"/>
      <c r="G738" s="7"/>
      <c r="H738" s="7"/>
      <c r="I738" s="7"/>
      <c r="J738" s="7"/>
      <c r="K738" s="7"/>
      <c r="L738" s="7"/>
      <c r="M738" s="7"/>
      <c r="N738" s="7"/>
    </row>
    <row r="739" spans="6:14" ht="14.25" customHeight="1" x14ac:dyDescent="0.7">
      <c r="F739" s="7"/>
      <c r="G739" s="7"/>
      <c r="H739" s="7"/>
      <c r="I739" s="7"/>
      <c r="J739" s="7"/>
      <c r="K739" s="7"/>
      <c r="L739" s="7"/>
      <c r="M739" s="7"/>
      <c r="N739" s="7"/>
    </row>
    <row r="740" spans="6:14" ht="14.25" customHeight="1" x14ac:dyDescent="0.7">
      <c r="F740" s="7"/>
      <c r="G740" s="7"/>
      <c r="H740" s="7"/>
      <c r="I740" s="7"/>
      <c r="J740" s="7"/>
      <c r="K740" s="7"/>
      <c r="L740" s="7"/>
      <c r="M740" s="7"/>
      <c r="N740" s="7"/>
    </row>
    <row r="741" spans="6:14" ht="14.25" customHeight="1" x14ac:dyDescent="0.7">
      <c r="F741" s="7"/>
      <c r="G741" s="7"/>
      <c r="H741" s="7"/>
      <c r="I741" s="7"/>
      <c r="J741" s="7"/>
      <c r="K741" s="7"/>
      <c r="L741" s="7"/>
      <c r="M741" s="7"/>
      <c r="N741" s="7"/>
    </row>
    <row r="742" spans="6:14" ht="14.25" customHeight="1" x14ac:dyDescent="0.7">
      <c r="F742" s="7"/>
      <c r="G742" s="7"/>
      <c r="H742" s="7"/>
      <c r="I742" s="7"/>
      <c r="J742" s="7"/>
      <c r="K742" s="7"/>
      <c r="L742" s="7"/>
      <c r="M742" s="7"/>
      <c r="N742" s="7"/>
    </row>
    <row r="743" spans="6:14" ht="14.25" customHeight="1" x14ac:dyDescent="0.7">
      <c r="F743" s="7"/>
      <c r="G743" s="7"/>
      <c r="H743" s="7"/>
      <c r="I743" s="7"/>
      <c r="J743" s="7"/>
      <c r="K743" s="7"/>
      <c r="L743" s="7"/>
      <c r="M743" s="7"/>
      <c r="N743" s="7"/>
    </row>
    <row r="744" spans="6:14" ht="14.25" customHeight="1" x14ac:dyDescent="0.7">
      <c r="F744" s="7"/>
      <c r="G744" s="7"/>
      <c r="H744" s="7"/>
      <c r="I744" s="7"/>
      <c r="J744" s="7"/>
      <c r="K744" s="7"/>
      <c r="L744" s="7"/>
      <c r="M744" s="7"/>
      <c r="N744" s="7"/>
    </row>
    <row r="745" spans="6:14" ht="14.25" customHeight="1" x14ac:dyDescent="0.7">
      <c r="F745" s="7"/>
      <c r="G745" s="7"/>
      <c r="H745" s="7"/>
      <c r="I745" s="7"/>
      <c r="J745" s="7"/>
      <c r="K745" s="7"/>
      <c r="L745" s="7"/>
      <c r="M745" s="7"/>
      <c r="N745" s="7"/>
    </row>
    <row r="746" spans="6:14" ht="14.25" customHeight="1" x14ac:dyDescent="0.7">
      <c r="F746" s="7"/>
      <c r="G746" s="7"/>
      <c r="H746" s="7"/>
      <c r="I746" s="7"/>
      <c r="J746" s="7"/>
      <c r="K746" s="7"/>
      <c r="L746" s="7"/>
      <c r="M746" s="7"/>
      <c r="N746" s="7"/>
    </row>
    <row r="747" spans="6:14" ht="14.25" customHeight="1" x14ac:dyDescent="0.7">
      <c r="F747" s="7"/>
      <c r="G747" s="7"/>
      <c r="H747" s="7"/>
      <c r="I747" s="7"/>
      <c r="J747" s="7"/>
      <c r="K747" s="7"/>
      <c r="L747" s="7"/>
      <c r="M747" s="7"/>
      <c r="N747" s="7"/>
    </row>
    <row r="748" spans="6:14" ht="14.25" customHeight="1" x14ac:dyDescent="0.7">
      <c r="F748" s="7"/>
      <c r="G748" s="7"/>
      <c r="H748" s="7"/>
      <c r="I748" s="7"/>
      <c r="J748" s="7"/>
      <c r="K748" s="7"/>
      <c r="L748" s="7"/>
      <c r="M748" s="7"/>
      <c r="N748" s="7"/>
    </row>
    <row r="749" spans="6:14" ht="14.25" customHeight="1" x14ac:dyDescent="0.7">
      <c r="F749" s="7"/>
      <c r="G749" s="7"/>
      <c r="H749" s="7"/>
      <c r="I749" s="7"/>
      <c r="J749" s="7"/>
      <c r="K749" s="7"/>
      <c r="L749" s="7"/>
      <c r="M749" s="7"/>
      <c r="N749" s="7"/>
    </row>
    <row r="750" spans="6:14" ht="14.25" customHeight="1" x14ac:dyDescent="0.7">
      <c r="F750" s="7"/>
      <c r="G750" s="7"/>
      <c r="H750" s="7"/>
      <c r="I750" s="7"/>
      <c r="J750" s="7"/>
      <c r="K750" s="7"/>
      <c r="L750" s="7"/>
      <c r="M750" s="7"/>
      <c r="N750" s="7"/>
    </row>
    <row r="751" spans="6:14" ht="14.25" customHeight="1" x14ac:dyDescent="0.7">
      <c r="F751" s="7"/>
      <c r="G751" s="7"/>
      <c r="H751" s="7"/>
      <c r="I751" s="7"/>
      <c r="J751" s="7"/>
      <c r="K751" s="7"/>
      <c r="L751" s="7"/>
      <c r="M751" s="7"/>
      <c r="N751" s="7"/>
    </row>
    <row r="752" spans="6:14" ht="14.25" customHeight="1" x14ac:dyDescent="0.7">
      <c r="F752" s="7"/>
      <c r="G752" s="7"/>
      <c r="H752" s="7"/>
      <c r="I752" s="7"/>
      <c r="J752" s="7"/>
      <c r="K752" s="7"/>
      <c r="L752" s="7"/>
      <c r="M752" s="7"/>
      <c r="N752" s="7"/>
    </row>
    <row r="753" spans="6:14" ht="14.25" customHeight="1" x14ac:dyDescent="0.7">
      <c r="F753" s="7"/>
      <c r="G753" s="7"/>
      <c r="H753" s="7"/>
      <c r="I753" s="7"/>
      <c r="J753" s="7"/>
      <c r="K753" s="7"/>
      <c r="L753" s="7"/>
      <c r="M753" s="7"/>
      <c r="N753" s="7"/>
    </row>
    <row r="754" spans="6:14" ht="14.25" customHeight="1" x14ac:dyDescent="0.7">
      <c r="F754" s="7"/>
      <c r="G754" s="7"/>
      <c r="H754" s="7"/>
      <c r="I754" s="7"/>
      <c r="J754" s="7"/>
      <c r="K754" s="7"/>
      <c r="L754" s="7"/>
      <c r="M754" s="7"/>
      <c r="N754" s="7"/>
    </row>
    <row r="755" spans="6:14" ht="14.25" customHeight="1" x14ac:dyDescent="0.7">
      <c r="F755" s="7"/>
      <c r="G755" s="7"/>
      <c r="H755" s="7"/>
      <c r="I755" s="7"/>
      <c r="J755" s="7"/>
      <c r="K755" s="7"/>
      <c r="L755" s="7"/>
      <c r="M755" s="7"/>
      <c r="N755" s="7"/>
    </row>
    <row r="756" spans="6:14" ht="14.25" customHeight="1" x14ac:dyDescent="0.7">
      <c r="F756" s="7"/>
      <c r="G756" s="7"/>
      <c r="H756" s="7"/>
      <c r="I756" s="7"/>
      <c r="J756" s="7"/>
      <c r="K756" s="7"/>
      <c r="L756" s="7"/>
      <c r="M756" s="7"/>
      <c r="N756" s="7"/>
    </row>
    <row r="757" spans="6:14" ht="14.25" customHeight="1" x14ac:dyDescent="0.7">
      <c r="F757" s="7"/>
      <c r="G757" s="7"/>
      <c r="H757" s="7"/>
      <c r="I757" s="7"/>
      <c r="J757" s="7"/>
      <c r="K757" s="7"/>
      <c r="L757" s="7"/>
      <c r="M757" s="7"/>
      <c r="N757" s="7"/>
    </row>
    <row r="758" spans="6:14" ht="14.25" customHeight="1" x14ac:dyDescent="0.7">
      <c r="F758" s="7"/>
      <c r="G758" s="7"/>
      <c r="H758" s="7"/>
      <c r="I758" s="7"/>
      <c r="J758" s="7"/>
      <c r="K758" s="7"/>
      <c r="L758" s="7"/>
      <c r="M758" s="7"/>
      <c r="N758" s="7"/>
    </row>
    <row r="759" spans="6:14" ht="14.25" customHeight="1" x14ac:dyDescent="0.7">
      <c r="F759" s="7"/>
      <c r="G759" s="7"/>
      <c r="H759" s="7"/>
      <c r="I759" s="7"/>
      <c r="J759" s="7"/>
      <c r="K759" s="7"/>
      <c r="L759" s="7"/>
      <c r="M759" s="7"/>
      <c r="N759" s="7"/>
    </row>
    <row r="760" spans="6:14" ht="14.25" customHeight="1" x14ac:dyDescent="0.7">
      <c r="F760" s="7"/>
      <c r="G760" s="7"/>
      <c r="H760" s="7"/>
      <c r="I760" s="7"/>
      <c r="J760" s="7"/>
      <c r="K760" s="7"/>
      <c r="L760" s="7"/>
      <c r="M760" s="7"/>
      <c r="N760" s="7"/>
    </row>
    <row r="761" spans="6:14" ht="14.25" customHeight="1" x14ac:dyDescent="0.7">
      <c r="F761" s="7"/>
      <c r="G761" s="7"/>
      <c r="H761" s="7"/>
      <c r="I761" s="7"/>
      <c r="J761" s="7"/>
      <c r="K761" s="7"/>
      <c r="L761" s="7"/>
      <c r="M761" s="7"/>
      <c r="N761" s="7"/>
    </row>
    <row r="762" spans="6:14" ht="14.25" customHeight="1" x14ac:dyDescent="0.7">
      <c r="F762" s="7"/>
      <c r="G762" s="7"/>
      <c r="H762" s="7"/>
      <c r="I762" s="7"/>
      <c r="J762" s="7"/>
      <c r="K762" s="7"/>
      <c r="L762" s="7"/>
      <c r="M762" s="7"/>
      <c r="N762" s="7"/>
    </row>
    <row r="763" spans="6:14" ht="14.25" customHeight="1" x14ac:dyDescent="0.7">
      <c r="F763" s="7"/>
      <c r="G763" s="7"/>
      <c r="H763" s="7"/>
      <c r="I763" s="7"/>
      <c r="J763" s="7"/>
      <c r="K763" s="7"/>
      <c r="L763" s="7"/>
      <c r="M763" s="7"/>
      <c r="N763" s="7"/>
    </row>
    <row r="764" spans="6:14" ht="14.25" customHeight="1" x14ac:dyDescent="0.7">
      <c r="F764" s="7"/>
      <c r="G764" s="7"/>
      <c r="H764" s="7"/>
      <c r="I764" s="7"/>
      <c r="J764" s="7"/>
      <c r="K764" s="7"/>
      <c r="L764" s="7"/>
      <c r="M764" s="7"/>
      <c r="N764" s="7"/>
    </row>
    <row r="765" spans="6:14" ht="14.25" customHeight="1" x14ac:dyDescent="0.7">
      <c r="F765" s="7"/>
      <c r="G765" s="7"/>
      <c r="H765" s="7"/>
      <c r="I765" s="7"/>
      <c r="J765" s="7"/>
      <c r="K765" s="7"/>
      <c r="L765" s="7"/>
      <c r="M765" s="7"/>
      <c r="N765" s="7"/>
    </row>
    <row r="766" spans="6:14" ht="14.25" customHeight="1" x14ac:dyDescent="0.7">
      <c r="F766" s="7"/>
      <c r="G766" s="7"/>
      <c r="H766" s="7"/>
      <c r="I766" s="7"/>
      <c r="J766" s="7"/>
      <c r="K766" s="7"/>
      <c r="L766" s="7"/>
      <c r="M766" s="7"/>
      <c r="N766" s="7"/>
    </row>
    <row r="767" spans="6:14" ht="14.25" customHeight="1" x14ac:dyDescent="0.7">
      <c r="F767" s="7"/>
      <c r="G767" s="7"/>
      <c r="H767" s="7"/>
      <c r="I767" s="7"/>
      <c r="J767" s="7"/>
      <c r="K767" s="7"/>
      <c r="L767" s="7"/>
      <c r="M767" s="7"/>
      <c r="N767" s="7"/>
    </row>
    <row r="768" spans="6:14" ht="14.25" customHeight="1" x14ac:dyDescent="0.7">
      <c r="F768" s="7"/>
      <c r="G768" s="7"/>
      <c r="H768" s="7"/>
      <c r="I768" s="7"/>
      <c r="J768" s="7"/>
      <c r="K768" s="7"/>
      <c r="L768" s="7"/>
      <c r="M768" s="7"/>
      <c r="N768" s="7"/>
    </row>
    <row r="769" spans="6:14" ht="14.25" customHeight="1" x14ac:dyDescent="0.7">
      <c r="F769" s="7"/>
      <c r="G769" s="7"/>
      <c r="H769" s="7"/>
      <c r="I769" s="7"/>
      <c r="J769" s="7"/>
      <c r="K769" s="7"/>
      <c r="L769" s="7"/>
      <c r="M769" s="7"/>
      <c r="N769" s="7"/>
    </row>
    <row r="770" spans="6:14" ht="14.25" customHeight="1" x14ac:dyDescent="0.7">
      <c r="F770" s="7"/>
      <c r="G770" s="7"/>
      <c r="H770" s="7"/>
      <c r="I770" s="7"/>
      <c r="J770" s="7"/>
      <c r="K770" s="7"/>
      <c r="L770" s="7"/>
      <c r="M770" s="7"/>
      <c r="N770" s="7"/>
    </row>
    <row r="771" spans="6:14" ht="14.25" customHeight="1" x14ac:dyDescent="0.7">
      <c r="F771" s="7"/>
      <c r="G771" s="7"/>
      <c r="H771" s="7"/>
      <c r="I771" s="7"/>
      <c r="J771" s="7"/>
      <c r="K771" s="7"/>
      <c r="L771" s="7"/>
      <c r="M771" s="7"/>
      <c r="N771" s="7"/>
    </row>
    <row r="772" spans="6:14" ht="14.25" customHeight="1" x14ac:dyDescent="0.7">
      <c r="F772" s="7"/>
      <c r="G772" s="7"/>
      <c r="H772" s="7"/>
      <c r="I772" s="7"/>
      <c r="J772" s="7"/>
      <c r="K772" s="7"/>
      <c r="L772" s="7"/>
      <c r="M772" s="7"/>
      <c r="N772" s="7"/>
    </row>
    <row r="773" spans="6:14" ht="14.25" customHeight="1" x14ac:dyDescent="0.7">
      <c r="F773" s="7"/>
      <c r="G773" s="7"/>
      <c r="H773" s="7"/>
      <c r="I773" s="7"/>
      <c r="J773" s="7"/>
      <c r="K773" s="7"/>
      <c r="L773" s="7"/>
      <c r="M773" s="7"/>
      <c r="N773" s="7"/>
    </row>
    <row r="774" spans="6:14" ht="14.25" customHeight="1" x14ac:dyDescent="0.7">
      <c r="F774" s="7"/>
      <c r="G774" s="7"/>
      <c r="H774" s="7"/>
      <c r="I774" s="7"/>
      <c r="J774" s="7"/>
      <c r="K774" s="7"/>
      <c r="L774" s="7"/>
      <c r="M774" s="7"/>
      <c r="N774" s="7"/>
    </row>
    <row r="775" spans="6:14" ht="14.25" customHeight="1" x14ac:dyDescent="0.7">
      <c r="F775" s="7"/>
      <c r="G775" s="7"/>
      <c r="H775" s="7"/>
      <c r="I775" s="7"/>
      <c r="J775" s="7"/>
      <c r="K775" s="7"/>
      <c r="L775" s="7"/>
      <c r="M775" s="7"/>
      <c r="N775" s="7"/>
    </row>
    <row r="776" spans="6:14" ht="14.25" customHeight="1" x14ac:dyDescent="0.7">
      <c r="F776" s="7"/>
      <c r="G776" s="7"/>
      <c r="H776" s="7"/>
      <c r="I776" s="7"/>
      <c r="J776" s="7"/>
      <c r="K776" s="7"/>
      <c r="L776" s="7"/>
      <c r="M776" s="7"/>
      <c r="N776" s="7"/>
    </row>
    <row r="777" spans="6:14" ht="14.25" customHeight="1" x14ac:dyDescent="0.7">
      <c r="F777" s="7"/>
      <c r="G777" s="7"/>
      <c r="H777" s="7"/>
      <c r="I777" s="7"/>
      <c r="J777" s="7"/>
      <c r="K777" s="7"/>
      <c r="L777" s="7"/>
      <c r="M777" s="7"/>
      <c r="N777" s="7"/>
    </row>
    <row r="778" spans="6:14" ht="14.25" customHeight="1" x14ac:dyDescent="0.7">
      <c r="F778" s="7"/>
      <c r="G778" s="7"/>
      <c r="H778" s="7"/>
      <c r="I778" s="7"/>
      <c r="J778" s="7"/>
      <c r="K778" s="7"/>
      <c r="L778" s="7"/>
      <c r="M778" s="7"/>
      <c r="N778" s="7"/>
    </row>
    <row r="779" spans="6:14" ht="14.25" customHeight="1" x14ac:dyDescent="0.7">
      <c r="F779" s="7"/>
      <c r="G779" s="7"/>
      <c r="H779" s="7"/>
      <c r="I779" s="7"/>
      <c r="J779" s="7"/>
      <c r="K779" s="7"/>
      <c r="L779" s="7"/>
      <c r="M779" s="7"/>
      <c r="N779" s="7"/>
    </row>
    <row r="780" spans="6:14" ht="14.25" customHeight="1" x14ac:dyDescent="0.7">
      <c r="F780" s="7"/>
      <c r="G780" s="7"/>
      <c r="H780" s="7"/>
      <c r="I780" s="7"/>
      <c r="J780" s="7"/>
      <c r="K780" s="7"/>
      <c r="L780" s="7"/>
      <c r="M780" s="7"/>
      <c r="N780" s="7"/>
    </row>
    <row r="781" spans="6:14" ht="14.25" customHeight="1" x14ac:dyDescent="0.7">
      <c r="F781" s="7"/>
      <c r="G781" s="7"/>
      <c r="H781" s="7"/>
      <c r="I781" s="7"/>
      <c r="J781" s="7"/>
      <c r="K781" s="7"/>
      <c r="L781" s="7"/>
      <c r="M781" s="7"/>
      <c r="N781" s="7"/>
    </row>
    <row r="782" spans="6:14" ht="14.25" customHeight="1" x14ac:dyDescent="0.7">
      <c r="F782" s="7"/>
      <c r="G782" s="7"/>
      <c r="H782" s="7"/>
      <c r="I782" s="7"/>
      <c r="J782" s="7"/>
      <c r="K782" s="7"/>
      <c r="L782" s="7"/>
      <c r="M782" s="7"/>
      <c r="N782" s="7"/>
    </row>
    <row r="783" spans="6:14" ht="14.25" customHeight="1" x14ac:dyDescent="0.7">
      <c r="F783" s="7"/>
      <c r="G783" s="7"/>
      <c r="H783" s="7"/>
      <c r="I783" s="7"/>
      <c r="J783" s="7"/>
      <c r="K783" s="7"/>
      <c r="L783" s="7"/>
      <c r="M783" s="7"/>
      <c r="N783" s="7"/>
    </row>
    <row r="784" spans="6:14" ht="14.25" customHeight="1" x14ac:dyDescent="0.7">
      <c r="F784" s="7"/>
      <c r="G784" s="7"/>
      <c r="H784" s="7"/>
      <c r="I784" s="7"/>
      <c r="J784" s="7"/>
      <c r="K784" s="7"/>
      <c r="L784" s="7"/>
      <c r="M784" s="7"/>
      <c r="N784" s="7"/>
    </row>
    <row r="785" spans="6:14" ht="14.25" customHeight="1" x14ac:dyDescent="0.7">
      <c r="F785" s="7"/>
      <c r="G785" s="7"/>
      <c r="H785" s="7"/>
      <c r="I785" s="7"/>
      <c r="J785" s="7"/>
      <c r="K785" s="7"/>
      <c r="L785" s="7"/>
      <c r="M785" s="7"/>
      <c r="N785" s="7"/>
    </row>
    <row r="786" spans="6:14" ht="14.25" customHeight="1" x14ac:dyDescent="0.7">
      <c r="F786" s="7"/>
      <c r="G786" s="7"/>
      <c r="H786" s="7"/>
      <c r="I786" s="7"/>
      <c r="J786" s="7"/>
      <c r="K786" s="7"/>
      <c r="L786" s="7"/>
      <c r="M786" s="7"/>
      <c r="N786" s="7"/>
    </row>
    <row r="787" spans="6:14" ht="14.25" customHeight="1" x14ac:dyDescent="0.7">
      <c r="F787" s="7"/>
      <c r="G787" s="7"/>
      <c r="H787" s="7"/>
      <c r="I787" s="7"/>
      <c r="J787" s="7"/>
      <c r="K787" s="7"/>
      <c r="L787" s="7"/>
      <c r="M787" s="7"/>
      <c r="N787" s="7"/>
    </row>
    <row r="788" spans="6:14" ht="14.25" customHeight="1" x14ac:dyDescent="0.7">
      <c r="F788" s="7"/>
      <c r="G788" s="7"/>
      <c r="H788" s="7"/>
      <c r="I788" s="7"/>
      <c r="J788" s="7"/>
      <c r="K788" s="7"/>
      <c r="L788" s="7"/>
      <c r="M788" s="7"/>
      <c r="N788" s="7"/>
    </row>
    <row r="789" spans="6:14" ht="14.25" customHeight="1" x14ac:dyDescent="0.7">
      <c r="F789" s="7"/>
      <c r="G789" s="7"/>
      <c r="H789" s="7"/>
      <c r="I789" s="7"/>
      <c r="J789" s="7"/>
      <c r="K789" s="7"/>
      <c r="L789" s="7"/>
      <c r="M789" s="7"/>
      <c r="N789" s="7"/>
    </row>
    <row r="790" spans="6:14" ht="14.25" customHeight="1" x14ac:dyDescent="0.7">
      <c r="F790" s="7"/>
      <c r="G790" s="7"/>
      <c r="H790" s="7"/>
      <c r="I790" s="7"/>
      <c r="J790" s="7"/>
      <c r="K790" s="7"/>
      <c r="L790" s="7"/>
      <c r="M790" s="7"/>
      <c r="N790" s="7"/>
    </row>
    <row r="791" spans="6:14" ht="14.25" customHeight="1" x14ac:dyDescent="0.7">
      <c r="F791" s="7"/>
      <c r="G791" s="7"/>
      <c r="H791" s="7"/>
      <c r="I791" s="7"/>
      <c r="J791" s="7"/>
      <c r="K791" s="7"/>
      <c r="L791" s="7"/>
      <c r="M791" s="7"/>
      <c r="N791" s="7"/>
    </row>
    <row r="792" spans="6:14" ht="14.25" customHeight="1" x14ac:dyDescent="0.7">
      <c r="F792" s="7"/>
      <c r="G792" s="7"/>
      <c r="H792" s="7"/>
      <c r="I792" s="7"/>
      <c r="J792" s="7"/>
      <c r="K792" s="7"/>
      <c r="L792" s="7"/>
      <c r="M792" s="7"/>
      <c r="N792" s="7"/>
    </row>
    <row r="793" spans="6:14" ht="14.25" customHeight="1" x14ac:dyDescent="0.7">
      <c r="F793" s="7"/>
      <c r="G793" s="7"/>
      <c r="H793" s="7"/>
      <c r="I793" s="7"/>
      <c r="J793" s="7"/>
      <c r="K793" s="7"/>
      <c r="L793" s="7"/>
      <c r="M793" s="7"/>
      <c r="N793" s="7"/>
    </row>
    <row r="794" spans="6:14" ht="14.25" customHeight="1" x14ac:dyDescent="0.7">
      <c r="F794" s="7"/>
      <c r="G794" s="7"/>
      <c r="H794" s="7"/>
      <c r="I794" s="7"/>
      <c r="J794" s="7"/>
      <c r="K794" s="7"/>
      <c r="L794" s="7"/>
      <c r="M794" s="7"/>
      <c r="N794" s="7"/>
    </row>
    <row r="795" spans="6:14" ht="14.25" customHeight="1" x14ac:dyDescent="0.7">
      <c r="F795" s="7"/>
      <c r="G795" s="7"/>
      <c r="H795" s="7"/>
      <c r="I795" s="7"/>
      <c r="J795" s="7"/>
      <c r="K795" s="7"/>
      <c r="L795" s="7"/>
      <c r="M795" s="7"/>
      <c r="N795" s="7"/>
    </row>
    <row r="796" spans="6:14" ht="14.25" customHeight="1" x14ac:dyDescent="0.7">
      <c r="F796" s="7"/>
      <c r="G796" s="7"/>
      <c r="H796" s="7"/>
      <c r="I796" s="7"/>
      <c r="J796" s="7"/>
      <c r="K796" s="7"/>
      <c r="L796" s="7"/>
      <c r="M796" s="7"/>
      <c r="N796" s="7"/>
    </row>
    <row r="797" spans="6:14" ht="14.25" customHeight="1" x14ac:dyDescent="0.7">
      <c r="F797" s="7"/>
      <c r="G797" s="7"/>
      <c r="H797" s="7"/>
      <c r="I797" s="7"/>
      <c r="J797" s="7"/>
      <c r="K797" s="7"/>
      <c r="L797" s="7"/>
      <c r="M797" s="7"/>
      <c r="N797" s="7"/>
    </row>
    <row r="798" spans="6:14" ht="14.25" customHeight="1" x14ac:dyDescent="0.7">
      <c r="F798" s="7"/>
      <c r="G798" s="7"/>
      <c r="H798" s="7"/>
      <c r="I798" s="7"/>
      <c r="J798" s="7"/>
      <c r="K798" s="7"/>
      <c r="L798" s="7"/>
      <c r="M798" s="7"/>
      <c r="N798" s="7"/>
    </row>
    <row r="799" spans="6:14" ht="14.25" customHeight="1" x14ac:dyDescent="0.7">
      <c r="F799" s="7"/>
      <c r="G799" s="7"/>
      <c r="H799" s="7"/>
      <c r="I799" s="7"/>
      <c r="J799" s="7"/>
      <c r="K799" s="7"/>
      <c r="L799" s="7"/>
      <c r="M799" s="7"/>
      <c r="N799" s="7"/>
    </row>
    <row r="800" spans="6:14" ht="14.25" customHeight="1" x14ac:dyDescent="0.7">
      <c r="F800" s="7"/>
      <c r="G800" s="7"/>
      <c r="H800" s="7"/>
      <c r="I800" s="7"/>
      <c r="J800" s="7"/>
      <c r="K800" s="7"/>
      <c r="L800" s="7"/>
      <c r="M800" s="7"/>
      <c r="N800" s="7"/>
    </row>
    <row r="801" spans="6:14" ht="14.25" customHeight="1" x14ac:dyDescent="0.7">
      <c r="F801" s="7"/>
      <c r="G801" s="7"/>
      <c r="H801" s="7"/>
      <c r="I801" s="7"/>
      <c r="J801" s="7"/>
      <c r="K801" s="7"/>
      <c r="L801" s="7"/>
      <c r="M801" s="7"/>
      <c r="N801" s="7"/>
    </row>
    <row r="802" spans="6:14" ht="14.25" customHeight="1" x14ac:dyDescent="0.7">
      <c r="F802" s="7"/>
      <c r="G802" s="7"/>
      <c r="H802" s="7"/>
      <c r="I802" s="7"/>
      <c r="J802" s="7"/>
      <c r="K802" s="7"/>
      <c r="L802" s="7"/>
      <c r="M802" s="7"/>
      <c r="N802" s="7"/>
    </row>
    <row r="803" spans="6:14" ht="14.25" customHeight="1" x14ac:dyDescent="0.7">
      <c r="F803" s="7"/>
      <c r="G803" s="7"/>
      <c r="H803" s="7"/>
      <c r="I803" s="7"/>
      <c r="J803" s="7"/>
      <c r="K803" s="7"/>
      <c r="L803" s="7"/>
      <c r="M803" s="7"/>
      <c r="N803" s="7"/>
    </row>
    <row r="804" spans="6:14" ht="14.25" customHeight="1" x14ac:dyDescent="0.7">
      <c r="F804" s="7"/>
      <c r="G804" s="7"/>
      <c r="H804" s="7"/>
      <c r="I804" s="7"/>
      <c r="J804" s="7"/>
      <c r="K804" s="7"/>
      <c r="L804" s="7"/>
      <c r="M804" s="7"/>
      <c r="N804" s="7"/>
    </row>
    <row r="805" spans="6:14" ht="14.25" customHeight="1" x14ac:dyDescent="0.7">
      <c r="F805" s="7"/>
      <c r="G805" s="7"/>
      <c r="H805" s="7"/>
      <c r="I805" s="7"/>
      <c r="J805" s="7"/>
      <c r="K805" s="7"/>
      <c r="L805" s="7"/>
      <c r="M805" s="7"/>
      <c r="N805" s="7"/>
    </row>
    <row r="806" spans="6:14" ht="14.25" customHeight="1" x14ac:dyDescent="0.7">
      <c r="F806" s="7"/>
      <c r="G806" s="7"/>
      <c r="H806" s="7"/>
      <c r="I806" s="7"/>
      <c r="J806" s="7"/>
      <c r="K806" s="7"/>
      <c r="L806" s="7"/>
      <c r="M806" s="7"/>
      <c r="N806" s="7"/>
    </row>
    <row r="807" spans="6:14" ht="14.25" customHeight="1" x14ac:dyDescent="0.7">
      <c r="F807" s="7"/>
      <c r="G807" s="7"/>
      <c r="H807" s="7"/>
      <c r="I807" s="7"/>
      <c r="J807" s="7"/>
      <c r="K807" s="7"/>
      <c r="L807" s="7"/>
      <c r="M807" s="7"/>
      <c r="N807" s="7"/>
    </row>
    <row r="808" spans="6:14" ht="14.25" customHeight="1" x14ac:dyDescent="0.7">
      <c r="F808" s="7"/>
      <c r="G808" s="7"/>
      <c r="H808" s="7"/>
      <c r="I808" s="7"/>
      <c r="J808" s="7"/>
      <c r="K808" s="7"/>
      <c r="L808" s="7"/>
      <c r="M808" s="7"/>
      <c r="N808" s="7"/>
    </row>
    <row r="809" spans="6:14" ht="14.25" customHeight="1" x14ac:dyDescent="0.7">
      <c r="F809" s="7"/>
      <c r="G809" s="7"/>
      <c r="H809" s="7"/>
      <c r="I809" s="7"/>
      <c r="J809" s="7"/>
      <c r="K809" s="7"/>
      <c r="L809" s="7"/>
      <c r="M809" s="7"/>
      <c r="N809" s="7"/>
    </row>
    <row r="810" spans="6:14" ht="14.25" customHeight="1" x14ac:dyDescent="0.7">
      <c r="F810" s="7"/>
      <c r="G810" s="7"/>
      <c r="H810" s="7"/>
      <c r="I810" s="7"/>
      <c r="J810" s="7"/>
      <c r="K810" s="7"/>
      <c r="L810" s="7"/>
      <c r="M810" s="7"/>
      <c r="N810" s="7"/>
    </row>
    <row r="811" spans="6:14" ht="14.25" customHeight="1" x14ac:dyDescent="0.7">
      <c r="F811" s="7"/>
      <c r="G811" s="7"/>
      <c r="H811" s="7"/>
      <c r="I811" s="7"/>
      <c r="J811" s="7"/>
      <c r="K811" s="7"/>
      <c r="L811" s="7"/>
      <c r="M811" s="7"/>
      <c r="N811" s="7"/>
    </row>
    <row r="812" spans="6:14" ht="14.25" customHeight="1" x14ac:dyDescent="0.7">
      <c r="F812" s="7"/>
      <c r="G812" s="7"/>
      <c r="H812" s="7"/>
      <c r="I812" s="7"/>
      <c r="J812" s="7"/>
      <c r="K812" s="7"/>
      <c r="L812" s="7"/>
      <c r="M812" s="7"/>
      <c r="N812" s="7"/>
    </row>
    <row r="813" spans="6:14" ht="14.25" customHeight="1" x14ac:dyDescent="0.7">
      <c r="F813" s="7"/>
      <c r="G813" s="7"/>
      <c r="H813" s="7"/>
      <c r="I813" s="7"/>
      <c r="J813" s="7"/>
      <c r="K813" s="7"/>
      <c r="L813" s="7"/>
      <c r="M813" s="7"/>
      <c r="N813" s="7"/>
    </row>
    <row r="814" spans="6:14" ht="14.25" customHeight="1" x14ac:dyDescent="0.7">
      <c r="F814" s="7"/>
      <c r="G814" s="7"/>
      <c r="H814" s="7"/>
      <c r="I814" s="7"/>
      <c r="J814" s="7"/>
      <c r="K814" s="7"/>
      <c r="L814" s="7"/>
      <c r="M814" s="7"/>
      <c r="N814" s="7"/>
    </row>
    <row r="815" spans="6:14" ht="14.25" customHeight="1" x14ac:dyDescent="0.7">
      <c r="F815" s="7"/>
      <c r="G815" s="7"/>
      <c r="H815" s="7"/>
      <c r="I815" s="7"/>
      <c r="J815" s="7"/>
      <c r="K815" s="7"/>
      <c r="L815" s="7"/>
      <c r="M815" s="7"/>
      <c r="N815" s="7"/>
    </row>
    <row r="816" spans="6:14" ht="14.25" customHeight="1" x14ac:dyDescent="0.7">
      <c r="F816" s="7"/>
      <c r="G816" s="7"/>
      <c r="H816" s="7"/>
      <c r="I816" s="7"/>
      <c r="J816" s="7"/>
      <c r="K816" s="7"/>
      <c r="L816" s="7"/>
      <c r="M816" s="7"/>
      <c r="N816" s="7"/>
    </row>
    <row r="817" spans="6:14" ht="14.25" customHeight="1" x14ac:dyDescent="0.7">
      <c r="F817" s="7"/>
      <c r="G817" s="7"/>
      <c r="H817" s="7"/>
      <c r="I817" s="7"/>
      <c r="J817" s="7"/>
      <c r="K817" s="7"/>
      <c r="L817" s="7"/>
      <c r="M817" s="7"/>
      <c r="N817" s="7"/>
    </row>
    <row r="818" spans="6:14" ht="14.25" customHeight="1" x14ac:dyDescent="0.7">
      <c r="F818" s="7"/>
      <c r="G818" s="7"/>
      <c r="H818" s="7"/>
      <c r="I818" s="7"/>
      <c r="J818" s="7"/>
      <c r="K818" s="7"/>
      <c r="L818" s="7"/>
      <c r="M818" s="7"/>
      <c r="N818" s="7"/>
    </row>
    <row r="819" spans="6:14" ht="14.25" customHeight="1" x14ac:dyDescent="0.7">
      <c r="F819" s="7"/>
      <c r="G819" s="7"/>
      <c r="H819" s="7"/>
      <c r="I819" s="7"/>
      <c r="J819" s="7"/>
      <c r="K819" s="7"/>
      <c r="L819" s="7"/>
      <c r="M819" s="7"/>
      <c r="N819" s="7"/>
    </row>
    <row r="820" spans="6:14" ht="14.25" customHeight="1" x14ac:dyDescent="0.7">
      <c r="F820" s="7"/>
      <c r="G820" s="7"/>
      <c r="H820" s="7"/>
      <c r="I820" s="7"/>
      <c r="J820" s="7"/>
      <c r="K820" s="7"/>
      <c r="L820" s="7"/>
      <c r="M820" s="7"/>
      <c r="N820" s="7"/>
    </row>
    <row r="821" spans="6:14" ht="14.25" customHeight="1" x14ac:dyDescent="0.7">
      <c r="F821" s="7"/>
      <c r="G821" s="7"/>
      <c r="H821" s="7"/>
      <c r="I821" s="7"/>
      <c r="J821" s="7"/>
      <c r="K821" s="7"/>
      <c r="L821" s="7"/>
      <c r="M821" s="7"/>
      <c r="N821" s="7"/>
    </row>
    <row r="822" spans="6:14" ht="14.25" customHeight="1" x14ac:dyDescent="0.7">
      <c r="F822" s="7"/>
      <c r="G822" s="7"/>
      <c r="H822" s="7"/>
      <c r="I822" s="7"/>
      <c r="J822" s="7"/>
      <c r="K822" s="7"/>
      <c r="L822" s="7"/>
      <c r="M822" s="7"/>
      <c r="N822" s="7"/>
    </row>
    <row r="823" spans="6:14" ht="14.25" customHeight="1" x14ac:dyDescent="0.7">
      <c r="F823" s="7"/>
      <c r="G823" s="7"/>
      <c r="H823" s="7"/>
      <c r="I823" s="7"/>
      <c r="J823" s="7"/>
      <c r="K823" s="7"/>
      <c r="L823" s="7"/>
      <c r="M823" s="7"/>
      <c r="N823" s="7"/>
    </row>
    <row r="824" spans="6:14" ht="14.25" customHeight="1" x14ac:dyDescent="0.7">
      <c r="F824" s="7"/>
      <c r="G824" s="7"/>
      <c r="H824" s="7"/>
      <c r="I824" s="7"/>
      <c r="J824" s="7"/>
      <c r="K824" s="7"/>
      <c r="L824" s="7"/>
      <c r="M824" s="7"/>
      <c r="N824" s="7"/>
    </row>
    <row r="825" spans="6:14" ht="14.25" customHeight="1" x14ac:dyDescent="0.7">
      <c r="F825" s="7"/>
      <c r="G825" s="7"/>
      <c r="H825" s="7"/>
      <c r="I825" s="7"/>
      <c r="J825" s="7"/>
      <c r="K825" s="7"/>
      <c r="L825" s="7"/>
      <c r="M825" s="7"/>
      <c r="N825" s="7"/>
    </row>
    <row r="826" spans="6:14" ht="14.25" customHeight="1" x14ac:dyDescent="0.7">
      <c r="F826" s="7"/>
      <c r="G826" s="7"/>
      <c r="H826" s="7"/>
      <c r="I826" s="7"/>
      <c r="J826" s="7"/>
      <c r="K826" s="7"/>
      <c r="L826" s="7"/>
      <c r="M826" s="7"/>
      <c r="N826" s="7"/>
    </row>
    <row r="827" spans="6:14" ht="14.25" customHeight="1" x14ac:dyDescent="0.7">
      <c r="F827" s="7"/>
      <c r="G827" s="7"/>
      <c r="H827" s="7"/>
      <c r="I827" s="7"/>
      <c r="J827" s="7"/>
      <c r="K827" s="7"/>
      <c r="L827" s="7"/>
      <c r="M827" s="7"/>
      <c r="N827" s="7"/>
    </row>
    <row r="828" spans="6:14" ht="14.25" customHeight="1" x14ac:dyDescent="0.7">
      <c r="F828" s="7"/>
      <c r="G828" s="7"/>
      <c r="H828" s="7"/>
      <c r="I828" s="7"/>
      <c r="J828" s="7"/>
      <c r="K828" s="7"/>
      <c r="L828" s="7"/>
      <c r="M828" s="7"/>
      <c r="N828" s="7"/>
    </row>
    <row r="829" spans="6:14" ht="14.25" customHeight="1" x14ac:dyDescent="0.7">
      <c r="F829" s="7"/>
      <c r="G829" s="7"/>
      <c r="H829" s="7"/>
      <c r="I829" s="7"/>
      <c r="J829" s="7"/>
      <c r="K829" s="7"/>
      <c r="L829" s="7"/>
      <c r="M829" s="7"/>
      <c r="N829" s="7"/>
    </row>
    <row r="830" spans="6:14" ht="14.25" customHeight="1" x14ac:dyDescent="0.7">
      <c r="F830" s="7"/>
      <c r="G830" s="7"/>
      <c r="H830" s="7"/>
      <c r="I830" s="7"/>
      <c r="J830" s="7"/>
      <c r="K830" s="7"/>
      <c r="L830" s="7"/>
      <c r="M830" s="7"/>
      <c r="N830" s="7"/>
    </row>
    <row r="831" spans="6:14" ht="14.25" customHeight="1" x14ac:dyDescent="0.7">
      <c r="F831" s="7"/>
      <c r="G831" s="7"/>
      <c r="H831" s="7"/>
      <c r="I831" s="7"/>
      <c r="J831" s="7"/>
      <c r="K831" s="7"/>
      <c r="L831" s="7"/>
      <c r="M831" s="7"/>
      <c r="N831" s="7"/>
    </row>
    <row r="832" spans="6:14" ht="14.25" customHeight="1" x14ac:dyDescent="0.7">
      <c r="F832" s="7"/>
      <c r="G832" s="7"/>
      <c r="H832" s="7"/>
      <c r="I832" s="7"/>
      <c r="J832" s="7"/>
      <c r="K832" s="7"/>
      <c r="L832" s="7"/>
      <c r="M832" s="7"/>
      <c r="N832" s="7"/>
    </row>
    <row r="833" spans="6:14" ht="14.25" customHeight="1" x14ac:dyDescent="0.7">
      <c r="F833" s="7"/>
      <c r="G833" s="7"/>
      <c r="H833" s="7"/>
      <c r="I833" s="7"/>
      <c r="J833" s="7"/>
      <c r="K833" s="7"/>
      <c r="L833" s="7"/>
      <c r="M833" s="7"/>
      <c r="N833" s="7"/>
    </row>
    <row r="834" spans="6:14" ht="14.25" customHeight="1" x14ac:dyDescent="0.7">
      <c r="F834" s="7"/>
      <c r="G834" s="7"/>
      <c r="H834" s="7"/>
      <c r="I834" s="7"/>
      <c r="J834" s="7"/>
      <c r="K834" s="7"/>
      <c r="L834" s="7"/>
      <c r="M834" s="7"/>
      <c r="N834" s="7"/>
    </row>
    <row r="835" spans="6:14" ht="14.25" customHeight="1" x14ac:dyDescent="0.7">
      <c r="F835" s="7"/>
      <c r="G835" s="7"/>
      <c r="H835" s="7"/>
      <c r="I835" s="7"/>
      <c r="J835" s="7"/>
      <c r="K835" s="7"/>
      <c r="L835" s="7"/>
      <c r="M835" s="7"/>
      <c r="N835" s="7"/>
    </row>
    <row r="836" spans="6:14" ht="14.25" customHeight="1" x14ac:dyDescent="0.7">
      <c r="F836" s="7"/>
      <c r="G836" s="7"/>
      <c r="H836" s="7"/>
      <c r="I836" s="7"/>
      <c r="J836" s="7"/>
      <c r="K836" s="7"/>
      <c r="L836" s="7"/>
      <c r="M836" s="7"/>
      <c r="N836" s="7"/>
    </row>
    <row r="837" spans="6:14" ht="14.25" customHeight="1" x14ac:dyDescent="0.7">
      <c r="F837" s="7"/>
      <c r="G837" s="7"/>
      <c r="H837" s="7"/>
      <c r="I837" s="7"/>
      <c r="J837" s="7"/>
      <c r="K837" s="7"/>
      <c r="L837" s="7"/>
      <c r="M837" s="7"/>
      <c r="N837" s="7"/>
    </row>
    <row r="838" spans="6:14" ht="14.25" customHeight="1" x14ac:dyDescent="0.7">
      <c r="F838" s="7"/>
      <c r="G838" s="7"/>
      <c r="H838" s="7"/>
      <c r="I838" s="7"/>
      <c r="J838" s="7"/>
      <c r="K838" s="7"/>
      <c r="L838" s="7"/>
      <c r="M838" s="7"/>
      <c r="N838" s="7"/>
    </row>
    <row r="839" spans="6:14" ht="14.25" customHeight="1" x14ac:dyDescent="0.7">
      <c r="F839" s="7"/>
      <c r="G839" s="7"/>
      <c r="H839" s="7"/>
      <c r="I839" s="7"/>
      <c r="J839" s="7"/>
      <c r="K839" s="7"/>
      <c r="L839" s="7"/>
      <c r="M839" s="7"/>
      <c r="N839" s="7"/>
    </row>
    <row r="840" spans="6:14" ht="14.25" customHeight="1" x14ac:dyDescent="0.7">
      <c r="F840" s="7"/>
      <c r="G840" s="7"/>
      <c r="H840" s="7"/>
      <c r="I840" s="7"/>
      <c r="J840" s="7"/>
      <c r="K840" s="7"/>
      <c r="L840" s="7"/>
      <c r="M840" s="7"/>
      <c r="N840" s="7"/>
    </row>
    <row r="841" spans="6:14" ht="14.25" customHeight="1" x14ac:dyDescent="0.7">
      <c r="F841" s="7"/>
      <c r="G841" s="7"/>
      <c r="H841" s="7"/>
      <c r="I841" s="7"/>
      <c r="J841" s="7"/>
      <c r="K841" s="7"/>
      <c r="L841" s="7"/>
      <c r="M841" s="7"/>
      <c r="N841" s="7"/>
    </row>
    <row r="842" spans="6:14" ht="14.25" customHeight="1" x14ac:dyDescent="0.7">
      <c r="F842" s="7"/>
      <c r="G842" s="7"/>
      <c r="H842" s="7"/>
      <c r="I842" s="7"/>
      <c r="J842" s="7"/>
      <c r="K842" s="7"/>
      <c r="L842" s="7"/>
      <c r="M842" s="7"/>
      <c r="N842" s="7"/>
    </row>
    <row r="843" spans="6:14" ht="14.25" customHeight="1" x14ac:dyDescent="0.7">
      <c r="F843" s="7"/>
      <c r="G843" s="7"/>
      <c r="H843" s="7"/>
      <c r="I843" s="7"/>
      <c r="J843" s="7"/>
      <c r="K843" s="7"/>
      <c r="L843" s="7"/>
      <c r="M843" s="7"/>
      <c r="N843" s="7"/>
    </row>
    <row r="844" spans="6:14" ht="14.25" customHeight="1" x14ac:dyDescent="0.7">
      <c r="F844" s="7"/>
      <c r="G844" s="7"/>
      <c r="H844" s="7"/>
      <c r="I844" s="7"/>
      <c r="J844" s="7"/>
      <c r="K844" s="7"/>
      <c r="L844" s="7"/>
      <c r="M844" s="7"/>
      <c r="N844" s="7"/>
    </row>
    <row r="845" spans="6:14" ht="14.25" customHeight="1" x14ac:dyDescent="0.7">
      <c r="F845" s="7"/>
      <c r="G845" s="7"/>
      <c r="H845" s="7"/>
      <c r="I845" s="7"/>
      <c r="J845" s="7"/>
      <c r="K845" s="7"/>
      <c r="L845" s="7"/>
      <c r="M845" s="7"/>
      <c r="N845" s="7"/>
    </row>
    <row r="846" spans="6:14" ht="14.25" customHeight="1" x14ac:dyDescent="0.7">
      <c r="F846" s="7"/>
      <c r="G846" s="7"/>
      <c r="H846" s="7"/>
      <c r="I846" s="7"/>
      <c r="J846" s="7"/>
      <c r="K846" s="7"/>
      <c r="L846" s="7"/>
      <c r="M846" s="7"/>
      <c r="N846" s="7"/>
    </row>
    <row r="847" spans="6:14" ht="14.25" customHeight="1" x14ac:dyDescent="0.7">
      <c r="F847" s="7"/>
      <c r="G847" s="7"/>
      <c r="H847" s="7"/>
      <c r="I847" s="7"/>
      <c r="J847" s="7"/>
      <c r="K847" s="7"/>
      <c r="L847" s="7"/>
      <c r="M847" s="7"/>
      <c r="N847" s="7"/>
    </row>
    <row r="848" spans="6:14" ht="14.25" customHeight="1" x14ac:dyDescent="0.7">
      <c r="F848" s="7"/>
      <c r="G848" s="7"/>
      <c r="H848" s="7"/>
      <c r="I848" s="7"/>
      <c r="J848" s="7"/>
      <c r="K848" s="7"/>
      <c r="L848" s="7"/>
      <c r="M848" s="7"/>
      <c r="N848" s="7"/>
    </row>
    <row r="849" spans="6:14" ht="14.25" customHeight="1" x14ac:dyDescent="0.7">
      <c r="F849" s="7"/>
      <c r="G849" s="7"/>
      <c r="H849" s="7"/>
      <c r="I849" s="7"/>
      <c r="J849" s="7"/>
      <c r="K849" s="7"/>
      <c r="L849" s="7"/>
      <c r="M849" s="7"/>
      <c r="N849" s="7"/>
    </row>
    <row r="850" spans="6:14" ht="14.25" customHeight="1" x14ac:dyDescent="0.7">
      <c r="F850" s="7"/>
      <c r="G850" s="7"/>
      <c r="H850" s="7"/>
      <c r="I850" s="7"/>
      <c r="J850" s="7"/>
      <c r="K850" s="7"/>
      <c r="L850" s="7"/>
      <c r="M850" s="7"/>
      <c r="N850" s="7"/>
    </row>
    <row r="851" spans="6:14" ht="14.25" customHeight="1" x14ac:dyDescent="0.7">
      <c r="F851" s="7"/>
      <c r="G851" s="7"/>
      <c r="H851" s="7"/>
      <c r="I851" s="7"/>
      <c r="J851" s="7"/>
      <c r="K851" s="7"/>
      <c r="L851" s="7"/>
      <c r="M851" s="7"/>
      <c r="N851" s="7"/>
    </row>
    <row r="852" spans="6:14" ht="14.25" customHeight="1" x14ac:dyDescent="0.7">
      <c r="F852" s="7"/>
      <c r="G852" s="7"/>
      <c r="H852" s="7"/>
      <c r="I852" s="7"/>
      <c r="J852" s="7"/>
      <c r="K852" s="7"/>
      <c r="L852" s="7"/>
      <c r="M852" s="7"/>
      <c r="N852" s="7"/>
    </row>
    <row r="853" spans="6:14" ht="14.25" customHeight="1" x14ac:dyDescent="0.7">
      <c r="F853" s="7"/>
      <c r="G853" s="7"/>
      <c r="H853" s="7"/>
      <c r="I853" s="7"/>
      <c r="J853" s="7"/>
      <c r="K853" s="7"/>
      <c r="L853" s="7"/>
      <c r="M853" s="7"/>
      <c r="N853" s="7"/>
    </row>
    <row r="854" spans="6:14" ht="14.25" customHeight="1" x14ac:dyDescent="0.7">
      <c r="F854" s="7"/>
      <c r="G854" s="7"/>
      <c r="H854" s="7"/>
      <c r="I854" s="7"/>
      <c r="J854" s="7"/>
      <c r="K854" s="7"/>
      <c r="L854" s="7"/>
      <c r="M854" s="7"/>
      <c r="N854" s="7"/>
    </row>
    <row r="855" spans="6:14" ht="14.25" customHeight="1" x14ac:dyDescent="0.7">
      <c r="F855" s="7"/>
      <c r="G855" s="7"/>
      <c r="H855" s="7"/>
      <c r="I855" s="7"/>
      <c r="J855" s="7"/>
      <c r="K855" s="7"/>
      <c r="L855" s="7"/>
      <c r="M855" s="7"/>
      <c r="N855" s="7"/>
    </row>
    <row r="856" spans="6:14" ht="14.25" customHeight="1" x14ac:dyDescent="0.7">
      <c r="F856" s="7"/>
      <c r="G856" s="7"/>
      <c r="H856" s="7"/>
      <c r="I856" s="7"/>
      <c r="J856" s="7"/>
      <c r="K856" s="7"/>
      <c r="L856" s="7"/>
      <c r="M856" s="7"/>
      <c r="N856" s="7"/>
    </row>
    <row r="857" spans="6:14" ht="14.25" customHeight="1" x14ac:dyDescent="0.7">
      <c r="F857" s="7"/>
      <c r="G857" s="7"/>
      <c r="H857" s="7"/>
      <c r="I857" s="7"/>
      <c r="J857" s="7"/>
      <c r="K857" s="7"/>
      <c r="L857" s="7"/>
      <c r="M857" s="7"/>
      <c r="N857" s="7"/>
    </row>
    <row r="858" spans="6:14" ht="14.25" customHeight="1" x14ac:dyDescent="0.7">
      <c r="F858" s="7"/>
      <c r="G858" s="7"/>
      <c r="H858" s="7"/>
      <c r="I858" s="7"/>
      <c r="J858" s="7"/>
      <c r="K858" s="7"/>
      <c r="L858" s="7"/>
      <c r="M858" s="7"/>
      <c r="N858" s="7"/>
    </row>
    <row r="859" spans="6:14" ht="14.25" customHeight="1" x14ac:dyDescent="0.7">
      <c r="F859" s="7"/>
      <c r="G859" s="7"/>
      <c r="H859" s="7"/>
      <c r="I859" s="7"/>
      <c r="J859" s="7"/>
      <c r="K859" s="7"/>
      <c r="L859" s="7"/>
      <c r="M859" s="7"/>
      <c r="N859" s="7"/>
    </row>
    <row r="860" spans="6:14" ht="14.25" customHeight="1" x14ac:dyDescent="0.7">
      <c r="F860" s="7"/>
      <c r="G860" s="7"/>
      <c r="H860" s="7"/>
      <c r="I860" s="7"/>
      <c r="J860" s="7"/>
      <c r="K860" s="7"/>
      <c r="L860" s="7"/>
      <c r="M860" s="7"/>
      <c r="N860" s="7"/>
    </row>
    <row r="861" spans="6:14" ht="14.25" customHeight="1" x14ac:dyDescent="0.7">
      <c r="F861" s="7"/>
      <c r="G861" s="7"/>
      <c r="H861" s="7"/>
      <c r="I861" s="7"/>
      <c r="J861" s="7"/>
      <c r="K861" s="7"/>
      <c r="L861" s="7"/>
      <c r="M861" s="7"/>
      <c r="N861" s="7"/>
    </row>
    <row r="862" spans="6:14" ht="14.25" customHeight="1" x14ac:dyDescent="0.7">
      <c r="F862" s="7"/>
      <c r="G862" s="7"/>
      <c r="H862" s="7"/>
      <c r="I862" s="7"/>
      <c r="J862" s="7"/>
      <c r="K862" s="7"/>
      <c r="L862" s="7"/>
      <c r="M862" s="7"/>
      <c r="N862" s="7"/>
    </row>
    <row r="863" spans="6:14" ht="14.25" customHeight="1" x14ac:dyDescent="0.7">
      <c r="F863" s="7"/>
      <c r="G863" s="7"/>
      <c r="H863" s="7"/>
      <c r="I863" s="7"/>
      <c r="J863" s="7"/>
      <c r="K863" s="7"/>
      <c r="L863" s="7"/>
      <c r="M863" s="7"/>
      <c r="N863" s="7"/>
    </row>
    <row r="864" spans="6:14" ht="14.25" customHeight="1" x14ac:dyDescent="0.7">
      <c r="F864" s="7"/>
      <c r="G864" s="7"/>
      <c r="H864" s="7"/>
      <c r="I864" s="7"/>
      <c r="J864" s="7"/>
      <c r="K864" s="7"/>
      <c r="L864" s="7"/>
      <c r="M864" s="7"/>
      <c r="N864" s="7"/>
    </row>
    <row r="865" spans="6:14" ht="14.25" customHeight="1" x14ac:dyDescent="0.7">
      <c r="F865" s="7"/>
      <c r="G865" s="7"/>
      <c r="H865" s="7"/>
      <c r="I865" s="7"/>
      <c r="J865" s="7"/>
      <c r="K865" s="7"/>
      <c r="L865" s="7"/>
      <c r="M865" s="7"/>
      <c r="N865" s="7"/>
    </row>
    <row r="866" spans="6:14" ht="14.25" customHeight="1" x14ac:dyDescent="0.7">
      <c r="F866" s="7"/>
      <c r="G866" s="7"/>
      <c r="H866" s="7"/>
      <c r="I866" s="7"/>
      <c r="J866" s="7"/>
      <c r="K866" s="7"/>
      <c r="L866" s="7"/>
      <c r="M866" s="7"/>
      <c r="N866" s="7"/>
    </row>
    <row r="867" spans="6:14" ht="14.25" customHeight="1" x14ac:dyDescent="0.7">
      <c r="F867" s="7"/>
      <c r="G867" s="7"/>
      <c r="H867" s="7"/>
      <c r="I867" s="7"/>
      <c r="J867" s="7"/>
      <c r="K867" s="7"/>
      <c r="L867" s="7"/>
      <c r="M867" s="7"/>
      <c r="N867" s="7"/>
    </row>
    <row r="868" spans="6:14" ht="14.25" customHeight="1" x14ac:dyDescent="0.7">
      <c r="F868" s="7"/>
      <c r="G868" s="7"/>
      <c r="H868" s="7"/>
      <c r="I868" s="7"/>
      <c r="J868" s="7"/>
      <c r="K868" s="7"/>
      <c r="L868" s="7"/>
      <c r="M868" s="7"/>
      <c r="N868" s="7"/>
    </row>
    <row r="869" spans="6:14" ht="14.25" customHeight="1" x14ac:dyDescent="0.7">
      <c r="F869" s="7"/>
      <c r="G869" s="7"/>
      <c r="H869" s="7"/>
      <c r="I869" s="7"/>
      <c r="J869" s="7"/>
      <c r="K869" s="7"/>
      <c r="L869" s="7"/>
      <c r="M869" s="7"/>
      <c r="N869" s="7"/>
    </row>
    <row r="870" spans="6:14" ht="14.25" customHeight="1" x14ac:dyDescent="0.7">
      <c r="F870" s="7"/>
      <c r="G870" s="7"/>
      <c r="H870" s="7"/>
      <c r="I870" s="7"/>
      <c r="J870" s="7"/>
      <c r="K870" s="7"/>
      <c r="L870" s="7"/>
      <c r="M870" s="7"/>
      <c r="N870" s="7"/>
    </row>
    <row r="871" spans="6:14" ht="14.25" customHeight="1" x14ac:dyDescent="0.7">
      <c r="F871" s="7"/>
      <c r="G871" s="7"/>
      <c r="H871" s="7"/>
      <c r="I871" s="7"/>
      <c r="J871" s="7"/>
      <c r="K871" s="7"/>
      <c r="L871" s="7"/>
      <c r="M871" s="7"/>
      <c r="N871" s="7"/>
    </row>
    <row r="872" spans="6:14" ht="14.25" customHeight="1" x14ac:dyDescent="0.7">
      <c r="F872" s="7"/>
      <c r="G872" s="7"/>
      <c r="H872" s="7"/>
      <c r="I872" s="7"/>
      <c r="J872" s="7"/>
      <c r="K872" s="7"/>
      <c r="L872" s="7"/>
      <c r="M872" s="7"/>
      <c r="N872" s="7"/>
    </row>
    <row r="873" spans="6:14" ht="14.25" customHeight="1" x14ac:dyDescent="0.7">
      <c r="F873" s="7"/>
      <c r="G873" s="7"/>
      <c r="H873" s="7"/>
      <c r="I873" s="7"/>
      <c r="J873" s="7"/>
      <c r="K873" s="7"/>
      <c r="L873" s="7"/>
      <c r="M873" s="7"/>
      <c r="N873" s="7"/>
    </row>
    <row r="874" spans="6:14" ht="14.25" customHeight="1" x14ac:dyDescent="0.7">
      <c r="F874" s="7"/>
      <c r="G874" s="7"/>
      <c r="H874" s="7"/>
      <c r="I874" s="7"/>
      <c r="J874" s="7"/>
      <c r="K874" s="7"/>
      <c r="L874" s="7"/>
      <c r="M874" s="7"/>
      <c r="N874" s="7"/>
    </row>
    <row r="875" spans="6:14" ht="14.25" customHeight="1" x14ac:dyDescent="0.7">
      <c r="F875" s="7"/>
      <c r="G875" s="7"/>
      <c r="H875" s="7"/>
      <c r="I875" s="7"/>
      <c r="J875" s="7"/>
      <c r="K875" s="7"/>
      <c r="L875" s="7"/>
      <c r="M875" s="7"/>
      <c r="N875" s="7"/>
    </row>
    <row r="876" spans="6:14" ht="14.25" customHeight="1" x14ac:dyDescent="0.7">
      <c r="F876" s="7"/>
      <c r="G876" s="7"/>
      <c r="H876" s="7"/>
      <c r="I876" s="7"/>
      <c r="J876" s="7"/>
      <c r="K876" s="7"/>
      <c r="L876" s="7"/>
      <c r="M876" s="7"/>
      <c r="N876" s="7"/>
    </row>
    <row r="877" spans="6:14" ht="14.25" customHeight="1" x14ac:dyDescent="0.7">
      <c r="F877" s="7"/>
      <c r="G877" s="7"/>
      <c r="H877" s="7"/>
      <c r="I877" s="7"/>
      <c r="J877" s="7"/>
      <c r="K877" s="7"/>
      <c r="L877" s="7"/>
      <c r="M877" s="7"/>
      <c r="N877" s="7"/>
    </row>
    <row r="878" spans="6:14" ht="14.25" customHeight="1" x14ac:dyDescent="0.7">
      <c r="F878" s="7"/>
      <c r="G878" s="7"/>
      <c r="H878" s="7"/>
      <c r="I878" s="7"/>
      <c r="J878" s="7"/>
      <c r="K878" s="7"/>
      <c r="L878" s="7"/>
      <c r="M878" s="7"/>
      <c r="N878" s="7"/>
    </row>
    <row r="879" spans="6:14" ht="14.25" customHeight="1" x14ac:dyDescent="0.7">
      <c r="F879" s="7"/>
      <c r="G879" s="7"/>
      <c r="H879" s="7"/>
      <c r="I879" s="7"/>
      <c r="J879" s="7"/>
      <c r="K879" s="7"/>
      <c r="L879" s="7"/>
      <c r="M879" s="7"/>
      <c r="N879" s="7"/>
    </row>
    <row r="880" spans="6:14" ht="14.25" customHeight="1" x14ac:dyDescent="0.7">
      <c r="F880" s="7"/>
      <c r="G880" s="7"/>
      <c r="H880" s="7"/>
      <c r="I880" s="7"/>
      <c r="J880" s="7"/>
      <c r="K880" s="7"/>
      <c r="L880" s="7"/>
      <c r="M880" s="7"/>
      <c r="N880" s="7"/>
    </row>
    <row r="881" spans="6:14" ht="14.25" customHeight="1" x14ac:dyDescent="0.7">
      <c r="F881" s="7"/>
      <c r="G881" s="7"/>
      <c r="H881" s="7"/>
      <c r="I881" s="7"/>
      <c r="J881" s="7"/>
      <c r="K881" s="7"/>
      <c r="L881" s="7"/>
      <c r="M881" s="7"/>
      <c r="N881" s="7"/>
    </row>
    <row r="882" spans="6:14" ht="14.25" customHeight="1" x14ac:dyDescent="0.7">
      <c r="F882" s="7"/>
      <c r="G882" s="7"/>
      <c r="H882" s="7"/>
      <c r="I882" s="7"/>
      <c r="J882" s="7"/>
      <c r="K882" s="7"/>
      <c r="L882" s="7"/>
      <c r="M882" s="7"/>
      <c r="N882" s="7"/>
    </row>
    <row r="883" spans="6:14" ht="14.25" customHeight="1" x14ac:dyDescent="0.7">
      <c r="F883" s="7"/>
      <c r="G883" s="7"/>
      <c r="H883" s="7"/>
      <c r="I883" s="7"/>
      <c r="J883" s="7"/>
      <c r="K883" s="7"/>
      <c r="L883" s="7"/>
      <c r="M883" s="7"/>
      <c r="N883" s="7"/>
    </row>
    <row r="884" spans="6:14" ht="14.25" customHeight="1" x14ac:dyDescent="0.7">
      <c r="F884" s="7"/>
      <c r="G884" s="7"/>
      <c r="H884" s="7"/>
      <c r="I884" s="7"/>
      <c r="J884" s="7"/>
      <c r="K884" s="7"/>
      <c r="L884" s="7"/>
      <c r="M884" s="7"/>
      <c r="N884" s="7"/>
    </row>
    <row r="885" spans="6:14" ht="14.25" customHeight="1" x14ac:dyDescent="0.7">
      <c r="F885" s="7"/>
      <c r="G885" s="7"/>
      <c r="H885" s="7"/>
      <c r="I885" s="7"/>
      <c r="J885" s="7"/>
      <c r="K885" s="7"/>
      <c r="L885" s="7"/>
      <c r="M885" s="7"/>
      <c r="N885" s="7"/>
    </row>
    <row r="886" spans="6:14" ht="14.25" customHeight="1" x14ac:dyDescent="0.7">
      <c r="F886" s="7"/>
      <c r="G886" s="7"/>
      <c r="H886" s="7"/>
      <c r="I886" s="7"/>
      <c r="J886" s="7"/>
      <c r="K886" s="7"/>
      <c r="L886" s="7"/>
      <c r="M886" s="7"/>
      <c r="N886" s="7"/>
    </row>
    <row r="887" spans="6:14" ht="14.25" customHeight="1" x14ac:dyDescent="0.7">
      <c r="F887" s="7"/>
      <c r="G887" s="7"/>
      <c r="H887" s="7"/>
      <c r="I887" s="7"/>
      <c r="J887" s="7"/>
      <c r="K887" s="7"/>
      <c r="L887" s="7"/>
      <c r="M887" s="7"/>
      <c r="N887" s="7"/>
    </row>
    <row r="888" spans="6:14" ht="14.25" customHeight="1" x14ac:dyDescent="0.7">
      <c r="F888" s="7"/>
      <c r="G888" s="7"/>
      <c r="H888" s="7"/>
      <c r="I888" s="7"/>
      <c r="J888" s="7"/>
      <c r="K888" s="7"/>
      <c r="L888" s="7"/>
      <c r="M888" s="7"/>
      <c r="N888" s="7"/>
    </row>
    <row r="889" spans="6:14" ht="14.25" customHeight="1" x14ac:dyDescent="0.7">
      <c r="F889" s="7"/>
      <c r="G889" s="7"/>
      <c r="H889" s="7"/>
      <c r="I889" s="7"/>
      <c r="J889" s="7"/>
      <c r="K889" s="7"/>
      <c r="L889" s="7"/>
      <c r="M889" s="7"/>
      <c r="N889" s="7"/>
    </row>
    <row r="890" spans="6:14" ht="14.25" customHeight="1" x14ac:dyDescent="0.7">
      <c r="F890" s="7"/>
      <c r="G890" s="7"/>
      <c r="H890" s="7"/>
      <c r="I890" s="7"/>
      <c r="J890" s="7"/>
      <c r="K890" s="7"/>
      <c r="L890" s="7"/>
      <c r="M890" s="7"/>
      <c r="N890" s="7"/>
    </row>
    <row r="891" spans="6:14" ht="14.25" customHeight="1" x14ac:dyDescent="0.7">
      <c r="F891" s="7"/>
      <c r="G891" s="7"/>
      <c r="H891" s="7"/>
      <c r="I891" s="7"/>
      <c r="J891" s="7"/>
      <c r="K891" s="7"/>
      <c r="L891" s="7"/>
      <c r="M891" s="7"/>
      <c r="N891" s="7"/>
    </row>
    <row r="892" spans="6:14" ht="14.25" customHeight="1" x14ac:dyDescent="0.7">
      <c r="F892" s="7"/>
      <c r="G892" s="7"/>
      <c r="H892" s="7"/>
      <c r="I892" s="7"/>
      <c r="J892" s="7"/>
      <c r="K892" s="7"/>
      <c r="L892" s="7"/>
      <c r="M892" s="7"/>
      <c r="N892" s="7"/>
    </row>
    <row r="893" spans="6:14" ht="14.25" customHeight="1" x14ac:dyDescent="0.7">
      <c r="F893" s="7"/>
      <c r="G893" s="7"/>
      <c r="H893" s="7"/>
      <c r="I893" s="7"/>
      <c r="J893" s="7"/>
      <c r="K893" s="7"/>
      <c r="L893" s="7"/>
      <c r="M893" s="7"/>
      <c r="N893" s="7"/>
    </row>
    <row r="894" spans="6:14" ht="14.25" customHeight="1" x14ac:dyDescent="0.7">
      <c r="F894" s="7"/>
      <c r="G894" s="7"/>
      <c r="H894" s="7"/>
      <c r="I894" s="7"/>
      <c r="J894" s="7"/>
      <c r="K894" s="7"/>
      <c r="L894" s="7"/>
      <c r="M894" s="7"/>
      <c r="N894" s="7"/>
    </row>
    <row r="895" spans="6:14" ht="14.25" customHeight="1" x14ac:dyDescent="0.7">
      <c r="F895" s="7"/>
      <c r="G895" s="7"/>
      <c r="H895" s="7"/>
      <c r="I895" s="7"/>
      <c r="J895" s="7"/>
      <c r="K895" s="7"/>
      <c r="L895" s="7"/>
      <c r="M895" s="7"/>
      <c r="N895" s="7"/>
    </row>
    <row r="896" spans="6:14" ht="14.25" customHeight="1" x14ac:dyDescent="0.7">
      <c r="F896" s="7"/>
      <c r="G896" s="7"/>
      <c r="H896" s="7"/>
      <c r="I896" s="7"/>
      <c r="J896" s="7"/>
      <c r="K896" s="7"/>
      <c r="L896" s="7"/>
      <c r="M896" s="7"/>
      <c r="N896" s="7"/>
    </row>
    <row r="897" spans="6:14" ht="14.25" customHeight="1" x14ac:dyDescent="0.7">
      <c r="F897" s="7"/>
      <c r="G897" s="7"/>
      <c r="H897" s="7"/>
      <c r="I897" s="7"/>
      <c r="J897" s="7"/>
      <c r="K897" s="7"/>
      <c r="L897" s="7"/>
      <c r="M897" s="7"/>
      <c r="N897" s="7"/>
    </row>
    <row r="898" spans="6:14" ht="14.25" customHeight="1" x14ac:dyDescent="0.7">
      <c r="F898" s="7"/>
      <c r="G898" s="7"/>
      <c r="H898" s="7"/>
      <c r="I898" s="7"/>
      <c r="J898" s="7"/>
      <c r="K898" s="7"/>
      <c r="L898" s="7"/>
      <c r="M898" s="7"/>
      <c r="N898" s="7"/>
    </row>
    <row r="899" spans="6:14" ht="14.25" customHeight="1" x14ac:dyDescent="0.7">
      <c r="F899" s="7"/>
      <c r="G899" s="7"/>
      <c r="H899" s="7"/>
      <c r="I899" s="7"/>
      <c r="J899" s="7"/>
      <c r="K899" s="7"/>
      <c r="L899" s="7"/>
      <c r="M899" s="7"/>
      <c r="N899" s="7"/>
    </row>
    <row r="900" spans="6:14" ht="14.25" customHeight="1" x14ac:dyDescent="0.7">
      <c r="F900" s="7"/>
      <c r="G900" s="7"/>
      <c r="H900" s="7"/>
      <c r="I900" s="7"/>
      <c r="J900" s="7"/>
      <c r="K900" s="7"/>
      <c r="L900" s="7"/>
      <c r="M900" s="7"/>
      <c r="N900" s="7"/>
    </row>
    <row r="901" spans="6:14" ht="14.25" customHeight="1" x14ac:dyDescent="0.7">
      <c r="F901" s="7"/>
      <c r="G901" s="7"/>
      <c r="H901" s="7"/>
      <c r="I901" s="7"/>
      <c r="J901" s="7"/>
      <c r="K901" s="7"/>
      <c r="L901" s="7"/>
      <c r="M901" s="7"/>
      <c r="N901" s="7"/>
    </row>
    <row r="902" spans="6:14" ht="14.25" customHeight="1" x14ac:dyDescent="0.7">
      <c r="F902" s="7"/>
      <c r="G902" s="7"/>
      <c r="H902" s="7"/>
      <c r="I902" s="7"/>
      <c r="J902" s="7"/>
      <c r="K902" s="7"/>
      <c r="L902" s="7"/>
      <c r="M902" s="7"/>
      <c r="N902" s="7"/>
    </row>
    <row r="903" spans="6:14" ht="14.25" customHeight="1" x14ac:dyDescent="0.7">
      <c r="F903" s="7"/>
      <c r="G903" s="7"/>
      <c r="H903" s="7"/>
      <c r="I903" s="7"/>
      <c r="J903" s="7"/>
      <c r="K903" s="7"/>
      <c r="L903" s="7"/>
      <c r="M903" s="7"/>
      <c r="N903" s="7"/>
    </row>
    <row r="904" spans="6:14" ht="14.25" customHeight="1" x14ac:dyDescent="0.7">
      <c r="F904" s="7"/>
      <c r="G904" s="7"/>
      <c r="H904" s="7"/>
      <c r="I904" s="7"/>
      <c r="J904" s="7"/>
      <c r="K904" s="7"/>
      <c r="L904" s="7"/>
      <c r="M904" s="7"/>
      <c r="N904" s="7"/>
    </row>
    <row r="905" spans="6:14" ht="14.25" customHeight="1" x14ac:dyDescent="0.7">
      <c r="F905" s="7"/>
      <c r="G905" s="7"/>
      <c r="H905" s="7"/>
      <c r="I905" s="7"/>
      <c r="J905" s="7"/>
      <c r="K905" s="7"/>
      <c r="L905" s="7"/>
      <c r="M905" s="7"/>
      <c r="N905" s="7"/>
    </row>
    <row r="906" spans="6:14" ht="14.25" customHeight="1" x14ac:dyDescent="0.7">
      <c r="F906" s="7"/>
      <c r="G906" s="7"/>
      <c r="H906" s="7"/>
      <c r="I906" s="7"/>
      <c r="J906" s="7"/>
      <c r="K906" s="7"/>
      <c r="L906" s="7"/>
      <c r="M906" s="7"/>
      <c r="N906" s="7"/>
    </row>
    <row r="907" spans="6:14" ht="14.25" customHeight="1" x14ac:dyDescent="0.7">
      <c r="F907" s="7"/>
      <c r="G907" s="7"/>
      <c r="H907" s="7"/>
      <c r="I907" s="7"/>
      <c r="J907" s="7"/>
      <c r="K907" s="7"/>
      <c r="L907" s="7"/>
      <c r="M907" s="7"/>
      <c r="N907" s="7"/>
    </row>
    <row r="908" spans="6:14" ht="14.25" customHeight="1" x14ac:dyDescent="0.7">
      <c r="F908" s="7"/>
      <c r="G908" s="7"/>
      <c r="H908" s="7"/>
      <c r="I908" s="7"/>
      <c r="J908" s="7"/>
      <c r="K908" s="7"/>
      <c r="L908" s="7"/>
      <c r="M908" s="7"/>
      <c r="N908" s="7"/>
    </row>
    <row r="909" spans="6:14" ht="14.25" customHeight="1" x14ac:dyDescent="0.7">
      <c r="F909" s="7"/>
      <c r="G909" s="7"/>
      <c r="H909" s="7"/>
      <c r="I909" s="7"/>
      <c r="J909" s="7"/>
      <c r="K909" s="7"/>
      <c r="L909" s="7"/>
      <c r="M909" s="7"/>
      <c r="N909" s="7"/>
    </row>
    <row r="910" spans="6:14" ht="14.25" customHeight="1" x14ac:dyDescent="0.7">
      <c r="F910" s="7"/>
      <c r="G910" s="7"/>
      <c r="H910" s="7"/>
      <c r="I910" s="7"/>
      <c r="J910" s="7"/>
      <c r="K910" s="7"/>
      <c r="L910" s="7"/>
      <c r="M910" s="7"/>
      <c r="N910" s="7"/>
    </row>
    <row r="911" spans="6:14" ht="14.25" customHeight="1" x14ac:dyDescent="0.7">
      <c r="F911" s="7"/>
      <c r="G911" s="7"/>
      <c r="H911" s="7"/>
      <c r="I911" s="7"/>
      <c r="J911" s="7"/>
      <c r="K911" s="7"/>
      <c r="L911" s="7"/>
      <c r="M911" s="7"/>
      <c r="N911" s="7"/>
    </row>
    <row r="912" spans="6:14" ht="14.25" customHeight="1" x14ac:dyDescent="0.7">
      <c r="F912" s="7"/>
      <c r="G912" s="7"/>
      <c r="H912" s="7"/>
      <c r="I912" s="7"/>
      <c r="J912" s="7"/>
      <c r="K912" s="7"/>
      <c r="L912" s="7"/>
      <c r="M912" s="7"/>
      <c r="N912" s="7"/>
    </row>
    <row r="913" spans="6:14" ht="14.25" customHeight="1" x14ac:dyDescent="0.7">
      <c r="F913" s="7"/>
      <c r="G913" s="7"/>
      <c r="H913" s="7"/>
      <c r="I913" s="7"/>
      <c r="J913" s="7"/>
      <c r="K913" s="7"/>
      <c r="L913" s="7"/>
      <c r="M913" s="7"/>
      <c r="N913" s="7"/>
    </row>
    <row r="914" spans="6:14" ht="14.25" customHeight="1" x14ac:dyDescent="0.7">
      <c r="F914" s="7"/>
      <c r="G914" s="7"/>
      <c r="H914" s="7"/>
      <c r="I914" s="7"/>
      <c r="J914" s="7"/>
      <c r="K914" s="7"/>
      <c r="L914" s="7"/>
      <c r="M914" s="7"/>
      <c r="N914" s="7"/>
    </row>
    <row r="915" spans="6:14" ht="14.25" customHeight="1" x14ac:dyDescent="0.7">
      <c r="F915" s="7"/>
      <c r="G915" s="7"/>
      <c r="H915" s="7"/>
      <c r="I915" s="7"/>
      <c r="J915" s="7"/>
      <c r="K915" s="7"/>
      <c r="L915" s="7"/>
      <c r="M915" s="7"/>
      <c r="N915" s="7"/>
    </row>
    <row r="916" spans="6:14" ht="14.25" customHeight="1" x14ac:dyDescent="0.7">
      <c r="F916" s="7"/>
      <c r="G916" s="7"/>
      <c r="H916" s="7"/>
      <c r="I916" s="7"/>
      <c r="J916" s="7"/>
      <c r="K916" s="7"/>
      <c r="L916" s="7"/>
      <c r="M916" s="7"/>
      <c r="N916" s="7"/>
    </row>
    <row r="917" spans="6:14" ht="14.25" customHeight="1" x14ac:dyDescent="0.7">
      <c r="F917" s="7"/>
      <c r="G917" s="7"/>
      <c r="H917" s="7"/>
      <c r="I917" s="7"/>
      <c r="J917" s="7"/>
      <c r="K917" s="7"/>
      <c r="L917" s="7"/>
      <c r="M917" s="7"/>
      <c r="N917" s="7"/>
    </row>
    <row r="918" spans="6:14" ht="14.25" customHeight="1" x14ac:dyDescent="0.7">
      <c r="F918" s="7"/>
      <c r="G918" s="7"/>
      <c r="H918" s="7"/>
      <c r="I918" s="7"/>
      <c r="J918" s="7"/>
      <c r="K918" s="7"/>
      <c r="L918" s="7"/>
      <c r="M918" s="7"/>
      <c r="N918" s="7"/>
    </row>
    <row r="919" spans="6:14" ht="14.25" customHeight="1" x14ac:dyDescent="0.7">
      <c r="F919" s="7"/>
      <c r="G919" s="7"/>
      <c r="H919" s="7"/>
      <c r="I919" s="7"/>
      <c r="J919" s="7"/>
      <c r="K919" s="7"/>
      <c r="L919" s="7"/>
      <c r="M919" s="7"/>
      <c r="N919" s="7"/>
    </row>
    <row r="920" spans="6:14" ht="14.25" customHeight="1" x14ac:dyDescent="0.7">
      <c r="F920" s="7"/>
      <c r="G920" s="7"/>
      <c r="H920" s="7"/>
      <c r="I920" s="7"/>
      <c r="J920" s="7"/>
      <c r="K920" s="7"/>
      <c r="L920" s="7"/>
      <c r="M920" s="7"/>
      <c r="N920" s="7"/>
    </row>
    <row r="921" spans="6:14" ht="14.25" customHeight="1" x14ac:dyDescent="0.7">
      <c r="F921" s="7"/>
      <c r="G921" s="7"/>
      <c r="H921" s="7"/>
      <c r="I921" s="7"/>
      <c r="J921" s="7"/>
      <c r="K921" s="7"/>
      <c r="L921" s="7"/>
      <c r="M921" s="7"/>
      <c r="N921" s="7"/>
    </row>
    <row r="922" spans="6:14" ht="14.25" customHeight="1" x14ac:dyDescent="0.7">
      <c r="F922" s="7"/>
      <c r="G922" s="7"/>
      <c r="H922" s="7"/>
      <c r="I922" s="7"/>
      <c r="J922" s="7"/>
      <c r="K922" s="7"/>
      <c r="L922" s="7"/>
      <c r="M922" s="7"/>
      <c r="N922" s="7"/>
    </row>
    <row r="923" spans="6:14" ht="14.25" customHeight="1" x14ac:dyDescent="0.7">
      <c r="F923" s="7"/>
      <c r="G923" s="7"/>
      <c r="H923" s="7"/>
      <c r="I923" s="7"/>
      <c r="J923" s="7"/>
      <c r="K923" s="7"/>
      <c r="L923" s="7"/>
      <c r="M923" s="7"/>
      <c r="N923" s="7"/>
    </row>
    <row r="924" spans="6:14" ht="14.25" customHeight="1" x14ac:dyDescent="0.7">
      <c r="F924" s="7"/>
      <c r="G924" s="7"/>
      <c r="H924" s="7"/>
      <c r="I924" s="7"/>
      <c r="J924" s="7"/>
      <c r="K924" s="7"/>
      <c r="L924" s="7"/>
      <c r="M924" s="7"/>
      <c r="N924" s="7"/>
    </row>
    <row r="925" spans="6:14" ht="14.25" customHeight="1" x14ac:dyDescent="0.7">
      <c r="F925" s="7"/>
      <c r="G925" s="7"/>
      <c r="H925" s="7"/>
      <c r="I925" s="7"/>
      <c r="J925" s="7"/>
      <c r="K925" s="7"/>
      <c r="L925" s="7"/>
      <c r="M925" s="7"/>
      <c r="N925" s="7"/>
    </row>
    <row r="926" spans="6:14" ht="14.25" customHeight="1" x14ac:dyDescent="0.7">
      <c r="F926" s="7"/>
      <c r="G926" s="7"/>
      <c r="H926" s="7"/>
      <c r="I926" s="7"/>
      <c r="J926" s="7"/>
      <c r="K926" s="7"/>
      <c r="L926" s="7"/>
      <c r="M926" s="7"/>
      <c r="N926" s="7"/>
    </row>
    <row r="927" spans="6:14" ht="14.25" customHeight="1" x14ac:dyDescent="0.7">
      <c r="F927" s="7"/>
      <c r="G927" s="7"/>
      <c r="H927" s="7"/>
      <c r="I927" s="7"/>
      <c r="J927" s="7"/>
      <c r="K927" s="7"/>
      <c r="L927" s="7"/>
      <c r="M927" s="7"/>
      <c r="N927" s="7"/>
    </row>
    <row r="928" spans="6:14" ht="14.25" customHeight="1" x14ac:dyDescent="0.7">
      <c r="F928" s="7"/>
      <c r="G928" s="7"/>
      <c r="H928" s="7"/>
      <c r="I928" s="7"/>
      <c r="J928" s="7"/>
      <c r="K928" s="7"/>
      <c r="L928" s="7"/>
      <c r="M928" s="7"/>
      <c r="N928" s="7"/>
    </row>
    <row r="929" spans="6:14" ht="14.25" customHeight="1" x14ac:dyDescent="0.7">
      <c r="F929" s="7"/>
      <c r="G929" s="7"/>
      <c r="H929" s="7"/>
      <c r="I929" s="7"/>
      <c r="J929" s="7"/>
      <c r="K929" s="7"/>
      <c r="L929" s="7"/>
      <c r="M929" s="7"/>
      <c r="N929" s="7"/>
    </row>
    <row r="930" spans="6:14" ht="14.25" customHeight="1" x14ac:dyDescent="0.7">
      <c r="F930" s="7"/>
      <c r="G930" s="7"/>
      <c r="H930" s="7"/>
      <c r="I930" s="7"/>
      <c r="J930" s="7"/>
      <c r="K930" s="7"/>
      <c r="L930" s="7"/>
      <c r="M930" s="7"/>
      <c r="N930" s="7"/>
    </row>
    <row r="931" spans="6:14" ht="14.25" customHeight="1" x14ac:dyDescent="0.7">
      <c r="F931" s="7"/>
      <c r="G931" s="7"/>
      <c r="H931" s="7"/>
      <c r="I931" s="7"/>
      <c r="J931" s="7"/>
      <c r="K931" s="7"/>
      <c r="L931" s="7"/>
      <c r="M931" s="7"/>
      <c r="N931" s="7"/>
    </row>
    <row r="932" spans="6:14" ht="14.25" customHeight="1" x14ac:dyDescent="0.7">
      <c r="F932" s="7"/>
      <c r="G932" s="7"/>
      <c r="H932" s="7"/>
      <c r="I932" s="7"/>
      <c r="J932" s="7"/>
      <c r="K932" s="7"/>
      <c r="L932" s="7"/>
      <c r="M932" s="7"/>
      <c r="N932" s="7"/>
    </row>
    <row r="933" spans="6:14" ht="14.25" customHeight="1" x14ac:dyDescent="0.7">
      <c r="F933" s="7"/>
      <c r="G933" s="7"/>
      <c r="H933" s="7"/>
      <c r="I933" s="7"/>
      <c r="J933" s="7"/>
      <c r="K933" s="7"/>
      <c r="L933" s="7"/>
      <c r="M933" s="7"/>
      <c r="N933" s="7"/>
    </row>
    <row r="934" spans="6:14" ht="14.25" customHeight="1" x14ac:dyDescent="0.7">
      <c r="F934" s="7"/>
      <c r="G934" s="7"/>
      <c r="H934" s="7"/>
      <c r="I934" s="7"/>
      <c r="J934" s="7"/>
      <c r="K934" s="7"/>
      <c r="L934" s="7"/>
      <c r="M934" s="7"/>
      <c r="N934" s="7"/>
    </row>
    <row r="935" spans="6:14" ht="14.25" customHeight="1" x14ac:dyDescent="0.7">
      <c r="F935" s="7"/>
      <c r="G935" s="7"/>
      <c r="H935" s="7"/>
      <c r="I935" s="7"/>
      <c r="J935" s="7"/>
      <c r="K935" s="7"/>
      <c r="L935" s="7"/>
      <c r="M935" s="7"/>
      <c r="N935" s="7"/>
    </row>
    <row r="936" spans="6:14" ht="14.25" customHeight="1" x14ac:dyDescent="0.7">
      <c r="F936" s="7"/>
      <c r="G936" s="7"/>
      <c r="H936" s="7"/>
      <c r="I936" s="7"/>
      <c r="J936" s="7"/>
      <c r="K936" s="7"/>
      <c r="L936" s="7"/>
      <c r="M936" s="7"/>
      <c r="N936" s="7"/>
    </row>
    <row r="937" spans="6:14" ht="14.25" customHeight="1" x14ac:dyDescent="0.7">
      <c r="F937" s="7"/>
      <c r="G937" s="7"/>
      <c r="H937" s="7"/>
      <c r="I937" s="7"/>
      <c r="J937" s="7"/>
      <c r="K937" s="7"/>
      <c r="L937" s="7"/>
      <c r="M937" s="7"/>
      <c r="N937" s="7"/>
    </row>
    <row r="938" spans="6:14" ht="14.25" customHeight="1" x14ac:dyDescent="0.7">
      <c r="F938" s="7"/>
      <c r="G938" s="7"/>
      <c r="H938" s="7"/>
      <c r="I938" s="7"/>
      <c r="J938" s="7"/>
      <c r="K938" s="7"/>
      <c r="L938" s="7"/>
      <c r="M938" s="7"/>
      <c r="N938" s="7"/>
    </row>
    <row r="939" spans="6:14" ht="14.25" customHeight="1" x14ac:dyDescent="0.7">
      <c r="F939" s="7"/>
      <c r="G939" s="7"/>
      <c r="H939" s="7"/>
      <c r="I939" s="7"/>
      <c r="J939" s="7"/>
      <c r="K939" s="7"/>
      <c r="L939" s="7"/>
      <c r="M939" s="7"/>
      <c r="N939" s="7"/>
    </row>
    <row r="940" spans="6:14" ht="14.25" customHeight="1" x14ac:dyDescent="0.7">
      <c r="F940" s="7"/>
      <c r="G940" s="7"/>
      <c r="H940" s="7"/>
      <c r="I940" s="7"/>
      <c r="J940" s="7"/>
      <c r="K940" s="7"/>
      <c r="L940" s="7"/>
      <c r="M940" s="7"/>
      <c r="N940" s="7"/>
    </row>
    <row r="941" spans="6:14" ht="14.25" customHeight="1" x14ac:dyDescent="0.7">
      <c r="F941" s="7"/>
      <c r="G941" s="7"/>
      <c r="H941" s="7"/>
      <c r="I941" s="7"/>
      <c r="J941" s="7"/>
      <c r="K941" s="7"/>
      <c r="L941" s="7"/>
      <c r="M941" s="7"/>
      <c r="N941" s="7"/>
    </row>
    <row r="942" spans="6:14" ht="14.25" customHeight="1" x14ac:dyDescent="0.7">
      <c r="F942" s="7"/>
      <c r="G942" s="7"/>
      <c r="H942" s="7"/>
      <c r="I942" s="7"/>
      <c r="J942" s="7"/>
      <c r="K942" s="7"/>
      <c r="L942" s="7"/>
      <c r="M942" s="7"/>
      <c r="N942" s="7"/>
    </row>
    <row r="943" spans="6:14" ht="14.25" customHeight="1" x14ac:dyDescent="0.7">
      <c r="F943" s="7"/>
      <c r="G943" s="7"/>
      <c r="H943" s="7"/>
      <c r="I943" s="7"/>
      <c r="J943" s="7"/>
      <c r="K943" s="7"/>
      <c r="L943" s="7"/>
      <c r="M943" s="7"/>
      <c r="N943" s="7"/>
    </row>
    <row r="944" spans="6:14" ht="14.25" customHeight="1" x14ac:dyDescent="0.7">
      <c r="F944" s="7"/>
      <c r="G944" s="7"/>
      <c r="H944" s="7"/>
      <c r="I944" s="7"/>
      <c r="J944" s="7"/>
      <c r="K944" s="7"/>
      <c r="L944" s="7"/>
      <c r="M944" s="7"/>
      <c r="N944" s="7"/>
    </row>
    <row r="945" spans="6:14" ht="14.25" customHeight="1" x14ac:dyDescent="0.7">
      <c r="F945" s="7"/>
      <c r="G945" s="7"/>
      <c r="H945" s="7"/>
      <c r="I945" s="7"/>
      <c r="J945" s="7"/>
      <c r="K945" s="7"/>
      <c r="L945" s="7"/>
      <c r="M945" s="7"/>
      <c r="N945" s="7"/>
    </row>
    <row r="946" spans="6:14" ht="14.25" customHeight="1" x14ac:dyDescent="0.7">
      <c r="F946" s="7"/>
      <c r="G946" s="7"/>
      <c r="H946" s="7"/>
      <c r="I946" s="7"/>
      <c r="J946" s="7"/>
      <c r="K946" s="7"/>
      <c r="L946" s="7"/>
      <c r="M946" s="7"/>
      <c r="N946" s="7"/>
    </row>
    <row r="947" spans="6:14" ht="14.25" customHeight="1" x14ac:dyDescent="0.7">
      <c r="F947" s="7"/>
      <c r="G947" s="7"/>
      <c r="H947" s="7"/>
      <c r="I947" s="7"/>
      <c r="J947" s="7"/>
      <c r="K947" s="7"/>
      <c r="L947" s="7"/>
      <c r="M947" s="7"/>
      <c r="N947" s="7"/>
    </row>
    <row r="948" spans="6:14" ht="14.25" customHeight="1" x14ac:dyDescent="0.7">
      <c r="F948" s="7"/>
      <c r="G948" s="7"/>
      <c r="H948" s="7"/>
      <c r="I948" s="7"/>
      <c r="J948" s="7"/>
      <c r="K948" s="7"/>
      <c r="L948" s="7"/>
      <c r="M948" s="7"/>
      <c r="N948" s="7"/>
    </row>
    <row r="949" spans="6:14" ht="14.25" customHeight="1" x14ac:dyDescent="0.7">
      <c r="F949" s="7"/>
      <c r="G949" s="7"/>
      <c r="H949" s="7"/>
      <c r="I949" s="7"/>
      <c r="J949" s="7"/>
      <c r="K949" s="7"/>
      <c r="L949" s="7"/>
      <c r="M949" s="7"/>
      <c r="N949" s="7"/>
    </row>
    <row r="950" spans="6:14" ht="14.25" customHeight="1" x14ac:dyDescent="0.7">
      <c r="F950" s="7"/>
      <c r="G950" s="7"/>
      <c r="H950" s="7"/>
      <c r="I950" s="7"/>
      <c r="J950" s="7"/>
      <c r="K950" s="7"/>
      <c r="L950" s="7"/>
      <c r="M950" s="7"/>
      <c r="N950" s="7"/>
    </row>
    <row r="951" spans="6:14" ht="14.25" customHeight="1" x14ac:dyDescent="0.7">
      <c r="F951" s="7"/>
      <c r="G951" s="7"/>
      <c r="H951" s="7"/>
      <c r="I951" s="7"/>
      <c r="J951" s="7"/>
      <c r="K951" s="7"/>
      <c r="L951" s="7"/>
      <c r="M951" s="7"/>
      <c r="N951" s="7"/>
    </row>
    <row r="952" spans="6:14" ht="14.25" customHeight="1" x14ac:dyDescent="0.7">
      <c r="F952" s="7"/>
      <c r="G952" s="7"/>
      <c r="H952" s="7"/>
      <c r="I952" s="7"/>
      <c r="J952" s="7"/>
      <c r="K952" s="7"/>
      <c r="L952" s="7"/>
      <c r="M952" s="7"/>
      <c r="N952" s="7"/>
    </row>
    <row r="953" spans="6:14" ht="14.25" customHeight="1" x14ac:dyDescent="0.7">
      <c r="F953" s="7"/>
      <c r="G953" s="7"/>
      <c r="H953" s="7"/>
      <c r="I953" s="7"/>
      <c r="J953" s="7"/>
      <c r="K953" s="7"/>
      <c r="L953" s="7"/>
      <c r="M953" s="7"/>
      <c r="N953" s="7"/>
    </row>
    <row r="954" spans="6:14" ht="14.25" customHeight="1" x14ac:dyDescent="0.7">
      <c r="F954" s="7"/>
      <c r="G954" s="7"/>
      <c r="H954" s="7"/>
      <c r="I954" s="7"/>
      <c r="J954" s="7"/>
      <c r="K954" s="7"/>
      <c r="L954" s="7"/>
      <c r="M954" s="7"/>
      <c r="N954" s="7"/>
    </row>
    <row r="955" spans="6:14" ht="14.25" customHeight="1" x14ac:dyDescent="0.7">
      <c r="F955" s="7"/>
      <c r="G955" s="7"/>
      <c r="H955" s="7"/>
      <c r="I955" s="7"/>
      <c r="J955" s="7"/>
      <c r="K955" s="7"/>
      <c r="L955" s="7"/>
      <c r="M955" s="7"/>
      <c r="N955" s="7"/>
    </row>
    <row r="956" spans="6:14" ht="14.25" customHeight="1" x14ac:dyDescent="0.7">
      <c r="F956" s="7"/>
      <c r="G956" s="7"/>
      <c r="H956" s="7"/>
      <c r="I956" s="7"/>
      <c r="J956" s="7"/>
      <c r="K956" s="7"/>
      <c r="L956" s="7"/>
      <c r="M956" s="7"/>
      <c r="N956" s="7"/>
    </row>
    <row r="957" spans="6:14" ht="14.25" customHeight="1" x14ac:dyDescent="0.7">
      <c r="F957" s="7"/>
      <c r="G957" s="7"/>
      <c r="H957" s="7"/>
      <c r="I957" s="7"/>
      <c r="J957" s="7"/>
      <c r="K957" s="7"/>
      <c r="L957" s="7"/>
      <c r="M957" s="7"/>
      <c r="N957" s="7"/>
    </row>
    <row r="958" spans="6:14" ht="14.25" customHeight="1" x14ac:dyDescent="0.7">
      <c r="F958" s="7"/>
      <c r="G958" s="7"/>
      <c r="H958" s="7"/>
      <c r="I958" s="7"/>
      <c r="J958" s="7"/>
      <c r="K958" s="7"/>
      <c r="L958" s="7"/>
      <c r="M958" s="7"/>
      <c r="N958" s="7"/>
    </row>
    <row r="959" spans="6:14" ht="14.25" customHeight="1" x14ac:dyDescent="0.7">
      <c r="F959" s="7"/>
      <c r="G959" s="7"/>
      <c r="H959" s="7"/>
      <c r="I959" s="7"/>
      <c r="J959" s="7"/>
      <c r="K959" s="7"/>
      <c r="L959" s="7"/>
      <c r="M959" s="7"/>
      <c r="N959" s="7"/>
    </row>
    <row r="960" spans="6:14" ht="14.25" customHeight="1" x14ac:dyDescent="0.7">
      <c r="F960" s="7"/>
      <c r="G960" s="7"/>
      <c r="H960" s="7"/>
      <c r="I960" s="7"/>
      <c r="J960" s="7"/>
      <c r="K960" s="7"/>
      <c r="L960" s="7"/>
      <c r="M960" s="7"/>
      <c r="N960" s="7"/>
    </row>
    <row r="961" spans="6:14" ht="14.25" customHeight="1" x14ac:dyDescent="0.7">
      <c r="F961" s="7"/>
      <c r="G961" s="7"/>
      <c r="H961" s="7"/>
      <c r="I961" s="7"/>
      <c r="J961" s="7"/>
      <c r="K961" s="7"/>
      <c r="L961" s="7"/>
      <c r="M961" s="7"/>
      <c r="N961" s="7"/>
    </row>
    <row r="962" spans="6:14" ht="14.25" customHeight="1" x14ac:dyDescent="0.7">
      <c r="F962" s="7"/>
      <c r="G962" s="7"/>
      <c r="H962" s="7"/>
      <c r="I962" s="7"/>
      <c r="J962" s="7"/>
      <c r="K962" s="7"/>
      <c r="L962" s="7"/>
      <c r="M962" s="7"/>
      <c r="N962" s="7"/>
    </row>
    <row r="963" spans="6:14" ht="14.25" customHeight="1" x14ac:dyDescent="0.7">
      <c r="F963" s="7"/>
      <c r="G963" s="7"/>
      <c r="H963" s="7"/>
      <c r="I963" s="7"/>
      <c r="J963" s="7"/>
      <c r="K963" s="7"/>
      <c r="L963" s="7"/>
      <c r="M963" s="7"/>
      <c r="N963" s="7"/>
    </row>
    <row r="964" spans="6:14" ht="14.25" customHeight="1" x14ac:dyDescent="0.7">
      <c r="F964" s="7"/>
      <c r="G964" s="7"/>
      <c r="H964" s="7"/>
      <c r="I964" s="7"/>
      <c r="J964" s="7"/>
      <c r="K964" s="7"/>
      <c r="L964" s="7"/>
      <c r="M964" s="7"/>
      <c r="N964" s="7"/>
    </row>
    <row r="965" spans="6:14" ht="14.25" customHeight="1" x14ac:dyDescent="0.7">
      <c r="F965" s="7"/>
      <c r="G965" s="7"/>
      <c r="H965" s="7"/>
      <c r="I965" s="7"/>
      <c r="J965" s="7"/>
      <c r="K965" s="7"/>
      <c r="L965" s="7"/>
      <c r="M965" s="7"/>
      <c r="N965" s="7"/>
    </row>
    <row r="966" spans="6:14" ht="14.25" customHeight="1" x14ac:dyDescent="0.7">
      <c r="F966" s="7"/>
      <c r="G966" s="7"/>
      <c r="H966" s="7"/>
      <c r="I966" s="7"/>
      <c r="J966" s="7"/>
      <c r="K966" s="7"/>
      <c r="L966" s="7"/>
      <c r="M966" s="7"/>
      <c r="N966" s="7"/>
    </row>
    <row r="967" spans="6:14" ht="14.25" customHeight="1" x14ac:dyDescent="0.7">
      <c r="F967" s="7"/>
      <c r="G967" s="7"/>
      <c r="H967" s="7"/>
      <c r="I967" s="7"/>
      <c r="J967" s="7"/>
      <c r="K967" s="7"/>
      <c r="L967" s="7"/>
      <c r="M967" s="7"/>
      <c r="N967" s="7"/>
    </row>
    <row r="968" spans="6:14" ht="14.25" customHeight="1" x14ac:dyDescent="0.7">
      <c r="F968" s="7"/>
      <c r="G968" s="7"/>
      <c r="H968" s="7"/>
      <c r="I968" s="7"/>
      <c r="J968" s="7"/>
      <c r="K968" s="7"/>
      <c r="L968" s="7"/>
      <c r="M968" s="7"/>
      <c r="N968" s="7"/>
    </row>
    <row r="969" spans="6:14" ht="14.25" customHeight="1" x14ac:dyDescent="0.7">
      <c r="F969" s="7"/>
      <c r="G969" s="7"/>
      <c r="H969" s="7"/>
      <c r="I969" s="7"/>
      <c r="J969" s="7"/>
      <c r="K969" s="7"/>
      <c r="L969" s="7"/>
      <c r="M969" s="7"/>
      <c r="N969" s="7"/>
    </row>
    <row r="970" spans="6:14" ht="14.25" customHeight="1" x14ac:dyDescent="0.7">
      <c r="F970" s="7"/>
      <c r="G970" s="7"/>
      <c r="H970" s="7"/>
      <c r="I970" s="7"/>
      <c r="J970" s="7"/>
      <c r="K970" s="7"/>
      <c r="L970" s="7"/>
      <c r="M970" s="7"/>
      <c r="N970" s="7"/>
    </row>
    <row r="971" spans="6:14" ht="14.25" customHeight="1" x14ac:dyDescent="0.7">
      <c r="F971" s="7"/>
      <c r="G971" s="7"/>
      <c r="H971" s="7"/>
      <c r="I971" s="7"/>
      <c r="J971" s="7"/>
      <c r="K971" s="7"/>
      <c r="L971" s="7"/>
      <c r="M971" s="7"/>
      <c r="N971" s="7"/>
    </row>
    <row r="972" spans="6:14" ht="14.25" customHeight="1" x14ac:dyDescent="0.7">
      <c r="F972" s="7"/>
      <c r="G972" s="7"/>
      <c r="H972" s="7"/>
      <c r="I972" s="7"/>
      <c r="J972" s="7"/>
      <c r="K972" s="7"/>
      <c r="L972" s="7"/>
      <c r="M972" s="7"/>
      <c r="N972" s="7"/>
    </row>
    <row r="973" spans="6:14" ht="14.25" customHeight="1" x14ac:dyDescent="0.7">
      <c r="F973" s="7"/>
      <c r="G973" s="7"/>
      <c r="H973" s="7"/>
      <c r="I973" s="7"/>
      <c r="J973" s="7"/>
      <c r="K973" s="7"/>
      <c r="L973" s="7"/>
      <c r="M973" s="7"/>
      <c r="N973" s="7"/>
    </row>
    <row r="974" spans="6:14" ht="14.25" customHeight="1" x14ac:dyDescent="0.7">
      <c r="F974" s="7"/>
      <c r="G974" s="7"/>
      <c r="H974" s="7"/>
      <c r="I974" s="7"/>
      <c r="J974" s="7"/>
      <c r="K974" s="7"/>
      <c r="L974" s="7"/>
      <c r="M974" s="7"/>
      <c r="N974" s="7"/>
    </row>
    <row r="975" spans="6:14" ht="14.25" customHeight="1" x14ac:dyDescent="0.7">
      <c r="F975" s="7"/>
      <c r="G975" s="7"/>
      <c r="H975" s="7"/>
      <c r="I975" s="7"/>
      <c r="J975" s="7"/>
      <c r="K975" s="7"/>
      <c r="L975" s="7"/>
      <c r="M975" s="7"/>
      <c r="N975" s="7"/>
    </row>
    <row r="976" spans="6:14" ht="14.25" customHeight="1" x14ac:dyDescent="0.7">
      <c r="F976" s="7"/>
      <c r="G976" s="7"/>
      <c r="H976" s="7"/>
      <c r="I976" s="7"/>
      <c r="J976" s="7"/>
      <c r="K976" s="7"/>
      <c r="L976" s="7"/>
      <c r="M976" s="7"/>
      <c r="N976" s="7"/>
    </row>
    <row r="977" spans="6:14" ht="14.25" customHeight="1" x14ac:dyDescent="0.7">
      <c r="F977" s="7"/>
      <c r="G977" s="7"/>
      <c r="H977" s="7"/>
      <c r="I977" s="7"/>
      <c r="J977" s="7"/>
      <c r="K977" s="7"/>
      <c r="L977" s="7"/>
      <c r="M977" s="7"/>
      <c r="N977" s="7"/>
    </row>
    <row r="978" spans="6:14" ht="14.25" customHeight="1" x14ac:dyDescent="0.7">
      <c r="F978" s="7"/>
      <c r="G978" s="7"/>
      <c r="H978" s="7"/>
      <c r="I978" s="7"/>
      <c r="J978" s="7"/>
      <c r="K978" s="7"/>
      <c r="L978" s="7"/>
      <c r="M978" s="7"/>
      <c r="N978" s="7"/>
    </row>
    <row r="979" spans="6:14" ht="14.25" customHeight="1" x14ac:dyDescent="0.7">
      <c r="F979" s="7"/>
      <c r="G979" s="7"/>
      <c r="H979" s="7"/>
      <c r="I979" s="7"/>
      <c r="J979" s="7"/>
      <c r="K979" s="7"/>
      <c r="L979" s="7"/>
      <c r="M979" s="7"/>
      <c r="N979" s="7"/>
    </row>
    <row r="980" spans="6:14" ht="14.25" customHeight="1" x14ac:dyDescent="0.7">
      <c r="F980" s="7"/>
      <c r="G980" s="7"/>
      <c r="H980" s="7"/>
      <c r="I980" s="7"/>
      <c r="J980" s="7"/>
      <c r="K980" s="7"/>
      <c r="L980" s="7"/>
      <c r="M980" s="7"/>
      <c r="N980" s="7"/>
    </row>
    <row r="981" spans="6:14" ht="14.25" customHeight="1" x14ac:dyDescent="0.7">
      <c r="F981" s="7"/>
      <c r="G981" s="7"/>
      <c r="H981" s="7"/>
      <c r="I981" s="7"/>
      <c r="J981" s="7"/>
      <c r="K981" s="7"/>
      <c r="L981" s="7"/>
      <c r="M981" s="7"/>
      <c r="N981" s="7"/>
    </row>
    <row r="982" spans="6:14" ht="14.25" customHeight="1" x14ac:dyDescent="0.7">
      <c r="F982" s="7"/>
      <c r="G982" s="7"/>
      <c r="H982" s="7"/>
      <c r="I982" s="7"/>
      <c r="J982" s="7"/>
      <c r="K982" s="7"/>
      <c r="L982" s="7"/>
      <c r="M982" s="7"/>
      <c r="N982" s="7"/>
    </row>
    <row r="983" spans="6:14" ht="14.25" customHeight="1" x14ac:dyDescent="0.7">
      <c r="F983" s="7"/>
      <c r="G983" s="7"/>
      <c r="H983" s="7"/>
      <c r="I983" s="7"/>
      <c r="J983" s="7"/>
      <c r="K983" s="7"/>
      <c r="L983" s="7"/>
      <c r="M983" s="7"/>
      <c r="N983" s="7"/>
    </row>
    <row r="984" spans="6:14" ht="14.25" customHeight="1" x14ac:dyDescent="0.7">
      <c r="F984" s="7"/>
      <c r="G984" s="7"/>
      <c r="H984" s="7"/>
      <c r="I984" s="7"/>
      <c r="J984" s="7"/>
      <c r="K984" s="7"/>
      <c r="L984" s="7"/>
      <c r="M984" s="7"/>
      <c r="N984" s="7"/>
    </row>
    <row r="985" spans="6:14" ht="14.25" customHeight="1" x14ac:dyDescent="0.7">
      <c r="F985" s="7"/>
      <c r="G985" s="7"/>
      <c r="H985" s="7"/>
      <c r="I985" s="7"/>
      <c r="J985" s="7"/>
      <c r="K985" s="7"/>
      <c r="L985" s="7"/>
      <c r="M985" s="7"/>
      <c r="N985" s="7"/>
    </row>
    <row r="986" spans="6:14" ht="14.25" customHeight="1" x14ac:dyDescent="0.7">
      <c r="F986" s="7"/>
      <c r="G986" s="7"/>
      <c r="H986" s="7"/>
      <c r="I986" s="7"/>
      <c r="J986" s="7"/>
      <c r="K986" s="7"/>
      <c r="L986" s="7"/>
      <c r="M986" s="7"/>
      <c r="N986" s="7"/>
    </row>
    <row r="987" spans="6:14" ht="14.25" customHeight="1" x14ac:dyDescent="0.7">
      <c r="F987" s="7"/>
      <c r="G987" s="7"/>
      <c r="H987" s="7"/>
      <c r="I987" s="7"/>
      <c r="J987" s="7"/>
      <c r="K987" s="7"/>
      <c r="L987" s="7"/>
      <c r="M987" s="7"/>
      <c r="N987" s="7"/>
    </row>
    <row r="988" spans="6:14" ht="14.25" customHeight="1" x14ac:dyDescent="0.7">
      <c r="F988" s="7"/>
      <c r="G988" s="7"/>
      <c r="H988" s="7"/>
      <c r="I988" s="7"/>
      <c r="J988" s="7"/>
      <c r="K988" s="7"/>
      <c r="L988" s="7"/>
      <c r="M988" s="7"/>
      <c r="N988" s="7"/>
    </row>
    <row r="989" spans="6:14" ht="14.25" customHeight="1" x14ac:dyDescent="0.7">
      <c r="F989" s="7"/>
      <c r="G989" s="7"/>
      <c r="H989" s="7"/>
      <c r="I989" s="7"/>
      <c r="J989" s="7"/>
      <c r="K989" s="7"/>
      <c r="L989" s="7"/>
      <c r="M989" s="7"/>
      <c r="N989" s="7"/>
    </row>
    <row r="990" spans="6:14" ht="14.25" customHeight="1" x14ac:dyDescent="0.7">
      <c r="F990" s="7"/>
      <c r="G990" s="7"/>
      <c r="H990" s="7"/>
      <c r="I990" s="7"/>
      <c r="J990" s="7"/>
      <c r="K990" s="7"/>
      <c r="L990" s="7"/>
      <c r="M990" s="7"/>
      <c r="N990" s="7"/>
    </row>
    <row r="991" spans="6:14" ht="14.25" customHeight="1" x14ac:dyDescent="0.7">
      <c r="F991" s="7"/>
      <c r="G991" s="7"/>
      <c r="H991" s="7"/>
      <c r="I991" s="7"/>
      <c r="J991" s="7"/>
      <c r="K991" s="7"/>
      <c r="L991" s="7"/>
      <c r="M991" s="7"/>
      <c r="N991" s="7"/>
    </row>
    <row r="992" spans="6:14" ht="14.25" customHeight="1" x14ac:dyDescent="0.7">
      <c r="F992" s="7"/>
      <c r="G992" s="7"/>
      <c r="H992" s="7"/>
      <c r="I992" s="7"/>
      <c r="J992" s="7"/>
      <c r="K992" s="7"/>
      <c r="L992" s="7"/>
      <c r="M992" s="7"/>
      <c r="N992" s="7"/>
    </row>
    <row r="993" spans="6:14" ht="14.25" customHeight="1" x14ac:dyDescent="0.7">
      <c r="F993" s="7"/>
      <c r="G993" s="7"/>
      <c r="H993" s="7"/>
      <c r="I993" s="7"/>
      <c r="J993" s="7"/>
      <c r="K993" s="7"/>
      <c r="L993" s="7"/>
      <c r="M993" s="7"/>
      <c r="N993" s="7"/>
    </row>
    <row r="994" spans="6:14" ht="14.25" customHeight="1" x14ac:dyDescent="0.7">
      <c r="F994" s="7"/>
      <c r="G994" s="7"/>
      <c r="H994" s="7"/>
      <c r="I994" s="7"/>
      <c r="J994" s="7"/>
      <c r="K994" s="7"/>
      <c r="L994" s="7"/>
      <c r="M994" s="7"/>
      <c r="N994" s="7"/>
    </row>
    <row r="995" spans="6:14" ht="14.25" customHeight="1" x14ac:dyDescent="0.7">
      <c r="F995" s="7"/>
      <c r="G995" s="7"/>
      <c r="H995" s="7"/>
      <c r="I995" s="7"/>
      <c r="J995" s="7"/>
      <c r="K995" s="7"/>
      <c r="L995" s="7"/>
      <c r="M995" s="7"/>
      <c r="N995" s="7"/>
    </row>
    <row r="996" spans="6:14" ht="14.25" customHeight="1" x14ac:dyDescent="0.7">
      <c r="F996" s="7"/>
      <c r="G996" s="7"/>
      <c r="H996" s="7"/>
      <c r="I996" s="7"/>
      <c r="J996" s="7"/>
      <c r="K996" s="7"/>
      <c r="L996" s="7"/>
      <c r="M996" s="7"/>
      <c r="N996" s="7"/>
    </row>
    <row r="997" spans="6:14" ht="14.25" customHeight="1" x14ac:dyDescent="0.7">
      <c r="F997" s="7"/>
      <c r="G997" s="7"/>
      <c r="H997" s="7"/>
      <c r="I997" s="7"/>
      <c r="J997" s="7"/>
      <c r="K997" s="7"/>
      <c r="L997" s="7"/>
      <c r="M997" s="7"/>
      <c r="N997" s="7"/>
    </row>
    <row r="998" spans="6:14" ht="14.25" customHeight="1" x14ac:dyDescent="0.7">
      <c r="F998" s="7"/>
      <c r="G998" s="7"/>
      <c r="H998" s="7"/>
      <c r="I998" s="7"/>
      <c r="J998" s="7"/>
      <c r="K998" s="7"/>
      <c r="L998" s="7"/>
      <c r="M998" s="7"/>
      <c r="N998" s="7"/>
    </row>
    <row r="999" spans="6:14" ht="14.25" customHeight="1" x14ac:dyDescent="0.7">
      <c r="F999" s="7"/>
      <c r="G999" s="7"/>
      <c r="H999" s="7"/>
      <c r="I999" s="7"/>
      <c r="J999" s="7"/>
      <c r="K999" s="7"/>
      <c r="L999" s="7"/>
      <c r="M999" s="7"/>
      <c r="N999" s="7"/>
    </row>
    <row r="1000" spans="6:14" ht="14.25" customHeight="1" x14ac:dyDescent="0.7"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6:14" ht="14.25" customHeight="1" x14ac:dyDescent="0.7"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6:14" ht="14.25" customHeight="1" x14ac:dyDescent="0.7">
      <c r="F1002" s="7"/>
      <c r="G1002" s="7"/>
      <c r="H1002" s="7"/>
      <c r="I1002" s="7"/>
      <c r="J1002" s="7"/>
      <c r="K1002" s="7"/>
      <c r="L1002" s="7"/>
      <c r="M1002" s="7"/>
      <c r="N1002" s="7"/>
    </row>
    <row r="1003" spans="6:14" ht="14.25" customHeight="1" x14ac:dyDescent="0.7">
      <c r="F1003" s="7"/>
      <c r="G1003" s="7"/>
      <c r="H1003" s="7"/>
      <c r="I1003" s="7"/>
      <c r="J1003" s="7"/>
      <c r="K1003" s="7"/>
      <c r="L1003" s="7"/>
      <c r="M1003" s="7"/>
      <c r="N1003" s="7"/>
    </row>
    <row r="1004" spans="6:14" ht="14.25" customHeight="1" x14ac:dyDescent="0.7">
      <c r="F1004" s="7"/>
      <c r="G1004" s="7"/>
      <c r="H1004" s="7"/>
      <c r="I1004" s="7"/>
      <c r="J1004" s="7"/>
      <c r="K1004" s="7"/>
      <c r="L1004" s="7"/>
      <c r="M1004" s="7"/>
      <c r="N1004" s="7"/>
    </row>
    <row r="1005" spans="6:14" ht="14.25" customHeight="1" x14ac:dyDescent="0.7">
      <c r="F1005" s="7"/>
      <c r="G1005" s="7"/>
      <c r="H1005" s="7"/>
      <c r="I1005" s="7"/>
      <c r="J1005" s="7"/>
      <c r="K1005" s="7"/>
      <c r="L1005" s="7"/>
      <c r="M1005" s="7"/>
      <c r="N1005" s="7"/>
    </row>
    <row r="1006" spans="6:14" ht="14.25" customHeight="1" x14ac:dyDescent="0.7">
      <c r="F1006" s="7"/>
      <c r="G1006" s="7"/>
      <c r="H1006" s="7"/>
      <c r="I1006" s="7"/>
      <c r="J1006" s="7"/>
      <c r="K1006" s="7"/>
      <c r="L1006" s="7"/>
      <c r="M1006" s="7"/>
      <c r="N1006" s="7"/>
    </row>
    <row r="1007" spans="6:14" ht="14.25" customHeight="1" x14ac:dyDescent="0.7">
      <c r="F1007" s="7"/>
      <c r="G1007" s="7"/>
      <c r="H1007" s="7"/>
      <c r="I1007" s="7"/>
      <c r="J1007" s="7"/>
      <c r="K1007" s="7"/>
      <c r="L1007" s="7"/>
      <c r="M1007" s="7"/>
      <c r="N1007" s="7"/>
    </row>
    <row r="1008" spans="6:14" ht="14.25" customHeight="1" x14ac:dyDescent="0.7">
      <c r="F1008" s="7"/>
      <c r="G1008" s="7"/>
      <c r="H1008" s="7"/>
      <c r="I1008" s="7"/>
      <c r="J1008" s="7"/>
      <c r="K1008" s="7"/>
      <c r="L1008" s="7"/>
      <c r="M1008" s="7"/>
      <c r="N1008" s="7"/>
    </row>
    <row r="1009" spans="6:14" ht="14.25" customHeight="1" x14ac:dyDescent="0.7">
      <c r="F1009" s="7"/>
      <c r="G1009" s="7"/>
      <c r="H1009" s="7"/>
      <c r="I1009" s="7"/>
      <c r="J1009" s="7"/>
      <c r="K1009" s="7"/>
      <c r="L1009" s="7"/>
      <c r="M1009" s="7"/>
      <c r="N1009" s="7"/>
    </row>
    <row r="1010" spans="6:14" ht="14.25" customHeight="1" x14ac:dyDescent="0.7">
      <c r="F1010" s="7"/>
      <c r="G1010" s="7"/>
      <c r="H1010" s="7"/>
      <c r="I1010" s="7"/>
      <c r="J1010" s="7"/>
      <c r="K1010" s="7"/>
      <c r="L1010" s="7"/>
      <c r="M1010" s="7"/>
      <c r="N1010" s="7"/>
    </row>
    <row r="1011" spans="6:14" ht="14.25" customHeight="1" x14ac:dyDescent="0.7">
      <c r="F1011" s="7"/>
      <c r="G1011" s="7"/>
      <c r="H1011" s="7"/>
      <c r="I1011" s="7"/>
      <c r="J1011" s="7"/>
      <c r="K1011" s="7"/>
      <c r="L1011" s="7"/>
      <c r="M1011" s="7"/>
      <c r="N1011" s="7"/>
    </row>
    <row r="1012" spans="6:14" ht="14.25" customHeight="1" x14ac:dyDescent="0.7">
      <c r="F1012" s="7"/>
      <c r="G1012" s="7"/>
      <c r="H1012" s="7"/>
      <c r="I1012" s="7"/>
      <c r="J1012" s="7"/>
      <c r="K1012" s="7"/>
      <c r="L1012" s="7"/>
      <c r="M1012" s="7"/>
      <c r="N1012" s="7"/>
    </row>
    <row r="1013" spans="6:14" ht="14.25" customHeight="1" x14ac:dyDescent="0.7">
      <c r="F1013" s="7"/>
      <c r="G1013" s="7"/>
      <c r="H1013" s="7"/>
      <c r="I1013" s="7"/>
      <c r="J1013" s="7"/>
      <c r="K1013" s="7"/>
      <c r="L1013" s="7"/>
      <c r="M1013" s="7"/>
      <c r="N1013" s="7"/>
    </row>
  </sheetData>
  <mergeCells count="31">
    <mergeCell ref="B5:E6"/>
    <mergeCell ref="A1:Q1"/>
    <mergeCell ref="A2:Q2"/>
    <mergeCell ref="A3:Q3"/>
    <mergeCell ref="P5:P6"/>
    <mergeCell ref="Q5:Q6"/>
    <mergeCell ref="J5:J6"/>
    <mergeCell ref="K5:K6"/>
    <mergeCell ref="L5:L6"/>
    <mergeCell ref="M5:M6"/>
    <mergeCell ref="E99:O99"/>
    <mergeCell ref="E93:O93"/>
    <mergeCell ref="E96:O96"/>
    <mergeCell ref="E98:O98"/>
    <mergeCell ref="H34:H35"/>
    <mergeCell ref="I34:I35"/>
    <mergeCell ref="H53:H54"/>
    <mergeCell ref="N34:N35"/>
    <mergeCell ref="O34:O35"/>
    <mergeCell ref="J34:J35"/>
    <mergeCell ref="L34:L35"/>
    <mergeCell ref="M34:M35"/>
    <mergeCell ref="K34:K35"/>
    <mergeCell ref="P34:P35"/>
    <mergeCell ref="Q34:Q35"/>
    <mergeCell ref="F5:H5"/>
    <mergeCell ref="F34:F35"/>
    <mergeCell ref="G34:G35"/>
    <mergeCell ref="I5:I6"/>
    <mergeCell ref="N5:N6"/>
    <mergeCell ref="O5:O6"/>
  </mergeCells>
  <printOptions horizontalCentered="1"/>
  <pageMargins left="0.23622047244094491" right="0.19685039370078741" top="0.31496062992125984" bottom="0.19685039370078741" header="0.55118110236220474" footer="0.19685039370078741"/>
  <pageSetup paperSize="9" scale="8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view="pageBreakPreview" zoomScale="140" zoomScaleNormal="160" zoomScaleSheetLayoutView="140" workbookViewId="0">
      <selection activeCell="F8" sqref="F8"/>
    </sheetView>
  </sheetViews>
  <sheetFormatPr defaultColWidth="8" defaultRowHeight="24" customHeight="1" x14ac:dyDescent="0.25"/>
  <cols>
    <col min="1" max="1" width="9.8984375" style="121" customWidth="1"/>
    <col min="2" max="2" width="39.69921875" style="121" customWidth="1"/>
    <col min="3" max="3" width="34.69921875" style="120" customWidth="1"/>
    <col min="4" max="4" width="43.8984375" style="121" customWidth="1"/>
    <col min="5" max="7" width="24.09765625" style="121" customWidth="1"/>
    <col min="8" max="8" width="20.3984375" style="120" customWidth="1"/>
    <col min="9" max="9" width="8" style="121"/>
    <col min="10" max="10" width="16.8984375" style="121" customWidth="1"/>
    <col min="11" max="16384" width="8" style="121"/>
  </cols>
  <sheetData>
    <row r="1" spans="1:8" ht="20.25" customHeight="1" x14ac:dyDescent="0.25">
      <c r="A1" s="1497"/>
      <c r="B1" s="1497"/>
      <c r="C1" s="1497"/>
      <c r="D1" s="1497"/>
      <c r="E1" s="119"/>
      <c r="F1" s="119"/>
      <c r="G1" s="119"/>
    </row>
    <row r="2" spans="1:8" ht="20.25" customHeight="1" x14ac:dyDescent="0.25">
      <c r="A2" s="1497" t="s">
        <v>1136</v>
      </c>
      <c r="B2" s="1497"/>
      <c r="C2" s="1497"/>
      <c r="D2" s="1497"/>
      <c r="E2" s="122"/>
      <c r="F2" s="122"/>
      <c r="G2" s="122"/>
    </row>
    <row r="3" spans="1:8" ht="20.25" customHeight="1" x14ac:dyDescent="0.25">
      <c r="A3" s="119"/>
      <c r="B3" s="119"/>
      <c r="C3" s="119"/>
      <c r="D3" s="119"/>
      <c r="E3" s="119"/>
      <c r="F3" s="119"/>
      <c r="G3" s="119"/>
    </row>
    <row r="4" spans="1:8" s="120" customFormat="1" ht="27.75" customHeight="1" x14ac:dyDescent="0.25">
      <c r="A4" s="1498" t="s">
        <v>2</v>
      </c>
      <c r="B4" s="1498"/>
      <c r="C4" s="207" t="s">
        <v>126</v>
      </c>
      <c r="D4" s="208" t="s">
        <v>127</v>
      </c>
      <c r="E4" s="122"/>
      <c r="F4" s="122"/>
      <c r="G4" s="122"/>
    </row>
    <row r="5" spans="1:8" s="1075" customFormat="1" ht="54" x14ac:dyDescent="0.25">
      <c r="A5" s="1499" t="s">
        <v>1173</v>
      </c>
      <c r="B5" s="1499"/>
      <c r="C5" s="1143"/>
      <c r="D5" s="1071" t="s">
        <v>1180</v>
      </c>
      <c r="E5" s="1072"/>
      <c r="F5" s="1073"/>
      <c r="G5" s="1073"/>
      <c r="H5" s="1074"/>
    </row>
    <row r="6" spans="1:8" ht="27" x14ac:dyDescent="0.25">
      <c r="A6" s="1496" t="s">
        <v>1070</v>
      </c>
      <c r="B6" s="1496"/>
      <c r="C6" s="1144"/>
      <c r="D6" s="209"/>
      <c r="E6" s="124"/>
      <c r="F6" s="124"/>
      <c r="G6" s="124"/>
      <c r="H6" s="121"/>
    </row>
    <row r="7" spans="1:8" ht="26.25" customHeight="1" x14ac:dyDescent="0.25">
      <c r="A7" s="1496" t="s">
        <v>1137</v>
      </c>
      <c r="B7" s="1496"/>
      <c r="C7" s="1144"/>
      <c r="D7" s="210"/>
      <c r="E7" s="125"/>
      <c r="F7" s="125"/>
      <c r="G7" s="125"/>
      <c r="H7" s="123"/>
    </row>
    <row r="8" spans="1:8" ht="24" customHeight="1" x14ac:dyDescent="0.25">
      <c r="A8" s="1496" t="s">
        <v>1138</v>
      </c>
      <c r="B8" s="1496"/>
      <c r="C8" s="1144"/>
      <c r="D8" s="209"/>
    </row>
    <row r="9" spans="1:8" ht="27" x14ac:dyDescent="0.25">
      <c r="A9" s="1496" t="s">
        <v>1139</v>
      </c>
      <c r="B9" s="1496"/>
      <c r="C9" s="1144"/>
      <c r="D9" s="211"/>
      <c r="E9" s="124"/>
      <c r="F9" s="124"/>
      <c r="G9" s="124"/>
      <c r="H9" s="121"/>
    </row>
    <row r="10" spans="1:8" s="120" customFormat="1" ht="24" customHeight="1" x14ac:dyDescent="0.25">
      <c r="A10" s="126" t="s">
        <v>128</v>
      </c>
      <c r="B10" s="121"/>
      <c r="D10" s="121"/>
      <c r="E10" s="121"/>
      <c r="F10" s="121"/>
      <c r="G10" s="121"/>
    </row>
  </sheetData>
  <mergeCells count="8">
    <mergeCell ref="A8:B8"/>
    <mergeCell ref="A9:B9"/>
    <mergeCell ref="A1:D1"/>
    <mergeCell ref="A2:D2"/>
    <mergeCell ref="A4:B4"/>
    <mergeCell ref="A5:B5"/>
    <mergeCell ref="A6:B6"/>
    <mergeCell ref="A7:B7"/>
  </mergeCells>
  <printOptions horizontalCentered="1"/>
  <pageMargins left="0.70866141732283472" right="0.70866141732283472" top="0.74803149606299213" bottom="0.74803149606299213" header="0.31496062992125984" footer="0.31496062992125984"/>
  <pageSetup paperSize="9" firstPageNumber="11" orientation="landscape" useFirstPageNumber="1" horizontalDpi="4294967293" r:id="rId1"/>
  <headerFooter>
    <oddFooter>&amp;C&amp;10&amp;P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R28"/>
  <sheetViews>
    <sheetView view="pageBreakPreview" zoomScale="110" zoomScaleNormal="140" zoomScaleSheetLayoutView="110" workbookViewId="0">
      <pane ySplit="4" topLeftCell="A14" activePane="bottomLeft" state="frozen"/>
      <selection pane="bottomLeft" activeCell="O23" sqref="O23"/>
    </sheetView>
  </sheetViews>
  <sheetFormatPr defaultColWidth="8" defaultRowHeight="24.6" x14ac:dyDescent="0.7"/>
  <cols>
    <col min="1" max="1" width="2.69921875" style="655" customWidth="1"/>
    <col min="2" max="2" width="48.09765625" style="655" customWidth="1"/>
    <col min="3" max="3" width="19.69921875" style="655" hidden="1" customWidth="1"/>
    <col min="4" max="4" width="19.59765625" style="655" hidden="1" customWidth="1"/>
    <col min="5" max="6" width="19.3984375" style="655" hidden="1" customWidth="1"/>
    <col min="7" max="7" width="19.8984375" style="655" hidden="1" customWidth="1"/>
    <col min="8" max="10" width="16.59765625" style="655" customWidth="1"/>
    <col min="11" max="13" width="16.59765625" style="658" customWidth="1"/>
    <col min="14" max="16" width="16.59765625" style="655" customWidth="1"/>
    <col min="17" max="17" width="22" style="688" customWidth="1"/>
    <col min="18" max="18" width="16" style="655" customWidth="1"/>
    <col min="19" max="16384" width="8" style="655"/>
  </cols>
  <sheetData>
    <row r="1" spans="2:18" ht="31.5" customHeight="1" x14ac:dyDescent="0.7">
      <c r="B1" s="1501" t="s">
        <v>1165</v>
      </c>
      <c r="C1" s="1501"/>
      <c r="D1" s="1501"/>
      <c r="E1" s="1501"/>
      <c r="F1" s="1501"/>
      <c r="G1" s="1501"/>
      <c r="H1" s="1501"/>
      <c r="I1" s="1501"/>
      <c r="J1" s="1501"/>
      <c r="K1" s="1501"/>
      <c r="L1" s="1501"/>
      <c r="M1" s="1501"/>
      <c r="N1" s="1501"/>
      <c r="O1" s="1501"/>
      <c r="P1" s="1501"/>
    </row>
    <row r="2" spans="2:18" ht="13.5" customHeight="1" x14ac:dyDescent="0.7">
      <c r="B2" s="656"/>
      <c r="C2" s="656"/>
      <c r="D2" s="656"/>
      <c r="E2" s="657"/>
      <c r="F2" s="657"/>
      <c r="G2" s="657"/>
      <c r="H2" s="657"/>
      <c r="I2" s="657"/>
      <c r="J2" s="657"/>
    </row>
    <row r="3" spans="2:18" ht="22.5" customHeight="1" x14ac:dyDescent="0.7">
      <c r="B3" s="1516" t="s">
        <v>2</v>
      </c>
      <c r="C3" s="1507" t="s">
        <v>129</v>
      </c>
      <c r="D3" s="1507" t="s">
        <v>130</v>
      </c>
      <c r="E3" s="1507" t="s">
        <v>586</v>
      </c>
      <c r="F3" s="1507" t="s">
        <v>397</v>
      </c>
      <c r="G3" s="1507" t="s">
        <v>585</v>
      </c>
      <c r="H3" s="1509" t="s">
        <v>396</v>
      </c>
      <c r="I3" s="1510"/>
      <c r="J3" s="1511" t="s">
        <v>398</v>
      </c>
      <c r="K3" s="1512"/>
      <c r="L3" s="1503" t="s">
        <v>584</v>
      </c>
      <c r="M3" s="1503"/>
      <c r="N3" s="1520" t="s">
        <v>1141</v>
      </c>
      <c r="O3" s="1519" t="s">
        <v>1164</v>
      </c>
      <c r="P3" s="1518" t="s">
        <v>127</v>
      </c>
    </row>
    <row r="4" spans="2:18" ht="55.5" customHeight="1" x14ac:dyDescent="0.7">
      <c r="B4" s="1517"/>
      <c r="C4" s="1514"/>
      <c r="D4" s="1514"/>
      <c r="E4" s="1508"/>
      <c r="F4" s="1508"/>
      <c r="G4" s="1508"/>
      <c r="H4" s="659" t="s">
        <v>411</v>
      </c>
      <c r="I4" s="659" t="s">
        <v>412</v>
      </c>
      <c r="J4" s="659" t="s">
        <v>411</v>
      </c>
      <c r="K4" s="659" t="s">
        <v>412</v>
      </c>
      <c r="L4" s="659" t="s">
        <v>411</v>
      </c>
      <c r="M4" s="659" t="s">
        <v>412</v>
      </c>
      <c r="N4" s="1521"/>
      <c r="O4" s="1517"/>
      <c r="P4" s="1518"/>
      <c r="Q4" s="1076">
        <v>244256</v>
      </c>
    </row>
    <row r="5" spans="2:18" s="663" customFormat="1" ht="27" customHeight="1" x14ac:dyDescent="0.25">
      <c r="B5" s="1145" t="s">
        <v>131</v>
      </c>
      <c r="C5" s="661">
        <v>275565069.03000003</v>
      </c>
      <c r="D5" s="662">
        <v>222490537.03999999</v>
      </c>
      <c r="E5" s="662">
        <v>290000000</v>
      </c>
      <c r="F5" s="662">
        <v>317202709.10000002</v>
      </c>
      <c r="G5" s="662">
        <v>320000000</v>
      </c>
      <c r="H5" s="1146"/>
      <c r="I5" s="1146"/>
      <c r="J5" s="1170"/>
      <c r="K5" s="1171"/>
      <c r="L5" s="662"/>
      <c r="M5" s="1155"/>
      <c r="N5" s="662"/>
      <c r="O5" s="662"/>
      <c r="P5" s="662"/>
      <c r="Q5" s="689"/>
      <c r="R5" s="663" t="s">
        <v>1100</v>
      </c>
    </row>
    <row r="6" spans="2:18" s="663" customFormat="1" x14ac:dyDescent="0.25">
      <c r="B6" s="1147" t="s">
        <v>1096</v>
      </c>
      <c r="C6" s="1513">
        <v>122981852.74999999</v>
      </c>
      <c r="D6" s="1500">
        <v>122013651.94</v>
      </c>
      <c r="E6" s="664">
        <v>120000000</v>
      </c>
      <c r="F6" s="664">
        <v>80308337.230000004</v>
      </c>
      <c r="G6" s="665">
        <v>180000000</v>
      </c>
      <c r="H6" s="666"/>
      <c r="I6" s="666"/>
      <c r="J6" s="694"/>
      <c r="K6" s="1172"/>
      <c r="L6" s="665"/>
      <c r="M6" s="670"/>
      <c r="N6" s="665"/>
      <c r="O6" s="665"/>
      <c r="P6" s="665"/>
      <c r="Q6" s="689"/>
    </row>
    <row r="7" spans="2:18" s="663" customFormat="1" x14ac:dyDescent="0.25">
      <c r="B7" s="1147" t="s">
        <v>1099</v>
      </c>
      <c r="C7" s="1513"/>
      <c r="D7" s="1500"/>
      <c r="E7" s="664"/>
      <c r="F7" s="664"/>
      <c r="G7" s="665"/>
      <c r="H7" s="1154"/>
      <c r="I7" s="1154"/>
      <c r="J7" s="1173"/>
      <c r="K7" s="1173"/>
      <c r="L7" s="670"/>
      <c r="M7" s="670"/>
      <c r="N7" s="665"/>
      <c r="O7" s="665"/>
      <c r="P7" s="665"/>
    </row>
    <row r="8" spans="2:18" s="663" customFormat="1" x14ac:dyDescent="0.25">
      <c r="B8" s="667" t="s">
        <v>587</v>
      </c>
      <c r="C8" s="1513"/>
      <c r="D8" s="1500"/>
      <c r="E8" s="664"/>
      <c r="F8" s="664">
        <v>33519999.82</v>
      </c>
      <c r="G8" s="665">
        <v>40000000</v>
      </c>
      <c r="H8" s="666"/>
      <c r="I8" s="666"/>
      <c r="J8" s="694"/>
      <c r="K8" s="1172"/>
      <c r="L8" s="665"/>
      <c r="M8" s="670"/>
      <c r="N8" s="665"/>
      <c r="O8" s="665"/>
      <c r="P8" s="665"/>
      <c r="Q8" s="689"/>
    </row>
    <row r="9" spans="2:18" s="663" customFormat="1" x14ac:dyDescent="0.25">
      <c r="B9" s="667" t="s">
        <v>579</v>
      </c>
      <c r="C9" s="668"/>
      <c r="D9" s="665"/>
      <c r="E9" s="665"/>
      <c r="F9" s="665">
        <v>0</v>
      </c>
      <c r="G9" s="665"/>
      <c r="H9" s="1148"/>
      <c r="I9" s="698"/>
      <c r="J9" s="694"/>
      <c r="K9" s="1172"/>
      <c r="L9" s="665"/>
      <c r="M9" s="670"/>
      <c r="N9" s="665"/>
      <c r="O9" s="665"/>
      <c r="P9" s="665"/>
      <c r="Q9" s="689"/>
    </row>
    <row r="10" spans="2:18" s="663" customFormat="1" x14ac:dyDescent="0.25">
      <c r="B10" s="667" t="s">
        <v>132</v>
      </c>
      <c r="C10" s="668">
        <v>2595940</v>
      </c>
      <c r="D10" s="665">
        <v>2276789</v>
      </c>
      <c r="E10" s="665">
        <v>2000000</v>
      </c>
      <c r="F10" s="665">
        <v>2539830</v>
      </c>
      <c r="G10" s="665">
        <v>2800000</v>
      </c>
      <c r="H10" s="666"/>
      <c r="I10" s="698"/>
      <c r="J10" s="694"/>
      <c r="K10" s="1172"/>
      <c r="L10" s="665"/>
      <c r="M10" s="670"/>
      <c r="N10" s="665"/>
      <c r="O10" s="665"/>
      <c r="P10" s="665"/>
    </row>
    <row r="11" spans="2:18" s="663" customFormat="1" x14ac:dyDescent="0.25">
      <c r="B11" s="667" t="s">
        <v>133</v>
      </c>
      <c r="C11" s="668">
        <v>283395810.69</v>
      </c>
      <c r="D11" s="665">
        <v>275758702.74000001</v>
      </c>
      <c r="E11" s="665">
        <v>260000000</v>
      </c>
      <c r="F11" s="665">
        <v>273177015.36000001</v>
      </c>
      <c r="G11" s="665">
        <v>280000000</v>
      </c>
      <c r="H11" s="666"/>
      <c r="I11" s="666"/>
      <c r="J11" s="694"/>
      <c r="K11" s="694"/>
      <c r="L11" s="665"/>
      <c r="M11" s="670"/>
      <c r="N11" s="665"/>
      <c r="O11" s="665"/>
      <c r="P11" s="665"/>
      <c r="Q11" s="689" t="s">
        <v>1101</v>
      </c>
    </row>
    <row r="12" spans="2:18" s="663" customFormat="1" x14ac:dyDescent="0.25">
      <c r="B12" s="667" t="s">
        <v>134</v>
      </c>
      <c r="C12" s="668">
        <v>289802714.42000002</v>
      </c>
      <c r="D12" s="665">
        <v>292159612.86000001</v>
      </c>
      <c r="E12" s="665">
        <v>257000000</v>
      </c>
      <c r="F12" s="665">
        <v>331942909.73000002</v>
      </c>
      <c r="G12" s="665">
        <v>220000000</v>
      </c>
      <c r="H12" s="666"/>
      <c r="I12" s="698"/>
      <c r="J12" s="665"/>
      <c r="K12" s="669"/>
      <c r="L12" s="665"/>
      <c r="M12" s="670"/>
      <c r="N12" s="665"/>
      <c r="O12" s="665"/>
      <c r="P12" s="665"/>
      <c r="Q12" s="689">
        <v>300000000</v>
      </c>
      <c r="R12" s="660"/>
    </row>
    <row r="13" spans="2:18" s="708" customFormat="1" ht="49.2" x14ac:dyDescent="0.25">
      <c r="B13" s="1149" t="s">
        <v>1116</v>
      </c>
      <c r="C13" s="1150">
        <v>117687474.26000001</v>
      </c>
      <c r="D13" s="1151">
        <v>166136748.46000001</v>
      </c>
      <c r="E13" s="1151">
        <v>140000000</v>
      </c>
      <c r="F13" s="1151">
        <v>198543298.19</v>
      </c>
      <c r="G13" s="1151">
        <v>538000000</v>
      </c>
      <c r="H13" s="1152"/>
      <c r="I13" s="1152"/>
      <c r="J13" s="1151"/>
      <c r="K13" s="1151"/>
      <c r="L13" s="1151"/>
      <c r="M13" s="1151"/>
      <c r="N13" s="1151"/>
      <c r="O13" s="1151"/>
      <c r="P13" s="1151"/>
      <c r="Q13" s="1153"/>
    </row>
    <row r="14" spans="2:18" s="663" customFormat="1" ht="19.5" customHeight="1" x14ac:dyDescent="0.25">
      <c r="B14" s="667" t="s">
        <v>135</v>
      </c>
      <c r="C14" s="668">
        <v>393155882.16000003</v>
      </c>
      <c r="D14" s="665">
        <v>369285769.63</v>
      </c>
      <c r="E14" s="665">
        <v>300000000</v>
      </c>
      <c r="F14" s="665">
        <v>319777344.06999999</v>
      </c>
      <c r="G14" s="665">
        <v>385125843.01999998</v>
      </c>
      <c r="H14" s="666"/>
      <c r="I14" s="666"/>
      <c r="J14" s="665"/>
      <c r="K14" s="665"/>
      <c r="L14" s="665"/>
      <c r="M14" s="669"/>
      <c r="N14" s="665"/>
      <c r="O14" s="665"/>
      <c r="P14" s="665"/>
      <c r="Q14" s="689" t="s">
        <v>1152</v>
      </c>
      <c r="R14" s="663" t="s">
        <v>1102</v>
      </c>
    </row>
    <row r="15" spans="2:18" s="663" customFormat="1" ht="19.5" customHeight="1" x14ac:dyDescent="0.25">
      <c r="B15" s="667" t="s">
        <v>136</v>
      </c>
      <c r="C15" s="668">
        <v>48600771.059999987</v>
      </c>
      <c r="D15" s="665">
        <v>45977565.460000001</v>
      </c>
      <c r="E15" s="665">
        <v>37500000</v>
      </c>
      <c r="F15" s="665">
        <v>30901117.359999999</v>
      </c>
      <c r="G15" s="665">
        <v>25000000</v>
      </c>
      <c r="H15" s="666"/>
      <c r="I15" s="698"/>
      <c r="J15" s="665"/>
      <c r="K15" s="669"/>
      <c r="L15" s="665"/>
      <c r="M15" s="669"/>
      <c r="N15" s="665"/>
      <c r="O15" s="665"/>
      <c r="P15" s="665"/>
      <c r="Q15" s="689"/>
    </row>
    <row r="16" spans="2:18" s="708" customFormat="1" ht="49.2" x14ac:dyDescent="0.25">
      <c r="B16" s="1149" t="s">
        <v>1117</v>
      </c>
      <c r="C16" s="1150">
        <v>122182581.03</v>
      </c>
      <c r="D16" s="1151">
        <v>78226877.689999998</v>
      </c>
      <c r="E16" s="1151">
        <v>50000000</v>
      </c>
      <c r="F16" s="1151">
        <v>52237456.57</v>
      </c>
      <c r="G16" s="1151">
        <v>52000000</v>
      </c>
      <c r="H16" s="1152"/>
      <c r="I16" s="1373"/>
      <c r="J16" s="1151"/>
      <c r="K16" s="1374"/>
      <c r="L16" s="1151"/>
      <c r="M16" s="1374"/>
      <c r="N16" s="1151"/>
      <c r="O16" s="1151"/>
      <c r="P16" s="1151"/>
      <c r="Q16" s="1153" t="s">
        <v>1103</v>
      </c>
    </row>
    <row r="17" spans="2:17" s="663" customFormat="1" ht="26.25" customHeight="1" x14ac:dyDescent="0.25">
      <c r="B17" s="667" t="s">
        <v>137</v>
      </c>
      <c r="C17" s="668">
        <v>424009.91</v>
      </c>
      <c r="D17" s="665">
        <v>374208.25</v>
      </c>
      <c r="E17" s="665">
        <v>300000</v>
      </c>
      <c r="F17" s="665">
        <v>365997.15</v>
      </c>
      <c r="G17" s="665">
        <v>350000</v>
      </c>
      <c r="H17" s="666"/>
      <c r="I17" s="698"/>
      <c r="J17" s="665"/>
      <c r="K17" s="669"/>
      <c r="L17" s="665"/>
      <c r="M17" s="669"/>
      <c r="N17" s="665"/>
      <c r="O17" s="665"/>
      <c r="P17" s="665"/>
      <c r="Q17" s="689"/>
    </row>
    <row r="18" spans="2:17" s="708" customFormat="1" ht="23.25" customHeight="1" x14ac:dyDescent="0.25">
      <c r="B18" s="1256" t="s">
        <v>138</v>
      </c>
      <c r="C18" s="1150">
        <v>21853803.41</v>
      </c>
      <c r="D18" s="1151">
        <v>20101135.34</v>
      </c>
      <c r="E18" s="1151">
        <v>19207318.109999999</v>
      </c>
      <c r="F18" s="1151">
        <v>19207318.109999999</v>
      </c>
      <c r="G18" s="1151">
        <v>19448683.25</v>
      </c>
      <c r="H18" s="1152"/>
      <c r="I18" s="1373"/>
      <c r="J18" s="1151"/>
      <c r="K18" s="1374"/>
      <c r="L18" s="1151"/>
      <c r="M18" s="1374"/>
      <c r="N18" s="1151"/>
      <c r="O18" s="1374"/>
      <c r="P18" s="1456"/>
      <c r="Q18" s="1457" t="s">
        <v>1151</v>
      </c>
    </row>
    <row r="19" spans="2:17" s="708" customFormat="1" ht="45.75" customHeight="1" x14ac:dyDescent="0.25">
      <c r="B19" s="1149" t="s">
        <v>1181</v>
      </c>
      <c r="C19" s="1150">
        <v>22213083.209999997</v>
      </c>
      <c r="D19" s="1151">
        <v>30480312.800000001</v>
      </c>
      <c r="E19" s="1151">
        <v>22000000</v>
      </c>
      <c r="F19" s="1151">
        <v>20906672.210000001</v>
      </c>
      <c r="G19" s="1151">
        <v>20000000</v>
      </c>
      <c r="H19" s="1152"/>
      <c r="I19" s="1373"/>
      <c r="J19" s="1151"/>
      <c r="K19" s="1374"/>
      <c r="L19" s="1151"/>
      <c r="M19" s="1374"/>
      <c r="N19" s="1151"/>
      <c r="O19" s="1151"/>
      <c r="P19" s="1151"/>
      <c r="Q19" s="1153"/>
    </row>
    <row r="20" spans="2:17" s="708" customFormat="1" ht="19.5" customHeight="1" x14ac:dyDescent="0.25">
      <c r="B20" s="1375" t="s">
        <v>139</v>
      </c>
      <c r="C20" s="1376" t="s">
        <v>140</v>
      </c>
      <c r="D20" s="1376" t="s">
        <v>140</v>
      </c>
      <c r="E20" s="1376"/>
      <c r="F20" s="1376" t="s">
        <v>140</v>
      </c>
      <c r="G20" s="1376" t="s">
        <v>140</v>
      </c>
      <c r="H20" s="1377"/>
      <c r="I20" s="1378"/>
      <c r="J20" s="1379"/>
      <c r="K20" s="1380"/>
      <c r="L20" s="1381"/>
      <c r="M20" s="1380"/>
      <c r="N20" s="1379"/>
      <c r="O20" s="1379"/>
      <c r="P20" s="1382"/>
      <c r="Q20" s="1153"/>
    </row>
    <row r="21" spans="2:17" s="673" customFormat="1" ht="26.25" customHeight="1" x14ac:dyDescent="0.25">
      <c r="B21" s="702" t="s">
        <v>141</v>
      </c>
      <c r="C21" s="703">
        <f>SUM(C5:C19)</f>
        <v>1700458991.9300003</v>
      </c>
      <c r="D21" s="677">
        <f>SUM(D5:D19)</f>
        <v>1625281911.21</v>
      </c>
      <c r="E21" s="677">
        <f>SUM(E5:E20)</f>
        <v>1498007318.1099999</v>
      </c>
      <c r="F21" s="677">
        <f>SUM(F5:F19)</f>
        <v>1680630004.8999999</v>
      </c>
      <c r="G21" s="672">
        <f>SUM(G5:G19)</f>
        <v>2082724526.27</v>
      </c>
      <c r="H21" s="677">
        <f>SUM(H5:H20)</f>
        <v>0</v>
      </c>
      <c r="I21" s="677">
        <f>SUM(I5:I19)</f>
        <v>0</v>
      </c>
      <c r="J21" s="677">
        <f t="shared" ref="J21:M21" si="0">SUM(J5:J20)</f>
        <v>0</v>
      </c>
      <c r="K21" s="677">
        <f t="shared" si="0"/>
        <v>0</v>
      </c>
      <c r="L21" s="677">
        <f>SUM(L5:L20)</f>
        <v>0</v>
      </c>
      <c r="M21" s="677">
        <f t="shared" si="0"/>
        <v>0</v>
      </c>
      <c r="N21" s="672">
        <f>SUM(N5:N20)</f>
        <v>0</v>
      </c>
      <c r="O21" s="1070"/>
      <c r="P21" s="1070"/>
      <c r="Q21" s="690"/>
    </row>
    <row r="22" spans="2:17" s="673" customFormat="1" ht="26.25" customHeight="1" x14ac:dyDescent="0.25">
      <c r="B22" s="674" t="s">
        <v>1094</v>
      </c>
      <c r="C22" s="675"/>
      <c r="D22" s="676"/>
      <c r="E22" s="676"/>
      <c r="F22" s="676"/>
      <c r="G22" s="676"/>
      <c r="H22" s="1504">
        <f>+H21+I21</f>
        <v>0</v>
      </c>
      <c r="I22" s="1505"/>
      <c r="J22" s="1506">
        <f>+J21+K21</f>
        <v>0</v>
      </c>
      <c r="K22" s="1506"/>
      <c r="L22" s="1506">
        <f>+L21+M21</f>
        <v>0</v>
      </c>
      <c r="M22" s="1506"/>
      <c r="N22" s="678">
        <f>+N21-N20</f>
        <v>0</v>
      </c>
      <c r="O22" s="691"/>
      <c r="P22" s="691"/>
      <c r="Q22" s="690"/>
    </row>
    <row r="23" spans="2:17" s="673" customFormat="1" ht="26.25" customHeight="1" x14ac:dyDescent="0.25">
      <c r="B23" s="679"/>
      <c r="C23" s="680"/>
      <c r="D23" s="681"/>
      <c r="E23" s="681">
        <v>64</v>
      </c>
      <c r="F23" s="681">
        <f>+F21/E21*100</f>
        <v>112.19104103045443</v>
      </c>
      <c r="G23" s="681"/>
      <c r="H23" s="1515">
        <f>+H21+I21</f>
        <v>0</v>
      </c>
      <c r="I23" s="1515"/>
      <c r="J23" s="1515">
        <f>+J21+K21</f>
        <v>0</v>
      </c>
      <c r="K23" s="1515"/>
      <c r="L23" s="1515">
        <f>+L21+M21</f>
        <v>0</v>
      </c>
      <c r="M23" s="1515"/>
      <c r="N23" s="673" t="s">
        <v>1135</v>
      </c>
      <c r="O23" s="1178"/>
      <c r="P23" s="1178"/>
      <c r="Q23" s="690"/>
    </row>
    <row r="24" spans="2:17" s="673" customFormat="1" ht="26.25" customHeight="1" x14ac:dyDescent="0.25">
      <c r="B24" s="679"/>
      <c r="C24" s="680"/>
      <c r="D24" s="681"/>
      <c r="E24" s="681">
        <v>65</v>
      </c>
      <c r="F24" s="681">
        <f>+H21/G21*100</f>
        <v>0</v>
      </c>
      <c r="G24" s="681"/>
      <c r="H24" s="681"/>
      <c r="I24" s="681"/>
      <c r="J24" s="681"/>
      <c r="K24" s="681"/>
      <c r="L24" s="681"/>
      <c r="M24" s="681"/>
      <c r="N24" s="682" t="s">
        <v>1134</v>
      </c>
      <c r="O24" s="1179"/>
      <c r="P24" s="1179"/>
      <c r="Q24" s="690"/>
    </row>
    <row r="25" spans="2:17" s="673" customFormat="1" ht="35.25" customHeight="1" x14ac:dyDescent="0.25">
      <c r="B25" s="679"/>
      <c r="C25" s="680"/>
      <c r="D25" s="681"/>
      <c r="E25" s="681">
        <v>66</v>
      </c>
      <c r="F25" s="681" t="e">
        <f>+J21/#REF!*100</f>
        <v>#REF!</v>
      </c>
      <c r="G25" s="681"/>
      <c r="H25" s="681"/>
      <c r="I25" s="681"/>
      <c r="J25" s="681"/>
      <c r="K25" s="681"/>
      <c r="L25" s="681"/>
      <c r="M25" s="681"/>
      <c r="Q25" s="690"/>
    </row>
    <row r="26" spans="2:17" x14ac:dyDescent="0.7">
      <c r="B26" s="657"/>
      <c r="C26" s="657"/>
      <c r="D26" s="683"/>
      <c r="E26" s="683">
        <v>67</v>
      </c>
      <c r="F26" s="683" t="e">
        <f>+L21/#REF!*100</f>
        <v>#REF!</v>
      </c>
      <c r="G26" s="683"/>
      <c r="H26" s="683"/>
      <c r="I26" s="683"/>
      <c r="J26" s="683"/>
    </row>
    <row r="27" spans="2:17" ht="26.25" customHeight="1" x14ac:dyDescent="0.7">
      <c r="C27" s="1502"/>
      <c r="D27" s="1502"/>
      <c r="E27" s="684"/>
      <c r="F27" s="685"/>
      <c r="G27" s="685"/>
      <c r="H27" s="685"/>
      <c r="I27" s="685"/>
      <c r="J27" s="685"/>
      <c r="K27" s="686"/>
      <c r="L27" s="686"/>
    </row>
    <row r="28" spans="2:17" ht="26.25" customHeight="1" x14ac:dyDescent="0.7">
      <c r="K28" s="687"/>
      <c r="L28" s="687"/>
      <c r="M28" s="687"/>
    </row>
  </sheetData>
  <mergeCells count="22">
    <mergeCell ref="L22:M22"/>
    <mergeCell ref="B3:B4"/>
    <mergeCell ref="G3:G4"/>
    <mergeCell ref="P3:P4"/>
    <mergeCell ref="O3:O4"/>
    <mergeCell ref="N3:N4"/>
    <mergeCell ref="D6:D8"/>
    <mergeCell ref="B1:P1"/>
    <mergeCell ref="C27:D27"/>
    <mergeCell ref="L3:M3"/>
    <mergeCell ref="H22:I22"/>
    <mergeCell ref="J22:K22"/>
    <mergeCell ref="E3:E4"/>
    <mergeCell ref="H3:I3"/>
    <mergeCell ref="J3:K3"/>
    <mergeCell ref="C6:C8"/>
    <mergeCell ref="C3:C4"/>
    <mergeCell ref="D3:D4"/>
    <mergeCell ref="F3:F4"/>
    <mergeCell ref="L23:M23"/>
    <mergeCell ref="H23:I23"/>
    <mergeCell ref="J23:K23"/>
  </mergeCells>
  <pageMargins left="0.27559055118110237" right="0.19685039370078741" top="0.59055118110236227" bottom="0.35433070866141736" header="0.23622047244094491" footer="0.15748031496062992"/>
  <pageSetup paperSize="9" scale="65" firstPageNumber="12" orientation="landscape" useFirstPageNumber="1" horizontalDpi="4294967293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B1:L47"/>
  <sheetViews>
    <sheetView view="pageBreakPreview" topLeftCell="A7" zoomScale="110" zoomScaleNormal="170" zoomScaleSheetLayoutView="110" workbookViewId="0">
      <selection activeCell="I15" sqref="I15"/>
    </sheetView>
  </sheetViews>
  <sheetFormatPr defaultColWidth="8" defaultRowHeight="24.6" x14ac:dyDescent="0.7"/>
  <cols>
    <col min="1" max="1" width="3" style="655" customWidth="1"/>
    <col min="2" max="2" width="27" style="655" bestFit="1" customWidth="1"/>
    <col min="3" max="3" width="19.8984375" style="655" bestFit="1" customWidth="1"/>
    <col min="4" max="4" width="19.69921875" style="655" bestFit="1" customWidth="1"/>
    <col min="5" max="5" width="19.8984375" style="655" bestFit="1" customWidth="1"/>
    <col min="6" max="6" width="23.59765625" style="655" customWidth="1"/>
    <col min="7" max="7" width="17.8984375" style="655" hidden="1" customWidth="1"/>
    <col min="8" max="8" width="9.59765625" style="655" hidden="1" customWidth="1"/>
    <col min="9" max="9" width="29.3984375" style="655" customWidth="1"/>
    <col min="10" max="10" width="36.3984375" style="655" customWidth="1"/>
    <col min="11" max="11" width="18.09765625" style="655" bestFit="1" customWidth="1"/>
    <col min="12" max="12" width="10.3984375" style="655" customWidth="1"/>
    <col min="13" max="14" width="8" style="655"/>
    <col min="15" max="15" width="9" style="655" customWidth="1"/>
    <col min="16" max="16384" width="8" style="655"/>
  </cols>
  <sheetData>
    <row r="1" spans="2:12" ht="32.25" customHeight="1" x14ac:dyDescent="0.7">
      <c r="B1" s="1501" t="s">
        <v>1166</v>
      </c>
      <c r="C1" s="1501"/>
      <c r="D1" s="1501"/>
      <c r="E1" s="1501"/>
      <c r="F1" s="1501"/>
      <c r="G1" s="1501"/>
      <c r="H1" s="1501"/>
      <c r="I1" s="1501"/>
      <c r="J1" s="1180"/>
      <c r="K1" s="1180"/>
    </row>
    <row r="2" spans="2:12" ht="12" customHeight="1" x14ac:dyDescent="0.7">
      <c r="B2" s="657"/>
    </row>
    <row r="3" spans="2:12" ht="21.75" customHeight="1" x14ac:dyDescent="0.7">
      <c r="B3" s="1526" t="s">
        <v>2</v>
      </c>
      <c r="C3" s="1524" t="s">
        <v>426</v>
      </c>
      <c r="D3" s="1522" t="s">
        <v>1095</v>
      </c>
      <c r="E3" s="1524" t="s">
        <v>1150</v>
      </c>
      <c r="F3" s="1524" t="s">
        <v>1177</v>
      </c>
      <c r="G3" s="1524" t="s">
        <v>1175</v>
      </c>
      <c r="H3" s="1524" t="s">
        <v>1176</v>
      </c>
      <c r="I3" s="1524" t="s">
        <v>127</v>
      </c>
    </row>
    <row r="4" spans="2:12" ht="64.5" customHeight="1" x14ac:dyDescent="0.7">
      <c r="B4" s="1527"/>
      <c r="C4" s="1525"/>
      <c r="D4" s="1523"/>
      <c r="E4" s="1525"/>
      <c r="F4" s="1525"/>
      <c r="G4" s="1525"/>
      <c r="H4" s="1525"/>
      <c r="I4" s="1525"/>
    </row>
    <row r="5" spans="2:12" s="663" customFormat="1" ht="27" customHeight="1" x14ac:dyDescent="0.25">
      <c r="B5" s="1432" t="s">
        <v>577</v>
      </c>
      <c r="C5" s="692"/>
      <c r="D5" s="1433"/>
      <c r="E5" s="1434"/>
      <c r="F5" s="1434"/>
      <c r="G5" s="1434"/>
      <c r="H5" s="1434"/>
      <c r="I5" s="1434"/>
      <c r="K5" s="660" t="e">
        <f>+(D5-#REF!)*100/#REF!</f>
        <v>#REF!</v>
      </c>
      <c r="L5" s="660" t="e">
        <f>+(#REF!-D5)*100/D5</f>
        <v>#REF!</v>
      </c>
    </row>
    <row r="6" spans="2:12" s="663" customFormat="1" ht="27" customHeight="1" x14ac:dyDescent="0.25">
      <c r="B6" s="693" t="s">
        <v>142</v>
      </c>
      <c r="C6" s="665"/>
      <c r="D6" s="694"/>
      <c r="E6" s="666"/>
      <c r="F6" s="665"/>
      <c r="G6" s="666"/>
      <c r="H6" s="666"/>
      <c r="I6" s="666"/>
      <c r="K6" s="660" t="e">
        <f>+(D6-#REF!)*100/#REF!</f>
        <v>#REF!</v>
      </c>
      <c r="L6" s="660" t="e">
        <f>+(#REF!-D6)*100/D6</f>
        <v>#REF!</v>
      </c>
    </row>
    <row r="7" spans="2:12" s="663" customFormat="1" ht="27" customHeight="1" x14ac:dyDescent="0.25">
      <c r="B7" s="693" t="s">
        <v>43</v>
      </c>
      <c r="C7" s="665"/>
      <c r="D7" s="694"/>
      <c r="E7" s="666"/>
      <c r="F7" s="665"/>
      <c r="G7" s="666"/>
      <c r="H7" s="666"/>
      <c r="I7" s="666"/>
      <c r="K7" s="660" t="e">
        <f>+(D7-#REF!)*100/#REF!</f>
        <v>#REF!</v>
      </c>
      <c r="L7" s="660" t="e">
        <f>+(#REF!-D7)*100/D7</f>
        <v>#REF!</v>
      </c>
    </row>
    <row r="8" spans="2:12" s="663" customFormat="1" ht="27" customHeight="1" x14ac:dyDescent="0.25">
      <c r="B8" s="695" t="s">
        <v>143</v>
      </c>
      <c r="C8" s="665"/>
      <c r="D8" s="694"/>
      <c r="E8" s="666"/>
      <c r="F8" s="665"/>
      <c r="G8" s="666"/>
      <c r="H8" s="666"/>
      <c r="I8" s="666"/>
      <c r="K8" s="660" t="e">
        <f>+(D8-#REF!)*100/#REF!</f>
        <v>#REF!</v>
      </c>
      <c r="L8" s="660" t="e">
        <f>+(#REF!-D8)*100/D8</f>
        <v>#REF!</v>
      </c>
    </row>
    <row r="9" spans="2:12" s="663" customFormat="1" ht="27" customHeight="1" x14ac:dyDescent="0.25">
      <c r="B9" s="695" t="s">
        <v>144</v>
      </c>
      <c r="C9" s="665"/>
      <c r="D9" s="694"/>
      <c r="E9" s="666"/>
      <c r="F9" s="665"/>
      <c r="G9" s="666"/>
      <c r="H9" s="666"/>
      <c r="I9" s="666"/>
      <c r="K9" s="660" t="e">
        <f>+(D9-#REF!)*100/#REF!</f>
        <v>#REF!</v>
      </c>
      <c r="L9" s="660" t="e">
        <f>+(#REF!-D9)*100/D9</f>
        <v>#REF!</v>
      </c>
    </row>
    <row r="10" spans="2:12" s="663" customFormat="1" ht="27" customHeight="1" x14ac:dyDescent="0.25">
      <c r="B10" s="695" t="s">
        <v>145</v>
      </c>
      <c r="C10" s="665"/>
      <c r="D10" s="696"/>
      <c r="E10" s="666"/>
      <c r="F10" s="665"/>
      <c r="G10" s="666"/>
      <c r="H10" s="666"/>
      <c r="I10" s="666"/>
      <c r="K10" s="660" t="e">
        <f>+(D10-#REF!)*100/#REF!</f>
        <v>#REF!</v>
      </c>
      <c r="L10" s="660" t="e">
        <f>+(#REF!-D10)*100/D10</f>
        <v>#REF!</v>
      </c>
    </row>
    <row r="11" spans="2:12" s="663" customFormat="1" ht="25.5" customHeight="1" x14ac:dyDescent="0.25">
      <c r="B11" s="667" t="s">
        <v>45</v>
      </c>
      <c r="C11" s="697"/>
      <c r="D11" s="669"/>
      <c r="E11" s="666"/>
      <c r="F11" s="665"/>
      <c r="G11" s="666"/>
      <c r="H11" s="666"/>
      <c r="I11" s="666"/>
      <c r="J11" s="1257" t="s">
        <v>1153</v>
      </c>
      <c r="K11" s="660" t="e">
        <f>+(D11-#REF!)*100/#REF!</f>
        <v>#REF!</v>
      </c>
      <c r="L11" s="660" t="e">
        <f>+(#REF!-D11)*100/D11</f>
        <v>#REF!</v>
      </c>
    </row>
    <row r="12" spans="2:12" s="663" customFormat="1" ht="27" customHeight="1" x14ac:dyDescent="0.25">
      <c r="B12" s="695" t="s">
        <v>146</v>
      </c>
      <c r="C12" s="665"/>
      <c r="D12" s="665"/>
      <c r="E12" s="666"/>
      <c r="F12" s="665"/>
      <c r="G12" s="666"/>
      <c r="H12" s="666"/>
      <c r="I12" s="666"/>
      <c r="K12" s="660" t="e">
        <f>+(D12-#REF!)*100/#REF!</f>
        <v>#REF!</v>
      </c>
      <c r="L12" s="660" t="e">
        <f>+(#REF!-D12)*100/D12</f>
        <v>#REF!</v>
      </c>
    </row>
    <row r="13" spans="2:12" s="708" customFormat="1" ht="48" customHeight="1" x14ac:dyDescent="0.25">
      <c r="B13" s="1256" t="s">
        <v>1148</v>
      </c>
      <c r="C13" s="1151"/>
      <c r="D13" s="1151"/>
      <c r="E13" s="1152"/>
      <c r="F13" s="1151"/>
      <c r="G13" s="1152"/>
      <c r="H13" s="1152"/>
      <c r="I13" s="1428"/>
      <c r="J13" s="1258" t="s">
        <v>1147</v>
      </c>
      <c r="K13" s="709" t="e">
        <f>+(D13-#REF!)*100/#REF!</f>
        <v>#REF!</v>
      </c>
      <c r="L13" s="709" t="e">
        <f>+(#REF!-D13)*100/D13</f>
        <v>#REF!</v>
      </c>
    </row>
    <row r="14" spans="2:12" s="663" customFormat="1" ht="27" customHeight="1" x14ac:dyDescent="0.25">
      <c r="B14" s="667" t="s">
        <v>1149</v>
      </c>
      <c r="C14" s="665"/>
      <c r="D14" s="697"/>
      <c r="E14" s="699"/>
      <c r="F14" s="669"/>
      <c r="G14" s="666"/>
      <c r="H14" s="666"/>
      <c r="I14" s="666"/>
      <c r="K14" s="660" t="e">
        <f>+(D14-#REF!)*100/#REF!</f>
        <v>#REF!</v>
      </c>
      <c r="L14" s="660" t="e">
        <f>+(#REF!-D14)*100/D14</f>
        <v>#REF!</v>
      </c>
    </row>
    <row r="15" spans="2:12" s="663" customFormat="1" ht="27" customHeight="1" x14ac:dyDescent="0.25">
      <c r="B15" s="667" t="str">
        <f>+รายละเอียดรายจ่าย!B200</f>
        <v>งบบริหารจัดการแรงงานต่างด้าว</v>
      </c>
      <c r="C15" s="697"/>
      <c r="D15" s="697"/>
      <c r="E15" s="699"/>
      <c r="F15" s="669"/>
      <c r="G15" s="666"/>
      <c r="H15" s="666"/>
      <c r="I15" s="666"/>
      <c r="K15" s="660" t="e">
        <f>+(D15-#REF!)*100/#REF!</f>
        <v>#REF!</v>
      </c>
      <c r="L15" s="660" t="e">
        <f>+(#REF!-D15)*100/D15</f>
        <v>#REF!</v>
      </c>
    </row>
    <row r="16" spans="2:12" s="663" customFormat="1" ht="27" customHeight="1" x14ac:dyDescent="0.25">
      <c r="B16" s="1329" t="s">
        <v>147</v>
      </c>
      <c r="C16" s="700"/>
      <c r="D16" s="700"/>
      <c r="E16" s="701"/>
      <c r="F16" s="1156"/>
      <c r="G16" s="671"/>
      <c r="H16" s="671"/>
      <c r="I16" s="671"/>
      <c r="K16" s="660" t="e">
        <f>+(D16-#REF!)*100/#REF!</f>
        <v>#REF!</v>
      </c>
      <c r="L16" s="660" t="e">
        <f>+(#REF!-D16)*100/D16</f>
        <v>#REF!</v>
      </c>
    </row>
    <row r="17" spans="2:9" s="705" customFormat="1" ht="27" customHeight="1" x14ac:dyDescent="0.25">
      <c r="B17" s="1429" t="s">
        <v>3</v>
      </c>
      <c r="C17" s="1430"/>
      <c r="D17" s="1430"/>
      <c r="E17" s="704"/>
      <c r="F17" s="704"/>
      <c r="G17" s="704"/>
      <c r="H17" s="704"/>
      <c r="I17" s="1431"/>
    </row>
    <row r="18" spans="2:9" x14ac:dyDescent="0.7">
      <c r="E18" s="706"/>
      <c r="F18" s="1383"/>
      <c r="G18" s="1372"/>
      <c r="H18" s="1372"/>
      <c r="I18" s="1372"/>
    </row>
    <row r="19" spans="2:9" x14ac:dyDescent="0.7">
      <c r="B19" s="655">
        <v>64</v>
      </c>
      <c r="E19" s="706"/>
      <c r="F19" s="706"/>
      <c r="G19" s="706"/>
      <c r="H19" s="706"/>
      <c r="I19" s="706"/>
    </row>
    <row r="20" spans="2:9" s="708" customFormat="1" ht="38.4" customHeight="1" x14ac:dyDescent="0.25">
      <c r="B20" s="707">
        <v>65</v>
      </c>
      <c r="D20" s="709"/>
      <c r="E20" s="710"/>
      <c r="F20" s="710"/>
      <c r="G20" s="710"/>
      <c r="H20" s="710"/>
      <c r="I20" s="710"/>
    </row>
    <row r="21" spans="2:9" ht="26.25" customHeight="1" x14ac:dyDescent="0.7">
      <c r="B21" s="655">
        <v>66</v>
      </c>
    </row>
    <row r="22" spans="2:9" ht="26.25" customHeight="1" x14ac:dyDescent="0.7">
      <c r="B22" s="655">
        <v>67</v>
      </c>
      <c r="C22" s="706"/>
      <c r="D22" s="706"/>
      <c r="E22" s="706"/>
      <c r="F22" s="706"/>
      <c r="G22" s="706"/>
      <c r="H22" s="706"/>
      <c r="I22" s="706"/>
    </row>
    <row r="23" spans="2:9" x14ac:dyDescent="0.7">
      <c r="D23" s="706"/>
    </row>
    <row r="43" spans="5:9" x14ac:dyDescent="0.7">
      <c r="E43" s="711"/>
      <c r="F43" s="711"/>
      <c r="G43" s="711"/>
      <c r="H43" s="711"/>
      <c r="I43" s="711"/>
    </row>
    <row r="44" spans="5:9" x14ac:dyDescent="0.7">
      <c r="E44" s="711"/>
      <c r="F44" s="711"/>
      <c r="G44" s="711"/>
      <c r="H44" s="711"/>
      <c r="I44" s="711"/>
    </row>
    <row r="45" spans="5:9" x14ac:dyDescent="0.7">
      <c r="E45" s="711"/>
      <c r="F45" s="711"/>
      <c r="G45" s="711"/>
      <c r="H45" s="711"/>
      <c r="I45" s="711"/>
    </row>
    <row r="46" spans="5:9" x14ac:dyDescent="0.7">
      <c r="E46" s="711"/>
      <c r="F46" s="711"/>
      <c r="G46" s="711"/>
      <c r="H46" s="711"/>
      <c r="I46" s="711"/>
    </row>
    <row r="47" spans="5:9" x14ac:dyDescent="0.7">
      <c r="E47" s="711"/>
      <c r="F47" s="711"/>
      <c r="G47" s="711"/>
      <c r="H47" s="711"/>
      <c r="I47" s="711"/>
    </row>
  </sheetData>
  <mergeCells count="9">
    <mergeCell ref="D3:D4"/>
    <mergeCell ref="C3:C4"/>
    <mergeCell ref="I3:I4"/>
    <mergeCell ref="B1:I1"/>
    <mergeCell ref="G3:G4"/>
    <mergeCell ref="H3:H4"/>
    <mergeCell ref="E3:E4"/>
    <mergeCell ref="F3:F4"/>
    <mergeCell ref="B3:B4"/>
  </mergeCells>
  <pageMargins left="0.11811023622047245" right="0.19685039370078741" top="0.78740157480314965" bottom="0.47244094488188981" header="0.31496062992125984" footer="0.11811023622047245"/>
  <pageSetup paperSize="9" scale="90" firstPageNumber="13" orientation="landscape" useFirstPageNumber="1" horizontalDpi="4294967293" r:id="rId1"/>
  <headerFooter>
    <oddFooter>&amp;C&amp;14&amp;P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M1181"/>
  <sheetViews>
    <sheetView topLeftCell="A262" zoomScale="110" zoomScaleNormal="110" zoomScaleSheetLayoutView="80" workbookViewId="0">
      <selection activeCell="B223" sqref="B223"/>
    </sheetView>
  </sheetViews>
  <sheetFormatPr defaultColWidth="11" defaultRowHeight="15.75" customHeight="1" x14ac:dyDescent="0.25"/>
  <cols>
    <col min="1" max="1" width="7.296875" style="112" customWidth="1"/>
    <col min="2" max="2" width="74.296875" style="112" customWidth="1"/>
    <col min="3" max="3" width="7.69921875" style="267" customWidth="1"/>
    <col min="4" max="4" width="15" style="113" customWidth="1"/>
    <col min="5" max="5" width="16.09765625" style="317" customWidth="1"/>
    <col min="6" max="6" width="29.3984375" style="112" customWidth="1"/>
    <col min="7" max="7" width="16.8984375" style="112" customWidth="1"/>
    <col min="8" max="8" width="36.3984375" style="112" customWidth="1"/>
    <col min="9" max="9" width="13.69921875" style="116" customWidth="1"/>
    <col min="10" max="16384" width="11" style="112"/>
  </cols>
  <sheetData>
    <row r="1" spans="1:13" ht="35.25" customHeight="1" x14ac:dyDescent="0.25">
      <c r="A1" s="1532" t="s">
        <v>607</v>
      </c>
      <c r="B1" s="1532"/>
      <c r="C1" s="1532"/>
      <c r="D1" s="1532"/>
      <c r="E1" s="1532"/>
      <c r="F1" s="1532"/>
      <c r="G1" s="1532"/>
      <c r="H1" s="1532"/>
    </row>
    <row r="2" spans="1:13" ht="66.75" customHeight="1" x14ac:dyDescent="0.25">
      <c r="A2" s="157" t="s">
        <v>1</v>
      </c>
      <c r="B2" s="157" t="s">
        <v>2</v>
      </c>
      <c r="C2" s="157" t="s">
        <v>291</v>
      </c>
      <c r="D2" s="157" t="s">
        <v>292</v>
      </c>
      <c r="E2" s="349" t="s">
        <v>293</v>
      </c>
      <c r="F2" s="157" t="s">
        <v>294</v>
      </c>
      <c r="G2" s="157" t="s">
        <v>608</v>
      </c>
      <c r="H2" s="157" t="s">
        <v>127</v>
      </c>
    </row>
    <row r="3" spans="1:13" ht="24" customHeight="1" x14ac:dyDescent="0.25">
      <c r="A3" s="148">
        <v>1</v>
      </c>
      <c r="B3" s="147" t="s">
        <v>550</v>
      </c>
      <c r="C3" s="148">
        <v>1</v>
      </c>
      <c r="D3" s="175">
        <v>2247000</v>
      </c>
      <c r="E3" s="175">
        <f t="shared" ref="E3:E109" si="0">C3*D3</f>
        <v>2247000</v>
      </c>
      <c r="F3" s="147" t="s">
        <v>318</v>
      </c>
      <c r="G3" s="147" t="s">
        <v>369</v>
      </c>
      <c r="H3" s="178" t="s">
        <v>317</v>
      </c>
      <c r="I3" s="427"/>
      <c r="J3" s="108" t="s">
        <v>934</v>
      </c>
      <c r="K3" s="108"/>
      <c r="L3" s="108"/>
      <c r="M3" s="108"/>
    </row>
    <row r="4" spans="1:13" ht="24" customHeight="1" x14ac:dyDescent="0.25">
      <c r="A4" s="148">
        <v>2</v>
      </c>
      <c r="B4" s="139" t="s">
        <v>346</v>
      </c>
      <c r="C4" s="141">
        <v>1</v>
      </c>
      <c r="D4" s="149">
        <v>2200000</v>
      </c>
      <c r="E4" s="175">
        <f t="shared" si="0"/>
        <v>2200000</v>
      </c>
      <c r="F4" s="146" t="s">
        <v>327</v>
      </c>
      <c r="G4" s="147" t="s">
        <v>369</v>
      </c>
      <c r="H4" s="178" t="s">
        <v>317</v>
      </c>
      <c r="I4" s="231"/>
      <c r="J4" s="108" t="s">
        <v>934</v>
      </c>
      <c r="K4" s="108"/>
      <c r="L4" s="108"/>
      <c r="M4" s="108"/>
    </row>
    <row r="5" spans="1:13" ht="24" customHeight="1" x14ac:dyDescent="0.25">
      <c r="A5" s="148">
        <v>3</v>
      </c>
      <c r="B5" s="139" t="s">
        <v>349</v>
      </c>
      <c r="C5" s="141">
        <v>1</v>
      </c>
      <c r="D5" s="149">
        <v>1760000</v>
      </c>
      <c r="E5" s="175">
        <f>C5*D5</f>
        <v>1760000</v>
      </c>
      <c r="F5" s="146" t="s">
        <v>327</v>
      </c>
      <c r="G5" s="146" t="s">
        <v>369</v>
      </c>
      <c r="H5" s="151" t="str">
        <f>+H4</f>
        <v>14.เบิกจ่ายแล้ว</v>
      </c>
      <c r="I5" s="107"/>
      <c r="J5" s="108"/>
      <c r="K5" s="108"/>
      <c r="L5" s="108"/>
      <c r="M5" s="108"/>
    </row>
    <row r="6" spans="1:13" ht="24" customHeight="1" x14ac:dyDescent="0.25">
      <c r="A6" s="148">
        <v>4</v>
      </c>
      <c r="B6" s="139" t="s">
        <v>348</v>
      </c>
      <c r="C6" s="141">
        <v>1</v>
      </c>
      <c r="D6" s="149">
        <v>1450000</v>
      </c>
      <c r="E6" s="175">
        <f>C6*D6</f>
        <v>1450000</v>
      </c>
      <c r="F6" s="146" t="s">
        <v>327</v>
      </c>
      <c r="G6" s="146" t="s">
        <v>369</v>
      </c>
      <c r="H6" s="151" t="str">
        <f>+H5</f>
        <v>14.เบิกจ่ายแล้ว</v>
      </c>
      <c r="I6" s="395"/>
      <c r="J6" s="108" t="s">
        <v>935</v>
      </c>
      <c r="K6" s="108"/>
      <c r="L6" s="108"/>
      <c r="M6" s="108"/>
    </row>
    <row r="7" spans="1:13" s="116" customFormat="1" ht="24" customHeight="1" x14ac:dyDescent="0.7">
      <c r="A7" s="148">
        <v>5</v>
      </c>
      <c r="B7" s="245" t="s">
        <v>485</v>
      </c>
      <c r="C7" s="335">
        <v>1</v>
      </c>
      <c r="D7" s="179">
        <v>1600000</v>
      </c>
      <c r="E7" s="224">
        <f>C7*D7</f>
        <v>1600000</v>
      </c>
      <c r="F7" s="246" t="s">
        <v>480</v>
      </c>
      <c r="G7" s="146" t="s">
        <v>369</v>
      </c>
      <c r="H7" s="246" t="s">
        <v>880</v>
      </c>
      <c r="I7" s="425"/>
      <c r="J7" s="107" t="s">
        <v>935</v>
      </c>
      <c r="K7" s="107"/>
      <c r="L7" s="107"/>
      <c r="M7" s="107"/>
    </row>
    <row r="8" spans="1:13" ht="24" customHeight="1" x14ac:dyDescent="0.25">
      <c r="A8" s="148">
        <v>6</v>
      </c>
      <c r="B8" s="178" t="s">
        <v>565</v>
      </c>
      <c r="C8" s="148">
        <v>1</v>
      </c>
      <c r="D8" s="150">
        <v>1250000</v>
      </c>
      <c r="E8" s="150">
        <v>1250000</v>
      </c>
      <c r="F8" s="153" t="s">
        <v>320</v>
      </c>
      <c r="G8" s="146" t="s">
        <v>369</v>
      </c>
      <c r="H8" s="153" t="s">
        <v>604</v>
      </c>
      <c r="I8" s="107"/>
      <c r="J8" s="108"/>
      <c r="K8" s="108"/>
      <c r="L8" s="108"/>
      <c r="M8" s="108"/>
    </row>
    <row r="9" spans="1:13" ht="24.6" x14ac:dyDescent="0.7">
      <c r="A9" s="148">
        <v>7</v>
      </c>
      <c r="B9" s="334" t="s">
        <v>483</v>
      </c>
      <c r="C9" s="335">
        <v>1</v>
      </c>
      <c r="D9" s="179">
        <v>1250000</v>
      </c>
      <c r="E9" s="224">
        <v>1250000</v>
      </c>
      <c r="F9" s="334" t="s">
        <v>320</v>
      </c>
      <c r="G9" s="146" t="s">
        <v>369</v>
      </c>
      <c r="H9" s="247" t="s">
        <v>925</v>
      </c>
      <c r="I9" s="107"/>
      <c r="J9" s="108"/>
      <c r="K9" s="108"/>
      <c r="L9" s="108"/>
      <c r="M9" s="108"/>
    </row>
    <row r="10" spans="1:13" ht="49.2" x14ac:dyDescent="0.25">
      <c r="A10" s="148">
        <v>8</v>
      </c>
      <c r="B10" s="147" t="s">
        <v>333</v>
      </c>
      <c r="C10" s="148">
        <v>1</v>
      </c>
      <c r="D10" s="175">
        <v>1200000</v>
      </c>
      <c r="E10" s="175">
        <f>C10*D10</f>
        <v>1200000</v>
      </c>
      <c r="F10" s="147" t="s">
        <v>332</v>
      </c>
      <c r="G10" s="146" t="s">
        <v>369</v>
      </c>
      <c r="H10" s="153" t="str">
        <f>+H6</f>
        <v>14.เบิกจ่ายแล้ว</v>
      </c>
      <c r="I10" s="107"/>
      <c r="J10" s="108"/>
      <c r="K10" s="108"/>
      <c r="L10" s="108"/>
      <c r="M10" s="108"/>
    </row>
    <row r="11" spans="1:13" ht="24" customHeight="1" x14ac:dyDescent="0.25">
      <c r="A11" s="148">
        <v>9</v>
      </c>
      <c r="B11" s="176" t="s">
        <v>339</v>
      </c>
      <c r="C11" s="148">
        <v>2</v>
      </c>
      <c r="D11" s="175">
        <v>250000</v>
      </c>
      <c r="E11" s="175">
        <f t="shared" ref="E11" si="1">C11*D11</f>
        <v>500000</v>
      </c>
      <c r="F11" s="147" t="s">
        <v>340</v>
      </c>
      <c r="G11" s="147" t="s">
        <v>369</v>
      </c>
      <c r="H11" s="391" t="s">
        <v>605</v>
      </c>
      <c r="I11" s="107"/>
      <c r="J11" s="108"/>
      <c r="K11" s="108"/>
      <c r="L11" s="108"/>
      <c r="M11" s="108"/>
    </row>
    <row r="12" spans="1:13" ht="24" customHeight="1" x14ac:dyDescent="0.25">
      <c r="A12" s="148">
        <v>10</v>
      </c>
      <c r="B12" s="153" t="s">
        <v>353</v>
      </c>
      <c r="C12" s="148">
        <v>1</v>
      </c>
      <c r="D12" s="150">
        <v>499476</v>
      </c>
      <c r="E12" s="150">
        <f>C12*D12</f>
        <v>499476</v>
      </c>
      <c r="F12" s="153" t="s">
        <v>351</v>
      </c>
      <c r="G12" s="153" t="s">
        <v>369</v>
      </c>
      <c r="H12" s="156"/>
      <c r="I12" s="107"/>
      <c r="J12" s="108"/>
      <c r="K12" s="108"/>
      <c r="L12" s="108"/>
      <c r="M12" s="108"/>
    </row>
    <row r="13" spans="1:13" ht="24" customHeight="1" x14ac:dyDescent="0.25">
      <c r="A13" s="148">
        <v>11</v>
      </c>
      <c r="B13" s="176" t="s">
        <v>341</v>
      </c>
      <c r="C13" s="148">
        <v>1</v>
      </c>
      <c r="D13" s="175">
        <v>490000</v>
      </c>
      <c r="E13" s="175">
        <f>C13*D13</f>
        <v>490000</v>
      </c>
      <c r="F13" s="147" t="s">
        <v>342</v>
      </c>
      <c r="G13" s="147" t="s">
        <v>369</v>
      </c>
      <c r="H13" s="228" t="str">
        <f>+H11</f>
        <v>9.รายงานผลการพิจารณาเสนอราคา</v>
      </c>
      <c r="I13" s="107"/>
      <c r="J13" s="108"/>
      <c r="K13" s="108"/>
      <c r="L13" s="108"/>
      <c r="M13" s="108"/>
    </row>
    <row r="14" spans="1:13" ht="24" customHeight="1" x14ac:dyDescent="0.25">
      <c r="A14" s="148">
        <v>12</v>
      </c>
      <c r="B14" s="147" t="s">
        <v>343</v>
      </c>
      <c r="C14" s="148">
        <v>2</v>
      </c>
      <c r="D14" s="175">
        <v>225000</v>
      </c>
      <c r="E14" s="175">
        <f>C14*D14</f>
        <v>450000</v>
      </c>
      <c r="F14" s="147" t="s">
        <v>344</v>
      </c>
      <c r="G14" s="147" t="s">
        <v>369</v>
      </c>
      <c r="H14" s="228" t="str">
        <f>+H13</f>
        <v>9.รายงานผลการพิจารณาเสนอราคา</v>
      </c>
      <c r="I14" s="107"/>
      <c r="J14" s="108"/>
      <c r="K14" s="108"/>
      <c r="L14" s="108"/>
      <c r="M14" s="108"/>
    </row>
    <row r="15" spans="1:13" ht="24" customHeight="1" x14ac:dyDescent="0.7">
      <c r="A15" s="148">
        <v>13</v>
      </c>
      <c r="B15" s="334" t="s">
        <v>484</v>
      </c>
      <c r="C15" s="335">
        <v>1</v>
      </c>
      <c r="D15" s="179">
        <v>330000</v>
      </c>
      <c r="E15" s="224">
        <v>330000</v>
      </c>
      <c r="F15" s="334" t="s">
        <v>358</v>
      </c>
      <c r="G15" s="334" t="s">
        <v>369</v>
      </c>
      <c r="H15" s="392" t="str">
        <f>+H148</f>
        <v>12.ครบกำหนดส่งมอบ</v>
      </c>
      <c r="I15" s="107"/>
      <c r="J15" s="108"/>
      <c r="K15" s="108"/>
      <c r="L15" s="108"/>
      <c r="M15" s="108"/>
    </row>
    <row r="16" spans="1:13" ht="24" customHeight="1" x14ac:dyDescent="0.7">
      <c r="A16" s="148">
        <v>14</v>
      </c>
      <c r="B16" s="153" t="s">
        <v>355</v>
      </c>
      <c r="C16" s="148">
        <v>1</v>
      </c>
      <c r="D16" s="150">
        <v>330000</v>
      </c>
      <c r="E16" s="150">
        <f>C16*D16</f>
        <v>330000</v>
      </c>
      <c r="F16" s="153" t="s">
        <v>356</v>
      </c>
      <c r="G16" s="153" t="s">
        <v>369</v>
      </c>
      <c r="H16" s="392" t="str">
        <f t="shared" ref="H16:H22" si="2">+H15</f>
        <v>12.ครบกำหนดส่งมอบ</v>
      </c>
      <c r="I16" s="107"/>
      <c r="J16" s="108"/>
      <c r="K16" s="108"/>
      <c r="L16" s="108"/>
      <c r="M16" s="108"/>
    </row>
    <row r="17" spans="1:13" ht="24" customHeight="1" x14ac:dyDescent="0.25">
      <c r="A17" s="148">
        <v>15</v>
      </c>
      <c r="B17" s="153" t="s">
        <v>357</v>
      </c>
      <c r="C17" s="148">
        <v>1</v>
      </c>
      <c r="D17" s="150">
        <v>317255</v>
      </c>
      <c r="E17" s="150">
        <v>317255</v>
      </c>
      <c r="F17" s="153" t="s">
        <v>323</v>
      </c>
      <c r="G17" s="153" t="s">
        <v>369</v>
      </c>
      <c r="H17" s="156" t="str">
        <f t="shared" si="2"/>
        <v>12.ครบกำหนดส่งมอบ</v>
      </c>
      <c r="I17" s="107"/>
      <c r="J17" s="108"/>
      <c r="K17" s="108"/>
      <c r="L17" s="108"/>
      <c r="M17" s="108"/>
    </row>
    <row r="18" spans="1:13" ht="24" customHeight="1" x14ac:dyDescent="0.7">
      <c r="A18" s="148">
        <v>16</v>
      </c>
      <c r="B18" s="334" t="s">
        <v>486</v>
      </c>
      <c r="C18" s="335">
        <v>1</v>
      </c>
      <c r="D18" s="179">
        <v>250000</v>
      </c>
      <c r="E18" s="224">
        <f t="shared" ref="E18:E19" si="3">C18*D18</f>
        <v>250000</v>
      </c>
      <c r="F18" s="334" t="s">
        <v>335</v>
      </c>
      <c r="G18" s="334" t="s">
        <v>369</v>
      </c>
      <c r="H18" s="392" t="str">
        <f t="shared" si="2"/>
        <v>12.ครบกำหนดส่งมอบ</v>
      </c>
      <c r="I18" s="107"/>
      <c r="J18" s="108"/>
      <c r="K18" s="108"/>
      <c r="L18" s="108"/>
      <c r="M18" s="108"/>
    </row>
    <row r="19" spans="1:13" ht="24" customHeight="1" x14ac:dyDescent="0.7">
      <c r="A19" s="148">
        <v>17</v>
      </c>
      <c r="B19" s="334" t="s">
        <v>487</v>
      </c>
      <c r="C19" s="335">
        <v>1</v>
      </c>
      <c r="D19" s="179">
        <v>229729</v>
      </c>
      <c r="E19" s="224">
        <f t="shared" si="3"/>
        <v>229729</v>
      </c>
      <c r="F19" s="334" t="s">
        <v>481</v>
      </c>
      <c r="G19" s="334" t="s">
        <v>369</v>
      </c>
      <c r="H19" s="392" t="str">
        <f t="shared" si="2"/>
        <v>12.ครบกำหนดส่งมอบ</v>
      </c>
      <c r="I19" s="107"/>
      <c r="J19" s="108"/>
      <c r="K19" s="108"/>
      <c r="L19" s="108"/>
      <c r="M19" s="108"/>
    </row>
    <row r="20" spans="1:13" ht="24" customHeight="1" x14ac:dyDescent="0.25">
      <c r="A20" s="148">
        <v>18</v>
      </c>
      <c r="B20" s="176" t="s">
        <v>102</v>
      </c>
      <c r="C20" s="148">
        <v>2</v>
      </c>
      <c r="D20" s="175">
        <v>117500</v>
      </c>
      <c r="E20" s="175">
        <f>+C20*D20</f>
        <v>235000</v>
      </c>
      <c r="F20" s="147" t="s">
        <v>345</v>
      </c>
      <c r="G20" s="147" t="s">
        <v>369</v>
      </c>
      <c r="H20" s="156" t="str">
        <f t="shared" si="2"/>
        <v>12.ครบกำหนดส่งมอบ</v>
      </c>
      <c r="I20" s="107"/>
      <c r="J20" s="108"/>
      <c r="K20" s="108"/>
      <c r="L20" s="108"/>
      <c r="M20" s="108"/>
    </row>
    <row r="21" spans="1:13" ht="24" customHeight="1" x14ac:dyDescent="0.7">
      <c r="A21" s="148">
        <v>19</v>
      </c>
      <c r="B21" s="334" t="s">
        <v>482</v>
      </c>
      <c r="C21" s="335">
        <v>1</v>
      </c>
      <c r="D21" s="179">
        <v>230000</v>
      </c>
      <c r="E21" s="224">
        <v>230000</v>
      </c>
      <c r="F21" s="334" t="s">
        <v>488</v>
      </c>
      <c r="G21" s="334" t="s">
        <v>369</v>
      </c>
      <c r="H21" s="392" t="str">
        <f t="shared" si="2"/>
        <v>12.ครบกำหนดส่งมอบ</v>
      </c>
      <c r="I21" s="107"/>
      <c r="J21" s="108"/>
      <c r="K21" s="108"/>
      <c r="L21" s="108"/>
      <c r="M21" s="108"/>
    </row>
    <row r="22" spans="1:13" ht="73.8" x14ac:dyDescent="0.25">
      <c r="A22" s="148">
        <v>20</v>
      </c>
      <c r="B22" s="176" t="s">
        <v>338</v>
      </c>
      <c r="C22" s="148">
        <v>1</v>
      </c>
      <c r="D22" s="175">
        <v>200000</v>
      </c>
      <c r="E22" s="175">
        <f>+C22*D22</f>
        <v>200000</v>
      </c>
      <c r="F22" s="147" t="s">
        <v>474</v>
      </c>
      <c r="G22" s="147" t="s">
        <v>369</v>
      </c>
      <c r="H22" s="156" t="str">
        <f t="shared" si="2"/>
        <v>12.ครบกำหนดส่งมอบ</v>
      </c>
      <c r="I22" s="107"/>
      <c r="J22" s="108"/>
      <c r="K22" s="108"/>
      <c r="L22" s="108"/>
      <c r="M22" s="108"/>
    </row>
    <row r="23" spans="1:13" ht="24" customHeight="1" x14ac:dyDescent="0.25">
      <c r="A23" s="148">
        <v>21</v>
      </c>
      <c r="B23" s="139" t="s">
        <v>347</v>
      </c>
      <c r="C23" s="141">
        <v>1</v>
      </c>
      <c r="D23" s="149">
        <v>200000</v>
      </c>
      <c r="E23" s="175">
        <f>C23*D23</f>
        <v>200000</v>
      </c>
      <c r="F23" s="146" t="s">
        <v>327</v>
      </c>
      <c r="G23" s="146" t="s">
        <v>369</v>
      </c>
      <c r="H23" s="156" t="s">
        <v>304</v>
      </c>
      <c r="I23" s="107"/>
      <c r="J23" s="108"/>
      <c r="K23" s="108"/>
      <c r="L23" s="108"/>
      <c r="M23" s="108"/>
    </row>
    <row r="24" spans="1:13" ht="24" customHeight="1" x14ac:dyDescent="0.25">
      <c r="A24" s="148">
        <v>22</v>
      </c>
      <c r="B24" s="139" t="s">
        <v>99</v>
      </c>
      <c r="C24" s="141">
        <v>1</v>
      </c>
      <c r="D24" s="149">
        <v>200000</v>
      </c>
      <c r="E24" s="175">
        <f>C24*D24</f>
        <v>200000</v>
      </c>
      <c r="F24" s="146" t="s">
        <v>327</v>
      </c>
      <c r="G24" s="146" t="s">
        <v>369</v>
      </c>
      <c r="H24" s="156"/>
      <c r="I24" s="107"/>
      <c r="J24" s="108"/>
      <c r="K24" s="108"/>
      <c r="L24" s="108"/>
      <c r="M24" s="108"/>
    </row>
    <row r="25" spans="1:13" ht="24" customHeight="1" x14ac:dyDescent="0.25">
      <c r="A25" s="148">
        <v>23</v>
      </c>
      <c r="B25" s="138" t="s">
        <v>109</v>
      </c>
      <c r="C25" s="144">
        <v>2</v>
      </c>
      <c r="D25" s="257">
        <v>100000</v>
      </c>
      <c r="E25" s="175">
        <f>C25*D25</f>
        <v>200000</v>
      </c>
      <c r="F25" s="138" t="s">
        <v>365</v>
      </c>
      <c r="G25" s="138" t="s">
        <v>369</v>
      </c>
      <c r="H25" s="228" t="s">
        <v>933</v>
      </c>
      <c r="I25" s="107"/>
      <c r="J25" s="108"/>
      <c r="K25" s="108"/>
      <c r="L25" s="108"/>
      <c r="M25" s="108"/>
    </row>
    <row r="26" spans="1:13" ht="24" customHeight="1" x14ac:dyDescent="0.25">
      <c r="A26" s="148">
        <v>24</v>
      </c>
      <c r="B26" s="139" t="s">
        <v>98</v>
      </c>
      <c r="C26" s="141">
        <v>1</v>
      </c>
      <c r="D26" s="149">
        <v>400000</v>
      </c>
      <c r="E26" s="175">
        <f>C26*D26</f>
        <v>400000</v>
      </c>
      <c r="F26" s="146" t="s">
        <v>327</v>
      </c>
      <c r="G26" s="146" t="s">
        <v>369</v>
      </c>
      <c r="H26" s="156"/>
      <c r="I26" s="107"/>
      <c r="J26" s="108"/>
      <c r="K26" s="108"/>
      <c r="L26" s="108"/>
      <c r="M26" s="108"/>
    </row>
    <row r="27" spans="1:13" ht="24" customHeight="1" x14ac:dyDescent="0.25">
      <c r="A27" s="148">
        <v>25</v>
      </c>
      <c r="B27" s="139" t="s">
        <v>97</v>
      </c>
      <c r="C27" s="141">
        <v>1</v>
      </c>
      <c r="D27" s="149">
        <v>100000</v>
      </c>
      <c r="E27" s="175">
        <f t="shared" ref="E27" si="4">C27*D27</f>
        <v>100000</v>
      </c>
      <c r="F27" s="146" t="s">
        <v>327</v>
      </c>
      <c r="G27" s="146" t="s">
        <v>369</v>
      </c>
      <c r="H27" s="156"/>
      <c r="I27" s="107"/>
      <c r="J27" s="108"/>
      <c r="K27" s="108"/>
      <c r="L27" s="108"/>
      <c r="M27" s="108"/>
    </row>
    <row r="28" spans="1:13" ht="24" customHeight="1" x14ac:dyDescent="0.25">
      <c r="A28" s="148">
        <v>26</v>
      </c>
      <c r="B28" s="138" t="s">
        <v>107</v>
      </c>
      <c r="C28" s="144">
        <v>1</v>
      </c>
      <c r="D28" s="257">
        <v>65000</v>
      </c>
      <c r="E28" s="175">
        <f>C28*D28</f>
        <v>65000</v>
      </c>
      <c r="F28" s="138" t="s">
        <v>364</v>
      </c>
      <c r="G28" s="138" t="s">
        <v>369</v>
      </c>
      <c r="H28" s="228" t="str">
        <f>+H22</f>
        <v>12.ครบกำหนดส่งมอบ</v>
      </c>
      <c r="I28" s="107"/>
      <c r="J28" s="108"/>
      <c r="K28" s="108"/>
      <c r="L28" s="108"/>
      <c r="M28" s="108"/>
    </row>
    <row r="29" spans="1:13" ht="24" customHeight="1" x14ac:dyDescent="0.25">
      <c r="A29" s="148">
        <v>27</v>
      </c>
      <c r="B29" s="138" t="s">
        <v>108</v>
      </c>
      <c r="C29" s="144">
        <v>1</v>
      </c>
      <c r="D29" s="257">
        <v>65000</v>
      </c>
      <c r="E29" s="175">
        <f>C29*D29</f>
        <v>65000</v>
      </c>
      <c r="F29" s="138" t="s">
        <v>366</v>
      </c>
      <c r="G29" s="138" t="s">
        <v>369</v>
      </c>
      <c r="H29" s="228"/>
      <c r="I29" s="107"/>
      <c r="J29" s="108"/>
      <c r="K29" s="108"/>
      <c r="L29" s="108"/>
      <c r="M29" s="108"/>
    </row>
    <row r="30" spans="1:13" ht="24" customHeight="1" x14ac:dyDescent="0.7">
      <c r="A30" s="148">
        <v>28</v>
      </c>
      <c r="B30" s="350" t="s">
        <v>384</v>
      </c>
      <c r="C30" s="222">
        <v>1</v>
      </c>
      <c r="D30" s="357">
        <v>50000</v>
      </c>
      <c r="E30" s="354">
        <f>+C30*D30</f>
        <v>50000</v>
      </c>
      <c r="F30" s="225" t="s">
        <v>350</v>
      </c>
      <c r="G30" s="225" t="s">
        <v>369</v>
      </c>
      <c r="H30" s="228"/>
      <c r="I30" s="107"/>
      <c r="J30" s="108"/>
      <c r="K30" s="108"/>
      <c r="L30" s="108"/>
      <c r="M30" s="108"/>
    </row>
    <row r="31" spans="1:13" ht="24" customHeight="1" x14ac:dyDescent="0.7">
      <c r="A31" s="148">
        <v>29</v>
      </c>
      <c r="B31" s="350" t="s">
        <v>383</v>
      </c>
      <c r="C31" s="222">
        <v>1</v>
      </c>
      <c r="D31" s="357">
        <v>40000</v>
      </c>
      <c r="E31" s="354">
        <f>+C31*D31</f>
        <v>40000</v>
      </c>
      <c r="F31" s="225" t="s">
        <v>350</v>
      </c>
      <c r="G31" s="225" t="s">
        <v>369</v>
      </c>
      <c r="H31" s="228"/>
      <c r="I31" s="107"/>
      <c r="J31" s="108"/>
      <c r="K31" s="108"/>
      <c r="L31" s="108"/>
      <c r="M31" s="108"/>
    </row>
    <row r="32" spans="1:13" ht="24" customHeight="1" x14ac:dyDescent="0.25">
      <c r="A32" s="148">
        <v>30</v>
      </c>
      <c r="B32" s="138" t="s">
        <v>113</v>
      </c>
      <c r="C32" s="144">
        <v>1</v>
      </c>
      <c r="D32" s="257">
        <v>31849</v>
      </c>
      <c r="E32" s="175">
        <f t="shared" ref="E32" si="5">C32*D32</f>
        <v>31849</v>
      </c>
      <c r="F32" s="138" t="s">
        <v>367</v>
      </c>
      <c r="G32" s="138" t="s">
        <v>369</v>
      </c>
      <c r="H32" s="228"/>
      <c r="I32" s="107"/>
      <c r="J32" s="108"/>
      <c r="K32" s="108"/>
      <c r="L32" s="108"/>
      <c r="M32" s="108"/>
    </row>
    <row r="33" spans="1:13" ht="24" customHeight="1" x14ac:dyDescent="0.7">
      <c r="A33" s="148">
        <v>31</v>
      </c>
      <c r="B33" s="350" t="s">
        <v>385</v>
      </c>
      <c r="C33" s="222">
        <v>2</v>
      </c>
      <c r="D33" s="357">
        <v>9500</v>
      </c>
      <c r="E33" s="354">
        <f>+C33*D33</f>
        <v>19000</v>
      </c>
      <c r="F33" s="225" t="s">
        <v>350</v>
      </c>
      <c r="G33" s="225" t="s">
        <v>369</v>
      </c>
      <c r="H33" s="228"/>
      <c r="I33" s="107"/>
      <c r="J33" s="108"/>
      <c r="K33" s="108"/>
      <c r="L33" s="108"/>
      <c r="M33" s="108"/>
    </row>
    <row r="34" spans="1:13" ht="42.75" customHeight="1" x14ac:dyDescent="0.25">
      <c r="A34" s="148">
        <v>32</v>
      </c>
      <c r="B34" s="143" t="s">
        <v>110</v>
      </c>
      <c r="C34" s="144">
        <v>10</v>
      </c>
      <c r="D34" s="257">
        <v>5500</v>
      </c>
      <c r="E34" s="175">
        <f>C34*D34</f>
        <v>55000</v>
      </c>
      <c r="F34" s="138" t="s">
        <v>543</v>
      </c>
      <c r="G34" s="138" t="s">
        <v>369</v>
      </c>
      <c r="H34" s="228"/>
      <c r="I34" s="107"/>
      <c r="J34" s="108"/>
      <c r="K34" s="108"/>
      <c r="L34" s="108"/>
      <c r="M34" s="108"/>
    </row>
    <row r="35" spans="1:13" ht="49.2" x14ac:dyDescent="0.25">
      <c r="A35" s="148">
        <v>33</v>
      </c>
      <c r="B35" s="143" t="s">
        <v>362</v>
      </c>
      <c r="C35" s="144">
        <v>1</v>
      </c>
      <c r="D35" s="257">
        <v>33500</v>
      </c>
      <c r="E35" s="175">
        <f>C35*D35</f>
        <v>33500</v>
      </c>
      <c r="F35" s="138" t="s">
        <v>319</v>
      </c>
      <c r="G35" s="138" t="s">
        <v>369</v>
      </c>
      <c r="H35" s="228"/>
      <c r="I35" s="107"/>
      <c r="J35" s="108"/>
      <c r="K35" s="108"/>
      <c r="L35" s="108"/>
      <c r="M35" s="108"/>
    </row>
    <row r="36" spans="1:13" ht="24" customHeight="1" x14ac:dyDescent="0.25">
      <c r="A36" s="148">
        <v>34</v>
      </c>
      <c r="B36" s="153" t="s">
        <v>388</v>
      </c>
      <c r="C36" s="148">
        <v>2</v>
      </c>
      <c r="D36" s="358">
        <v>4950</v>
      </c>
      <c r="E36" s="359">
        <f>+C36*D36</f>
        <v>9900</v>
      </c>
      <c r="F36" s="153" t="s">
        <v>350</v>
      </c>
      <c r="G36" s="153" t="s">
        <v>369</v>
      </c>
      <c r="H36" s="228"/>
      <c r="I36" s="107"/>
      <c r="J36" s="108"/>
      <c r="K36" s="108"/>
      <c r="L36" s="108"/>
      <c r="M36" s="108"/>
    </row>
    <row r="37" spans="1:13" ht="24" customHeight="1" x14ac:dyDescent="0.25">
      <c r="A37" s="148">
        <v>35</v>
      </c>
      <c r="B37" s="360" t="s">
        <v>382</v>
      </c>
      <c r="C37" s="148">
        <v>1</v>
      </c>
      <c r="D37" s="358">
        <v>2000</v>
      </c>
      <c r="E37" s="359">
        <f>+C37*D37</f>
        <v>2000</v>
      </c>
      <c r="F37" s="153" t="s">
        <v>350</v>
      </c>
      <c r="G37" s="153" t="s">
        <v>369</v>
      </c>
      <c r="H37" s="228"/>
      <c r="I37" s="107"/>
      <c r="J37" s="108"/>
      <c r="K37" s="108"/>
      <c r="L37" s="108"/>
      <c r="M37" s="108"/>
    </row>
    <row r="38" spans="1:13" ht="24.6" x14ac:dyDescent="0.25">
      <c r="A38" s="148">
        <v>36</v>
      </c>
      <c r="B38" s="143" t="s">
        <v>557</v>
      </c>
      <c r="C38" s="144">
        <v>2</v>
      </c>
      <c r="D38" s="204">
        <v>130000</v>
      </c>
      <c r="E38" s="295">
        <f>+C38*D38</f>
        <v>260000</v>
      </c>
      <c r="F38" s="152" t="s">
        <v>558</v>
      </c>
      <c r="G38" s="152" t="s">
        <v>369</v>
      </c>
      <c r="H38" s="393"/>
      <c r="I38" s="107"/>
      <c r="J38" s="108"/>
      <c r="K38" s="108"/>
      <c r="L38" s="108"/>
      <c r="M38" s="108"/>
    </row>
    <row r="39" spans="1:13" ht="24.6" x14ac:dyDescent="0.25">
      <c r="A39" s="148">
        <v>37</v>
      </c>
      <c r="B39" s="143" t="s">
        <v>559</v>
      </c>
      <c r="C39" s="144">
        <v>1</v>
      </c>
      <c r="D39" s="204">
        <v>350000</v>
      </c>
      <c r="E39" s="295">
        <f t="shared" ref="E39:E46" si="6">+C39*D39</f>
        <v>350000</v>
      </c>
      <c r="F39" s="152" t="s">
        <v>330</v>
      </c>
      <c r="G39" s="152" t="s">
        <v>369</v>
      </c>
      <c r="H39" s="393" t="str">
        <f>+H28</f>
        <v>12.ครบกำหนดส่งมอบ</v>
      </c>
      <c r="I39" s="107"/>
      <c r="J39" s="108"/>
      <c r="K39" s="108"/>
      <c r="L39" s="108"/>
      <c r="M39" s="108"/>
    </row>
    <row r="40" spans="1:13" ht="24.6" x14ac:dyDescent="0.25">
      <c r="A40" s="148">
        <v>38</v>
      </c>
      <c r="B40" s="203" t="s">
        <v>560</v>
      </c>
      <c r="C40" s="144">
        <v>1</v>
      </c>
      <c r="D40" s="204">
        <v>650000</v>
      </c>
      <c r="E40" s="295">
        <f t="shared" si="6"/>
        <v>650000</v>
      </c>
      <c r="F40" s="152" t="s">
        <v>329</v>
      </c>
      <c r="G40" s="152" t="s">
        <v>369</v>
      </c>
      <c r="H40" s="393" t="s">
        <v>606</v>
      </c>
      <c r="I40" s="107"/>
      <c r="J40" s="108"/>
      <c r="K40" s="108"/>
      <c r="L40" s="108"/>
      <c r="M40" s="108"/>
    </row>
    <row r="41" spans="1:13" ht="24.6" x14ac:dyDescent="0.25">
      <c r="A41" s="148">
        <v>39</v>
      </c>
      <c r="B41" s="203" t="s">
        <v>561</v>
      </c>
      <c r="C41" s="144">
        <v>1</v>
      </c>
      <c r="D41" s="204">
        <v>100000</v>
      </c>
      <c r="E41" s="295">
        <f t="shared" si="6"/>
        <v>100000</v>
      </c>
      <c r="F41" s="152" t="s">
        <v>329</v>
      </c>
      <c r="G41" s="152" t="s">
        <v>369</v>
      </c>
      <c r="H41" s="393" t="s">
        <v>606</v>
      </c>
      <c r="I41" s="107"/>
      <c r="J41" s="108"/>
      <c r="K41" s="108"/>
      <c r="L41" s="108"/>
      <c r="M41" s="108"/>
    </row>
    <row r="42" spans="1:13" ht="24.6" x14ac:dyDescent="0.25">
      <c r="A42" s="148">
        <v>40</v>
      </c>
      <c r="B42" s="203" t="s">
        <v>562</v>
      </c>
      <c r="C42" s="144">
        <v>2</v>
      </c>
      <c r="D42" s="204">
        <v>149000</v>
      </c>
      <c r="E42" s="295">
        <f t="shared" si="6"/>
        <v>298000</v>
      </c>
      <c r="F42" s="152" t="s">
        <v>329</v>
      </c>
      <c r="G42" s="152" t="s">
        <v>369</v>
      </c>
      <c r="H42" s="393" t="s">
        <v>606</v>
      </c>
      <c r="I42" s="107"/>
      <c r="J42" s="108"/>
      <c r="K42" s="108"/>
      <c r="L42" s="108"/>
      <c r="M42" s="108"/>
    </row>
    <row r="43" spans="1:13" s="159" customFormat="1" ht="49.2" x14ac:dyDescent="0.7">
      <c r="A43" s="148">
        <v>41</v>
      </c>
      <c r="B43" s="165" t="s">
        <v>616</v>
      </c>
      <c r="C43" s="154">
        <v>1</v>
      </c>
      <c r="D43" s="274">
        <v>2495000</v>
      </c>
      <c r="E43" s="274">
        <f t="shared" si="6"/>
        <v>2495000</v>
      </c>
      <c r="F43" s="203" t="s">
        <v>480</v>
      </c>
      <c r="G43" s="153" t="s">
        <v>369</v>
      </c>
      <c r="H43" s="392" t="s">
        <v>743</v>
      </c>
      <c r="I43" s="221"/>
    </row>
    <row r="44" spans="1:13" s="159" customFormat="1" ht="24.6" x14ac:dyDescent="0.7">
      <c r="A44" s="148">
        <v>42</v>
      </c>
      <c r="B44" s="203" t="s">
        <v>618</v>
      </c>
      <c r="C44" s="154">
        <v>1</v>
      </c>
      <c r="D44" s="274">
        <v>150000</v>
      </c>
      <c r="E44" s="274">
        <f t="shared" si="6"/>
        <v>150000</v>
      </c>
      <c r="F44" s="203" t="s">
        <v>617</v>
      </c>
      <c r="G44" s="153" t="s">
        <v>369</v>
      </c>
      <c r="H44" s="392" t="s">
        <v>743</v>
      </c>
      <c r="I44" s="221"/>
    </row>
    <row r="45" spans="1:13" s="159" customFormat="1" ht="24.6" x14ac:dyDescent="0.7">
      <c r="A45" s="148">
        <v>43</v>
      </c>
      <c r="B45" s="203" t="s">
        <v>619</v>
      </c>
      <c r="C45" s="154">
        <v>2</v>
      </c>
      <c r="D45" s="274">
        <v>550000</v>
      </c>
      <c r="E45" s="274">
        <f t="shared" si="6"/>
        <v>1100000</v>
      </c>
      <c r="F45" s="203" t="s">
        <v>617</v>
      </c>
      <c r="G45" s="153" t="s">
        <v>369</v>
      </c>
      <c r="H45" s="392" t="s">
        <v>743</v>
      </c>
      <c r="I45" s="221"/>
    </row>
    <row r="46" spans="1:13" s="159" customFormat="1" ht="24.6" x14ac:dyDescent="0.7">
      <c r="A46" s="148">
        <v>44</v>
      </c>
      <c r="B46" s="203" t="s">
        <v>622</v>
      </c>
      <c r="C46" s="154">
        <v>1</v>
      </c>
      <c r="D46" s="274">
        <v>30000</v>
      </c>
      <c r="E46" s="394">
        <f t="shared" si="6"/>
        <v>30000</v>
      </c>
      <c r="F46" s="203" t="s">
        <v>623</v>
      </c>
      <c r="G46" s="153" t="s">
        <v>369</v>
      </c>
      <c r="H46" s="392" t="s">
        <v>743</v>
      </c>
      <c r="I46" s="221"/>
    </row>
    <row r="47" spans="1:13" s="159" customFormat="1" ht="24.6" x14ac:dyDescent="0.7">
      <c r="A47" s="148">
        <v>45</v>
      </c>
      <c r="B47" s="361" t="s">
        <v>625</v>
      </c>
      <c r="C47" s="154">
        <v>1</v>
      </c>
      <c r="D47" s="164">
        <v>400000</v>
      </c>
      <c r="E47" s="337">
        <f>+C47*D47</f>
        <v>400000</v>
      </c>
      <c r="F47" s="361" t="s">
        <v>626</v>
      </c>
      <c r="G47" s="153" t="s">
        <v>369</v>
      </c>
      <c r="H47" s="392" t="s">
        <v>743</v>
      </c>
      <c r="I47" s="221"/>
    </row>
    <row r="48" spans="1:13" s="159" customFormat="1" ht="24.6" x14ac:dyDescent="0.7">
      <c r="A48" s="148">
        <v>46</v>
      </c>
      <c r="B48" s="203" t="s">
        <v>627</v>
      </c>
      <c r="C48" s="154">
        <v>1</v>
      </c>
      <c r="D48" s="274">
        <v>190000</v>
      </c>
      <c r="E48" s="274">
        <f>+C48*D48</f>
        <v>190000</v>
      </c>
      <c r="F48" s="203" t="s">
        <v>626</v>
      </c>
      <c r="G48" s="153" t="s">
        <v>369</v>
      </c>
      <c r="H48" s="392" t="s">
        <v>743</v>
      </c>
      <c r="I48" s="221"/>
    </row>
    <row r="49" spans="1:13" ht="73.8" x14ac:dyDescent="0.25">
      <c r="A49" s="148">
        <v>47</v>
      </c>
      <c r="B49" s="174" t="s">
        <v>879</v>
      </c>
      <c r="C49" s="136">
        <v>1</v>
      </c>
      <c r="D49" s="278">
        <v>2700000</v>
      </c>
      <c r="E49" s="274">
        <f t="shared" ref="E49:E52" si="7">+C49*D49</f>
        <v>2700000</v>
      </c>
      <c r="F49" s="137" t="s">
        <v>602</v>
      </c>
      <c r="G49" s="153" t="s">
        <v>369</v>
      </c>
      <c r="H49" s="393" t="s">
        <v>743</v>
      </c>
      <c r="I49" s="107"/>
      <c r="J49" s="108"/>
      <c r="K49" s="108"/>
      <c r="L49" s="108"/>
      <c r="M49" s="108"/>
    </row>
    <row r="50" spans="1:13" ht="24.6" x14ac:dyDescent="0.7">
      <c r="A50" s="148">
        <v>48</v>
      </c>
      <c r="B50" s="334" t="s">
        <v>681</v>
      </c>
      <c r="C50" s="335">
        <v>1</v>
      </c>
      <c r="D50" s="269">
        <v>650000</v>
      </c>
      <c r="E50" s="277">
        <f t="shared" si="7"/>
        <v>650000</v>
      </c>
      <c r="F50" s="334" t="s">
        <v>602</v>
      </c>
      <c r="G50" s="153" t="s">
        <v>369</v>
      </c>
      <c r="H50" s="392" t="s">
        <v>743</v>
      </c>
      <c r="I50" s="107"/>
      <c r="J50" s="108"/>
      <c r="K50" s="108"/>
      <c r="L50" s="108"/>
      <c r="M50" s="108"/>
    </row>
    <row r="51" spans="1:13" ht="24.6" x14ac:dyDescent="0.7">
      <c r="A51" s="148">
        <v>49</v>
      </c>
      <c r="B51" s="334" t="s">
        <v>682</v>
      </c>
      <c r="C51" s="335">
        <v>1</v>
      </c>
      <c r="D51" s="269">
        <v>1337500</v>
      </c>
      <c r="E51" s="277">
        <f t="shared" si="7"/>
        <v>1337500</v>
      </c>
      <c r="F51" s="334" t="s">
        <v>602</v>
      </c>
      <c r="G51" s="153" t="s">
        <v>369</v>
      </c>
      <c r="H51" s="392" t="s">
        <v>743</v>
      </c>
      <c r="I51" s="107"/>
      <c r="J51" s="108"/>
      <c r="K51" s="108"/>
      <c r="L51" s="108"/>
      <c r="M51" s="108"/>
    </row>
    <row r="52" spans="1:13" ht="24.6" x14ac:dyDescent="0.7">
      <c r="A52" s="148">
        <v>50</v>
      </c>
      <c r="B52" s="334" t="s">
        <v>683</v>
      </c>
      <c r="C52" s="335">
        <v>1</v>
      </c>
      <c r="D52" s="269">
        <v>448598.13</v>
      </c>
      <c r="E52" s="277">
        <f t="shared" si="7"/>
        <v>448598.13</v>
      </c>
      <c r="F52" s="334" t="s">
        <v>602</v>
      </c>
      <c r="G52" s="153" t="s">
        <v>369</v>
      </c>
      <c r="H52" s="392" t="s">
        <v>743</v>
      </c>
      <c r="I52" s="107"/>
      <c r="J52" s="108"/>
      <c r="K52" s="108"/>
      <c r="L52" s="108"/>
      <c r="M52" s="108"/>
    </row>
    <row r="53" spans="1:13" ht="23.1" customHeight="1" x14ac:dyDescent="0.7">
      <c r="A53" s="148">
        <v>51</v>
      </c>
      <c r="B53" s="334" t="s">
        <v>680</v>
      </c>
      <c r="C53" s="335">
        <v>1</v>
      </c>
      <c r="D53" s="269">
        <v>4500000</v>
      </c>
      <c r="E53" s="277">
        <f>+C53*D53</f>
        <v>4500000</v>
      </c>
      <c r="F53" s="334" t="s">
        <v>602</v>
      </c>
      <c r="G53" s="153" t="s">
        <v>369</v>
      </c>
      <c r="H53" s="392" t="s">
        <v>743</v>
      </c>
      <c r="I53" s="107"/>
      <c r="J53" s="108"/>
      <c r="K53" s="108"/>
      <c r="L53" s="108"/>
      <c r="M53" s="108"/>
    </row>
    <row r="54" spans="1:13" ht="23.1" customHeight="1" x14ac:dyDescent="0.7">
      <c r="A54" s="148">
        <v>52</v>
      </c>
      <c r="B54" s="203" t="s">
        <v>684</v>
      </c>
      <c r="C54" s="154">
        <v>1</v>
      </c>
      <c r="D54" s="275">
        <v>310000</v>
      </c>
      <c r="E54" s="277">
        <f t="shared" ref="E54:E105" si="8">+C54*D54</f>
        <v>310000</v>
      </c>
      <c r="F54" s="203" t="s">
        <v>324</v>
      </c>
      <c r="G54" s="153" t="s">
        <v>369</v>
      </c>
      <c r="H54" s="392" t="s">
        <v>772</v>
      </c>
      <c r="I54" s="107"/>
      <c r="J54" s="108"/>
      <c r="K54" s="108"/>
      <c r="L54" s="108"/>
      <c r="M54" s="108"/>
    </row>
    <row r="55" spans="1:13" ht="23.1" customHeight="1" x14ac:dyDescent="0.7">
      <c r="A55" s="148">
        <v>53</v>
      </c>
      <c r="B55" s="201" t="s">
        <v>685</v>
      </c>
      <c r="C55" s="223">
        <v>1</v>
      </c>
      <c r="D55" s="276">
        <v>2200000</v>
      </c>
      <c r="E55" s="277">
        <f t="shared" si="8"/>
        <v>2200000</v>
      </c>
      <c r="F55" s="203" t="s">
        <v>324</v>
      </c>
      <c r="G55" s="153" t="s">
        <v>369</v>
      </c>
      <c r="H55" s="392" t="s">
        <v>772</v>
      </c>
      <c r="I55" s="107"/>
      <c r="J55" s="108"/>
      <c r="K55" s="108"/>
      <c r="L55" s="108"/>
      <c r="M55" s="108"/>
    </row>
    <row r="56" spans="1:13" ht="23.1" customHeight="1" x14ac:dyDescent="0.7">
      <c r="A56" s="148">
        <v>54</v>
      </c>
      <c r="B56" s="334" t="s">
        <v>686</v>
      </c>
      <c r="C56" s="335">
        <v>1</v>
      </c>
      <c r="D56" s="269">
        <v>28000</v>
      </c>
      <c r="E56" s="277">
        <f t="shared" si="8"/>
        <v>28000</v>
      </c>
      <c r="F56" s="334" t="s">
        <v>324</v>
      </c>
      <c r="G56" s="153" t="s">
        <v>369</v>
      </c>
      <c r="H56" s="392" t="s">
        <v>772</v>
      </c>
      <c r="I56" s="107"/>
      <c r="J56" s="108"/>
      <c r="K56" s="108"/>
      <c r="L56" s="108"/>
      <c r="M56" s="108"/>
    </row>
    <row r="57" spans="1:13" ht="23.1" customHeight="1" x14ac:dyDescent="0.7">
      <c r="A57" s="148">
        <v>55</v>
      </c>
      <c r="B57" s="137" t="s">
        <v>687</v>
      </c>
      <c r="C57" s="136">
        <v>3</v>
      </c>
      <c r="D57" s="278">
        <v>85600</v>
      </c>
      <c r="E57" s="277">
        <f t="shared" si="8"/>
        <v>256800</v>
      </c>
      <c r="F57" s="137" t="s">
        <v>324</v>
      </c>
      <c r="G57" s="153" t="s">
        <v>369</v>
      </c>
      <c r="H57" s="392" t="s">
        <v>772</v>
      </c>
      <c r="I57" s="107"/>
      <c r="J57" s="108"/>
      <c r="K57" s="108"/>
      <c r="L57" s="108"/>
      <c r="M57" s="108"/>
    </row>
    <row r="58" spans="1:13" ht="23.1" customHeight="1" x14ac:dyDescent="0.7">
      <c r="A58" s="148">
        <v>56</v>
      </c>
      <c r="B58" s="334" t="s">
        <v>688</v>
      </c>
      <c r="C58" s="335">
        <v>1</v>
      </c>
      <c r="D58" s="269">
        <v>14000</v>
      </c>
      <c r="E58" s="277">
        <f t="shared" si="8"/>
        <v>14000</v>
      </c>
      <c r="F58" s="334" t="s">
        <v>324</v>
      </c>
      <c r="G58" s="153" t="s">
        <v>369</v>
      </c>
      <c r="H58" s="392" t="s">
        <v>772</v>
      </c>
      <c r="I58" s="107"/>
      <c r="J58" s="108"/>
      <c r="K58" s="108"/>
      <c r="L58" s="108"/>
      <c r="M58" s="108"/>
    </row>
    <row r="59" spans="1:13" ht="23.1" customHeight="1" x14ac:dyDescent="0.7">
      <c r="A59" s="148">
        <v>57</v>
      </c>
      <c r="B59" s="334" t="s">
        <v>689</v>
      </c>
      <c r="C59" s="335">
        <v>6</v>
      </c>
      <c r="D59" s="269">
        <v>24610</v>
      </c>
      <c r="E59" s="277">
        <f t="shared" si="8"/>
        <v>147660</v>
      </c>
      <c r="F59" s="334" t="s">
        <v>324</v>
      </c>
      <c r="G59" s="153" t="s">
        <v>369</v>
      </c>
      <c r="H59" s="392" t="s">
        <v>772</v>
      </c>
      <c r="I59" s="107"/>
      <c r="J59" s="108"/>
      <c r="K59" s="108"/>
      <c r="L59" s="108"/>
      <c r="M59" s="108"/>
    </row>
    <row r="60" spans="1:13" ht="23.1" customHeight="1" x14ac:dyDescent="0.7">
      <c r="A60" s="148">
        <v>58</v>
      </c>
      <c r="B60" s="174" t="s">
        <v>690</v>
      </c>
      <c r="C60" s="270">
        <v>1</v>
      </c>
      <c r="D60" s="271">
        <v>25000</v>
      </c>
      <c r="E60" s="277">
        <f t="shared" si="8"/>
        <v>25000</v>
      </c>
      <c r="F60" s="142" t="s">
        <v>324</v>
      </c>
      <c r="G60" s="153" t="s">
        <v>369</v>
      </c>
      <c r="H60" s="392" t="s">
        <v>772</v>
      </c>
      <c r="I60" s="107"/>
      <c r="J60" s="108"/>
      <c r="K60" s="108"/>
      <c r="L60" s="108"/>
      <c r="M60" s="108"/>
    </row>
    <row r="61" spans="1:13" ht="23.1" customHeight="1" x14ac:dyDescent="0.7">
      <c r="A61" s="148">
        <v>59</v>
      </c>
      <c r="B61" s="334" t="s">
        <v>691</v>
      </c>
      <c r="C61" s="335">
        <v>1</v>
      </c>
      <c r="D61" s="269">
        <v>85600</v>
      </c>
      <c r="E61" s="277">
        <f t="shared" si="8"/>
        <v>85600</v>
      </c>
      <c r="F61" s="334" t="s">
        <v>324</v>
      </c>
      <c r="G61" s="153" t="s">
        <v>369</v>
      </c>
      <c r="H61" s="392" t="s">
        <v>772</v>
      </c>
      <c r="I61" s="107"/>
      <c r="J61" s="108"/>
      <c r="K61" s="108"/>
      <c r="L61" s="108"/>
      <c r="M61" s="108"/>
    </row>
    <row r="62" spans="1:13" ht="23.1" customHeight="1" x14ac:dyDescent="0.7">
      <c r="A62" s="148">
        <v>60</v>
      </c>
      <c r="B62" s="334" t="s">
        <v>692</v>
      </c>
      <c r="C62" s="335">
        <v>1</v>
      </c>
      <c r="D62" s="272">
        <v>8700</v>
      </c>
      <c r="E62" s="277">
        <f t="shared" si="8"/>
        <v>8700</v>
      </c>
      <c r="F62" s="334" t="s">
        <v>728</v>
      </c>
      <c r="G62" s="153" t="s">
        <v>369</v>
      </c>
      <c r="H62" s="392" t="s">
        <v>772</v>
      </c>
      <c r="I62" s="107"/>
      <c r="J62" s="108"/>
      <c r="K62" s="108"/>
      <c r="L62" s="108"/>
      <c r="M62" s="108"/>
    </row>
    <row r="63" spans="1:13" ht="23.1" customHeight="1" x14ac:dyDescent="0.7">
      <c r="A63" s="148">
        <v>61</v>
      </c>
      <c r="B63" s="174" t="s">
        <v>693</v>
      </c>
      <c r="C63" s="270">
        <v>1</v>
      </c>
      <c r="D63" s="271">
        <v>6000</v>
      </c>
      <c r="E63" s="277">
        <f t="shared" si="8"/>
        <v>6000</v>
      </c>
      <c r="F63" s="246" t="s">
        <v>375</v>
      </c>
      <c r="G63" s="153" t="s">
        <v>369</v>
      </c>
      <c r="H63" s="392" t="s">
        <v>772</v>
      </c>
      <c r="I63" s="107"/>
      <c r="J63" s="108"/>
      <c r="K63" s="108"/>
      <c r="L63" s="108"/>
      <c r="M63" s="108"/>
    </row>
    <row r="64" spans="1:13" ht="23.1" customHeight="1" x14ac:dyDescent="0.7">
      <c r="A64" s="148">
        <v>62</v>
      </c>
      <c r="B64" s="246" t="s">
        <v>694</v>
      </c>
      <c r="C64" s="335">
        <v>2</v>
      </c>
      <c r="D64" s="273">
        <v>5990</v>
      </c>
      <c r="E64" s="277">
        <f t="shared" si="8"/>
        <v>11980</v>
      </c>
      <c r="F64" s="246" t="s">
        <v>375</v>
      </c>
      <c r="G64" s="153" t="s">
        <v>369</v>
      </c>
      <c r="H64" s="392" t="s">
        <v>772</v>
      </c>
      <c r="I64" s="107"/>
      <c r="J64" s="108"/>
      <c r="K64" s="108"/>
      <c r="L64" s="108"/>
      <c r="M64" s="108"/>
    </row>
    <row r="65" spans="1:13" ht="23.1" customHeight="1" x14ac:dyDescent="0.7">
      <c r="A65" s="148">
        <v>63</v>
      </c>
      <c r="B65" s="334" t="s">
        <v>695</v>
      </c>
      <c r="C65" s="335">
        <v>1</v>
      </c>
      <c r="D65" s="269">
        <v>35000</v>
      </c>
      <c r="E65" s="277">
        <f t="shared" si="8"/>
        <v>35000</v>
      </c>
      <c r="F65" s="334" t="s">
        <v>729</v>
      </c>
      <c r="G65" s="153" t="s">
        <v>369</v>
      </c>
      <c r="H65" s="392" t="s">
        <v>772</v>
      </c>
      <c r="I65" s="107"/>
      <c r="J65" s="108"/>
      <c r="K65" s="108"/>
      <c r="L65" s="108"/>
      <c r="M65" s="108"/>
    </row>
    <row r="66" spans="1:13" ht="23.1" customHeight="1" x14ac:dyDescent="0.7">
      <c r="A66" s="148">
        <v>64</v>
      </c>
      <c r="B66" s="334" t="s">
        <v>696</v>
      </c>
      <c r="C66" s="335">
        <v>1</v>
      </c>
      <c r="D66" s="269">
        <v>20000</v>
      </c>
      <c r="E66" s="277">
        <f t="shared" si="8"/>
        <v>20000</v>
      </c>
      <c r="F66" s="334" t="s">
        <v>730</v>
      </c>
      <c r="G66" s="153" t="s">
        <v>369</v>
      </c>
      <c r="H66" s="392" t="s">
        <v>772</v>
      </c>
      <c r="I66" s="107"/>
      <c r="J66" s="108"/>
      <c r="K66" s="108"/>
      <c r="L66" s="108"/>
      <c r="M66" s="108"/>
    </row>
    <row r="67" spans="1:13" ht="23.1" customHeight="1" x14ac:dyDescent="0.7">
      <c r="A67" s="148">
        <v>65</v>
      </c>
      <c r="B67" s="334" t="s">
        <v>697</v>
      </c>
      <c r="C67" s="335">
        <v>1</v>
      </c>
      <c r="D67" s="269">
        <v>25000</v>
      </c>
      <c r="E67" s="277">
        <f t="shared" si="8"/>
        <v>25000</v>
      </c>
      <c r="F67" s="334" t="s">
        <v>731</v>
      </c>
      <c r="G67" s="153" t="s">
        <v>369</v>
      </c>
      <c r="H67" s="392" t="s">
        <v>772</v>
      </c>
      <c r="I67" s="107"/>
      <c r="J67" s="108"/>
      <c r="K67" s="108"/>
      <c r="L67" s="108"/>
      <c r="M67" s="108"/>
    </row>
    <row r="68" spans="1:13" ht="23.1" customHeight="1" x14ac:dyDescent="0.7">
      <c r="A68" s="148">
        <v>66</v>
      </c>
      <c r="B68" s="334" t="s">
        <v>698</v>
      </c>
      <c r="C68" s="335">
        <v>1</v>
      </c>
      <c r="D68" s="269">
        <v>28500</v>
      </c>
      <c r="E68" s="277">
        <f t="shared" si="8"/>
        <v>28500</v>
      </c>
      <c r="F68" s="334" t="s">
        <v>731</v>
      </c>
      <c r="G68" s="153" t="s">
        <v>369</v>
      </c>
      <c r="H68" s="392" t="s">
        <v>772</v>
      </c>
      <c r="I68" s="107"/>
      <c r="J68" s="108"/>
      <c r="K68" s="108"/>
      <c r="L68" s="108"/>
      <c r="M68" s="108"/>
    </row>
    <row r="69" spans="1:13" ht="23.1" customHeight="1" x14ac:dyDescent="0.7">
      <c r="A69" s="148">
        <v>67</v>
      </c>
      <c r="B69" s="174" t="s">
        <v>699</v>
      </c>
      <c r="C69" s="270">
        <v>1</v>
      </c>
      <c r="D69" s="271">
        <v>6500</v>
      </c>
      <c r="E69" s="277">
        <f t="shared" si="8"/>
        <v>6500</v>
      </c>
      <c r="F69" s="174" t="s">
        <v>732</v>
      </c>
      <c r="G69" s="153" t="s">
        <v>369</v>
      </c>
      <c r="H69" s="392" t="s">
        <v>772</v>
      </c>
      <c r="I69" s="107"/>
      <c r="J69" s="108"/>
      <c r="K69" s="108"/>
      <c r="L69" s="108"/>
      <c r="M69" s="108"/>
    </row>
    <row r="70" spans="1:13" ht="23.1" customHeight="1" x14ac:dyDescent="0.7">
      <c r="A70" s="148">
        <v>68</v>
      </c>
      <c r="B70" s="334" t="s">
        <v>700</v>
      </c>
      <c r="C70" s="335">
        <v>1</v>
      </c>
      <c r="D70" s="269">
        <v>75000</v>
      </c>
      <c r="E70" s="277">
        <f t="shared" si="8"/>
        <v>75000</v>
      </c>
      <c r="F70" s="334" t="s">
        <v>733</v>
      </c>
      <c r="G70" s="153" t="s">
        <v>369</v>
      </c>
      <c r="H70" s="392" t="s">
        <v>772</v>
      </c>
      <c r="I70" s="107"/>
      <c r="J70" s="108"/>
      <c r="K70" s="108"/>
      <c r="L70" s="108"/>
      <c r="M70" s="108"/>
    </row>
    <row r="71" spans="1:13" ht="23.1" customHeight="1" x14ac:dyDescent="0.7">
      <c r="A71" s="148">
        <v>69</v>
      </c>
      <c r="B71" s="334" t="s">
        <v>701</v>
      </c>
      <c r="C71" s="335">
        <v>1</v>
      </c>
      <c r="D71" s="269">
        <v>85000</v>
      </c>
      <c r="E71" s="277">
        <f t="shared" si="8"/>
        <v>85000</v>
      </c>
      <c r="F71" s="334" t="s">
        <v>373</v>
      </c>
      <c r="G71" s="153" t="s">
        <v>369</v>
      </c>
      <c r="H71" s="392" t="s">
        <v>772</v>
      </c>
      <c r="I71" s="107"/>
      <c r="J71" s="108"/>
      <c r="K71" s="108"/>
      <c r="L71" s="108"/>
      <c r="M71" s="108"/>
    </row>
    <row r="72" spans="1:13" ht="23.1" customHeight="1" x14ac:dyDescent="0.7">
      <c r="A72" s="148">
        <v>70</v>
      </c>
      <c r="B72" s="334" t="s">
        <v>701</v>
      </c>
      <c r="C72" s="335">
        <v>1</v>
      </c>
      <c r="D72" s="269">
        <v>85000</v>
      </c>
      <c r="E72" s="277">
        <f t="shared" si="8"/>
        <v>85000</v>
      </c>
      <c r="F72" s="334" t="s">
        <v>373</v>
      </c>
      <c r="G72" s="153" t="s">
        <v>369</v>
      </c>
      <c r="H72" s="392" t="s">
        <v>772</v>
      </c>
      <c r="I72" s="107"/>
      <c r="J72" s="108"/>
      <c r="K72" s="108"/>
      <c r="L72" s="108"/>
      <c r="M72" s="108"/>
    </row>
    <row r="73" spans="1:13" ht="23.1" customHeight="1" x14ac:dyDescent="0.7">
      <c r="A73" s="148">
        <v>71</v>
      </c>
      <c r="B73" s="334" t="s">
        <v>702</v>
      </c>
      <c r="C73" s="335">
        <v>1</v>
      </c>
      <c r="D73" s="269">
        <v>20000</v>
      </c>
      <c r="E73" s="277">
        <f t="shared" si="8"/>
        <v>20000</v>
      </c>
      <c r="F73" s="334" t="s">
        <v>373</v>
      </c>
      <c r="G73" s="153" t="s">
        <v>369</v>
      </c>
      <c r="H73" s="392" t="s">
        <v>772</v>
      </c>
      <c r="I73" s="107"/>
      <c r="J73" s="108"/>
      <c r="K73" s="108"/>
      <c r="L73" s="108"/>
      <c r="M73" s="108"/>
    </row>
    <row r="74" spans="1:13" ht="23.1" customHeight="1" x14ac:dyDescent="0.7">
      <c r="A74" s="148">
        <v>72</v>
      </c>
      <c r="B74" s="174" t="s">
        <v>703</v>
      </c>
      <c r="C74" s="270">
        <v>1</v>
      </c>
      <c r="D74" s="271">
        <v>12000</v>
      </c>
      <c r="E74" s="277">
        <f t="shared" si="8"/>
        <v>12000</v>
      </c>
      <c r="F74" s="246" t="s">
        <v>734</v>
      </c>
      <c r="G74" s="153" t="s">
        <v>369</v>
      </c>
      <c r="H74" s="392" t="s">
        <v>772</v>
      </c>
      <c r="I74" s="107"/>
      <c r="J74" s="108"/>
      <c r="K74" s="108"/>
      <c r="L74" s="108"/>
      <c r="M74" s="108"/>
    </row>
    <row r="75" spans="1:13" ht="23.1" customHeight="1" x14ac:dyDescent="0.7">
      <c r="A75" s="148">
        <v>73</v>
      </c>
      <c r="B75" s="246" t="s">
        <v>704</v>
      </c>
      <c r="C75" s="335">
        <v>3</v>
      </c>
      <c r="D75" s="273">
        <v>9000</v>
      </c>
      <c r="E75" s="277">
        <f t="shared" si="8"/>
        <v>27000</v>
      </c>
      <c r="F75" s="246" t="s">
        <v>735</v>
      </c>
      <c r="G75" s="153" t="s">
        <v>369</v>
      </c>
      <c r="H75" s="392" t="s">
        <v>772</v>
      </c>
      <c r="I75" s="107"/>
      <c r="J75" s="108"/>
      <c r="K75" s="108"/>
      <c r="L75" s="108"/>
      <c r="M75" s="108"/>
    </row>
    <row r="76" spans="1:13" ht="23.1" customHeight="1" x14ac:dyDescent="0.7">
      <c r="A76" s="148">
        <v>74</v>
      </c>
      <c r="B76" s="334" t="s">
        <v>705</v>
      </c>
      <c r="C76" s="335">
        <v>1</v>
      </c>
      <c r="D76" s="334">
        <v>85000</v>
      </c>
      <c r="E76" s="277">
        <f t="shared" si="8"/>
        <v>85000</v>
      </c>
      <c r="F76" s="334" t="s">
        <v>736</v>
      </c>
      <c r="G76" s="153" t="s">
        <v>369</v>
      </c>
      <c r="H76" s="392" t="s">
        <v>772</v>
      </c>
      <c r="I76" s="107"/>
      <c r="J76" s="108"/>
      <c r="K76" s="108"/>
      <c r="L76" s="108"/>
      <c r="M76" s="108"/>
    </row>
    <row r="77" spans="1:13" ht="23.1" customHeight="1" x14ac:dyDescent="0.7">
      <c r="A77" s="148">
        <v>75</v>
      </c>
      <c r="B77" s="334" t="s">
        <v>706</v>
      </c>
      <c r="C77" s="335">
        <v>1</v>
      </c>
      <c r="D77" s="269">
        <v>280000</v>
      </c>
      <c r="E77" s="277">
        <f t="shared" si="8"/>
        <v>280000</v>
      </c>
      <c r="F77" s="334" t="s">
        <v>332</v>
      </c>
      <c r="G77" s="153" t="s">
        <v>369</v>
      </c>
      <c r="H77" s="392" t="s">
        <v>772</v>
      </c>
      <c r="I77" s="107"/>
      <c r="J77" s="108"/>
      <c r="K77" s="108"/>
      <c r="L77" s="108"/>
      <c r="M77" s="108"/>
    </row>
    <row r="78" spans="1:13" ht="23.1" customHeight="1" x14ac:dyDescent="0.7">
      <c r="A78" s="148">
        <v>76</v>
      </c>
      <c r="B78" s="334" t="s">
        <v>707</v>
      </c>
      <c r="C78" s="335">
        <v>1</v>
      </c>
      <c r="D78" s="269">
        <v>15000</v>
      </c>
      <c r="E78" s="277">
        <f t="shared" si="8"/>
        <v>15000</v>
      </c>
      <c r="F78" s="334" t="s">
        <v>332</v>
      </c>
      <c r="G78" s="153" t="s">
        <v>369</v>
      </c>
      <c r="H78" s="392" t="s">
        <v>772</v>
      </c>
      <c r="I78" s="107"/>
      <c r="J78" s="108"/>
      <c r="K78" s="108"/>
      <c r="L78" s="108"/>
      <c r="M78" s="108"/>
    </row>
    <row r="79" spans="1:13" ht="23.1" customHeight="1" x14ac:dyDescent="0.7">
      <c r="A79" s="148">
        <v>77</v>
      </c>
      <c r="B79" s="334" t="s">
        <v>708</v>
      </c>
      <c r="C79" s="335">
        <v>1</v>
      </c>
      <c r="D79" s="269">
        <v>60000</v>
      </c>
      <c r="E79" s="277">
        <f t="shared" si="8"/>
        <v>60000</v>
      </c>
      <c r="F79" s="334" t="s">
        <v>626</v>
      </c>
      <c r="G79" s="153" t="s">
        <v>369</v>
      </c>
      <c r="H79" s="392" t="s">
        <v>772</v>
      </c>
      <c r="I79" s="107"/>
      <c r="J79" s="108"/>
      <c r="K79" s="108"/>
      <c r="L79" s="108"/>
      <c r="M79" s="108"/>
    </row>
    <row r="80" spans="1:13" ht="23.1" customHeight="1" x14ac:dyDescent="0.7">
      <c r="A80" s="148">
        <v>78</v>
      </c>
      <c r="B80" s="334" t="s">
        <v>709</v>
      </c>
      <c r="C80" s="335">
        <v>3</v>
      </c>
      <c r="D80" s="269">
        <v>10000</v>
      </c>
      <c r="E80" s="277">
        <f t="shared" si="8"/>
        <v>30000</v>
      </c>
      <c r="F80" s="334" t="s">
        <v>626</v>
      </c>
      <c r="G80" s="153" t="s">
        <v>369</v>
      </c>
      <c r="H80" s="392" t="s">
        <v>772</v>
      </c>
      <c r="I80" s="107"/>
      <c r="J80" s="108"/>
      <c r="K80" s="108"/>
      <c r="L80" s="108"/>
      <c r="M80" s="108"/>
    </row>
    <row r="81" spans="1:13" ht="23.1" customHeight="1" x14ac:dyDescent="0.7">
      <c r="A81" s="148">
        <v>79</v>
      </c>
      <c r="B81" s="334" t="s">
        <v>710</v>
      </c>
      <c r="C81" s="335">
        <v>2</v>
      </c>
      <c r="D81" s="269">
        <v>49950</v>
      </c>
      <c r="E81" s="277">
        <f t="shared" si="8"/>
        <v>99900</v>
      </c>
      <c r="F81" s="334" t="s">
        <v>737</v>
      </c>
      <c r="G81" s="153" t="s">
        <v>369</v>
      </c>
      <c r="H81" s="392" t="s">
        <v>772</v>
      </c>
      <c r="I81" s="107"/>
      <c r="J81" s="108"/>
      <c r="K81" s="108"/>
      <c r="L81" s="108"/>
      <c r="M81" s="108"/>
    </row>
    <row r="82" spans="1:13" ht="23.1" customHeight="1" x14ac:dyDescent="0.7">
      <c r="A82" s="148">
        <v>80</v>
      </c>
      <c r="B82" s="334" t="s">
        <v>711</v>
      </c>
      <c r="C82" s="335">
        <v>1</v>
      </c>
      <c r="D82" s="269">
        <v>850000</v>
      </c>
      <c r="E82" s="277">
        <f t="shared" si="8"/>
        <v>850000</v>
      </c>
      <c r="F82" s="334" t="s">
        <v>738</v>
      </c>
      <c r="G82" s="153" t="s">
        <v>369</v>
      </c>
      <c r="H82" s="392" t="s">
        <v>772</v>
      </c>
      <c r="I82" s="107"/>
      <c r="J82" s="108"/>
      <c r="K82" s="108"/>
      <c r="L82" s="108"/>
      <c r="M82" s="108"/>
    </row>
    <row r="83" spans="1:13" ht="23.1" customHeight="1" x14ac:dyDescent="0.7">
      <c r="A83" s="148">
        <v>81</v>
      </c>
      <c r="B83" s="334" t="s">
        <v>712</v>
      </c>
      <c r="C83" s="335">
        <v>1</v>
      </c>
      <c r="D83" s="269">
        <v>130000</v>
      </c>
      <c r="E83" s="277">
        <f t="shared" si="8"/>
        <v>130000</v>
      </c>
      <c r="F83" s="334" t="s">
        <v>510</v>
      </c>
      <c r="G83" s="153" t="s">
        <v>369</v>
      </c>
      <c r="H83" s="392" t="s">
        <v>772</v>
      </c>
      <c r="I83" s="107"/>
      <c r="J83" s="108"/>
      <c r="K83" s="108"/>
      <c r="L83" s="108"/>
      <c r="M83" s="108"/>
    </row>
    <row r="84" spans="1:13" ht="23.1" customHeight="1" x14ac:dyDescent="0.7">
      <c r="A84" s="148">
        <v>82</v>
      </c>
      <c r="B84" s="334" t="s">
        <v>713</v>
      </c>
      <c r="C84" s="335">
        <v>1</v>
      </c>
      <c r="D84" s="269">
        <v>30000</v>
      </c>
      <c r="E84" s="277">
        <f t="shared" si="8"/>
        <v>30000</v>
      </c>
      <c r="F84" s="334" t="s">
        <v>510</v>
      </c>
      <c r="G84" s="153" t="s">
        <v>369</v>
      </c>
      <c r="H84" s="392" t="s">
        <v>772</v>
      </c>
      <c r="I84" s="107"/>
      <c r="J84" s="108"/>
      <c r="K84" s="108"/>
      <c r="L84" s="108"/>
      <c r="M84" s="108"/>
    </row>
    <row r="85" spans="1:13" ht="23.1" customHeight="1" x14ac:dyDescent="0.7">
      <c r="A85" s="148">
        <v>83</v>
      </c>
      <c r="B85" s="334" t="s">
        <v>714</v>
      </c>
      <c r="C85" s="335">
        <v>1</v>
      </c>
      <c r="D85" s="269">
        <v>14000</v>
      </c>
      <c r="E85" s="277">
        <f t="shared" si="8"/>
        <v>14000</v>
      </c>
      <c r="F85" s="334" t="s">
        <v>510</v>
      </c>
      <c r="G85" s="153" t="s">
        <v>369</v>
      </c>
      <c r="H85" s="392" t="s">
        <v>772</v>
      </c>
      <c r="I85" s="107"/>
      <c r="J85" s="108"/>
      <c r="K85" s="108"/>
      <c r="L85" s="108"/>
      <c r="M85" s="108"/>
    </row>
    <row r="86" spans="1:13" ht="23.1" customHeight="1" x14ac:dyDescent="0.7">
      <c r="A86" s="148">
        <v>84</v>
      </c>
      <c r="B86" s="334" t="s">
        <v>715</v>
      </c>
      <c r="C86" s="335">
        <v>1</v>
      </c>
      <c r="D86" s="269">
        <v>5000</v>
      </c>
      <c r="E86" s="277">
        <f t="shared" si="8"/>
        <v>5000</v>
      </c>
      <c r="F86" s="334" t="s">
        <v>510</v>
      </c>
      <c r="G86" s="153" t="s">
        <v>369</v>
      </c>
      <c r="H86" s="392" t="s">
        <v>772</v>
      </c>
      <c r="I86" s="107"/>
      <c r="J86" s="108"/>
      <c r="K86" s="108"/>
      <c r="L86" s="108"/>
      <c r="M86" s="108"/>
    </row>
    <row r="87" spans="1:13" ht="23.1" customHeight="1" x14ac:dyDescent="0.7">
      <c r="A87" s="148">
        <v>85</v>
      </c>
      <c r="B87" s="334" t="s">
        <v>716</v>
      </c>
      <c r="C87" s="335">
        <v>1</v>
      </c>
      <c r="D87" s="269">
        <v>350000</v>
      </c>
      <c r="E87" s="277">
        <f t="shared" si="8"/>
        <v>350000</v>
      </c>
      <c r="F87" s="334" t="s">
        <v>602</v>
      </c>
      <c r="G87" s="153" t="s">
        <v>369</v>
      </c>
      <c r="H87" s="392" t="s">
        <v>772</v>
      </c>
      <c r="I87" s="107"/>
      <c r="J87" s="108"/>
      <c r="K87" s="108"/>
      <c r="L87" s="108"/>
      <c r="M87" s="108"/>
    </row>
    <row r="88" spans="1:13" ht="23.1" customHeight="1" x14ac:dyDescent="0.7">
      <c r="A88" s="148">
        <v>86</v>
      </c>
      <c r="B88" s="334" t="s">
        <v>100</v>
      </c>
      <c r="C88" s="335">
        <v>1</v>
      </c>
      <c r="D88" s="269">
        <v>579900</v>
      </c>
      <c r="E88" s="277">
        <f t="shared" si="8"/>
        <v>579900</v>
      </c>
      <c r="F88" s="334" t="s">
        <v>328</v>
      </c>
      <c r="G88" s="153" t="s">
        <v>369</v>
      </c>
      <c r="H88" s="392" t="s">
        <v>772</v>
      </c>
      <c r="I88" s="107"/>
      <c r="J88" s="108"/>
      <c r="K88" s="108"/>
      <c r="L88" s="108"/>
      <c r="M88" s="108"/>
    </row>
    <row r="89" spans="1:13" ht="23.1" customHeight="1" x14ac:dyDescent="0.7">
      <c r="A89" s="148">
        <v>87</v>
      </c>
      <c r="B89" s="334" t="s">
        <v>717</v>
      </c>
      <c r="C89" s="335">
        <v>1</v>
      </c>
      <c r="D89" s="269">
        <v>35100</v>
      </c>
      <c r="E89" s="277">
        <f t="shared" si="8"/>
        <v>35100</v>
      </c>
      <c r="F89" s="334" t="s">
        <v>328</v>
      </c>
      <c r="G89" s="153" t="s">
        <v>369</v>
      </c>
      <c r="H89" s="392" t="s">
        <v>772</v>
      </c>
      <c r="I89" s="107"/>
      <c r="J89" s="108"/>
      <c r="K89" s="108"/>
      <c r="L89" s="108"/>
      <c r="M89" s="108"/>
    </row>
    <row r="90" spans="1:13" ht="23.1" customHeight="1" x14ac:dyDescent="0.7">
      <c r="A90" s="148">
        <v>88</v>
      </c>
      <c r="B90" s="334" t="s">
        <v>718</v>
      </c>
      <c r="C90" s="335">
        <v>1</v>
      </c>
      <c r="D90" s="269">
        <v>19000</v>
      </c>
      <c r="E90" s="277">
        <f t="shared" si="8"/>
        <v>19000</v>
      </c>
      <c r="F90" s="334" t="s">
        <v>328</v>
      </c>
      <c r="G90" s="153" t="s">
        <v>369</v>
      </c>
      <c r="H90" s="392" t="s">
        <v>772</v>
      </c>
      <c r="I90" s="107"/>
      <c r="J90" s="108"/>
      <c r="K90" s="108"/>
      <c r="L90" s="108"/>
      <c r="M90" s="108"/>
    </row>
    <row r="91" spans="1:13" ht="23.1" customHeight="1" x14ac:dyDescent="0.7">
      <c r="A91" s="148">
        <v>89</v>
      </c>
      <c r="B91" s="334" t="s">
        <v>744</v>
      </c>
      <c r="C91" s="335">
        <v>1</v>
      </c>
      <c r="D91" s="269">
        <v>35000</v>
      </c>
      <c r="E91" s="277">
        <f t="shared" si="8"/>
        <v>35000</v>
      </c>
      <c r="F91" s="334" t="s">
        <v>328</v>
      </c>
      <c r="G91" s="153" t="s">
        <v>369</v>
      </c>
      <c r="H91" s="392" t="s">
        <v>772</v>
      </c>
      <c r="I91" s="107"/>
      <c r="J91" s="108"/>
      <c r="K91" s="108"/>
      <c r="L91" s="108"/>
      <c r="M91" s="108"/>
    </row>
    <row r="92" spans="1:13" ht="23.1" customHeight="1" x14ac:dyDescent="0.7">
      <c r="A92" s="148">
        <v>90</v>
      </c>
      <c r="B92" s="334" t="s">
        <v>717</v>
      </c>
      <c r="C92" s="335">
        <v>1</v>
      </c>
      <c r="D92" s="269">
        <v>35100</v>
      </c>
      <c r="E92" s="277">
        <f t="shared" si="8"/>
        <v>35100</v>
      </c>
      <c r="F92" s="334" t="s">
        <v>328</v>
      </c>
      <c r="G92" s="153" t="s">
        <v>369</v>
      </c>
      <c r="H92" s="392" t="s">
        <v>772</v>
      </c>
      <c r="I92" s="107"/>
      <c r="J92" s="108"/>
      <c r="K92" s="108"/>
      <c r="L92" s="108"/>
      <c r="M92" s="108"/>
    </row>
    <row r="93" spans="1:13" ht="23.1" customHeight="1" x14ac:dyDescent="0.7">
      <c r="A93" s="148">
        <v>91</v>
      </c>
      <c r="B93" s="334" t="s">
        <v>719</v>
      </c>
      <c r="C93" s="335">
        <v>1</v>
      </c>
      <c r="D93" s="269">
        <v>71500</v>
      </c>
      <c r="E93" s="277">
        <f t="shared" si="8"/>
        <v>71500</v>
      </c>
      <c r="F93" s="334" t="s">
        <v>328</v>
      </c>
      <c r="G93" s="153" t="s">
        <v>369</v>
      </c>
      <c r="H93" s="392" t="s">
        <v>772</v>
      </c>
      <c r="I93" s="107"/>
      <c r="J93" s="108"/>
      <c r="K93" s="108"/>
      <c r="L93" s="108"/>
      <c r="M93" s="108"/>
    </row>
    <row r="94" spans="1:13" ht="23.1" customHeight="1" x14ac:dyDescent="0.7">
      <c r="A94" s="148">
        <v>92</v>
      </c>
      <c r="B94" s="334" t="s">
        <v>720</v>
      </c>
      <c r="C94" s="335">
        <v>1</v>
      </c>
      <c r="D94" s="269">
        <v>180000</v>
      </c>
      <c r="E94" s="277">
        <f t="shared" si="8"/>
        <v>180000</v>
      </c>
      <c r="F94" s="334" t="s">
        <v>621</v>
      </c>
      <c r="G94" s="153" t="s">
        <v>369</v>
      </c>
      <c r="H94" s="392" t="s">
        <v>772</v>
      </c>
      <c r="I94" s="107"/>
      <c r="J94" s="108"/>
      <c r="K94" s="108"/>
      <c r="L94" s="108"/>
      <c r="M94" s="108"/>
    </row>
    <row r="95" spans="1:13" ht="23.1" customHeight="1" x14ac:dyDescent="0.7">
      <c r="A95" s="148">
        <v>93</v>
      </c>
      <c r="B95" s="334" t="s">
        <v>745</v>
      </c>
      <c r="C95" s="335">
        <v>1</v>
      </c>
      <c r="D95" s="269">
        <v>74000</v>
      </c>
      <c r="E95" s="277">
        <f t="shared" si="8"/>
        <v>74000</v>
      </c>
      <c r="F95" s="334" t="s">
        <v>739</v>
      </c>
      <c r="G95" s="153" t="s">
        <v>369</v>
      </c>
      <c r="H95" s="392" t="s">
        <v>772</v>
      </c>
      <c r="I95" s="107"/>
      <c r="J95" s="108"/>
      <c r="K95" s="108"/>
      <c r="L95" s="108"/>
      <c r="M95" s="108"/>
    </row>
    <row r="96" spans="1:13" ht="23.1" customHeight="1" x14ac:dyDescent="0.7">
      <c r="A96" s="148">
        <v>94</v>
      </c>
      <c r="B96" s="334" t="s">
        <v>746</v>
      </c>
      <c r="C96" s="335">
        <v>1</v>
      </c>
      <c r="D96" s="269">
        <v>80000</v>
      </c>
      <c r="E96" s="277">
        <f t="shared" si="8"/>
        <v>80000</v>
      </c>
      <c r="F96" s="334" t="s">
        <v>739</v>
      </c>
      <c r="G96" s="153" t="s">
        <v>369</v>
      </c>
      <c r="H96" s="392" t="s">
        <v>772</v>
      </c>
      <c r="I96" s="107"/>
      <c r="J96" s="108"/>
      <c r="K96" s="108"/>
      <c r="L96" s="108"/>
      <c r="M96" s="108"/>
    </row>
    <row r="97" spans="1:13" ht="23.1" customHeight="1" x14ac:dyDescent="0.7">
      <c r="A97" s="148">
        <v>95</v>
      </c>
      <c r="B97" s="334" t="s">
        <v>747</v>
      </c>
      <c r="C97" s="335">
        <v>1</v>
      </c>
      <c r="D97" s="269">
        <v>14000</v>
      </c>
      <c r="E97" s="277">
        <f t="shared" si="8"/>
        <v>14000</v>
      </c>
      <c r="F97" s="334" t="s">
        <v>739</v>
      </c>
      <c r="G97" s="153" t="s">
        <v>369</v>
      </c>
      <c r="H97" s="392" t="s">
        <v>772</v>
      </c>
      <c r="I97" s="107"/>
      <c r="J97" s="108"/>
      <c r="K97" s="108"/>
      <c r="L97" s="108"/>
      <c r="M97" s="108"/>
    </row>
    <row r="98" spans="1:13" ht="23.1" customHeight="1" x14ac:dyDescent="0.7">
      <c r="A98" s="148">
        <v>96</v>
      </c>
      <c r="B98" s="246" t="s">
        <v>721</v>
      </c>
      <c r="C98" s="335">
        <v>4</v>
      </c>
      <c r="D98" s="273">
        <v>33000</v>
      </c>
      <c r="E98" s="277">
        <f t="shared" si="8"/>
        <v>132000</v>
      </c>
      <c r="F98" s="246" t="s">
        <v>350</v>
      </c>
      <c r="G98" s="153" t="s">
        <v>369</v>
      </c>
      <c r="H98" s="392" t="s">
        <v>772</v>
      </c>
      <c r="I98" s="107"/>
      <c r="J98" s="108"/>
      <c r="K98" s="108"/>
      <c r="L98" s="108"/>
      <c r="M98" s="108"/>
    </row>
    <row r="99" spans="1:13" ht="23.1" customHeight="1" x14ac:dyDescent="0.7">
      <c r="A99" s="148">
        <v>97</v>
      </c>
      <c r="B99" s="334" t="s">
        <v>722</v>
      </c>
      <c r="C99" s="335">
        <v>1</v>
      </c>
      <c r="D99" s="269">
        <v>405000</v>
      </c>
      <c r="E99" s="277">
        <f t="shared" si="8"/>
        <v>405000</v>
      </c>
      <c r="F99" s="334" t="s">
        <v>337</v>
      </c>
      <c r="G99" s="153" t="s">
        <v>369</v>
      </c>
      <c r="H99" s="392" t="s">
        <v>772</v>
      </c>
      <c r="I99" s="107"/>
      <c r="J99" s="108"/>
      <c r="K99" s="108"/>
      <c r="L99" s="108"/>
      <c r="M99" s="108"/>
    </row>
    <row r="100" spans="1:13" ht="23.1" customHeight="1" x14ac:dyDescent="0.7">
      <c r="A100" s="148">
        <v>98</v>
      </c>
      <c r="B100" s="334" t="s">
        <v>723</v>
      </c>
      <c r="C100" s="335">
        <v>2</v>
      </c>
      <c r="D100" s="269">
        <v>200000</v>
      </c>
      <c r="E100" s="277">
        <f t="shared" si="8"/>
        <v>400000</v>
      </c>
      <c r="F100" s="334" t="s">
        <v>617</v>
      </c>
      <c r="G100" s="153" t="s">
        <v>369</v>
      </c>
      <c r="H100" s="392" t="s">
        <v>772</v>
      </c>
      <c r="I100" s="107"/>
      <c r="J100" s="108"/>
      <c r="K100" s="108"/>
      <c r="L100" s="108"/>
      <c r="M100" s="108"/>
    </row>
    <row r="101" spans="1:13" ht="23.1" customHeight="1" x14ac:dyDescent="0.7">
      <c r="A101" s="148">
        <v>99</v>
      </c>
      <c r="B101" s="334" t="s">
        <v>724</v>
      </c>
      <c r="C101" s="335">
        <v>1</v>
      </c>
      <c r="D101" s="269">
        <v>10000</v>
      </c>
      <c r="E101" s="277">
        <f t="shared" si="8"/>
        <v>10000</v>
      </c>
      <c r="F101" s="334" t="s">
        <v>617</v>
      </c>
      <c r="G101" s="153" t="s">
        <v>369</v>
      </c>
      <c r="H101" s="392" t="s">
        <v>772</v>
      </c>
      <c r="I101" s="107"/>
      <c r="J101" s="108"/>
      <c r="K101" s="108"/>
      <c r="L101" s="108"/>
      <c r="M101" s="108"/>
    </row>
    <row r="102" spans="1:13" ht="23.1" customHeight="1" x14ac:dyDescent="0.7">
      <c r="A102" s="148">
        <v>100</v>
      </c>
      <c r="B102" s="334" t="s">
        <v>101</v>
      </c>
      <c r="C102" s="335">
        <v>2</v>
      </c>
      <c r="D102" s="269">
        <v>120000</v>
      </c>
      <c r="E102" s="277">
        <f t="shared" si="8"/>
        <v>240000</v>
      </c>
      <c r="F102" s="334" t="s">
        <v>740</v>
      </c>
      <c r="G102" s="153" t="s">
        <v>369</v>
      </c>
      <c r="H102" s="392" t="s">
        <v>772</v>
      </c>
      <c r="I102" s="107"/>
      <c r="J102" s="108"/>
      <c r="K102" s="108"/>
      <c r="L102" s="108"/>
      <c r="M102" s="108"/>
    </row>
    <row r="103" spans="1:13" ht="23.1" customHeight="1" x14ac:dyDescent="0.7">
      <c r="A103" s="148">
        <v>101</v>
      </c>
      <c r="B103" s="174" t="s">
        <v>725</v>
      </c>
      <c r="C103" s="270">
        <v>1</v>
      </c>
      <c r="D103" s="271">
        <v>20000</v>
      </c>
      <c r="E103" s="277">
        <f t="shared" si="8"/>
        <v>20000</v>
      </c>
      <c r="F103" s="174" t="s">
        <v>741</v>
      </c>
      <c r="G103" s="153" t="s">
        <v>369</v>
      </c>
      <c r="H103" s="392" t="s">
        <v>772</v>
      </c>
      <c r="I103" s="107"/>
      <c r="J103" s="108"/>
      <c r="K103" s="108"/>
      <c r="L103" s="108"/>
      <c r="M103" s="108"/>
    </row>
    <row r="104" spans="1:13" ht="23.1" customHeight="1" x14ac:dyDescent="0.7">
      <c r="A104" s="148">
        <v>102</v>
      </c>
      <c r="B104" s="203" t="s">
        <v>726</v>
      </c>
      <c r="C104" s="154">
        <v>1</v>
      </c>
      <c r="D104" s="274">
        <v>9800</v>
      </c>
      <c r="E104" s="277">
        <f t="shared" si="8"/>
        <v>9800</v>
      </c>
      <c r="F104" s="203" t="s">
        <v>553</v>
      </c>
      <c r="G104" s="153" t="s">
        <v>369</v>
      </c>
      <c r="H104" s="392" t="s">
        <v>772</v>
      </c>
      <c r="I104" s="107"/>
      <c r="J104" s="108"/>
      <c r="K104" s="108"/>
      <c r="L104" s="108"/>
      <c r="M104" s="108"/>
    </row>
    <row r="105" spans="1:13" ht="23.1" customHeight="1" x14ac:dyDescent="0.7">
      <c r="A105" s="148">
        <v>103</v>
      </c>
      <c r="B105" s="334" t="s">
        <v>727</v>
      </c>
      <c r="C105" s="335">
        <v>21</v>
      </c>
      <c r="D105" s="269">
        <v>8400</v>
      </c>
      <c r="E105" s="277">
        <f t="shared" si="8"/>
        <v>176400</v>
      </c>
      <c r="F105" s="334" t="s">
        <v>742</v>
      </c>
      <c r="G105" s="153" t="s">
        <v>369</v>
      </c>
      <c r="H105" s="392" t="s">
        <v>772</v>
      </c>
      <c r="I105" s="107"/>
      <c r="J105" s="108"/>
      <c r="K105" s="108"/>
      <c r="L105" s="108"/>
      <c r="M105" s="108"/>
    </row>
    <row r="106" spans="1:13" s="159" customFormat="1" ht="23.1" customHeight="1" x14ac:dyDescent="0.7">
      <c r="A106" s="148">
        <v>104</v>
      </c>
      <c r="B106" s="147" t="s">
        <v>871</v>
      </c>
      <c r="C106" s="148">
        <v>1</v>
      </c>
      <c r="D106" s="150">
        <v>2500000</v>
      </c>
      <c r="E106" s="206">
        <f>+C106*D106</f>
        <v>2500000</v>
      </c>
      <c r="F106" s="201"/>
      <c r="G106" s="153" t="s">
        <v>369</v>
      </c>
      <c r="H106" s="392" t="str">
        <f>+H160</f>
        <v>รายการใหม่ปรับแผน(ครึ่งปีหลัง)</v>
      </c>
      <c r="I106" s="221"/>
    </row>
    <row r="107" spans="1:13" s="159" customFormat="1" ht="23.1" customHeight="1" x14ac:dyDescent="0.7">
      <c r="A107" s="148">
        <v>105</v>
      </c>
      <c r="B107" s="110" t="s">
        <v>916</v>
      </c>
      <c r="C107" s="109">
        <v>1</v>
      </c>
      <c r="D107" s="127">
        <v>450000</v>
      </c>
      <c r="E107" s="206">
        <f>+C107*D107</f>
        <v>450000</v>
      </c>
      <c r="F107" s="390" t="s">
        <v>320</v>
      </c>
      <c r="G107" s="153" t="s">
        <v>369</v>
      </c>
      <c r="H107" s="392" t="str">
        <f>+H161</f>
        <v>นอกแผนอนุมัติ เข้าแผน (ครึ่งปีหลัง)</v>
      </c>
      <c r="I107" s="221"/>
    </row>
    <row r="108" spans="1:13" s="286" customFormat="1" ht="24.6" x14ac:dyDescent="0.7">
      <c r="A108" s="281"/>
      <c r="B108" s="145"/>
      <c r="C108" s="296"/>
      <c r="D108" s="297" t="s">
        <v>3</v>
      </c>
      <c r="E108" s="298">
        <f>SUM(E3:E107)</f>
        <v>45077247.129999995</v>
      </c>
      <c r="F108" s="145"/>
      <c r="G108" s="299"/>
      <c r="H108" s="145"/>
      <c r="I108" s="284"/>
      <c r="J108" s="285"/>
      <c r="K108" s="285"/>
      <c r="L108" s="285"/>
      <c r="M108" s="285"/>
    </row>
    <row r="109" spans="1:13" ht="24" customHeight="1" x14ac:dyDescent="0.25">
      <c r="A109" s="148">
        <v>106</v>
      </c>
      <c r="B109" s="176" t="s">
        <v>103</v>
      </c>
      <c r="C109" s="148">
        <v>1</v>
      </c>
      <c r="D109" s="175">
        <v>2000000</v>
      </c>
      <c r="E109" s="175">
        <f t="shared" si="0"/>
        <v>2000000</v>
      </c>
      <c r="F109" s="147" t="s">
        <v>336</v>
      </c>
      <c r="G109" s="147" t="s">
        <v>609</v>
      </c>
      <c r="H109" s="178" t="s">
        <v>473</v>
      </c>
      <c r="I109" s="107"/>
      <c r="J109" s="108"/>
      <c r="K109" s="108"/>
      <c r="L109" s="108"/>
      <c r="M109" s="108"/>
    </row>
    <row r="110" spans="1:13" ht="23.1" customHeight="1" x14ac:dyDescent="0.7">
      <c r="A110" s="244">
        <v>107</v>
      </c>
      <c r="B110" s="176" t="s">
        <v>105</v>
      </c>
      <c r="C110" s="148">
        <v>3</v>
      </c>
      <c r="D110" s="205">
        <f>+E110/C110</f>
        <v>278091.66666666669</v>
      </c>
      <c r="E110" s="175">
        <v>834275</v>
      </c>
      <c r="F110" s="147" t="s">
        <v>321</v>
      </c>
      <c r="G110" s="147" t="s">
        <v>609</v>
      </c>
      <c r="H110" s="153" t="str">
        <f>+H10</f>
        <v>14.เบิกจ่ายแล้ว</v>
      </c>
      <c r="I110" s="107"/>
      <c r="J110" s="108"/>
      <c r="K110" s="108"/>
      <c r="L110" s="108"/>
      <c r="M110" s="108"/>
    </row>
    <row r="111" spans="1:13" ht="23.1" customHeight="1" x14ac:dyDescent="0.7">
      <c r="A111" s="148">
        <v>108</v>
      </c>
      <c r="B111" s="151" t="s">
        <v>423</v>
      </c>
      <c r="C111" s="141">
        <v>1</v>
      </c>
      <c r="D111" s="264">
        <v>720000</v>
      </c>
      <c r="E111" s="300">
        <f>+C111*D111</f>
        <v>720000</v>
      </c>
      <c r="F111" s="180"/>
      <c r="G111" s="180" t="s">
        <v>609</v>
      </c>
      <c r="H111" s="180"/>
      <c r="I111" s="107"/>
      <c r="J111" s="108"/>
      <c r="K111" s="108"/>
      <c r="L111" s="108"/>
      <c r="M111" s="108"/>
    </row>
    <row r="112" spans="1:13" ht="23.1" customHeight="1" x14ac:dyDescent="0.7">
      <c r="A112" s="148">
        <v>109</v>
      </c>
      <c r="B112" s="203" t="s">
        <v>748</v>
      </c>
      <c r="C112" s="154">
        <v>1</v>
      </c>
      <c r="D112" s="274">
        <v>9290</v>
      </c>
      <c r="E112" s="274">
        <f t="shared" ref="E112:E134" si="9">+C112*D112</f>
        <v>9290</v>
      </c>
      <c r="F112" s="203" t="s">
        <v>624</v>
      </c>
      <c r="G112" s="225" t="s">
        <v>609</v>
      </c>
      <c r="H112" s="180" t="str">
        <f>+H52</f>
        <v>รายการใหม่ปรับแผน(ครึ่งปีหลัง)</v>
      </c>
      <c r="I112" s="107"/>
      <c r="J112" s="108"/>
      <c r="K112" s="108"/>
      <c r="L112" s="108"/>
      <c r="M112" s="108"/>
    </row>
    <row r="113" spans="1:13" ht="23.1" customHeight="1" x14ac:dyDescent="0.7">
      <c r="A113" s="244">
        <v>110</v>
      </c>
      <c r="B113" s="201" t="s">
        <v>749</v>
      </c>
      <c r="C113" s="223">
        <v>12</v>
      </c>
      <c r="D113" s="277">
        <v>39630</v>
      </c>
      <c r="E113" s="274">
        <f t="shared" si="9"/>
        <v>475560</v>
      </c>
      <c r="F113" s="279" t="s">
        <v>769</v>
      </c>
      <c r="G113" s="180" t="s">
        <v>609</v>
      </c>
      <c r="H113" s="180" t="str">
        <f>+H105</f>
        <v>นอกแผนอนุมัติ เข้าแผน (ครึ่งปีหลัง)</v>
      </c>
      <c r="I113" s="107"/>
      <c r="J113" s="108"/>
      <c r="K113" s="108"/>
      <c r="L113" s="108"/>
      <c r="M113" s="108"/>
    </row>
    <row r="114" spans="1:13" ht="23.1" customHeight="1" x14ac:dyDescent="0.7">
      <c r="A114" s="148">
        <v>111</v>
      </c>
      <c r="B114" s="334" t="s">
        <v>768</v>
      </c>
      <c r="C114" s="335">
        <v>2</v>
      </c>
      <c r="D114" s="269">
        <v>2290</v>
      </c>
      <c r="E114" s="274">
        <f t="shared" si="9"/>
        <v>4580</v>
      </c>
      <c r="F114" s="203" t="s">
        <v>769</v>
      </c>
      <c r="G114" s="180" t="s">
        <v>609</v>
      </c>
      <c r="H114" s="180" t="str">
        <f>+H113</f>
        <v>นอกแผนอนุมัติ เข้าแผน (ครึ่งปีหลัง)</v>
      </c>
      <c r="I114" s="107"/>
      <c r="J114" s="108"/>
      <c r="K114" s="108"/>
      <c r="L114" s="108"/>
      <c r="M114" s="108"/>
    </row>
    <row r="115" spans="1:13" ht="23.1" customHeight="1" x14ac:dyDescent="0.7">
      <c r="A115" s="148">
        <v>112</v>
      </c>
      <c r="B115" s="334" t="s">
        <v>767</v>
      </c>
      <c r="C115" s="335">
        <v>3</v>
      </c>
      <c r="D115" s="269">
        <v>10500</v>
      </c>
      <c r="E115" s="274">
        <f t="shared" si="9"/>
        <v>31500</v>
      </c>
      <c r="F115" s="203" t="s">
        <v>769</v>
      </c>
      <c r="G115" s="180" t="s">
        <v>609</v>
      </c>
      <c r="H115" s="180" t="str">
        <f>+H114</f>
        <v>นอกแผนอนุมัติ เข้าแผน (ครึ่งปีหลัง)</v>
      </c>
      <c r="I115" s="107"/>
      <c r="J115" s="108"/>
      <c r="K115" s="108"/>
      <c r="L115" s="108"/>
      <c r="M115" s="108"/>
    </row>
    <row r="116" spans="1:13" ht="23.1" customHeight="1" x14ac:dyDescent="0.7">
      <c r="A116" s="244">
        <v>113</v>
      </c>
      <c r="B116" s="334" t="s">
        <v>766</v>
      </c>
      <c r="C116" s="335">
        <v>33</v>
      </c>
      <c r="D116" s="269">
        <v>5690</v>
      </c>
      <c r="E116" s="274">
        <f t="shared" si="9"/>
        <v>187770</v>
      </c>
      <c r="F116" s="203" t="s">
        <v>769</v>
      </c>
      <c r="G116" s="180" t="s">
        <v>609</v>
      </c>
      <c r="H116" s="180" t="str">
        <f t="shared" ref="H116:H134" si="10">+H115</f>
        <v>นอกแผนอนุมัติ เข้าแผน (ครึ่งปีหลัง)</v>
      </c>
      <c r="I116" s="107"/>
      <c r="J116" s="108"/>
      <c r="K116" s="108"/>
      <c r="L116" s="108"/>
      <c r="M116" s="108"/>
    </row>
    <row r="117" spans="1:13" ht="23.1" customHeight="1" x14ac:dyDescent="0.7">
      <c r="A117" s="148">
        <v>114</v>
      </c>
      <c r="B117" s="334" t="s">
        <v>765</v>
      </c>
      <c r="C117" s="335">
        <v>33</v>
      </c>
      <c r="D117" s="269">
        <v>3200</v>
      </c>
      <c r="E117" s="274">
        <f t="shared" si="9"/>
        <v>105600</v>
      </c>
      <c r="F117" s="203" t="s">
        <v>769</v>
      </c>
      <c r="G117" s="180" t="s">
        <v>609</v>
      </c>
      <c r="H117" s="180" t="str">
        <f t="shared" si="10"/>
        <v>นอกแผนอนุมัติ เข้าแผน (ครึ่งปีหลัง)</v>
      </c>
      <c r="I117" s="107"/>
      <c r="J117" s="108"/>
      <c r="K117" s="108"/>
      <c r="L117" s="108"/>
      <c r="M117" s="108"/>
    </row>
    <row r="118" spans="1:13" ht="23.1" customHeight="1" x14ac:dyDescent="0.7">
      <c r="A118" s="148">
        <v>115</v>
      </c>
      <c r="B118" s="334" t="s">
        <v>764</v>
      </c>
      <c r="C118" s="335">
        <v>1</v>
      </c>
      <c r="D118" s="269">
        <v>6400</v>
      </c>
      <c r="E118" s="274">
        <f t="shared" si="9"/>
        <v>6400</v>
      </c>
      <c r="F118" s="203" t="s">
        <v>769</v>
      </c>
      <c r="G118" s="180" t="s">
        <v>609</v>
      </c>
      <c r="H118" s="180" t="str">
        <f t="shared" si="10"/>
        <v>นอกแผนอนุมัติ เข้าแผน (ครึ่งปีหลัง)</v>
      </c>
      <c r="I118" s="107"/>
      <c r="J118" s="108"/>
      <c r="K118" s="108"/>
      <c r="L118" s="108"/>
      <c r="M118" s="108"/>
    </row>
    <row r="119" spans="1:13" ht="23.1" customHeight="1" x14ac:dyDescent="0.7">
      <c r="A119" s="244">
        <v>116</v>
      </c>
      <c r="B119" s="334" t="s">
        <v>763</v>
      </c>
      <c r="C119" s="335">
        <v>2</v>
      </c>
      <c r="D119" s="269">
        <v>8690</v>
      </c>
      <c r="E119" s="274">
        <f t="shared" si="9"/>
        <v>17380</v>
      </c>
      <c r="F119" s="203" t="s">
        <v>769</v>
      </c>
      <c r="G119" s="180" t="s">
        <v>609</v>
      </c>
      <c r="H119" s="180" t="str">
        <f t="shared" si="10"/>
        <v>นอกแผนอนุมัติ เข้าแผน (ครึ่งปีหลัง)</v>
      </c>
      <c r="I119" s="107"/>
      <c r="J119" s="108"/>
      <c r="K119" s="108"/>
      <c r="L119" s="108"/>
      <c r="M119" s="108"/>
    </row>
    <row r="120" spans="1:13" ht="23.1" customHeight="1" x14ac:dyDescent="0.7">
      <c r="A120" s="148">
        <v>117</v>
      </c>
      <c r="B120" s="334" t="s">
        <v>750</v>
      </c>
      <c r="C120" s="335">
        <v>19</v>
      </c>
      <c r="D120" s="334">
        <v>3524.58</v>
      </c>
      <c r="E120" s="274">
        <f t="shared" si="9"/>
        <v>66967.02</v>
      </c>
      <c r="F120" s="334" t="s">
        <v>769</v>
      </c>
      <c r="G120" s="180" t="s">
        <v>609</v>
      </c>
      <c r="H120" s="180" t="str">
        <f t="shared" si="10"/>
        <v>นอกแผนอนุมัติ เข้าแผน (ครึ่งปีหลัง)</v>
      </c>
      <c r="I120" s="107"/>
      <c r="J120" s="108"/>
      <c r="K120" s="108"/>
      <c r="L120" s="108"/>
      <c r="M120" s="108"/>
    </row>
    <row r="121" spans="1:13" ht="23.1" customHeight="1" x14ac:dyDescent="0.7">
      <c r="A121" s="148">
        <v>118</v>
      </c>
      <c r="B121" s="334" t="s">
        <v>751</v>
      </c>
      <c r="C121" s="335">
        <v>40</v>
      </c>
      <c r="D121" s="269">
        <v>2477.5</v>
      </c>
      <c r="E121" s="274">
        <f t="shared" si="9"/>
        <v>99100</v>
      </c>
      <c r="F121" s="334" t="s">
        <v>731</v>
      </c>
      <c r="G121" s="180" t="s">
        <v>609</v>
      </c>
      <c r="H121" s="180" t="str">
        <f t="shared" si="10"/>
        <v>นอกแผนอนุมัติ เข้าแผน (ครึ่งปีหลัง)</v>
      </c>
      <c r="I121" s="107"/>
      <c r="J121" s="108"/>
      <c r="K121" s="108"/>
      <c r="L121" s="108"/>
      <c r="M121" s="108"/>
    </row>
    <row r="122" spans="1:13" ht="23.1" customHeight="1" x14ac:dyDescent="0.7">
      <c r="A122" s="244">
        <v>119</v>
      </c>
      <c r="B122" s="334" t="s">
        <v>752</v>
      </c>
      <c r="C122" s="335">
        <v>1</v>
      </c>
      <c r="D122" s="269">
        <v>22950</v>
      </c>
      <c r="E122" s="274">
        <f t="shared" si="9"/>
        <v>22950</v>
      </c>
      <c r="F122" s="334" t="s">
        <v>732</v>
      </c>
      <c r="G122" s="180" t="s">
        <v>609</v>
      </c>
      <c r="H122" s="180" t="str">
        <f t="shared" si="10"/>
        <v>นอกแผนอนุมัติ เข้าแผน (ครึ่งปีหลัง)</v>
      </c>
      <c r="I122" s="107"/>
      <c r="J122" s="108"/>
      <c r="K122" s="108"/>
      <c r="L122" s="108"/>
      <c r="M122" s="108"/>
    </row>
    <row r="123" spans="1:13" ht="23.1" customHeight="1" x14ac:dyDescent="0.7">
      <c r="A123" s="148">
        <v>120</v>
      </c>
      <c r="B123" s="137" t="s">
        <v>768</v>
      </c>
      <c r="C123" s="136">
        <v>1</v>
      </c>
      <c r="D123" s="278">
        <v>2450.3000000000002</v>
      </c>
      <c r="E123" s="274">
        <f t="shared" si="9"/>
        <v>2450.3000000000002</v>
      </c>
      <c r="F123" s="137" t="s">
        <v>733</v>
      </c>
      <c r="G123" s="180" t="s">
        <v>609</v>
      </c>
      <c r="H123" s="180" t="str">
        <f t="shared" si="10"/>
        <v>นอกแผนอนุมัติ เข้าแผน (ครึ่งปีหลัง)</v>
      </c>
      <c r="I123" s="107"/>
      <c r="J123" s="108"/>
      <c r="K123" s="108"/>
      <c r="L123" s="108"/>
      <c r="M123" s="108"/>
    </row>
    <row r="124" spans="1:13" ht="23.1" customHeight="1" x14ac:dyDescent="0.7">
      <c r="A124" s="148">
        <v>121</v>
      </c>
      <c r="B124" s="334" t="s">
        <v>753</v>
      </c>
      <c r="C124" s="335">
        <v>1</v>
      </c>
      <c r="D124" s="269">
        <v>3900</v>
      </c>
      <c r="E124" s="274">
        <f t="shared" si="9"/>
        <v>3900</v>
      </c>
      <c r="F124" s="334" t="s">
        <v>733</v>
      </c>
      <c r="G124" s="180" t="s">
        <v>609</v>
      </c>
      <c r="H124" s="180" t="str">
        <f t="shared" si="10"/>
        <v>นอกแผนอนุมัติ เข้าแผน (ครึ่งปีหลัง)</v>
      </c>
      <c r="I124" s="107"/>
      <c r="J124" s="108"/>
      <c r="K124" s="108"/>
      <c r="L124" s="108"/>
      <c r="M124" s="108"/>
    </row>
    <row r="125" spans="1:13" ht="24.6" x14ac:dyDescent="0.7">
      <c r="A125" s="244">
        <v>122</v>
      </c>
      <c r="B125" s="334" t="s">
        <v>754</v>
      </c>
      <c r="C125" s="335">
        <v>1</v>
      </c>
      <c r="D125" s="269">
        <v>3900</v>
      </c>
      <c r="E125" s="274">
        <f t="shared" si="9"/>
        <v>3900</v>
      </c>
      <c r="F125" s="334" t="s">
        <v>735</v>
      </c>
      <c r="G125" s="180" t="s">
        <v>609</v>
      </c>
      <c r="H125" s="180" t="str">
        <f t="shared" si="10"/>
        <v>นอกแผนอนุมัติ เข้าแผน (ครึ่งปีหลัง)</v>
      </c>
      <c r="I125" s="107"/>
      <c r="J125" s="108"/>
      <c r="K125" s="108"/>
      <c r="L125" s="108"/>
      <c r="M125" s="108"/>
    </row>
    <row r="126" spans="1:13" ht="23.1" customHeight="1" x14ac:dyDescent="0.7">
      <c r="A126" s="148">
        <v>123</v>
      </c>
      <c r="B126" s="334" t="s">
        <v>762</v>
      </c>
      <c r="C126" s="335">
        <v>1</v>
      </c>
      <c r="D126" s="269">
        <v>6790</v>
      </c>
      <c r="E126" s="274">
        <f t="shared" si="9"/>
        <v>6790</v>
      </c>
      <c r="F126" s="334" t="s">
        <v>624</v>
      </c>
      <c r="G126" s="180" t="s">
        <v>609</v>
      </c>
      <c r="H126" s="180" t="str">
        <f t="shared" si="10"/>
        <v>นอกแผนอนุมัติ เข้าแผน (ครึ่งปีหลัง)</v>
      </c>
      <c r="I126" s="107"/>
      <c r="J126" s="108"/>
      <c r="K126" s="108"/>
      <c r="L126" s="108"/>
      <c r="M126" s="108"/>
    </row>
    <row r="127" spans="1:13" ht="23.1" customHeight="1" x14ac:dyDescent="0.7">
      <c r="A127" s="148">
        <v>124</v>
      </c>
      <c r="B127" s="247" t="s">
        <v>752</v>
      </c>
      <c r="C127" s="355">
        <v>1</v>
      </c>
      <c r="D127" s="356">
        <v>22950</v>
      </c>
      <c r="E127" s="274">
        <f t="shared" si="9"/>
        <v>22950</v>
      </c>
      <c r="F127" s="247" t="s">
        <v>736</v>
      </c>
      <c r="G127" s="180" t="s">
        <v>609</v>
      </c>
      <c r="H127" s="180" t="str">
        <f t="shared" si="10"/>
        <v>นอกแผนอนุมัติ เข้าแผน (ครึ่งปีหลัง)</v>
      </c>
      <c r="I127" s="107"/>
      <c r="J127" s="108"/>
      <c r="K127" s="108"/>
      <c r="L127" s="108"/>
      <c r="M127" s="108"/>
    </row>
    <row r="128" spans="1:13" ht="20.100000000000001" customHeight="1" x14ac:dyDescent="0.7">
      <c r="A128" s="244">
        <v>125</v>
      </c>
      <c r="B128" s="174" t="s">
        <v>755</v>
      </c>
      <c r="C128" s="270">
        <v>1</v>
      </c>
      <c r="D128" s="271">
        <v>2140</v>
      </c>
      <c r="E128" s="274">
        <f t="shared" si="9"/>
        <v>2140</v>
      </c>
      <c r="F128" s="174" t="s">
        <v>356</v>
      </c>
      <c r="G128" s="180" t="s">
        <v>609</v>
      </c>
      <c r="H128" s="180" t="str">
        <f t="shared" si="10"/>
        <v>นอกแผนอนุมัติ เข้าแผน (ครึ่งปีหลัง)</v>
      </c>
      <c r="I128" s="107"/>
      <c r="J128" s="108"/>
      <c r="K128" s="108"/>
      <c r="L128" s="108"/>
      <c r="M128" s="108"/>
    </row>
    <row r="129" spans="1:13" ht="20.100000000000001" customHeight="1" x14ac:dyDescent="0.7">
      <c r="A129" s="148">
        <v>126</v>
      </c>
      <c r="B129" s="334" t="s">
        <v>756</v>
      </c>
      <c r="C129" s="335">
        <v>1</v>
      </c>
      <c r="D129" s="269">
        <v>61018.03</v>
      </c>
      <c r="E129" s="274">
        <f t="shared" si="9"/>
        <v>61018.03</v>
      </c>
      <c r="F129" s="334" t="s">
        <v>770</v>
      </c>
      <c r="G129" s="180" t="s">
        <v>609</v>
      </c>
      <c r="H129" s="180" t="str">
        <f t="shared" si="10"/>
        <v>นอกแผนอนุมัติ เข้าแผน (ครึ่งปีหลัง)</v>
      </c>
      <c r="I129" s="107"/>
      <c r="J129" s="108"/>
      <c r="K129" s="108"/>
      <c r="L129" s="108"/>
      <c r="M129" s="108"/>
    </row>
    <row r="130" spans="1:13" ht="20.100000000000001" customHeight="1" x14ac:dyDescent="0.7">
      <c r="A130" s="148">
        <v>127</v>
      </c>
      <c r="B130" s="334" t="s">
        <v>760</v>
      </c>
      <c r="C130" s="335">
        <v>1</v>
      </c>
      <c r="D130" s="269">
        <v>6500</v>
      </c>
      <c r="E130" s="274">
        <f t="shared" si="9"/>
        <v>6500</v>
      </c>
      <c r="F130" s="334" t="s">
        <v>771</v>
      </c>
      <c r="G130" s="180" t="s">
        <v>609</v>
      </c>
      <c r="H130" s="180" t="str">
        <f t="shared" si="10"/>
        <v>นอกแผนอนุมัติ เข้าแผน (ครึ่งปีหลัง)</v>
      </c>
      <c r="I130" s="107"/>
      <c r="J130" s="108"/>
      <c r="K130" s="108"/>
      <c r="L130" s="108"/>
      <c r="M130" s="108"/>
    </row>
    <row r="131" spans="1:13" ht="20.100000000000001" customHeight="1" x14ac:dyDescent="0.7">
      <c r="A131" s="244">
        <v>128</v>
      </c>
      <c r="B131" s="334" t="s">
        <v>761</v>
      </c>
      <c r="C131" s="335">
        <v>1</v>
      </c>
      <c r="D131" s="269">
        <v>4500</v>
      </c>
      <c r="E131" s="274">
        <f t="shared" si="9"/>
        <v>4500</v>
      </c>
      <c r="F131" s="334" t="s">
        <v>771</v>
      </c>
      <c r="G131" s="180" t="s">
        <v>609</v>
      </c>
      <c r="H131" s="180" t="str">
        <f t="shared" si="10"/>
        <v>นอกแผนอนุมัติ เข้าแผน (ครึ่งปีหลัง)</v>
      </c>
      <c r="I131" s="107"/>
      <c r="J131" s="108"/>
      <c r="K131" s="108"/>
      <c r="L131" s="108"/>
      <c r="M131" s="108"/>
    </row>
    <row r="132" spans="1:13" ht="20.100000000000001" customHeight="1" x14ac:dyDescent="0.7">
      <c r="A132" s="148">
        <v>129</v>
      </c>
      <c r="B132" s="334" t="s">
        <v>757</v>
      </c>
      <c r="C132" s="335">
        <v>1</v>
      </c>
      <c r="D132" s="269">
        <v>64000</v>
      </c>
      <c r="E132" s="274">
        <f t="shared" si="9"/>
        <v>64000</v>
      </c>
      <c r="F132" s="334" t="s">
        <v>520</v>
      </c>
      <c r="G132" s="180" t="s">
        <v>609</v>
      </c>
      <c r="H132" s="180" t="str">
        <f t="shared" si="10"/>
        <v>นอกแผนอนุมัติ เข้าแผน (ครึ่งปีหลัง)</v>
      </c>
      <c r="I132" s="107"/>
      <c r="J132" s="108"/>
      <c r="K132" s="108"/>
      <c r="L132" s="108"/>
      <c r="M132" s="108"/>
    </row>
    <row r="133" spans="1:13" ht="20.100000000000001" customHeight="1" x14ac:dyDescent="0.7">
      <c r="A133" s="148">
        <v>130</v>
      </c>
      <c r="B133" s="334" t="s">
        <v>758</v>
      </c>
      <c r="C133" s="335">
        <v>1</v>
      </c>
      <c r="D133" s="269">
        <v>1400</v>
      </c>
      <c r="E133" s="274">
        <f t="shared" si="9"/>
        <v>1400</v>
      </c>
      <c r="F133" s="334" t="s">
        <v>520</v>
      </c>
      <c r="G133" s="180" t="s">
        <v>609</v>
      </c>
      <c r="H133" s="180" t="str">
        <f t="shared" si="10"/>
        <v>นอกแผนอนุมัติ เข้าแผน (ครึ่งปีหลัง)</v>
      </c>
      <c r="I133" s="107"/>
      <c r="J133" s="108"/>
      <c r="K133" s="108"/>
      <c r="L133" s="108"/>
      <c r="M133" s="108"/>
    </row>
    <row r="134" spans="1:13" ht="20.100000000000001" customHeight="1" x14ac:dyDescent="0.7">
      <c r="A134" s="244">
        <v>131</v>
      </c>
      <c r="B134" s="334" t="s">
        <v>759</v>
      </c>
      <c r="C134" s="335">
        <v>1</v>
      </c>
      <c r="D134" s="269">
        <v>3900</v>
      </c>
      <c r="E134" s="274">
        <f t="shared" si="9"/>
        <v>3900</v>
      </c>
      <c r="F134" s="334" t="s">
        <v>520</v>
      </c>
      <c r="G134" s="180" t="s">
        <v>609</v>
      </c>
      <c r="H134" s="180" t="str">
        <f t="shared" si="10"/>
        <v>นอกแผนอนุมัติ เข้าแผน (ครึ่งปีหลัง)</v>
      </c>
      <c r="I134" s="107"/>
      <c r="J134" s="108"/>
      <c r="K134" s="108"/>
      <c r="L134" s="108"/>
      <c r="M134" s="108"/>
    </row>
    <row r="135" spans="1:13" s="286" customFormat="1" ht="20.100000000000001" customHeight="1" x14ac:dyDescent="0.7">
      <c r="A135" s="281"/>
      <c r="B135" s="301"/>
      <c r="C135" s="302"/>
      <c r="D135" s="303" t="s">
        <v>3</v>
      </c>
      <c r="E135" s="304">
        <f>SUM(E109:E134)</f>
        <v>4764820.3499999996</v>
      </c>
      <c r="F135" s="305"/>
      <c r="G135" s="287"/>
      <c r="H135" s="287"/>
      <c r="I135" s="284"/>
      <c r="J135" s="285"/>
      <c r="K135" s="285"/>
      <c r="L135" s="285"/>
      <c r="M135" s="285"/>
    </row>
    <row r="136" spans="1:13" ht="20.100000000000001" customHeight="1" x14ac:dyDescent="0.7">
      <c r="A136" s="244">
        <v>132</v>
      </c>
      <c r="B136" s="138" t="s">
        <v>112</v>
      </c>
      <c r="C136" s="144">
        <v>2</v>
      </c>
      <c r="D136" s="257">
        <v>7500</v>
      </c>
      <c r="E136" s="175">
        <f>C136*D136</f>
        <v>15000</v>
      </c>
      <c r="F136" s="138" t="s">
        <v>360</v>
      </c>
      <c r="G136" s="138" t="s">
        <v>612</v>
      </c>
      <c r="H136" s="228"/>
      <c r="I136" s="107"/>
      <c r="J136" s="108"/>
      <c r="K136" s="108"/>
      <c r="L136" s="108"/>
      <c r="M136" s="108"/>
    </row>
    <row r="137" spans="1:13" ht="20.100000000000001" customHeight="1" x14ac:dyDescent="0.7">
      <c r="A137" s="144">
        <v>133</v>
      </c>
      <c r="B137" s="180" t="s">
        <v>530</v>
      </c>
      <c r="C137" s="244">
        <v>1</v>
      </c>
      <c r="D137" s="258">
        <v>1000000</v>
      </c>
      <c r="E137" s="306">
        <f>+C137*D137</f>
        <v>1000000</v>
      </c>
      <c r="F137" s="180" t="s">
        <v>374</v>
      </c>
      <c r="G137" s="180" t="s">
        <v>612</v>
      </c>
      <c r="H137" s="180"/>
      <c r="I137" s="107"/>
      <c r="J137" s="108"/>
      <c r="K137" s="108"/>
      <c r="L137" s="108"/>
      <c r="M137" s="108"/>
    </row>
    <row r="138" spans="1:13" ht="20.100000000000001" customHeight="1" x14ac:dyDescent="0.7">
      <c r="A138" s="244">
        <v>134</v>
      </c>
      <c r="B138" s="334" t="s">
        <v>773</v>
      </c>
      <c r="C138" s="335">
        <v>1</v>
      </c>
      <c r="D138" s="269">
        <v>4800</v>
      </c>
      <c r="E138" s="300">
        <f t="shared" ref="E138:E144" si="11">+C138*D138</f>
        <v>4800</v>
      </c>
      <c r="F138" s="334" t="s">
        <v>375</v>
      </c>
      <c r="G138" s="180" t="s">
        <v>612</v>
      </c>
      <c r="H138" s="180" t="str">
        <f>+H134</f>
        <v>นอกแผนอนุมัติ เข้าแผน (ครึ่งปีหลัง)</v>
      </c>
      <c r="I138" s="107"/>
      <c r="J138" s="108"/>
      <c r="K138" s="108"/>
      <c r="L138" s="108"/>
      <c r="M138" s="108"/>
    </row>
    <row r="139" spans="1:13" ht="20.100000000000001" customHeight="1" x14ac:dyDescent="0.7">
      <c r="A139" s="144">
        <v>135</v>
      </c>
      <c r="B139" s="334" t="s">
        <v>774</v>
      </c>
      <c r="C139" s="335">
        <v>2</v>
      </c>
      <c r="D139" s="269">
        <v>11235</v>
      </c>
      <c r="E139" s="300">
        <f t="shared" si="11"/>
        <v>22470</v>
      </c>
      <c r="F139" s="334" t="s">
        <v>375</v>
      </c>
      <c r="G139" s="180" t="s">
        <v>612</v>
      </c>
      <c r="H139" s="180"/>
      <c r="I139" s="107"/>
      <c r="J139" s="108"/>
      <c r="K139" s="108"/>
      <c r="L139" s="108"/>
      <c r="M139" s="108"/>
    </row>
    <row r="140" spans="1:13" ht="20.100000000000001" customHeight="1" x14ac:dyDescent="0.7">
      <c r="A140" s="244">
        <v>136</v>
      </c>
      <c r="B140" s="334" t="s">
        <v>773</v>
      </c>
      <c r="C140" s="335">
        <v>1</v>
      </c>
      <c r="D140" s="352">
        <v>55533</v>
      </c>
      <c r="E140" s="300">
        <f t="shared" si="11"/>
        <v>55533</v>
      </c>
      <c r="F140" s="173" t="s">
        <v>375</v>
      </c>
      <c r="G140" s="180" t="s">
        <v>612</v>
      </c>
      <c r="H140" s="180"/>
      <c r="I140" s="107"/>
      <c r="J140" s="108"/>
      <c r="K140" s="108"/>
      <c r="L140" s="108"/>
      <c r="M140" s="108"/>
    </row>
    <row r="141" spans="1:13" ht="20.100000000000001" customHeight="1" x14ac:dyDescent="0.7">
      <c r="A141" s="144">
        <v>137</v>
      </c>
      <c r="B141" s="334" t="s">
        <v>775</v>
      </c>
      <c r="C141" s="335">
        <v>1</v>
      </c>
      <c r="D141" s="269">
        <v>5025</v>
      </c>
      <c r="E141" s="306">
        <f t="shared" si="11"/>
        <v>5025</v>
      </c>
      <c r="F141" s="334" t="s">
        <v>777</v>
      </c>
      <c r="G141" s="180" t="s">
        <v>612</v>
      </c>
      <c r="H141" s="180"/>
      <c r="I141" s="107"/>
      <c r="J141" s="108"/>
      <c r="K141" s="108"/>
      <c r="L141" s="108"/>
      <c r="M141" s="108"/>
    </row>
    <row r="142" spans="1:13" ht="20.100000000000001" customHeight="1" x14ac:dyDescent="0.7">
      <c r="A142" s="244">
        <v>138</v>
      </c>
      <c r="B142" s="334" t="s">
        <v>776</v>
      </c>
      <c r="C142" s="335">
        <v>1</v>
      </c>
      <c r="D142" s="269">
        <v>2685.7</v>
      </c>
      <c r="E142" s="306">
        <f t="shared" si="11"/>
        <v>2685.7</v>
      </c>
      <c r="F142" s="334" t="s">
        <v>626</v>
      </c>
      <c r="G142" s="180" t="s">
        <v>612</v>
      </c>
      <c r="H142" s="180"/>
      <c r="I142" s="107"/>
      <c r="J142" s="108"/>
      <c r="K142" s="108"/>
      <c r="L142" s="108"/>
      <c r="M142" s="108"/>
    </row>
    <row r="143" spans="1:13" ht="20.100000000000001" customHeight="1" x14ac:dyDescent="0.7">
      <c r="A143" s="144">
        <v>139</v>
      </c>
      <c r="B143" s="334" t="s">
        <v>779</v>
      </c>
      <c r="C143" s="335">
        <v>2</v>
      </c>
      <c r="D143" s="269">
        <v>1701.3</v>
      </c>
      <c r="E143" s="306">
        <f t="shared" si="11"/>
        <v>3402.6</v>
      </c>
      <c r="F143" s="334" t="s">
        <v>520</v>
      </c>
      <c r="G143" s="180" t="s">
        <v>612</v>
      </c>
      <c r="H143" s="180"/>
      <c r="I143" s="107"/>
      <c r="J143" s="108"/>
      <c r="K143" s="108"/>
      <c r="L143" s="108"/>
      <c r="M143" s="108"/>
    </row>
    <row r="144" spans="1:13" ht="20.100000000000001" customHeight="1" x14ac:dyDescent="0.7">
      <c r="A144" s="244">
        <v>140</v>
      </c>
      <c r="B144" s="334" t="s">
        <v>778</v>
      </c>
      <c r="C144" s="335">
        <v>4</v>
      </c>
      <c r="D144" s="269">
        <v>1519.4</v>
      </c>
      <c r="E144" s="306">
        <f t="shared" si="11"/>
        <v>6077.6</v>
      </c>
      <c r="F144" s="334" t="s">
        <v>520</v>
      </c>
      <c r="G144" s="180" t="s">
        <v>612</v>
      </c>
      <c r="H144" s="180"/>
      <c r="I144" s="107"/>
      <c r="J144" s="108"/>
      <c r="K144" s="108"/>
      <c r="L144" s="108"/>
      <c r="M144" s="108"/>
    </row>
    <row r="145" spans="1:13" s="286" customFormat="1" ht="20.100000000000001" customHeight="1" x14ac:dyDescent="0.7">
      <c r="A145" s="288"/>
      <c r="B145" s="287"/>
      <c r="C145" s="288"/>
      <c r="D145" s="289" t="s">
        <v>3</v>
      </c>
      <c r="E145" s="290">
        <f>SUM(E136:E144)</f>
        <v>1114993.9000000001</v>
      </c>
      <c r="F145" s="287"/>
      <c r="G145" s="287"/>
      <c r="H145" s="287"/>
      <c r="I145" s="284"/>
      <c r="J145" s="285"/>
      <c r="K145" s="285"/>
      <c r="L145" s="285"/>
      <c r="M145" s="285"/>
    </row>
    <row r="146" spans="1:13" ht="49.2" x14ac:dyDescent="0.25">
      <c r="A146" s="148">
        <v>141</v>
      </c>
      <c r="B146" s="265" t="s">
        <v>614</v>
      </c>
      <c r="C146" s="141">
        <v>1</v>
      </c>
      <c r="D146" s="171">
        <v>2500000</v>
      </c>
      <c r="E146" s="307">
        <f>+C146*D146</f>
        <v>2500000</v>
      </c>
      <c r="F146" s="151" t="s">
        <v>374</v>
      </c>
      <c r="G146" s="151" t="s">
        <v>613</v>
      </c>
      <c r="H146" s="151" t="s">
        <v>307</v>
      </c>
      <c r="I146" s="107"/>
      <c r="J146" s="108"/>
      <c r="K146" s="108"/>
      <c r="L146" s="108"/>
      <c r="M146" s="108"/>
    </row>
    <row r="147" spans="1:13" s="286" customFormat="1" ht="23.1" customHeight="1" x14ac:dyDescent="0.25">
      <c r="A147" s="291"/>
      <c r="B147" s="292"/>
      <c r="C147" s="291"/>
      <c r="D147" s="293" t="s">
        <v>3</v>
      </c>
      <c r="E147" s="308">
        <f>SUM(E146)</f>
        <v>2500000</v>
      </c>
      <c r="F147" s="294"/>
      <c r="G147" s="294"/>
      <c r="H147" s="294"/>
      <c r="I147" s="284"/>
      <c r="J147" s="285"/>
      <c r="K147" s="285"/>
      <c r="L147" s="285"/>
      <c r="M147" s="285"/>
    </row>
    <row r="148" spans="1:13" ht="23.1" customHeight="1" x14ac:dyDescent="0.25">
      <c r="A148" s="148">
        <v>142</v>
      </c>
      <c r="B148" s="153" t="s">
        <v>352</v>
      </c>
      <c r="C148" s="148">
        <v>2</v>
      </c>
      <c r="D148" s="150">
        <v>495000</v>
      </c>
      <c r="E148" s="150">
        <f>+C148*D148</f>
        <v>990000</v>
      </c>
      <c r="F148" s="153" t="s">
        <v>320</v>
      </c>
      <c r="G148" s="153" t="s">
        <v>610</v>
      </c>
      <c r="H148" s="153" t="s">
        <v>603</v>
      </c>
      <c r="I148" s="107"/>
      <c r="J148" s="108"/>
      <c r="K148" s="108"/>
      <c r="L148" s="108"/>
      <c r="M148" s="108"/>
    </row>
    <row r="149" spans="1:13" ht="23.1" customHeight="1" x14ac:dyDescent="0.25">
      <c r="A149" s="148">
        <v>143</v>
      </c>
      <c r="B149" s="143" t="s">
        <v>111</v>
      </c>
      <c r="C149" s="144">
        <v>71</v>
      </c>
      <c r="D149" s="257">
        <v>7000</v>
      </c>
      <c r="E149" s="175">
        <f>C149*D149</f>
        <v>497000</v>
      </c>
      <c r="F149" s="138" t="s">
        <v>361</v>
      </c>
      <c r="G149" s="138" t="s">
        <v>610</v>
      </c>
      <c r="H149" s="139"/>
      <c r="I149" s="107"/>
      <c r="J149" s="108"/>
      <c r="K149" s="108"/>
      <c r="L149" s="108"/>
      <c r="M149" s="108"/>
    </row>
    <row r="150" spans="1:13" ht="23.1" customHeight="1" x14ac:dyDescent="0.7">
      <c r="A150" s="148">
        <v>144</v>
      </c>
      <c r="B150" s="350" t="s">
        <v>379</v>
      </c>
      <c r="C150" s="222">
        <v>1</v>
      </c>
      <c r="D150" s="357">
        <v>15000</v>
      </c>
      <c r="E150" s="354">
        <f t="shared" ref="E150:E156" si="12">+C150*D150</f>
        <v>15000</v>
      </c>
      <c r="F150" s="225" t="s">
        <v>350</v>
      </c>
      <c r="G150" s="225" t="s">
        <v>610</v>
      </c>
      <c r="H150" s="139"/>
      <c r="I150" s="107"/>
      <c r="J150" s="108"/>
      <c r="K150" s="108"/>
      <c r="L150" s="108"/>
      <c r="M150" s="108"/>
    </row>
    <row r="151" spans="1:13" ht="23.1" customHeight="1" x14ac:dyDescent="0.7">
      <c r="A151" s="148">
        <v>145</v>
      </c>
      <c r="B151" s="225" t="s">
        <v>386</v>
      </c>
      <c r="C151" s="222">
        <v>2</v>
      </c>
      <c r="D151" s="348">
        <v>6500</v>
      </c>
      <c r="E151" s="354">
        <f t="shared" si="12"/>
        <v>13000</v>
      </c>
      <c r="F151" s="225" t="s">
        <v>350</v>
      </c>
      <c r="G151" s="225" t="s">
        <v>610</v>
      </c>
      <c r="H151" s="139"/>
      <c r="I151" s="107"/>
      <c r="J151" s="108"/>
      <c r="K151" s="108"/>
      <c r="L151" s="108"/>
      <c r="M151" s="108"/>
    </row>
    <row r="152" spans="1:13" ht="23.1" customHeight="1" x14ac:dyDescent="0.7">
      <c r="A152" s="148">
        <v>146</v>
      </c>
      <c r="B152" s="350" t="s">
        <v>380</v>
      </c>
      <c r="C152" s="222">
        <v>1</v>
      </c>
      <c r="D152" s="357">
        <v>10000</v>
      </c>
      <c r="E152" s="354">
        <f t="shared" si="12"/>
        <v>10000</v>
      </c>
      <c r="F152" s="225" t="s">
        <v>350</v>
      </c>
      <c r="G152" s="225" t="s">
        <v>610</v>
      </c>
      <c r="H152" s="139"/>
      <c r="I152" s="107"/>
      <c r="J152" s="108"/>
      <c r="K152" s="108"/>
      <c r="L152" s="108"/>
      <c r="M152" s="108"/>
    </row>
    <row r="153" spans="1:13" ht="23.1" customHeight="1" x14ac:dyDescent="0.7">
      <c r="A153" s="148">
        <v>147</v>
      </c>
      <c r="B153" s="146" t="s">
        <v>392</v>
      </c>
      <c r="C153" s="141">
        <v>1</v>
      </c>
      <c r="D153" s="140">
        <v>50000</v>
      </c>
      <c r="E153" s="354">
        <f t="shared" si="12"/>
        <v>50000</v>
      </c>
      <c r="F153" s="225" t="s">
        <v>350</v>
      </c>
      <c r="G153" s="225" t="s">
        <v>610</v>
      </c>
      <c r="H153" s="139"/>
      <c r="I153" s="107"/>
      <c r="J153" s="108"/>
      <c r="K153" s="108"/>
      <c r="L153" s="108"/>
      <c r="M153" s="108"/>
    </row>
    <row r="154" spans="1:13" ht="23.1" customHeight="1" x14ac:dyDescent="0.7">
      <c r="A154" s="148">
        <v>148</v>
      </c>
      <c r="B154" s="350" t="s">
        <v>389</v>
      </c>
      <c r="C154" s="222">
        <v>2</v>
      </c>
      <c r="D154" s="357">
        <v>4500</v>
      </c>
      <c r="E154" s="354">
        <f t="shared" si="12"/>
        <v>9000</v>
      </c>
      <c r="F154" s="225" t="s">
        <v>350</v>
      </c>
      <c r="G154" s="225" t="s">
        <v>610</v>
      </c>
      <c r="H154" s="139"/>
      <c r="I154" s="107"/>
      <c r="J154" s="108"/>
      <c r="K154" s="108"/>
      <c r="L154" s="108"/>
      <c r="M154" s="108"/>
    </row>
    <row r="155" spans="1:13" ht="23.1" customHeight="1" x14ac:dyDescent="0.7">
      <c r="A155" s="148">
        <v>149</v>
      </c>
      <c r="B155" s="350" t="s">
        <v>387</v>
      </c>
      <c r="C155" s="222">
        <v>2</v>
      </c>
      <c r="D155" s="357">
        <v>3950</v>
      </c>
      <c r="E155" s="354">
        <f t="shared" si="12"/>
        <v>7900</v>
      </c>
      <c r="F155" s="225" t="s">
        <v>350</v>
      </c>
      <c r="G155" s="225" t="s">
        <v>610</v>
      </c>
      <c r="H155" s="139"/>
      <c r="I155" s="107"/>
      <c r="J155" s="108"/>
      <c r="K155" s="108"/>
      <c r="L155" s="108"/>
      <c r="M155" s="108"/>
    </row>
    <row r="156" spans="1:13" ht="23.1" customHeight="1" x14ac:dyDescent="0.7">
      <c r="A156" s="148">
        <v>150</v>
      </c>
      <c r="B156" s="139" t="s">
        <v>391</v>
      </c>
      <c r="C156" s="141">
        <v>2</v>
      </c>
      <c r="D156" s="266">
        <v>3950</v>
      </c>
      <c r="E156" s="354">
        <f t="shared" si="12"/>
        <v>7900</v>
      </c>
      <c r="F156" s="225" t="s">
        <v>350</v>
      </c>
      <c r="G156" s="225" t="s">
        <v>610</v>
      </c>
      <c r="H156" s="139"/>
      <c r="I156" s="107"/>
      <c r="J156" s="108"/>
      <c r="K156" s="108"/>
      <c r="L156" s="108"/>
      <c r="M156" s="108"/>
    </row>
    <row r="157" spans="1:13" ht="23.1" customHeight="1" x14ac:dyDescent="0.7">
      <c r="A157" s="148">
        <v>151</v>
      </c>
      <c r="B157" s="334" t="s">
        <v>404</v>
      </c>
      <c r="C157" s="335">
        <v>1</v>
      </c>
      <c r="D157" s="179">
        <v>5590</v>
      </c>
      <c r="E157" s="224">
        <v>5590</v>
      </c>
      <c r="F157" s="334" t="s">
        <v>489</v>
      </c>
      <c r="G157" s="334" t="s">
        <v>610</v>
      </c>
      <c r="H157" s="334"/>
      <c r="I157" s="107"/>
      <c r="J157" s="108"/>
      <c r="K157" s="108"/>
      <c r="L157" s="108"/>
      <c r="M157" s="108"/>
    </row>
    <row r="158" spans="1:13" ht="23.1" customHeight="1" x14ac:dyDescent="0.7">
      <c r="A158" s="148">
        <v>152</v>
      </c>
      <c r="B158" s="350" t="s">
        <v>381</v>
      </c>
      <c r="C158" s="222">
        <v>1</v>
      </c>
      <c r="D158" s="357">
        <v>4000</v>
      </c>
      <c r="E158" s="354">
        <f t="shared" ref="E158" si="13">+C158*D158</f>
        <v>4000</v>
      </c>
      <c r="F158" s="225" t="s">
        <v>350</v>
      </c>
      <c r="G158" s="225" t="s">
        <v>610</v>
      </c>
      <c r="H158" s="139"/>
      <c r="I158" s="107"/>
      <c r="J158" s="108"/>
      <c r="K158" s="108"/>
      <c r="L158" s="108"/>
      <c r="M158" s="108"/>
    </row>
    <row r="159" spans="1:13" ht="23.1" customHeight="1" x14ac:dyDescent="0.7">
      <c r="A159" s="148">
        <v>153</v>
      </c>
      <c r="B159" s="225" t="s">
        <v>390</v>
      </c>
      <c r="C159" s="222">
        <v>2</v>
      </c>
      <c r="D159" s="348">
        <v>1950</v>
      </c>
      <c r="E159" s="354">
        <f>+C159*D159</f>
        <v>3900</v>
      </c>
      <c r="F159" s="225" t="s">
        <v>350</v>
      </c>
      <c r="G159" s="225" t="s">
        <v>610</v>
      </c>
      <c r="H159" s="139"/>
      <c r="I159" s="107"/>
      <c r="J159" s="108"/>
      <c r="K159" s="108"/>
      <c r="L159" s="108"/>
      <c r="M159" s="108"/>
    </row>
    <row r="160" spans="1:13" ht="23.1" customHeight="1" x14ac:dyDescent="0.7">
      <c r="A160" s="148">
        <v>154</v>
      </c>
      <c r="B160" s="137" t="s">
        <v>620</v>
      </c>
      <c r="C160" s="136">
        <v>1</v>
      </c>
      <c r="D160" s="278">
        <v>1590</v>
      </c>
      <c r="E160" s="278">
        <f>+C160*D160</f>
        <v>1590</v>
      </c>
      <c r="F160" s="137" t="s">
        <v>621</v>
      </c>
      <c r="G160" s="180" t="s">
        <v>610</v>
      </c>
      <c r="H160" s="139" t="str">
        <f>+H112</f>
        <v>รายการใหม่ปรับแผน(ครึ่งปีหลัง)</v>
      </c>
      <c r="I160" s="107"/>
      <c r="J160" s="108"/>
      <c r="K160" s="108"/>
      <c r="L160" s="108"/>
      <c r="M160" s="108"/>
    </row>
    <row r="161" spans="1:13" ht="23.1" customHeight="1" x14ac:dyDescent="0.7">
      <c r="A161" s="148">
        <v>155</v>
      </c>
      <c r="B161" s="334" t="s">
        <v>780</v>
      </c>
      <c r="C161" s="335">
        <v>3</v>
      </c>
      <c r="D161" s="269">
        <v>15200</v>
      </c>
      <c r="E161" s="269">
        <f>+C161*D161</f>
        <v>45600</v>
      </c>
      <c r="F161" s="334" t="s">
        <v>769</v>
      </c>
      <c r="G161" s="225" t="s">
        <v>610</v>
      </c>
      <c r="H161" s="139" t="str">
        <f>+H138</f>
        <v>นอกแผนอนุมัติ เข้าแผน (ครึ่งปีหลัง)</v>
      </c>
      <c r="I161" s="107"/>
      <c r="J161" s="108"/>
      <c r="K161" s="108"/>
      <c r="L161" s="108"/>
      <c r="M161" s="108"/>
    </row>
    <row r="162" spans="1:13" ht="23.1" customHeight="1" x14ac:dyDescent="0.7">
      <c r="A162" s="148">
        <v>156</v>
      </c>
      <c r="B162" s="334" t="s">
        <v>881</v>
      </c>
      <c r="C162" s="335">
        <v>1</v>
      </c>
      <c r="D162" s="269">
        <v>2027.65</v>
      </c>
      <c r="E162" s="269">
        <v>2027.65</v>
      </c>
      <c r="F162" s="203" t="s">
        <v>769</v>
      </c>
      <c r="G162" s="225" t="s">
        <v>610</v>
      </c>
      <c r="H162" s="139" t="str">
        <f>+H161</f>
        <v>นอกแผนอนุมัติ เข้าแผน (ครึ่งปีหลัง)</v>
      </c>
      <c r="I162" s="107"/>
      <c r="J162" s="108"/>
      <c r="K162" s="108"/>
      <c r="L162" s="108"/>
      <c r="M162" s="108"/>
    </row>
    <row r="163" spans="1:13" ht="23.1" customHeight="1" x14ac:dyDescent="0.7">
      <c r="A163" s="148">
        <v>157</v>
      </c>
      <c r="B163" s="334" t="s">
        <v>882</v>
      </c>
      <c r="C163" s="335">
        <v>33</v>
      </c>
      <c r="D163" s="269">
        <v>2950</v>
      </c>
      <c r="E163" s="269">
        <f>+C163*D163</f>
        <v>97350</v>
      </c>
      <c r="F163" s="203" t="s">
        <v>769</v>
      </c>
      <c r="G163" s="225" t="s">
        <v>610</v>
      </c>
      <c r="H163" s="139" t="str">
        <f t="shared" ref="H163:H226" si="14">+H162</f>
        <v>นอกแผนอนุมัติ เข้าแผน (ครึ่งปีหลัง)</v>
      </c>
      <c r="I163" s="107"/>
      <c r="J163" s="108"/>
      <c r="K163" s="108"/>
      <c r="L163" s="108"/>
      <c r="M163" s="108"/>
    </row>
    <row r="164" spans="1:13" ht="23.1" customHeight="1" x14ac:dyDescent="0.7">
      <c r="A164" s="148">
        <v>158</v>
      </c>
      <c r="B164" s="334" t="s">
        <v>883</v>
      </c>
      <c r="C164" s="335">
        <v>33</v>
      </c>
      <c r="D164" s="269">
        <v>730</v>
      </c>
      <c r="E164" s="269">
        <f>+C164*D164</f>
        <v>24090</v>
      </c>
      <c r="F164" s="203" t="s">
        <v>769</v>
      </c>
      <c r="G164" s="225" t="s">
        <v>610</v>
      </c>
      <c r="H164" s="139" t="str">
        <f t="shared" si="14"/>
        <v>นอกแผนอนุมัติ เข้าแผน (ครึ่งปีหลัง)</v>
      </c>
      <c r="I164" s="107"/>
      <c r="J164" s="108"/>
      <c r="K164" s="108"/>
      <c r="L164" s="108"/>
      <c r="M164" s="108"/>
    </row>
    <row r="165" spans="1:13" ht="23.1" customHeight="1" x14ac:dyDescent="0.7">
      <c r="A165" s="148">
        <v>159</v>
      </c>
      <c r="B165" s="201" t="s">
        <v>781</v>
      </c>
      <c r="C165" s="223">
        <v>3</v>
      </c>
      <c r="D165" s="277">
        <v>5900</v>
      </c>
      <c r="E165" s="277">
        <f>+C165*D165</f>
        <v>17700</v>
      </c>
      <c r="F165" s="201" t="s">
        <v>324</v>
      </c>
      <c r="G165" s="225" t="s">
        <v>610</v>
      </c>
      <c r="H165" s="139" t="str">
        <f t="shared" si="14"/>
        <v>นอกแผนอนุมัติ เข้าแผน (ครึ่งปีหลัง)</v>
      </c>
      <c r="I165" s="107"/>
      <c r="J165" s="108"/>
      <c r="K165" s="108"/>
      <c r="L165" s="108"/>
      <c r="M165" s="108"/>
    </row>
    <row r="166" spans="1:13" ht="23.1" customHeight="1" x14ac:dyDescent="0.7">
      <c r="A166" s="148">
        <v>160</v>
      </c>
      <c r="B166" s="201" t="s">
        <v>782</v>
      </c>
      <c r="C166" s="223">
        <v>1</v>
      </c>
      <c r="D166" s="277">
        <v>76420</v>
      </c>
      <c r="E166" s="277">
        <f t="shared" ref="E166:E190" si="15">+C166*D166</f>
        <v>76420</v>
      </c>
      <c r="F166" s="201" t="s">
        <v>324</v>
      </c>
      <c r="G166" s="225" t="s">
        <v>610</v>
      </c>
      <c r="H166" s="139" t="str">
        <f t="shared" si="14"/>
        <v>นอกแผนอนุมัติ เข้าแผน (ครึ่งปีหลัง)</v>
      </c>
      <c r="I166" s="107"/>
      <c r="J166" s="108"/>
      <c r="K166" s="108"/>
      <c r="L166" s="108"/>
      <c r="M166" s="108"/>
    </row>
    <row r="167" spans="1:13" ht="23.1" customHeight="1" x14ac:dyDescent="0.7">
      <c r="A167" s="148">
        <v>161</v>
      </c>
      <c r="B167" s="334" t="s">
        <v>783</v>
      </c>
      <c r="C167" s="335">
        <v>1</v>
      </c>
      <c r="D167" s="272">
        <v>6100</v>
      </c>
      <c r="E167" s="277">
        <f t="shared" si="15"/>
        <v>6100</v>
      </c>
      <c r="F167" s="334" t="s">
        <v>324</v>
      </c>
      <c r="G167" s="225" t="s">
        <v>610</v>
      </c>
      <c r="H167" s="139" t="str">
        <f t="shared" si="14"/>
        <v>นอกแผนอนุมัติ เข้าแผน (ครึ่งปีหลัง)</v>
      </c>
      <c r="I167" s="107"/>
      <c r="J167" s="108"/>
      <c r="K167" s="108"/>
      <c r="L167" s="108"/>
      <c r="M167" s="108"/>
    </row>
    <row r="168" spans="1:13" ht="23.1" customHeight="1" x14ac:dyDescent="0.7">
      <c r="A168" s="148">
        <v>162</v>
      </c>
      <c r="B168" s="334" t="s">
        <v>784</v>
      </c>
      <c r="C168" s="335">
        <v>4</v>
      </c>
      <c r="D168" s="269">
        <v>750</v>
      </c>
      <c r="E168" s="277">
        <f t="shared" si="15"/>
        <v>3000</v>
      </c>
      <c r="F168" s="334" t="s">
        <v>375</v>
      </c>
      <c r="G168" s="225" t="s">
        <v>610</v>
      </c>
      <c r="H168" s="139" t="str">
        <f t="shared" si="14"/>
        <v>นอกแผนอนุมัติ เข้าแผน (ครึ่งปีหลัง)</v>
      </c>
      <c r="I168" s="107"/>
      <c r="J168" s="108"/>
      <c r="K168" s="108"/>
      <c r="L168" s="108"/>
      <c r="M168" s="108"/>
    </row>
    <row r="169" spans="1:13" ht="23.1" customHeight="1" x14ac:dyDescent="0.7">
      <c r="A169" s="148">
        <v>163</v>
      </c>
      <c r="B169" s="334" t="s">
        <v>784</v>
      </c>
      <c r="C169" s="335">
        <v>1</v>
      </c>
      <c r="D169" s="269">
        <v>2990</v>
      </c>
      <c r="E169" s="277">
        <f t="shared" si="15"/>
        <v>2990</v>
      </c>
      <c r="F169" s="334" t="s">
        <v>375</v>
      </c>
      <c r="G169" s="225" t="s">
        <v>610</v>
      </c>
      <c r="H169" s="139" t="str">
        <f t="shared" si="14"/>
        <v>นอกแผนอนุมัติ เข้าแผน (ครึ่งปีหลัง)</v>
      </c>
      <c r="I169" s="107"/>
      <c r="J169" s="108"/>
      <c r="K169" s="108"/>
      <c r="L169" s="108"/>
      <c r="M169" s="108"/>
    </row>
    <row r="170" spans="1:13" ht="23.1" customHeight="1" x14ac:dyDescent="0.7">
      <c r="A170" s="148">
        <v>164</v>
      </c>
      <c r="B170" s="334" t="s">
        <v>377</v>
      </c>
      <c r="C170" s="335">
        <v>2</v>
      </c>
      <c r="D170" s="269">
        <v>2590</v>
      </c>
      <c r="E170" s="277">
        <f t="shared" si="15"/>
        <v>5180</v>
      </c>
      <c r="F170" s="334" t="s">
        <v>825</v>
      </c>
      <c r="G170" s="225" t="s">
        <v>610</v>
      </c>
      <c r="H170" s="139" t="str">
        <f t="shared" si="14"/>
        <v>นอกแผนอนุมัติ เข้าแผน (ครึ่งปีหลัง)</v>
      </c>
      <c r="I170" s="107"/>
      <c r="J170" s="108"/>
      <c r="K170" s="108"/>
      <c r="L170" s="108"/>
      <c r="M170" s="108"/>
    </row>
    <row r="171" spans="1:13" ht="23.1" customHeight="1" x14ac:dyDescent="0.7">
      <c r="A171" s="148">
        <v>165</v>
      </c>
      <c r="B171" s="334" t="s">
        <v>785</v>
      </c>
      <c r="C171" s="335">
        <v>1</v>
      </c>
      <c r="D171" s="269">
        <v>54500</v>
      </c>
      <c r="E171" s="277">
        <f t="shared" si="15"/>
        <v>54500</v>
      </c>
      <c r="F171" s="334" t="s">
        <v>731</v>
      </c>
      <c r="G171" s="225" t="s">
        <v>610</v>
      </c>
      <c r="H171" s="139" t="str">
        <f t="shared" si="14"/>
        <v>นอกแผนอนุมัติ เข้าแผน (ครึ่งปีหลัง)</v>
      </c>
      <c r="I171" s="107"/>
      <c r="J171" s="108"/>
      <c r="K171" s="108"/>
      <c r="L171" s="108"/>
      <c r="M171" s="108"/>
    </row>
    <row r="172" spans="1:13" ht="23.1" customHeight="1" x14ac:dyDescent="0.7">
      <c r="A172" s="148">
        <v>166</v>
      </c>
      <c r="B172" s="334" t="s">
        <v>786</v>
      </c>
      <c r="C172" s="335">
        <v>1</v>
      </c>
      <c r="D172" s="269">
        <v>6400</v>
      </c>
      <c r="E172" s="277">
        <f t="shared" si="15"/>
        <v>6400</v>
      </c>
      <c r="F172" s="334" t="s">
        <v>731</v>
      </c>
      <c r="G172" s="225" t="s">
        <v>610</v>
      </c>
      <c r="H172" s="139" t="str">
        <f t="shared" si="14"/>
        <v>นอกแผนอนุมัติ เข้าแผน (ครึ่งปีหลัง)</v>
      </c>
      <c r="I172" s="107"/>
      <c r="J172" s="108"/>
      <c r="K172" s="108"/>
      <c r="L172" s="108"/>
      <c r="M172" s="108"/>
    </row>
    <row r="173" spans="1:13" ht="23.1" customHeight="1" x14ac:dyDescent="0.7">
      <c r="A173" s="148">
        <v>167</v>
      </c>
      <c r="B173" s="334" t="s">
        <v>787</v>
      </c>
      <c r="C173" s="335">
        <v>1</v>
      </c>
      <c r="D173" s="269">
        <v>36700</v>
      </c>
      <c r="E173" s="277">
        <f t="shared" si="15"/>
        <v>36700</v>
      </c>
      <c r="F173" s="334" t="s">
        <v>731</v>
      </c>
      <c r="G173" s="225" t="s">
        <v>610</v>
      </c>
      <c r="H173" s="139" t="str">
        <f t="shared" si="14"/>
        <v>นอกแผนอนุมัติ เข้าแผน (ครึ่งปีหลัง)</v>
      </c>
      <c r="I173" s="107"/>
      <c r="J173" s="108"/>
      <c r="K173" s="108"/>
      <c r="L173" s="108"/>
      <c r="M173" s="108"/>
    </row>
    <row r="174" spans="1:13" ht="23.1" customHeight="1" x14ac:dyDescent="0.7">
      <c r="A174" s="148">
        <v>168</v>
      </c>
      <c r="B174" s="334" t="s">
        <v>788</v>
      </c>
      <c r="C174" s="335">
        <v>1</v>
      </c>
      <c r="D174" s="269">
        <v>7200</v>
      </c>
      <c r="E174" s="277">
        <f t="shared" si="15"/>
        <v>7200</v>
      </c>
      <c r="F174" s="334" t="s">
        <v>731</v>
      </c>
      <c r="G174" s="225" t="s">
        <v>610</v>
      </c>
      <c r="H174" s="139" t="str">
        <f t="shared" si="14"/>
        <v>นอกแผนอนุมัติ เข้าแผน (ครึ่งปีหลัง)</v>
      </c>
      <c r="I174" s="107"/>
      <c r="J174" s="108"/>
      <c r="K174" s="108"/>
      <c r="L174" s="108"/>
      <c r="M174" s="108"/>
    </row>
    <row r="175" spans="1:13" ht="23.1" customHeight="1" x14ac:dyDescent="0.7">
      <c r="A175" s="148">
        <v>169</v>
      </c>
      <c r="B175" s="334" t="s">
        <v>789</v>
      </c>
      <c r="C175" s="335">
        <v>1</v>
      </c>
      <c r="D175" s="269">
        <v>2305.85</v>
      </c>
      <c r="E175" s="277">
        <f t="shared" si="15"/>
        <v>2305.85</v>
      </c>
      <c r="F175" s="334" t="s">
        <v>732</v>
      </c>
      <c r="G175" s="225" t="s">
        <v>610</v>
      </c>
      <c r="H175" s="139" t="str">
        <f t="shared" si="14"/>
        <v>นอกแผนอนุมัติ เข้าแผน (ครึ่งปีหลัง)</v>
      </c>
      <c r="I175" s="107"/>
      <c r="J175" s="108"/>
      <c r="K175" s="108"/>
      <c r="L175" s="108"/>
      <c r="M175" s="108"/>
    </row>
    <row r="176" spans="1:13" ht="23.1" customHeight="1" x14ac:dyDescent="0.7">
      <c r="A176" s="148">
        <v>170</v>
      </c>
      <c r="B176" s="334" t="s">
        <v>790</v>
      </c>
      <c r="C176" s="335">
        <v>2</v>
      </c>
      <c r="D176" s="269">
        <v>3300</v>
      </c>
      <c r="E176" s="277">
        <f t="shared" si="15"/>
        <v>6600</v>
      </c>
      <c r="F176" s="334" t="s">
        <v>732</v>
      </c>
      <c r="G176" s="225" t="s">
        <v>610</v>
      </c>
      <c r="H176" s="139" t="str">
        <f t="shared" si="14"/>
        <v>นอกแผนอนุมัติ เข้าแผน (ครึ่งปีหลัง)</v>
      </c>
      <c r="I176" s="107"/>
      <c r="J176" s="108"/>
      <c r="K176" s="108"/>
      <c r="L176" s="108"/>
      <c r="M176" s="108"/>
    </row>
    <row r="177" spans="1:13" ht="23.1" customHeight="1" x14ac:dyDescent="0.7">
      <c r="A177" s="148">
        <v>171</v>
      </c>
      <c r="B177" s="174" t="s">
        <v>791</v>
      </c>
      <c r="C177" s="270">
        <v>1</v>
      </c>
      <c r="D177" s="271">
        <v>5590</v>
      </c>
      <c r="E177" s="277">
        <f t="shared" si="15"/>
        <v>5590</v>
      </c>
      <c r="F177" s="174" t="s">
        <v>826</v>
      </c>
      <c r="G177" s="225" t="s">
        <v>610</v>
      </c>
      <c r="H177" s="139" t="str">
        <f t="shared" si="14"/>
        <v>นอกแผนอนุมัติ เข้าแผน (ครึ่งปีหลัง)</v>
      </c>
      <c r="I177" s="107"/>
      <c r="J177" s="108"/>
      <c r="K177" s="108"/>
      <c r="L177" s="108"/>
      <c r="M177" s="108"/>
    </row>
    <row r="178" spans="1:13" ht="23.1" customHeight="1" x14ac:dyDescent="0.7">
      <c r="A178" s="148">
        <v>172</v>
      </c>
      <c r="B178" s="334" t="s">
        <v>884</v>
      </c>
      <c r="C178" s="335">
        <v>1</v>
      </c>
      <c r="D178" s="269">
        <v>28800</v>
      </c>
      <c r="E178" s="277">
        <f t="shared" si="15"/>
        <v>28800</v>
      </c>
      <c r="F178" s="174" t="s">
        <v>826</v>
      </c>
      <c r="G178" s="225" t="s">
        <v>610</v>
      </c>
      <c r="H178" s="139" t="str">
        <f t="shared" si="14"/>
        <v>นอกแผนอนุมัติ เข้าแผน (ครึ่งปีหลัง)</v>
      </c>
      <c r="I178" s="107"/>
      <c r="J178" s="108"/>
      <c r="K178" s="108"/>
      <c r="L178" s="108"/>
      <c r="M178" s="108"/>
    </row>
    <row r="179" spans="1:13" ht="23.1" customHeight="1" x14ac:dyDescent="0.7">
      <c r="A179" s="148">
        <v>173</v>
      </c>
      <c r="B179" s="334" t="s">
        <v>885</v>
      </c>
      <c r="C179" s="335">
        <v>1</v>
      </c>
      <c r="D179" s="269">
        <v>15500</v>
      </c>
      <c r="E179" s="277">
        <f t="shared" si="15"/>
        <v>15500</v>
      </c>
      <c r="F179" s="174" t="s">
        <v>826</v>
      </c>
      <c r="G179" s="225" t="s">
        <v>610</v>
      </c>
      <c r="H179" s="139" t="str">
        <f t="shared" si="14"/>
        <v>นอกแผนอนุมัติ เข้าแผน (ครึ่งปีหลัง)</v>
      </c>
      <c r="I179" s="107"/>
      <c r="J179" s="108"/>
      <c r="K179" s="108"/>
      <c r="L179" s="108"/>
      <c r="M179" s="108"/>
    </row>
    <row r="180" spans="1:13" ht="23.1" customHeight="1" x14ac:dyDescent="0.7">
      <c r="A180" s="148">
        <v>174</v>
      </c>
      <c r="B180" s="334" t="s">
        <v>789</v>
      </c>
      <c r="C180" s="335">
        <v>7</v>
      </c>
      <c r="D180" s="269">
        <v>2204.1999999999998</v>
      </c>
      <c r="E180" s="277">
        <f t="shared" si="15"/>
        <v>15429.399999999998</v>
      </c>
      <c r="F180" s="174" t="s">
        <v>826</v>
      </c>
      <c r="G180" s="225" t="s">
        <v>610</v>
      </c>
      <c r="H180" s="139" t="str">
        <f t="shared" si="14"/>
        <v>นอกแผนอนุมัติ เข้าแผน (ครึ่งปีหลัง)</v>
      </c>
      <c r="I180" s="107"/>
      <c r="J180" s="108"/>
      <c r="K180" s="108"/>
      <c r="L180" s="108"/>
      <c r="M180" s="108"/>
    </row>
    <row r="181" spans="1:13" ht="23.1" customHeight="1" x14ac:dyDescent="0.7">
      <c r="A181" s="148">
        <v>175</v>
      </c>
      <c r="B181" s="334" t="s">
        <v>789</v>
      </c>
      <c r="C181" s="335">
        <v>1</v>
      </c>
      <c r="D181" s="334">
        <v>2305.85</v>
      </c>
      <c r="E181" s="277">
        <f t="shared" si="15"/>
        <v>2305.85</v>
      </c>
      <c r="F181" s="334" t="s">
        <v>827</v>
      </c>
      <c r="G181" s="225" t="s">
        <v>610</v>
      </c>
      <c r="H181" s="139" t="str">
        <f t="shared" si="14"/>
        <v>นอกแผนอนุมัติ เข้าแผน (ครึ่งปีหลัง)</v>
      </c>
      <c r="I181" s="107"/>
      <c r="J181" s="108"/>
      <c r="K181" s="108"/>
      <c r="L181" s="108"/>
      <c r="M181" s="108"/>
    </row>
    <row r="182" spans="1:13" ht="23.1" customHeight="1" x14ac:dyDescent="0.7">
      <c r="A182" s="148">
        <v>176</v>
      </c>
      <c r="B182" s="174" t="s">
        <v>792</v>
      </c>
      <c r="C182" s="270">
        <v>1</v>
      </c>
      <c r="D182" s="271">
        <v>31800</v>
      </c>
      <c r="E182" s="277">
        <f t="shared" si="15"/>
        <v>31800</v>
      </c>
      <c r="F182" s="174" t="s">
        <v>827</v>
      </c>
      <c r="G182" s="225" t="s">
        <v>610</v>
      </c>
      <c r="H182" s="139" t="str">
        <f t="shared" si="14"/>
        <v>นอกแผนอนุมัติ เข้าแผน (ครึ่งปีหลัง)</v>
      </c>
      <c r="I182" s="107"/>
      <c r="J182" s="108"/>
      <c r="K182" s="108"/>
      <c r="L182" s="108"/>
      <c r="M182" s="108"/>
    </row>
    <row r="183" spans="1:13" ht="23.1" customHeight="1" x14ac:dyDescent="0.7">
      <c r="A183" s="148">
        <v>177</v>
      </c>
      <c r="B183" s="334" t="s">
        <v>793</v>
      </c>
      <c r="C183" s="335">
        <v>1</v>
      </c>
      <c r="D183" s="269">
        <v>28800</v>
      </c>
      <c r="E183" s="277">
        <f t="shared" si="15"/>
        <v>28800</v>
      </c>
      <c r="F183" s="334" t="s">
        <v>827</v>
      </c>
      <c r="G183" s="225" t="s">
        <v>610</v>
      </c>
      <c r="H183" s="139" t="str">
        <f t="shared" si="14"/>
        <v>นอกแผนอนุมัติ เข้าแผน (ครึ่งปีหลัง)</v>
      </c>
      <c r="I183" s="107"/>
      <c r="J183" s="108"/>
      <c r="K183" s="108"/>
      <c r="L183" s="108"/>
      <c r="M183" s="108"/>
    </row>
    <row r="184" spans="1:13" ht="23.1" customHeight="1" x14ac:dyDescent="0.7">
      <c r="A184" s="148">
        <v>178</v>
      </c>
      <c r="B184" s="334" t="s">
        <v>794</v>
      </c>
      <c r="C184" s="335">
        <v>2</v>
      </c>
      <c r="D184" s="269">
        <v>1590</v>
      </c>
      <c r="E184" s="277">
        <f t="shared" si="15"/>
        <v>3180</v>
      </c>
      <c r="F184" s="334" t="s">
        <v>828</v>
      </c>
      <c r="G184" s="225" t="s">
        <v>610</v>
      </c>
      <c r="H184" s="139" t="str">
        <f t="shared" si="14"/>
        <v>นอกแผนอนุมัติ เข้าแผน (ครึ่งปีหลัง)</v>
      </c>
      <c r="I184" s="107"/>
      <c r="J184" s="108"/>
      <c r="K184" s="108"/>
      <c r="L184" s="108"/>
      <c r="M184" s="108"/>
    </row>
    <row r="185" spans="1:13" ht="23.1" customHeight="1" x14ac:dyDescent="0.7">
      <c r="A185" s="148">
        <v>179</v>
      </c>
      <c r="B185" s="174" t="s">
        <v>795</v>
      </c>
      <c r="C185" s="270">
        <v>1</v>
      </c>
      <c r="D185" s="271">
        <v>36700</v>
      </c>
      <c r="E185" s="277">
        <f t="shared" si="15"/>
        <v>36700</v>
      </c>
      <c r="F185" s="174" t="s">
        <v>733</v>
      </c>
      <c r="G185" s="225" t="s">
        <v>610</v>
      </c>
      <c r="H185" s="139" t="str">
        <f t="shared" si="14"/>
        <v>นอกแผนอนุมัติ เข้าแผน (ครึ่งปีหลัง)</v>
      </c>
      <c r="I185" s="107"/>
      <c r="J185" s="108"/>
      <c r="K185" s="108"/>
      <c r="L185" s="108"/>
      <c r="M185" s="108"/>
    </row>
    <row r="186" spans="1:13" ht="23.1" customHeight="1" x14ac:dyDescent="0.7">
      <c r="A186" s="148">
        <v>180</v>
      </c>
      <c r="B186" s="334" t="s">
        <v>796</v>
      </c>
      <c r="C186" s="335">
        <v>1</v>
      </c>
      <c r="D186" s="336">
        <v>2878.3</v>
      </c>
      <c r="E186" s="277">
        <f t="shared" si="15"/>
        <v>2878.3</v>
      </c>
      <c r="F186" s="334" t="s">
        <v>373</v>
      </c>
      <c r="G186" s="225" t="s">
        <v>610</v>
      </c>
      <c r="H186" s="139" t="str">
        <f t="shared" si="14"/>
        <v>นอกแผนอนุมัติ เข้าแผน (ครึ่งปีหลัง)</v>
      </c>
      <c r="I186" s="107"/>
      <c r="J186" s="108"/>
      <c r="K186" s="108"/>
      <c r="L186" s="108"/>
      <c r="M186" s="108"/>
    </row>
    <row r="187" spans="1:13" ht="23.1" customHeight="1" x14ac:dyDescent="0.7">
      <c r="A187" s="148">
        <v>181</v>
      </c>
      <c r="B187" s="334" t="s">
        <v>797</v>
      </c>
      <c r="C187" s="335">
        <v>1</v>
      </c>
      <c r="D187" s="269">
        <v>49000</v>
      </c>
      <c r="E187" s="277">
        <f t="shared" si="15"/>
        <v>49000</v>
      </c>
      <c r="F187" s="334" t="s">
        <v>829</v>
      </c>
      <c r="G187" s="225" t="s">
        <v>610</v>
      </c>
      <c r="H187" s="139" t="str">
        <f t="shared" si="14"/>
        <v>นอกแผนอนุมัติ เข้าแผน (ครึ่งปีหลัง)</v>
      </c>
      <c r="I187" s="107"/>
      <c r="J187" s="108"/>
      <c r="K187" s="108"/>
      <c r="L187" s="108"/>
      <c r="M187" s="108"/>
    </row>
    <row r="188" spans="1:13" ht="23.1" customHeight="1" x14ac:dyDescent="0.7">
      <c r="A188" s="148">
        <v>182</v>
      </c>
      <c r="B188" s="334" t="s">
        <v>798</v>
      </c>
      <c r="C188" s="335">
        <v>1</v>
      </c>
      <c r="D188" s="336">
        <v>2418.1999999999998</v>
      </c>
      <c r="E188" s="277">
        <f t="shared" si="15"/>
        <v>2418.1999999999998</v>
      </c>
      <c r="F188" s="334" t="s">
        <v>829</v>
      </c>
      <c r="G188" s="225" t="s">
        <v>610</v>
      </c>
      <c r="H188" s="139" t="str">
        <f t="shared" si="14"/>
        <v>นอกแผนอนุมัติ เข้าแผน (ครึ่งปีหลัง)</v>
      </c>
      <c r="I188" s="107"/>
      <c r="J188" s="108"/>
      <c r="K188" s="108"/>
      <c r="L188" s="108"/>
      <c r="M188" s="108"/>
    </row>
    <row r="189" spans="1:13" ht="23.1" customHeight="1" x14ac:dyDescent="0.7">
      <c r="A189" s="148">
        <v>183</v>
      </c>
      <c r="B189" s="334" t="s">
        <v>799</v>
      </c>
      <c r="C189" s="335">
        <v>1</v>
      </c>
      <c r="D189" s="269">
        <v>1808.3</v>
      </c>
      <c r="E189" s="277">
        <f t="shared" si="15"/>
        <v>1808.3</v>
      </c>
      <c r="F189" s="334" t="s">
        <v>830</v>
      </c>
      <c r="G189" s="225" t="s">
        <v>610</v>
      </c>
      <c r="H189" s="139" t="str">
        <f t="shared" si="14"/>
        <v>นอกแผนอนุมัติ เข้าแผน (ครึ่งปีหลัง)</v>
      </c>
      <c r="I189" s="107"/>
      <c r="J189" s="108"/>
      <c r="K189" s="108"/>
      <c r="L189" s="108"/>
      <c r="M189" s="108"/>
    </row>
    <row r="190" spans="1:13" ht="23.1" customHeight="1" x14ac:dyDescent="0.7">
      <c r="A190" s="148">
        <v>184</v>
      </c>
      <c r="B190" s="174" t="s">
        <v>800</v>
      </c>
      <c r="C190" s="270">
        <v>1</v>
      </c>
      <c r="D190" s="271">
        <v>53200</v>
      </c>
      <c r="E190" s="277">
        <f t="shared" si="15"/>
        <v>53200</v>
      </c>
      <c r="F190" s="174" t="s">
        <v>830</v>
      </c>
      <c r="G190" s="225" t="s">
        <v>610</v>
      </c>
      <c r="H190" s="139" t="str">
        <f t="shared" si="14"/>
        <v>นอกแผนอนุมัติ เข้าแผน (ครึ่งปีหลัง)</v>
      </c>
      <c r="I190" s="107"/>
      <c r="J190" s="108"/>
      <c r="K190" s="108"/>
      <c r="L190" s="108"/>
      <c r="M190" s="108"/>
    </row>
    <row r="191" spans="1:13" ht="23.1" customHeight="1" x14ac:dyDescent="0.7">
      <c r="A191" s="148">
        <v>185</v>
      </c>
      <c r="B191" s="246" t="s">
        <v>801</v>
      </c>
      <c r="C191" s="335">
        <v>11</v>
      </c>
      <c r="D191" s="200">
        <v>8850</v>
      </c>
      <c r="E191" s="337">
        <v>104164.5</v>
      </c>
      <c r="F191" s="246" t="s">
        <v>624</v>
      </c>
      <c r="G191" s="225" t="s">
        <v>610</v>
      </c>
      <c r="H191" s="139" t="str">
        <f t="shared" si="14"/>
        <v>นอกแผนอนุมัติ เข้าแผน (ครึ่งปีหลัง)</v>
      </c>
      <c r="I191" s="107"/>
      <c r="J191" s="108"/>
      <c r="K191" s="108"/>
      <c r="L191" s="108"/>
      <c r="M191" s="108"/>
    </row>
    <row r="192" spans="1:13" ht="23.1" customHeight="1" x14ac:dyDescent="0.7">
      <c r="A192" s="148">
        <v>186</v>
      </c>
      <c r="B192" s="334" t="s">
        <v>376</v>
      </c>
      <c r="C192" s="335">
        <v>1</v>
      </c>
      <c r="D192" s="269">
        <v>3400</v>
      </c>
      <c r="E192" s="269">
        <v>3400</v>
      </c>
      <c r="F192" s="334" t="s">
        <v>831</v>
      </c>
      <c r="G192" s="225" t="s">
        <v>610</v>
      </c>
      <c r="H192" s="139" t="str">
        <f t="shared" si="14"/>
        <v>นอกแผนอนุมัติ เข้าแผน (ครึ่งปีหลัง)</v>
      </c>
      <c r="I192" s="107"/>
      <c r="J192" s="108"/>
      <c r="K192" s="108"/>
      <c r="L192" s="108"/>
      <c r="M192" s="108"/>
    </row>
    <row r="193" spans="1:13" ht="23.1" customHeight="1" x14ac:dyDescent="0.7">
      <c r="A193" s="148">
        <v>187</v>
      </c>
      <c r="B193" s="334" t="s">
        <v>789</v>
      </c>
      <c r="C193" s="335">
        <v>1</v>
      </c>
      <c r="D193" s="269">
        <v>2305.85</v>
      </c>
      <c r="E193" s="269">
        <v>2305.85</v>
      </c>
      <c r="F193" s="334" t="s">
        <v>831</v>
      </c>
      <c r="G193" s="225" t="s">
        <v>610</v>
      </c>
      <c r="H193" s="139" t="str">
        <f t="shared" si="14"/>
        <v>นอกแผนอนุมัติ เข้าแผน (ครึ่งปีหลัง)</v>
      </c>
      <c r="I193" s="107"/>
      <c r="J193" s="108"/>
      <c r="K193" s="108"/>
      <c r="L193" s="108"/>
      <c r="M193" s="108"/>
    </row>
    <row r="194" spans="1:13" ht="23.1" customHeight="1" x14ac:dyDescent="0.7">
      <c r="A194" s="148">
        <v>188</v>
      </c>
      <c r="B194" s="334" t="s">
        <v>802</v>
      </c>
      <c r="C194" s="335">
        <v>2</v>
      </c>
      <c r="D194" s="269">
        <v>4291.8</v>
      </c>
      <c r="E194" s="277">
        <v>8583.6</v>
      </c>
      <c r="F194" s="334" t="s">
        <v>832</v>
      </c>
      <c r="G194" s="225" t="s">
        <v>610</v>
      </c>
      <c r="H194" s="139" t="str">
        <f t="shared" si="14"/>
        <v>นอกแผนอนุมัติ เข้าแผน (ครึ่งปีหลัง)</v>
      </c>
      <c r="I194" s="107"/>
      <c r="J194" s="108"/>
      <c r="K194" s="108"/>
      <c r="L194" s="108"/>
      <c r="M194" s="108"/>
    </row>
    <row r="195" spans="1:13" ht="23.1" customHeight="1" x14ac:dyDescent="0.7">
      <c r="A195" s="148">
        <v>189</v>
      </c>
      <c r="B195" s="334" t="s">
        <v>803</v>
      </c>
      <c r="C195" s="335">
        <v>1</v>
      </c>
      <c r="D195" s="269">
        <v>2305.85</v>
      </c>
      <c r="E195" s="277">
        <v>2305.85</v>
      </c>
      <c r="F195" s="334" t="s">
        <v>833</v>
      </c>
      <c r="G195" s="225" t="s">
        <v>610</v>
      </c>
      <c r="H195" s="139" t="str">
        <f t="shared" si="14"/>
        <v>นอกแผนอนุมัติ เข้าแผน (ครึ่งปีหลัง)</v>
      </c>
      <c r="I195" s="107"/>
      <c r="J195" s="108"/>
      <c r="K195" s="108"/>
      <c r="L195" s="108"/>
      <c r="M195" s="108"/>
    </row>
    <row r="196" spans="1:13" ht="23.1" customHeight="1" x14ac:dyDescent="0.7">
      <c r="A196" s="148">
        <v>190</v>
      </c>
      <c r="B196" s="334" t="s">
        <v>798</v>
      </c>
      <c r="C196" s="335">
        <v>1</v>
      </c>
      <c r="D196" s="269">
        <v>2590</v>
      </c>
      <c r="E196" s="277">
        <v>2590</v>
      </c>
      <c r="F196" s="334" t="s">
        <v>834</v>
      </c>
      <c r="G196" s="225" t="s">
        <v>610</v>
      </c>
      <c r="H196" s="139" t="str">
        <f t="shared" si="14"/>
        <v>นอกแผนอนุมัติ เข้าแผน (ครึ่งปีหลัง)</v>
      </c>
      <c r="I196" s="107"/>
      <c r="J196" s="108"/>
      <c r="K196" s="108"/>
      <c r="L196" s="108"/>
      <c r="M196" s="108"/>
    </row>
    <row r="197" spans="1:13" ht="23.1" customHeight="1" x14ac:dyDescent="0.7">
      <c r="A197" s="148">
        <v>191</v>
      </c>
      <c r="B197" s="334" t="s">
        <v>804</v>
      </c>
      <c r="C197" s="335">
        <v>1</v>
      </c>
      <c r="D197" s="269">
        <v>52965</v>
      </c>
      <c r="E197" s="269">
        <v>52965</v>
      </c>
      <c r="F197" s="334" t="s">
        <v>334</v>
      </c>
      <c r="G197" s="225" t="s">
        <v>610</v>
      </c>
      <c r="H197" s="139" t="str">
        <f t="shared" si="14"/>
        <v>นอกแผนอนุมัติ เข้าแผน (ครึ่งปีหลัง)</v>
      </c>
      <c r="I197" s="107"/>
      <c r="J197" s="108"/>
      <c r="K197" s="108"/>
      <c r="L197" s="108"/>
      <c r="M197" s="108"/>
    </row>
    <row r="198" spans="1:13" ht="23.1" customHeight="1" x14ac:dyDescent="0.7">
      <c r="A198" s="148">
        <v>192</v>
      </c>
      <c r="B198" s="334" t="s">
        <v>805</v>
      </c>
      <c r="C198" s="335">
        <v>5</v>
      </c>
      <c r="D198" s="269">
        <v>9580</v>
      </c>
      <c r="E198" s="269">
        <v>47900</v>
      </c>
      <c r="F198" s="334" t="s">
        <v>332</v>
      </c>
      <c r="G198" s="225" t="s">
        <v>610</v>
      </c>
      <c r="H198" s="139" t="str">
        <f t="shared" si="14"/>
        <v>นอกแผนอนุมัติ เข้าแผน (ครึ่งปีหลัง)</v>
      </c>
      <c r="I198" s="107"/>
      <c r="J198" s="108"/>
      <c r="K198" s="108"/>
      <c r="L198" s="108"/>
      <c r="M198" s="108"/>
    </row>
    <row r="199" spans="1:13" ht="23.1" customHeight="1" x14ac:dyDescent="0.7">
      <c r="A199" s="148">
        <v>193</v>
      </c>
      <c r="B199" s="334" t="s">
        <v>806</v>
      </c>
      <c r="C199" s="335">
        <v>4</v>
      </c>
      <c r="D199" s="269">
        <v>6690</v>
      </c>
      <c r="E199" s="269">
        <v>26760</v>
      </c>
      <c r="F199" s="334" t="s">
        <v>737</v>
      </c>
      <c r="G199" s="225" t="s">
        <v>610</v>
      </c>
      <c r="H199" s="139" t="str">
        <f t="shared" si="14"/>
        <v>นอกแผนอนุมัติ เข้าแผน (ครึ่งปีหลัง)</v>
      </c>
      <c r="I199" s="107"/>
      <c r="J199" s="108"/>
      <c r="K199" s="108"/>
      <c r="L199" s="108"/>
      <c r="M199" s="108"/>
    </row>
    <row r="200" spans="1:13" ht="23.1" customHeight="1" x14ac:dyDescent="0.7">
      <c r="A200" s="148">
        <v>194</v>
      </c>
      <c r="B200" s="174" t="s">
        <v>807</v>
      </c>
      <c r="C200" s="270">
        <v>1</v>
      </c>
      <c r="D200" s="271">
        <v>8390</v>
      </c>
      <c r="E200" s="280">
        <v>8390</v>
      </c>
      <c r="F200" s="174" t="s">
        <v>320</v>
      </c>
      <c r="G200" s="225" t="s">
        <v>610</v>
      </c>
      <c r="H200" s="139" t="str">
        <f t="shared" si="14"/>
        <v>นอกแผนอนุมัติ เข้าแผน (ครึ่งปีหลัง)</v>
      </c>
      <c r="I200" s="107"/>
      <c r="J200" s="108"/>
      <c r="K200" s="108"/>
      <c r="L200" s="108"/>
      <c r="M200" s="108"/>
    </row>
    <row r="201" spans="1:13" ht="23.1" customHeight="1" x14ac:dyDescent="0.7">
      <c r="A201" s="148">
        <v>195</v>
      </c>
      <c r="B201" s="334" t="s">
        <v>808</v>
      </c>
      <c r="C201" s="335">
        <v>1</v>
      </c>
      <c r="D201" s="269">
        <v>2198.85</v>
      </c>
      <c r="E201" s="269">
        <v>2198.85</v>
      </c>
      <c r="F201" s="334" t="s">
        <v>320</v>
      </c>
      <c r="G201" s="225" t="s">
        <v>610</v>
      </c>
      <c r="H201" s="139" t="str">
        <f t="shared" si="14"/>
        <v>นอกแผนอนุมัติ เข้าแผน (ครึ่งปีหลัง)</v>
      </c>
      <c r="I201" s="107"/>
      <c r="J201" s="108"/>
      <c r="K201" s="108"/>
      <c r="L201" s="108"/>
      <c r="M201" s="108"/>
    </row>
    <row r="202" spans="1:13" ht="23.1" customHeight="1" x14ac:dyDescent="0.7">
      <c r="A202" s="148">
        <v>196</v>
      </c>
      <c r="B202" s="334" t="s">
        <v>809</v>
      </c>
      <c r="C202" s="335">
        <v>1</v>
      </c>
      <c r="D202" s="269">
        <v>52965</v>
      </c>
      <c r="E202" s="269">
        <v>52965</v>
      </c>
      <c r="F202" s="334" t="s">
        <v>738</v>
      </c>
      <c r="G202" s="225" t="s">
        <v>610</v>
      </c>
      <c r="H202" s="139" t="str">
        <f t="shared" si="14"/>
        <v>นอกแผนอนุมัติ เข้าแผน (ครึ่งปีหลัง)</v>
      </c>
      <c r="I202" s="107"/>
      <c r="J202" s="108"/>
      <c r="K202" s="108"/>
      <c r="L202" s="108"/>
      <c r="M202" s="108"/>
    </row>
    <row r="203" spans="1:13" ht="23.1" customHeight="1" x14ac:dyDescent="0.7">
      <c r="A203" s="148">
        <v>197</v>
      </c>
      <c r="B203" s="174" t="s">
        <v>810</v>
      </c>
      <c r="C203" s="270">
        <v>4</v>
      </c>
      <c r="D203" s="271">
        <v>1990</v>
      </c>
      <c r="E203" s="280">
        <v>7960</v>
      </c>
      <c r="F203" s="174" t="s">
        <v>835</v>
      </c>
      <c r="G203" s="225" t="s">
        <v>610</v>
      </c>
      <c r="H203" s="139" t="str">
        <f t="shared" si="14"/>
        <v>นอกแผนอนุมัติ เข้าแผน (ครึ่งปีหลัง)</v>
      </c>
      <c r="I203" s="107"/>
      <c r="J203" s="108"/>
      <c r="K203" s="108"/>
      <c r="L203" s="108"/>
      <c r="M203" s="108"/>
    </row>
    <row r="204" spans="1:13" ht="23.1" customHeight="1" x14ac:dyDescent="0.7">
      <c r="A204" s="148">
        <v>198</v>
      </c>
      <c r="B204" s="142" t="s">
        <v>811</v>
      </c>
      <c r="C204" s="136">
        <v>1</v>
      </c>
      <c r="D204" s="280">
        <v>14700</v>
      </c>
      <c r="E204" s="280">
        <v>14700</v>
      </c>
      <c r="F204" s="338" t="s">
        <v>836</v>
      </c>
      <c r="G204" s="225" t="s">
        <v>610</v>
      </c>
      <c r="H204" s="139" t="str">
        <f t="shared" si="14"/>
        <v>นอกแผนอนุมัติ เข้าแผน (ครึ่งปีหลัง)</v>
      </c>
      <c r="I204" s="107"/>
      <c r="J204" s="108"/>
      <c r="K204" s="108"/>
      <c r="L204" s="108"/>
      <c r="M204" s="108"/>
    </row>
    <row r="205" spans="1:13" ht="23.1" customHeight="1" x14ac:dyDescent="0.7">
      <c r="A205" s="148">
        <v>199</v>
      </c>
      <c r="B205" s="137" t="s">
        <v>812</v>
      </c>
      <c r="C205" s="136">
        <v>1</v>
      </c>
      <c r="D205" s="278">
        <v>16900</v>
      </c>
      <c r="E205" s="278">
        <v>16900</v>
      </c>
      <c r="F205" s="338" t="s">
        <v>836</v>
      </c>
      <c r="G205" s="225" t="s">
        <v>610</v>
      </c>
      <c r="H205" s="139" t="str">
        <f t="shared" si="14"/>
        <v>นอกแผนอนุมัติ เข้าแผน (ครึ่งปีหลัง)</v>
      </c>
      <c r="I205" s="107"/>
      <c r="J205" s="108"/>
      <c r="K205" s="108"/>
      <c r="L205" s="108"/>
      <c r="M205" s="108"/>
    </row>
    <row r="206" spans="1:13" ht="23.1" customHeight="1" x14ac:dyDescent="0.7">
      <c r="A206" s="148">
        <v>200</v>
      </c>
      <c r="B206" s="334" t="s">
        <v>813</v>
      </c>
      <c r="C206" s="335">
        <v>1</v>
      </c>
      <c r="D206" s="269">
        <v>27900</v>
      </c>
      <c r="E206" s="269">
        <v>27900</v>
      </c>
      <c r="F206" s="334" t="s">
        <v>328</v>
      </c>
      <c r="G206" s="225" t="s">
        <v>610</v>
      </c>
      <c r="H206" s="139" t="str">
        <f t="shared" si="14"/>
        <v>นอกแผนอนุมัติ เข้าแผน (ครึ่งปีหลัง)</v>
      </c>
      <c r="I206" s="107"/>
      <c r="J206" s="108"/>
      <c r="K206" s="108"/>
      <c r="L206" s="108"/>
      <c r="M206" s="108"/>
    </row>
    <row r="207" spans="1:13" ht="23.1" customHeight="1" x14ac:dyDescent="0.7">
      <c r="A207" s="148">
        <v>201</v>
      </c>
      <c r="B207" s="334" t="s">
        <v>814</v>
      </c>
      <c r="C207" s="335">
        <v>2</v>
      </c>
      <c r="D207" s="269">
        <v>1320</v>
      </c>
      <c r="E207" s="339">
        <v>2640</v>
      </c>
      <c r="F207" s="334" t="s">
        <v>837</v>
      </c>
      <c r="G207" s="225" t="s">
        <v>610</v>
      </c>
      <c r="H207" s="139" t="str">
        <f t="shared" si="14"/>
        <v>นอกแผนอนุมัติ เข้าแผน (ครึ่งปีหลัง)</v>
      </c>
      <c r="I207" s="107"/>
      <c r="J207" s="108"/>
      <c r="K207" s="108"/>
      <c r="L207" s="108"/>
      <c r="M207" s="108"/>
    </row>
    <row r="208" spans="1:13" ht="23.1" customHeight="1" x14ac:dyDescent="0.7">
      <c r="A208" s="148">
        <v>202</v>
      </c>
      <c r="B208" s="334" t="s">
        <v>815</v>
      </c>
      <c r="C208" s="335">
        <v>1</v>
      </c>
      <c r="D208" s="269">
        <v>12500</v>
      </c>
      <c r="E208" s="269">
        <v>12500</v>
      </c>
      <c r="F208" s="334" t="s">
        <v>838</v>
      </c>
      <c r="G208" s="225" t="s">
        <v>610</v>
      </c>
      <c r="H208" s="139" t="str">
        <f t="shared" si="14"/>
        <v>นอกแผนอนุมัติ เข้าแผน (ครึ่งปีหลัง)</v>
      </c>
      <c r="I208" s="107"/>
      <c r="J208" s="108"/>
      <c r="K208" s="108"/>
      <c r="L208" s="108"/>
      <c r="M208" s="108"/>
    </row>
    <row r="209" spans="1:13" ht="23.1" customHeight="1" x14ac:dyDescent="0.7">
      <c r="A209" s="148">
        <v>203</v>
      </c>
      <c r="B209" s="334" t="s">
        <v>816</v>
      </c>
      <c r="C209" s="335">
        <v>1</v>
      </c>
      <c r="D209" s="269">
        <v>4999</v>
      </c>
      <c r="E209" s="269">
        <v>4999</v>
      </c>
      <c r="F209" s="334" t="s">
        <v>839</v>
      </c>
      <c r="G209" s="225" t="s">
        <v>610</v>
      </c>
      <c r="H209" s="139" t="str">
        <f t="shared" si="14"/>
        <v>นอกแผนอนุมัติ เข้าแผน (ครึ่งปีหลัง)</v>
      </c>
      <c r="I209" s="107"/>
      <c r="J209" s="108"/>
      <c r="K209" s="108"/>
      <c r="L209" s="108"/>
      <c r="M209" s="108"/>
    </row>
    <row r="210" spans="1:13" ht="23.1" customHeight="1" x14ac:dyDescent="0.7">
      <c r="A210" s="148">
        <v>204</v>
      </c>
      <c r="B210" s="246" t="s">
        <v>817</v>
      </c>
      <c r="C210" s="335">
        <v>1</v>
      </c>
      <c r="D210" s="273">
        <v>16050</v>
      </c>
      <c r="E210" s="273">
        <v>16050</v>
      </c>
      <c r="F210" s="335" t="s">
        <v>621</v>
      </c>
      <c r="G210" s="225" t="s">
        <v>610</v>
      </c>
      <c r="H210" s="139" t="str">
        <f t="shared" si="14"/>
        <v>นอกแผนอนุมัติ เข้าแผน (ครึ่งปีหลัง)</v>
      </c>
      <c r="I210" s="107"/>
      <c r="J210" s="108"/>
      <c r="K210" s="108"/>
      <c r="L210" s="108"/>
      <c r="M210" s="108"/>
    </row>
    <row r="211" spans="1:13" ht="23.1" customHeight="1" x14ac:dyDescent="0.7">
      <c r="A211" s="148">
        <v>205</v>
      </c>
      <c r="B211" s="334" t="s">
        <v>915</v>
      </c>
      <c r="C211" s="335">
        <v>1</v>
      </c>
      <c r="D211" s="269">
        <v>45500</v>
      </c>
      <c r="E211" s="269">
        <v>45500</v>
      </c>
      <c r="F211" s="334" t="s">
        <v>840</v>
      </c>
      <c r="G211" s="225" t="s">
        <v>610</v>
      </c>
      <c r="H211" s="139" t="str">
        <f t="shared" si="14"/>
        <v>นอกแผนอนุมัติ เข้าแผน (ครึ่งปีหลัง)</v>
      </c>
      <c r="I211" s="107"/>
      <c r="J211" s="108"/>
      <c r="K211" s="108"/>
      <c r="L211" s="108"/>
      <c r="M211" s="108"/>
    </row>
    <row r="212" spans="1:13" ht="23.1" customHeight="1" x14ac:dyDescent="0.7">
      <c r="A212" s="148">
        <v>206</v>
      </c>
      <c r="B212" s="334" t="s">
        <v>888</v>
      </c>
      <c r="C212" s="335">
        <v>1</v>
      </c>
      <c r="D212" s="269">
        <v>12000</v>
      </c>
      <c r="E212" s="269">
        <v>12000</v>
      </c>
      <c r="F212" s="334" t="s">
        <v>840</v>
      </c>
      <c r="G212" s="225" t="s">
        <v>610</v>
      </c>
      <c r="H212" s="139" t="str">
        <f t="shared" si="14"/>
        <v>นอกแผนอนุมัติ เข้าแผน (ครึ่งปีหลัง)</v>
      </c>
      <c r="I212" s="107"/>
      <c r="J212" s="108"/>
      <c r="K212" s="108"/>
      <c r="L212" s="108"/>
      <c r="M212" s="108"/>
    </row>
    <row r="213" spans="1:13" ht="23.1" customHeight="1" x14ac:dyDescent="0.7">
      <c r="A213" s="148">
        <v>207</v>
      </c>
      <c r="B213" s="334" t="s">
        <v>620</v>
      </c>
      <c r="C213" s="335">
        <v>1</v>
      </c>
      <c r="D213" s="272">
        <v>1590</v>
      </c>
      <c r="E213" s="272">
        <v>1590</v>
      </c>
      <c r="F213" s="334" t="s">
        <v>841</v>
      </c>
      <c r="G213" s="225" t="s">
        <v>610</v>
      </c>
      <c r="H213" s="139" t="str">
        <f t="shared" si="14"/>
        <v>นอกแผนอนุมัติ เข้าแผน (ครึ่งปีหลัง)</v>
      </c>
      <c r="I213" s="107"/>
      <c r="J213" s="108"/>
      <c r="K213" s="108"/>
      <c r="L213" s="108"/>
      <c r="M213" s="108"/>
    </row>
    <row r="214" spans="1:13" ht="23.1" customHeight="1" x14ac:dyDescent="0.7">
      <c r="A214" s="148">
        <v>208</v>
      </c>
      <c r="B214" s="334" t="s">
        <v>818</v>
      </c>
      <c r="C214" s="335">
        <v>2</v>
      </c>
      <c r="D214" s="269">
        <v>4994</v>
      </c>
      <c r="E214" s="269">
        <v>9988</v>
      </c>
      <c r="F214" s="334" t="s">
        <v>520</v>
      </c>
      <c r="G214" s="225" t="s">
        <v>610</v>
      </c>
      <c r="H214" s="139" t="str">
        <f t="shared" si="14"/>
        <v>นอกแผนอนุมัติ เข้าแผน (ครึ่งปีหลัง)</v>
      </c>
      <c r="I214" s="107"/>
      <c r="J214" s="108"/>
      <c r="K214" s="108"/>
      <c r="L214" s="108"/>
      <c r="M214" s="108"/>
    </row>
    <row r="215" spans="1:13" ht="23.1" customHeight="1" x14ac:dyDescent="0.7">
      <c r="A215" s="148">
        <v>209</v>
      </c>
      <c r="B215" s="334" t="s">
        <v>792</v>
      </c>
      <c r="C215" s="335">
        <v>2</v>
      </c>
      <c r="D215" s="269">
        <v>50250</v>
      </c>
      <c r="E215" s="271">
        <v>100500</v>
      </c>
      <c r="F215" s="334" t="s">
        <v>520</v>
      </c>
      <c r="G215" s="225" t="s">
        <v>610</v>
      </c>
      <c r="H215" s="139" t="str">
        <f t="shared" si="14"/>
        <v>นอกแผนอนุมัติ เข้าแผน (ครึ่งปีหลัง)</v>
      </c>
      <c r="I215" s="107"/>
      <c r="J215" s="108"/>
      <c r="K215" s="108"/>
      <c r="L215" s="108"/>
      <c r="M215" s="108"/>
    </row>
    <row r="216" spans="1:13" ht="23.1" customHeight="1" x14ac:dyDescent="0.7">
      <c r="A216" s="148">
        <v>210</v>
      </c>
      <c r="B216" s="334" t="s">
        <v>819</v>
      </c>
      <c r="C216" s="335">
        <v>1</v>
      </c>
      <c r="D216" s="269">
        <v>21590</v>
      </c>
      <c r="E216" s="269">
        <v>21590</v>
      </c>
      <c r="F216" s="334" t="s">
        <v>739</v>
      </c>
      <c r="G216" s="225" t="s">
        <v>610</v>
      </c>
      <c r="H216" s="139" t="str">
        <f t="shared" si="14"/>
        <v>นอกแผนอนุมัติ เข้าแผน (ครึ่งปีหลัง)</v>
      </c>
      <c r="I216" s="107"/>
      <c r="J216" s="108"/>
      <c r="K216" s="108"/>
      <c r="L216" s="108"/>
      <c r="M216" s="108"/>
    </row>
    <row r="217" spans="1:13" ht="23.1" customHeight="1" x14ac:dyDescent="0.7">
      <c r="A217" s="148">
        <v>211</v>
      </c>
      <c r="B217" s="334" t="s">
        <v>820</v>
      </c>
      <c r="C217" s="335">
        <v>5</v>
      </c>
      <c r="D217" s="269"/>
      <c r="E217" s="1533">
        <v>16340</v>
      </c>
      <c r="F217" s="334" t="s">
        <v>842</v>
      </c>
      <c r="G217" s="225" t="s">
        <v>610</v>
      </c>
      <c r="H217" s="139" t="str">
        <f t="shared" si="14"/>
        <v>นอกแผนอนุมัติ เข้าแผน (ครึ่งปีหลัง)</v>
      </c>
      <c r="I217" s="107"/>
      <c r="J217" s="108"/>
      <c r="K217" s="108"/>
      <c r="L217" s="108"/>
      <c r="M217" s="108"/>
    </row>
    <row r="218" spans="1:13" ht="23.1" customHeight="1" x14ac:dyDescent="0.7">
      <c r="A218" s="148">
        <v>212</v>
      </c>
      <c r="B218" s="334" t="s">
        <v>821</v>
      </c>
      <c r="C218" s="335">
        <v>1</v>
      </c>
      <c r="D218" s="269"/>
      <c r="E218" s="1534"/>
      <c r="F218" s="334" t="s">
        <v>842</v>
      </c>
      <c r="G218" s="225" t="s">
        <v>610</v>
      </c>
      <c r="H218" s="139" t="str">
        <f t="shared" si="14"/>
        <v>นอกแผนอนุมัติ เข้าแผน (ครึ่งปีหลัง)</v>
      </c>
      <c r="I218" s="107"/>
      <c r="J218" s="108"/>
      <c r="K218" s="108"/>
      <c r="L218" s="108"/>
      <c r="M218" s="108"/>
    </row>
    <row r="219" spans="1:13" ht="23.1" customHeight="1" x14ac:dyDescent="0.7">
      <c r="A219" s="148">
        <v>213</v>
      </c>
      <c r="B219" s="334" t="s">
        <v>886</v>
      </c>
      <c r="C219" s="335">
        <v>1</v>
      </c>
      <c r="D219" s="269">
        <v>53500</v>
      </c>
      <c r="E219" s="269">
        <v>53500</v>
      </c>
      <c r="F219" s="334" t="s">
        <v>740</v>
      </c>
      <c r="G219" s="225" t="s">
        <v>610</v>
      </c>
      <c r="H219" s="139" t="str">
        <f t="shared" si="14"/>
        <v>นอกแผนอนุมัติ เข้าแผน (ครึ่งปีหลัง)</v>
      </c>
      <c r="I219" s="107"/>
      <c r="J219" s="108"/>
      <c r="K219" s="108"/>
      <c r="L219" s="108"/>
      <c r="M219" s="108"/>
    </row>
    <row r="220" spans="1:13" ht="23.1" customHeight="1" x14ac:dyDescent="0.7">
      <c r="A220" s="148">
        <v>214</v>
      </c>
      <c r="B220" s="334" t="s">
        <v>887</v>
      </c>
      <c r="C220" s="335">
        <v>1</v>
      </c>
      <c r="D220" s="269">
        <v>23800</v>
      </c>
      <c r="E220" s="269">
        <v>23800</v>
      </c>
      <c r="F220" s="334" t="s">
        <v>740</v>
      </c>
      <c r="G220" s="225" t="s">
        <v>610</v>
      </c>
      <c r="H220" s="139" t="str">
        <f t="shared" si="14"/>
        <v>นอกแผนอนุมัติ เข้าแผน (ครึ่งปีหลัง)</v>
      </c>
      <c r="I220" s="107"/>
      <c r="J220" s="108"/>
      <c r="K220" s="108"/>
      <c r="L220" s="108"/>
      <c r="M220" s="108"/>
    </row>
    <row r="221" spans="1:13" ht="23.1" customHeight="1" x14ac:dyDescent="0.7">
      <c r="A221" s="148">
        <v>215</v>
      </c>
      <c r="B221" s="334" t="s">
        <v>822</v>
      </c>
      <c r="C221" s="335">
        <v>4</v>
      </c>
      <c r="D221" s="269">
        <v>3400</v>
      </c>
      <c r="E221" s="269">
        <v>13600</v>
      </c>
      <c r="F221" s="334" t="s">
        <v>843</v>
      </c>
      <c r="G221" s="225" t="s">
        <v>610</v>
      </c>
      <c r="H221" s="139" t="str">
        <f t="shared" si="14"/>
        <v>นอกแผนอนุมัติ เข้าแผน (ครึ่งปีหลัง)</v>
      </c>
      <c r="I221" s="107"/>
      <c r="J221" s="108"/>
      <c r="K221" s="108"/>
      <c r="L221" s="108"/>
      <c r="M221" s="108"/>
    </row>
    <row r="222" spans="1:13" ht="23.1" customHeight="1" x14ac:dyDescent="0.7">
      <c r="A222" s="148">
        <v>216</v>
      </c>
      <c r="B222" s="334" t="s">
        <v>823</v>
      </c>
      <c r="C222" s="335">
        <v>1</v>
      </c>
      <c r="D222" s="269">
        <v>16500</v>
      </c>
      <c r="E222" s="269">
        <v>16500</v>
      </c>
      <c r="F222" s="334" t="s">
        <v>321</v>
      </c>
      <c r="G222" s="225" t="s">
        <v>610</v>
      </c>
      <c r="H222" s="139" t="str">
        <f t="shared" si="14"/>
        <v>นอกแผนอนุมัติ เข้าแผน (ครึ่งปีหลัง)</v>
      </c>
      <c r="I222" s="107"/>
      <c r="J222" s="108"/>
      <c r="K222" s="108"/>
      <c r="L222" s="108"/>
      <c r="M222" s="108"/>
    </row>
    <row r="223" spans="1:13" ht="23.1" customHeight="1" x14ac:dyDescent="0.7">
      <c r="A223" s="148">
        <v>217</v>
      </c>
      <c r="B223" s="334" t="s">
        <v>376</v>
      </c>
      <c r="C223" s="335">
        <v>2</v>
      </c>
      <c r="D223" s="269">
        <v>3400</v>
      </c>
      <c r="E223" s="269">
        <v>6800</v>
      </c>
      <c r="F223" s="334" t="s">
        <v>844</v>
      </c>
      <c r="G223" s="225" t="s">
        <v>610</v>
      </c>
      <c r="H223" s="139" t="str">
        <f t="shared" si="14"/>
        <v>นอกแผนอนุมัติ เข้าแผน (ครึ่งปีหลัง)</v>
      </c>
      <c r="I223" s="107"/>
      <c r="J223" s="108"/>
      <c r="K223" s="108"/>
      <c r="L223" s="108"/>
      <c r="M223" s="108"/>
    </row>
    <row r="224" spans="1:13" ht="23.1" customHeight="1" x14ac:dyDescent="0.7">
      <c r="A224" s="148">
        <v>218</v>
      </c>
      <c r="B224" s="334" t="s">
        <v>824</v>
      </c>
      <c r="C224" s="335">
        <v>1</v>
      </c>
      <c r="D224" s="269">
        <v>42800</v>
      </c>
      <c r="E224" s="269">
        <v>42800</v>
      </c>
      <c r="F224" s="334" t="s">
        <v>742</v>
      </c>
      <c r="G224" s="225" t="s">
        <v>610</v>
      </c>
      <c r="H224" s="139" t="str">
        <f t="shared" si="14"/>
        <v>นอกแผนอนุมัติ เข้าแผน (ครึ่งปีหลัง)</v>
      </c>
      <c r="I224" s="107"/>
      <c r="J224" s="108"/>
      <c r="K224" s="108"/>
      <c r="L224" s="108"/>
      <c r="M224" s="108"/>
    </row>
    <row r="225" spans="1:13" ht="23.1" customHeight="1" x14ac:dyDescent="0.7">
      <c r="A225" s="148">
        <v>219</v>
      </c>
      <c r="B225" s="334" t="s">
        <v>789</v>
      </c>
      <c r="C225" s="335">
        <v>1</v>
      </c>
      <c r="D225" s="269">
        <v>1883.2</v>
      </c>
      <c r="E225" s="269">
        <v>1883.2</v>
      </c>
      <c r="F225" s="334" t="s">
        <v>331</v>
      </c>
      <c r="G225" s="225" t="s">
        <v>610</v>
      </c>
      <c r="H225" s="139" t="str">
        <f t="shared" si="14"/>
        <v>นอกแผนอนุมัติ เข้าแผน (ครึ่งปีหลัง)</v>
      </c>
      <c r="I225" s="107"/>
      <c r="J225" s="108"/>
      <c r="K225" s="108"/>
      <c r="L225" s="108"/>
      <c r="M225" s="108"/>
    </row>
    <row r="226" spans="1:13" ht="23.1" customHeight="1" x14ac:dyDescent="0.7">
      <c r="A226" s="148">
        <v>220</v>
      </c>
      <c r="B226" s="334" t="s">
        <v>376</v>
      </c>
      <c r="C226" s="335">
        <v>1</v>
      </c>
      <c r="D226" s="269">
        <v>3400</v>
      </c>
      <c r="E226" s="269">
        <v>3400</v>
      </c>
      <c r="F226" s="334" t="s">
        <v>845</v>
      </c>
      <c r="G226" s="225" t="s">
        <v>610</v>
      </c>
      <c r="H226" s="139" t="str">
        <f t="shared" si="14"/>
        <v>นอกแผนอนุมัติ เข้าแผน (ครึ่งปีหลัง)</v>
      </c>
      <c r="I226" s="107"/>
      <c r="J226" s="108"/>
      <c r="K226" s="108"/>
      <c r="L226" s="108"/>
      <c r="M226" s="108"/>
    </row>
    <row r="227" spans="1:13" s="286" customFormat="1" ht="24" customHeight="1" x14ac:dyDescent="0.7">
      <c r="A227" s="281"/>
      <c r="B227" s="305"/>
      <c r="C227" s="302"/>
      <c r="D227" s="309" t="s">
        <v>3</v>
      </c>
      <c r="E227" s="304">
        <f>SUM(E148:E226)</f>
        <v>3074422.4000000004</v>
      </c>
      <c r="F227" s="305"/>
      <c r="G227" s="282"/>
      <c r="H227" s="283"/>
      <c r="I227" s="284"/>
      <c r="J227" s="285"/>
      <c r="K227" s="285"/>
      <c r="L227" s="285"/>
      <c r="M227" s="285"/>
    </row>
    <row r="228" spans="1:13" ht="23.1" customHeight="1" x14ac:dyDescent="0.25">
      <c r="A228" s="148">
        <v>221</v>
      </c>
      <c r="B228" s="139" t="s">
        <v>407</v>
      </c>
      <c r="C228" s="141">
        <v>1</v>
      </c>
      <c r="D228" s="149">
        <v>410490</v>
      </c>
      <c r="E228" s="175">
        <f>+C228*D228</f>
        <v>410490</v>
      </c>
      <c r="F228" s="146" t="s">
        <v>408</v>
      </c>
      <c r="G228" s="146" t="s">
        <v>611</v>
      </c>
      <c r="H228" s="153"/>
      <c r="I228" s="107"/>
      <c r="J228" s="108"/>
      <c r="K228" s="108"/>
      <c r="L228" s="108"/>
      <c r="M228" s="108"/>
    </row>
    <row r="229" spans="1:13" ht="23.1" customHeight="1" x14ac:dyDescent="0.25">
      <c r="A229" s="148">
        <v>222</v>
      </c>
      <c r="B229" s="176" t="s">
        <v>104</v>
      </c>
      <c r="C229" s="148">
        <v>1</v>
      </c>
      <c r="D229" s="175">
        <v>381027</v>
      </c>
      <c r="E229" s="175">
        <f>C229*D229</f>
        <v>381027</v>
      </c>
      <c r="F229" s="147" t="s">
        <v>323</v>
      </c>
      <c r="G229" s="147" t="s">
        <v>611</v>
      </c>
      <c r="H229" s="153" t="str">
        <f>+H5</f>
        <v>14.เบิกจ่ายแล้ว</v>
      </c>
      <c r="I229" s="107"/>
      <c r="J229" s="108"/>
      <c r="K229" s="108"/>
      <c r="L229" s="108"/>
      <c r="M229" s="108"/>
    </row>
    <row r="230" spans="1:13" ht="23.1" customHeight="1" x14ac:dyDescent="0.25">
      <c r="A230" s="148">
        <v>223</v>
      </c>
      <c r="B230" s="139" t="s">
        <v>106</v>
      </c>
      <c r="C230" s="141">
        <v>1</v>
      </c>
      <c r="D230" s="266">
        <v>130000</v>
      </c>
      <c r="E230" s="175">
        <f>C230*D230</f>
        <v>130000</v>
      </c>
      <c r="F230" s="146" t="s">
        <v>322</v>
      </c>
      <c r="G230" s="146" t="s">
        <v>611</v>
      </c>
      <c r="H230" s="228"/>
      <c r="I230" s="107"/>
      <c r="J230" s="108"/>
      <c r="K230" s="108"/>
      <c r="L230" s="108"/>
      <c r="M230" s="108"/>
    </row>
    <row r="231" spans="1:13" ht="23.1" customHeight="1" x14ac:dyDescent="0.25">
      <c r="A231" s="148">
        <v>224</v>
      </c>
      <c r="B231" s="174" t="s">
        <v>566</v>
      </c>
      <c r="C231" s="136">
        <v>6</v>
      </c>
      <c r="D231" s="181">
        <v>8470</v>
      </c>
      <c r="E231" s="226">
        <v>50820</v>
      </c>
      <c r="F231" s="137" t="s">
        <v>490</v>
      </c>
      <c r="G231" s="137" t="s">
        <v>611</v>
      </c>
      <c r="H231" s="137"/>
      <c r="I231" s="107"/>
      <c r="J231" s="108"/>
      <c r="K231" s="108"/>
      <c r="L231" s="108"/>
      <c r="M231" s="108"/>
    </row>
    <row r="232" spans="1:13" ht="47.25" customHeight="1" x14ac:dyDescent="0.25">
      <c r="A232" s="148">
        <v>225</v>
      </c>
      <c r="B232" s="343" t="s">
        <v>431</v>
      </c>
      <c r="C232" s="154">
        <v>1</v>
      </c>
      <c r="D232" s="164">
        <v>9000000</v>
      </c>
      <c r="E232" s="260">
        <f>+C232*D232</f>
        <v>9000000</v>
      </c>
      <c r="F232" s="152" t="s">
        <v>434</v>
      </c>
      <c r="G232" s="152" t="s">
        <v>611</v>
      </c>
      <c r="H232" s="151"/>
      <c r="I232" s="107"/>
      <c r="J232" s="108"/>
      <c r="K232" s="108"/>
      <c r="L232" s="108"/>
      <c r="M232" s="108"/>
    </row>
    <row r="233" spans="1:13" ht="23.1" customHeight="1" x14ac:dyDescent="0.25">
      <c r="A233" s="148">
        <v>226</v>
      </c>
      <c r="B233" s="343" t="s">
        <v>430</v>
      </c>
      <c r="C233" s="154">
        <v>1</v>
      </c>
      <c r="D233" s="164">
        <v>7000000</v>
      </c>
      <c r="E233" s="260">
        <f>+C233*D233</f>
        <v>7000000</v>
      </c>
      <c r="F233" s="152" t="s">
        <v>434</v>
      </c>
      <c r="G233" s="152" t="s">
        <v>611</v>
      </c>
      <c r="H233" s="151"/>
      <c r="I233" s="107"/>
      <c r="J233" s="108"/>
      <c r="K233" s="108"/>
      <c r="L233" s="108"/>
      <c r="M233" s="108"/>
    </row>
    <row r="234" spans="1:13" ht="23.1" customHeight="1" x14ac:dyDescent="0.7">
      <c r="A234" s="148">
        <v>227</v>
      </c>
      <c r="B234" s="165" t="s">
        <v>432</v>
      </c>
      <c r="C234" s="154">
        <v>1</v>
      </c>
      <c r="D234" s="259">
        <v>2000000</v>
      </c>
      <c r="E234" s="260">
        <f>+C234*D234</f>
        <v>2000000</v>
      </c>
      <c r="F234" s="152" t="s">
        <v>434</v>
      </c>
      <c r="G234" s="152" t="s">
        <v>611</v>
      </c>
      <c r="H234" s="334" t="s">
        <v>606</v>
      </c>
      <c r="I234" s="107"/>
      <c r="J234" s="108"/>
      <c r="K234" s="108"/>
      <c r="L234" s="108"/>
      <c r="M234" s="108"/>
    </row>
    <row r="235" spans="1:13" s="159" customFormat="1" ht="23.1" customHeight="1" x14ac:dyDescent="0.25">
      <c r="A235" s="148">
        <v>228</v>
      </c>
      <c r="B235" s="344" t="s">
        <v>433</v>
      </c>
      <c r="C235" s="154">
        <v>1</v>
      </c>
      <c r="D235" s="259">
        <v>152000</v>
      </c>
      <c r="E235" s="260">
        <v>152000</v>
      </c>
      <c r="F235" s="153" t="s">
        <v>434</v>
      </c>
      <c r="G235" s="153" t="s">
        <v>611</v>
      </c>
      <c r="H235" s="153"/>
      <c r="I235" s="221"/>
    </row>
    <row r="236" spans="1:13" ht="23.1" customHeight="1" x14ac:dyDescent="0.7">
      <c r="A236" s="148">
        <v>229</v>
      </c>
      <c r="B236" s="344" t="s">
        <v>427</v>
      </c>
      <c r="C236" s="154">
        <v>1</v>
      </c>
      <c r="D236" s="259">
        <v>100000</v>
      </c>
      <c r="E236" s="260">
        <v>100000</v>
      </c>
      <c r="F236" s="152" t="s">
        <v>434</v>
      </c>
      <c r="G236" s="152" t="s">
        <v>611</v>
      </c>
      <c r="H236" s="334" t="s">
        <v>606</v>
      </c>
      <c r="I236" s="107"/>
      <c r="J236" s="108"/>
      <c r="K236" s="108"/>
      <c r="L236" s="108"/>
      <c r="M236" s="108"/>
    </row>
    <row r="237" spans="1:13" ht="23.1" customHeight="1" x14ac:dyDescent="0.25">
      <c r="A237" s="148">
        <v>230</v>
      </c>
      <c r="B237" s="165" t="s">
        <v>428</v>
      </c>
      <c r="C237" s="154">
        <v>1</v>
      </c>
      <c r="D237" s="259">
        <v>250000</v>
      </c>
      <c r="E237" s="260">
        <v>250000</v>
      </c>
      <c r="F237" s="152" t="s">
        <v>434</v>
      </c>
      <c r="G237" s="152" t="s">
        <v>611</v>
      </c>
      <c r="H237" s="151"/>
      <c r="I237" s="107"/>
      <c r="J237" s="108"/>
      <c r="K237" s="108"/>
      <c r="L237" s="108"/>
      <c r="M237" s="108"/>
    </row>
    <row r="238" spans="1:13" ht="23.1" customHeight="1" x14ac:dyDescent="0.7">
      <c r="A238" s="148">
        <v>231</v>
      </c>
      <c r="B238" s="345" t="s">
        <v>429</v>
      </c>
      <c r="C238" s="346">
        <v>2</v>
      </c>
      <c r="D238" s="261">
        <v>68000</v>
      </c>
      <c r="E238" s="261">
        <f>+C238*D238</f>
        <v>136000</v>
      </c>
      <c r="F238" s="152" t="s">
        <v>434</v>
      </c>
      <c r="G238" s="152" t="s">
        <v>611</v>
      </c>
      <c r="H238" s="151"/>
      <c r="I238" s="107"/>
      <c r="J238" s="108"/>
      <c r="K238" s="108"/>
      <c r="L238" s="108"/>
      <c r="M238" s="108"/>
    </row>
    <row r="239" spans="1:13" ht="23.1" customHeight="1" x14ac:dyDescent="0.25">
      <c r="A239" s="148">
        <v>232</v>
      </c>
      <c r="B239" s="165" t="s">
        <v>615</v>
      </c>
      <c r="C239" s="154">
        <v>1</v>
      </c>
      <c r="D239" s="259">
        <v>800000</v>
      </c>
      <c r="E239" s="259">
        <v>800000</v>
      </c>
      <c r="F239" s="152" t="s">
        <v>434</v>
      </c>
      <c r="G239" s="152" t="s">
        <v>611</v>
      </c>
      <c r="H239" s="151" t="str">
        <f>+H242</f>
        <v>14.เบิกจ่ายแล้ว</v>
      </c>
      <c r="I239" s="107"/>
      <c r="J239" s="108"/>
      <c r="K239" s="108"/>
      <c r="L239" s="108"/>
      <c r="M239" s="108"/>
    </row>
    <row r="240" spans="1:13" ht="23.1" customHeight="1" x14ac:dyDescent="0.25">
      <c r="A240" s="148">
        <v>233</v>
      </c>
      <c r="B240" s="166" t="s">
        <v>435</v>
      </c>
      <c r="C240" s="167">
        <v>20</v>
      </c>
      <c r="D240" s="262">
        <v>24000</v>
      </c>
      <c r="E240" s="310">
        <f t="shared" ref="E240:E272" si="16">+C240*D240</f>
        <v>480000</v>
      </c>
      <c r="F240" s="152" t="s">
        <v>434</v>
      </c>
      <c r="G240" s="152" t="s">
        <v>611</v>
      </c>
      <c r="H240" s="151" t="str">
        <f>+H39</f>
        <v>12.ครบกำหนดส่งมอบ</v>
      </c>
      <c r="I240" s="107"/>
      <c r="J240" s="108"/>
      <c r="K240" s="108"/>
      <c r="L240" s="108"/>
      <c r="M240" s="108"/>
    </row>
    <row r="241" spans="1:13" ht="23.1" customHeight="1" x14ac:dyDescent="0.25">
      <c r="A241" s="148">
        <v>234</v>
      </c>
      <c r="B241" s="165" t="s">
        <v>551</v>
      </c>
      <c r="C241" s="167">
        <v>5</v>
      </c>
      <c r="D241" s="263">
        <v>40000</v>
      </c>
      <c r="E241" s="206">
        <f t="shared" si="16"/>
        <v>200000</v>
      </c>
      <c r="F241" s="152" t="s">
        <v>434</v>
      </c>
      <c r="G241" s="152" t="s">
        <v>611</v>
      </c>
      <c r="H241" s="151" t="str">
        <f>+H240</f>
        <v>12.ครบกำหนดส่งมอบ</v>
      </c>
      <c r="I241" s="107"/>
      <c r="J241" s="108"/>
      <c r="K241" s="108"/>
      <c r="L241" s="108"/>
      <c r="M241" s="108"/>
    </row>
    <row r="242" spans="1:13" ht="23.1" customHeight="1" x14ac:dyDescent="0.25">
      <c r="A242" s="148">
        <v>235</v>
      </c>
      <c r="B242" s="166" t="s">
        <v>438</v>
      </c>
      <c r="C242" s="167">
        <v>15</v>
      </c>
      <c r="D242" s="263">
        <v>7900</v>
      </c>
      <c r="E242" s="206">
        <f t="shared" si="16"/>
        <v>118500</v>
      </c>
      <c r="F242" s="152" t="s">
        <v>434</v>
      </c>
      <c r="G242" s="152" t="s">
        <v>611</v>
      </c>
      <c r="H242" s="151" t="str">
        <f>+H244</f>
        <v>14.เบิกจ่ายแล้ว</v>
      </c>
      <c r="I242" s="107"/>
      <c r="J242" s="108"/>
      <c r="K242" s="108"/>
      <c r="L242" s="108"/>
      <c r="M242" s="108"/>
    </row>
    <row r="243" spans="1:13" ht="23.1" customHeight="1" x14ac:dyDescent="0.25">
      <c r="A243" s="148">
        <v>236</v>
      </c>
      <c r="B243" s="166" t="s">
        <v>439</v>
      </c>
      <c r="C243" s="167">
        <v>5</v>
      </c>
      <c r="D243" s="263">
        <v>29000</v>
      </c>
      <c r="E243" s="206">
        <f t="shared" si="16"/>
        <v>145000</v>
      </c>
      <c r="F243" s="152" t="s">
        <v>434</v>
      </c>
      <c r="G243" s="152" t="s">
        <v>611</v>
      </c>
      <c r="H243" s="151"/>
      <c r="I243" s="107"/>
      <c r="J243" s="108"/>
      <c r="K243" s="108"/>
      <c r="L243" s="108"/>
      <c r="M243" s="108"/>
    </row>
    <row r="244" spans="1:13" ht="23.1" customHeight="1" x14ac:dyDescent="0.25">
      <c r="A244" s="148">
        <v>237</v>
      </c>
      <c r="B244" s="166" t="s">
        <v>440</v>
      </c>
      <c r="C244" s="167">
        <v>50</v>
      </c>
      <c r="D244" s="263">
        <v>4000</v>
      </c>
      <c r="E244" s="206">
        <f t="shared" si="16"/>
        <v>200000</v>
      </c>
      <c r="F244" s="152" t="s">
        <v>434</v>
      </c>
      <c r="G244" s="152" t="s">
        <v>611</v>
      </c>
      <c r="H244" s="151" t="str">
        <f>+H110</f>
        <v>14.เบิกจ่ายแล้ว</v>
      </c>
      <c r="I244" s="107"/>
      <c r="J244" s="108"/>
      <c r="K244" s="108"/>
      <c r="L244" s="108"/>
      <c r="M244" s="108"/>
    </row>
    <row r="245" spans="1:13" ht="23.1" customHeight="1" x14ac:dyDescent="0.25">
      <c r="A245" s="148">
        <v>238</v>
      </c>
      <c r="B245" s="166" t="s">
        <v>441</v>
      </c>
      <c r="C245" s="167">
        <v>100</v>
      </c>
      <c r="D245" s="263">
        <v>4000</v>
      </c>
      <c r="E245" s="206">
        <f t="shared" si="16"/>
        <v>400000</v>
      </c>
      <c r="F245" s="152" t="s">
        <v>434</v>
      </c>
      <c r="G245" s="152" t="s">
        <v>611</v>
      </c>
      <c r="H245" s="151" t="str">
        <f>+H240</f>
        <v>12.ครบกำหนดส่งมอบ</v>
      </c>
      <c r="I245" s="107"/>
      <c r="J245" s="108"/>
      <c r="K245" s="108"/>
      <c r="L245" s="108"/>
      <c r="M245" s="108"/>
    </row>
    <row r="246" spans="1:13" ht="23.1" customHeight="1" x14ac:dyDescent="0.7">
      <c r="A246" s="148">
        <v>239</v>
      </c>
      <c r="B246" s="166" t="s">
        <v>442</v>
      </c>
      <c r="C246" s="167">
        <v>5</v>
      </c>
      <c r="D246" s="263">
        <v>37000</v>
      </c>
      <c r="E246" s="206">
        <f t="shared" si="16"/>
        <v>185000</v>
      </c>
      <c r="F246" s="152" t="s">
        <v>434</v>
      </c>
      <c r="G246" s="152" t="s">
        <v>611</v>
      </c>
      <c r="H246" s="334" t="s">
        <v>606</v>
      </c>
      <c r="I246" s="107"/>
      <c r="J246" s="108"/>
      <c r="K246" s="108"/>
      <c r="L246" s="108"/>
      <c r="M246" s="108"/>
    </row>
    <row r="247" spans="1:13" ht="23.1" customHeight="1" x14ac:dyDescent="0.25">
      <c r="A247" s="148">
        <v>240</v>
      </c>
      <c r="B247" s="166" t="s">
        <v>444</v>
      </c>
      <c r="C247" s="167">
        <v>20</v>
      </c>
      <c r="D247" s="263">
        <v>13000</v>
      </c>
      <c r="E247" s="206">
        <f t="shared" si="16"/>
        <v>260000</v>
      </c>
      <c r="F247" s="152" t="s">
        <v>434</v>
      </c>
      <c r="G247" s="152" t="s">
        <v>611</v>
      </c>
      <c r="H247" s="151"/>
      <c r="I247" s="107"/>
      <c r="J247" s="108"/>
      <c r="K247" s="108"/>
      <c r="L247" s="108"/>
      <c r="M247" s="108"/>
    </row>
    <row r="248" spans="1:13" ht="270.60000000000002" x14ac:dyDescent="0.25">
      <c r="A248" s="148">
        <v>241</v>
      </c>
      <c r="B248" s="166" t="s">
        <v>628</v>
      </c>
      <c r="C248" s="167">
        <v>1</v>
      </c>
      <c r="D248" s="263">
        <v>5000000</v>
      </c>
      <c r="E248" s="206">
        <f t="shared" si="16"/>
        <v>5000000</v>
      </c>
      <c r="F248" s="152" t="s">
        <v>434</v>
      </c>
      <c r="G248" s="152" t="s">
        <v>611</v>
      </c>
      <c r="H248" s="151" t="str">
        <f>+H160</f>
        <v>รายการใหม่ปรับแผน(ครึ่งปีหลัง)</v>
      </c>
      <c r="I248" s="107"/>
      <c r="J248" s="108"/>
      <c r="K248" s="108"/>
      <c r="L248" s="108"/>
      <c r="M248" s="108"/>
    </row>
    <row r="249" spans="1:13" ht="23.1" customHeight="1" x14ac:dyDescent="0.25">
      <c r="A249" s="148">
        <v>242</v>
      </c>
      <c r="B249" s="166" t="s">
        <v>629</v>
      </c>
      <c r="C249" s="167">
        <v>10</v>
      </c>
      <c r="D249" s="340">
        <v>24000</v>
      </c>
      <c r="E249" s="206">
        <f t="shared" si="16"/>
        <v>240000</v>
      </c>
      <c r="F249" s="152" t="s">
        <v>434</v>
      </c>
      <c r="G249" s="152" t="s">
        <v>611</v>
      </c>
      <c r="H249" s="151" t="str">
        <f>+H248</f>
        <v>รายการใหม่ปรับแผน(ครึ่งปีหลัง)</v>
      </c>
      <c r="I249" s="107"/>
      <c r="J249" s="108"/>
      <c r="K249" s="108"/>
      <c r="L249" s="108"/>
      <c r="M249" s="108"/>
    </row>
    <row r="250" spans="1:13" ht="23.1" customHeight="1" x14ac:dyDescent="0.25">
      <c r="A250" s="148">
        <v>243</v>
      </c>
      <c r="B250" s="166" t="s">
        <v>630</v>
      </c>
      <c r="C250" s="167">
        <v>10</v>
      </c>
      <c r="D250" s="340">
        <v>25800</v>
      </c>
      <c r="E250" s="206">
        <f t="shared" si="16"/>
        <v>258000</v>
      </c>
      <c r="F250" s="152" t="s">
        <v>434</v>
      </c>
      <c r="G250" s="152" t="s">
        <v>611</v>
      </c>
      <c r="H250" s="151" t="str">
        <f t="shared" ref="H250:H272" si="17">+H249</f>
        <v>รายการใหม่ปรับแผน(ครึ่งปีหลัง)</v>
      </c>
      <c r="I250" s="107"/>
      <c r="J250" s="108"/>
      <c r="K250" s="108"/>
      <c r="L250" s="108"/>
      <c r="M250" s="108"/>
    </row>
    <row r="251" spans="1:13" ht="23.1" customHeight="1" x14ac:dyDescent="0.25">
      <c r="A251" s="148">
        <v>244</v>
      </c>
      <c r="B251" s="166" t="s">
        <v>631</v>
      </c>
      <c r="C251" s="167">
        <v>10</v>
      </c>
      <c r="D251" s="340">
        <v>25000</v>
      </c>
      <c r="E251" s="206">
        <f t="shared" si="16"/>
        <v>250000</v>
      </c>
      <c r="F251" s="152" t="s">
        <v>434</v>
      </c>
      <c r="G251" s="152" t="s">
        <v>611</v>
      </c>
      <c r="H251" s="151" t="str">
        <f t="shared" si="17"/>
        <v>รายการใหม่ปรับแผน(ครึ่งปีหลัง)</v>
      </c>
      <c r="I251" s="107"/>
      <c r="J251" s="108"/>
      <c r="K251" s="108"/>
      <c r="L251" s="108"/>
      <c r="M251" s="108"/>
    </row>
    <row r="252" spans="1:13" ht="23.1" customHeight="1" x14ac:dyDescent="0.25">
      <c r="A252" s="148">
        <v>245</v>
      </c>
      <c r="B252" s="166" t="s">
        <v>632</v>
      </c>
      <c r="C252" s="167">
        <v>2</v>
      </c>
      <c r="D252" s="340">
        <v>32000</v>
      </c>
      <c r="E252" s="206">
        <f t="shared" si="16"/>
        <v>64000</v>
      </c>
      <c r="F252" s="152" t="s">
        <v>434</v>
      </c>
      <c r="G252" s="152" t="s">
        <v>611</v>
      </c>
      <c r="H252" s="151" t="str">
        <f t="shared" si="17"/>
        <v>รายการใหม่ปรับแผน(ครึ่งปีหลัง)</v>
      </c>
      <c r="I252" s="107"/>
      <c r="J252" s="108"/>
      <c r="K252" s="108"/>
      <c r="L252" s="108"/>
      <c r="M252" s="108"/>
    </row>
    <row r="253" spans="1:13" ht="23.1" customHeight="1" x14ac:dyDescent="0.25">
      <c r="A253" s="148">
        <v>246</v>
      </c>
      <c r="B253" s="166" t="s">
        <v>633</v>
      </c>
      <c r="C253" s="167">
        <v>5</v>
      </c>
      <c r="D253" s="340">
        <v>23000</v>
      </c>
      <c r="E253" s="206">
        <f t="shared" si="16"/>
        <v>115000</v>
      </c>
      <c r="F253" s="152" t="s">
        <v>434</v>
      </c>
      <c r="G253" s="152" t="s">
        <v>611</v>
      </c>
      <c r="H253" s="151" t="str">
        <f t="shared" si="17"/>
        <v>รายการใหม่ปรับแผน(ครึ่งปีหลัง)</v>
      </c>
      <c r="I253" s="107"/>
      <c r="J253" s="108"/>
      <c r="K253" s="108"/>
      <c r="L253" s="108"/>
      <c r="M253" s="108"/>
    </row>
    <row r="254" spans="1:13" ht="23.1" customHeight="1" x14ac:dyDescent="0.25">
      <c r="A254" s="148">
        <v>247</v>
      </c>
      <c r="B254" s="166" t="s">
        <v>634</v>
      </c>
      <c r="C254" s="167">
        <v>10</v>
      </c>
      <c r="D254" s="340">
        <v>6900</v>
      </c>
      <c r="E254" s="206">
        <f t="shared" si="16"/>
        <v>69000</v>
      </c>
      <c r="F254" s="152" t="s">
        <v>434</v>
      </c>
      <c r="G254" s="152" t="s">
        <v>611</v>
      </c>
      <c r="H254" s="151" t="str">
        <f t="shared" si="17"/>
        <v>รายการใหม่ปรับแผน(ครึ่งปีหลัง)</v>
      </c>
      <c r="I254" s="107"/>
      <c r="J254" s="108"/>
      <c r="K254" s="108"/>
      <c r="L254" s="108"/>
      <c r="M254" s="108"/>
    </row>
    <row r="255" spans="1:13" ht="23.1" customHeight="1" x14ac:dyDescent="0.25">
      <c r="A255" s="148">
        <v>248</v>
      </c>
      <c r="B255" s="166" t="s">
        <v>438</v>
      </c>
      <c r="C255" s="167">
        <v>10</v>
      </c>
      <c r="D255" s="340">
        <v>6700</v>
      </c>
      <c r="E255" s="206">
        <f t="shared" si="16"/>
        <v>67000</v>
      </c>
      <c r="F255" s="152" t="s">
        <v>434</v>
      </c>
      <c r="G255" s="152" t="s">
        <v>611</v>
      </c>
      <c r="H255" s="151" t="str">
        <f t="shared" si="17"/>
        <v>รายการใหม่ปรับแผน(ครึ่งปีหลัง)</v>
      </c>
      <c r="I255" s="107"/>
      <c r="J255" s="108"/>
      <c r="K255" s="108"/>
      <c r="L255" s="108"/>
      <c r="M255" s="108"/>
    </row>
    <row r="256" spans="1:13" ht="23.1" customHeight="1" x14ac:dyDescent="0.25">
      <c r="A256" s="148">
        <v>249</v>
      </c>
      <c r="B256" s="166" t="s">
        <v>635</v>
      </c>
      <c r="C256" s="167">
        <v>10</v>
      </c>
      <c r="D256" s="340">
        <v>8100</v>
      </c>
      <c r="E256" s="206">
        <f t="shared" si="16"/>
        <v>81000</v>
      </c>
      <c r="F256" s="152" t="s">
        <v>434</v>
      </c>
      <c r="G256" s="152" t="s">
        <v>611</v>
      </c>
      <c r="H256" s="151" t="str">
        <f t="shared" si="17"/>
        <v>รายการใหม่ปรับแผน(ครึ่งปีหลัง)</v>
      </c>
      <c r="I256" s="107"/>
      <c r="J256" s="108"/>
      <c r="K256" s="108"/>
      <c r="L256" s="108"/>
      <c r="M256" s="108"/>
    </row>
    <row r="257" spans="1:13" ht="23.1" customHeight="1" x14ac:dyDescent="0.25">
      <c r="A257" s="148">
        <v>250</v>
      </c>
      <c r="B257" s="166" t="s">
        <v>636</v>
      </c>
      <c r="C257" s="167">
        <v>10</v>
      </c>
      <c r="D257" s="340">
        <v>10000</v>
      </c>
      <c r="E257" s="206">
        <f t="shared" si="16"/>
        <v>100000</v>
      </c>
      <c r="F257" s="152" t="s">
        <v>434</v>
      </c>
      <c r="G257" s="152" t="s">
        <v>611</v>
      </c>
      <c r="H257" s="151" t="str">
        <f t="shared" si="17"/>
        <v>รายการใหม่ปรับแผน(ครึ่งปีหลัง)</v>
      </c>
      <c r="I257" s="107"/>
      <c r="J257" s="108"/>
      <c r="K257" s="108"/>
      <c r="L257" s="108"/>
      <c r="M257" s="108"/>
    </row>
    <row r="258" spans="1:13" ht="23.1" customHeight="1" x14ac:dyDescent="0.25">
      <c r="A258" s="148">
        <v>251</v>
      </c>
      <c r="B258" s="166" t="s">
        <v>637</v>
      </c>
      <c r="C258" s="167">
        <v>30</v>
      </c>
      <c r="D258" s="340">
        <v>2620</v>
      </c>
      <c r="E258" s="206">
        <f t="shared" si="16"/>
        <v>78600</v>
      </c>
      <c r="F258" s="152" t="s">
        <v>434</v>
      </c>
      <c r="G258" s="152" t="s">
        <v>611</v>
      </c>
      <c r="H258" s="151" t="str">
        <f t="shared" si="17"/>
        <v>รายการใหม่ปรับแผน(ครึ่งปีหลัง)</v>
      </c>
      <c r="I258" s="107"/>
      <c r="J258" s="108"/>
      <c r="K258" s="108"/>
      <c r="L258" s="108"/>
      <c r="M258" s="108"/>
    </row>
    <row r="259" spans="1:13" ht="23.1" customHeight="1" x14ac:dyDescent="0.25">
      <c r="A259" s="148">
        <v>252</v>
      </c>
      <c r="B259" s="166" t="s">
        <v>638</v>
      </c>
      <c r="C259" s="167">
        <v>10</v>
      </c>
      <c r="D259" s="340">
        <v>8900</v>
      </c>
      <c r="E259" s="206">
        <f t="shared" si="16"/>
        <v>89000</v>
      </c>
      <c r="F259" s="152" t="s">
        <v>434</v>
      </c>
      <c r="G259" s="152" t="s">
        <v>611</v>
      </c>
      <c r="H259" s="151" t="str">
        <f t="shared" si="17"/>
        <v>รายการใหม่ปรับแผน(ครึ่งปีหลัง)</v>
      </c>
      <c r="I259" s="107"/>
      <c r="J259" s="108"/>
      <c r="K259" s="108"/>
      <c r="L259" s="108"/>
      <c r="M259" s="108"/>
    </row>
    <row r="260" spans="1:13" ht="23.1" customHeight="1" x14ac:dyDescent="0.25">
      <c r="A260" s="148">
        <v>253</v>
      </c>
      <c r="B260" s="166" t="s">
        <v>922</v>
      </c>
      <c r="C260" s="167">
        <v>10</v>
      </c>
      <c r="D260" s="340">
        <v>16800</v>
      </c>
      <c r="E260" s="206">
        <f t="shared" si="16"/>
        <v>168000</v>
      </c>
      <c r="F260" s="152" t="s">
        <v>434</v>
      </c>
      <c r="G260" s="152" t="s">
        <v>611</v>
      </c>
      <c r="H260" s="151" t="str">
        <f t="shared" si="17"/>
        <v>รายการใหม่ปรับแผน(ครึ่งปีหลัง)</v>
      </c>
      <c r="I260" s="107"/>
      <c r="J260" s="108"/>
      <c r="K260" s="108"/>
      <c r="L260" s="108"/>
      <c r="M260" s="108"/>
    </row>
    <row r="261" spans="1:13" ht="23.1" customHeight="1" x14ac:dyDescent="0.25">
      <c r="A261" s="148">
        <v>254</v>
      </c>
      <c r="B261" s="166" t="s">
        <v>639</v>
      </c>
      <c r="C261" s="167">
        <v>10</v>
      </c>
      <c r="D261" s="341">
        <v>5400</v>
      </c>
      <c r="E261" s="206">
        <f t="shared" si="16"/>
        <v>54000</v>
      </c>
      <c r="F261" s="152" t="s">
        <v>434</v>
      </c>
      <c r="G261" s="152" t="s">
        <v>611</v>
      </c>
      <c r="H261" s="151" t="str">
        <f t="shared" si="17"/>
        <v>รายการใหม่ปรับแผน(ครึ่งปีหลัง)</v>
      </c>
      <c r="I261" s="107"/>
      <c r="J261" s="108"/>
      <c r="K261" s="108"/>
      <c r="L261" s="108"/>
      <c r="M261" s="108"/>
    </row>
    <row r="262" spans="1:13" ht="23.1" customHeight="1" x14ac:dyDescent="0.25">
      <c r="A262" s="148">
        <v>255</v>
      </c>
      <c r="B262" s="166" t="s">
        <v>640</v>
      </c>
      <c r="C262" s="167">
        <v>4</v>
      </c>
      <c r="D262" s="341">
        <v>22000</v>
      </c>
      <c r="E262" s="206">
        <f t="shared" si="16"/>
        <v>88000</v>
      </c>
      <c r="F262" s="152" t="s">
        <v>434</v>
      </c>
      <c r="G262" s="152" t="s">
        <v>611</v>
      </c>
      <c r="H262" s="151" t="str">
        <f t="shared" si="17"/>
        <v>รายการใหม่ปรับแผน(ครึ่งปีหลัง)</v>
      </c>
      <c r="I262" s="107"/>
      <c r="J262" s="108"/>
      <c r="K262" s="108"/>
      <c r="L262" s="108"/>
      <c r="M262" s="108"/>
    </row>
    <row r="263" spans="1:13" ht="23.1" customHeight="1" x14ac:dyDescent="0.25">
      <c r="A263" s="148">
        <v>256</v>
      </c>
      <c r="B263" s="166" t="s">
        <v>641</v>
      </c>
      <c r="C263" s="167">
        <v>1</v>
      </c>
      <c r="D263" s="341">
        <v>10600</v>
      </c>
      <c r="E263" s="206">
        <f t="shared" si="16"/>
        <v>10600</v>
      </c>
      <c r="F263" s="152" t="s">
        <v>434</v>
      </c>
      <c r="G263" s="152" t="s">
        <v>611</v>
      </c>
      <c r="H263" s="151" t="str">
        <f t="shared" si="17"/>
        <v>รายการใหม่ปรับแผน(ครึ่งปีหลัง)</v>
      </c>
      <c r="I263" s="107"/>
      <c r="J263" s="108"/>
      <c r="K263" s="108"/>
      <c r="L263" s="108"/>
      <c r="M263" s="108"/>
    </row>
    <row r="264" spans="1:13" ht="23.1" customHeight="1" x14ac:dyDescent="0.25">
      <c r="A264" s="148">
        <v>257</v>
      </c>
      <c r="B264" s="166" t="s">
        <v>642</v>
      </c>
      <c r="C264" s="167">
        <v>1</v>
      </c>
      <c r="D264" s="341">
        <v>24300</v>
      </c>
      <c r="E264" s="206">
        <f t="shared" si="16"/>
        <v>24300</v>
      </c>
      <c r="F264" s="152" t="s">
        <v>434</v>
      </c>
      <c r="G264" s="152" t="s">
        <v>611</v>
      </c>
      <c r="H264" s="151" t="str">
        <f t="shared" si="17"/>
        <v>รายการใหม่ปรับแผน(ครึ่งปีหลัง)</v>
      </c>
      <c r="I264" s="107"/>
      <c r="J264" s="108"/>
      <c r="K264" s="108"/>
      <c r="L264" s="108"/>
      <c r="M264" s="108"/>
    </row>
    <row r="265" spans="1:13" ht="23.1" customHeight="1" x14ac:dyDescent="0.25">
      <c r="A265" s="148">
        <v>258</v>
      </c>
      <c r="B265" s="166" t="s">
        <v>643</v>
      </c>
      <c r="C265" s="167">
        <v>1</v>
      </c>
      <c r="D265" s="341">
        <v>10516</v>
      </c>
      <c r="E265" s="206">
        <f t="shared" si="16"/>
        <v>10516</v>
      </c>
      <c r="F265" s="152" t="s">
        <v>434</v>
      </c>
      <c r="G265" s="152" t="s">
        <v>611</v>
      </c>
      <c r="H265" s="151" t="str">
        <f t="shared" si="17"/>
        <v>รายการใหม่ปรับแผน(ครึ่งปีหลัง)</v>
      </c>
      <c r="I265" s="107"/>
      <c r="J265" s="108"/>
      <c r="K265" s="108"/>
      <c r="L265" s="108"/>
      <c r="M265" s="108"/>
    </row>
    <row r="266" spans="1:13" ht="23.1" customHeight="1" x14ac:dyDescent="0.25">
      <c r="A266" s="148">
        <v>259</v>
      </c>
      <c r="B266" s="166" t="s">
        <v>644</v>
      </c>
      <c r="C266" s="167">
        <v>2</v>
      </c>
      <c r="D266" s="341">
        <v>1700</v>
      </c>
      <c r="E266" s="206">
        <f t="shared" si="16"/>
        <v>3400</v>
      </c>
      <c r="F266" s="152" t="s">
        <v>434</v>
      </c>
      <c r="G266" s="152" t="s">
        <v>611</v>
      </c>
      <c r="H266" s="151" t="str">
        <f t="shared" si="17"/>
        <v>รายการใหม่ปรับแผน(ครึ่งปีหลัง)</v>
      </c>
      <c r="I266" s="107"/>
      <c r="J266" s="108"/>
      <c r="K266" s="108"/>
      <c r="L266" s="108"/>
      <c r="M266" s="108"/>
    </row>
    <row r="267" spans="1:13" ht="23.1" customHeight="1" x14ac:dyDescent="0.25">
      <c r="A267" s="148">
        <v>260</v>
      </c>
      <c r="B267" s="166" t="s">
        <v>645</v>
      </c>
      <c r="C267" s="167">
        <v>2</v>
      </c>
      <c r="D267" s="341">
        <v>1850</v>
      </c>
      <c r="E267" s="206">
        <f t="shared" si="16"/>
        <v>3700</v>
      </c>
      <c r="F267" s="152" t="s">
        <v>434</v>
      </c>
      <c r="G267" s="152" t="s">
        <v>611</v>
      </c>
      <c r="H267" s="151" t="str">
        <f t="shared" si="17"/>
        <v>รายการใหม่ปรับแผน(ครึ่งปีหลัง)</v>
      </c>
      <c r="I267" s="107"/>
      <c r="J267" s="108"/>
      <c r="K267" s="108"/>
      <c r="L267" s="108"/>
      <c r="M267" s="108"/>
    </row>
    <row r="268" spans="1:13" ht="23.1" customHeight="1" x14ac:dyDescent="0.25">
      <c r="A268" s="148">
        <v>261</v>
      </c>
      <c r="B268" s="166" t="s">
        <v>646</v>
      </c>
      <c r="C268" s="167">
        <v>2</v>
      </c>
      <c r="D268" s="341">
        <v>3000</v>
      </c>
      <c r="E268" s="206">
        <f t="shared" si="16"/>
        <v>6000</v>
      </c>
      <c r="F268" s="152" t="s">
        <v>434</v>
      </c>
      <c r="G268" s="152" t="s">
        <v>611</v>
      </c>
      <c r="H268" s="151" t="str">
        <f t="shared" si="17"/>
        <v>รายการใหม่ปรับแผน(ครึ่งปีหลัง)</v>
      </c>
      <c r="I268" s="107"/>
      <c r="J268" s="108"/>
      <c r="K268" s="108"/>
      <c r="L268" s="108"/>
      <c r="M268" s="108"/>
    </row>
    <row r="269" spans="1:13" ht="23.1" customHeight="1" x14ac:dyDescent="0.25">
      <c r="A269" s="148">
        <v>262</v>
      </c>
      <c r="B269" s="166" t="s">
        <v>647</v>
      </c>
      <c r="C269" s="167">
        <v>2</v>
      </c>
      <c r="D269" s="341">
        <v>919</v>
      </c>
      <c r="E269" s="206">
        <f t="shared" si="16"/>
        <v>1838</v>
      </c>
      <c r="F269" s="152" t="s">
        <v>434</v>
      </c>
      <c r="G269" s="152" t="s">
        <v>611</v>
      </c>
      <c r="H269" s="151" t="str">
        <f t="shared" si="17"/>
        <v>รายการใหม่ปรับแผน(ครึ่งปีหลัง)</v>
      </c>
      <c r="I269" s="107"/>
      <c r="J269" s="108"/>
      <c r="K269" s="108"/>
      <c r="L269" s="108"/>
      <c r="M269" s="108"/>
    </row>
    <row r="270" spans="1:13" ht="49.2" x14ac:dyDescent="0.25">
      <c r="A270" s="148">
        <v>263</v>
      </c>
      <c r="B270" s="165" t="s">
        <v>648</v>
      </c>
      <c r="C270" s="346">
        <v>1</v>
      </c>
      <c r="D270" s="324">
        <v>450000</v>
      </c>
      <c r="E270" s="206">
        <f t="shared" si="16"/>
        <v>450000</v>
      </c>
      <c r="F270" s="152" t="s">
        <v>434</v>
      </c>
      <c r="G270" s="152" t="s">
        <v>611</v>
      </c>
      <c r="H270" s="151" t="str">
        <f t="shared" si="17"/>
        <v>รายการใหม่ปรับแผน(ครึ่งปีหลัง)</v>
      </c>
      <c r="I270" s="107"/>
      <c r="J270" s="108"/>
      <c r="K270" s="108"/>
      <c r="L270" s="108"/>
      <c r="M270" s="108"/>
    </row>
    <row r="271" spans="1:13" ht="23.1" customHeight="1" x14ac:dyDescent="0.25">
      <c r="A271" s="148">
        <v>264</v>
      </c>
      <c r="B271" s="166" t="s">
        <v>649</v>
      </c>
      <c r="C271" s="167">
        <v>20</v>
      </c>
      <c r="D271" s="341">
        <v>2500</v>
      </c>
      <c r="E271" s="206">
        <f t="shared" si="16"/>
        <v>50000</v>
      </c>
      <c r="F271" s="152" t="s">
        <v>434</v>
      </c>
      <c r="G271" s="152" t="s">
        <v>611</v>
      </c>
      <c r="H271" s="151" t="str">
        <f t="shared" si="17"/>
        <v>รายการใหม่ปรับแผน(ครึ่งปีหลัง)</v>
      </c>
      <c r="I271" s="107"/>
      <c r="J271" s="108"/>
      <c r="K271" s="108"/>
      <c r="L271" s="108"/>
      <c r="M271" s="108"/>
    </row>
    <row r="272" spans="1:13" ht="23.1" customHeight="1" x14ac:dyDescent="0.25">
      <c r="A272" s="148">
        <v>265</v>
      </c>
      <c r="B272" s="166" t="s">
        <v>650</v>
      </c>
      <c r="C272" s="167">
        <v>2</v>
      </c>
      <c r="D272" s="341">
        <v>1800</v>
      </c>
      <c r="E272" s="206">
        <f t="shared" si="16"/>
        <v>3600</v>
      </c>
      <c r="F272" s="152" t="s">
        <v>434</v>
      </c>
      <c r="G272" s="152" t="s">
        <v>611</v>
      </c>
      <c r="H272" s="151" t="str">
        <f t="shared" si="17"/>
        <v>รายการใหม่ปรับแผน(ครึ่งปีหลัง)</v>
      </c>
      <c r="I272" s="107"/>
      <c r="J272" s="108"/>
      <c r="K272" s="108"/>
      <c r="L272" s="108"/>
      <c r="M272" s="108"/>
    </row>
    <row r="273" spans="1:13" ht="23.1" customHeight="1" x14ac:dyDescent="0.7">
      <c r="A273" s="148">
        <v>266</v>
      </c>
      <c r="B273" s="334" t="s">
        <v>846</v>
      </c>
      <c r="C273" s="335">
        <v>3</v>
      </c>
      <c r="D273" s="269">
        <v>6900</v>
      </c>
      <c r="E273" s="206">
        <f>+C273*D273</f>
        <v>20700</v>
      </c>
      <c r="F273" s="334" t="s">
        <v>324</v>
      </c>
      <c r="G273" s="152" t="s">
        <v>611</v>
      </c>
      <c r="H273" s="151" t="str">
        <f>+H226</f>
        <v>นอกแผนอนุมัติ เข้าแผน (ครึ่งปีหลัง)</v>
      </c>
      <c r="I273" s="107"/>
      <c r="J273" s="108"/>
      <c r="K273" s="108"/>
      <c r="L273" s="108"/>
      <c r="M273" s="108"/>
    </row>
    <row r="274" spans="1:13" ht="23.1" customHeight="1" x14ac:dyDescent="0.7">
      <c r="A274" s="148">
        <v>267</v>
      </c>
      <c r="B274" s="334" t="s">
        <v>847</v>
      </c>
      <c r="C274" s="335">
        <v>1</v>
      </c>
      <c r="D274" s="269">
        <v>1980</v>
      </c>
      <c r="E274" s="206">
        <f t="shared" ref="E274:E315" si="18">+C274*D274</f>
        <v>1980</v>
      </c>
      <c r="F274" s="334" t="s">
        <v>375</v>
      </c>
      <c r="G274" s="152" t="s">
        <v>611</v>
      </c>
      <c r="H274" s="151" t="str">
        <f>+H273</f>
        <v>นอกแผนอนุมัติ เข้าแผน (ครึ่งปีหลัง)</v>
      </c>
      <c r="I274" s="107"/>
      <c r="J274" s="108"/>
      <c r="K274" s="108"/>
      <c r="L274" s="108"/>
      <c r="M274" s="108"/>
    </row>
    <row r="275" spans="1:13" ht="23.1" customHeight="1" x14ac:dyDescent="0.7">
      <c r="A275" s="148">
        <v>268</v>
      </c>
      <c r="B275" s="201" t="s">
        <v>850</v>
      </c>
      <c r="C275" s="223">
        <v>2</v>
      </c>
      <c r="D275" s="277">
        <v>26500</v>
      </c>
      <c r="E275" s="206">
        <f t="shared" si="18"/>
        <v>53000</v>
      </c>
      <c r="F275" s="201" t="s">
        <v>375</v>
      </c>
      <c r="G275" s="152" t="s">
        <v>611</v>
      </c>
      <c r="H275" s="151" t="str">
        <f t="shared" ref="H275:H315" si="19">+H274</f>
        <v>นอกแผนอนุมัติ เข้าแผน (ครึ่งปีหลัง)</v>
      </c>
      <c r="I275" s="107"/>
      <c r="J275" s="108"/>
      <c r="K275" s="108"/>
      <c r="L275" s="108"/>
      <c r="M275" s="108"/>
    </row>
    <row r="276" spans="1:13" ht="23.1" customHeight="1" x14ac:dyDescent="0.7">
      <c r="A276" s="148">
        <v>269</v>
      </c>
      <c r="B276" s="201" t="s">
        <v>889</v>
      </c>
      <c r="C276" s="223">
        <v>2</v>
      </c>
      <c r="D276" s="277">
        <v>2320</v>
      </c>
      <c r="E276" s="206">
        <f t="shared" si="18"/>
        <v>4640</v>
      </c>
      <c r="F276" s="201" t="s">
        <v>375</v>
      </c>
      <c r="G276" s="152" t="s">
        <v>611</v>
      </c>
      <c r="H276" s="151" t="str">
        <f t="shared" si="19"/>
        <v>นอกแผนอนุมัติ เข้าแผน (ครึ่งปีหลัง)</v>
      </c>
      <c r="I276" s="107"/>
      <c r="J276" s="108"/>
      <c r="K276" s="108"/>
      <c r="L276" s="108"/>
      <c r="M276" s="108"/>
    </row>
    <row r="277" spans="1:13" ht="23.1" customHeight="1" x14ac:dyDescent="0.7">
      <c r="A277" s="148">
        <v>270</v>
      </c>
      <c r="B277" s="201" t="s">
        <v>890</v>
      </c>
      <c r="C277" s="223">
        <v>1</v>
      </c>
      <c r="D277" s="277">
        <v>4290</v>
      </c>
      <c r="E277" s="206">
        <f t="shared" si="18"/>
        <v>4290</v>
      </c>
      <c r="F277" s="201" t="s">
        <v>375</v>
      </c>
      <c r="G277" s="152" t="s">
        <v>611</v>
      </c>
      <c r="H277" s="151" t="str">
        <f t="shared" si="19"/>
        <v>นอกแผนอนุมัติ เข้าแผน (ครึ่งปีหลัง)</v>
      </c>
      <c r="I277" s="107"/>
      <c r="J277" s="108"/>
      <c r="K277" s="108"/>
      <c r="L277" s="108"/>
      <c r="M277" s="108"/>
    </row>
    <row r="278" spans="1:13" ht="23.1" customHeight="1" x14ac:dyDescent="0.7">
      <c r="A278" s="148">
        <v>271</v>
      </c>
      <c r="B278" s="201" t="s">
        <v>891</v>
      </c>
      <c r="C278" s="223">
        <v>1</v>
      </c>
      <c r="D278" s="277">
        <v>5500</v>
      </c>
      <c r="E278" s="206">
        <f t="shared" si="18"/>
        <v>5500</v>
      </c>
      <c r="F278" s="201" t="s">
        <v>375</v>
      </c>
      <c r="G278" s="152" t="s">
        <v>611</v>
      </c>
      <c r="H278" s="151" t="str">
        <f t="shared" si="19"/>
        <v>นอกแผนอนุมัติ เข้าแผน (ครึ่งปีหลัง)</v>
      </c>
      <c r="I278" s="107"/>
      <c r="J278" s="108"/>
      <c r="K278" s="108"/>
      <c r="L278" s="108"/>
      <c r="M278" s="108"/>
    </row>
    <row r="279" spans="1:13" ht="23.1" customHeight="1" x14ac:dyDescent="0.7">
      <c r="A279" s="148">
        <v>272</v>
      </c>
      <c r="B279" s="334" t="s">
        <v>850</v>
      </c>
      <c r="C279" s="335">
        <v>1</v>
      </c>
      <c r="D279" s="269">
        <v>26500</v>
      </c>
      <c r="E279" s="206">
        <f t="shared" si="18"/>
        <v>26500</v>
      </c>
      <c r="F279" s="334" t="s">
        <v>375</v>
      </c>
      <c r="G279" s="152" t="s">
        <v>611</v>
      </c>
      <c r="H279" s="151" t="str">
        <f t="shared" si="19"/>
        <v>นอกแผนอนุมัติ เข้าแผน (ครึ่งปีหลัง)</v>
      </c>
      <c r="I279" s="107"/>
      <c r="J279" s="108"/>
      <c r="K279" s="108"/>
      <c r="L279" s="108"/>
      <c r="M279" s="108"/>
    </row>
    <row r="280" spans="1:13" ht="23.1" customHeight="1" x14ac:dyDescent="0.7">
      <c r="A280" s="148">
        <v>273</v>
      </c>
      <c r="B280" s="334" t="s">
        <v>892</v>
      </c>
      <c r="C280" s="335">
        <v>1</v>
      </c>
      <c r="D280" s="269">
        <v>2320</v>
      </c>
      <c r="E280" s="206">
        <f t="shared" si="18"/>
        <v>2320</v>
      </c>
      <c r="F280" s="334" t="s">
        <v>375</v>
      </c>
      <c r="G280" s="152" t="s">
        <v>611</v>
      </c>
      <c r="H280" s="151" t="str">
        <f t="shared" si="19"/>
        <v>นอกแผนอนุมัติ เข้าแผน (ครึ่งปีหลัง)</v>
      </c>
      <c r="I280" s="107"/>
      <c r="J280" s="108"/>
      <c r="K280" s="108"/>
      <c r="L280" s="108"/>
      <c r="M280" s="108"/>
    </row>
    <row r="281" spans="1:13" ht="23.1" customHeight="1" x14ac:dyDescent="0.7">
      <c r="A281" s="148">
        <v>274</v>
      </c>
      <c r="B281" s="334" t="s">
        <v>893</v>
      </c>
      <c r="C281" s="335">
        <v>1</v>
      </c>
      <c r="D281" s="269">
        <v>7700</v>
      </c>
      <c r="E281" s="206">
        <f t="shared" si="18"/>
        <v>7700</v>
      </c>
      <c r="F281" s="334" t="s">
        <v>375</v>
      </c>
      <c r="G281" s="152" t="s">
        <v>611</v>
      </c>
      <c r="H281" s="151" t="str">
        <f t="shared" si="19"/>
        <v>นอกแผนอนุมัติ เข้าแผน (ครึ่งปีหลัง)</v>
      </c>
      <c r="I281" s="107"/>
      <c r="J281" s="108"/>
      <c r="K281" s="108"/>
      <c r="L281" s="108"/>
      <c r="M281" s="108"/>
    </row>
    <row r="282" spans="1:13" ht="23.1" customHeight="1" x14ac:dyDescent="0.7">
      <c r="A282" s="148">
        <v>275</v>
      </c>
      <c r="B282" s="334" t="s">
        <v>894</v>
      </c>
      <c r="C282" s="335">
        <v>1</v>
      </c>
      <c r="D282" s="269">
        <v>26500</v>
      </c>
      <c r="E282" s="206">
        <f t="shared" si="18"/>
        <v>26500</v>
      </c>
      <c r="F282" s="334" t="s">
        <v>862</v>
      </c>
      <c r="G282" s="152" t="s">
        <v>611</v>
      </c>
      <c r="H282" s="151" t="str">
        <f t="shared" si="19"/>
        <v>นอกแผนอนุมัติ เข้าแผน (ครึ่งปีหลัง)</v>
      </c>
      <c r="I282" s="107"/>
      <c r="J282" s="108"/>
      <c r="K282" s="108"/>
      <c r="L282" s="108"/>
      <c r="M282" s="108"/>
    </row>
    <row r="283" spans="1:13" ht="23.1" customHeight="1" x14ac:dyDescent="0.7">
      <c r="A283" s="148">
        <v>276</v>
      </c>
      <c r="B283" s="334" t="s">
        <v>889</v>
      </c>
      <c r="C283" s="335">
        <v>1</v>
      </c>
      <c r="D283" s="269">
        <v>2320</v>
      </c>
      <c r="E283" s="206">
        <f t="shared" si="18"/>
        <v>2320</v>
      </c>
      <c r="F283" s="334" t="s">
        <v>862</v>
      </c>
      <c r="G283" s="152" t="s">
        <v>611</v>
      </c>
      <c r="H283" s="151" t="str">
        <f t="shared" si="19"/>
        <v>นอกแผนอนุมัติ เข้าแผน (ครึ่งปีหลัง)</v>
      </c>
      <c r="I283" s="107"/>
      <c r="J283" s="108"/>
      <c r="K283" s="108"/>
      <c r="L283" s="108"/>
      <c r="M283" s="108"/>
    </row>
    <row r="284" spans="1:13" ht="49.2" x14ac:dyDescent="0.25">
      <c r="A284" s="148">
        <v>277</v>
      </c>
      <c r="B284" s="174" t="s">
        <v>848</v>
      </c>
      <c r="C284" s="270">
        <v>1</v>
      </c>
      <c r="D284" s="271">
        <v>8990</v>
      </c>
      <c r="E284" s="206">
        <f t="shared" si="18"/>
        <v>8990</v>
      </c>
      <c r="F284" s="174" t="s">
        <v>830</v>
      </c>
      <c r="G284" s="152" t="s">
        <v>611</v>
      </c>
      <c r="H284" s="151" t="str">
        <f t="shared" si="19"/>
        <v>นอกแผนอนุมัติ เข้าแผน (ครึ่งปีหลัง)</v>
      </c>
      <c r="I284" s="107"/>
      <c r="J284" s="108"/>
      <c r="K284" s="108"/>
      <c r="L284" s="108"/>
      <c r="M284" s="108"/>
    </row>
    <row r="285" spans="1:13" ht="21.9" customHeight="1" x14ac:dyDescent="0.7">
      <c r="A285" s="148">
        <v>278</v>
      </c>
      <c r="B285" s="246" t="s">
        <v>849</v>
      </c>
      <c r="C285" s="335">
        <v>8</v>
      </c>
      <c r="D285" s="341">
        <v>3960</v>
      </c>
      <c r="E285" s="206">
        <f t="shared" si="18"/>
        <v>31680</v>
      </c>
      <c r="F285" s="335" t="s">
        <v>836</v>
      </c>
      <c r="G285" s="152" t="s">
        <v>611</v>
      </c>
      <c r="H285" s="151" t="str">
        <f t="shared" si="19"/>
        <v>นอกแผนอนุมัติ เข้าแผน (ครึ่งปีหลัง)</v>
      </c>
      <c r="I285" s="107"/>
      <c r="J285" s="108"/>
      <c r="K285" s="108"/>
      <c r="L285" s="108"/>
      <c r="M285" s="108"/>
    </row>
    <row r="286" spans="1:13" ht="21.9" customHeight="1" x14ac:dyDescent="0.25">
      <c r="A286" s="148">
        <v>279</v>
      </c>
      <c r="B286" s="137" t="s">
        <v>850</v>
      </c>
      <c r="C286" s="136">
        <v>1</v>
      </c>
      <c r="D286" s="341">
        <v>28820</v>
      </c>
      <c r="E286" s="206">
        <f t="shared" si="18"/>
        <v>28820</v>
      </c>
      <c r="F286" s="137" t="s">
        <v>328</v>
      </c>
      <c r="G286" s="152" t="s">
        <v>611</v>
      </c>
      <c r="H286" s="151" t="str">
        <f t="shared" si="19"/>
        <v>นอกแผนอนุมัติ เข้าแผน (ครึ่งปีหลัง)</v>
      </c>
      <c r="I286" s="107"/>
      <c r="J286" s="108"/>
      <c r="K286" s="108"/>
      <c r="L286" s="108"/>
      <c r="M286" s="108"/>
    </row>
    <row r="287" spans="1:13" ht="21.9" customHeight="1" x14ac:dyDescent="0.7">
      <c r="A287" s="148">
        <v>280</v>
      </c>
      <c r="B287" s="334" t="s">
        <v>894</v>
      </c>
      <c r="C287" s="335">
        <v>1</v>
      </c>
      <c r="D287" s="269">
        <v>26500</v>
      </c>
      <c r="E287" s="206">
        <f t="shared" si="18"/>
        <v>26500</v>
      </c>
      <c r="F287" s="334" t="s">
        <v>837</v>
      </c>
      <c r="G287" s="152" t="s">
        <v>611</v>
      </c>
      <c r="H287" s="151" t="str">
        <f t="shared" si="19"/>
        <v>นอกแผนอนุมัติ เข้าแผน (ครึ่งปีหลัง)</v>
      </c>
      <c r="I287" s="107"/>
      <c r="J287" s="108"/>
      <c r="K287" s="108"/>
      <c r="L287" s="108"/>
      <c r="M287" s="108"/>
    </row>
    <row r="288" spans="1:13" ht="21.9" customHeight="1" x14ac:dyDescent="0.7">
      <c r="A288" s="148">
        <v>281</v>
      </c>
      <c r="B288" s="334" t="s">
        <v>889</v>
      </c>
      <c r="C288" s="335">
        <v>1</v>
      </c>
      <c r="D288" s="269">
        <v>2320</v>
      </c>
      <c r="E288" s="206">
        <f t="shared" si="18"/>
        <v>2320</v>
      </c>
      <c r="F288" s="334" t="s">
        <v>837</v>
      </c>
      <c r="G288" s="152" t="s">
        <v>611</v>
      </c>
      <c r="H288" s="151" t="str">
        <f t="shared" si="19"/>
        <v>นอกแผนอนุมัติ เข้าแผน (ครึ่งปีหลัง)</v>
      </c>
      <c r="I288" s="107"/>
      <c r="J288" s="108"/>
      <c r="K288" s="108"/>
      <c r="L288" s="108"/>
      <c r="M288" s="108"/>
    </row>
    <row r="289" spans="1:13" ht="21.9" customHeight="1" x14ac:dyDescent="0.7">
      <c r="A289" s="148">
        <v>282</v>
      </c>
      <c r="B289" s="334" t="s">
        <v>895</v>
      </c>
      <c r="C289" s="335">
        <v>1</v>
      </c>
      <c r="D289" s="269">
        <v>6900</v>
      </c>
      <c r="E289" s="206">
        <f t="shared" si="18"/>
        <v>6900</v>
      </c>
      <c r="F289" s="334" t="s">
        <v>838</v>
      </c>
      <c r="G289" s="152" t="s">
        <v>611</v>
      </c>
      <c r="H289" s="151" t="str">
        <f t="shared" si="19"/>
        <v>นอกแผนอนุมัติ เข้าแผน (ครึ่งปีหลัง)</v>
      </c>
      <c r="I289" s="107"/>
      <c r="J289" s="108"/>
      <c r="K289" s="108"/>
      <c r="L289" s="108"/>
      <c r="M289" s="108"/>
    </row>
    <row r="290" spans="1:13" ht="21.9" customHeight="1" x14ac:dyDescent="0.7">
      <c r="A290" s="148">
        <v>283</v>
      </c>
      <c r="B290" s="334" t="s">
        <v>372</v>
      </c>
      <c r="C290" s="335">
        <v>1</v>
      </c>
      <c r="D290" s="269">
        <v>10900</v>
      </c>
      <c r="E290" s="206">
        <f t="shared" si="18"/>
        <v>10900</v>
      </c>
      <c r="F290" s="334" t="s">
        <v>838</v>
      </c>
      <c r="G290" s="152" t="s">
        <v>611</v>
      </c>
      <c r="H290" s="151" t="str">
        <f t="shared" si="19"/>
        <v>นอกแผนอนุมัติ เข้าแผน (ครึ่งปีหลัง)</v>
      </c>
      <c r="I290" s="107"/>
      <c r="J290" s="108"/>
      <c r="K290" s="108"/>
      <c r="L290" s="108"/>
      <c r="M290" s="108"/>
    </row>
    <row r="291" spans="1:13" ht="21.9" customHeight="1" x14ac:dyDescent="0.7">
      <c r="A291" s="148">
        <v>284</v>
      </c>
      <c r="B291" s="334" t="s">
        <v>851</v>
      </c>
      <c r="C291" s="335">
        <v>1</v>
      </c>
      <c r="D291" s="269">
        <v>65000</v>
      </c>
      <c r="E291" s="206">
        <f t="shared" si="18"/>
        <v>65000</v>
      </c>
      <c r="F291" s="334" t="s">
        <v>863</v>
      </c>
      <c r="G291" s="152" t="s">
        <v>611</v>
      </c>
      <c r="H291" s="151" t="str">
        <f t="shared" si="19"/>
        <v>นอกแผนอนุมัติ เข้าแผน (ครึ่งปีหลัง)</v>
      </c>
      <c r="I291" s="107"/>
      <c r="J291" s="108"/>
      <c r="K291" s="108"/>
      <c r="L291" s="108"/>
      <c r="M291" s="108"/>
    </row>
    <row r="292" spans="1:13" ht="21.9" customHeight="1" x14ac:dyDescent="0.7">
      <c r="A292" s="148">
        <v>285</v>
      </c>
      <c r="B292" s="334" t="s">
        <v>896</v>
      </c>
      <c r="C292" s="335">
        <v>1</v>
      </c>
      <c r="D292" s="269">
        <v>19200</v>
      </c>
      <c r="E292" s="206">
        <f t="shared" si="18"/>
        <v>19200</v>
      </c>
      <c r="F292" s="334" t="s">
        <v>490</v>
      </c>
      <c r="G292" s="152" t="s">
        <v>611</v>
      </c>
      <c r="H292" s="151" t="str">
        <f t="shared" si="19"/>
        <v>นอกแผนอนุมัติ เข้าแผน (ครึ่งปีหลัง)</v>
      </c>
      <c r="I292" s="107"/>
      <c r="J292" s="108"/>
      <c r="K292" s="108"/>
      <c r="L292" s="108"/>
      <c r="M292" s="108"/>
    </row>
    <row r="293" spans="1:13" ht="21.9" customHeight="1" x14ac:dyDescent="0.7">
      <c r="A293" s="148">
        <v>286</v>
      </c>
      <c r="B293" s="334" t="s">
        <v>897</v>
      </c>
      <c r="C293" s="335">
        <v>1</v>
      </c>
      <c r="D293" s="269">
        <v>19200</v>
      </c>
      <c r="E293" s="206">
        <f t="shared" si="18"/>
        <v>19200</v>
      </c>
      <c r="F293" s="334" t="s">
        <v>490</v>
      </c>
      <c r="G293" s="152" t="s">
        <v>611</v>
      </c>
      <c r="H293" s="151" t="str">
        <f t="shared" si="19"/>
        <v>นอกแผนอนุมัติ เข้าแผน (ครึ่งปีหลัง)</v>
      </c>
      <c r="I293" s="107"/>
      <c r="J293" s="108"/>
      <c r="K293" s="108"/>
      <c r="L293" s="108"/>
      <c r="M293" s="108"/>
    </row>
    <row r="294" spans="1:13" ht="21.9" customHeight="1" x14ac:dyDescent="0.7">
      <c r="A294" s="148">
        <v>287</v>
      </c>
      <c r="B294" s="334" t="s">
        <v>898</v>
      </c>
      <c r="C294" s="335">
        <v>1</v>
      </c>
      <c r="D294" s="269">
        <v>19200</v>
      </c>
      <c r="E294" s="206">
        <f t="shared" si="18"/>
        <v>19200</v>
      </c>
      <c r="F294" s="334" t="s">
        <v>490</v>
      </c>
      <c r="G294" s="152" t="s">
        <v>611</v>
      </c>
      <c r="H294" s="151" t="str">
        <f t="shared" si="19"/>
        <v>นอกแผนอนุมัติ เข้าแผน (ครึ่งปีหลัง)</v>
      </c>
      <c r="I294" s="107"/>
      <c r="J294" s="108"/>
      <c r="K294" s="108"/>
      <c r="L294" s="108"/>
      <c r="M294" s="108"/>
    </row>
    <row r="295" spans="1:13" ht="21.9" customHeight="1" x14ac:dyDescent="0.7">
      <c r="A295" s="148">
        <v>288</v>
      </c>
      <c r="B295" s="334" t="s">
        <v>899</v>
      </c>
      <c r="C295" s="335">
        <v>2</v>
      </c>
      <c r="D295" s="269">
        <v>11750</v>
      </c>
      <c r="E295" s="206">
        <f t="shared" si="18"/>
        <v>23500</v>
      </c>
      <c r="F295" s="334" t="s">
        <v>490</v>
      </c>
      <c r="G295" s="152" t="s">
        <v>611</v>
      </c>
      <c r="H295" s="151" t="str">
        <f t="shared" si="19"/>
        <v>นอกแผนอนุมัติ เข้าแผน (ครึ่งปีหลัง)</v>
      </c>
      <c r="I295" s="107"/>
      <c r="J295" s="108"/>
      <c r="K295" s="108"/>
      <c r="L295" s="108"/>
      <c r="M295" s="108"/>
    </row>
    <row r="296" spans="1:13" ht="21.9" customHeight="1" x14ac:dyDescent="0.7">
      <c r="A296" s="148">
        <v>289</v>
      </c>
      <c r="B296" s="334" t="s">
        <v>900</v>
      </c>
      <c r="C296" s="335">
        <v>1</v>
      </c>
      <c r="D296" s="269">
        <v>6600</v>
      </c>
      <c r="E296" s="206">
        <f t="shared" si="18"/>
        <v>6600</v>
      </c>
      <c r="F296" s="334" t="s">
        <v>490</v>
      </c>
      <c r="G296" s="152" t="s">
        <v>611</v>
      </c>
      <c r="H296" s="151" t="str">
        <f t="shared" si="19"/>
        <v>นอกแผนอนุมัติ เข้าแผน (ครึ่งปีหลัง)</v>
      </c>
      <c r="I296" s="107"/>
      <c r="J296" s="108"/>
      <c r="K296" s="108"/>
      <c r="L296" s="108"/>
      <c r="M296" s="108"/>
    </row>
    <row r="297" spans="1:13" ht="21.9" customHeight="1" x14ac:dyDescent="0.7">
      <c r="A297" s="148">
        <v>290</v>
      </c>
      <c r="B297" s="334" t="s">
        <v>901</v>
      </c>
      <c r="C297" s="335">
        <v>1</v>
      </c>
      <c r="D297" s="269">
        <v>5000</v>
      </c>
      <c r="E297" s="206">
        <f t="shared" si="18"/>
        <v>5000</v>
      </c>
      <c r="F297" s="334" t="s">
        <v>490</v>
      </c>
      <c r="G297" s="152" t="s">
        <v>611</v>
      </c>
      <c r="H297" s="151" t="str">
        <f t="shared" si="19"/>
        <v>นอกแผนอนุมัติ เข้าแผน (ครึ่งปีหลัง)</v>
      </c>
      <c r="I297" s="107"/>
      <c r="J297" s="108"/>
      <c r="K297" s="108"/>
      <c r="L297" s="108"/>
      <c r="M297" s="108"/>
    </row>
    <row r="298" spans="1:13" ht="21.9" customHeight="1" x14ac:dyDescent="0.7">
      <c r="A298" s="148">
        <v>291</v>
      </c>
      <c r="B298" s="334" t="s">
        <v>902</v>
      </c>
      <c r="C298" s="335">
        <v>1</v>
      </c>
      <c r="D298" s="269">
        <v>2650</v>
      </c>
      <c r="E298" s="206">
        <f t="shared" si="18"/>
        <v>2650</v>
      </c>
      <c r="F298" s="334" t="s">
        <v>490</v>
      </c>
      <c r="G298" s="152" t="s">
        <v>611</v>
      </c>
      <c r="H298" s="151" t="str">
        <f t="shared" si="19"/>
        <v>นอกแผนอนุมัติ เข้าแผน (ครึ่งปีหลัง)</v>
      </c>
      <c r="I298" s="107"/>
      <c r="J298" s="108"/>
      <c r="K298" s="108"/>
      <c r="L298" s="108"/>
      <c r="M298" s="108"/>
    </row>
    <row r="299" spans="1:13" ht="21.9" customHeight="1" x14ac:dyDescent="0.7">
      <c r="A299" s="148">
        <v>292</v>
      </c>
      <c r="B299" s="334" t="s">
        <v>852</v>
      </c>
      <c r="C299" s="335">
        <v>8</v>
      </c>
      <c r="D299" s="269">
        <v>23125</v>
      </c>
      <c r="E299" s="206">
        <f t="shared" si="18"/>
        <v>185000</v>
      </c>
      <c r="F299" s="334" t="s">
        <v>322</v>
      </c>
      <c r="G299" s="152" t="s">
        <v>611</v>
      </c>
      <c r="H299" s="151" t="str">
        <f t="shared" si="19"/>
        <v>นอกแผนอนุมัติ เข้าแผน (ครึ่งปีหลัง)</v>
      </c>
      <c r="I299" s="107"/>
      <c r="J299" s="108"/>
      <c r="K299" s="108"/>
      <c r="L299" s="108"/>
      <c r="M299" s="108"/>
    </row>
    <row r="300" spans="1:13" ht="21.9" customHeight="1" x14ac:dyDescent="0.7">
      <c r="A300" s="148">
        <v>293</v>
      </c>
      <c r="B300" s="334" t="s">
        <v>853</v>
      </c>
      <c r="C300" s="335">
        <v>3</v>
      </c>
      <c r="D300" s="269">
        <v>172805</v>
      </c>
      <c r="E300" s="206">
        <f t="shared" si="18"/>
        <v>518415</v>
      </c>
      <c r="F300" s="334" t="s">
        <v>490</v>
      </c>
      <c r="G300" s="152" t="s">
        <v>611</v>
      </c>
      <c r="H300" s="151" t="str">
        <f t="shared" si="19"/>
        <v>นอกแผนอนุมัติ เข้าแผน (ครึ่งปีหลัง)</v>
      </c>
      <c r="I300" s="107"/>
      <c r="J300" s="108"/>
      <c r="K300" s="108"/>
      <c r="L300" s="108"/>
      <c r="M300" s="108"/>
    </row>
    <row r="301" spans="1:13" ht="21.9" customHeight="1" x14ac:dyDescent="0.7">
      <c r="A301" s="148">
        <v>294</v>
      </c>
      <c r="B301" s="201" t="s">
        <v>854</v>
      </c>
      <c r="C301" s="223">
        <v>1</v>
      </c>
      <c r="D301" s="277">
        <v>10690</v>
      </c>
      <c r="E301" s="206">
        <f t="shared" si="18"/>
        <v>10690</v>
      </c>
      <c r="F301" s="201" t="s">
        <v>490</v>
      </c>
      <c r="G301" s="152" t="s">
        <v>611</v>
      </c>
      <c r="H301" s="151" t="str">
        <f t="shared" si="19"/>
        <v>นอกแผนอนุมัติ เข้าแผน (ครึ่งปีหลัง)</v>
      </c>
      <c r="I301" s="107"/>
      <c r="J301" s="108"/>
      <c r="K301" s="108"/>
      <c r="L301" s="108"/>
      <c r="M301" s="108"/>
    </row>
    <row r="302" spans="1:13" ht="21.9" customHeight="1" x14ac:dyDescent="0.7">
      <c r="A302" s="148">
        <v>295</v>
      </c>
      <c r="B302" s="334" t="s">
        <v>855</v>
      </c>
      <c r="C302" s="335">
        <v>2</v>
      </c>
      <c r="D302" s="269">
        <v>17560</v>
      </c>
      <c r="E302" s="206">
        <f t="shared" si="18"/>
        <v>35120</v>
      </c>
      <c r="F302" s="334" t="s">
        <v>490</v>
      </c>
      <c r="G302" s="152" t="s">
        <v>611</v>
      </c>
      <c r="H302" s="151" t="str">
        <f t="shared" si="19"/>
        <v>นอกแผนอนุมัติ เข้าแผน (ครึ่งปีหลัง)</v>
      </c>
      <c r="I302" s="107"/>
      <c r="J302" s="108"/>
      <c r="K302" s="108"/>
      <c r="L302" s="108"/>
      <c r="M302" s="108"/>
    </row>
    <row r="303" spans="1:13" ht="21.9" customHeight="1" x14ac:dyDescent="0.7">
      <c r="A303" s="148">
        <v>296</v>
      </c>
      <c r="B303" s="334" t="s">
        <v>856</v>
      </c>
      <c r="C303" s="335">
        <v>4</v>
      </c>
      <c r="D303" s="269">
        <v>16800</v>
      </c>
      <c r="E303" s="206">
        <f t="shared" si="18"/>
        <v>67200</v>
      </c>
      <c r="F303" s="334" t="s">
        <v>490</v>
      </c>
      <c r="G303" s="152" t="s">
        <v>611</v>
      </c>
      <c r="H303" s="151" t="str">
        <f t="shared" si="19"/>
        <v>นอกแผนอนุมัติ เข้าแผน (ครึ่งปีหลัง)</v>
      </c>
      <c r="I303" s="107"/>
      <c r="J303" s="108"/>
      <c r="K303" s="108"/>
      <c r="L303" s="108"/>
      <c r="M303" s="108"/>
    </row>
    <row r="304" spans="1:13" ht="21.9" customHeight="1" x14ac:dyDescent="0.7">
      <c r="A304" s="148">
        <v>297</v>
      </c>
      <c r="B304" s="334" t="s">
        <v>857</v>
      </c>
      <c r="C304" s="335">
        <v>1</v>
      </c>
      <c r="D304" s="269">
        <v>62076.05</v>
      </c>
      <c r="E304" s="206">
        <f t="shared" si="18"/>
        <v>62076.05</v>
      </c>
      <c r="F304" s="174" t="s">
        <v>490</v>
      </c>
      <c r="G304" s="152" t="s">
        <v>611</v>
      </c>
      <c r="H304" s="151" t="str">
        <f t="shared" si="19"/>
        <v>นอกแผนอนุมัติ เข้าแผน (ครึ่งปีหลัง)</v>
      </c>
      <c r="I304" s="107"/>
      <c r="J304" s="108"/>
      <c r="K304" s="108"/>
      <c r="L304" s="108"/>
      <c r="M304" s="108"/>
    </row>
    <row r="305" spans="1:13" ht="21.9" customHeight="1" x14ac:dyDescent="0.7">
      <c r="A305" s="148">
        <v>298</v>
      </c>
      <c r="B305" s="334" t="s">
        <v>858</v>
      </c>
      <c r="C305" s="335">
        <v>3</v>
      </c>
      <c r="D305" s="269">
        <v>15943</v>
      </c>
      <c r="E305" s="206">
        <f t="shared" si="18"/>
        <v>47829</v>
      </c>
      <c r="F305" s="334" t="s">
        <v>490</v>
      </c>
      <c r="G305" s="152" t="s">
        <v>611</v>
      </c>
      <c r="H305" s="151" t="str">
        <f t="shared" si="19"/>
        <v>นอกแผนอนุมัติ เข้าแผน (ครึ่งปีหลัง)</v>
      </c>
      <c r="I305" s="107"/>
      <c r="J305" s="108"/>
      <c r="K305" s="108"/>
      <c r="L305" s="108"/>
      <c r="M305" s="108"/>
    </row>
    <row r="306" spans="1:13" ht="21.9" customHeight="1" x14ac:dyDescent="0.7">
      <c r="A306" s="148">
        <v>299</v>
      </c>
      <c r="B306" s="334" t="s">
        <v>859</v>
      </c>
      <c r="C306" s="335">
        <v>2</v>
      </c>
      <c r="D306" s="269">
        <v>7220</v>
      </c>
      <c r="E306" s="206">
        <f t="shared" si="18"/>
        <v>14440</v>
      </c>
      <c r="F306" s="334" t="s">
        <v>490</v>
      </c>
      <c r="G306" s="152" t="s">
        <v>611</v>
      </c>
      <c r="H306" s="151" t="str">
        <f t="shared" si="19"/>
        <v>นอกแผนอนุมัติ เข้าแผน (ครึ่งปีหลัง)</v>
      </c>
      <c r="I306" s="107"/>
      <c r="J306" s="108"/>
      <c r="K306" s="108"/>
      <c r="L306" s="108"/>
      <c r="M306" s="108"/>
    </row>
    <row r="307" spans="1:13" ht="21.9" customHeight="1" x14ac:dyDescent="0.7">
      <c r="A307" s="148">
        <v>300</v>
      </c>
      <c r="B307" s="334" t="s">
        <v>860</v>
      </c>
      <c r="C307" s="335">
        <v>3</v>
      </c>
      <c r="D307" s="269">
        <v>19973.333333333332</v>
      </c>
      <c r="E307" s="206">
        <f t="shared" si="18"/>
        <v>59920</v>
      </c>
      <c r="F307" s="334" t="s">
        <v>490</v>
      </c>
      <c r="G307" s="152" t="s">
        <v>611</v>
      </c>
      <c r="H307" s="151" t="str">
        <f t="shared" si="19"/>
        <v>นอกแผนอนุมัติ เข้าแผน (ครึ่งปีหลัง)</v>
      </c>
      <c r="I307" s="107"/>
      <c r="J307" s="108"/>
      <c r="K307" s="108"/>
      <c r="L307" s="108"/>
      <c r="M307" s="108"/>
    </row>
    <row r="308" spans="1:13" ht="21.9" customHeight="1" x14ac:dyDescent="0.7">
      <c r="A308" s="148">
        <v>301</v>
      </c>
      <c r="B308" s="334" t="s">
        <v>904</v>
      </c>
      <c r="C308" s="335">
        <v>5</v>
      </c>
      <c r="D308" s="269">
        <v>8100</v>
      </c>
      <c r="E308" s="206">
        <f t="shared" si="18"/>
        <v>40500</v>
      </c>
      <c r="F308" s="334" t="s">
        <v>490</v>
      </c>
      <c r="G308" s="152" t="s">
        <v>611</v>
      </c>
      <c r="H308" s="151" t="str">
        <f t="shared" si="19"/>
        <v>นอกแผนอนุมัติ เข้าแผน (ครึ่งปีหลัง)</v>
      </c>
      <c r="I308" s="107"/>
      <c r="J308" s="108"/>
      <c r="K308" s="108"/>
      <c r="L308" s="108"/>
      <c r="M308" s="108"/>
    </row>
    <row r="309" spans="1:13" ht="21.9" customHeight="1" x14ac:dyDescent="0.7">
      <c r="A309" s="148">
        <v>302</v>
      </c>
      <c r="B309" s="334" t="s">
        <v>861</v>
      </c>
      <c r="C309" s="335">
        <v>1</v>
      </c>
      <c r="D309" s="269">
        <v>17140</v>
      </c>
      <c r="E309" s="206">
        <f t="shared" si="18"/>
        <v>17140</v>
      </c>
      <c r="F309" s="334" t="s">
        <v>371</v>
      </c>
      <c r="G309" s="152" t="s">
        <v>611</v>
      </c>
      <c r="H309" s="151" t="str">
        <f t="shared" si="19"/>
        <v>นอกแผนอนุมัติ เข้าแผน (ครึ่งปีหลัง)</v>
      </c>
      <c r="I309" s="107"/>
      <c r="J309" s="108"/>
      <c r="K309" s="108"/>
      <c r="L309" s="108"/>
      <c r="M309" s="108"/>
    </row>
    <row r="310" spans="1:13" ht="21.9" customHeight="1" x14ac:dyDescent="0.25">
      <c r="A310" s="148">
        <v>303</v>
      </c>
      <c r="B310" s="174" t="s">
        <v>850</v>
      </c>
      <c r="C310" s="270">
        <v>9</v>
      </c>
      <c r="D310" s="271">
        <v>24900</v>
      </c>
      <c r="E310" s="206">
        <f t="shared" si="18"/>
        <v>224100</v>
      </c>
      <c r="F310" s="174" t="s">
        <v>842</v>
      </c>
      <c r="G310" s="152" t="s">
        <v>611</v>
      </c>
      <c r="H310" s="151" t="str">
        <f t="shared" si="19"/>
        <v>นอกแผนอนุมัติ เข้าแผน (ครึ่งปีหลัง)</v>
      </c>
      <c r="I310" s="107"/>
      <c r="J310" s="108"/>
      <c r="K310" s="108"/>
      <c r="L310" s="108"/>
      <c r="M310" s="108"/>
    </row>
    <row r="311" spans="1:13" ht="21.9" customHeight="1" x14ac:dyDescent="0.7">
      <c r="A311" s="148">
        <v>304</v>
      </c>
      <c r="B311" s="334" t="s">
        <v>894</v>
      </c>
      <c r="C311" s="335">
        <v>1</v>
      </c>
      <c r="D311" s="269">
        <v>26500</v>
      </c>
      <c r="E311" s="206">
        <f t="shared" si="18"/>
        <v>26500</v>
      </c>
      <c r="F311" s="334" t="s">
        <v>864</v>
      </c>
      <c r="G311" s="152" t="s">
        <v>611</v>
      </c>
      <c r="H311" s="151" t="str">
        <f t="shared" si="19"/>
        <v>นอกแผนอนุมัติ เข้าแผน (ครึ่งปีหลัง)</v>
      </c>
      <c r="I311" s="107"/>
      <c r="J311" s="108"/>
      <c r="K311" s="108"/>
      <c r="L311" s="108"/>
      <c r="M311" s="108"/>
    </row>
    <row r="312" spans="1:13" ht="21.9" customHeight="1" x14ac:dyDescent="0.7">
      <c r="A312" s="148">
        <v>305</v>
      </c>
      <c r="B312" s="334" t="s">
        <v>889</v>
      </c>
      <c r="C312" s="335">
        <v>1</v>
      </c>
      <c r="D312" s="269">
        <v>2320</v>
      </c>
      <c r="E312" s="206">
        <f t="shared" si="18"/>
        <v>2320</v>
      </c>
      <c r="F312" s="334" t="s">
        <v>864</v>
      </c>
      <c r="G312" s="152" t="s">
        <v>611</v>
      </c>
      <c r="H312" s="151" t="str">
        <f t="shared" si="19"/>
        <v>นอกแผนอนุมัติ เข้าแผน (ครึ่งปีหลัง)</v>
      </c>
      <c r="I312" s="107"/>
      <c r="J312" s="108"/>
      <c r="K312" s="108"/>
      <c r="L312" s="108"/>
      <c r="M312" s="108"/>
    </row>
    <row r="313" spans="1:13" ht="21.9" customHeight="1" x14ac:dyDescent="0.7">
      <c r="A313" s="148">
        <v>306</v>
      </c>
      <c r="B313" s="334" t="s">
        <v>894</v>
      </c>
      <c r="C313" s="335">
        <v>1</v>
      </c>
      <c r="D313" s="269">
        <v>26500</v>
      </c>
      <c r="E313" s="206">
        <f t="shared" si="18"/>
        <v>26500</v>
      </c>
      <c r="F313" s="334" t="s">
        <v>865</v>
      </c>
      <c r="G313" s="152" t="s">
        <v>611</v>
      </c>
      <c r="H313" s="151" t="str">
        <f t="shared" si="19"/>
        <v>นอกแผนอนุมัติ เข้าแผน (ครึ่งปีหลัง)</v>
      </c>
      <c r="I313" s="107"/>
      <c r="J313" s="108"/>
      <c r="K313" s="108"/>
      <c r="L313" s="108"/>
      <c r="M313" s="108"/>
    </row>
    <row r="314" spans="1:13" ht="21.9" customHeight="1" x14ac:dyDescent="0.7">
      <c r="A314" s="148">
        <v>307</v>
      </c>
      <c r="B314" s="334" t="s">
        <v>889</v>
      </c>
      <c r="C314" s="335">
        <v>1</v>
      </c>
      <c r="D314" s="269">
        <v>2320</v>
      </c>
      <c r="E314" s="206">
        <f t="shared" si="18"/>
        <v>2320</v>
      </c>
      <c r="F314" s="334" t="s">
        <v>865</v>
      </c>
      <c r="G314" s="152" t="s">
        <v>611</v>
      </c>
      <c r="H314" s="151" t="str">
        <f t="shared" si="19"/>
        <v>นอกแผนอนุมัติ เข้าแผน (ครึ่งปีหลัง)</v>
      </c>
      <c r="I314" s="107"/>
      <c r="J314" s="108"/>
      <c r="K314" s="108"/>
      <c r="L314" s="108"/>
      <c r="M314" s="108"/>
    </row>
    <row r="315" spans="1:13" ht="21.9" customHeight="1" x14ac:dyDescent="0.7">
      <c r="A315" s="148">
        <v>308</v>
      </c>
      <c r="B315" s="334" t="s">
        <v>903</v>
      </c>
      <c r="C315" s="335">
        <v>1</v>
      </c>
      <c r="D315" s="269">
        <v>6900</v>
      </c>
      <c r="E315" s="206">
        <f t="shared" si="18"/>
        <v>6900</v>
      </c>
      <c r="F315" s="334" t="s">
        <v>865</v>
      </c>
      <c r="G315" s="152" t="s">
        <v>611</v>
      </c>
      <c r="H315" s="151" t="str">
        <f t="shared" si="19"/>
        <v>นอกแผนอนุมัติ เข้าแผน (ครึ่งปีหลัง)</v>
      </c>
      <c r="I315" s="107"/>
      <c r="J315" s="108"/>
      <c r="K315" s="108"/>
      <c r="L315" s="108"/>
      <c r="M315" s="108"/>
    </row>
    <row r="316" spans="1:13" ht="21.9" customHeight="1" x14ac:dyDescent="0.25">
      <c r="A316" s="267"/>
      <c r="B316" s="268"/>
      <c r="C316" s="214"/>
      <c r="D316" s="333" t="s">
        <v>3</v>
      </c>
      <c r="E316" s="315">
        <f>SUM(E228:E315)</f>
        <v>31463271.050000001</v>
      </c>
      <c r="H316" s="108"/>
      <c r="I316" s="107"/>
      <c r="J316" s="108"/>
      <c r="K316" s="108"/>
      <c r="L316" s="108"/>
      <c r="M316" s="108"/>
    </row>
    <row r="317" spans="1:13" ht="21.9" customHeight="1" x14ac:dyDescent="0.25">
      <c r="A317" s="267"/>
      <c r="B317" s="268"/>
      <c r="C317" s="214"/>
      <c r="D317" s="333"/>
      <c r="E317" s="315"/>
      <c r="H317" s="108"/>
      <c r="I317" s="107"/>
      <c r="J317" s="108"/>
      <c r="K317" s="108"/>
      <c r="L317" s="108"/>
      <c r="M317" s="108"/>
    </row>
    <row r="318" spans="1:13" ht="27.75" customHeight="1" x14ac:dyDescent="0.25">
      <c r="A318" s="1538" t="s">
        <v>944</v>
      </c>
      <c r="B318" s="1538"/>
      <c r="C318" s="1538"/>
      <c r="D318" s="1538"/>
      <c r="E318" s="1538"/>
      <c r="F318" s="1538"/>
      <c r="G318" s="1538"/>
      <c r="H318" s="108"/>
      <c r="I318" s="107"/>
      <c r="J318" s="108"/>
      <c r="K318" s="108"/>
      <c r="L318" s="108"/>
      <c r="M318" s="108"/>
    </row>
    <row r="319" spans="1:13" ht="69" customHeight="1" x14ac:dyDescent="0.25">
      <c r="A319" s="157" t="s">
        <v>1</v>
      </c>
      <c r="B319" s="157" t="s">
        <v>2</v>
      </c>
      <c r="C319" s="157" t="s">
        <v>291</v>
      </c>
      <c r="D319" s="157" t="s">
        <v>292</v>
      </c>
      <c r="E319" s="349" t="s">
        <v>293</v>
      </c>
      <c r="F319" s="157" t="s">
        <v>294</v>
      </c>
      <c r="G319" s="157" t="s">
        <v>608</v>
      </c>
      <c r="H319" s="108"/>
      <c r="I319" s="107"/>
      <c r="J319" s="108"/>
      <c r="K319" s="108"/>
      <c r="L319" s="108"/>
      <c r="M319" s="108"/>
    </row>
    <row r="320" spans="1:13" ht="21.9" customHeight="1" x14ac:dyDescent="0.25">
      <c r="A320" s="144"/>
      <c r="B320" s="166" t="s">
        <v>945</v>
      </c>
      <c r="C320" s="167">
        <v>2</v>
      </c>
      <c r="D320" s="263">
        <v>38000</v>
      </c>
      <c r="E320" s="206">
        <v>76000</v>
      </c>
      <c r="F320" s="152" t="s">
        <v>946</v>
      </c>
      <c r="G320" s="152" t="s">
        <v>369</v>
      </c>
      <c r="H320" s="108"/>
      <c r="I320" s="107"/>
      <c r="J320" s="108"/>
      <c r="K320" s="108"/>
      <c r="L320" s="108"/>
      <c r="M320" s="108"/>
    </row>
    <row r="321" spans="1:13" ht="21.9" customHeight="1" x14ac:dyDescent="0.25">
      <c r="A321" s="144"/>
      <c r="B321" s="166" t="s">
        <v>947</v>
      </c>
      <c r="C321" s="167">
        <v>1</v>
      </c>
      <c r="D321" s="263">
        <v>1200000</v>
      </c>
      <c r="E321" s="206">
        <v>1200000</v>
      </c>
      <c r="F321" s="152" t="s">
        <v>946</v>
      </c>
      <c r="G321" s="152" t="s">
        <v>369</v>
      </c>
      <c r="H321" s="108"/>
      <c r="I321" s="107"/>
      <c r="J321" s="108"/>
      <c r="K321" s="108"/>
      <c r="L321" s="108"/>
      <c r="M321" s="108"/>
    </row>
    <row r="322" spans="1:13" ht="21.9" customHeight="1" x14ac:dyDescent="0.25">
      <c r="A322" s="144"/>
      <c r="B322" s="166" t="s">
        <v>948</v>
      </c>
      <c r="C322" s="167">
        <v>100</v>
      </c>
      <c r="D322" s="263">
        <v>3300</v>
      </c>
      <c r="E322" s="206">
        <v>330000</v>
      </c>
      <c r="F322" s="152"/>
      <c r="G322" s="152" t="s">
        <v>369</v>
      </c>
      <c r="H322" s="108"/>
      <c r="I322" s="107"/>
      <c r="J322" s="108"/>
      <c r="K322" s="108"/>
      <c r="L322" s="108"/>
      <c r="M322" s="108"/>
    </row>
    <row r="323" spans="1:13" ht="21.9" customHeight="1" x14ac:dyDescent="0.25">
      <c r="A323" s="144"/>
      <c r="B323" s="166" t="s">
        <v>949</v>
      </c>
      <c r="C323" s="167">
        <v>30</v>
      </c>
      <c r="D323" s="263">
        <v>11500</v>
      </c>
      <c r="E323" s="206">
        <v>345000</v>
      </c>
      <c r="F323" s="152"/>
      <c r="G323" s="152" t="s">
        <v>369</v>
      </c>
      <c r="H323" s="108"/>
      <c r="I323" s="107"/>
      <c r="J323" s="108"/>
      <c r="K323" s="108"/>
      <c r="L323" s="108"/>
      <c r="M323" s="108"/>
    </row>
    <row r="324" spans="1:13" ht="21.9" customHeight="1" x14ac:dyDescent="0.25">
      <c r="A324" s="144"/>
      <c r="B324" s="166" t="s">
        <v>950</v>
      </c>
      <c r="C324" s="167">
        <v>2</v>
      </c>
      <c r="D324" s="263">
        <v>150000</v>
      </c>
      <c r="E324" s="206">
        <v>300000</v>
      </c>
      <c r="F324" s="152" t="s">
        <v>946</v>
      </c>
      <c r="G324" s="152" t="s">
        <v>369</v>
      </c>
      <c r="H324" s="108"/>
      <c r="I324" s="107"/>
      <c r="J324" s="108"/>
      <c r="K324" s="108"/>
      <c r="L324" s="108"/>
      <c r="M324" s="108"/>
    </row>
    <row r="325" spans="1:13" ht="21.9" customHeight="1" x14ac:dyDescent="0.25">
      <c r="A325" s="144"/>
      <c r="B325" s="166" t="s">
        <v>951</v>
      </c>
      <c r="C325" s="167">
        <v>2</v>
      </c>
      <c r="D325" s="263">
        <v>350000</v>
      </c>
      <c r="E325" s="206">
        <v>700000</v>
      </c>
      <c r="F325" s="152" t="s">
        <v>946</v>
      </c>
      <c r="G325" s="152" t="s">
        <v>369</v>
      </c>
      <c r="H325" s="108"/>
      <c r="I325" s="107"/>
      <c r="J325" s="108"/>
      <c r="K325" s="108"/>
      <c r="L325" s="108"/>
      <c r="M325" s="108"/>
    </row>
    <row r="326" spans="1:13" ht="21.9" customHeight="1" x14ac:dyDescent="0.25">
      <c r="A326" s="144"/>
      <c r="B326" s="166" t="s">
        <v>952</v>
      </c>
      <c r="C326" s="167">
        <v>17</v>
      </c>
      <c r="D326" s="263">
        <v>150000</v>
      </c>
      <c r="E326" s="206">
        <v>2550000</v>
      </c>
      <c r="F326" s="152" t="s">
        <v>946</v>
      </c>
      <c r="G326" s="152" t="s">
        <v>369</v>
      </c>
      <c r="H326" s="108"/>
      <c r="I326" s="107"/>
      <c r="J326" s="108"/>
      <c r="K326" s="108"/>
      <c r="L326" s="108"/>
      <c r="M326" s="108"/>
    </row>
    <row r="327" spans="1:13" ht="21.9" customHeight="1" x14ac:dyDescent="0.25">
      <c r="A327" s="144"/>
      <c r="B327" s="166" t="s">
        <v>953</v>
      </c>
      <c r="C327" s="167">
        <v>2</v>
      </c>
      <c r="D327" s="263">
        <v>450000</v>
      </c>
      <c r="E327" s="206">
        <v>900000</v>
      </c>
      <c r="F327" s="152" t="s">
        <v>946</v>
      </c>
      <c r="G327" s="152" t="s">
        <v>369</v>
      </c>
      <c r="H327" s="108"/>
      <c r="I327" s="107"/>
      <c r="J327" s="108"/>
      <c r="K327" s="108"/>
      <c r="L327" s="108"/>
      <c r="M327" s="108"/>
    </row>
    <row r="328" spans="1:13" ht="21.9" customHeight="1" x14ac:dyDescent="0.25">
      <c r="A328" s="144"/>
      <c r="B328" s="166" t="s">
        <v>954</v>
      </c>
      <c r="C328" s="167">
        <v>36</v>
      </c>
      <c r="D328" s="263">
        <v>100000</v>
      </c>
      <c r="E328" s="206">
        <v>3600000</v>
      </c>
      <c r="F328" s="152"/>
      <c r="G328" s="152" t="s">
        <v>369</v>
      </c>
      <c r="H328" s="108"/>
      <c r="I328" s="107"/>
      <c r="J328" s="108"/>
      <c r="K328" s="108"/>
      <c r="L328" s="108"/>
      <c r="M328" s="108"/>
    </row>
    <row r="329" spans="1:13" ht="21.9" customHeight="1" x14ac:dyDescent="0.25">
      <c r="A329" s="144"/>
      <c r="B329" s="166" t="s">
        <v>955</v>
      </c>
      <c r="C329" s="167">
        <v>1</v>
      </c>
      <c r="D329" s="263">
        <v>30000</v>
      </c>
      <c r="E329" s="206">
        <v>30000</v>
      </c>
      <c r="F329" s="152" t="s">
        <v>946</v>
      </c>
      <c r="G329" s="152" t="s">
        <v>369</v>
      </c>
      <c r="H329" s="108"/>
      <c r="I329" s="107"/>
      <c r="J329" s="108"/>
      <c r="K329" s="108"/>
      <c r="L329" s="108"/>
      <c r="M329" s="108"/>
    </row>
    <row r="330" spans="1:13" ht="21.9" customHeight="1" x14ac:dyDescent="0.25">
      <c r="A330" s="144"/>
      <c r="B330" s="166" t="s">
        <v>956</v>
      </c>
      <c r="C330" s="167">
        <v>15</v>
      </c>
      <c r="D330" s="263">
        <v>35000</v>
      </c>
      <c r="E330" s="206">
        <v>525000</v>
      </c>
      <c r="F330" s="152" t="s">
        <v>946</v>
      </c>
      <c r="G330" s="152" t="s">
        <v>369</v>
      </c>
      <c r="H330" s="108"/>
      <c r="I330" s="107"/>
      <c r="J330" s="108"/>
      <c r="K330" s="108"/>
      <c r="L330" s="108"/>
      <c r="M330" s="108"/>
    </row>
    <row r="331" spans="1:13" ht="21.9" customHeight="1" x14ac:dyDescent="0.25">
      <c r="A331" s="144"/>
      <c r="B331" s="166" t="s">
        <v>957</v>
      </c>
      <c r="C331" s="167">
        <v>3</v>
      </c>
      <c r="D331" s="263">
        <v>15000</v>
      </c>
      <c r="E331" s="206">
        <v>45000</v>
      </c>
      <c r="F331" s="152" t="s">
        <v>946</v>
      </c>
      <c r="G331" s="152" t="s">
        <v>369</v>
      </c>
      <c r="H331" s="108"/>
      <c r="I331" s="107"/>
      <c r="J331" s="108"/>
      <c r="K331" s="108"/>
      <c r="L331" s="108"/>
      <c r="M331" s="108"/>
    </row>
    <row r="332" spans="1:13" ht="21.9" customHeight="1" x14ac:dyDescent="0.25">
      <c r="A332" s="144"/>
      <c r="B332" s="166" t="s">
        <v>958</v>
      </c>
      <c r="C332" s="167">
        <v>16</v>
      </c>
      <c r="D332" s="263">
        <v>4000</v>
      </c>
      <c r="E332" s="206">
        <v>64000</v>
      </c>
      <c r="F332" s="152" t="s">
        <v>946</v>
      </c>
      <c r="G332" s="152" t="s">
        <v>369</v>
      </c>
      <c r="H332" s="108"/>
      <c r="I332" s="107"/>
      <c r="J332" s="108"/>
      <c r="K332" s="108"/>
      <c r="L332" s="108"/>
      <c r="M332" s="108"/>
    </row>
    <row r="333" spans="1:13" ht="21.9" customHeight="1" x14ac:dyDescent="0.25">
      <c r="A333" s="144"/>
      <c r="B333" s="166" t="s">
        <v>959</v>
      </c>
      <c r="C333" s="167">
        <v>11</v>
      </c>
      <c r="D333" s="263">
        <v>8000</v>
      </c>
      <c r="E333" s="206">
        <v>88000</v>
      </c>
      <c r="F333" s="152" t="s">
        <v>946</v>
      </c>
      <c r="G333" s="152" t="s">
        <v>369</v>
      </c>
      <c r="H333" s="108"/>
      <c r="I333" s="107"/>
      <c r="J333" s="108"/>
      <c r="K333" s="108"/>
      <c r="L333" s="108"/>
      <c r="M333" s="108"/>
    </row>
    <row r="334" spans="1:13" ht="21.9" customHeight="1" x14ac:dyDescent="0.25">
      <c r="A334" s="144"/>
      <c r="B334" s="166" t="s">
        <v>960</v>
      </c>
      <c r="C334" s="167">
        <v>11</v>
      </c>
      <c r="D334" s="263">
        <v>6500</v>
      </c>
      <c r="E334" s="206">
        <v>71500</v>
      </c>
      <c r="F334" s="152" t="s">
        <v>946</v>
      </c>
      <c r="G334" s="152" t="s">
        <v>369</v>
      </c>
      <c r="H334" s="108"/>
      <c r="I334" s="107"/>
      <c r="J334" s="108"/>
      <c r="K334" s="108"/>
      <c r="L334" s="108"/>
      <c r="M334" s="108"/>
    </row>
    <row r="335" spans="1:13" ht="21.9" customHeight="1" x14ac:dyDescent="0.25">
      <c r="A335" s="144"/>
      <c r="B335" s="166" t="s">
        <v>961</v>
      </c>
      <c r="C335" s="167">
        <v>9</v>
      </c>
      <c r="D335" s="263">
        <v>4000</v>
      </c>
      <c r="E335" s="206">
        <v>36000</v>
      </c>
      <c r="F335" s="152" t="s">
        <v>946</v>
      </c>
      <c r="G335" s="152" t="s">
        <v>369</v>
      </c>
      <c r="H335" s="108"/>
      <c r="I335" s="107"/>
      <c r="J335" s="108"/>
      <c r="K335" s="108"/>
      <c r="L335" s="108"/>
      <c r="M335" s="108"/>
    </row>
    <row r="336" spans="1:13" ht="21.9" customHeight="1" x14ac:dyDescent="0.25">
      <c r="A336" s="144"/>
      <c r="B336" s="166" t="s">
        <v>962</v>
      </c>
      <c r="C336" s="167">
        <v>4</v>
      </c>
      <c r="D336" s="263">
        <v>15000</v>
      </c>
      <c r="E336" s="206">
        <v>60000</v>
      </c>
      <c r="F336" s="152" t="s">
        <v>946</v>
      </c>
      <c r="G336" s="152" t="s">
        <v>369</v>
      </c>
      <c r="H336" s="108"/>
      <c r="I336" s="107"/>
      <c r="J336" s="108"/>
      <c r="K336" s="108"/>
      <c r="L336" s="108"/>
      <c r="M336" s="108"/>
    </row>
    <row r="337" spans="1:13" ht="21.9" customHeight="1" x14ac:dyDescent="0.25">
      <c r="A337" s="144"/>
      <c r="B337" s="166" t="s">
        <v>963</v>
      </c>
      <c r="C337" s="167">
        <v>5</v>
      </c>
      <c r="D337" s="263">
        <v>20000</v>
      </c>
      <c r="E337" s="206">
        <v>100000</v>
      </c>
      <c r="F337" s="152" t="s">
        <v>946</v>
      </c>
      <c r="G337" s="152" t="s">
        <v>369</v>
      </c>
      <c r="H337" s="108"/>
      <c r="I337" s="107"/>
      <c r="J337" s="108"/>
      <c r="K337" s="108"/>
      <c r="L337" s="108"/>
      <c r="M337" s="108"/>
    </row>
    <row r="338" spans="1:13" ht="21.9" customHeight="1" x14ac:dyDescent="0.25">
      <c r="A338" s="144"/>
      <c r="B338" s="166" t="s">
        <v>964</v>
      </c>
      <c r="C338" s="167">
        <v>6</v>
      </c>
      <c r="D338" s="263">
        <v>23000</v>
      </c>
      <c r="E338" s="206">
        <v>138000</v>
      </c>
      <c r="F338" s="152" t="s">
        <v>946</v>
      </c>
      <c r="G338" s="152" t="s">
        <v>369</v>
      </c>
      <c r="H338" s="108"/>
      <c r="I338" s="107"/>
      <c r="J338" s="108"/>
      <c r="K338" s="108"/>
      <c r="L338" s="108"/>
      <c r="M338" s="108"/>
    </row>
    <row r="339" spans="1:13" ht="21.9" customHeight="1" x14ac:dyDescent="0.25">
      <c r="A339" s="144"/>
      <c r="B339" s="166" t="s">
        <v>965</v>
      </c>
      <c r="C339" s="167">
        <v>5</v>
      </c>
      <c r="D339" s="263">
        <v>300</v>
      </c>
      <c r="E339" s="206">
        <v>1500</v>
      </c>
      <c r="F339" s="152" t="s">
        <v>946</v>
      </c>
      <c r="G339" s="152" t="s">
        <v>369</v>
      </c>
      <c r="H339" s="108"/>
      <c r="I339" s="107"/>
      <c r="J339" s="108"/>
      <c r="K339" s="108"/>
      <c r="L339" s="108"/>
      <c r="M339" s="108"/>
    </row>
    <row r="340" spans="1:13" ht="21.9" customHeight="1" x14ac:dyDescent="0.25">
      <c r="A340" s="144"/>
      <c r="B340" s="166" t="s">
        <v>966</v>
      </c>
      <c r="C340" s="167">
        <v>8</v>
      </c>
      <c r="D340" s="263">
        <v>25000</v>
      </c>
      <c r="E340" s="206">
        <v>200000</v>
      </c>
      <c r="F340" s="152" t="s">
        <v>946</v>
      </c>
      <c r="G340" s="152" t="s">
        <v>369</v>
      </c>
      <c r="H340" s="108"/>
      <c r="I340" s="107"/>
      <c r="J340" s="108"/>
      <c r="K340" s="108"/>
      <c r="L340" s="108"/>
      <c r="M340" s="108"/>
    </row>
    <row r="341" spans="1:13" ht="21.9" customHeight="1" x14ac:dyDescent="0.25">
      <c r="A341" s="144"/>
      <c r="B341" s="166" t="s">
        <v>967</v>
      </c>
      <c r="C341" s="167">
        <v>55</v>
      </c>
      <c r="D341" s="263">
        <v>23000</v>
      </c>
      <c r="E341" s="206">
        <v>1265000</v>
      </c>
      <c r="F341" s="152" t="s">
        <v>946</v>
      </c>
      <c r="G341" s="152" t="s">
        <v>610</v>
      </c>
      <c r="H341" s="108"/>
      <c r="I341" s="107"/>
      <c r="J341" s="108"/>
      <c r="K341" s="108"/>
      <c r="L341" s="108"/>
      <c r="M341" s="108"/>
    </row>
    <row r="342" spans="1:13" ht="21.9" customHeight="1" x14ac:dyDescent="0.25">
      <c r="A342" s="144"/>
      <c r="B342" s="166" t="s">
        <v>968</v>
      </c>
      <c r="C342" s="167">
        <v>26</v>
      </c>
      <c r="D342" s="263">
        <v>25000</v>
      </c>
      <c r="E342" s="206">
        <v>650000</v>
      </c>
      <c r="F342" s="152" t="s">
        <v>946</v>
      </c>
      <c r="G342" s="152" t="s">
        <v>610</v>
      </c>
      <c r="H342" s="108"/>
      <c r="I342" s="107"/>
      <c r="J342" s="108"/>
      <c r="K342" s="108"/>
      <c r="L342" s="108"/>
      <c r="M342" s="108"/>
    </row>
    <row r="343" spans="1:13" ht="21.9" customHeight="1" x14ac:dyDescent="0.25">
      <c r="A343" s="144"/>
      <c r="B343" s="166" t="s">
        <v>969</v>
      </c>
      <c r="C343" s="167">
        <v>7</v>
      </c>
      <c r="D343" s="263">
        <v>5000</v>
      </c>
      <c r="E343" s="206">
        <v>35000</v>
      </c>
      <c r="F343" s="152" t="s">
        <v>946</v>
      </c>
      <c r="G343" s="152" t="s">
        <v>610</v>
      </c>
      <c r="H343" s="108"/>
      <c r="I343" s="107"/>
      <c r="J343" s="108"/>
      <c r="K343" s="108"/>
      <c r="L343" s="108"/>
      <c r="M343" s="108"/>
    </row>
    <row r="344" spans="1:13" ht="21.9" customHeight="1" x14ac:dyDescent="0.25">
      <c r="A344" s="144"/>
      <c r="B344" s="166" t="s">
        <v>970</v>
      </c>
      <c r="C344" s="167">
        <v>15</v>
      </c>
      <c r="D344" s="263">
        <v>10000</v>
      </c>
      <c r="E344" s="206">
        <v>150000</v>
      </c>
      <c r="F344" s="152" t="s">
        <v>946</v>
      </c>
      <c r="G344" s="152" t="s">
        <v>610</v>
      </c>
      <c r="H344" s="108"/>
      <c r="I344" s="107"/>
      <c r="J344" s="108"/>
      <c r="K344" s="108"/>
      <c r="L344" s="108"/>
      <c r="M344" s="108"/>
    </row>
    <row r="345" spans="1:13" ht="21.9" customHeight="1" x14ac:dyDescent="0.25">
      <c r="A345" s="144"/>
      <c r="B345" s="166" t="s">
        <v>971</v>
      </c>
      <c r="C345" s="167">
        <v>14</v>
      </c>
      <c r="D345" s="263">
        <v>15000</v>
      </c>
      <c r="E345" s="206">
        <v>210000</v>
      </c>
      <c r="F345" s="152" t="s">
        <v>946</v>
      </c>
      <c r="G345" s="152" t="s">
        <v>610</v>
      </c>
      <c r="H345" s="108"/>
      <c r="I345" s="107"/>
      <c r="J345" s="108"/>
      <c r="K345" s="108"/>
      <c r="L345" s="108"/>
      <c r="M345" s="108"/>
    </row>
    <row r="346" spans="1:13" ht="21.9" customHeight="1" x14ac:dyDescent="0.25">
      <c r="A346" s="144"/>
      <c r="B346" s="166" t="s">
        <v>972</v>
      </c>
      <c r="C346" s="167">
        <v>236</v>
      </c>
      <c r="D346" s="263">
        <v>200</v>
      </c>
      <c r="E346" s="206">
        <v>47200</v>
      </c>
      <c r="F346" s="152" t="s">
        <v>946</v>
      </c>
      <c r="G346" s="152" t="s">
        <v>610</v>
      </c>
      <c r="H346" s="108"/>
      <c r="I346" s="107"/>
      <c r="J346" s="108"/>
      <c r="K346" s="108"/>
      <c r="L346" s="108"/>
      <c r="M346" s="108"/>
    </row>
    <row r="347" spans="1:13" ht="21.9" customHeight="1" x14ac:dyDescent="0.25">
      <c r="A347" s="144"/>
      <c r="B347" s="166" t="s">
        <v>973</v>
      </c>
      <c r="C347" s="167">
        <v>49</v>
      </c>
      <c r="D347" s="263">
        <v>3000</v>
      </c>
      <c r="E347" s="206">
        <v>147000</v>
      </c>
      <c r="F347" s="152" t="s">
        <v>946</v>
      </c>
      <c r="G347" s="152" t="s">
        <v>610</v>
      </c>
      <c r="H347" s="108"/>
      <c r="I347" s="107"/>
      <c r="J347" s="108"/>
      <c r="K347" s="108"/>
      <c r="L347" s="108"/>
      <c r="M347" s="108"/>
    </row>
    <row r="348" spans="1:13" ht="21.9" customHeight="1" x14ac:dyDescent="0.25">
      <c r="A348" s="144"/>
      <c r="B348" s="166" t="s">
        <v>974</v>
      </c>
      <c r="C348" s="167">
        <v>46</v>
      </c>
      <c r="D348" s="263">
        <v>1300</v>
      </c>
      <c r="E348" s="206">
        <v>59800</v>
      </c>
      <c r="F348" s="152" t="s">
        <v>946</v>
      </c>
      <c r="G348" s="152" t="s">
        <v>610</v>
      </c>
      <c r="H348" s="108"/>
      <c r="I348" s="107"/>
      <c r="J348" s="108"/>
      <c r="K348" s="108"/>
      <c r="L348" s="108"/>
      <c r="M348" s="108"/>
    </row>
    <row r="349" spans="1:13" ht="21.9" customHeight="1" x14ac:dyDescent="0.25">
      <c r="A349" s="144"/>
      <c r="B349" s="166" t="s">
        <v>377</v>
      </c>
      <c r="C349" s="167">
        <v>29</v>
      </c>
      <c r="D349" s="263">
        <v>1500</v>
      </c>
      <c r="E349" s="206">
        <v>43500</v>
      </c>
      <c r="F349" s="152" t="s">
        <v>946</v>
      </c>
      <c r="G349" s="152" t="s">
        <v>610</v>
      </c>
      <c r="H349" s="108"/>
      <c r="I349" s="107"/>
      <c r="J349" s="108"/>
      <c r="K349" s="108"/>
      <c r="L349" s="108"/>
      <c r="M349" s="108"/>
    </row>
    <row r="350" spans="1:13" ht="21.9" customHeight="1" x14ac:dyDescent="0.25">
      <c r="A350" s="144"/>
      <c r="B350" s="166" t="s">
        <v>975</v>
      </c>
      <c r="C350" s="167">
        <v>34</v>
      </c>
      <c r="D350" s="263">
        <v>2000</v>
      </c>
      <c r="E350" s="206">
        <v>68000</v>
      </c>
      <c r="F350" s="152" t="s">
        <v>946</v>
      </c>
      <c r="G350" s="152" t="s">
        <v>610</v>
      </c>
      <c r="H350" s="108"/>
      <c r="I350" s="107"/>
      <c r="J350" s="108"/>
      <c r="K350" s="108"/>
      <c r="L350" s="108"/>
      <c r="M350" s="108"/>
    </row>
    <row r="351" spans="1:13" ht="21.9" customHeight="1" x14ac:dyDescent="0.25">
      <c r="A351" s="144"/>
      <c r="B351" s="166" t="s">
        <v>976</v>
      </c>
      <c r="C351" s="167">
        <v>14</v>
      </c>
      <c r="D351" s="263">
        <v>900</v>
      </c>
      <c r="E351" s="206">
        <v>12600</v>
      </c>
      <c r="F351" s="152" t="s">
        <v>946</v>
      </c>
      <c r="G351" s="152" t="s">
        <v>610</v>
      </c>
      <c r="H351" s="108"/>
      <c r="I351" s="107"/>
      <c r="J351" s="108"/>
      <c r="K351" s="108"/>
      <c r="L351" s="108"/>
      <c r="M351" s="108"/>
    </row>
    <row r="352" spans="1:13" ht="21.9" customHeight="1" x14ac:dyDescent="0.25">
      <c r="A352" s="144"/>
      <c r="B352" s="166" t="s">
        <v>977</v>
      </c>
      <c r="C352" s="167">
        <v>14</v>
      </c>
      <c r="D352" s="263">
        <v>500</v>
      </c>
      <c r="E352" s="206">
        <v>7000</v>
      </c>
      <c r="F352" s="152" t="s">
        <v>946</v>
      </c>
      <c r="G352" s="152" t="s">
        <v>610</v>
      </c>
      <c r="H352" s="108"/>
      <c r="I352" s="107"/>
      <c r="J352" s="108"/>
      <c r="K352" s="108"/>
      <c r="L352" s="108"/>
      <c r="M352" s="108"/>
    </row>
    <row r="353" spans="1:13" ht="21.9" customHeight="1" x14ac:dyDescent="0.25">
      <c r="A353" s="144"/>
      <c r="B353" s="166" t="s">
        <v>978</v>
      </c>
      <c r="C353" s="167">
        <v>130</v>
      </c>
      <c r="D353" s="263">
        <v>850</v>
      </c>
      <c r="E353" s="206">
        <v>110500</v>
      </c>
      <c r="F353" s="152" t="s">
        <v>946</v>
      </c>
      <c r="G353" s="152" t="s">
        <v>610</v>
      </c>
      <c r="H353" s="108"/>
      <c r="I353" s="107"/>
      <c r="J353" s="108"/>
      <c r="K353" s="108"/>
      <c r="L353" s="108"/>
      <c r="M353" s="108"/>
    </row>
    <row r="354" spans="1:13" ht="21.9" customHeight="1" x14ac:dyDescent="0.25">
      <c r="A354" s="144"/>
      <c r="B354" s="166" t="s">
        <v>979</v>
      </c>
      <c r="C354" s="167">
        <v>110</v>
      </c>
      <c r="D354" s="263">
        <v>800</v>
      </c>
      <c r="E354" s="206">
        <v>88000</v>
      </c>
      <c r="F354" s="152" t="s">
        <v>946</v>
      </c>
      <c r="G354" s="152" t="s">
        <v>610</v>
      </c>
      <c r="H354" s="108"/>
      <c r="I354" s="107"/>
      <c r="J354" s="108"/>
      <c r="K354" s="108"/>
      <c r="L354" s="108"/>
      <c r="M354" s="108"/>
    </row>
    <row r="355" spans="1:13" ht="21.9" customHeight="1" x14ac:dyDescent="0.25">
      <c r="A355" s="144"/>
      <c r="B355" s="166" t="s">
        <v>980</v>
      </c>
      <c r="C355" s="167">
        <v>14</v>
      </c>
      <c r="D355" s="263">
        <v>16000</v>
      </c>
      <c r="E355" s="206">
        <v>224000</v>
      </c>
      <c r="F355" s="152" t="s">
        <v>946</v>
      </c>
      <c r="G355" s="152" t="s">
        <v>610</v>
      </c>
      <c r="H355" s="108"/>
      <c r="I355" s="107"/>
      <c r="J355" s="108"/>
      <c r="K355" s="108"/>
      <c r="L355" s="108"/>
      <c r="M355" s="108"/>
    </row>
    <row r="356" spans="1:13" ht="21.9" customHeight="1" x14ac:dyDescent="0.25">
      <c r="A356" s="144"/>
      <c r="B356" s="166" t="s">
        <v>981</v>
      </c>
      <c r="C356" s="167">
        <v>100</v>
      </c>
      <c r="D356" s="263">
        <v>1300</v>
      </c>
      <c r="E356" s="206">
        <v>130000</v>
      </c>
      <c r="F356" s="152" t="s">
        <v>946</v>
      </c>
      <c r="G356" s="152" t="s">
        <v>610</v>
      </c>
      <c r="H356" s="108"/>
      <c r="I356" s="107"/>
      <c r="J356" s="108"/>
      <c r="K356" s="108"/>
      <c r="L356" s="108"/>
      <c r="M356" s="108"/>
    </row>
    <row r="357" spans="1:13" ht="21.9" customHeight="1" x14ac:dyDescent="0.25">
      <c r="A357" s="144"/>
      <c r="B357" s="166" t="s">
        <v>982</v>
      </c>
      <c r="C357" s="167">
        <v>39</v>
      </c>
      <c r="D357" s="263">
        <v>7500</v>
      </c>
      <c r="E357" s="206">
        <v>292500</v>
      </c>
      <c r="F357" s="152" t="s">
        <v>946</v>
      </c>
      <c r="G357" s="152" t="s">
        <v>609</v>
      </c>
      <c r="H357" s="108"/>
      <c r="I357" s="107"/>
      <c r="J357" s="108"/>
      <c r="K357" s="108"/>
      <c r="L357" s="108"/>
      <c r="M357" s="108"/>
    </row>
    <row r="358" spans="1:13" ht="21.9" customHeight="1" x14ac:dyDescent="0.25">
      <c r="A358" s="144"/>
      <c r="B358" s="166" t="s">
        <v>752</v>
      </c>
      <c r="C358" s="167">
        <v>13</v>
      </c>
      <c r="D358" s="263">
        <v>1500</v>
      </c>
      <c r="E358" s="206">
        <v>19500</v>
      </c>
      <c r="F358" s="152" t="s">
        <v>946</v>
      </c>
      <c r="G358" s="152" t="s">
        <v>609</v>
      </c>
      <c r="H358" s="108"/>
      <c r="I358" s="107"/>
      <c r="J358" s="108"/>
      <c r="K358" s="108"/>
      <c r="L358" s="108"/>
      <c r="M358" s="108"/>
    </row>
    <row r="359" spans="1:13" ht="21.9" customHeight="1" x14ac:dyDescent="0.25">
      <c r="A359" s="144"/>
      <c r="B359" s="166" t="s">
        <v>983</v>
      </c>
      <c r="C359" s="167">
        <v>21</v>
      </c>
      <c r="D359" s="263">
        <v>40000</v>
      </c>
      <c r="E359" s="206">
        <v>840000</v>
      </c>
      <c r="F359" s="152" t="s">
        <v>946</v>
      </c>
      <c r="G359" s="152" t="s">
        <v>609</v>
      </c>
      <c r="H359" s="108"/>
      <c r="I359" s="107"/>
      <c r="J359" s="108"/>
      <c r="K359" s="108"/>
      <c r="L359" s="108"/>
      <c r="M359" s="108"/>
    </row>
    <row r="360" spans="1:13" ht="21.9" customHeight="1" x14ac:dyDescent="0.25">
      <c r="A360" s="144"/>
      <c r="B360" s="166" t="s">
        <v>984</v>
      </c>
      <c r="C360" s="167">
        <v>194</v>
      </c>
      <c r="D360" s="263">
        <v>100</v>
      </c>
      <c r="E360" s="206">
        <v>19400</v>
      </c>
      <c r="F360" s="152" t="s">
        <v>946</v>
      </c>
      <c r="G360" s="152" t="s">
        <v>609</v>
      </c>
      <c r="H360" s="108"/>
      <c r="I360" s="107"/>
      <c r="J360" s="108"/>
      <c r="K360" s="108"/>
      <c r="L360" s="108"/>
      <c r="M360" s="108"/>
    </row>
    <row r="361" spans="1:13" ht="21.9" customHeight="1" x14ac:dyDescent="0.25">
      <c r="A361" s="144"/>
      <c r="B361" s="166" t="s">
        <v>985</v>
      </c>
      <c r="C361" s="167">
        <v>200</v>
      </c>
      <c r="D361" s="263">
        <v>50</v>
      </c>
      <c r="E361" s="206">
        <v>10000</v>
      </c>
      <c r="F361" s="152" t="s">
        <v>946</v>
      </c>
      <c r="G361" s="152" t="s">
        <v>609</v>
      </c>
      <c r="H361" s="108"/>
      <c r="I361" s="107"/>
      <c r="J361" s="108"/>
      <c r="K361" s="108"/>
      <c r="L361" s="108"/>
      <c r="M361" s="108"/>
    </row>
    <row r="362" spans="1:13" ht="21.9" customHeight="1" x14ac:dyDescent="0.25">
      <c r="A362" s="144"/>
      <c r="B362" s="166" t="s">
        <v>986</v>
      </c>
      <c r="C362" s="167">
        <v>84</v>
      </c>
      <c r="D362" s="263">
        <v>3000</v>
      </c>
      <c r="E362" s="206">
        <v>252000</v>
      </c>
      <c r="F362" s="152" t="s">
        <v>946</v>
      </c>
      <c r="G362" s="152" t="s">
        <v>609</v>
      </c>
      <c r="H362" s="108"/>
      <c r="I362" s="107"/>
      <c r="J362" s="108"/>
      <c r="K362" s="108"/>
      <c r="L362" s="108"/>
      <c r="M362" s="108"/>
    </row>
    <row r="363" spans="1:13" ht="21.9" customHeight="1" x14ac:dyDescent="0.25">
      <c r="A363" s="144"/>
      <c r="B363" s="166" t="s">
        <v>987</v>
      </c>
      <c r="C363" s="167">
        <v>59</v>
      </c>
      <c r="D363" s="263">
        <v>400</v>
      </c>
      <c r="E363" s="206">
        <v>23600</v>
      </c>
      <c r="F363" s="152" t="s">
        <v>946</v>
      </c>
      <c r="G363" s="152" t="s">
        <v>609</v>
      </c>
      <c r="H363" s="108"/>
      <c r="I363" s="107"/>
      <c r="J363" s="108"/>
      <c r="K363" s="108"/>
      <c r="L363" s="108"/>
      <c r="M363" s="108"/>
    </row>
    <row r="364" spans="1:13" ht="21.9" customHeight="1" x14ac:dyDescent="0.25">
      <c r="A364" s="144"/>
      <c r="B364" s="166" t="s">
        <v>988</v>
      </c>
      <c r="C364" s="167">
        <v>59</v>
      </c>
      <c r="D364" s="263">
        <v>750</v>
      </c>
      <c r="E364" s="206">
        <v>44250</v>
      </c>
      <c r="F364" s="152" t="s">
        <v>946</v>
      </c>
      <c r="G364" s="152" t="s">
        <v>609</v>
      </c>
      <c r="H364" s="108"/>
      <c r="I364" s="107"/>
      <c r="J364" s="108"/>
      <c r="K364" s="108"/>
      <c r="L364" s="108"/>
      <c r="M364" s="108"/>
    </row>
    <row r="365" spans="1:13" ht="21.9" customHeight="1" x14ac:dyDescent="0.25">
      <c r="A365" s="144"/>
      <c r="B365" s="166" t="s">
        <v>989</v>
      </c>
      <c r="C365" s="167">
        <v>5</v>
      </c>
      <c r="D365" s="263">
        <v>6000</v>
      </c>
      <c r="E365" s="206">
        <v>30000</v>
      </c>
      <c r="F365" s="152" t="s">
        <v>946</v>
      </c>
      <c r="G365" s="152" t="s">
        <v>609</v>
      </c>
      <c r="H365" s="108"/>
      <c r="I365" s="107"/>
      <c r="J365" s="108"/>
      <c r="K365" s="108"/>
      <c r="L365" s="108"/>
      <c r="M365" s="108"/>
    </row>
    <row r="366" spans="1:13" ht="21.9" customHeight="1" x14ac:dyDescent="0.25">
      <c r="A366" s="144"/>
      <c r="B366" s="166" t="s">
        <v>990</v>
      </c>
      <c r="C366" s="167">
        <v>5</v>
      </c>
      <c r="D366" s="263">
        <v>9000</v>
      </c>
      <c r="E366" s="206">
        <v>45000</v>
      </c>
      <c r="F366" s="152" t="s">
        <v>946</v>
      </c>
      <c r="G366" s="152" t="s">
        <v>609</v>
      </c>
      <c r="H366" s="108"/>
      <c r="I366" s="107"/>
      <c r="J366" s="108"/>
      <c r="K366" s="108"/>
      <c r="L366" s="108"/>
      <c r="M366" s="108"/>
    </row>
    <row r="367" spans="1:13" ht="21.9" customHeight="1" x14ac:dyDescent="0.25">
      <c r="A367" s="144"/>
      <c r="B367" s="166" t="s">
        <v>991</v>
      </c>
      <c r="C367" s="167">
        <v>5</v>
      </c>
      <c r="D367" s="263">
        <v>2000</v>
      </c>
      <c r="E367" s="206">
        <v>10000</v>
      </c>
      <c r="F367" s="152" t="s">
        <v>946</v>
      </c>
      <c r="G367" s="152" t="s">
        <v>609</v>
      </c>
      <c r="H367" s="108"/>
      <c r="I367" s="107"/>
      <c r="J367" s="108"/>
      <c r="K367" s="108"/>
      <c r="L367" s="108"/>
      <c r="M367" s="108"/>
    </row>
    <row r="368" spans="1:13" ht="21.9" customHeight="1" x14ac:dyDescent="0.25">
      <c r="A368" s="144"/>
      <c r="B368" s="166" t="s">
        <v>992</v>
      </c>
      <c r="C368" s="167">
        <v>12</v>
      </c>
      <c r="D368" s="263">
        <v>3300</v>
      </c>
      <c r="E368" s="206">
        <v>39600</v>
      </c>
      <c r="F368" s="152" t="s">
        <v>946</v>
      </c>
      <c r="G368" s="152" t="s">
        <v>609</v>
      </c>
      <c r="H368" s="108"/>
      <c r="I368" s="107"/>
      <c r="J368" s="108"/>
      <c r="K368" s="108"/>
      <c r="L368" s="108"/>
      <c r="M368" s="108"/>
    </row>
    <row r="369" spans="1:13" ht="21.9" customHeight="1" x14ac:dyDescent="0.25">
      <c r="A369" s="144"/>
      <c r="B369" s="166" t="s">
        <v>993</v>
      </c>
      <c r="C369" s="167">
        <v>13</v>
      </c>
      <c r="D369" s="263">
        <v>1000</v>
      </c>
      <c r="E369" s="206">
        <v>13000</v>
      </c>
      <c r="F369" s="152" t="s">
        <v>946</v>
      </c>
      <c r="G369" s="152" t="s">
        <v>609</v>
      </c>
      <c r="H369" s="108"/>
      <c r="I369" s="107"/>
      <c r="J369" s="108"/>
      <c r="K369" s="108"/>
      <c r="L369" s="108"/>
      <c r="M369" s="108"/>
    </row>
    <row r="370" spans="1:13" ht="21.9" customHeight="1" x14ac:dyDescent="0.25">
      <c r="A370" s="144"/>
      <c r="B370" s="166" t="s">
        <v>994</v>
      </c>
      <c r="C370" s="167">
        <v>5</v>
      </c>
      <c r="D370" s="263">
        <v>290</v>
      </c>
      <c r="E370" s="206">
        <v>1450</v>
      </c>
      <c r="F370" s="152" t="s">
        <v>946</v>
      </c>
      <c r="G370" s="152" t="s">
        <v>609</v>
      </c>
      <c r="H370" s="108"/>
      <c r="I370" s="107"/>
      <c r="J370" s="108"/>
      <c r="K370" s="108"/>
      <c r="L370" s="108"/>
      <c r="M370" s="108"/>
    </row>
    <row r="371" spans="1:13" ht="21.9" customHeight="1" x14ac:dyDescent="0.25">
      <c r="A371" s="144"/>
      <c r="B371" s="166" t="s">
        <v>995</v>
      </c>
      <c r="C371" s="167">
        <v>100</v>
      </c>
      <c r="D371" s="263">
        <v>500</v>
      </c>
      <c r="E371" s="206">
        <v>50000</v>
      </c>
      <c r="F371" s="152" t="s">
        <v>946</v>
      </c>
      <c r="G371" s="152" t="s">
        <v>609</v>
      </c>
      <c r="H371" s="108"/>
      <c r="I371" s="107"/>
      <c r="J371" s="108"/>
      <c r="K371" s="108"/>
      <c r="L371" s="108"/>
      <c r="M371" s="108"/>
    </row>
    <row r="372" spans="1:13" ht="21.9" customHeight="1" x14ac:dyDescent="0.25">
      <c r="A372" s="144"/>
      <c r="B372" s="166" t="s">
        <v>996</v>
      </c>
      <c r="C372" s="167">
        <v>30</v>
      </c>
      <c r="D372" s="263">
        <v>70</v>
      </c>
      <c r="E372" s="206">
        <v>2100</v>
      </c>
      <c r="F372" s="152" t="s">
        <v>946</v>
      </c>
      <c r="G372" s="152" t="s">
        <v>609</v>
      </c>
      <c r="H372" s="108"/>
      <c r="I372" s="107"/>
      <c r="J372" s="108"/>
      <c r="K372" s="108"/>
      <c r="L372" s="108"/>
      <c r="M372" s="108"/>
    </row>
    <row r="373" spans="1:13" ht="21.9" customHeight="1" x14ac:dyDescent="0.25">
      <c r="A373" s="144"/>
      <c r="B373" s="166" t="s">
        <v>997</v>
      </c>
      <c r="C373" s="167">
        <v>46</v>
      </c>
      <c r="D373" s="263">
        <v>1048.5999999999999</v>
      </c>
      <c r="E373" s="206">
        <v>48235.6</v>
      </c>
      <c r="F373" s="152" t="s">
        <v>946</v>
      </c>
      <c r="G373" s="152" t="s">
        <v>609</v>
      </c>
      <c r="H373" s="108"/>
      <c r="I373" s="107"/>
      <c r="J373" s="108"/>
      <c r="K373" s="108"/>
      <c r="L373" s="108"/>
      <c r="M373" s="108"/>
    </row>
    <row r="374" spans="1:13" ht="21.9" customHeight="1" x14ac:dyDescent="0.25">
      <c r="A374" s="144"/>
      <c r="B374" s="166" t="s">
        <v>998</v>
      </c>
      <c r="C374" s="167">
        <v>46</v>
      </c>
      <c r="D374" s="263">
        <v>20000</v>
      </c>
      <c r="E374" s="206">
        <v>920000</v>
      </c>
      <c r="F374" s="152" t="s">
        <v>946</v>
      </c>
      <c r="G374" s="152" t="s">
        <v>609</v>
      </c>
      <c r="H374" s="108"/>
      <c r="I374" s="107"/>
      <c r="J374" s="108"/>
      <c r="K374" s="108"/>
      <c r="L374" s="108"/>
      <c r="M374" s="108"/>
    </row>
    <row r="375" spans="1:13" ht="21.9" customHeight="1" x14ac:dyDescent="0.25">
      <c r="A375" s="144"/>
      <c r="B375" s="166" t="s">
        <v>370</v>
      </c>
      <c r="C375" s="167">
        <v>46</v>
      </c>
      <c r="D375" s="263">
        <v>3000</v>
      </c>
      <c r="E375" s="206">
        <v>138000</v>
      </c>
      <c r="F375" s="152" t="s">
        <v>946</v>
      </c>
      <c r="G375" s="152" t="s">
        <v>609</v>
      </c>
      <c r="H375" s="108"/>
      <c r="I375" s="107"/>
      <c r="J375" s="108"/>
      <c r="K375" s="108"/>
      <c r="L375" s="108"/>
      <c r="M375" s="108"/>
    </row>
    <row r="376" spans="1:13" ht="21.9" customHeight="1" x14ac:dyDescent="0.25">
      <c r="A376" s="144"/>
      <c r="B376" s="166" t="s">
        <v>999</v>
      </c>
      <c r="C376" s="167">
        <v>46</v>
      </c>
      <c r="D376" s="263">
        <v>1059.3</v>
      </c>
      <c r="E376" s="206">
        <v>48727.799999999996</v>
      </c>
      <c r="F376" s="152" t="s">
        <v>946</v>
      </c>
      <c r="G376" s="152" t="s">
        <v>609</v>
      </c>
      <c r="H376" s="108"/>
      <c r="I376" s="107"/>
      <c r="J376" s="108"/>
      <c r="K376" s="108"/>
      <c r="L376" s="108"/>
      <c r="M376" s="108"/>
    </row>
    <row r="377" spans="1:13" ht="21.9" customHeight="1" x14ac:dyDescent="0.25">
      <c r="A377" s="144"/>
      <c r="B377" s="166" t="s">
        <v>1000</v>
      </c>
      <c r="C377" s="167">
        <v>46</v>
      </c>
      <c r="D377" s="263">
        <v>2500</v>
      </c>
      <c r="E377" s="206">
        <v>115000</v>
      </c>
      <c r="F377" s="152" t="s">
        <v>946</v>
      </c>
      <c r="G377" s="152" t="s">
        <v>609</v>
      </c>
      <c r="H377" s="108"/>
      <c r="I377" s="107"/>
      <c r="J377" s="108"/>
      <c r="K377" s="108"/>
      <c r="L377" s="108"/>
      <c r="M377" s="108"/>
    </row>
    <row r="378" spans="1:13" ht="21.9" customHeight="1" x14ac:dyDescent="0.25">
      <c r="A378" s="144"/>
      <c r="B378" s="166" t="s">
        <v>1001</v>
      </c>
      <c r="C378" s="167">
        <v>46</v>
      </c>
      <c r="D378" s="263">
        <v>3000</v>
      </c>
      <c r="E378" s="206">
        <v>138000</v>
      </c>
      <c r="F378" s="152" t="s">
        <v>946</v>
      </c>
      <c r="G378" s="152" t="s">
        <v>609</v>
      </c>
      <c r="H378" s="108"/>
      <c r="I378" s="107"/>
      <c r="J378" s="108"/>
      <c r="K378" s="108"/>
      <c r="L378" s="108"/>
      <c r="M378" s="108"/>
    </row>
    <row r="379" spans="1:13" ht="21.9" customHeight="1" x14ac:dyDescent="0.25">
      <c r="A379" s="144"/>
      <c r="B379" s="166" t="s">
        <v>1002</v>
      </c>
      <c r="C379" s="167">
        <v>46</v>
      </c>
      <c r="D379" s="263">
        <v>6000</v>
      </c>
      <c r="E379" s="206">
        <v>276000</v>
      </c>
      <c r="F379" s="152" t="s">
        <v>946</v>
      </c>
      <c r="G379" s="152" t="s">
        <v>609</v>
      </c>
      <c r="H379" s="108"/>
      <c r="I379" s="107"/>
      <c r="J379" s="108"/>
      <c r="K379" s="108"/>
      <c r="L379" s="108"/>
      <c r="M379" s="108"/>
    </row>
    <row r="380" spans="1:13" ht="21.9" customHeight="1" x14ac:dyDescent="0.25">
      <c r="A380" s="144"/>
      <c r="B380" s="166" t="s">
        <v>1003</v>
      </c>
      <c r="C380" s="167">
        <v>46</v>
      </c>
      <c r="D380" s="263">
        <v>4066</v>
      </c>
      <c r="E380" s="206">
        <v>187036</v>
      </c>
      <c r="F380" s="152" t="s">
        <v>946</v>
      </c>
      <c r="G380" s="152" t="s">
        <v>609</v>
      </c>
      <c r="H380" s="108"/>
      <c r="I380" s="107"/>
      <c r="J380" s="108"/>
      <c r="K380" s="108"/>
      <c r="L380" s="108"/>
      <c r="M380" s="108"/>
    </row>
    <row r="381" spans="1:13" ht="21.9" customHeight="1" x14ac:dyDescent="0.25">
      <c r="A381" s="144"/>
      <c r="B381" s="166" t="s">
        <v>1004</v>
      </c>
      <c r="C381" s="167">
        <v>92</v>
      </c>
      <c r="D381" s="263">
        <v>130</v>
      </c>
      <c r="E381" s="206">
        <v>11960</v>
      </c>
      <c r="F381" s="152" t="s">
        <v>946</v>
      </c>
      <c r="G381" s="152" t="s">
        <v>609</v>
      </c>
      <c r="H381" s="108"/>
      <c r="I381" s="107"/>
      <c r="J381" s="108"/>
      <c r="K381" s="108"/>
      <c r="L381" s="108"/>
      <c r="M381" s="108"/>
    </row>
    <row r="382" spans="1:13" ht="21.9" customHeight="1" x14ac:dyDescent="0.25">
      <c r="A382" s="144"/>
      <c r="B382" s="166" t="s">
        <v>1005</v>
      </c>
      <c r="C382" s="167">
        <v>92</v>
      </c>
      <c r="D382" s="263">
        <v>150</v>
      </c>
      <c r="E382" s="206">
        <v>13800</v>
      </c>
      <c r="F382" s="152" t="s">
        <v>946</v>
      </c>
      <c r="G382" s="152" t="s">
        <v>609</v>
      </c>
      <c r="H382" s="108"/>
      <c r="I382" s="107"/>
      <c r="J382" s="108"/>
      <c r="K382" s="108"/>
      <c r="L382" s="108"/>
      <c r="M382" s="108"/>
    </row>
    <row r="383" spans="1:13" ht="21.9" customHeight="1" x14ac:dyDescent="0.25">
      <c r="A383" s="144"/>
      <c r="B383" s="166" t="s">
        <v>1006</v>
      </c>
      <c r="C383" s="167">
        <v>92</v>
      </c>
      <c r="D383" s="263">
        <v>36</v>
      </c>
      <c r="E383" s="206">
        <v>3312</v>
      </c>
      <c r="F383" s="152" t="s">
        <v>946</v>
      </c>
      <c r="G383" s="152" t="s">
        <v>609</v>
      </c>
      <c r="H383" s="108"/>
      <c r="I383" s="107"/>
      <c r="J383" s="108"/>
      <c r="K383" s="108"/>
      <c r="L383" s="108"/>
      <c r="M383" s="108"/>
    </row>
    <row r="384" spans="1:13" ht="21.9" customHeight="1" x14ac:dyDescent="0.25">
      <c r="A384" s="144"/>
      <c r="B384" s="166" t="s">
        <v>1007</v>
      </c>
      <c r="C384" s="167">
        <v>92</v>
      </c>
      <c r="D384" s="263">
        <v>206</v>
      </c>
      <c r="E384" s="206">
        <v>18952</v>
      </c>
      <c r="F384" s="152" t="s">
        <v>946</v>
      </c>
      <c r="G384" s="152" t="s">
        <v>609</v>
      </c>
      <c r="H384" s="108"/>
      <c r="I384" s="107"/>
      <c r="J384" s="108"/>
      <c r="K384" s="108"/>
      <c r="L384" s="108"/>
      <c r="M384" s="108"/>
    </row>
    <row r="385" spans="1:13" ht="21.9" customHeight="1" x14ac:dyDescent="0.25">
      <c r="A385" s="144"/>
      <c r="B385" s="166" t="s">
        <v>1008</v>
      </c>
      <c r="C385" s="167">
        <v>92</v>
      </c>
      <c r="D385" s="263">
        <v>50</v>
      </c>
      <c r="E385" s="206">
        <v>4600</v>
      </c>
      <c r="F385" s="152" t="s">
        <v>946</v>
      </c>
      <c r="G385" s="152" t="s">
        <v>609</v>
      </c>
      <c r="H385" s="108"/>
      <c r="I385" s="107"/>
      <c r="J385" s="108"/>
      <c r="K385" s="108"/>
      <c r="L385" s="108"/>
      <c r="M385" s="108"/>
    </row>
    <row r="386" spans="1:13" ht="21.9" customHeight="1" x14ac:dyDescent="0.25">
      <c r="A386" s="144"/>
      <c r="B386" s="166" t="s">
        <v>1009</v>
      </c>
      <c r="C386" s="167">
        <v>92</v>
      </c>
      <c r="D386" s="263">
        <v>4</v>
      </c>
      <c r="E386" s="206">
        <v>368</v>
      </c>
      <c r="F386" s="152" t="s">
        <v>946</v>
      </c>
      <c r="G386" s="152" t="s">
        <v>609</v>
      </c>
      <c r="H386" s="108"/>
      <c r="I386" s="107"/>
      <c r="J386" s="108"/>
      <c r="K386" s="108"/>
      <c r="L386" s="108"/>
      <c r="M386" s="108"/>
    </row>
    <row r="387" spans="1:13" ht="21.9" customHeight="1" x14ac:dyDescent="0.25">
      <c r="A387" s="144"/>
      <c r="B387" s="166" t="s">
        <v>1010</v>
      </c>
      <c r="C387" s="167">
        <v>46</v>
      </c>
      <c r="D387" s="263">
        <v>100</v>
      </c>
      <c r="E387" s="206">
        <v>4600</v>
      </c>
      <c r="F387" s="152" t="s">
        <v>946</v>
      </c>
      <c r="G387" s="152" t="s">
        <v>609</v>
      </c>
      <c r="H387" s="108"/>
      <c r="I387" s="107"/>
      <c r="J387" s="108"/>
      <c r="K387" s="108"/>
      <c r="L387" s="108"/>
      <c r="M387" s="108"/>
    </row>
    <row r="388" spans="1:13" ht="21.9" customHeight="1" x14ac:dyDescent="0.25">
      <c r="A388" s="144"/>
      <c r="B388" s="166" t="s">
        <v>984</v>
      </c>
      <c r="C388" s="167">
        <v>46</v>
      </c>
      <c r="D388" s="263">
        <v>100</v>
      </c>
      <c r="E388" s="206">
        <v>4600</v>
      </c>
      <c r="F388" s="152" t="s">
        <v>946</v>
      </c>
      <c r="G388" s="152" t="s">
        <v>609</v>
      </c>
      <c r="H388" s="108"/>
      <c r="I388" s="107"/>
      <c r="J388" s="108"/>
      <c r="K388" s="108"/>
      <c r="L388" s="108"/>
      <c r="M388" s="108"/>
    </row>
    <row r="389" spans="1:13" ht="21.9" customHeight="1" x14ac:dyDescent="0.25">
      <c r="A389" s="144"/>
      <c r="B389" s="166" t="s">
        <v>1011</v>
      </c>
      <c r="C389" s="167">
        <v>46</v>
      </c>
      <c r="D389" s="263">
        <v>290</v>
      </c>
      <c r="E389" s="206">
        <v>13340</v>
      </c>
      <c r="F389" s="152" t="s">
        <v>946</v>
      </c>
      <c r="G389" s="152" t="s">
        <v>609</v>
      </c>
      <c r="H389" s="108"/>
      <c r="I389" s="107"/>
      <c r="J389" s="108"/>
      <c r="K389" s="108"/>
      <c r="L389" s="108"/>
      <c r="M389" s="108"/>
    </row>
    <row r="390" spans="1:13" ht="21.9" customHeight="1" x14ac:dyDescent="0.25">
      <c r="A390" s="144"/>
      <c r="B390" s="166" t="s">
        <v>1012</v>
      </c>
      <c r="C390" s="167">
        <v>46</v>
      </c>
      <c r="D390" s="263">
        <v>500</v>
      </c>
      <c r="E390" s="206">
        <v>23000</v>
      </c>
      <c r="F390" s="152" t="s">
        <v>946</v>
      </c>
      <c r="G390" s="152" t="s">
        <v>609</v>
      </c>
      <c r="H390" s="108"/>
      <c r="I390" s="107"/>
      <c r="J390" s="108"/>
      <c r="K390" s="108"/>
      <c r="L390" s="108"/>
      <c r="M390" s="108"/>
    </row>
    <row r="391" spans="1:13" ht="21.9" customHeight="1" x14ac:dyDescent="0.25">
      <c r="A391" s="144"/>
      <c r="B391" s="166" t="s">
        <v>1013</v>
      </c>
      <c r="C391" s="167">
        <v>46</v>
      </c>
      <c r="D391" s="263">
        <v>200</v>
      </c>
      <c r="E391" s="206">
        <v>9200</v>
      </c>
      <c r="F391" s="152" t="s">
        <v>946</v>
      </c>
      <c r="G391" s="152" t="s">
        <v>609</v>
      </c>
      <c r="H391" s="108"/>
      <c r="I391" s="107"/>
      <c r="J391" s="108"/>
      <c r="K391" s="108"/>
      <c r="L391" s="108"/>
      <c r="M391" s="108"/>
    </row>
    <row r="392" spans="1:13" ht="21.9" customHeight="1" x14ac:dyDescent="0.25">
      <c r="A392" s="144"/>
      <c r="B392" s="166" t="s">
        <v>1014</v>
      </c>
      <c r="C392" s="167">
        <v>46</v>
      </c>
      <c r="D392" s="263">
        <v>900</v>
      </c>
      <c r="E392" s="206">
        <v>41400</v>
      </c>
      <c r="F392" s="152" t="s">
        <v>946</v>
      </c>
      <c r="G392" s="152" t="s">
        <v>609</v>
      </c>
      <c r="H392" s="108"/>
      <c r="I392" s="107"/>
      <c r="J392" s="108"/>
      <c r="K392" s="108"/>
      <c r="L392" s="108"/>
      <c r="M392" s="108"/>
    </row>
    <row r="393" spans="1:13" ht="21.9" customHeight="1" x14ac:dyDescent="0.25">
      <c r="A393" s="144"/>
      <c r="B393" s="166" t="s">
        <v>1015</v>
      </c>
      <c r="C393" s="167">
        <v>46</v>
      </c>
      <c r="D393" s="263">
        <v>70</v>
      </c>
      <c r="E393" s="206">
        <v>3220</v>
      </c>
      <c r="F393" s="152" t="s">
        <v>946</v>
      </c>
      <c r="G393" s="152" t="s">
        <v>609</v>
      </c>
      <c r="H393" s="108"/>
      <c r="I393" s="107"/>
      <c r="J393" s="108"/>
      <c r="K393" s="108"/>
      <c r="L393" s="108"/>
      <c r="M393" s="108"/>
    </row>
    <row r="394" spans="1:13" ht="21.9" customHeight="1" x14ac:dyDescent="0.25">
      <c r="A394" s="144"/>
      <c r="B394" s="166" t="s">
        <v>1016</v>
      </c>
      <c r="C394" s="167">
        <v>46</v>
      </c>
      <c r="D394" s="263">
        <v>600</v>
      </c>
      <c r="E394" s="206">
        <v>27600</v>
      </c>
      <c r="F394" s="152" t="s">
        <v>946</v>
      </c>
      <c r="G394" s="152" t="s">
        <v>609</v>
      </c>
      <c r="H394" s="108"/>
      <c r="I394" s="107"/>
      <c r="J394" s="108"/>
      <c r="K394" s="108"/>
      <c r="L394" s="108"/>
      <c r="M394" s="108"/>
    </row>
    <row r="395" spans="1:13" ht="21.9" customHeight="1" x14ac:dyDescent="0.25">
      <c r="A395" s="144"/>
      <c r="B395" s="166" t="s">
        <v>1017</v>
      </c>
      <c r="C395" s="167">
        <v>184</v>
      </c>
      <c r="D395" s="263">
        <v>68</v>
      </c>
      <c r="E395" s="206">
        <v>12512</v>
      </c>
      <c r="F395" s="152" t="s">
        <v>946</v>
      </c>
      <c r="G395" s="152" t="s">
        <v>609</v>
      </c>
      <c r="H395" s="108"/>
      <c r="I395" s="107"/>
      <c r="J395" s="108"/>
      <c r="K395" s="108"/>
      <c r="L395" s="108"/>
      <c r="M395" s="108"/>
    </row>
    <row r="396" spans="1:13" ht="21.9" customHeight="1" x14ac:dyDescent="0.25">
      <c r="A396" s="144"/>
      <c r="B396" s="166" t="s">
        <v>1018</v>
      </c>
      <c r="C396" s="167">
        <v>184</v>
      </c>
      <c r="D396" s="263">
        <v>244</v>
      </c>
      <c r="E396" s="206">
        <v>44896</v>
      </c>
      <c r="F396" s="152" t="s">
        <v>946</v>
      </c>
      <c r="G396" s="152" t="s">
        <v>609</v>
      </c>
      <c r="H396" s="108"/>
      <c r="I396" s="107"/>
      <c r="J396" s="108"/>
      <c r="K396" s="108"/>
      <c r="L396" s="108"/>
      <c r="M396" s="108"/>
    </row>
    <row r="397" spans="1:13" ht="21.9" customHeight="1" x14ac:dyDescent="0.25">
      <c r="A397" s="144"/>
      <c r="B397" s="166" t="s">
        <v>1019</v>
      </c>
      <c r="C397" s="167">
        <v>184</v>
      </c>
      <c r="D397" s="263">
        <v>802.5</v>
      </c>
      <c r="E397" s="206">
        <v>147660</v>
      </c>
      <c r="F397" s="152" t="s">
        <v>946</v>
      </c>
      <c r="G397" s="152" t="s">
        <v>609</v>
      </c>
      <c r="H397" s="108"/>
      <c r="I397" s="107"/>
      <c r="J397" s="108"/>
      <c r="K397" s="108"/>
      <c r="L397" s="108"/>
      <c r="M397" s="108"/>
    </row>
    <row r="398" spans="1:13" ht="21.9" customHeight="1" x14ac:dyDescent="0.25">
      <c r="A398" s="144"/>
      <c r="B398" s="166" t="s">
        <v>1020</v>
      </c>
      <c r="C398" s="167">
        <v>92</v>
      </c>
      <c r="D398" s="263">
        <v>406.6</v>
      </c>
      <c r="E398" s="206">
        <v>37407.200000000004</v>
      </c>
      <c r="F398" s="152" t="s">
        <v>946</v>
      </c>
      <c r="G398" s="152" t="s">
        <v>609</v>
      </c>
      <c r="H398" s="108"/>
      <c r="I398" s="107"/>
      <c r="J398" s="108"/>
      <c r="K398" s="108"/>
      <c r="L398" s="108"/>
      <c r="M398" s="108"/>
    </row>
    <row r="399" spans="1:13" ht="21.9" customHeight="1" x14ac:dyDescent="0.25">
      <c r="A399" s="144"/>
      <c r="B399" s="166" t="s">
        <v>1021</v>
      </c>
      <c r="C399" s="167">
        <v>46</v>
      </c>
      <c r="D399" s="263">
        <v>192.6</v>
      </c>
      <c r="E399" s="206">
        <v>8859.6</v>
      </c>
      <c r="F399" s="152" t="s">
        <v>946</v>
      </c>
      <c r="G399" s="152" t="s">
        <v>609</v>
      </c>
      <c r="H399" s="108"/>
      <c r="I399" s="107"/>
      <c r="J399" s="108"/>
      <c r="K399" s="108"/>
      <c r="L399" s="108"/>
      <c r="M399" s="108"/>
    </row>
    <row r="400" spans="1:13" ht="21.9" customHeight="1" x14ac:dyDescent="0.25">
      <c r="A400" s="144"/>
      <c r="B400" s="166" t="s">
        <v>1022</v>
      </c>
      <c r="C400" s="167">
        <v>46</v>
      </c>
      <c r="D400" s="263">
        <v>495</v>
      </c>
      <c r="E400" s="206">
        <v>22770</v>
      </c>
      <c r="F400" s="152" t="s">
        <v>946</v>
      </c>
      <c r="G400" s="152" t="s">
        <v>609</v>
      </c>
      <c r="H400" s="108"/>
      <c r="I400" s="107"/>
      <c r="J400" s="108"/>
      <c r="K400" s="108"/>
      <c r="L400" s="108"/>
      <c r="M400" s="108"/>
    </row>
    <row r="401" spans="1:13" ht="21.9" customHeight="1" x14ac:dyDescent="0.25">
      <c r="A401" s="144"/>
      <c r="B401" s="166" t="s">
        <v>1023</v>
      </c>
      <c r="C401" s="167">
        <v>230</v>
      </c>
      <c r="D401" s="263">
        <v>40.659999999999997</v>
      </c>
      <c r="E401" s="206">
        <v>9351.7999999999993</v>
      </c>
      <c r="F401" s="152" t="s">
        <v>946</v>
      </c>
      <c r="G401" s="152" t="s">
        <v>609</v>
      </c>
      <c r="H401" s="108"/>
      <c r="I401" s="107"/>
      <c r="J401" s="108"/>
      <c r="K401" s="108"/>
      <c r="L401" s="108"/>
      <c r="M401" s="108"/>
    </row>
    <row r="402" spans="1:13" ht="21.9" customHeight="1" x14ac:dyDescent="0.25">
      <c r="A402" s="144"/>
      <c r="B402" s="166" t="s">
        <v>1024</v>
      </c>
      <c r="C402" s="167">
        <v>92</v>
      </c>
      <c r="D402" s="263">
        <v>481.5</v>
      </c>
      <c r="E402" s="206">
        <v>44298</v>
      </c>
      <c r="F402" s="152" t="s">
        <v>946</v>
      </c>
      <c r="G402" s="152" t="s">
        <v>609</v>
      </c>
      <c r="H402" s="108"/>
      <c r="I402" s="107"/>
      <c r="J402" s="108"/>
      <c r="K402" s="108"/>
      <c r="L402" s="108"/>
      <c r="M402" s="108"/>
    </row>
    <row r="403" spans="1:13" ht="21.9" customHeight="1" x14ac:dyDescent="0.25">
      <c r="A403" s="144"/>
      <c r="B403" s="166" t="s">
        <v>1025</v>
      </c>
      <c r="C403" s="167">
        <v>184</v>
      </c>
      <c r="D403" s="263">
        <v>85.6</v>
      </c>
      <c r="E403" s="206">
        <v>15750.4</v>
      </c>
      <c r="F403" s="152" t="s">
        <v>946</v>
      </c>
      <c r="G403" s="152" t="s">
        <v>609</v>
      </c>
      <c r="H403" s="108"/>
      <c r="I403" s="107"/>
      <c r="J403" s="108"/>
      <c r="K403" s="108"/>
      <c r="L403" s="108"/>
      <c r="M403" s="108"/>
    </row>
    <row r="404" spans="1:13" ht="21.9" customHeight="1" x14ac:dyDescent="0.25">
      <c r="A404" s="144"/>
      <c r="B404" s="166" t="s">
        <v>1026</v>
      </c>
      <c r="C404" s="167">
        <v>184</v>
      </c>
      <c r="D404" s="263">
        <v>90.95</v>
      </c>
      <c r="E404" s="206">
        <v>16734.8</v>
      </c>
      <c r="F404" s="152" t="s">
        <v>946</v>
      </c>
      <c r="G404" s="152" t="s">
        <v>609</v>
      </c>
      <c r="H404" s="108"/>
      <c r="I404" s="107"/>
      <c r="J404" s="108"/>
      <c r="K404" s="108"/>
      <c r="L404" s="108"/>
      <c r="M404" s="108"/>
    </row>
    <row r="405" spans="1:13" ht="21.9" customHeight="1" x14ac:dyDescent="0.25">
      <c r="A405" s="144"/>
      <c r="B405" s="166" t="s">
        <v>1027</v>
      </c>
      <c r="C405" s="167">
        <v>92</v>
      </c>
      <c r="D405" s="263">
        <v>113.42</v>
      </c>
      <c r="E405" s="206">
        <v>10434.64</v>
      </c>
      <c r="F405" s="152" t="s">
        <v>946</v>
      </c>
      <c r="G405" s="152" t="s">
        <v>609</v>
      </c>
      <c r="H405" s="108"/>
      <c r="I405" s="107"/>
      <c r="J405" s="108"/>
      <c r="K405" s="108"/>
      <c r="L405" s="108"/>
      <c r="M405" s="108"/>
    </row>
    <row r="406" spans="1:13" ht="21.9" customHeight="1" x14ac:dyDescent="0.25">
      <c r="A406" s="144"/>
      <c r="B406" s="166" t="s">
        <v>1028</v>
      </c>
      <c r="C406" s="167">
        <v>46</v>
      </c>
      <c r="D406" s="263">
        <v>50</v>
      </c>
      <c r="E406" s="206">
        <v>2300</v>
      </c>
      <c r="F406" s="152" t="s">
        <v>946</v>
      </c>
      <c r="G406" s="152" t="s">
        <v>609</v>
      </c>
      <c r="H406" s="108"/>
      <c r="I406" s="107"/>
      <c r="J406" s="108"/>
      <c r="K406" s="108"/>
      <c r="L406" s="108"/>
      <c r="M406" s="108"/>
    </row>
    <row r="407" spans="1:13" ht="21.9" customHeight="1" x14ac:dyDescent="0.25">
      <c r="A407" s="144"/>
      <c r="B407" s="166" t="s">
        <v>1029</v>
      </c>
      <c r="C407" s="167">
        <v>46</v>
      </c>
      <c r="D407" s="263">
        <v>395</v>
      </c>
      <c r="E407" s="206">
        <v>18170</v>
      </c>
      <c r="F407" s="152" t="s">
        <v>946</v>
      </c>
      <c r="G407" s="152" t="s">
        <v>609</v>
      </c>
      <c r="H407" s="108"/>
      <c r="I407" s="107"/>
      <c r="J407" s="108"/>
      <c r="K407" s="108"/>
      <c r="L407" s="108"/>
      <c r="M407" s="108"/>
    </row>
    <row r="408" spans="1:13" ht="21.9" customHeight="1" x14ac:dyDescent="0.25">
      <c r="A408" s="144"/>
      <c r="B408" s="166" t="s">
        <v>1030</v>
      </c>
      <c r="C408" s="167">
        <v>46</v>
      </c>
      <c r="D408" s="263">
        <v>909.5</v>
      </c>
      <c r="E408" s="206">
        <v>41837</v>
      </c>
      <c r="F408" s="152" t="s">
        <v>946</v>
      </c>
      <c r="G408" s="152" t="s">
        <v>609</v>
      </c>
      <c r="H408" s="108"/>
      <c r="I408" s="107"/>
      <c r="J408" s="108"/>
      <c r="K408" s="108"/>
      <c r="L408" s="108"/>
      <c r="M408" s="108"/>
    </row>
    <row r="409" spans="1:13" ht="21.9" customHeight="1" x14ac:dyDescent="0.25">
      <c r="A409" s="144"/>
      <c r="B409" s="166" t="s">
        <v>1031</v>
      </c>
      <c r="C409" s="167">
        <v>46</v>
      </c>
      <c r="D409" s="263">
        <v>695.5</v>
      </c>
      <c r="E409" s="206">
        <v>31993</v>
      </c>
      <c r="F409" s="152" t="s">
        <v>946</v>
      </c>
      <c r="G409" s="152" t="s">
        <v>609</v>
      </c>
      <c r="H409" s="108"/>
      <c r="I409" s="107"/>
      <c r="J409" s="108"/>
      <c r="K409" s="108"/>
      <c r="L409" s="108"/>
      <c r="M409" s="108"/>
    </row>
    <row r="410" spans="1:13" ht="21.9" customHeight="1" x14ac:dyDescent="0.25">
      <c r="A410" s="144"/>
      <c r="B410" s="166" t="s">
        <v>1032</v>
      </c>
      <c r="C410" s="167">
        <v>46</v>
      </c>
      <c r="D410" s="263">
        <v>449.4</v>
      </c>
      <c r="E410" s="206">
        <v>20672.399999999998</v>
      </c>
      <c r="F410" s="152" t="s">
        <v>946</v>
      </c>
      <c r="G410" s="152" t="s">
        <v>609</v>
      </c>
      <c r="H410" s="108"/>
      <c r="I410" s="107"/>
      <c r="J410" s="108"/>
      <c r="K410" s="108"/>
      <c r="L410" s="108"/>
      <c r="M410" s="108"/>
    </row>
    <row r="411" spans="1:13" ht="21.9" customHeight="1" x14ac:dyDescent="0.25">
      <c r="A411" s="144"/>
      <c r="B411" s="166" t="s">
        <v>1033</v>
      </c>
      <c r="C411" s="167">
        <v>5</v>
      </c>
      <c r="D411" s="263">
        <v>395</v>
      </c>
      <c r="E411" s="206">
        <v>1975</v>
      </c>
      <c r="F411" s="152" t="s">
        <v>946</v>
      </c>
      <c r="G411" s="152" t="s">
        <v>609</v>
      </c>
      <c r="H411" s="108"/>
      <c r="I411" s="107"/>
      <c r="J411" s="108"/>
      <c r="K411" s="108"/>
      <c r="L411" s="108"/>
      <c r="M411" s="108"/>
    </row>
    <row r="412" spans="1:13" ht="21.9" customHeight="1" x14ac:dyDescent="0.25">
      <c r="A412" s="144"/>
      <c r="B412" s="166" t="s">
        <v>1034</v>
      </c>
      <c r="C412" s="167">
        <v>5</v>
      </c>
      <c r="D412" s="263">
        <v>395</v>
      </c>
      <c r="E412" s="206">
        <v>1975</v>
      </c>
      <c r="F412" s="152" t="s">
        <v>946</v>
      </c>
      <c r="G412" s="152" t="s">
        <v>609</v>
      </c>
      <c r="H412" s="108"/>
      <c r="I412" s="107"/>
      <c r="J412" s="108"/>
      <c r="K412" s="108"/>
      <c r="L412" s="108"/>
      <c r="M412" s="108"/>
    </row>
    <row r="413" spans="1:13" ht="21.9" customHeight="1" x14ac:dyDescent="0.25">
      <c r="A413" s="144"/>
      <c r="B413" s="166" t="s">
        <v>1035</v>
      </c>
      <c r="C413" s="167">
        <v>500</v>
      </c>
      <c r="D413" s="263">
        <v>105</v>
      </c>
      <c r="E413" s="206">
        <v>52500</v>
      </c>
      <c r="F413" s="152" t="s">
        <v>946</v>
      </c>
      <c r="G413" s="152" t="s">
        <v>609</v>
      </c>
      <c r="H413" s="108"/>
      <c r="I413" s="107"/>
      <c r="J413" s="108"/>
      <c r="K413" s="108"/>
      <c r="L413" s="108"/>
      <c r="M413" s="108"/>
    </row>
    <row r="414" spans="1:13" ht="21.9" customHeight="1" x14ac:dyDescent="0.25">
      <c r="A414" s="144"/>
      <c r="B414" s="166" t="s">
        <v>1036</v>
      </c>
      <c r="C414" s="167">
        <v>46</v>
      </c>
      <c r="D414" s="263">
        <v>206</v>
      </c>
      <c r="E414" s="206">
        <v>9476</v>
      </c>
      <c r="F414" s="152" t="s">
        <v>946</v>
      </c>
      <c r="G414" s="152" t="s">
        <v>609</v>
      </c>
      <c r="H414" s="108"/>
      <c r="I414" s="107"/>
      <c r="J414" s="108"/>
      <c r="K414" s="108"/>
      <c r="L414" s="108"/>
      <c r="M414" s="108"/>
    </row>
    <row r="415" spans="1:13" ht="21.9" customHeight="1" x14ac:dyDescent="0.25">
      <c r="A415" s="267"/>
      <c r="B415" s="268"/>
      <c r="C415" s="214"/>
      <c r="D415" s="333"/>
      <c r="E415" s="315">
        <f>SUM(E320:E414)</f>
        <v>18902524.240000002</v>
      </c>
      <c r="H415" s="108"/>
      <c r="I415" s="107"/>
      <c r="J415" s="108"/>
      <c r="K415" s="108"/>
      <c r="L415" s="108"/>
      <c r="M415" s="108"/>
    </row>
    <row r="416" spans="1:13" ht="21.9" customHeight="1" x14ac:dyDescent="0.25">
      <c r="A416" s="267"/>
      <c r="B416" s="268"/>
      <c r="C416" s="214"/>
      <c r="D416" s="333"/>
      <c r="E416" s="315"/>
      <c r="H416" s="108"/>
      <c r="I416" s="107"/>
      <c r="J416" s="108"/>
      <c r="K416" s="108"/>
      <c r="L416" s="108"/>
      <c r="M416" s="108"/>
    </row>
    <row r="417" spans="1:13" ht="21.9" customHeight="1" x14ac:dyDescent="0.25">
      <c r="A417" s="267"/>
      <c r="B417" s="268"/>
      <c r="C417" s="214"/>
      <c r="D417" s="333"/>
      <c r="E417" s="315"/>
      <c r="H417" s="108"/>
      <c r="I417" s="107"/>
      <c r="J417" s="108"/>
      <c r="K417" s="108"/>
      <c r="L417" s="108"/>
      <c r="M417" s="108"/>
    </row>
    <row r="418" spans="1:13" ht="21.9" customHeight="1" x14ac:dyDescent="0.25">
      <c r="A418" s="267"/>
      <c r="B418" s="268"/>
      <c r="C418" s="214"/>
      <c r="D418" s="333"/>
      <c r="E418" s="315"/>
      <c r="H418" s="108"/>
      <c r="I418" s="107"/>
      <c r="J418" s="108"/>
      <c r="K418" s="108"/>
      <c r="L418" s="108"/>
      <c r="M418" s="108"/>
    </row>
    <row r="419" spans="1:13" ht="21.9" customHeight="1" x14ac:dyDescent="0.25">
      <c r="A419" s="267"/>
      <c r="B419" s="268"/>
      <c r="C419" s="214"/>
      <c r="D419" s="333"/>
      <c r="E419" s="315"/>
      <c r="H419" s="108"/>
      <c r="I419" s="107"/>
      <c r="J419" s="108"/>
      <c r="K419" s="108"/>
      <c r="L419" s="108"/>
      <c r="M419" s="108"/>
    </row>
    <row r="420" spans="1:13" ht="21.9" customHeight="1" x14ac:dyDescent="0.25">
      <c r="A420" s="267"/>
      <c r="B420" s="268"/>
      <c r="C420" s="214"/>
      <c r="D420" s="333"/>
      <c r="E420" s="315"/>
      <c r="H420" s="108"/>
      <c r="I420" s="107"/>
      <c r="J420" s="108"/>
      <c r="K420" s="108"/>
      <c r="L420" s="108"/>
      <c r="M420" s="108"/>
    </row>
    <row r="421" spans="1:13" ht="21.9" customHeight="1" x14ac:dyDescent="0.25">
      <c r="A421" s="267"/>
      <c r="B421" s="268"/>
      <c r="C421" s="214"/>
      <c r="D421" s="333"/>
      <c r="E421" s="315"/>
      <c r="H421" s="108"/>
      <c r="I421" s="107"/>
      <c r="J421" s="108"/>
      <c r="K421" s="108"/>
      <c r="L421" s="108"/>
      <c r="M421" s="108"/>
    </row>
    <row r="422" spans="1:13" ht="21.9" customHeight="1" x14ac:dyDescent="0.25">
      <c r="A422" s="267"/>
      <c r="B422" s="268"/>
      <c r="C422" s="214"/>
      <c r="D422" s="333"/>
      <c r="E422" s="315"/>
      <c r="H422" s="108"/>
      <c r="I422" s="107"/>
      <c r="J422" s="108"/>
      <c r="K422" s="108"/>
      <c r="L422" s="108"/>
      <c r="M422" s="108"/>
    </row>
    <row r="423" spans="1:13" ht="21.9" customHeight="1" x14ac:dyDescent="0.25">
      <c r="A423" s="267"/>
      <c r="B423" s="268"/>
      <c r="C423" s="214"/>
      <c r="D423" s="333"/>
      <c r="E423" s="315"/>
      <c r="H423" s="108"/>
      <c r="I423" s="107"/>
      <c r="J423" s="108"/>
      <c r="K423" s="108"/>
      <c r="L423" s="108"/>
      <c r="M423" s="108"/>
    </row>
    <row r="424" spans="1:13" ht="21.9" customHeight="1" x14ac:dyDescent="0.25">
      <c r="A424" s="267"/>
      <c r="B424" s="268"/>
      <c r="C424" s="214"/>
      <c r="D424" s="333"/>
      <c r="E424" s="315"/>
      <c r="H424" s="108"/>
      <c r="I424" s="107"/>
      <c r="J424" s="108"/>
      <c r="K424" s="108"/>
      <c r="L424" s="108"/>
      <c r="M424" s="108"/>
    </row>
    <row r="425" spans="1:13" ht="21.9" customHeight="1" x14ac:dyDescent="0.25">
      <c r="A425" s="267"/>
      <c r="B425" s="268"/>
      <c r="C425" s="214"/>
      <c r="D425" s="333"/>
      <c r="E425" s="315"/>
      <c r="H425" s="108"/>
      <c r="I425" s="107"/>
      <c r="J425" s="108"/>
      <c r="K425" s="108"/>
      <c r="L425" s="108"/>
      <c r="M425" s="108"/>
    </row>
    <row r="426" spans="1:13" ht="21.9" customHeight="1" x14ac:dyDescent="0.25">
      <c r="A426" s="267"/>
      <c r="B426" s="268"/>
      <c r="C426" s="214"/>
      <c r="D426" s="333"/>
      <c r="E426" s="315"/>
      <c r="H426" s="108"/>
      <c r="I426" s="107"/>
      <c r="J426" s="108"/>
      <c r="K426" s="108"/>
      <c r="L426" s="108"/>
      <c r="M426" s="108"/>
    </row>
    <row r="427" spans="1:13" ht="21.9" customHeight="1" x14ac:dyDescent="0.25">
      <c r="A427" s="267"/>
      <c r="B427" s="268"/>
      <c r="C427" s="214"/>
      <c r="D427" s="333"/>
      <c r="E427" s="315"/>
      <c r="H427" s="108"/>
      <c r="I427" s="107"/>
      <c r="J427" s="108"/>
      <c r="K427" s="108"/>
      <c r="L427" s="108"/>
      <c r="M427" s="108"/>
    </row>
    <row r="428" spans="1:13" ht="21.9" customHeight="1" x14ac:dyDescent="0.25">
      <c r="A428" s="267"/>
      <c r="B428" s="268"/>
      <c r="C428" s="214"/>
      <c r="D428" s="333"/>
      <c r="E428" s="315"/>
      <c r="H428" s="108"/>
      <c r="I428" s="107"/>
      <c r="J428" s="108"/>
      <c r="K428" s="108"/>
      <c r="L428" s="108"/>
      <c r="M428" s="108"/>
    </row>
    <row r="429" spans="1:13" ht="21.9" customHeight="1" x14ac:dyDescent="0.25">
      <c r="A429" s="267"/>
      <c r="B429" s="268"/>
      <c r="C429" s="214"/>
      <c r="D429" s="333"/>
      <c r="E429" s="315"/>
      <c r="H429" s="108"/>
      <c r="I429" s="107"/>
      <c r="J429" s="108"/>
      <c r="K429" s="108"/>
      <c r="L429" s="108"/>
      <c r="M429" s="108"/>
    </row>
    <row r="430" spans="1:13" ht="24.6" x14ac:dyDescent="0.25">
      <c r="A430" s="1529" t="s">
        <v>533</v>
      </c>
      <c r="B430" s="1530"/>
      <c r="C430" s="1530"/>
      <c r="D430" s="1530"/>
      <c r="E430" s="1530"/>
      <c r="F430" s="1531"/>
      <c r="G430" s="108"/>
      <c r="H430" s="108"/>
      <c r="I430" s="107"/>
      <c r="J430" s="108"/>
      <c r="K430" s="108"/>
      <c r="L430" s="108"/>
      <c r="M430" s="108"/>
    </row>
    <row r="431" spans="1:13" ht="24.6" x14ac:dyDescent="0.25">
      <c r="A431" s="183">
        <v>1</v>
      </c>
      <c r="B431" s="184" t="s">
        <v>458</v>
      </c>
      <c r="C431" s="183">
        <v>1</v>
      </c>
      <c r="D431" s="185">
        <v>5100000</v>
      </c>
      <c r="E431" s="323">
        <f t="shared" ref="E431:E441" si="20">+C431*D431</f>
        <v>5100000</v>
      </c>
      <c r="F431" s="152" t="s">
        <v>466</v>
      </c>
      <c r="I431" s="107"/>
      <c r="J431" s="108"/>
      <c r="K431" s="108"/>
      <c r="L431" s="108"/>
      <c r="M431" s="108"/>
    </row>
    <row r="432" spans="1:13" ht="49.2" x14ac:dyDescent="0.25">
      <c r="A432" s="167">
        <v>2</v>
      </c>
      <c r="B432" s="166" t="s">
        <v>459</v>
      </c>
      <c r="C432" s="167">
        <v>1</v>
      </c>
      <c r="D432" s="186">
        <v>2800000</v>
      </c>
      <c r="E432" s="324">
        <f t="shared" si="20"/>
        <v>2800000</v>
      </c>
      <c r="F432" s="152" t="s">
        <v>466</v>
      </c>
      <c r="I432" s="107"/>
      <c r="J432" s="108"/>
      <c r="K432" s="108"/>
      <c r="L432" s="108"/>
      <c r="M432" s="108"/>
    </row>
    <row r="433" spans="1:13" ht="24.6" x14ac:dyDescent="0.25">
      <c r="A433" s="183">
        <v>3</v>
      </c>
      <c r="B433" s="184" t="s">
        <v>460</v>
      </c>
      <c r="C433" s="183">
        <v>1</v>
      </c>
      <c r="D433" s="185">
        <v>1400000</v>
      </c>
      <c r="E433" s="323">
        <f t="shared" si="20"/>
        <v>1400000</v>
      </c>
      <c r="F433" s="152" t="s">
        <v>466</v>
      </c>
      <c r="I433" s="107"/>
      <c r="J433" s="108"/>
      <c r="K433" s="108"/>
      <c r="L433" s="108"/>
      <c r="M433" s="108"/>
    </row>
    <row r="434" spans="1:13" ht="24.6" x14ac:dyDescent="0.25">
      <c r="A434" s="183">
        <v>4</v>
      </c>
      <c r="B434" s="184" t="s">
        <v>461</v>
      </c>
      <c r="C434" s="183">
        <v>2</v>
      </c>
      <c r="D434" s="185">
        <v>500000</v>
      </c>
      <c r="E434" s="323">
        <f t="shared" si="20"/>
        <v>1000000</v>
      </c>
      <c r="F434" s="152" t="s">
        <v>466</v>
      </c>
      <c r="I434" s="107"/>
      <c r="J434" s="108"/>
      <c r="K434" s="108"/>
      <c r="L434" s="108"/>
      <c r="M434" s="108"/>
    </row>
    <row r="435" spans="1:13" ht="24.6" x14ac:dyDescent="0.25">
      <c r="A435" s="183">
        <v>5</v>
      </c>
      <c r="B435" s="184" t="s">
        <v>462</v>
      </c>
      <c r="C435" s="183">
        <v>2</v>
      </c>
      <c r="D435" s="185">
        <v>370000</v>
      </c>
      <c r="E435" s="323">
        <f t="shared" si="20"/>
        <v>740000</v>
      </c>
      <c r="F435" s="152" t="s">
        <v>466</v>
      </c>
      <c r="I435" s="107"/>
      <c r="J435" s="108"/>
      <c r="K435" s="108"/>
      <c r="L435" s="108"/>
      <c r="M435" s="108"/>
    </row>
    <row r="436" spans="1:13" ht="24.6" x14ac:dyDescent="0.25">
      <c r="A436" s="167">
        <v>6</v>
      </c>
      <c r="B436" s="166" t="s">
        <v>917</v>
      </c>
      <c r="C436" s="167">
        <v>1</v>
      </c>
      <c r="D436" s="186">
        <v>2200000</v>
      </c>
      <c r="E436" s="324">
        <f t="shared" si="20"/>
        <v>2200000</v>
      </c>
      <c r="F436" s="152" t="s">
        <v>466</v>
      </c>
      <c r="I436" s="107"/>
      <c r="J436" s="108"/>
      <c r="K436" s="108"/>
      <c r="L436" s="108"/>
      <c r="M436" s="108"/>
    </row>
    <row r="437" spans="1:13" ht="24.6" x14ac:dyDescent="0.25">
      <c r="A437" s="183">
        <v>7</v>
      </c>
      <c r="B437" s="184" t="s">
        <v>463</v>
      </c>
      <c r="C437" s="183">
        <v>1</v>
      </c>
      <c r="D437" s="185">
        <v>1800000</v>
      </c>
      <c r="E437" s="323">
        <f t="shared" si="20"/>
        <v>1800000</v>
      </c>
      <c r="F437" s="152" t="s">
        <v>466</v>
      </c>
      <c r="I437" s="107"/>
      <c r="J437" s="108"/>
      <c r="K437" s="108"/>
      <c r="L437" s="108"/>
      <c r="M437" s="108"/>
    </row>
    <row r="438" spans="1:13" ht="24.6" x14ac:dyDescent="0.25">
      <c r="A438" s="183">
        <v>8</v>
      </c>
      <c r="B438" s="184" t="s">
        <v>464</v>
      </c>
      <c r="C438" s="183">
        <v>1</v>
      </c>
      <c r="D438" s="185">
        <v>2000000</v>
      </c>
      <c r="E438" s="323">
        <f t="shared" si="20"/>
        <v>2000000</v>
      </c>
      <c r="F438" s="152" t="s">
        <v>467</v>
      </c>
      <c r="I438" s="107"/>
      <c r="J438" s="108"/>
      <c r="K438" s="108"/>
      <c r="L438" s="108"/>
      <c r="M438" s="108"/>
    </row>
    <row r="439" spans="1:13" ht="24.6" x14ac:dyDescent="0.7">
      <c r="A439" s="183">
        <v>9</v>
      </c>
      <c r="B439" s="363" t="s">
        <v>907</v>
      </c>
      <c r="C439" s="367">
        <v>1</v>
      </c>
      <c r="D439" s="364">
        <v>890000</v>
      </c>
      <c r="E439" s="370">
        <f t="shared" si="20"/>
        <v>890000</v>
      </c>
      <c r="F439" s="152" t="s">
        <v>466</v>
      </c>
      <c r="I439" s="107"/>
      <c r="J439" s="108"/>
      <c r="K439" s="108"/>
      <c r="L439" s="108"/>
      <c r="M439" s="108"/>
    </row>
    <row r="440" spans="1:13" ht="24.6" x14ac:dyDescent="0.7">
      <c r="A440" s="167">
        <v>10</v>
      </c>
      <c r="B440" s="363" t="s">
        <v>908</v>
      </c>
      <c r="C440" s="367">
        <v>1</v>
      </c>
      <c r="D440" s="364">
        <v>268000</v>
      </c>
      <c r="E440" s="370">
        <f t="shared" si="20"/>
        <v>268000</v>
      </c>
      <c r="F440" s="152" t="s">
        <v>466</v>
      </c>
      <c r="I440" s="107"/>
      <c r="J440" s="108"/>
      <c r="K440" s="108"/>
      <c r="L440" s="108"/>
      <c r="M440" s="108"/>
    </row>
    <row r="441" spans="1:13" ht="24.6" x14ac:dyDescent="0.7">
      <c r="A441" s="183">
        <v>11</v>
      </c>
      <c r="B441" s="363" t="s">
        <v>909</v>
      </c>
      <c r="C441" s="367">
        <v>1</v>
      </c>
      <c r="D441" s="364">
        <v>1832600</v>
      </c>
      <c r="E441" s="370">
        <f t="shared" si="20"/>
        <v>1832600</v>
      </c>
      <c r="F441" s="152" t="s">
        <v>466</v>
      </c>
      <c r="I441" s="107"/>
      <c r="J441" s="108"/>
      <c r="K441" s="108"/>
      <c r="L441" s="108"/>
      <c r="M441" s="108"/>
    </row>
    <row r="442" spans="1:13" ht="23.25" customHeight="1" x14ac:dyDescent="0.25">
      <c r="A442" s="183"/>
      <c r="B442" s="216" t="s">
        <v>3</v>
      </c>
      <c r="C442" s="183"/>
      <c r="D442" s="185"/>
      <c r="E442" s="325">
        <f>SUM(E431:E441)</f>
        <v>20030600</v>
      </c>
      <c r="F442" s="152"/>
      <c r="I442" s="107"/>
      <c r="J442" s="108"/>
      <c r="K442" s="108"/>
      <c r="L442" s="108"/>
      <c r="M442" s="108"/>
    </row>
    <row r="443" spans="1:13" ht="7.5" customHeight="1" x14ac:dyDescent="0.25">
      <c r="A443" s="187"/>
      <c r="B443" s="188"/>
      <c r="C443" s="187"/>
      <c r="D443" s="189"/>
      <c r="E443" s="326"/>
      <c r="H443" s="108"/>
      <c r="I443" s="107"/>
      <c r="J443" s="108"/>
      <c r="K443" s="108"/>
      <c r="L443" s="108"/>
      <c r="M443" s="108"/>
    </row>
    <row r="444" spans="1:13" ht="24.6" x14ac:dyDescent="0.25">
      <c r="A444" s="1535" t="s">
        <v>534</v>
      </c>
      <c r="B444" s="1536"/>
      <c r="C444" s="1536"/>
      <c r="D444" s="1536"/>
      <c r="E444" s="1536"/>
      <c r="F444" s="1537"/>
      <c r="H444" s="108"/>
      <c r="I444" s="107"/>
      <c r="J444" s="108"/>
      <c r="K444" s="108"/>
      <c r="L444" s="108"/>
      <c r="M444" s="108"/>
    </row>
    <row r="445" spans="1:13" ht="44.25" customHeight="1" x14ac:dyDescent="0.25">
      <c r="A445" s="157" t="s">
        <v>1</v>
      </c>
      <c r="B445" s="157" t="s">
        <v>2</v>
      </c>
      <c r="C445" s="170" t="s">
        <v>291</v>
      </c>
      <c r="D445" s="170" t="s">
        <v>292</v>
      </c>
      <c r="E445" s="322" t="s">
        <v>293</v>
      </c>
      <c r="F445" s="157" t="s">
        <v>294</v>
      </c>
      <c r="G445" s="248"/>
      <c r="H445" s="108"/>
      <c r="I445" s="107"/>
      <c r="J445" s="108"/>
      <c r="K445" s="108"/>
      <c r="L445" s="108"/>
      <c r="M445" s="108"/>
    </row>
    <row r="446" spans="1:13" ht="24.6" x14ac:dyDescent="0.25">
      <c r="A446" s="367">
        <v>1</v>
      </c>
      <c r="B446" s="368" t="s">
        <v>465</v>
      </c>
      <c r="C446" s="367"/>
      <c r="D446" s="369"/>
      <c r="E446" s="370"/>
      <c r="F446" s="371"/>
      <c r="H446" s="108"/>
      <c r="I446" s="107"/>
      <c r="J446" s="108"/>
      <c r="K446" s="108"/>
      <c r="L446" s="108"/>
      <c r="M446" s="108"/>
    </row>
    <row r="447" spans="1:13" ht="24.6" x14ac:dyDescent="0.7">
      <c r="A447" s="373"/>
      <c r="B447" s="362" t="s">
        <v>905</v>
      </c>
      <c r="C447" s="372">
        <v>2</v>
      </c>
      <c r="D447" s="364">
        <v>950000</v>
      </c>
      <c r="E447" s="364">
        <v>1900000</v>
      </c>
      <c r="F447" s="371" t="s">
        <v>467</v>
      </c>
      <c r="H447" s="108"/>
      <c r="I447" s="107"/>
      <c r="J447" s="108"/>
      <c r="K447" s="108"/>
      <c r="L447" s="108"/>
      <c r="M447" s="108"/>
    </row>
    <row r="448" spans="1:13" ht="24.6" x14ac:dyDescent="0.7">
      <c r="A448" s="374"/>
      <c r="B448" s="362" t="s">
        <v>906</v>
      </c>
      <c r="C448" s="372">
        <v>4</v>
      </c>
      <c r="D448" s="364">
        <v>585000</v>
      </c>
      <c r="E448" s="364">
        <v>2340000</v>
      </c>
      <c r="F448" s="152" t="s">
        <v>466</v>
      </c>
      <c r="H448" s="108"/>
      <c r="I448" s="107"/>
      <c r="J448" s="108"/>
      <c r="K448" s="108"/>
      <c r="L448" s="108"/>
      <c r="M448" s="108"/>
    </row>
    <row r="449" spans="1:13" ht="24.6" x14ac:dyDescent="0.7">
      <c r="A449" s="187"/>
      <c r="B449" s="365"/>
      <c r="D449" s="366"/>
      <c r="E449" s="389">
        <f>SUM(E447:E448)</f>
        <v>4240000</v>
      </c>
      <c r="H449" s="108"/>
      <c r="I449" s="107"/>
      <c r="J449" s="108"/>
      <c r="K449" s="108"/>
      <c r="L449" s="108"/>
      <c r="M449" s="108"/>
    </row>
    <row r="450" spans="1:13" ht="24.6" x14ac:dyDescent="0.25">
      <c r="A450" s="1528" t="s">
        <v>472</v>
      </c>
      <c r="B450" s="1528"/>
      <c r="C450" s="1528"/>
      <c r="D450" s="1528"/>
      <c r="E450" s="1528"/>
      <c r="F450" s="1528"/>
      <c r="G450" s="108"/>
      <c r="H450" s="108"/>
      <c r="I450" s="107"/>
      <c r="J450" s="108"/>
      <c r="K450" s="108"/>
      <c r="L450" s="108"/>
      <c r="M450" s="108"/>
    </row>
    <row r="451" spans="1:13" ht="42" customHeight="1" x14ac:dyDescent="0.25">
      <c r="A451" s="157" t="s">
        <v>1</v>
      </c>
      <c r="B451" s="157" t="s">
        <v>2</v>
      </c>
      <c r="C451" s="170" t="s">
        <v>291</v>
      </c>
      <c r="D451" s="170" t="s">
        <v>292</v>
      </c>
      <c r="E451" s="322" t="s">
        <v>293</v>
      </c>
      <c r="F451" s="157" t="s">
        <v>294</v>
      </c>
      <c r="G451" s="108"/>
      <c r="H451" s="108"/>
      <c r="I451" s="107"/>
      <c r="J451" s="108"/>
      <c r="K451" s="108"/>
      <c r="L451" s="108"/>
      <c r="M451" s="108"/>
    </row>
    <row r="452" spans="1:13" ht="24.6" x14ac:dyDescent="0.25">
      <c r="A452" s="106">
        <v>1</v>
      </c>
      <c r="B452" s="375" t="s">
        <v>552</v>
      </c>
      <c r="C452" s="380">
        <v>1</v>
      </c>
      <c r="D452" s="381">
        <v>5000000</v>
      </c>
      <c r="E452" s="379">
        <v>5000000</v>
      </c>
      <c r="F452" s="387" t="s">
        <v>553</v>
      </c>
      <c r="G452" s="249"/>
      <c r="H452" s="108"/>
      <c r="I452" s="107"/>
      <c r="J452" s="108"/>
      <c r="K452" s="108"/>
      <c r="L452" s="108"/>
      <c r="M452" s="108"/>
    </row>
    <row r="453" spans="1:13" ht="24.6" x14ac:dyDescent="0.25">
      <c r="A453" s="106">
        <v>2</v>
      </c>
      <c r="B453" s="375" t="s">
        <v>913</v>
      </c>
      <c r="C453" s="380">
        <v>1</v>
      </c>
      <c r="D453" s="381">
        <v>5000000</v>
      </c>
      <c r="E453" s="379">
        <f>+C453*D453</f>
        <v>5000000</v>
      </c>
      <c r="F453" s="387" t="s">
        <v>554</v>
      </c>
      <c r="G453" s="250"/>
      <c r="H453" s="108"/>
      <c r="I453" s="107"/>
      <c r="J453" s="108"/>
      <c r="K453" s="108"/>
      <c r="L453" s="108"/>
      <c r="M453" s="108"/>
    </row>
    <row r="454" spans="1:13" ht="49.2" x14ac:dyDescent="0.25">
      <c r="A454" s="106">
        <v>3</v>
      </c>
      <c r="B454" s="375" t="s">
        <v>918</v>
      </c>
      <c r="C454" s="380">
        <v>1</v>
      </c>
      <c r="D454" s="381">
        <v>7000000</v>
      </c>
      <c r="E454" s="379">
        <v>7000000</v>
      </c>
      <c r="F454" s="387" t="s">
        <v>555</v>
      </c>
      <c r="G454" s="251"/>
      <c r="H454" s="108"/>
      <c r="I454" s="107"/>
      <c r="J454" s="108"/>
      <c r="K454" s="108"/>
      <c r="L454" s="108"/>
      <c r="M454" s="108"/>
    </row>
    <row r="455" spans="1:13" ht="24.6" x14ac:dyDescent="0.7">
      <c r="A455" s="106">
        <v>4</v>
      </c>
      <c r="B455" s="376" t="s">
        <v>914</v>
      </c>
      <c r="C455" s="377">
        <v>1</v>
      </c>
      <c r="D455" s="378">
        <v>204967.59</v>
      </c>
      <c r="E455" s="378">
        <v>204967.59</v>
      </c>
      <c r="F455" s="376" t="s">
        <v>320</v>
      </c>
      <c r="G455" s="251"/>
      <c r="H455" s="108"/>
      <c r="I455" s="107"/>
      <c r="J455" s="108"/>
      <c r="K455" s="108"/>
      <c r="L455" s="108"/>
      <c r="M455" s="108"/>
    </row>
    <row r="456" spans="1:13" ht="49.2" x14ac:dyDescent="0.25">
      <c r="A456" s="106">
        <v>5</v>
      </c>
      <c r="B456" s="375" t="s">
        <v>910</v>
      </c>
      <c r="C456" s="380">
        <v>1</v>
      </c>
      <c r="D456" s="379">
        <v>12000000</v>
      </c>
      <c r="E456" s="379">
        <f>+D456</f>
        <v>12000000</v>
      </c>
      <c r="F456" s="375" t="s">
        <v>912</v>
      </c>
      <c r="G456" s="251"/>
      <c r="H456" s="108"/>
      <c r="I456" s="107"/>
      <c r="J456" s="108"/>
      <c r="K456" s="108"/>
      <c r="L456" s="108"/>
      <c r="M456" s="108"/>
    </row>
    <row r="457" spans="1:13" ht="24.6" x14ac:dyDescent="0.7">
      <c r="A457" s="106">
        <v>6</v>
      </c>
      <c r="B457" s="376" t="s">
        <v>911</v>
      </c>
      <c r="C457" s="377">
        <v>1</v>
      </c>
      <c r="D457" s="378">
        <v>3500000</v>
      </c>
      <c r="E457" s="378">
        <v>3500000</v>
      </c>
      <c r="F457" s="376" t="s">
        <v>510</v>
      </c>
      <c r="G457" s="251"/>
      <c r="H457" s="108"/>
      <c r="I457" s="107"/>
      <c r="J457" s="108"/>
      <c r="K457" s="108"/>
      <c r="L457" s="108"/>
      <c r="M457" s="108"/>
    </row>
    <row r="458" spans="1:13" ht="24.6" x14ac:dyDescent="0.25">
      <c r="A458" s="382"/>
      <c r="B458" s="383" t="s">
        <v>3</v>
      </c>
      <c r="C458" s="384"/>
      <c r="D458" s="385"/>
      <c r="E458" s="386">
        <f>SUM(E452:E457)</f>
        <v>32704967.59</v>
      </c>
      <c r="F458" s="382"/>
      <c r="G458" s="108"/>
      <c r="H458" s="108"/>
      <c r="I458" s="107"/>
      <c r="J458" s="108"/>
      <c r="K458" s="108"/>
      <c r="L458" s="108"/>
      <c r="M458" s="108"/>
    </row>
    <row r="459" spans="1:13" ht="24.6" x14ac:dyDescent="0.7">
      <c r="A459" s="187"/>
      <c r="B459" s="365"/>
      <c r="D459" s="366"/>
      <c r="E459" s="366"/>
      <c r="H459" s="108"/>
      <c r="I459" s="107"/>
      <c r="J459" s="108"/>
      <c r="K459" s="108"/>
      <c r="L459" s="108"/>
      <c r="M459" s="108"/>
    </row>
    <row r="460" spans="1:13" ht="24.6" x14ac:dyDescent="0.25">
      <c r="A460" s="1528" t="s">
        <v>508</v>
      </c>
      <c r="B460" s="1528"/>
      <c r="C460" s="1528"/>
      <c r="D460" s="1528"/>
      <c r="E460" s="1528"/>
      <c r="F460" s="1528"/>
      <c r="G460" s="108"/>
      <c r="H460" s="108"/>
      <c r="I460" s="107"/>
      <c r="J460" s="108"/>
      <c r="K460" s="108"/>
      <c r="L460" s="108"/>
      <c r="M460" s="108"/>
    </row>
    <row r="461" spans="1:13" ht="49.2" x14ac:dyDescent="0.25">
      <c r="A461" s="157" t="s">
        <v>1</v>
      </c>
      <c r="B461" s="157" t="s">
        <v>2</v>
      </c>
      <c r="C461" s="170" t="s">
        <v>291</v>
      </c>
      <c r="D461" s="170" t="s">
        <v>292</v>
      </c>
      <c r="E461" s="322" t="s">
        <v>293</v>
      </c>
      <c r="F461" s="157" t="s">
        <v>294</v>
      </c>
      <c r="G461" s="248"/>
      <c r="H461" s="108"/>
      <c r="I461" s="107"/>
      <c r="J461" s="108"/>
      <c r="K461" s="108"/>
      <c r="L461" s="108"/>
      <c r="M461" s="108"/>
    </row>
    <row r="462" spans="1:13" ht="24.6" x14ac:dyDescent="0.7">
      <c r="A462" s="136">
        <v>1</v>
      </c>
      <c r="B462" s="192" t="s">
        <v>547</v>
      </c>
      <c r="C462" s="193">
        <v>2</v>
      </c>
      <c r="D462" s="194">
        <v>4690</v>
      </c>
      <c r="E462" s="330">
        <f t="shared" ref="E462:E468" si="21">C462*D462</f>
        <v>9380</v>
      </c>
      <c r="F462" s="192" t="s">
        <v>493</v>
      </c>
      <c r="G462" s="254"/>
      <c r="H462" s="108"/>
      <c r="I462" s="107"/>
      <c r="J462" s="108"/>
      <c r="K462" s="108"/>
      <c r="L462" s="108"/>
      <c r="M462" s="108"/>
    </row>
    <row r="463" spans="1:13" ht="24.6" x14ac:dyDescent="0.7">
      <c r="A463" s="136">
        <v>2</v>
      </c>
      <c r="B463" s="192" t="s">
        <v>494</v>
      </c>
      <c r="C463" s="193">
        <v>1</v>
      </c>
      <c r="D463" s="194">
        <v>150000</v>
      </c>
      <c r="E463" s="330">
        <f t="shared" si="21"/>
        <v>150000</v>
      </c>
      <c r="F463" s="192" t="s">
        <v>493</v>
      </c>
      <c r="G463" s="254"/>
      <c r="H463" s="108"/>
      <c r="I463" s="107"/>
      <c r="J463" s="108"/>
      <c r="K463" s="108"/>
      <c r="L463" s="108"/>
      <c r="M463" s="108"/>
    </row>
    <row r="464" spans="1:13" ht="24.6" x14ac:dyDescent="0.7">
      <c r="A464" s="136">
        <v>3</v>
      </c>
      <c r="B464" s="192" t="s">
        <v>495</v>
      </c>
      <c r="C464" s="193">
        <v>3</v>
      </c>
      <c r="D464" s="195">
        <v>25000</v>
      </c>
      <c r="E464" s="330">
        <f t="shared" si="21"/>
        <v>75000</v>
      </c>
      <c r="F464" s="192" t="s">
        <v>493</v>
      </c>
      <c r="G464" s="254"/>
      <c r="H464" s="108"/>
      <c r="I464" s="107"/>
      <c r="J464" s="108"/>
      <c r="K464" s="108"/>
      <c r="L464" s="108"/>
      <c r="M464" s="108"/>
    </row>
    <row r="465" spans="1:13" ht="24.6" x14ac:dyDescent="0.7">
      <c r="A465" s="136">
        <v>4</v>
      </c>
      <c r="B465" s="192" t="s">
        <v>544</v>
      </c>
      <c r="C465" s="193">
        <v>4</v>
      </c>
      <c r="D465" s="195">
        <v>7600</v>
      </c>
      <c r="E465" s="330">
        <f t="shared" si="21"/>
        <v>30400</v>
      </c>
      <c r="F465" s="192" t="s">
        <v>493</v>
      </c>
      <c r="G465" s="254"/>
      <c r="H465" s="108"/>
      <c r="I465" s="107"/>
      <c r="J465" s="108"/>
      <c r="K465" s="108"/>
      <c r="L465" s="108"/>
      <c r="M465" s="108"/>
    </row>
    <row r="466" spans="1:13" ht="24.6" x14ac:dyDescent="0.7">
      <c r="A466" s="136">
        <v>5</v>
      </c>
      <c r="B466" s="192" t="s">
        <v>549</v>
      </c>
      <c r="C466" s="193">
        <v>4</v>
      </c>
      <c r="D466" s="195">
        <v>3400</v>
      </c>
      <c r="E466" s="330">
        <f t="shared" si="21"/>
        <v>13600</v>
      </c>
      <c r="F466" s="192" t="s">
        <v>493</v>
      </c>
      <c r="G466" s="254"/>
      <c r="H466" s="108"/>
      <c r="I466" s="107"/>
      <c r="J466" s="108"/>
      <c r="K466" s="108"/>
      <c r="L466" s="108"/>
      <c r="M466" s="108"/>
    </row>
    <row r="467" spans="1:13" ht="24.6" x14ac:dyDescent="0.7">
      <c r="A467" s="136">
        <v>6</v>
      </c>
      <c r="B467" s="192" t="s">
        <v>496</v>
      </c>
      <c r="C467" s="193">
        <v>2</v>
      </c>
      <c r="D467" s="195">
        <v>3700</v>
      </c>
      <c r="E467" s="330">
        <f t="shared" si="21"/>
        <v>7400</v>
      </c>
      <c r="F467" s="192" t="s">
        <v>493</v>
      </c>
      <c r="G467" s="254"/>
      <c r="H467" s="108"/>
      <c r="I467" s="107"/>
      <c r="J467" s="108"/>
      <c r="K467" s="108"/>
      <c r="L467" s="108"/>
      <c r="M467" s="108"/>
    </row>
    <row r="468" spans="1:13" ht="24.6" x14ac:dyDescent="0.7">
      <c r="A468" s="136">
        <v>7</v>
      </c>
      <c r="B468" s="192" t="s">
        <v>497</v>
      </c>
      <c r="C468" s="193">
        <v>2</v>
      </c>
      <c r="D468" s="195">
        <v>7500</v>
      </c>
      <c r="E468" s="330">
        <f t="shared" si="21"/>
        <v>15000</v>
      </c>
      <c r="F468" s="192" t="s">
        <v>493</v>
      </c>
      <c r="G468" s="254"/>
      <c r="H468" s="108"/>
      <c r="I468" s="107"/>
      <c r="J468" s="108"/>
      <c r="K468" s="108"/>
      <c r="L468" s="108"/>
      <c r="M468" s="108"/>
    </row>
    <row r="469" spans="1:13" ht="24.6" x14ac:dyDescent="0.7">
      <c r="A469" s="136">
        <v>8</v>
      </c>
      <c r="B469" s="192" t="s">
        <v>498</v>
      </c>
      <c r="C469" s="193">
        <v>7</v>
      </c>
      <c r="D469" s="195">
        <f>+E469/C469</f>
        <v>6221.4285714285716</v>
      </c>
      <c r="E469" s="330">
        <v>43550</v>
      </c>
      <c r="F469" s="192" t="s">
        <v>493</v>
      </c>
      <c r="G469" s="254"/>
      <c r="H469" s="108"/>
      <c r="I469" s="107"/>
      <c r="J469" s="108"/>
      <c r="K469" s="108"/>
      <c r="L469" s="108"/>
      <c r="M469" s="108"/>
    </row>
    <row r="470" spans="1:13" ht="24.6" x14ac:dyDescent="0.7">
      <c r="A470" s="136">
        <v>9</v>
      </c>
      <c r="B470" s="192" t="s">
        <v>499</v>
      </c>
      <c r="C470" s="193">
        <v>3</v>
      </c>
      <c r="D470" s="195">
        <v>8185</v>
      </c>
      <c r="E470" s="330">
        <f t="shared" ref="E470:E480" si="22">C470*D470</f>
        <v>24555</v>
      </c>
      <c r="F470" s="192" t="s">
        <v>493</v>
      </c>
      <c r="G470" s="254"/>
      <c r="H470" s="108"/>
      <c r="I470" s="107"/>
      <c r="J470" s="108"/>
      <c r="K470" s="108"/>
      <c r="L470" s="108"/>
      <c r="M470" s="108"/>
    </row>
    <row r="471" spans="1:13" ht="24.6" x14ac:dyDescent="0.7">
      <c r="A471" s="136">
        <v>10</v>
      </c>
      <c r="B471" s="192" t="s">
        <v>545</v>
      </c>
      <c r="C471" s="193">
        <v>1</v>
      </c>
      <c r="D471" s="195">
        <v>25343.439999999999</v>
      </c>
      <c r="E471" s="330">
        <f t="shared" si="22"/>
        <v>25343.439999999999</v>
      </c>
      <c r="F471" s="192" t="s">
        <v>493</v>
      </c>
      <c r="G471" s="254"/>
      <c r="H471" s="108"/>
      <c r="I471" s="107"/>
      <c r="J471" s="108"/>
      <c r="K471" s="108"/>
      <c r="L471" s="108"/>
      <c r="M471" s="108"/>
    </row>
    <row r="472" spans="1:13" ht="24.6" x14ac:dyDescent="0.7">
      <c r="A472" s="136">
        <v>11</v>
      </c>
      <c r="B472" s="192" t="s">
        <v>500</v>
      </c>
      <c r="C472" s="193">
        <v>2</v>
      </c>
      <c r="D472" s="195">
        <v>150000</v>
      </c>
      <c r="E472" s="330">
        <f t="shared" si="22"/>
        <v>300000</v>
      </c>
      <c r="F472" s="192" t="s">
        <v>493</v>
      </c>
      <c r="G472" s="254"/>
      <c r="H472" s="108"/>
      <c r="I472" s="107"/>
      <c r="J472" s="108"/>
      <c r="K472" s="108"/>
      <c r="L472" s="108"/>
      <c r="M472" s="108"/>
    </row>
    <row r="473" spans="1:13" ht="24.6" x14ac:dyDescent="0.7">
      <c r="A473" s="136">
        <v>12</v>
      </c>
      <c r="B473" s="192" t="s">
        <v>546</v>
      </c>
      <c r="C473" s="193">
        <v>1</v>
      </c>
      <c r="D473" s="195">
        <v>45000</v>
      </c>
      <c r="E473" s="330">
        <f t="shared" si="22"/>
        <v>45000</v>
      </c>
      <c r="F473" s="192" t="s">
        <v>493</v>
      </c>
      <c r="G473" s="254"/>
      <c r="H473" s="108"/>
      <c r="I473" s="107"/>
      <c r="J473" s="108"/>
      <c r="K473" s="108"/>
      <c r="L473" s="108"/>
      <c r="M473" s="108"/>
    </row>
    <row r="474" spans="1:13" ht="24.6" x14ac:dyDescent="0.7">
      <c r="A474" s="136">
        <v>13</v>
      </c>
      <c r="B474" s="192" t="s">
        <v>501</v>
      </c>
      <c r="C474" s="193">
        <v>4</v>
      </c>
      <c r="D474" s="195">
        <v>25000</v>
      </c>
      <c r="E474" s="330">
        <f t="shared" si="22"/>
        <v>100000</v>
      </c>
      <c r="F474" s="192" t="s">
        <v>493</v>
      </c>
      <c r="G474" s="254"/>
      <c r="H474" s="108"/>
      <c r="I474" s="107"/>
      <c r="J474" s="108"/>
      <c r="K474" s="108"/>
      <c r="L474" s="108"/>
      <c r="M474" s="108"/>
    </row>
    <row r="475" spans="1:13" ht="24.75" customHeight="1" x14ac:dyDescent="0.7">
      <c r="A475" s="136">
        <v>14</v>
      </c>
      <c r="B475" s="192" t="s">
        <v>502</v>
      </c>
      <c r="C475" s="193">
        <v>1</v>
      </c>
      <c r="D475" s="195">
        <v>100000</v>
      </c>
      <c r="E475" s="330">
        <f t="shared" si="22"/>
        <v>100000</v>
      </c>
      <c r="F475" s="192" t="s">
        <v>493</v>
      </c>
      <c r="G475" s="254"/>
      <c r="H475" s="108"/>
      <c r="I475" s="107"/>
      <c r="J475" s="108"/>
      <c r="K475" s="108"/>
      <c r="L475" s="108"/>
      <c r="M475" s="108"/>
    </row>
    <row r="476" spans="1:13" ht="22.5" customHeight="1" x14ac:dyDescent="0.25">
      <c r="A476" s="136">
        <v>15</v>
      </c>
      <c r="B476" s="196" t="s">
        <v>503</v>
      </c>
      <c r="C476" s="197">
        <v>1</v>
      </c>
      <c r="D476" s="198">
        <v>60000</v>
      </c>
      <c r="E476" s="330">
        <f t="shared" si="22"/>
        <v>60000</v>
      </c>
      <c r="F476" s="196" t="s">
        <v>493</v>
      </c>
      <c r="G476" s="255"/>
      <c r="H476" s="108"/>
      <c r="I476" s="107"/>
      <c r="J476" s="108"/>
      <c r="K476" s="108"/>
      <c r="L476" s="108"/>
      <c r="M476" s="108"/>
    </row>
    <row r="477" spans="1:13" ht="105.75" customHeight="1" x14ac:dyDescent="0.25">
      <c r="A477" s="136">
        <v>16</v>
      </c>
      <c r="B477" s="196" t="s">
        <v>504</v>
      </c>
      <c r="C477" s="197">
        <v>9</v>
      </c>
      <c r="D477" s="198">
        <v>60000</v>
      </c>
      <c r="E477" s="330">
        <f t="shared" si="22"/>
        <v>540000</v>
      </c>
      <c r="F477" s="199" t="s">
        <v>919</v>
      </c>
      <c r="G477" s="256"/>
      <c r="H477" s="108"/>
      <c r="I477" s="107"/>
      <c r="J477" s="108"/>
      <c r="K477" s="108"/>
      <c r="L477" s="108"/>
      <c r="M477" s="108"/>
    </row>
    <row r="478" spans="1:13" ht="24" customHeight="1" x14ac:dyDescent="0.25">
      <c r="A478" s="136">
        <v>17</v>
      </c>
      <c r="B478" s="196" t="s">
        <v>505</v>
      </c>
      <c r="C478" s="197">
        <v>3</v>
      </c>
      <c r="D478" s="198">
        <v>240000</v>
      </c>
      <c r="E478" s="330">
        <f t="shared" si="22"/>
        <v>720000</v>
      </c>
      <c r="F478" s="199" t="s">
        <v>506</v>
      </c>
      <c r="G478" s="256"/>
      <c r="H478" s="108"/>
      <c r="I478" s="107"/>
      <c r="J478" s="108"/>
      <c r="K478" s="108"/>
      <c r="L478" s="108"/>
      <c r="M478" s="108"/>
    </row>
    <row r="479" spans="1:13" ht="24.6" x14ac:dyDescent="0.25">
      <c r="A479" s="136">
        <v>18</v>
      </c>
      <c r="B479" s="196" t="s">
        <v>507</v>
      </c>
      <c r="C479" s="197">
        <v>1</v>
      </c>
      <c r="D479" s="198">
        <v>150000</v>
      </c>
      <c r="E479" s="330">
        <f t="shared" si="22"/>
        <v>150000</v>
      </c>
      <c r="F479" s="199" t="s">
        <v>368</v>
      </c>
      <c r="G479" s="256"/>
      <c r="H479" s="108"/>
      <c r="I479" s="107"/>
      <c r="J479" s="108"/>
      <c r="K479" s="108"/>
      <c r="L479" s="108"/>
      <c r="M479" s="108"/>
    </row>
    <row r="480" spans="1:13" ht="24.6" x14ac:dyDescent="0.25">
      <c r="A480" s="136">
        <v>19</v>
      </c>
      <c r="B480" s="196" t="s">
        <v>548</v>
      </c>
      <c r="C480" s="197">
        <v>6</v>
      </c>
      <c r="D480" s="198">
        <v>4600</v>
      </c>
      <c r="E480" s="330">
        <f t="shared" si="22"/>
        <v>27600</v>
      </c>
      <c r="F480" s="199" t="s">
        <v>493</v>
      </c>
      <c r="G480" s="256"/>
      <c r="H480" s="108"/>
      <c r="I480" s="107"/>
      <c r="J480" s="108"/>
      <c r="K480" s="108"/>
      <c r="L480" s="108"/>
      <c r="M480" s="108"/>
    </row>
    <row r="481" spans="1:13" ht="24.6" x14ac:dyDescent="0.25">
      <c r="A481" s="151"/>
      <c r="B481" s="212" t="s">
        <v>3</v>
      </c>
      <c r="C481" s="141"/>
      <c r="D481" s="213"/>
      <c r="E481" s="331">
        <f>SUM(E462:E480)</f>
        <v>2436828.44</v>
      </c>
      <c r="F481" s="151"/>
      <c r="G481" s="108"/>
      <c r="H481" s="108"/>
      <c r="I481" s="107"/>
      <c r="J481" s="108"/>
      <c r="K481" s="108"/>
      <c r="L481" s="108"/>
      <c r="M481" s="108"/>
    </row>
    <row r="482" spans="1:13" ht="24.6" x14ac:dyDescent="0.25">
      <c r="A482" s="108"/>
      <c r="B482" s="217"/>
      <c r="C482" s="111"/>
      <c r="D482" s="115"/>
      <c r="E482" s="332"/>
      <c r="F482" s="108"/>
      <c r="G482" s="108"/>
      <c r="H482" s="108"/>
      <c r="I482" s="107"/>
      <c r="J482" s="108"/>
      <c r="K482" s="108"/>
      <c r="L482" s="108"/>
      <c r="M482" s="108"/>
    </row>
    <row r="483" spans="1:13" ht="24.6" x14ac:dyDescent="0.25">
      <c r="A483" s="108"/>
      <c r="B483" s="217"/>
      <c r="C483" s="111"/>
      <c r="D483" s="115"/>
      <c r="E483" s="332"/>
      <c r="F483" s="108"/>
      <c r="G483" s="108"/>
      <c r="H483" s="108"/>
      <c r="I483" s="107"/>
      <c r="J483" s="108"/>
      <c r="K483" s="108"/>
      <c r="L483" s="108"/>
      <c r="M483" s="108"/>
    </row>
    <row r="484" spans="1:13" ht="24.6" x14ac:dyDescent="0.25">
      <c r="A484" s="108"/>
      <c r="B484" s="217"/>
      <c r="C484" s="111"/>
      <c r="D484" s="115"/>
      <c r="E484" s="332"/>
      <c r="F484" s="108"/>
      <c r="G484" s="108"/>
      <c r="H484" s="108"/>
      <c r="I484" s="107"/>
      <c r="J484" s="108"/>
      <c r="K484" s="108"/>
      <c r="L484" s="108"/>
      <c r="M484" s="108"/>
    </row>
    <row r="485" spans="1:13" ht="24.6" x14ac:dyDescent="0.25">
      <c r="A485" s="1529" t="s">
        <v>491</v>
      </c>
      <c r="B485" s="1530"/>
      <c r="C485" s="1530"/>
      <c r="D485" s="1530"/>
      <c r="E485" s="1530"/>
      <c r="F485" s="1531"/>
      <c r="G485" s="108"/>
      <c r="H485" s="108"/>
      <c r="I485" s="107"/>
      <c r="J485" s="108"/>
      <c r="K485" s="108"/>
      <c r="L485" s="108"/>
      <c r="M485" s="108"/>
    </row>
    <row r="486" spans="1:13" ht="24.6" x14ac:dyDescent="0.25">
      <c r="A486" s="141">
        <v>1</v>
      </c>
      <c r="B486" s="174" t="s">
        <v>509</v>
      </c>
      <c r="C486" s="167">
        <v>1</v>
      </c>
      <c r="D486" s="182">
        <v>800000</v>
      </c>
      <c r="E486" s="177">
        <f>+C486*D486</f>
        <v>800000</v>
      </c>
      <c r="F486" s="151" t="s">
        <v>510</v>
      </c>
      <c r="G486" s="108"/>
      <c r="H486" s="108"/>
      <c r="I486" s="107"/>
      <c r="J486" s="108"/>
      <c r="K486" s="108"/>
      <c r="L486" s="108"/>
      <c r="M486" s="108"/>
    </row>
    <row r="487" spans="1:13" ht="24.6" x14ac:dyDescent="0.25">
      <c r="A487" s="141">
        <v>2</v>
      </c>
      <c r="B487" s="174" t="s">
        <v>511</v>
      </c>
      <c r="C487" s="167">
        <v>1</v>
      </c>
      <c r="D487" s="182">
        <v>500000</v>
      </c>
      <c r="E487" s="177">
        <f t="shared" ref="E487:E490" si="23">+C487*D487</f>
        <v>500000</v>
      </c>
      <c r="F487" s="151" t="s">
        <v>324</v>
      </c>
      <c r="G487" s="108"/>
      <c r="H487" s="108"/>
      <c r="I487" s="107"/>
      <c r="J487" s="108"/>
      <c r="K487" s="108"/>
      <c r="L487" s="108"/>
      <c r="M487" s="108"/>
    </row>
    <row r="488" spans="1:13" ht="24.6" x14ac:dyDescent="0.25">
      <c r="A488" s="141">
        <v>3</v>
      </c>
      <c r="B488" s="174" t="s">
        <v>512</v>
      </c>
      <c r="C488" s="167">
        <v>1</v>
      </c>
      <c r="D488" s="182">
        <v>120000</v>
      </c>
      <c r="E488" s="177">
        <f t="shared" si="23"/>
        <v>120000</v>
      </c>
      <c r="F488" s="151" t="s">
        <v>328</v>
      </c>
      <c r="G488" s="108"/>
      <c r="H488" s="108"/>
      <c r="I488" s="107"/>
      <c r="J488" s="108"/>
      <c r="K488" s="108"/>
      <c r="L488" s="108"/>
      <c r="M488" s="108"/>
    </row>
    <row r="489" spans="1:13" ht="24.6" x14ac:dyDescent="0.25">
      <c r="A489" s="141">
        <v>4</v>
      </c>
      <c r="B489" s="174" t="s">
        <v>513</v>
      </c>
      <c r="C489" s="167">
        <v>1</v>
      </c>
      <c r="D489" s="182">
        <v>228000</v>
      </c>
      <c r="E489" s="177">
        <f t="shared" si="23"/>
        <v>228000</v>
      </c>
      <c r="F489" s="151" t="s">
        <v>480</v>
      </c>
      <c r="G489" s="108"/>
      <c r="H489" s="108"/>
      <c r="I489" s="107"/>
      <c r="J489" s="108"/>
      <c r="K489" s="108"/>
      <c r="L489" s="108"/>
      <c r="M489" s="108"/>
    </row>
    <row r="490" spans="1:13" ht="49.2" x14ac:dyDescent="0.25">
      <c r="A490" s="141">
        <v>5</v>
      </c>
      <c r="B490" s="174" t="s">
        <v>514</v>
      </c>
      <c r="C490" s="167">
        <v>1</v>
      </c>
      <c r="D490" s="182">
        <v>500000</v>
      </c>
      <c r="E490" s="177">
        <f t="shared" si="23"/>
        <v>500000</v>
      </c>
      <c r="F490" s="151" t="s">
        <v>480</v>
      </c>
      <c r="G490" s="108"/>
      <c r="H490" s="108"/>
      <c r="I490" s="107"/>
      <c r="J490" s="108"/>
      <c r="K490" s="108"/>
      <c r="L490" s="108"/>
      <c r="M490" s="108"/>
    </row>
    <row r="491" spans="1:13" ht="24.6" x14ac:dyDescent="0.25">
      <c r="A491" s="151"/>
      <c r="B491" s="212" t="s">
        <v>3</v>
      </c>
      <c r="C491" s="141"/>
      <c r="D491" s="213"/>
      <c r="E491" s="321">
        <f>SUM(E486:E490)</f>
        <v>2148000</v>
      </c>
      <c r="F491" s="151"/>
      <c r="G491" s="108"/>
      <c r="H491" s="108"/>
      <c r="I491" s="107"/>
      <c r="J491" s="108"/>
      <c r="K491" s="108"/>
      <c r="L491" s="108"/>
      <c r="M491" s="108"/>
    </row>
    <row r="492" spans="1:13" ht="24.6" x14ac:dyDescent="0.25">
      <c r="A492" s="108"/>
      <c r="B492" s="217"/>
      <c r="C492" s="111"/>
      <c r="D492" s="115"/>
      <c r="E492" s="316"/>
      <c r="F492" s="108"/>
      <c r="G492" s="108"/>
      <c r="H492" s="108"/>
      <c r="I492" s="107"/>
      <c r="J492" s="108"/>
      <c r="K492" s="108"/>
      <c r="L492" s="108"/>
      <c r="M492" s="108"/>
    </row>
    <row r="493" spans="1:13" ht="24.6" x14ac:dyDescent="0.25">
      <c r="A493" s="108"/>
      <c r="B493" s="169" t="s">
        <v>263</v>
      </c>
      <c r="C493" s="111"/>
      <c r="D493" s="115"/>
      <c r="F493" s="108"/>
      <c r="G493" s="108"/>
      <c r="H493" s="108"/>
      <c r="I493" s="107"/>
      <c r="J493" s="108"/>
      <c r="K493" s="108"/>
      <c r="L493" s="108"/>
      <c r="M493" s="108"/>
    </row>
    <row r="494" spans="1:13" ht="49.2" x14ac:dyDescent="0.25">
      <c r="A494" s="162" t="s">
        <v>1</v>
      </c>
      <c r="B494" s="162" t="s">
        <v>2</v>
      </c>
      <c r="C494" s="163" t="s">
        <v>291</v>
      </c>
      <c r="D494" s="163" t="s">
        <v>292</v>
      </c>
      <c r="E494" s="318" t="s">
        <v>293</v>
      </c>
      <c r="F494" s="162" t="s">
        <v>294</v>
      </c>
      <c r="G494" s="248"/>
      <c r="H494" s="108"/>
      <c r="I494" s="107"/>
      <c r="J494" s="108"/>
      <c r="K494" s="108"/>
      <c r="L494" s="108"/>
      <c r="M494" s="108"/>
    </row>
    <row r="495" spans="1:13" s="233" customFormat="1" ht="24.6" x14ac:dyDescent="0.25">
      <c r="A495" s="234">
        <v>1</v>
      </c>
      <c r="B495" s="235" t="s">
        <v>448</v>
      </c>
      <c r="C495" s="234">
        <v>10</v>
      </c>
      <c r="D495" s="242">
        <v>10000</v>
      </c>
      <c r="E495" s="319">
        <f>+C495*D495</f>
        <v>100000</v>
      </c>
      <c r="F495" s="230" t="s">
        <v>434</v>
      </c>
      <c r="H495" s="232"/>
      <c r="I495" s="231"/>
      <c r="J495" s="232"/>
      <c r="K495" s="232"/>
      <c r="L495" s="232"/>
      <c r="M495" s="232"/>
    </row>
    <row r="496" spans="1:13" s="233" customFormat="1" ht="24.6" x14ac:dyDescent="0.25">
      <c r="A496" s="234">
        <v>2</v>
      </c>
      <c r="B496" s="235" t="s">
        <v>449</v>
      </c>
      <c r="C496" s="234">
        <v>5</v>
      </c>
      <c r="D496" s="242">
        <v>30000</v>
      </c>
      <c r="E496" s="319">
        <f t="shared" ref="E496:E538" si="24">+C496*D496</f>
        <v>150000</v>
      </c>
      <c r="F496" s="230" t="s">
        <v>434</v>
      </c>
      <c r="H496" s="232"/>
      <c r="I496" s="231"/>
      <c r="J496" s="232"/>
      <c r="K496" s="232"/>
      <c r="L496" s="232"/>
      <c r="M496" s="232"/>
    </row>
    <row r="497" spans="1:13" s="233" customFormat="1" ht="24.6" x14ac:dyDescent="0.25">
      <c r="A497" s="234">
        <v>3</v>
      </c>
      <c r="B497" s="235" t="s">
        <v>450</v>
      </c>
      <c r="C497" s="234">
        <v>15</v>
      </c>
      <c r="D497" s="242">
        <v>50000</v>
      </c>
      <c r="E497" s="319">
        <f t="shared" si="24"/>
        <v>750000</v>
      </c>
      <c r="F497" s="230" t="s">
        <v>434</v>
      </c>
      <c r="H497" s="232"/>
      <c r="I497" s="231"/>
      <c r="J497" s="232"/>
      <c r="K497" s="232"/>
      <c r="L497" s="232"/>
      <c r="M497" s="232"/>
    </row>
    <row r="498" spans="1:13" s="233" customFormat="1" ht="24.6" x14ac:dyDescent="0.25">
      <c r="A498" s="234">
        <v>4</v>
      </c>
      <c r="B498" s="235" t="s">
        <v>451</v>
      </c>
      <c r="C498" s="234">
        <v>10</v>
      </c>
      <c r="D498" s="242">
        <v>65000</v>
      </c>
      <c r="E498" s="319">
        <f t="shared" si="24"/>
        <v>650000</v>
      </c>
      <c r="F498" s="230" t="s">
        <v>434</v>
      </c>
      <c r="H498" s="232"/>
      <c r="I498" s="231"/>
      <c r="J498" s="232"/>
      <c r="K498" s="232"/>
      <c r="L498" s="232"/>
      <c r="M498" s="232"/>
    </row>
    <row r="499" spans="1:13" s="233" customFormat="1" ht="24.6" x14ac:dyDescent="0.25">
      <c r="A499" s="234">
        <v>5</v>
      </c>
      <c r="B499" s="235" t="s">
        <v>452</v>
      </c>
      <c r="C499" s="234">
        <v>20</v>
      </c>
      <c r="D499" s="242">
        <v>8500</v>
      </c>
      <c r="E499" s="319">
        <f t="shared" si="24"/>
        <v>170000</v>
      </c>
      <c r="F499" s="230" t="s">
        <v>434</v>
      </c>
      <c r="H499" s="232"/>
      <c r="I499" s="231"/>
      <c r="J499" s="232"/>
      <c r="K499" s="232"/>
      <c r="L499" s="232"/>
      <c r="M499" s="232"/>
    </row>
    <row r="500" spans="1:13" s="233" customFormat="1" ht="24.6" x14ac:dyDescent="0.25">
      <c r="A500" s="234">
        <v>6</v>
      </c>
      <c r="B500" s="235" t="s">
        <v>453</v>
      </c>
      <c r="C500" s="234">
        <v>20</v>
      </c>
      <c r="D500" s="242">
        <v>9500</v>
      </c>
      <c r="E500" s="319">
        <f t="shared" si="24"/>
        <v>190000</v>
      </c>
      <c r="F500" s="230" t="s">
        <v>434</v>
      </c>
      <c r="H500" s="232"/>
      <c r="I500" s="231"/>
      <c r="J500" s="232"/>
      <c r="K500" s="232"/>
      <c r="L500" s="232"/>
      <c r="M500" s="232"/>
    </row>
    <row r="501" spans="1:13" s="233" customFormat="1" ht="24.6" x14ac:dyDescent="0.25">
      <c r="A501" s="234">
        <v>7</v>
      </c>
      <c r="B501" s="235" t="s">
        <v>454</v>
      </c>
      <c r="C501" s="234">
        <v>20</v>
      </c>
      <c r="D501" s="242">
        <v>5500</v>
      </c>
      <c r="E501" s="319">
        <f t="shared" si="24"/>
        <v>110000</v>
      </c>
      <c r="F501" s="230" t="s">
        <v>434</v>
      </c>
      <c r="H501" s="232"/>
      <c r="I501" s="231"/>
      <c r="J501" s="232"/>
      <c r="K501" s="232"/>
      <c r="L501" s="232"/>
      <c r="M501" s="232"/>
    </row>
    <row r="502" spans="1:13" s="233" customFormat="1" ht="24.6" x14ac:dyDescent="0.25">
      <c r="A502" s="234">
        <v>8</v>
      </c>
      <c r="B502" s="235" t="s">
        <v>455</v>
      </c>
      <c r="C502" s="234">
        <v>20</v>
      </c>
      <c r="D502" s="242">
        <v>10000</v>
      </c>
      <c r="E502" s="319">
        <f t="shared" si="24"/>
        <v>200000</v>
      </c>
      <c r="F502" s="230" t="s">
        <v>434</v>
      </c>
      <c r="H502" s="232"/>
      <c r="I502" s="231"/>
      <c r="J502" s="232"/>
      <c r="K502" s="232"/>
      <c r="L502" s="232"/>
      <c r="M502" s="232"/>
    </row>
    <row r="503" spans="1:13" s="233" customFormat="1" ht="24.6" x14ac:dyDescent="0.25">
      <c r="A503" s="234">
        <v>9</v>
      </c>
      <c r="B503" s="235" t="s">
        <v>456</v>
      </c>
      <c r="C503" s="234">
        <v>20</v>
      </c>
      <c r="D503" s="242">
        <v>20000</v>
      </c>
      <c r="E503" s="319">
        <f t="shared" si="24"/>
        <v>400000</v>
      </c>
      <c r="F503" s="230" t="s">
        <v>434</v>
      </c>
      <c r="H503" s="232"/>
      <c r="I503" s="231"/>
      <c r="J503" s="232"/>
      <c r="K503" s="232"/>
      <c r="L503" s="232"/>
      <c r="M503" s="232"/>
    </row>
    <row r="504" spans="1:13" s="233" customFormat="1" ht="24.6" x14ac:dyDescent="0.25">
      <c r="A504" s="234">
        <v>10</v>
      </c>
      <c r="B504" s="237" t="s">
        <v>457</v>
      </c>
      <c r="C504" s="229">
        <v>6</v>
      </c>
      <c r="D504" s="236">
        <v>70000</v>
      </c>
      <c r="E504" s="319">
        <f t="shared" si="24"/>
        <v>420000</v>
      </c>
      <c r="F504" s="230" t="s">
        <v>434</v>
      </c>
      <c r="H504" s="232"/>
      <c r="I504" s="231"/>
      <c r="J504" s="232"/>
      <c r="K504" s="232"/>
      <c r="L504" s="232"/>
      <c r="M504" s="232"/>
    </row>
    <row r="505" spans="1:13" s="233" customFormat="1" ht="24.6" x14ac:dyDescent="0.25">
      <c r="A505" s="234">
        <v>11</v>
      </c>
      <c r="B505" s="235" t="s">
        <v>443</v>
      </c>
      <c r="C505" s="238">
        <v>30</v>
      </c>
      <c r="D505" s="239">
        <v>6000</v>
      </c>
      <c r="E505" s="319">
        <f t="shared" si="24"/>
        <v>180000</v>
      </c>
      <c r="F505" s="230" t="s">
        <v>434</v>
      </c>
      <c r="H505" s="232"/>
      <c r="I505" s="231"/>
      <c r="J505" s="232"/>
      <c r="K505" s="232"/>
      <c r="L505" s="232"/>
      <c r="M505" s="232"/>
    </row>
    <row r="506" spans="1:13" s="233" customFormat="1" ht="24.6" x14ac:dyDescent="0.25">
      <c r="A506" s="234">
        <v>12</v>
      </c>
      <c r="B506" s="240" t="s">
        <v>445</v>
      </c>
      <c r="C506" s="241">
        <v>100</v>
      </c>
      <c r="D506" s="243">
        <v>3200</v>
      </c>
      <c r="E506" s="319">
        <f t="shared" si="24"/>
        <v>320000</v>
      </c>
      <c r="F506" s="230" t="s">
        <v>434</v>
      </c>
      <c r="H506" s="232"/>
      <c r="I506" s="231"/>
      <c r="J506" s="232"/>
      <c r="K506" s="232"/>
      <c r="L506" s="232"/>
      <c r="M506" s="232"/>
    </row>
    <row r="507" spans="1:13" s="233" customFormat="1" ht="24.6" x14ac:dyDescent="0.25">
      <c r="A507" s="234">
        <v>13</v>
      </c>
      <c r="B507" s="240" t="s">
        <v>446</v>
      </c>
      <c r="C507" s="241">
        <v>200</v>
      </c>
      <c r="D507" s="243">
        <v>600</v>
      </c>
      <c r="E507" s="319">
        <f t="shared" si="24"/>
        <v>120000</v>
      </c>
      <c r="F507" s="230" t="s">
        <v>434</v>
      </c>
      <c r="H507" s="232"/>
      <c r="I507" s="231"/>
      <c r="J507" s="232"/>
      <c r="K507" s="232"/>
      <c r="L507" s="232"/>
      <c r="M507" s="232"/>
    </row>
    <row r="508" spans="1:13" s="233" customFormat="1" ht="24.6" x14ac:dyDescent="0.25">
      <c r="A508" s="234">
        <v>14</v>
      </c>
      <c r="B508" s="240" t="s">
        <v>447</v>
      </c>
      <c r="C508" s="241">
        <v>400</v>
      </c>
      <c r="D508" s="243">
        <v>500</v>
      </c>
      <c r="E508" s="319">
        <f t="shared" si="24"/>
        <v>200000</v>
      </c>
      <c r="F508" s="230" t="s">
        <v>434</v>
      </c>
      <c r="H508" s="232"/>
      <c r="I508" s="231"/>
      <c r="J508" s="232"/>
      <c r="K508" s="232"/>
      <c r="L508" s="232"/>
      <c r="M508" s="232"/>
    </row>
    <row r="509" spans="1:13" s="233" customFormat="1" ht="24.6" x14ac:dyDescent="0.25">
      <c r="A509" s="234"/>
      <c r="B509" s="311" t="s">
        <v>652</v>
      </c>
      <c r="C509" s="312">
        <v>15</v>
      </c>
      <c r="D509" s="313">
        <v>3650</v>
      </c>
      <c r="E509" s="319">
        <f t="shared" si="24"/>
        <v>54750</v>
      </c>
      <c r="F509" s="230"/>
      <c r="H509" s="232"/>
      <c r="I509" s="231"/>
      <c r="J509" s="232"/>
      <c r="K509" s="232"/>
      <c r="L509" s="232"/>
      <c r="M509" s="232"/>
    </row>
    <row r="510" spans="1:13" s="233" customFormat="1" ht="24.6" x14ac:dyDescent="0.25">
      <c r="A510" s="234"/>
      <c r="B510" s="311" t="s">
        <v>653</v>
      </c>
      <c r="C510" s="312">
        <v>10</v>
      </c>
      <c r="D510" s="313">
        <v>10000</v>
      </c>
      <c r="E510" s="319">
        <f t="shared" si="24"/>
        <v>100000</v>
      </c>
      <c r="F510" s="230"/>
      <c r="H510" s="232"/>
      <c r="I510" s="231"/>
      <c r="J510" s="232"/>
      <c r="K510" s="232"/>
      <c r="L510" s="232"/>
      <c r="M510" s="232"/>
    </row>
    <row r="511" spans="1:13" s="233" customFormat="1" ht="24.6" x14ac:dyDescent="0.25">
      <c r="A511" s="234"/>
      <c r="B511" s="311" t="s">
        <v>654</v>
      </c>
      <c r="C511" s="312">
        <v>10</v>
      </c>
      <c r="D511" s="313">
        <v>3500</v>
      </c>
      <c r="E511" s="319">
        <f t="shared" si="24"/>
        <v>35000</v>
      </c>
      <c r="F511" s="230"/>
      <c r="H511" s="232"/>
      <c r="I511" s="231"/>
      <c r="J511" s="232"/>
      <c r="K511" s="232"/>
      <c r="L511" s="232"/>
      <c r="M511" s="232"/>
    </row>
    <row r="512" spans="1:13" s="233" customFormat="1" ht="24.6" x14ac:dyDescent="0.25">
      <c r="A512" s="234"/>
      <c r="B512" s="311" t="s">
        <v>655</v>
      </c>
      <c r="C512" s="312">
        <v>10</v>
      </c>
      <c r="D512" s="313">
        <v>3000</v>
      </c>
      <c r="E512" s="319">
        <f t="shared" si="24"/>
        <v>30000</v>
      </c>
      <c r="F512" s="230"/>
      <c r="H512" s="232"/>
      <c r="I512" s="231"/>
      <c r="J512" s="232"/>
      <c r="K512" s="232"/>
      <c r="L512" s="232"/>
      <c r="M512" s="232"/>
    </row>
    <row r="513" spans="1:13" s="233" customFormat="1" ht="24.6" x14ac:dyDescent="0.25">
      <c r="A513" s="234"/>
      <c r="B513" s="311" t="s">
        <v>656</v>
      </c>
      <c r="C513" s="312">
        <v>30</v>
      </c>
      <c r="D513" s="314">
        <v>700</v>
      </c>
      <c r="E513" s="319">
        <f t="shared" si="24"/>
        <v>21000</v>
      </c>
      <c r="F513" s="230"/>
      <c r="H513" s="232"/>
      <c r="I513" s="231"/>
      <c r="J513" s="232"/>
      <c r="K513" s="232"/>
      <c r="L513" s="232"/>
      <c r="M513" s="232"/>
    </row>
    <row r="514" spans="1:13" s="233" customFormat="1" ht="24.6" x14ac:dyDescent="0.25">
      <c r="A514" s="234"/>
      <c r="B514" s="311" t="s">
        <v>657</v>
      </c>
      <c r="C514" s="312">
        <v>10</v>
      </c>
      <c r="D514" s="314">
        <v>7150</v>
      </c>
      <c r="E514" s="319">
        <f t="shared" si="24"/>
        <v>71500</v>
      </c>
      <c r="F514" s="230"/>
      <c r="H514" s="232"/>
      <c r="I514" s="231"/>
      <c r="J514" s="232"/>
      <c r="K514" s="232"/>
      <c r="L514" s="232"/>
      <c r="M514" s="232"/>
    </row>
    <row r="515" spans="1:13" s="233" customFormat="1" ht="24.6" x14ac:dyDescent="0.25">
      <c r="A515" s="234"/>
      <c r="B515" s="311" t="s">
        <v>658</v>
      </c>
      <c r="C515" s="312">
        <v>10</v>
      </c>
      <c r="D515" s="314">
        <v>2000</v>
      </c>
      <c r="E515" s="319">
        <f t="shared" si="24"/>
        <v>20000</v>
      </c>
      <c r="F515" s="230"/>
      <c r="H515" s="232"/>
      <c r="I515" s="231"/>
      <c r="J515" s="232"/>
      <c r="K515" s="232"/>
      <c r="L515" s="232"/>
      <c r="M515" s="232"/>
    </row>
    <row r="516" spans="1:13" s="233" customFormat="1" ht="24.6" x14ac:dyDescent="0.25">
      <c r="A516" s="234"/>
      <c r="B516" s="311" t="s">
        <v>659</v>
      </c>
      <c r="C516" s="312">
        <v>20</v>
      </c>
      <c r="D516" s="313">
        <v>1600</v>
      </c>
      <c r="E516" s="319">
        <f t="shared" si="24"/>
        <v>32000</v>
      </c>
      <c r="F516" s="230"/>
      <c r="H516" s="232"/>
      <c r="I516" s="231"/>
      <c r="J516" s="232"/>
      <c r="K516" s="232"/>
      <c r="L516" s="232"/>
      <c r="M516" s="232"/>
    </row>
    <row r="517" spans="1:13" s="233" customFormat="1" ht="24.6" x14ac:dyDescent="0.25">
      <c r="A517" s="234"/>
      <c r="B517" s="311" t="s">
        <v>660</v>
      </c>
      <c r="C517" s="312">
        <v>20</v>
      </c>
      <c r="D517" s="313">
        <v>2700</v>
      </c>
      <c r="E517" s="319">
        <f t="shared" si="24"/>
        <v>54000</v>
      </c>
      <c r="F517" s="230"/>
      <c r="H517" s="232"/>
      <c r="I517" s="231"/>
      <c r="J517" s="232"/>
      <c r="K517" s="232"/>
      <c r="L517" s="232"/>
      <c r="M517" s="232"/>
    </row>
    <row r="518" spans="1:13" s="233" customFormat="1" ht="24.6" x14ac:dyDescent="0.25">
      <c r="A518" s="234"/>
      <c r="B518" s="311" t="s">
        <v>661</v>
      </c>
      <c r="C518" s="312">
        <v>10</v>
      </c>
      <c r="D518" s="313">
        <v>1150</v>
      </c>
      <c r="E518" s="319">
        <f t="shared" si="24"/>
        <v>11500</v>
      </c>
      <c r="F518" s="230"/>
      <c r="H518" s="232"/>
      <c r="I518" s="231"/>
      <c r="J518" s="232"/>
      <c r="K518" s="232"/>
      <c r="L518" s="232"/>
      <c r="M518" s="232"/>
    </row>
    <row r="519" spans="1:13" s="233" customFormat="1" ht="24.6" x14ac:dyDescent="0.25">
      <c r="A519" s="234"/>
      <c r="B519" s="311" t="s">
        <v>662</v>
      </c>
      <c r="C519" s="312">
        <v>20</v>
      </c>
      <c r="D519" s="314">
        <v>1500</v>
      </c>
      <c r="E519" s="319">
        <f t="shared" si="24"/>
        <v>30000</v>
      </c>
      <c r="F519" s="230"/>
      <c r="H519" s="232"/>
      <c r="I519" s="231"/>
      <c r="J519" s="232"/>
      <c r="K519" s="232"/>
      <c r="L519" s="232"/>
      <c r="M519" s="232"/>
    </row>
    <row r="520" spans="1:13" s="233" customFormat="1" ht="24.6" x14ac:dyDescent="0.25">
      <c r="A520" s="234"/>
      <c r="B520" s="311" t="s">
        <v>663</v>
      </c>
      <c r="C520" s="312">
        <v>10</v>
      </c>
      <c r="D520" s="314">
        <v>4800</v>
      </c>
      <c r="E520" s="319">
        <f t="shared" si="24"/>
        <v>48000</v>
      </c>
      <c r="F520" s="230"/>
      <c r="H520" s="232"/>
      <c r="I520" s="231"/>
      <c r="J520" s="232"/>
      <c r="K520" s="232"/>
      <c r="L520" s="232"/>
      <c r="M520" s="232"/>
    </row>
    <row r="521" spans="1:13" s="233" customFormat="1" ht="24.6" x14ac:dyDescent="0.25">
      <c r="A521" s="234"/>
      <c r="B521" s="311" t="s">
        <v>664</v>
      </c>
      <c r="C521" s="312">
        <v>5</v>
      </c>
      <c r="D521" s="314">
        <v>7900</v>
      </c>
      <c r="E521" s="319">
        <f t="shared" si="24"/>
        <v>39500</v>
      </c>
      <c r="F521" s="230"/>
      <c r="H521" s="232"/>
      <c r="I521" s="231"/>
      <c r="J521" s="232"/>
      <c r="K521" s="232"/>
      <c r="L521" s="232"/>
      <c r="M521" s="232"/>
    </row>
    <row r="522" spans="1:13" s="233" customFormat="1" ht="24.6" x14ac:dyDescent="0.25">
      <c r="A522" s="234"/>
      <c r="B522" s="311" t="s">
        <v>665</v>
      </c>
      <c r="C522" s="312">
        <v>20</v>
      </c>
      <c r="D522" s="314">
        <v>1200</v>
      </c>
      <c r="E522" s="319">
        <f t="shared" si="24"/>
        <v>24000</v>
      </c>
      <c r="F522" s="230"/>
      <c r="H522" s="232"/>
      <c r="I522" s="231"/>
      <c r="J522" s="232"/>
      <c r="K522" s="232"/>
      <c r="L522" s="232"/>
      <c r="M522" s="232"/>
    </row>
    <row r="523" spans="1:13" s="233" customFormat="1" ht="24.6" x14ac:dyDescent="0.25">
      <c r="A523" s="234"/>
      <c r="B523" s="311" t="s">
        <v>666</v>
      </c>
      <c r="C523" s="312">
        <v>2</v>
      </c>
      <c r="D523" s="314">
        <v>4950</v>
      </c>
      <c r="E523" s="319">
        <f t="shared" si="24"/>
        <v>9900</v>
      </c>
      <c r="F523" s="230"/>
      <c r="H523" s="232"/>
      <c r="I523" s="231"/>
      <c r="J523" s="232"/>
      <c r="K523" s="232"/>
      <c r="L523" s="232"/>
      <c r="M523" s="232"/>
    </row>
    <row r="524" spans="1:13" s="233" customFormat="1" ht="24.6" x14ac:dyDescent="0.25">
      <c r="A524" s="234"/>
      <c r="B524" s="311" t="s">
        <v>667</v>
      </c>
      <c r="C524" s="312">
        <v>20</v>
      </c>
      <c r="D524" s="313">
        <v>3690</v>
      </c>
      <c r="E524" s="319">
        <f t="shared" si="24"/>
        <v>73800</v>
      </c>
      <c r="F524" s="230"/>
      <c r="H524" s="232"/>
      <c r="I524" s="231"/>
      <c r="J524" s="232"/>
      <c r="K524" s="232"/>
      <c r="L524" s="232"/>
      <c r="M524" s="232"/>
    </row>
    <row r="525" spans="1:13" s="233" customFormat="1" ht="24.6" x14ac:dyDescent="0.25">
      <c r="A525" s="234"/>
      <c r="B525" s="311" t="s">
        <v>668</v>
      </c>
      <c r="C525" s="312">
        <v>30</v>
      </c>
      <c r="D525" s="313">
        <v>250</v>
      </c>
      <c r="E525" s="319">
        <f t="shared" si="24"/>
        <v>7500</v>
      </c>
      <c r="F525" s="230"/>
      <c r="H525" s="232"/>
      <c r="I525" s="231"/>
      <c r="J525" s="232"/>
      <c r="K525" s="232"/>
      <c r="L525" s="232"/>
      <c r="M525" s="232"/>
    </row>
    <row r="526" spans="1:13" s="233" customFormat="1" ht="24.6" x14ac:dyDescent="0.25">
      <c r="A526" s="234"/>
      <c r="B526" s="311" t="s">
        <v>439</v>
      </c>
      <c r="C526" s="312">
        <v>3</v>
      </c>
      <c r="D526" s="314">
        <v>27000</v>
      </c>
      <c r="E526" s="319">
        <f t="shared" si="24"/>
        <v>81000</v>
      </c>
      <c r="F526" s="230"/>
      <c r="H526" s="232"/>
      <c r="I526" s="231"/>
      <c r="J526" s="232"/>
      <c r="K526" s="232"/>
      <c r="L526" s="232"/>
      <c r="M526" s="232"/>
    </row>
    <row r="527" spans="1:13" s="233" customFormat="1" ht="24.6" x14ac:dyDescent="0.25">
      <c r="A527" s="234"/>
      <c r="B527" s="320" t="s">
        <v>669</v>
      </c>
      <c r="C527" s="312">
        <v>15</v>
      </c>
      <c r="D527" s="314">
        <v>2250</v>
      </c>
      <c r="E527" s="319">
        <f t="shared" si="24"/>
        <v>33750</v>
      </c>
      <c r="F527" s="230"/>
      <c r="H527" s="232"/>
      <c r="I527" s="231"/>
      <c r="J527" s="232"/>
      <c r="K527" s="232"/>
      <c r="L527" s="232"/>
      <c r="M527" s="232"/>
    </row>
    <row r="528" spans="1:13" s="233" customFormat="1" ht="24.6" x14ac:dyDescent="0.25">
      <c r="A528" s="234"/>
      <c r="B528" s="311" t="s">
        <v>670</v>
      </c>
      <c r="C528" s="312">
        <v>10</v>
      </c>
      <c r="D528" s="314">
        <v>4000</v>
      </c>
      <c r="E528" s="319">
        <f t="shared" si="24"/>
        <v>40000</v>
      </c>
      <c r="F528" s="230"/>
      <c r="H528" s="232"/>
      <c r="I528" s="231"/>
      <c r="J528" s="232"/>
      <c r="K528" s="232"/>
      <c r="L528" s="232"/>
      <c r="M528" s="232"/>
    </row>
    <row r="529" spans="1:13" s="233" customFormat="1" ht="24.6" x14ac:dyDescent="0.25">
      <c r="A529" s="234"/>
      <c r="B529" s="311" t="s">
        <v>671</v>
      </c>
      <c r="C529" s="312">
        <v>5</v>
      </c>
      <c r="D529" s="314">
        <v>5000</v>
      </c>
      <c r="E529" s="319">
        <f t="shared" si="24"/>
        <v>25000</v>
      </c>
      <c r="F529" s="230"/>
      <c r="H529" s="232"/>
      <c r="I529" s="231"/>
      <c r="J529" s="232"/>
      <c r="K529" s="232"/>
      <c r="L529" s="232"/>
      <c r="M529" s="232"/>
    </row>
    <row r="530" spans="1:13" s="233" customFormat="1" ht="24.6" x14ac:dyDescent="0.25">
      <c r="A530" s="234"/>
      <c r="B530" s="311" t="s">
        <v>672</v>
      </c>
      <c r="C530" s="312">
        <v>4</v>
      </c>
      <c r="D530" s="314">
        <v>18500</v>
      </c>
      <c r="E530" s="319">
        <f t="shared" si="24"/>
        <v>74000</v>
      </c>
      <c r="F530" s="230"/>
      <c r="H530" s="232"/>
      <c r="I530" s="231"/>
      <c r="J530" s="232"/>
      <c r="K530" s="232"/>
      <c r="L530" s="232"/>
      <c r="M530" s="232"/>
    </row>
    <row r="531" spans="1:13" s="233" customFormat="1" ht="24.6" x14ac:dyDescent="0.25">
      <c r="A531" s="234"/>
      <c r="B531" s="311" t="s">
        <v>673</v>
      </c>
      <c r="C531" s="312">
        <v>1</v>
      </c>
      <c r="D531" s="314">
        <v>90000</v>
      </c>
      <c r="E531" s="319">
        <f t="shared" si="24"/>
        <v>90000</v>
      </c>
      <c r="F531" s="230"/>
      <c r="H531" s="232"/>
      <c r="I531" s="231"/>
      <c r="J531" s="232"/>
      <c r="K531" s="232"/>
      <c r="L531" s="232"/>
      <c r="M531" s="232"/>
    </row>
    <row r="532" spans="1:13" s="233" customFormat="1" ht="49.2" x14ac:dyDescent="0.25">
      <c r="A532" s="234"/>
      <c r="B532" s="311" t="s">
        <v>674</v>
      </c>
      <c r="C532" s="312">
        <v>2</v>
      </c>
      <c r="D532" s="314">
        <v>78000</v>
      </c>
      <c r="E532" s="319">
        <f t="shared" si="24"/>
        <v>156000</v>
      </c>
      <c r="F532" s="230"/>
      <c r="H532" s="232"/>
      <c r="I532" s="231"/>
      <c r="J532" s="232"/>
      <c r="K532" s="232"/>
      <c r="L532" s="232"/>
      <c r="M532" s="232"/>
    </row>
    <row r="533" spans="1:13" s="233" customFormat="1" ht="24.6" x14ac:dyDescent="0.25">
      <c r="A533" s="234"/>
      <c r="B533" s="311" t="s">
        <v>675</v>
      </c>
      <c r="C533" s="312">
        <v>20</v>
      </c>
      <c r="D533" s="314">
        <v>1700</v>
      </c>
      <c r="E533" s="319">
        <f t="shared" si="24"/>
        <v>34000</v>
      </c>
      <c r="F533" s="230"/>
      <c r="H533" s="232"/>
      <c r="I533" s="231"/>
      <c r="J533" s="232"/>
      <c r="K533" s="232"/>
      <c r="L533" s="232"/>
      <c r="M533" s="232"/>
    </row>
    <row r="534" spans="1:13" s="233" customFormat="1" ht="24.6" x14ac:dyDescent="0.25">
      <c r="A534" s="234"/>
      <c r="B534" s="311" t="s">
        <v>676</v>
      </c>
      <c r="C534" s="312">
        <v>50</v>
      </c>
      <c r="D534" s="314">
        <v>900</v>
      </c>
      <c r="E534" s="319">
        <f t="shared" si="24"/>
        <v>45000</v>
      </c>
      <c r="F534" s="230"/>
      <c r="H534" s="232"/>
      <c r="I534" s="231"/>
      <c r="J534" s="232"/>
      <c r="K534" s="232"/>
      <c r="L534" s="232"/>
      <c r="M534" s="232"/>
    </row>
    <row r="535" spans="1:13" s="233" customFormat="1" ht="24.6" x14ac:dyDescent="0.25">
      <c r="A535" s="234"/>
      <c r="B535" s="311" t="s">
        <v>443</v>
      </c>
      <c r="C535" s="312">
        <v>10</v>
      </c>
      <c r="D535" s="314">
        <v>6000</v>
      </c>
      <c r="E535" s="319">
        <f t="shared" si="24"/>
        <v>60000</v>
      </c>
      <c r="F535" s="230"/>
      <c r="H535" s="232"/>
      <c r="I535" s="231"/>
      <c r="J535" s="232"/>
      <c r="K535" s="232"/>
      <c r="L535" s="232"/>
      <c r="M535" s="232"/>
    </row>
    <row r="536" spans="1:13" s="233" customFormat="1" ht="24.6" x14ac:dyDescent="0.25">
      <c r="A536" s="234"/>
      <c r="B536" s="311" t="s">
        <v>677</v>
      </c>
      <c r="C536" s="312">
        <v>20</v>
      </c>
      <c r="D536" s="314">
        <v>1300</v>
      </c>
      <c r="E536" s="319">
        <f t="shared" si="24"/>
        <v>26000</v>
      </c>
      <c r="F536" s="230"/>
      <c r="H536" s="232"/>
      <c r="I536" s="231"/>
      <c r="J536" s="232"/>
      <c r="K536" s="232"/>
      <c r="L536" s="232"/>
      <c r="M536" s="232"/>
    </row>
    <row r="537" spans="1:13" s="233" customFormat="1" ht="24.6" x14ac:dyDescent="0.25">
      <c r="A537" s="234"/>
      <c r="B537" s="311" t="s">
        <v>678</v>
      </c>
      <c r="C537" s="312">
        <v>20</v>
      </c>
      <c r="D537" s="314">
        <v>1300</v>
      </c>
      <c r="E537" s="319">
        <f t="shared" si="24"/>
        <v>26000</v>
      </c>
      <c r="F537" s="230"/>
      <c r="H537" s="232"/>
      <c r="I537" s="231"/>
      <c r="J537" s="232"/>
      <c r="K537" s="232"/>
      <c r="L537" s="232"/>
      <c r="M537" s="232"/>
    </row>
    <row r="538" spans="1:13" s="233" customFormat="1" ht="24.6" x14ac:dyDescent="0.25">
      <c r="A538" s="234"/>
      <c r="B538" s="311" t="s">
        <v>679</v>
      </c>
      <c r="C538" s="312">
        <v>20</v>
      </c>
      <c r="D538" s="314">
        <v>700</v>
      </c>
      <c r="E538" s="319">
        <f t="shared" si="24"/>
        <v>14000</v>
      </c>
      <c r="F538" s="230"/>
      <c r="H538" s="232"/>
      <c r="I538" s="231"/>
      <c r="J538" s="232"/>
      <c r="K538" s="232"/>
      <c r="L538" s="232"/>
      <c r="M538" s="232"/>
    </row>
    <row r="539" spans="1:13" ht="24.6" x14ac:dyDescent="0.25">
      <c r="A539" s="151"/>
      <c r="B539" s="212" t="s">
        <v>3</v>
      </c>
      <c r="C539" s="144"/>
      <c r="D539" s="215"/>
      <c r="E539" s="321">
        <f>SUM(E495:E538)</f>
        <v>5327200</v>
      </c>
      <c r="F539" s="151"/>
      <c r="G539" s="108"/>
      <c r="H539" s="108"/>
      <c r="I539" s="107"/>
      <c r="J539" s="108"/>
      <c r="K539" s="108"/>
      <c r="L539" s="108"/>
      <c r="M539" s="108"/>
    </row>
    <row r="540" spans="1:13" ht="24.6" x14ac:dyDescent="0.25">
      <c r="A540" s="187"/>
      <c r="B540" s="188"/>
      <c r="C540" s="187"/>
      <c r="D540" s="189"/>
      <c r="E540" s="326"/>
      <c r="H540" s="108"/>
      <c r="I540" s="107"/>
      <c r="J540" s="108"/>
      <c r="K540" s="108"/>
      <c r="L540" s="108"/>
      <c r="M540" s="108"/>
    </row>
    <row r="541" spans="1:13" ht="24.6" x14ac:dyDescent="0.25">
      <c r="A541" s="187"/>
      <c r="B541" s="188"/>
      <c r="C541" s="187"/>
      <c r="D541" s="189"/>
      <c r="E541" s="326"/>
      <c r="H541" s="108"/>
      <c r="I541" s="107"/>
      <c r="J541" s="108"/>
      <c r="K541" s="108"/>
      <c r="L541" s="108"/>
      <c r="M541" s="108"/>
    </row>
    <row r="542" spans="1:13" ht="24.6" x14ac:dyDescent="0.25">
      <c r="A542" s="187"/>
      <c r="B542" s="188"/>
      <c r="C542" s="187"/>
      <c r="D542" s="189"/>
      <c r="E542" s="326"/>
      <c r="H542" s="108"/>
      <c r="I542" s="107"/>
      <c r="J542" s="108"/>
      <c r="K542" s="108"/>
      <c r="L542" s="108"/>
      <c r="M542" s="108"/>
    </row>
    <row r="543" spans="1:13" ht="24.6" x14ac:dyDescent="0.25">
      <c r="A543" s="187"/>
      <c r="B543" s="188"/>
      <c r="C543" s="187"/>
      <c r="D543" s="189"/>
      <c r="E543" s="326"/>
      <c r="H543" s="108"/>
      <c r="I543" s="107"/>
      <c r="J543" s="108"/>
      <c r="K543" s="108"/>
      <c r="L543" s="108"/>
      <c r="M543" s="108"/>
    </row>
    <row r="544" spans="1:13" ht="24.6" x14ac:dyDescent="0.25">
      <c r="A544" s="187"/>
      <c r="B544" s="188"/>
      <c r="C544" s="187"/>
      <c r="D544" s="189"/>
      <c r="E544" s="326"/>
      <c r="H544" s="108"/>
      <c r="I544" s="107"/>
      <c r="J544" s="108"/>
      <c r="K544" s="108"/>
      <c r="L544" s="108"/>
      <c r="M544" s="108"/>
    </row>
    <row r="545" spans="1:13" ht="24.6" x14ac:dyDescent="0.25">
      <c r="A545" s="108"/>
      <c r="B545" s="108"/>
      <c r="C545" s="111"/>
      <c r="D545" s="115"/>
      <c r="F545" s="108"/>
      <c r="G545" s="108"/>
      <c r="H545" s="108"/>
      <c r="I545" s="107"/>
      <c r="J545" s="108"/>
      <c r="K545" s="108"/>
      <c r="L545" s="108"/>
      <c r="M545" s="108"/>
    </row>
    <row r="546" spans="1:13" ht="24.6" x14ac:dyDescent="0.25">
      <c r="A546" s="108"/>
      <c r="B546" s="217"/>
      <c r="C546" s="111"/>
      <c r="D546" s="115"/>
      <c r="E546" s="316"/>
      <c r="F546" s="108"/>
      <c r="G546" s="108"/>
      <c r="H546" s="108"/>
      <c r="I546" s="107"/>
      <c r="J546" s="108"/>
      <c r="K546" s="108"/>
      <c r="L546" s="108"/>
      <c r="M546" s="108"/>
    </row>
    <row r="547" spans="1:13" ht="24.6" x14ac:dyDescent="0.25">
      <c r="A547" s="108"/>
      <c r="B547" s="217"/>
      <c r="C547" s="111"/>
      <c r="D547" s="115"/>
      <c r="E547" s="316"/>
      <c r="F547" s="108"/>
      <c r="G547" s="108"/>
      <c r="H547" s="108"/>
      <c r="I547" s="107"/>
      <c r="J547" s="108"/>
      <c r="K547" s="108"/>
      <c r="L547" s="108"/>
      <c r="M547" s="108"/>
    </row>
    <row r="548" spans="1:13" ht="24.6" x14ac:dyDescent="0.25">
      <c r="A548" s="108"/>
      <c r="B548" s="217"/>
      <c r="C548" s="111"/>
      <c r="D548" s="115"/>
      <c r="E548" s="316"/>
      <c r="F548" s="108"/>
      <c r="G548" s="108"/>
      <c r="H548" s="108"/>
      <c r="I548" s="107"/>
      <c r="J548" s="108"/>
      <c r="K548" s="108"/>
      <c r="L548" s="108"/>
      <c r="M548" s="108"/>
    </row>
    <row r="549" spans="1:13" ht="24.6" x14ac:dyDescent="0.25">
      <c r="A549" s="108"/>
      <c r="B549" s="169" t="s">
        <v>515</v>
      </c>
      <c r="C549" s="111"/>
      <c r="D549" s="115"/>
      <c r="F549" s="108"/>
      <c r="G549" s="108"/>
      <c r="H549" s="108"/>
      <c r="I549" s="107"/>
      <c r="J549" s="108"/>
      <c r="K549" s="108"/>
      <c r="L549" s="108"/>
      <c r="M549" s="108"/>
    </row>
    <row r="550" spans="1:13" ht="49.2" x14ac:dyDescent="0.25">
      <c r="A550" s="157" t="s">
        <v>1</v>
      </c>
      <c r="B550" s="157" t="s">
        <v>2</v>
      </c>
      <c r="C550" s="170" t="s">
        <v>291</v>
      </c>
      <c r="D550" s="170" t="s">
        <v>292</v>
      </c>
      <c r="E550" s="322" t="s">
        <v>293</v>
      </c>
      <c r="F550" s="157" t="s">
        <v>294</v>
      </c>
      <c r="G550" s="248"/>
      <c r="H550" s="108"/>
      <c r="I550" s="107"/>
      <c r="J550" s="108"/>
      <c r="K550" s="108"/>
      <c r="L550" s="108"/>
      <c r="M550" s="108"/>
    </row>
    <row r="551" spans="1:13" ht="24.6" x14ac:dyDescent="0.25">
      <c r="A551" s="141">
        <v>1</v>
      </c>
      <c r="B551" s="172" t="s">
        <v>516</v>
      </c>
      <c r="C551" s="144">
        <v>1</v>
      </c>
      <c r="D551" s="190">
        <v>500000</v>
      </c>
      <c r="E551" s="327">
        <f>+C551*D551</f>
        <v>500000</v>
      </c>
      <c r="F551" s="191" t="s">
        <v>378</v>
      </c>
      <c r="G551" s="252"/>
      <c r="H551" s="108"/>
      <c r="I551" s="107"/>
      <c r="J551" s="108"/>
      <c r="K551" s="108"/>
      <c r="L551" s="108"/>
      <c r="M551" s="108"/>
    </row>
    <row r="552" spans="1:13" ht="73.8" x14ac:dyDescent="0.25">
      <c r="A552" s="141">
        <v>2</v>
      </c>
      <c r="B552" s="172" t="s">
        <v>518</v>
      </c>
      <c r="C552" s="144">
        <v>1</v>
      </c>
      <c r="D552" s="155">
        <v>262000</v>
      </c>
      <c r="E552" s="328">
        <f t="shared" ref="E552:E553" si="25">+C552*D552</f>
        <v>262000</v>
      </c>
      <c r="F552" s="142" t="s">
        <v>517</v>
      </c>
      <c r="G552" s="253"/>
      <c r="H552" s="108"/>
      <c r="I552" s="107"/>
      <c r="J552" s="108"/>
      <c r="K552" s="108"/>
      <c r="L552" s="108"/>
      <c r="M552" s="108"/>
    </row>
    <row r="553" spans="1:13" ht="24.6" x14ac:dyDescent="0.25">
      <c r="A553" s="141">
        <v>3</v>
      </c>
      <c r="B553" s="173" t="s">
        <v>519</v>
      </c>
      <c r="C553" s="144">
        <v>1</v>
      </c>
      <c r="D553" s="190">
        <v>820997.38</v>
      </c>
      <c r="E553" s="327">
        <f t="shared" si="25"/>
        <v>820997.38</v>
      </c>
      <c r="F553" s="191" t="s">
        <v>520</v>
      </c>
      <c r="G553" s="252"/>
      <c r="H553" s="108"/>
      <c r="I553" s="107"/>
      <c r="J553" s="108"/>
      <c r="K553" s="108"/>
      <c r="L553" s="108"/>
      <c r="M553" s="108"/>
    </row>
    <row r="554" spans="1:13" ht="24.6" x14ac:dyDescent="0.25">
      <c r="A554" s="151"/>
      <c r="B554" s="212" t="s">
        <v>3</v>
      </c>
      <c r="C554" s="141"/>
      <c r="D554" s="213"/>
      <c r="E554" s="321">
        <f>SUM(E551:E553)</f>
        <v>1582997.38</v>
      </c>
      <c r="F554" s="151"/>
      <c r="G554" s="108"/>
      <c r="H554" s="108"/>
      <c r="I554" s="107"/>
      <c r="J554" s="108"/>
      <c r="K554" s="108"/>
      <c r="L554" s="108"/>
      <c r="M554" s="108"/>
    </row>
    <row r="555" spans="1:13" ht="24.6" x14ac:dyDescent="0.25">
      <c r="A555" s="161"/>
      <c r="B555" s="218"/>
      <c r="C555" s="219"/>
      <c r="D555" s="168"/>
      <c r="E555" s="329"/>
      <c r="F555" s="161"/>
      <c r="G555" s="108"/>
      <c r="H555" s="108"/>
      <c r="I555" s="107"/>
      <c r="J555" s="108"/>
      <c r="K555" s="108"/>
      <c r="L555" s="108"/>
      <c r="M555" s="108"/>
    </row>
    <row r="556" spans="1:13" ht="10.5" customHeight="1" x14ac:dyDescent="0.25">
      <c r="A556" s="108"/>
      <c r="B556" s="217"/>
      <c r="C556" s="111"/>
      <c r="D556" s="115"/>
      <c r="E556" s="332"/>
      <c r="F556" s="108"/>
      <c r="G556" s="108"/>
      <c r="H556" s="108"/>
      <c r="I556" s="107"/>
      <c r="J556" s="108"/>
      <c r="K556" s="108"/>
      <c r="L556" s="108"/>
      <c r="M556" s="108"/>
    </row>
    <row r="557" spans="1:13" ht="33" customHeight="1" x14ac:dyDescent="0.25">
      <c r="A557" s="108"/>
      <c r="B557" s="217"/>
      <c r="C557" s="111"/>
      <c r="D557" s="115"/>
      <c r="E557" s="316"/>
      <c r="F557" s="108"/>
      <c r="G557" s="108"/>
      <c r="H557" s="108"/>
      <c r="I557" s="107"/>
      <c r="J557" s="108"/>
      <c r="K557" s="108"/>
      <c r="L557" s="108"/>
      <c r="M557" s="108"/>
    </row>
    <row r="558" spans="1:13" ht="11.25" customHeight="1" x14ac:dyDescent="0.25">
      <c r="A558" s="108"/>
      <c r="B558" s="108"/>
      <c r="C558" s="111"/>
      <c r="D558" s="115"/>
      <c r="F558" s="108"/>
      <c r="G558" s="108"/>
      <c r="H558" s="108"/>
      <c r="I558" s="107"/>
      <c r="J558" s="108"/>
      <c r="K558" s="108"/>
      <c r="L558" s="108"/>
      <c r="M558" s="108"/>
    </row>
    <row r="559" spans="1:13" ht="24.6" x14ac:dyDescent="0.25">
      <c r="A559" s="108"/>
      <c r="B559" s="169" t="s">
        <v>564</v>
      </c>
      <c r="C559" s="111"/>
      <c r="D559" s="115" t="s">
        <v>567</v>
      </c>
      <c r="E559" s="227">
        <v>3000000</v>
      </c>
      <c r="F559" s="115" t="s">
        <v>568</v>
      </c>
      <c r="G559" s="115"/>
      <c r="H559" s="220">
        <f>+E559-E564</f>
        <v>2994000</v>
      </c>
      <c r="I559" s="107"/>
      <c r="J559" s="108"/>
      <c r="K559" s="108"/>
      <c r="L559" s="108"/>
      <c r="M559" s="108"/>
    </row>
    <row r="560" spans="1:13" ht="49.2" x14ac:dyDescent="0.25">
      <c r="A560" s="157" t="s">
        <v>1</v>
      </c>
      <c r="B560" s="157" t="s">
        <v>2</v>
      </c>
      <c r="C560" s="170" t="s">
        <v>291</v>
      </c>
      <c r="D560" s="170" t="s">
        <v>292</v>
      </c>
      <c r="E560" s="322" t="s">
        <v>293</v>
      </c>
      <c r="F560" s="157" t="s">
        <v>294</v>
      </c>
      <c r="G560" s="248"/>
      <c r="H560" s="108" t="s">
        <v>573</v>
      </c>
      <c r="I560" s="107"/>
      <c r="J560" s="108"/>
      <c r="K560" s="108"/>
      <c r="L560" s="108"/>
      <c r="M560" s="108"/>
    </row>
    <row r="561" spans="1:13" ht="24.6" x14ac:dyDescent="0.25">
      <c r="A561" s="141">
        <v>1</v>
      </c>
      <c r="B561" s="151" t="s">
        <v>563</v>
      </c>
      <c r="C561" s="141">
        <v>1</v>
      </c>
      <c r="D561" s="171">
        <v>6000</v>
      </c>
      <c r="E561" s="177">
        <f>+C561*D561</f>
        <v>6000</v>
      </c>
      <c r="F561" s="151" t="s">
        <v>375</v>
      </c>
      <c r="G561" s="108"/>
      <c r="H561" s="108" t="s">
        <v>574</v>
      </c>
      <c r="I561" s="107"/>
      <c r="J561" s="108"/>
      <c r="K561" s="108"/>
      <c r="L561" s="108"/>
      <c r="M561" s="108"/>
    </row>
    <row r="562" spans="1:13" ht="24.6" x14ac:dyDescent="0.25">
      <c r="A562" s="151"/>
      <c r="B562" s="151"/>
      <c r="C562" s="141"/>
      <c r="D562" s="171"/>
      <c r="E562" s="177"/>
      <c r="F562" s="151"/>
      <c r="G562" s="108"/>
      <c r="H562" s="108"/>
      <c r="I562" s="107"/>
      <c r="J562" s="108"/>
      <c r="K562" s="108"/>
      <c r="L562" s="108"/>
      <c r="M562" s="108"/>
    </row>
    <row r="563" spans="1:13" ht="24.6" x14ac:dyDescent="0.25">
      <c r="A563" s="151"/>
      <c r="B563" s="151"/>
      <c r="C563" s="141"/>
      <c r="D563" s="171"/>
      <c r="E563" s="177"/>
      <c r="F563" s="151"/>
      <c r="G563" s="108"/>
      <c r="H563" s="108"/>
      <c r="I563" s="107"/>
      <c r="J563" s="108"/>
      <c r="K563" s="108"/>
      <c r="L563" s="108"/>
      <c r="M563" s="108"/>
    </row>
    <row r="564" spans="1:13" ht="24.6" x14ac:dyDescent="0.25">
      <c r="A564" s="151"/>
      <c r="B564" s="141" t="s">
        <v>3</v>
      </c>
      <c r="C564" s="141"/>
      <c r="D564" s="171"/>
      <c r="E564" s="177">
        <f>SUM(E561:E563)</f>
        <v>6000</v>
      </c>
      <c r="F564" s="151"/>
      <c r="G564" s="108"/>
      <c r="H564" s="108"/>
      <c r="I564" s="107"/>
      <c r="J564" s="108"/>
      <c r="K564" s="108"/>
      <c r="L564" s="108"/>
      <c r="M564" s="108"/>
    </row>
    <row r="565" spans="1:13" ht="24.6" x14ac:dyDescent="0.25">
      <c r="A565" s="151"/>
      <c r="B565" s="151"/>
      <c r="C565" s="141"/>
      <c r="D565" s="171"/>
      <c r="E565" s="177"/>
      <c r="F565" s="151"/>
      <c r="G565" s="108"/>
      <c r="H565" s="108"/>
      <c r="I565" s="107"/>
      <c r="J565" s="108"/>
      <c r="K565" s="108"/>
      <c r="L565" s="108"/>
      <c r="M565" s="108"/>
    </row>
    <row r="566" spans="1:13" ht="24.6" x14ac:dyDescent="0.25">
      <c r="A566" s="151"/>
      <c r="B566" s="151"/>
      <c r="C566" s="141"/>
      <c r="D566" s="171"/>
      <c r="E566" s="177"/>
      <c r="F566" s="151"/>
      <c r="G566" s="108"/>
      <c r="H566" s="108"/>
      <c r="I566" s="107"/>
      <c r="J566" s="108"/>
      <c r="K566" s="108"/>
      <c r="L566" s="108"/>
      <c r="M566" s="108"/>
    </row>
    <row r="567" spans="1:13" ht="24.6" x14ac:dyDescent="0.25">
      <c r="A567" s="151"/>
      <c r="B567" s="151"/>
      <c r="C567" s="141"/>
      <c r="D567" s="171"/>
      <c r="E567" s="177"/>
      <c r="F567" s="151"/>
      <c r="G567" s="108"/>
      <c r="H567" s="108"/>
      <c r="I567" s="107"/>
      <c r="J567" s="108"/>
      <c r="K567" s="108"/>
      <c r="L567" s="108"/>
      <c r="M567" s="108"/>
    </row>
    <row r="568" spans="1:13" ht="24.6" x14ac:dyDescent="0.25">
      <c r="A568" s="151"/>
      <c r="B568" s="151"/>
      <c r="C568" s="141"/>
      <c r="D568" s="171"/>
      <c r="E568" s="177"/>
      <c r="F568" s="151"/>
      <c r="G568" s="108"/>
      <c r="H568" s="108"/>
      <c r="I568" s="107"/>
      <c r="J568" s="108"/>
      <c r="K568" s="108"/>
      <c r="L568" s="108"/>
      <c r="M568" s="108"/>
    </row>
    <row r="569" spans="1:13" ht="24.6" x14ac:dyDescent="0.25">
      <c r="A569" s="108"/>
      <c r="B569" s="108"/>
      <c r="C569" s="111"/>
      <c r="D569" s="115"/>
      <c r="F569" s="108"/>
      <c r="G569" s="108"/>
      <c r="H569" s="108"/>
      <c r="I569" s="107"/>
      <c r="J569" s="108"/>
      <c r="K569" s="108"/>
      <c r="L569" s="108"/>
      <c r="M569" s="108"/>
    </row>
    <row r="570" spans="1:13" ht="24.6" x14ac:dyDescent="0.25">
      <c r="A570" s="108"/>
      <c r="B570" s="108"/>
      <c r="C570" s="111"/>
      <c r="D570" s="115"/>
      <c r="F570" s="108"/>
      <c r="G570" s="108"/>
      <c r="H570" s="108"/>
      <c r="I570" s="107"/>
      <c r="J570" s="108"/>
      <c r="K570" s="108"/>
      <c r="L570" s="108"/>
      <c r="M570" s="108"/>
    </row>
    <row r="571" spans="1:13" ht="24.6" x14ac:dyDescent="0.25">
      <c r="A571" s="108"/>
      <c r="B571" s="108"/>
      <c r="C571" s="111"/>
      <c r="D571" s="115"/>
      <c r="F571" s="108"/>
      <c r="G571" s="108"/>
      <c r="H571" s="108"/>
      <c r="I571" s="107"/>
      <c r="J571" s="108"/>
      <c r="K571" s="108"/>
      <c r="L571" s="108"/>
      <c r="M571" s="108"/>
    </row>
    <row r="572" spans="1:13" ht="24.6" x14ac:dyDescent="0.25">
      <c r="A572" s="108"/>
      <c r="B572" s="108"/>
      <c r="C572" s="111"/>
      <c r="D572" s="115"/>
      <c r="F572" s="108"/>
      <c r="G572" s="108"/>
      <c r="H572" s="108"/>
      <c r="I572" s="107"/>
      <c r="J572" s="108"/>
      <c r="K572" s="108"/>
      <c r="L572" s="108"/>
      <c r="M572" s="108"/>
    </row>
    <row r="573" spans="1:13" ht="24.6" x14ac:dyDescent="0.25">
      <c r="A573" s="108"/>
      <c r="B573" s="108"/>
      <c r="C573" s="111"/>
      <c r="D573" s="115"/>
      <c r="F573" s="108"/>
      <c r="G573" s="108"/>
      <c r="H573" s="108"/>
      <c r="I573" s="107"/>
      <c r="J573" s="108"/>
      <c r="K573" s="108"/>
      <c r="L573" s="108"/>
      <c r="M573" s="108"/>
    </row>
    <row r="574" spans="1:13" ht="24.6" x14ac:dyDescent="0.25">
      <c r="A574" s="108"/>
      <c r="B574" s="108"/>
      <c r="C574" s="111"/>
      <c r="D574" s="115"/>
      <c r="F574" s="108"/>
      <c r="G574" s="108"/>
      <c r="H574" s="108"/>
      <c r="I574" s="107"/>
      <c r="J574" s="108"/>
      <c r="K574" s="108"/>
      <c r="L574" s="108"/>
      <c r="M574" s="108"/>
    </row>
    <row r="575" spans="1:13" ht="24.6" x14ac:dyDescent="0.25">
      <c r="A575" s="108"/>
      <c r="B575" s="108"/>
      <c r="C575" s="111"/>
      <c r="D575" s="115"/>
      <c r="F575" s="108"/>
      <c r="G575" s="108"/>
      <c r="H575" s="108"/>
      <c r="I575" s="107"/>
      <c r="J575" s="108"/>
      <c r="K575" s="108"/>
      <c r="L575" s="108"/>
      <c r="M575" s="108"/>
    </row>
    <row r="576" spans="1:13" ht="24.6" x14ac:dyDescent="0.25">
      <c r="A576" s="108"/>
      <c r="B576" s="108"/>
      <c r="C576" s="111"/>
      <c r="D576" s="115"/>
      <c r="F576" s="108"/>
      <c r="G576" s="108"/>
      <c r="H576" s="108"/>
      <c r="I576" s="107"/>
      <c r="J576" s="108"/>
      <c r="K576" s="108"/>
      <c r="L576" s="108"/>
      <c r="M576" s="108"/>
    </row>
    <row r="577" spans="1:13" ht="24.6" x14ac:dyDescent="0.25">
      <c r="A577" s="108"/>
      <c r="B577" s="108"/>
      <c r="C577" s="111"/>
      <c r="D577" s="115"/>
      <c r="F577" s="108"/>
      <c r="G577" s="108"/>
      <c r="H577" s="108"/>
      <c r="I577" s="107"/>
      <c r="J577" s="108"/>
      <c r="K577" s="108"/>
      <c r="L577" s="108"/>
      <c r="M577" s="108"/>
    </row>
    <row r="578" spans="1:13" ht="24.6" x14ac:dyDescent="0.25">
      <c r="A578" s="108"/>
      <c r="B578" s="108"/>
      <c r="C578" s="111"/>
      <c r="D578" s="115"/>
      <c r="F578" s="108"/>
      <c r="G578" s="108"/>
      <c r="H578" s="108"/>
      <c r="I578" s="107"/>
      <c r="J578" s="108"/>
      <c r="K578" s="108"/>
      <c r="L578" s="108"/>
      <c r="M578" s="108"/>
    </row>
    <row r="579" spans="1:13" ht="24.6" x14ac:dyDescent="0.25">
      <c r="A579" s="108"/>
      <c r="B579" s="108"/>
      <c r="C579" s="111"/>
      <c r="D579" s="115"/>
      <c r="F579" s="108"/>
      <c r="G579" s="108"/>
      <c r="H579" s="108"/>
      <c r="I579" s="107"/>
      <c r="J579" s="108"/>
      <c r="K579" s="108"/>
      <c r="L579" s="108"/>
      <c r="M579" s="108"/>
    </row>
    <row r="580" spans="1:13" ht="24.6" x14ac:dyDescent="0.25">
      <c r="A580" s="108"/>
      <c r="B580" s="108"/>
      <c r="C580" s="111"/>
      <c r="D580" s="115"/>
      <c r="F580" s="108"/>
      <c r="G580" s="108"/>
      <c r="H580" s="108"/>
      <c r="I580" s="107"/>
      <c r="J580" s="108"/>
      <c r="K580" s="108"/>
      <c r="L580" s="108"/>
      <c r="M580" s="108"/>
    </row>
    <row r="581" spans="1:13" ht="24.6" x14ac:dyDescent="0.25">
      <c r="A581" s="108"/>
      <c r="B581" s="108"/>
      <c r="C581" s="111"/>
      <c r="D581" s="115"/>
      <c r="F581" s="108"/>
      <c r="G581" s="108"/>
      <c r="H581" s="108"/>
      <c r="I581" s="107"/>
      <c r="J581" s="108"/>
      <c r="K581" s="108"/>
      <c r="L581" s="108"/>
      <c r="M581" s="108"/>
    </row>
    <row r="582" spans="1:13" ht="24.6" x14ac:dyDescent="0.25">
      <c r="A582" s="108"/>
      <c r="B582" s="108"/>
      <c r="C582" s="111"/>
      <c r="D582" s="115"/>
      <c r="F582" s="108"/>
      <c r="G582" s="108"/>
      <c r="H582" s="108"/>
      <c r="I582" s="107"/>
      <c r="J582" s="108"/>
      <c r="K582" s="108"/>
      <c r="L582" s="108"/>
      <c r="M582" s="108"/>
    </row>
    <row r="583" spans="1:13" ht="24.6" x14ac:dyDescent="0.25">
      <c r="A583" s="108"/>
      <c r="B583" s="108"/>
      <c r="C583" s="111"/>
      <c r="D583" s="115"/>
      <c r="F583" s="108"/>
      <c r="G583" s="108"/>
      <c r="H583" s="108"/>
      <c r="I583" s="107"/>
      <c r="J583" s="108"/>
      <c r="K583" s="108"/>
      <c r="L583" s="108"/>
      <c r="M583" s="108"/>
    </row>
    <row r="584" spans="1:13" ht="24.6" x14ac:dyDescent="0.25">
      <c r="A584" s="108"/>
      <c r="B584" s="108"/>
      <c r="C584" s="111"/>
      <c r="D584" s="115"/>
      <c r="F584" s="108"/>
      <c r="G584" s="108"/>
      <c r="H584" s="108"/>
      <c r="I584" s="107"/>
      <c r="J584" s="108"/>
      <c r="K584" s="108"/>
      <c r="L584" s="108"/>
      <c r="M584" s="108"/>
    </row>
    <row r="585" spans="1:13" ht="24.6" x14ac:dyDescent="0.25">
      <c r="A585" s="108"/>
      <c r="B585" s="108"/>
      <c r="C585" s="111"/>
      <c r="D585" s="115"/>
      <c r="F585" s="108"/>
      <c r="G585" s="108"/>
      <c r="H585" s="108"/>
      <c r="I585" s="107"/>
      <c r="J585" s="108"/>
      <c r="K585" s="108"/>
      <c r="L585" s="108"/>
      <c r="M585" s="108"/>
    </row>
    <row r="586" spans="1:13" ht="24.6" x14ac:dyDescent="0.25">
      <c r="A586" s="108"/>
      <c r="B586" s="108"/>
      <c r="C586" s="111"/>
      <c r="D586" s="115"/>
      <c r="F586" s="108"/>
      <c r="G586" s="108"/>
      <c r="H586" s="108"/>
      <c r="I586" s="107"/>
      <c r="J586" s="108"/>
      <c r="K586" s="108"/>
      <c r="L586" s="108"/>
      <c r="M586" s="108"/>
    </row>
    <row r="587" spans="1:13" ht="24.6" x14ac:dyDescent="0.25">
      <c r="A587" s="108"/>
      <c r="B587" s="108"/>
      <c r="C587" s="111"/>
      <c r="D587" s="115"/>
      <c r="F587" s="108"/>
      <c r="G587" s="108"/>
      <c r="H587" s="108"/>
      <c r="I587" s="107"/>
      <c r="J587" s="108"/>
      <c r="K587" s="108"/>
      <c r="L587" s="108"/>
      <c r="M587" s="108"/>
    </row>
    <row r="588" spans="1:13" ht="24.6" x14ac:dyDescent="0.25">
      <c r="A588" s="108"/>
      <c r="B588" s="108"/>
      <c r="C588" s="111"/>
      <c r="D588" s="115"/>
      <c r="F588" s="108"/>
      <c r="G588" s="108"/>
      <c r="H588" s="108"/>
      <c r="I588" s="107"/>
      <c r="J588" s="108"/>
      <c r="K588" s="108"/>
      <c r="L588" s="108"/>
      <c r="M588" s="108"/>
    </row>
    <row r="589" spans="1:13" ht="24.6" x14ac:dyDescent="0.25">
      <c r="A589" s="108"/>
      <c r="B589" s="108"/>
      <c r="C589" s="111"/>
      <c r="D589" s="115"/>
      <c r="F589" s="108"/>
      <c r="G589" s="108"/>
      <c r="H589" s="108"/>
      <c r="I589" s="107"/>
      <c r="J589" s="108"/>
      <c r="K589" s="108"/>
      <c r="L589" s="108"/>
      <c r="M589" s="108"/>
    </row>
    <row r="590" spans="1:13" ht="24.6" x14ac:dyDescent="0.25">
      <c r="A590" s="108"/>
      <c r="B590" s="108"/>
      <c r="C590" s="111"/>
      <c r="D590" s="115"/>
      <c r="F590" s="108"/>
      <c r="G590" s="108"/>
      <c r="H590" s="108"/>
      <c r="I590" s="107"/>
      <c r="J590" s="108"/>
      <c r="K590" s="108"/>
      <c r="L590" s="108"/>
      <c r="M590" s="108"/>
    </row>
    <row r="591" spans="1:13" ht="24.6" x14ac:dyDescent="0.25">
      <c r="A591" s="108"/>
      <c r="B591" s="108"/>
      <c r="C591" s="111"/>
      <c r="D591" s="115"/>
      <c r="F591" s="108"/>
      <c r="G591" s="108"/>
      <c r="H591" s="108"/>
      <c r="I591" s="107"/>
      <c r="J591" s="108"/>
      <c r="K591" s="108"/>
      <c r="L591" s="108"/>
      <c r="M591" s="108"/>
    </row>
    <row r="592" spans="1:13" ht="24.6" x14ac:dyDescent="0.25">
      <c r="A592" s="108"/>
      <c r="B592" s="108"/>
      <c r="C592" s="111"/>
      <c r="D592" s="115"/>
      <c r="F592" s="108"/>
      <c r="G592" s="108"/>
      <c r="H592" s="108"/>
      <c r="I592" s="107"/>
      <c r="J592" s="108"/>
      <c r="K592" s="108"/>
      <c r="L592" s="108"/>
      <c r="M592" s="108"/>
    </row>
    <row r="593" spans="1:13" ht="24.6" x14ac:dyDescent="0.25">
      <c r="A593" s="108"/>
      <c r="B593" s="108"/>
      <c r="C593" s="111"/>
      <c r="D593" s="115"/>
      <c r="F593" s="108"/>
      <c r="G593" s="108"/>
      <c r="H593" s="108"/>
      <c r="I593" s="107"/>
      <c r="J593" s="108"/>
      <c r="K593" s="108"/>
      <c r="L593" s="108"/>
      <c r="M593" s="108"/>
    </row>
    <row r="594" spans="1:13" ht="24.6" x14ac:dyDescent="0.25">
      <c r="A594" s="108"/>
      <c r="B594" s="108"/>
      <c r="C594" s="111"/>
      <c r="D594" s="115"/>
      <c r="F594" s="108"/>
      <c r="G594" s="108"/>
      <c r="H594" s="108"/>
      <c r="I594" s="107"/>
      <c r="J594" s="108"/>
      <c r="K594" s="108"/>
      <c r="L594" s="108"/>
      <c r="M594" s="108"/>
    </row>
    <row r="595" spans="1:13" ht="24.6" x14ac:dyDescent="0.25">
      <c r="A595" s="108"/>
      <c r="B595" s="108"/>
      <c r="C595" s="111"/>
      <c r="D595" s="115"/>
      <c r="F595" s="108"/>
      <c r="G595" s="108"/>
      <c r="H595" s="108"/>
      <c r="I595" s="107"/>
      <c r="J595" s="108"/>
      <c r="K595" s="108"/>
      <c r="L595" s="108"/>
      <c r="M595" s="108"/>
    </row>
    <row r="596" spans="1:13" ht="24.6" x14ac:dyDescent="0.25">
      <c r="A596" s="108"/>
      <c r="B596" s="108"/>
      <c r="C596" s="111"/>
      <c r="D596" s="115"/>
      <c r="F596" s="108"/>
      <c r="G596" s="108"/>
      <c r="H596" s="108"/>
      <c r="I596" s="107"/>
      <c r="J596" s="108"/>
      <c r="K596" s="108"/>
      <c r="L596" s="108"/>
      <c r="M596" s="108"/>
    </row>
    <row r="597" spans="1:13" ht="24.6" x14ac:dyDescent="0.25">
      <c r="A597" s="108"/>
      <c r="B597" s="108"/>
      <c r="C597" s="111"/>
      <c r="D597" s="115"/>
      <c r="F597" s="108"/>
      <c r="G597" s="108"/>
      <c r="H597" s="108"/>
      <c r="I597" s="107"/>
      <c r="J597" s="108"/>
      <c r="K597" s="108"/>
      <c r="L597" s="108"/>
      <c r="M597" s="108"/>
    </row>
    <row r="598" spans="1:13" ht="24.6" x14ac:dyDescent="0.25">
      <c r="A598" s="108"/>
      <c r="B598" s="108"/>
      <c r="C598" s="111"/>
      <c r="D598" s="115"/>
      <c r="F598" s="108"/>
      <c r="G598" s="108"/>
      <c r="H598" s="108"/>
      <c r="I598" s="107"/>
      <c r="J598" s="108"/>
      <c r="K598" s="108"/>
      <c r="L598" s="108"/>
      <c r="M598" s="108"/>
    </row>
    <row r="599" spans="1:13" ht="24.6" x14ac:dyDescent="0.25">
      <c r="A599" s="108"/>
      <c r="B599" s="108"/>
      <c r="C599" s="111"/>
      <c r="D599" s="115"/>
      <c r="F599" s="108"/>
      <c r="G599" s="108"/>
      <c r="H599" s="108"/>
      <c r="I599" s="107"/>
      <c r="J599" s="108"/>
      <c r="K599" s="108"/>
      <c r="L599" s="108"/>
      <c r="M599" s="108"/>
    </row>
    <row r="600" spans="1:13" ht="24.6" x14ac:dyDescent="0.25">
      <c r="A600" s="108"/>
      <c r="B600" s="108"/>
      <c r="C600" s="111"/>
      <c r="D600" s="115"/>
      <c r="F600" s="108"/>
      <c r="G600" s="108"/>
      <c r="H600" s="108"/>
      <c r="I600" s="107"/>
      <c r="J600" s="108"/>
      <c r="K600" s="108"/>
      <c r="L600" s="108"/>
      <c r="M600" s="108"/>
    </row>
    <row r="601" spans="1:13" ht="24.6" x14ac:dyDescent="0.25">
      <c r="A601" s="108"/>
      <c r="B601" s="108"/>
      <c r="C601" s="111"/>
      <c r="D601" s="115"/>
      <c r="F601" s="108"/>
      <c r="G601" s="108"/>
      <c r="H601" s="108"/>
      <c r="I601" s="107"/>
      <c r="J601" s="108"/>
      <c r="K601" s="108"/>
      <c r="L601" s="108"/>
      <c r="M601" s="108"/>
    </row>
    <row r="602" spans="1:13" ht="24.6" x14ac:dyDescent="0.25">
      <c r="A602" s="108"/>
      <c r="B602" s="108"/>
      <c r="C602" s="111"/>
      <c r="D602" s="115"/>
      <c r="F602" s="108"/>
      <c r="G602" s="108"/>
      <c r="H602" s="108"/>
      <c r="I602" s="107"/>
      <c r="J602" s="108"/>
      <c r="K602" s="108"/>
      <c r="L602" s="108"/>
      <c r="M602" s="108"/>
    </row>
    <row r="603" spans="1:13" ht="24.6" x14ac:dyDescent="0.25">
      <c r="A603" s="108"/>
      <c r="B603" s="108"/>
      <c r="C603" s="111"/>
      <c r="D603" s="115"/>
      <c r="F603" s="108"/>
      <c r="G603" s="108"/>
      <c r="H603" s="108"/>
      <c r="I603" s="107"/>
      <c r="J603" s="108"/>
      <c r="K603" s="108"/>
      <c r="L603" s="108"/>
      <c r="M603" s="108"/>
    </row>
    <row r="604" spans="1:13" ht="24.6" x14ac:dyDescent="0.25">
      <c r="A604" s="108"/>
      <c r="B604" s="108"/>
      <c r="C604" s="111"/>
      <c r="D604" s="115"/>
      <c r="F604" s="108"/>
      <c r="G604" s="108"/>
      <c r="H604" s="108"/>
      <c r="I604" s="107"/>
      <c r="J604" s="108"/>
      <c r="K604" s="108"/>
      <c r="L604" s="108"/>
      <c r="M604" s="108"/>
    </row>
    <row r="605" spans="1:13" ht="24.6" x14ac:dyDescent="0.25">
      <c r="A605" s="108"/>
      <c r="B605" s="108"/>
      <c r="C605" s="111"/>
      <c r="D605" s="115"/>
      <c r="F605" s="108"/>
      <c r="G605" s="108"/>
      <c r="H605" s="108"/>
      <c r="I605" s="107"/>
      <c r="J605" s="108"/>
      <c r="K605" s="108"/>
      <c r="L605" s="108"/>
      <c r="M605" s="108"/>
    </row>
    <row r="606" spans="1:13" ht="24.6" x14ac:dyDescent="0.25">
      <c r="A606" s="108"/>
      <c r="B606" s="108"/>
      <c r="C606" s="111"/>
      <c r="D606" s="115"/>
      <c r="F606" s="108"/>
      <c r="G606" s="108"/>
      <c r="H606" s="108"/>
      <c r="I606" s="107"/>
      <c r="J606" s="108"/>
      <c r="K606" s="108"/>
      <c r="L606" s="108"/>
      <c r="M606" s="108"/>
    </row>
    <row r="607" spans="1:13" ht="24.6" x14ac:dyDescent="0.25">
      <c r="A607" s="108"/>
      <c r="B607" s="108"/>
      <c r="C607" s="111"/>
      <c r="D607" s="115"/>
      <c r="F607" s="108"/>
      <c r="G607" s="108"/>
      <c r="H607" s="108"/>
      <c r="I607" s="107"/>
      <c r="J607" s="108"/>
      <c r="K607" s="108"/>
      <c r="L607" s="108"/>
      <c r="M607" s="108"/>
    </row>
    <row r="608" spans="1:13" ht="24.6" x14ac:dyDescent="0.25">
      <c r="A608" s="108"/>
      <c r="B608" s="108"/>
      <c r="C608" s="111"/>
      <c r="D608" s="115"/>
      <c r="F608" s="108"/>
      <c r="G608" s="108"/>
      <c r="H608" s="108"/>
      <c r="I608" s="107"/>
      <c r="J608" s="108"/>
      <c r="K608" s="108"/>
      <c r="L608" s="108"/>
      <c r="M608" s="108"/>
    </row>
    <row r="609" spans="1:13" ht="24.6" x14ac:dyDescent="0.25">
      <c r="A609" s="108"/>
      <c r="B609" s="108"/>
      <c r="C609" s="111"/>
      <c r="D609" s="115"/>
      <c r="F609" s="108"/>
      <c r="G609" s="108"/>
      <c r="H609" s="108"/>
      <c r="I609" s="107"/>
      <c r="J609" s="108"/>
      <c r="K609" s="108"/>
      <c r="L609" s="108"/>
      <c r="M609" s="108"/>
    </row>
    <row r="610" spans="1:13" ht="24.6" x14ac:dyDescent="0.25">
      <c r="A610" s="108"/>
      <c r="B610" s="108"/>
      <c r="C610" s="111"/>
      <c r="D610" s="115"/>
      <c r="F610" s="108"/>
      <c r="G610" s="108"/>
      <c r="H610" s="108"/>
      <c r="I610" s="107"/>
      <c r="J610" s="108"/>
      <c r="K610" s="108"/>
      <c r="L610" s="108"/>
      <c r="M610" s="108"/>
    </row>
    <row r="611" spans="1:13" ht="24.6" x14ac:dyDescent="0.25">
      <c r="A611" s="108"/>
      <c r="B611" s="108"/>
      <c r="C611" s="111"/>
      <c r="D611" s="115"/>
      <c r="F611" s="108"/>
      <c r="G611" s="108"/>
      <c r="H611" s="108"/>
      <c r="I611" s="107"/>
      <c r="J611" s="108"/>
      <c r="K611" s="108"/>
      <c r="L611" s="108"/>
      <c r="M611" s="108"/>
    </row>
    <row r="612" spans="1:13" ht="24.6" x14ac:dyDescent="0.25">
      <c r="A612" s="108"/>
      <c r="B612" s="108"/>
      <c r="C612" s="111"/>
      <c r="D612" s="115"/>
      <c r="F612" s="108"/>
      <c r="G612" s="108"/>
      <c r="H612" s="108"/>
      <c r="I612" s="107"/>
      <c r="J612" s="108"/>
      <c r="K612" s="108"/>
      <c r="L612" s="108"/>
      <c r="M612" s="108"/>
    </row>
    <row r="613" spans="1:13" ht="24.6" x14ac:dyDescent="0.25">
      <c r="A613" s="108"/>
      <c r="B613" s="108"/>
      <c r="C613" s="111"/>
      <c r="D613" s="115"/>
      <c r="F613" s="108"/>
      <c r="G613" s="108"/>
      <c r="H613" s="108"/>
      <c r="I613" s="107"/>
      <c r="J613" s="108"/>
      <c r="K613" s="108"/>
      <c r="L613" s="108"/>
      <c r="M613" s="108"/>
    </row>
    <row r="614" spans="1:13" ht="24.6" x14ac:dyDescent="0.25">
      <c r="A614" s="108"/>
      <c r="B614" s="108"/>
      <c r="C614" s="111"/>
      <c r="D614" s="115"/>
      <c r="F614" s="108"/>
      <c r="G614" s="108"/>
      <c r="H614" s="108"/>
      <c r="I614" s="107"/>
      <c r="J614" s="108"/>
      <c r="K614" s="108"/>
      <c r="L614" s="108"/>
      <c r="M614" s="108"/>
    </row>
    <row r="615" spans="1:13" ht="24.6" x14ac:dyDescent="0.25">
      <c r="A615" s="108"/>
      <c r="B615" s="108"/>
      <c r="C615" s="111"/>
      <c r="D615" s="115"/>
      <c r="F615" s="108"/>
      <c r="G615" s="108"/>
      <c r="H615" s="108"/>
      <c r="I615" s="107"/>
      <c r="J615" s="108"/>
      <c r="K615" s="108"/>
      <c r="L615" s="108"/>
      <c r="M615" s="108"/>
    </row>
    <row r="616" spans="1:13" ht="24.6" x14ac:dyDescent="0.25">
      <c r="A616" s="108"/>
      <c r="B616" s="108"/>
      <c r="C616" s="111"/>
      <c r="D616" s="115"/>
      <c r="F616" s="108"/>
      <c r="G616" s="108"/>
      <c r="H616" s="108"/>
      <c r="I616" s="107"/>
      <c r="J616" s="108"/>
      <c r="K616" s="108"/>
      <c r="L616" s="108"/>
      <c r="M616" s="108"/>
    </row>
    <row r="617" spans="1:13" ht="24.6" x14ac:dyDescent="0.25">
      <c r="A617" s="108"/>
      <c r="B617" s="108"/>
      <c r="C617" s="111"/>
      <c r="D617" s="115"/>
      <c r="F617" s="108"/>
      <c r="G617" s="108"/>
      <c r="H617" s="108"/>
      <c r="I617" s="107"/>
      <c r="J617" s="108"/>
      <c r="K617" s="108"/>
      <c r="L617" s="108"/>
      <c r="M617" s="108"/>
    </row>
    <row r="618" spans="1:13" ht="24.6" x14ac:dyDescent="0.25">
      <c r="A618" s="108"/>
      <c r="B618" s="108"/>
      <c r="C618" s="111"/>
      <c r="D618" s="115"/>
      <c r="F618" s="108"/>
      <c r="G618" s="108"/>
      <c r="H618" s="108"/>
      <c r="I618" s="107"/>
      <c r="J618" s="108"/>
      <c r="K618" s="108"/>
      <c r="L618" s="108"/>
      <c r="M618" s="108"/>
    </row>
    <row r="619" spans="1:13" ht="24.6" x14ac:dyDescent="0.25">
      <c r="A619" s="108"/>
      <c r="B619" s="108"/>
      <c r="C619" s="111"/>
      <c r="D619" s="115"/>
      <c r="F619" s="108"/>
      <c r="G619" s="108"/>
      <c r="H619" s="108"/>
      <c r="I619" s="107"/>
      <c r="J619" s="108"/>
      <c r="K619" s="108"/>
      <c r="L619" s="108"/>
      <c r="M619" s="108"/>
    </row>
    <row r="620" spans="1:13" ht="24.6" x14ac:dyDescent="0.25">
      <c r="A620" s="108"/>
      <c r="B620" s="108"/>
      <c r="C620" s="111"/>
      <c r="D620" s="115"/>
      <c r="F620" s="108"/>
      <c r="G620" s="108"/>
      <c r="H620" s="108"/>
      <c r="I620" s="107"/>
      <c r="J620" s="108"/>
      <c r="K620" s="108"/>
      <c r="L620" s="108"/>
      <c r="M620" s="108"/>
    </row>
    <row r="621" spans="1:13" ht="24.6" x14ac:dyDescent="0.25">
      <c r="A621" s="108"/>
      <c r="B621" s="108"/>
      <c r="C621" s="111"/>
      <c r="D621" s="115"/>
      <c r="F621" s="108"/>
      <c r="G621" s="108"/>
      <c r="H621" s="108"/>
      <c r="I621" s="107"/>
      <c r="J621" s="108"/>
      <c r="K621" s="108"/>
      <c r="L621" s="108"/>
      <c r="M621" s="108"/>
    </row>
    <row r="622" spans="1:13" ht="24.6" x14ac:dyDescent="0.25">
      <c r="A622" s="108"/>
      <c r="B622" s="108"/>
      <c r="C622" s="111"/>
      <c r="D622" s="115"/>
      <c r="F622" s="108"/>
      <c r="G622" s="108"/>
      <c r="H622" s="108"/>
      <c r="I622" s="107"/>
      <c r="J622" s="108"/>
      <c r="K622" s="108"/>
      <c r="L622" s="108"/>
      <c r="M622" s="108"/>
    </row>
    <row r="623" spans="1:13" ht="24.6" x14ac:dyDescent="0.25">
      <c r="A623" s="108"/>
      <c r="B623" s="108"/>
      <c r="C623" s="111"/>
      <c r="D623" s="115"/>
      <c r="F623" s="108"/>
      <c r="G623" s="108"/>
      <c r="H623" s="108"/>
      <c r="I623" s="107"/>
      <c r="J623" s="108"/>
      <c r="K623" s="108"/>
      <c r="L623" s="108"/>
      <c r="M623" s="108"/>
    </row>
    <row r="624" spans="1:13" ht="24.6" x14ac:dyDescent="0.25">
      <c r="A624" s="108"/>
      <c r="B624" s="108"/>
      <c r="C624" s="111"/>
      <c r="D624" s="115"/>
      <c r="F624" s="108"/>
      <c r="G624" s="108"/>
      <c r="H624" s="108"/>
      <c r="I624" s="107"/>
      <c r="J624" s="108"/>
      <c r="K624" s="108"/>
      <c r="L624" s="108"/>
      <c r="M624" s="108"/>
    </row>
    <row r="625" spans="1:13" ht="24.6" x14ac:dyDescent="0.25">
      <c r="A625" s="108"/>
      <c r="B625" s="108"/>
      <c r="C625" s="111"/>
      <c r="D625" s="115"/>
      <c r="F625" s="108"/>
      <c r="G625" s="108"/>
      <c r="H625" s="108"/>
      <c r="I625" s="107"/>
      <c r="J625" s="108"/>
      <c r="K625" s="108"/>
      <c r="L625" s="108"/>
      <c r="M625" s="108"/>
    </row>
    <row r="626" spans="1:13" ht="24.6" x14ac:dyDescent="0.25">
      <c r="A626" s="108"/>
      <c r="B626" s="108"/>
      <c r="C626" s="111"/>
      <c r="D626" s="115"/>
      <c r="F626" s="108"/>
      <c r="G626" s="108"/>
      <c r="H626" s="108"/>
      <c r="I626" s="107"/>
      <c r="J626" s="108"/>
      <c r="K626" s="108"/>
      <c r="L626" s="108"/>
      <c r="M626" s="108"/>
    </row>
    <row r="627" spans="1:13" ht="24.6" x14ac:dyDescent="0.25">
      <c r="A627" s="108"/>
      <c r="B627" s="108"/>
      <c r="C627" s="111"/>
      <c r="D627" s="115"/>
      <c r="F627" s="108"/>
      <c r="G627" s="108"/>
      <c r="H627" s="108"/>
      <c r="I627" s="107"/>
      <c r="J627" s="108"/>
      <c r="K627" s="108"/>
      <c r="L627" s="108"/>
      <c r="M627" s="108"/>
    </row>
    <row r="628" spans="1:13" ht="24.6" x14ac:dyDescent="0.25">
      <c r="A628" s="108"/>
      <c r="B628" s="108"/>
      <c r="C628" s="111"/>
      <c r="D628" s="115"/>
      <c r="F628" s="108"/>
      <c r="G628" s="108"/>
      <c r="H628" s="108"/>
      <c r="I628" s="107"/>
      <c r="J628" s="108"/>
      <c r="K628" s="108"/>
      <c r="L628" s="108"/>
      <c r="M628" s="108"/>
    </row>
    <row r="629" spans="1:13" ht="24.6" x14ac:dyDescent="0.25">
      <c r="A629" s="108"/>
      <c r="B629" s="108"/>
      <c r="C629" s="111"/>
      <c r="D629" s="115"/>
      <c r="F629" s="108"/>
      <c r="G629" s="108"/>
      <c r="H629" s="108"/>
      <c r="I629" s="107"/>
      <c r="J629" s="108"/>
      <c r="K629" s="108"/>
      <c r="L629" s="108"/>
      <c r="M629" s="108"/>
    </row>
    <row r="630" spans="1:13" ht="24.6" x14ac:dyDescent="0.25">
      <c r="A630" s="108"/>
      <c r="B630" s="108"/>
      <c r="C630" s="111"/>
      <c r="D630" s="115"/>
      <c r="F630" s="108"/>
      <c r="G630" s="108"/>
      <c r="H630" s="108"/>
      <c r="I630" s="107"/>
      <c r="J630" s="108"/>
      <c r="K630" s="108"/>
      <c r="L630" s="108"/>
      <c r="M630" s="108"/>
    </row>
    <row r="631" spans="1:13" ht="24.6" x14ac:dyDescent="0.25">
      <c r="A631" s="108"/>
      <c r="B631" s="108"/>
      <c r="C631" s="111"/>
      <c r="D631" s="115"/>
      <c r="F631" s="108"/>
      <c r="G631" s="108"/>
      <c r="H631" s="108"/>
      <c r="I631" s="107"/>
      <c r="J631" s="108"/>
      <c r="K631" s="108"/>
      <c r="L631" s="108"/>
      <c r="M631" s="108"/>
    </row>
    <row r="632" spans="1:13" ht="24.6" x14ac:dyDescent="0.25">
      <c r="A632" s="108"/>
      <c r="B632" s="108"/>
      <c r="C632" s="111"/>
      <c r="D632" s="115"/>
      <c r="F632" s="108"/>
      <c r="G632" s="108"/>
      <c r="H632" s="108"/>
      <c r="I632" s="107"/>
      <c r="J632" s="108"/>
      <c r="K632" s="108"/>
      <c r="L632" s="108"/>
      <c r="M632" s="108"/>
    </row>
    <row r="633" spans="1:13" ht="24.6" x14ac:dyDescent="0.25">
      <c r="A633" s="108"/>
      <c r="B633" s="108"/>
      <c r="C633" s="111"/>
      <c r="D633" s="115"/>
      <c r="F633" s="108"/>
      <c r="G633" s="108"/>
      <c r="H633" s="108"/>
      <c r="I633" s="107"/>
      <c r="J633" s="108"/>
      <c r="K633" s="108"/>
      <c r="L633" s="108"/>
      <c r="M633" s="108"/>
    </row>
    <row r="634" spans="1:13" ht="24.6" x14ac:dyDescent="0.25">
      <c r="A634" s="108"/>
      <c r="B634" s="108"/>
      <c r="C634" s="111"/>
      <c r="D634" s="115"/>
      <c r="F634" s="108"/>
      <c r="G634" s="108"/>
      <c r="H634" s="108"/>
      <c r="I634" s="107"/>
      <c r="J634" s="108"/>
      <c r="K634" s="108"/>
      <c r="L634" s="108"/>
      <c r="M634" s="108"/>
    </row>
    <row r="635" spans="1:13" ht="24.6" x14ac:dyDescent="0.25">
      <c r="A635" s="108"/>
      <c r="B635" s="108"/>
      <c r="C635" s="111"/>
      <c r="D635" s="115"/>
      <c r="F635" s="108"/>
      <c r="G635" s="108"/>
      <c r="H635" s="108"/>
      <c r="I635" s="107"/>
      <c r="J635" s="108"/>
      <c r="K635" s="108"/>
      <c r="L635" s="108"/>
      <c r="M635" s="108"/>
    </row>
    <row r="636" spans="1:13" ht="24.6" x14ac:dyDescent="0.25">
      <c r="A636" s="108"/>
      <c r="B636" s="108"/>
      <c r="C636" s="111"/>
      <c r="D636" s="115"/>
      <c r="F636" s="108"/>
      <c r="G636" s="108"/>
      <c r="H636" s="108"/>
      <c r="I636" s="107"/>
      <c r="J636" s="108"/>
      <c r="K636" s="108"/>
      <c r="L636" s="108"/>
      <c r="M636" s="108"/>
    </row>
    <row r="637" spans="1:13" ht="24.6" x14ac:dyDescent="0.25">
      <c r="A637" s="108"/>
      <c r="B637" s="108"/>
      <c r="C637" s="111"/>
      <c r="D637" s="115"/>
      <c r="F637" s="108"/>
      <c r="G637" s="108"/>
      <c r="H637" s="108"/>
      <c r="I637" s="107"/>
      <c r="J637" s="108"/>
      <c r="K637" s="108"/>
      <c r="L637" s="108"/>
      <c r="M637" s="108"/>
    </row>
    <row r="638" spans="1:13" ht="24.6" x14ac:dyDescent="0.25">
      <c r="A638" s="108"/>
      <c r="B638" s="108"/>
      <c r="C638" s="111"/>
      <c r="D638" s="115"/>
      <c r="F638" s="108"/>
      <c r="G638" s="108"/>
      <c r="H638" s="108"/>
      <c r="I638" s="107"/>
      <c r="J638" s="108"/>
      <c r="K638" s="108"/>
      <c r="L638" s="108"/>
      <c r="M638" s="108"/>
    </row>
    <row r="639" spans="1:13" ht="24.6" x14ac:dyDescent="0.25">
      <c r="A639" s="108"/>
      <c r="B639" s="108"/>
      <c r="C639" s="111"/>
      <c r="D639" s="115"/>
      <c r="F639" s="108"/>
      <c r="G639" s="108"/>
      <c r="H639" s="108"/>
      <c r="I639" s="107"/>
      <c r="J639" s="108"/>
      <c r="K639" s="108"/>
      <c r="L639" s="108"/>
      <c r="M639" s="108"/>
    </row>
    <row r="640" spans="1:13" ht="24.6" x14ac:dyDescent="0.25">
      <c r="A640" s="108"/>
      <c r="B640" s="108"/>
      <c r="C640" s="111"/>
      <c r="D640" s="115"/>
      <c r="F640" s="108"/>
      <c r="G640" s="108"/>
      <c r="H640" s="108"/>
      <c r="I640" s="107"/>
      <c r="J640" s="108"/>
      <c r="K640" s="108"/>
      <c r="L640" s="108"/>
      <c r="M640" s="108"/>
    </row>
    <row r="641" spans="1:13" ht="24.6" x14ac:dyDescent="0.25">
      <c r="A641" s="108"/>
      <c r="B641" s="108"/>
      <c r="C641" s="111"/>
      <c r="D641" s="115"/>
      <c r="F641" s="108"/>
      <c r="G641" s="108"/>
      <c r="H641" s="108"/>
      <c r="I641" s="107"/>
      <c r="J641" s="108"/>
      <c r="K641" s="108"/>
      <c r="L641" s="108"/>
      <c r="M641" s="108"/>
    </row>
    <row r="642" spans="1:13" ht="24.6" x14ac:dyDescent="0.25">
      <c r="A642" s="108"/>
      <c r="B642" s="108"/>
      <c r="C642" s="111"/>
      <c r="D642" s="115"/>
      <c r="F642" s="108"/>
      <c r="G642" s="108"/>
      <c r="H642" s="108"/>
      <c r="I642" s="107"/>
      <c r="J642" s="108"/>
      <c r="K642" s="108"/>
      <c r="L642" s="108"/>
      <c r="M642" s="108"/>
    </row>
    <row r="643" spans="1:13" ht="24.6" x14ac:dyDescent="0.25">
      <c r="A643" s="108"/>
      <c r="B643" s="108"/>
      <c r="C643" s="111"/>
      <c r="D643" s="115"/>
      <c r="F643" s="108"/>
      <c r="G643" s="108"/>
      <c r="H643" s="108"/>
      <c r="I643" s="107"/>
      <c r="J643" s="108"/>
      <c r="K643" s="108"/>
      <c r="L643" s="108"/>
      <c r="M643" s="108"/>
    </row>
    <row r="644" spans="1:13" ht="24.6" x14ac:dyDescent="0.25">
      <c r="A644" s="108"/>
      <c r="B644" s="108"/>
      <c r="C644" s="111"/>
      <c r="D644" s="115"/>
      <c r="F644" s="108"/>
      <c r="G644" s="108"/>
      <c r="H644" s="108"/>
      <c r="I644" s="107"/>
      <c r="J644" s="108"/>
      <c r="K644" s="108"/>
      <c r="L644" s="108"/>
      <c r="M644" s="108"/>
    </row>
    <row r="645" spans="1:13" ht="24.6" x14ac:dyDescent="0.25">
      <c r="A645" s="108"/>
      <c r="B645" s="108"/>
      <c r="C645" s="111"/>
      <c r="D645" s="115"/>
      <c r="F645" s="108"/>
      <c r="G645" s="108"/>
      <c r="H645" s="108"/>
      <c r="I645" s="107"/>
      <c r="J645" s="108"/>
      <c r="K645" s="108"/>
      <c r="L645" s="108"/>
      <c r="M645" s="108"/>
    </row>
    <row r="646" spans="1:13" ht="24.6" x14ac:dyDescent="0.25">
      <c r="A646" s="108"/>
      <c r="B646" s="108"/>
      <c r="C646" s="111"/>
      <c r="D646" s="115"/>
      <c r="F646" s="108"/>
      <c r="G646" s="108"/>
      <c r="H646" s="108"/>
      <c r="I646" s="107"/>
      <c r="J646" s="108"/>
      <c r="K646" s="108"/>
      <c r="L646" s="108"/>
      <c r="M646" s="108"/>
    </row>
    <row r="647" spans="1:13" ht="24.6" x14ac:dyDescent="0.25">
      <c r="A647" s="108"/>
      <c r="B647" s="108"/>
      <c r="C647" s="111"/>
      <c r="D647" s="115"/>
      <c r="F647" s="108"/>
      <c r="G647" s="108"/>
      <c r="H647" s="108"/>
      <c r="I647" s="107"/>
      <c r="J647" s="108"/>
      <c r="K647" s="108"/>
      <c r="L647" s="108"/>
      <c r="M647" s="108"/>
    </row>
    <row r="648" spans="1:13" ht="24.6" x14ac:dyDescent="0.25">
      <c r="A648" s="108"/>
      <c r="B648" s="108"/>
      <c r="C648" s="111"/>
      <c r="D648" s="115"/>
      <c r="F648" s="108"/>
      <c r="G648" s="108"/>
      <c r="H648" s="108"/>
      <c r="I648" s="107"/>
      <c r="J648" s="108"/>
      <c r="K648" s="108"/>
      <c r="L648" s="108"/>
      <c r="M648" s="108"/>
    </row>
    <row r="649" spans="1:13" ht="24.6" x14ac:dyDescent="0.25">
      <c r="A649" s="108"/>
      <c r="B649" s="108"/>
      <c r="C649" s="111"/>
      <c r="D649" s="115"/>
      <c r="F649" s="108"/>
      <c r="G649" s="108"/>
      <c r="H649" s="108"/>
      <c r="I649" s="107"/>
      <c r="J649" s="108"/>
      <c r="K649" s="108"/>
      <c r="L649" s="108"/>
      <c r="M649" s="108"/>
    </row>
    <row r="650" spans="1:13" ht="24.6" x14ac:dyDescent="0.25">
      <c r="A650" s="108"/>
      <c r="B650" s="108"/>
      <c r="C650" s="111"/>
      <c r="D650" s="115"/>
      <c r="F650" s="108"/>
      <c r="G650" s="108"/>
      <c r="H650" s="108"/>
      <c r="I650" s="107"/>
      <c r="J650" s="108"/>
      <c r="K650" s="108"/>
      <c r="L650" s="108"/>
      <c r="M650" s="108"/>
    </row>
    <row r="651" spans="1:13" ht="24.6" x14ac:dyDescent="0.25">
      <c r="A651" s="108"/>
      <c r="B651" s="108"/>
      <c r="C651" s="111"/>
      <c r="D651" s="115"/>
      <c r="F651" s="108"/>
      <c r="G651" s="108"/>
      <c r="H651" s="108"/>
      <c r="I651" s="107"/>
      <c r="J651" s="108"/>
      <c r="K651" s="108"/>
      <c r="L651" s="108"/>
      <c r="M651" s="108"/>
    </row>
    <row r="652" spans="1:13" ht="24.6" x14ac:dyDescent="0.25">
      <c r="A652" s="108"/>
      <c r="B652" s="108"/>
      <c r="C652" s="111"/>
      <c r="D652" s="115"/>
      <c r="F652" s="108"/>
      <c r="G652" s="108"/>
      <c r="H652" s="108"/>
      <c r="I652" s="107"/>
      <c r="J652" s="108"/>
      <c r="K652" s="108"/>
      <c r="L652" s="108"/>
      <c r="M652" s="108"/>
    </row>
    <row r="653" spans="1:13" ht="24.6" x14ac:dyDescent="0.25">
      <c r="A653" s="108"/>
      <c r="B653" s="108"/>
      <c r="C653" s="111"/>
      <c r="D653" s="115"/>
      <c r="F653" s="108"/>
      <c r="G653" s="108"/>
      <c r="H653" s="108"/>
      <c r="I653" s="107"/>
      <c r="J653" s="108"/>
      <c r="K653" s="108"/>
      <c r="L653" s="108"/>
      <c r="M653" s="108"/>
    </row>
    <row r="654" spans="1:13" ht="24.6" x14ac:dyDescent="0.25">
      <c r="A654" s="108"/>
      <c r="B654" s="108"/>
      <c r="C654" s="111"/>
      <c r="D654" s="115"/>
      <c r="F654" s="108"/>
      <c r="G654" s="108"/>
      <c r="H654" s="108"/>
      <c r="I654" s="107"/>
      <c r="J654" s="108"/>
      <c r="K654" s="108"/>
      <c r="L654" s="108"/>
      <c r="M654" s="108"/>
    </row>
    <row r="655" spans="1:13" ht="24.6" x14ac:dyDescent="0.25">
      <c r="A655" s="108"/>
      <c r="B655" s="108"/>
      <c r="C655" s="111"/>
      <c r="D655" s="115"/>
      <c r="F655" s="108"/>
      <c r="G655" s="108"/>
      <c r="H655" s="108"/>
      <c r="I655" s="107"/>
      <c r="J655" s="108"/>
      <c r="K655" s="108"/>
      <c r="L655" s="108"/>
      <c r="M655" s="108"/>
    </row>
    <row r="656" spans="1:13" ht="24.6" x14ac:dyDescent="0.25">
      <c r="A656" s="108"/>
      <c r="B656" s="108"/>
      <c r="C656" s="111"/>
      <c r="D656" s="115"/>
      <c r="F656" s="108"/>
      <c r="G656" s="108"/>
      <c r="H656" s="108"/>
      <c r="I656" s="107"/>
      <c r="J656" s="108"/>
      <c r="K656" s="108"/>
      <c r="L656" s="108"/>
      <c r="M656" s="108"/>
    </row>
    <row r="657" spans="1:13" ht="24.6" x14ac:dyDescent="0.25">
      <c r="A657" s="108"/>
      <c r="B657" s="108"/>
      <c r="C657" s="111"/>
      <c r="D657" s="115"/>
      <c r="F657" s="108"/>
      <c r="G657" s="108"/>
      <c r="H657" s="108"/>
      <c r="I657" s="107"/>
      <c r="J657" s="108"/>
      <c r="K657" s="108"/>
      <c r="L657" s="108"/>
      <c r="M657" s="108"/>
    </row>
    <row r="658" spans="1:13" ht="24.6" x14ac:dyDescent="0.25">
      <c r="A658" s="108"/>
      <c r="B658" s="108"/>
      <c r="C658" s="111"/>
      <c r="D658" s="115"/>
      <c r="F658" s="108"/>
      <c r="G658" s="108"/>
      <c r="H658" s="108"/>
      <c r="I658" s="107"/>
      <c r="J658" s="108"/>
      <c r="K658" s="108"/>
      <c r="L658" s="108"/>
      <c r="M658" s="108"/>
    </row>
    <row r="659" spans="1:13" ht="24.6" x14ac:dyDescent="0.25">
      <c r="A659" s="108"/>
      <c r="B659" s="108"/>
      <c r="C659" s="111"/>
      <c r="D659" s="115"/>
      <c r="F659" s="108"/>
      <c r="G659" s="108"/>
      <c r="H659" s="108"/>
      <c r="I659" s="107"/>
      <c r="J659" s="108"/>
      <c r="K659" s="108"/>
      <c r="L659" s="108"/>
      <c r="M659" s="108"/>
    </row>
    <row r="660" spans="1:13" ht="24.6" x14ac:dyDescent="0.25">
      <c r="A660" s="108"/>
      <c r="B660" s="108"/>
      <c r="C660" s="111"/>
      <c r="D660" s="115"/>
      <c r="F660" s="108"/>
      <c r="G660" s="108"/>
      <c r="H660" s="108"/>
      <c r="I660" s="107"/>
      <c r="J660" s="108"/>
      <c r="K660" s="108"/>
      <c r="L660" s="108"/>
      <c r="M660" s="108"/>
    </row>
    <row r="661" spans="1:13" ht="24.6" x14ac:dyDescent="0.25">
      <c r="A661" s="108"/>
      <c r="B661" s="108"/>
      <c r="C661" s="111"/>
      <c r="D661" s="115"/>
      <c r="F661" s="108"/>
      <c r="G661" s="108"/>
      <c r="H661" s="108"/>
      <c r="I661" s="107"/>
      <c r="J661" s="108"/>
      <c r="K661" s="108"/>
      <c r="L661" s="108"/>
      <c r="M661" s="108"/>
    </row>
    <row r="662" spans="1:13" ht="24.6" x14ac:dyDescent="0.25">
      <c r="A662" s="108"/>
      <c r="B662" s="108"/>
      <c r="C662" s="111"/>
      <c r="D662" s="115"/>
      <c r="F662" s="108"/>
      <c r="G662" s="108"/>
      <c r="H662" s="108"/>
      <c r="I662" s="107"/>
      <c r="J662" s="108"/>
      <c r="K662" s="108"/>
      <c r="L662" s="108"/>
      <c r="M662" s="108"/>
    </row>
    <row r="663" spans="1:13" ht="24.6" x14ac:dyDescent="0.25">
      <c r="A663" s="108"/>
      <c r="B663" s="108"/>
      <c r="C663" s="111"/>
      <c r="D663" s="115"/>
      <c r="F663" s="108"/>
      <c r="G663" s="108"/>
      <c r="H663" s="108"/>
      <c r="I663" s="107"/>
      <c r="J663" s="108"/>
      <c r="K663" s="108"/>
      <c r="L663" s="108"/>
      <c r="M663" s="108"/>
    </row>
    <row r="664" spans="1:13" ht="24.6" x14ac:dyDescent="0.25">
      <c r="A664" s="108"/>
      <c r="B664" s="108"/>
      <c r="C664" s="111"/>
      <c r="D664" s="115"/>
      <c r="F664" s="108"/>
      <c r="G664" s="108"/>
      <c r="H664" s="108"/>
      <c r="I664" s="107"/>
      <c r="J664" s="108"/>
      <c r="K664" s="108"/>
      <c r="L664" s="108"/>
      <c r="M664" s="108"/>
    </row>
    <row r="665" spans="1:13" ht="24.6" x14ac:dyDescent="0.25">
      <c r="A665" s="108"/>
      <c r="B665" s="108"/>
      <c r="C665" s="111"/>
      <c r="D665" s="115"/>
      <c r="F665" s="108"/>
      <c r="G665" s="108"/>
      <c r="H665" s="108"/>
      <c r="I665" s="107"/>
      <c r="J665" s="108"/>
      <c r="K665" s="108"/>
      <c r="L665" s="108"/>
      <c r="M665" s="108"/>
    </row>
    <row r="666" spans="1:13" ht="24.6" x14ac:dyDescent="0.25">
      <c r="A666" s="108"/>
      <c r="B666" s="108"/>
      <c r="C666" s="111"/>
      <c r="D666" s="115"/>
      <c r="F666" s="108"/>
      <c r="G666" s="108"/>
      <c r="H666" s="108"/>
      <c r="I666" s="107"/>
      <c r="J666" s="108"/>
      <c r="K666" s="108"/>
      <c r="L666" s="108"/>
      <c r="M666" s="108"/>
    </row>
    <row r="667" spans="1:13" ht="24.6" x14ac:dyDescent="0.25">
      <c r="A667" s="108"/>
      <c r="B667" s="108"/>
      <c r="C667" s="111"/>
      <c r="D667" s="115"/>
      <c r="F667" s="108"/>
      <c r="G667" s="108"/>
      <c r="H667" s="108"/>
      <c r="I667" s="107"/>
      <c r="J667" s="108"/>
      <c r="K667" s="108"/>
      <c r="L667" s="108"/>
      <c r="M667" s="108"/>
    </row>
    <row r="668" spans="1:13" ht="24.6" x14ac:dyDescent="0.25">
      <c r="A668" s="108"/>
      <c r="B668" s="108"/>
      <c r="C668" s="111"/>
      <c r="D668" s="115"/>
      <c r="F668" s="108"/>
      <c r="G668" s="108"/>
      <c r="H668" s="108"/>
      <c r="I668" s="107"/>
      <c r="J668" s="108"/>
      <c r="K668" s="108"/>
      <c r="L668" s="108"/>
      <c r="M668" s="108"/>
    </row>
    <row r="669" spans="1:13" ht="24.6" x14ac:dyDescent="0.25">
      <c r="A669" s="108"/>
      <c r="B669" s="108"/>
      <c r="C669" s="111"/>
      <c r="D669" s="115"/>
      <c r="F669" s="108"/>
      <c r="G669" s="108"/>
      <c r="H669" s="108"/>
      <c r="I669" s="107"/>
      <c r="J669" s="108"/>
      <c r="K669" s="108"/>
      <c r="L669" s="108"/>
      <c r="M669" s="108"/>
    </row>
    <row r="670" spans="1:13" ht="24.6" x14ac:dyDescent="0.25">
      <c r="A670" s="108"/>
      <c r="B670" s="108"/>
      <c r="C670" s="111"/>
      <c r="D670" s="115"/>
      <c r="F670" s="108"/>
      <c r="G670" s="108"/>
      <c r="H670" s="108"/>
      <c r="I670" s="107"/>
      <c r="J670" s="108"/>
      <c r="K670" s="108"/>
      <c r="L670" s="108"/>
      <c r="M670" s="108"/>
    </row>
    <row r="671" spans="1:13" ht="24.6" x14ac:dyDescent="0.25">
      <c r="A671" s="108"/>
      <c r="B671" s="108"/>
      <c r="C671" s="111"/>
      <c r="D671" s="115"/>
      <c r="F671" s="108"/>
      <c r="G671" s="108"/>
      <c r="H671" s="108"/>
      <c r="I671" s="107"/>
      <c r="J671" s="108"/>
      <c r="K671" s="108"/>
      <c r="L671" s="108"/>
      <c r="M671" s="108"/>
    </row>
    <row r="672" spans="1:13" ht="24.6" x14ac:dyDescent="0.25">
      <c r="A672" s="108"/>
      <c r="B672" s="108"/>
      <c r="C672" s="111"/>
      <c r="D672" s="115"/>
      <c r="F672" s="108"/>
      <c r="G672" s="108"/>
      <c r="H672" s="108"/>
      <c r="I672" s="107"/>
      <c r="J672" s="108"/>
      <c r="K672" s="108"/>
      <c r="L672" s="108"/>
      <c r="M672" s="108"/>
    </row>
    <row r="673" spans="1:13" ht="24.6" x14ac:dyDescent="0.25">
      <c r="A673" s="108"/>
      <c r="B673" s="108"/>
      <c r="C673" s="111"/>
      <c r="D673" s="115"/>
      <c r="F673" s="108"/>
      <c r="G673" s="108"/>
      <c r="H673" s="108"/>
      <c r="I673" s="107"/>
      <c r="J673" s="108"/>
      <c r="K673" s="108"/>
      <c r="L673" s="108"/>
      <c r="M673" s="108"/>
    </row>
    <row r="674" spans="1:13" ht="24.6" x14ac:dyDescent="0.25">
      <c r="A674" s="108"/>
      <c r="B674" s="108"/>
      <c r="C674" s="111"/>
      <c r="D674" s="115"/>
      <c r="F674" s="108"/>
      <c r="G674" s="108"/>
      <c r="H674" s="108"/>
      <c r="I674" s="107"/>
      <c r="J674" s="108"/>
      <c r="K674" s="108"/>
      <c r="L674" s="108"/>
      <c r="M674" s="108"/>
    </row>
    <row r="675" spans="1:13" ht="24.6" x14ac:dyDescent="0.25">
      <c r="A675" s="108"/>
      <c r="B675" s="108"/>
      <c r="C675" s="111"/>
      <c r="D675" s="115"/>
      <c r="F675" s="108"/>
      <c r="G675" s="108"/>
      <c r="H675" s="108"/>
      <c r="I675" s="107"/>
      <c r="J675" s="108"/>
      <c r="K675" s="108"/>
      <c r="L675" s="108"/>
      <c r="M675" s="108"/>
    </row>
    <row r="676" spans="1:13" ht="24.6" x14ac:dyDescent="0.25">
      <c r="A676" s="108"/>
      <c r="B676" s="108"/>
      <c r="C676" s="111"/>
      <c r="D676" s="115"/>
      <c r="F676" s="108"/>
      <c r="G676" s="108"/>
      <c r="H676" s="108"/>
      <c r="I676" s="107"/>
      <c r="J676" s="108"/>
      <c r="K676" s="108"/>
      <c r="L676" s="108"/>
      <c r="M676" s="108"/>
    </row>
    <row r="677" spans="1:13" ht="24.6" x14ac:dyDescent="0.25">
      <c r="A677" s="108"/>
      <c r="B677" s="108"/>
      <c r="C677" s="111"/>
      <c r="D677" s="115"/>
      <c r="F677" s="108"/>
      <c r="G677" s="108"/>
      <c r="H677" s="108"/>
      <c r="I677" s="107"/>
      <c r="J677" s="108"/>
      <c r="K677" s="108"/>
      <c r="L677" s="108"/>
      <c r="M677" s="108"/>
    </row>
    <row r="678" spans="1:13" ht="24.6" x14ac:dyDescent="0.25">
      <c r="A678" s="108"/>
      <c r="B678" s="108"/>
      <c r="C678" s="111"/>
      <c r="D678" s="115"/>
      <c r="F678" s="108"/>
      <c r="G678" s="108"/>
      <c r="H678" s="108"/>
      <c r="I678" s="107"/>
      <c r="J678" s="108"/>
      <c r="K678" s="108"/>
      <c r="L678" s="108"/>
      <c r="M678" s="108"/>
    </row>
    <row r="679" spans="1:13" ht="24.6" x14ac:dyDescent="0.25">
      <c r="A679" s="108"/>
      <c r="B679" s="108"/>
      <c r="C679" s="111"/>
      <c r="D679" s="115"/>
      <c r="F679" s="108"/>
      <c r="G679" s="108"/>
      <c r="H679" s="108"/>
      <c r="I679" s="107"/>
      <c r="J679" s="108"/>
      <c r="K679" s="108"/>
      <c r="L679" s="108"/>
      <c r="M679" s="108"/>
    </row>
    <row r="680" spans="1:13" ht="24.6" x14ac:dyDescent="0.25">
      <c r="A680" s="108"/>
      <c r="B680" s="108"/>
      <c r="C680" s="111"/>
      <c r="D680" s="115"/>
      <c r="F680" s="108"/>
      <c r="G680" s="108"/>
      <c r="H680" s="108"/>
      <c r="I680" s="107"/>
      <c r="J680" s="108"/>
      <c r="K680" s="108"/>
      <c r="L680" s="108"/>
      <c r="M680" s="108"/>
    </row>
    <row r="681" spans="1:13" ht="24.6" x14ac:dyDescent="0.25">
      <c r="A681" s="108"/>
      <c r="B681" s="108"/>
      <c r="C681" s="111"/>
      <c r="D681" s="115"/>
      <c r="F681" s="108"/>
      <c r="G681" s="108"/>
      <c r="H681" s="108"/>
      <c r="I681" s="107"/>
      <c r="J681" s="108"/>
      <c r="K681" s="108"/>
      <c r="L681" s="108"/>
      <c r="M681" s="108"/>
    </row>
    <row r="682" spans="1:13" ht="24.6" x14ac:dyDescent="0.25">
      <c r="A682" s="108"/>
      <c r="B682" s="108"/>
      <c r="C682" s="111"/>
      <c r="D682" s="115"/>
      <c r="F682" s="108"/>
      <c r="G682" s="108"/>
      <c r="H682" s="108"/>
      <c r="I682" s="107"/>
      <c r="J682" s="108"/>
      <c r="K682" s="108"/>
      <c r="L682" s="108"/>
      <c r="M682" s="108"/>
    </row>
    <row r="683" spans="1:13" ht="24.6" x14ac:dyDescent="0.25">
      <c r="A683" s="108"/>
      <c r="B683" s="108"/>
      <c r="C683" s="111"/>
      <c r="D683" s="115"/>
      <c r="F683" s="108"/>
      <c r="G683" s="108"/>
      <c r="H683" s="108"/>
      <c r="I683" s="107"/>
      <c r="J683" s="108"/>
      <c r="K683" s="108"/>
      <c r="L683" s="108"/>
      <c r="M683" s="108"/>
    </row>
    <row r="684" spans="1:13" ht="24.6" x14ac:dyDescent="0.25">
      <c r="A684" s="108"/>
      <c r="B684" s="108"/>
      <c r="C684" s="111"/>
      <c r="D684" s="115"/>
      <c r="F684" s="108"/>
      <c r="G684" s="108"/>
      <c r="H684" s="108"/>
      <c r="I684" s="107"/>
      <c r="J684" s="108"/>
      <c r="K684" s="108"/>
      <c r="L684" s="108"/>
      <c r="M684" s="108"/>
    </row>
    <row r="685" spans="1:13" ht="24.6" x14ac:dyDescent="0.25">
      <c r="A685" s="108"/>
      <c r="B685" s="108"/>
      <c r="C685" s="111"/>
      <c r="D685" s="115"/>
      <c r="F685" s="108"/>
      <c r="G685" s="108"/>
      <c r="H685" s="108"/>
      <c r="I685" s="107"/>
      <c r="J685" s="108"/>
      <c r="K685" s="108"/>
      <c r="L685" s="108"/>
      <c r="M685" s="108"/>
    </row>
    <row r="686" spans="1:13" ht="24.6" x14ac:dyDescent="0.25">
      <c r="A686" s="108"/>
      <c r="B686" s="108"/>
      <c r="C686" s="111"/>
      <c r="D686" s="115"/>
      <c r="F686" s="108"/>
      <c r="G686" s="108"/>
      <c r="H686" s="108"/>
      <c r="I686" s="107"/>
      <c r="J686" s="108"/>
      <c r="K686" s="108"/>
      <c r="L686" s="108"/>
      <c r="M686" s="108"/>
    </row>
    <row r="687" spans="1:13" ht="24.6" x14ac:dyDescent="0.25">
      <c r="A687" s="108"/>
      <c r="B687" s="108"/>
      <c r="C687" s="111"/>
      <c r="D687" s="115"/>
      <c r="F687" s="108"/>
      <c r="G687" s="108"/>
      <c r="H687" s="108"/>
      <c r="I687" s="107"/>
      <c r="J687" s="108"/>
      <c r="K687" s="108"/>
      <c r="L687" s="108"/>
      <c r="M687" s="108"/>
    </row>
    <row r="688" spans="1:13" ht="24.6" x14ac:dyDescent="0.25">
      <c r="A688" s="108"/>
      <c r="B688" s="108"/>
      <c r="C688" s="111"/>
      <c r="D688" s="115"/>
      <c r="F688" s="108"/>
      <c r="G688" s="108"/>
      <c r="H688" s="108"/>
      <c r="I688" s="107"/>
      <c r="J688" s="108"/>
      <c r="K688" s="108"/>
      <c r="L688" s="108"/>
      <c r="M688" s="108"/>
    </row>
    <row r="689" spans="1:13" ht="24.6" x14ac:dyDescent="0.25">
      <c r="A689" s="108"/>
      <c r="B689" s="108"/>
      <c r="C689" s="111"/>
      <c r="D689" s="115"/>
      <c r="F689" s="108"/>
      <c r="G689" s="108"/>
      <c r="H689" s="108"/>
      <c r="I689" s="107"/>
      <c r="J689" s="108"/>
      <c r="K689" s="108"/>
      <c r="L689" s="108"/>
      <c r="M689" s="108"/>
    </row>
    <row r="690" spans="1:13" ht="24.6" x14ac:dyDescent="0.25">
      <c r="A690" s="108"/>
      <c r="B690" s="108"/>
      <c r="C690" s="111"/>
      <c r="D690" s="115"/>
      <c r="F690" s="108"/>
      <c r="G690" s="108"/>
      <c r="H690" s="108"/>
      <c r="I690" s="107"/>
      <c r="J690" s="108"/>
      <c r="K690" s="108"/>
      <c r="L690" s="108"/>
      <c r="M690" s="108"/>
    </row>
    <row r="691" spans="1:13" ht="24.6" x14ac:dyDescent="0.25">
      <c r="A691" s="108"/>
      <c r="B691" s="108"/>
      <c r="C691" s="111"/>
      <c r="D691" s="115"/>
      <c r="F691" s="108"/>
      <c r="G691" s="108"/>
      <c r="H691" s="108"/>
      <c r="I691" s="107"/>
      <c r="J691" s="108"/>
      <c r="K691" s="108"/>
      <c r="L691" s="108"/>
      <c r="M691" s="108"/>
    </row>
    <row r="692" spans="1:13" ht="24.6" x14ac:dyDescent="0.25">
      <c r="A692" s="108"/>
      <c r="B692" s="108"/>
      <c r="C692" s="111"/>
      <c r="D692" s="115"/>
      <c r="F692" s="108"/>
      <c r="G692" s="108"/>
      <c r="H692" s="108"/>
      <c r="I692" s="107"/>
      <c r="J692" s="108"/>
      <c r="K692" s="108"/>
      <c r="L692" s="108"/>
      <c r="M692" s="108"/>
    </row>
    <row r="693" spans="1:13" ht="24.6" x14ac:dyDescent="0.25">
      <c r="A693" s="108"/>
      <c r="B693" s="108"/>
      <c r="C693" s="111"/>
      <c r="D693" s="115"/>
      <c r="F693" s="108"/>
      <c r="G693" s="108"/>
      <c r="H693" s="108"/>
      <c r="I693" s="107"/>
      <c r="J693" s="108"/>
      <c r="K693" s="108"/>
      <c r="L693" s="108"/>
      <c r="M693" s="108"/>
    </row>
    <row r="694" spans="1:13" ht="24.6" x14ac:dyDescent="0.25">
      <c r="A694" s="108"/>
      <c r="B694" s="108"/>
      <c r="C694" s="111"/>
      <c r="D694" s="115"/>
      <c r="F694" s="108"/>
      <c r="G694" s="108"/>
      <c r="H694" s="108"/>
      <c r="I694" s="107"/>
      <c r="J694" s="108"/>
      <c r="K694" s="108"/>
      <c r="L694" s="108"/>
      <c r="M694" s="108"/>
    </row>
    <row r="695" spans="1:13" ht="24.6" x14ac:dyDescent="0.25">
      <c r="A695" s="108"/>
      <c r="B695" s="108"/>
      <c r="C695" s="111"/>
      <c r="D695" s="115"/>
      <c r="F695" s="108"/>
      <c r="G695" s="108"/>
      <c r="H695" s="108"/>
      <c r="I695" s="107"/>
      <c r="J695" s="108"/>
      <c r="K695" s="108"/>
      <c r="L695" s="108"/>
      <c r="M695" s="108"/>
    </row>
    <row r="696" spans="1:13" ht="24.6" x14ac:dyDescent="0.25">
      <c r="A696" s="108"/>
      <c r="B696" s="108"/>
      <c r="C696" s="111"/>
      <c r="D696" s="115"/>
      <c r="F696" s="108"/>
      <c r="G696" s="108"/>
      <c r="H696" s="108"/>
      <c r="I696" s="107"/>
      <c r="J696" s="108"/>
      <c r="K696" s="108"/>
      <c r="L696" s="108"/>
      <c r="M696" s="108"/>
    </row>
    <row r="697" spans="1:13" ht="24.6" x14ac:dyDescent="0.25">
      <c r="A697" s="108"/>
      <c r="B697" s="108"/>
      <c r="C697" s="111"/>
      <c r="D697" s="115"/>
      <c r="F697" s="108"/>
      <c r="G697" s="108"/>
      <c r="H697" s="108"/>
      <c r="I697" s="107"/>
      <c r="J697" s="108"/>
      <c r="K697" s="108"/>
      <c r="L697" s="108"/>
      <c r="M697" s="108"/>
    </row>
    <row r="698" spans="1:13" ht="24.6" x14ac:dyDescent="0.25">
      <c r="A698" s="108"/>
      <c r="B698" s="108"/>
      <c r="C698" s="111"/>
      <c r="D698" s="115"/>
      <c r="F698" s="108"/>
      <c r="G698" s="108"/>
      <c r="H698" s="108"/>
      <c r="I698" s="107"/>
      <c r="J698" s="108"/>
      <c r="K698" s="108"/>
      <c r="L698" s="108"/>
      <c r="M698" s="108"/>
    </row>
    <row r="699" spans="1:13" ht="24.6" x14ac:dyDescent="0.25">
      <c r="A699" s="108"/>
      <c r="B699" s="108"/>
      <c r="C699" s="111"/>
      <c r="D699" s="115"/>
      <c r="F699" s="108"/>
      <c r="G699" s="108"/>
      <c r="H699" s="108"/>
      <c r="I699" s="107"/>
      <c r="J699" s="108"/>
      <c r="K699" s="108"/>
      <c r="L699" s="108"/>
      <c r="M699" s="108"/>
    </row>
    <row r="700" spans="1:13" ht="24.6" x14ac:dyDescent="0.25">
      <c r="A700" s="108"/>
      <c r="B700" s="108"/>
      <c r="C700" s="111"/>
      <c r="D700" s="115"/>
      <c r="F700" s="108"/>
      <c r="G700" s="108"/>
      <c r="H700" s="108"/>
      <c r="I700" s="107"/>
      <c r="J700" s="108"/>
      <c r="K700" s="108"/>
      <c r="L700" s="108"/>
      <c r="M700" s="108"/>
    </row>
    <row r="701" spans="1:13" ht="24.6" x14ac:dyDescent="0.25">
      <c r="A701" s="108"/>
      <c r="B701" s="108"/>
      <c r="C701" s="111"/>
      <c r="D701" s="115"/>
      <c r="F701" s="108"/>
      <c r="G701" s="108"/>
      <c r="H701" s="108"/>
      <c r="I701" s="107"/>
      <c r="J701" s="108"/>
      <c r="K701" s="108"/>
      <c r="L701" s="108"/>
      <c r="M701" s="108"/>
    </row>
    <row r="702" spans="1:13" ht="24.6" x14ac:dyDescent="0.25">
      <c r="A702" s="108"/>
      <c r="B702" s="108"/>
      <c r="C702" s="111"/>
      <c r="D702" s="115"/>
      <c r="F702" s="108"/>
      <c r="G702" s="108"/>
      <c r="H702" s="108"/>
      <c r="I702" s="107"/>
      <c r="J702" s="108"/>
      <c r="K702" s="108"/>
      <c r="L702" s="108"/>
      <c r="M702" s="108"/>
    </row>
    <row r="703" spans="1:13" ht="24.6" x14ac:dyDescent="0.25">
      <c r="A703" s="108"/>
      <c r="B703" s="108"/>
      <c r="C703" s="111"/>
      <c r="D703" s="115"/>
      <c r="F703" s="108"/>
      <c r="G703" s="108"/>
      <c r="H703" s="108"/>
      <c r="I703" s="107"/>
      <c r="J703" s="108"/>
      <c r="K703" s="108"/>
      <c r="L703" s="108"/>
      <c r="M703" s="108"/>
    </row>
    <row r="704" spans="1:13" ht="24.6" x14ac:dyDescent="0.25">
      <c r="A704" s="108"/>
      <c r="B704" s="108"/>
      <c r="C704" s="111"/>
      <c r="D704" s="115"/>
      <c r="F704" s="108"/>
      <c r="G704" s="108"/>
      <c r="H704" s="108"/>
      <c r="I704" s="107"/>
      <c r="J704" s="108"/>
      <c r="K704" s="108"/>
      <c r="L704" s="108"/>
      <c r="M704" s="108"/>
    </row>
    <row r="705" spans="1:13" ht="24.6" x14ac:dyDescent="0.25">
      <c r="A705" s="108"/>
      <c r="B705" s="108"/>
      <c r="C705" s="111"/>
      <c r="D705" s="115"/>
      <c r="F705" s="108"/>
      <c r="G705" s="108"/>
      <c r="H705" s="108"/>
      <c r="I705" s="107"/>
      <c r="J705" s="108"/>
      <c r="K705" s="108"/>
      <c r="L705" s="108"/>
      <c r="M705" s="108"/>
    </row>
    <row r="706" spans="1:13" ht="24.6" x14ac:dyDescent="0.25">
      <c r="A706" s="108"/>
      <c r="B706" s="108"/>
      <c r="C706" s="111"/>
      <c r="D706" s="115"/>
      <c r="F706" s="108"/>
      <c r="G706" s="108"/>
      <c r="H706" s="108"/>
      <c r="I706" s="107"/>
      <c r="J706" s="108"/>
      <c r="K706" s="108"/>
      <c r="L706" s="108"/>
      <c r="M706" s="108"/>
    </row>
    <row r="707" spans="1:13" ht="24.6" x14ac:dyDescent="0.25">
      <c r="A707" s="108"/>
      <c r="B707" s="108"/>
      <c r="C707" s="111"/>
      <c r="D707" s="115"/>
      <c r="F707" s="108"/>
      <c r="G707" s="108"/>
      <c r="H707" s="108"/>
      <c r="I707" s="107"/>
      <c r="J707" s="108"/>
      <c r="K707" s="108"/>
      <c r="L707" s="108"/>
      <c r="M707" s="108"/>
    </row>
    <row r="708" spans="1:13" ht="24.6" x14ac:dyDescent="0.25">
      <c r="A708" s="108"/>
      <c r="B708" s="108"/>
      <c r="C708" s="111"/>
      <c r="D708" s="115"/>
      <c r="F708" s="108"/>
      <c r="G708" s="108"/>
      <c r="H708" s="108"/>
      <c r="I708" s="107"/>
      <c r="J708" s="108"/>
      <c r="K708" s="108"/>
      <c r="L708" s="108"/>
      <c r="M708" s="108"/>
    </row>
    <row r="709" spans="1:13" ht="24.6" x14ac:dyDescent="0.25">
      <c r="A709" s="108"/>
      <c r="B709" s="108"/>
      <c r="C709" s="111"/>
      <c r="D709" s="115"/>
      <c r="F709" s="108"/>
      <c r="G709" s="108"/>
      <c r="H709" s="108"/>
      <c r="I709" s="107"/>
      <c r="J709" s="108"/>
      <c r="K709" s="108"/>
      <c r="L709" s="108"/>
      <c r="M709" s="108"/>
    </row>
    <row r="710" spans="1:13" ht="24.6" x14ac:dyDescent="0.25">
      <c r="A710" s="108"/>
      <c r="B710" s="108"/>
      <c r="C710" s="111"/>
      <c r="D710" s="115"/>
      <c r="F710" s="108"/>
      <c r="G710" s="108"/>
      <c r="H710" s="108"/>
      <c r="I710" s="107"/>
      <c r="J710" s="108"/>
      <c r="K710" s="108"/>
      <c r="L710" s="108"/>
      <c r="M710" s="108"/>
    </row>
    <row r="711" spans="1:13" ht="24.6" x14ac:dyDescent="0.25">
      <c r="A711" s="108"/>
      <c r="B711" s="108"/>
      <c r="C711" s="111"/>
      <c r="D711" s="115"/>
      <c r="F711" s="108"/>
      <c r="G711" s="108"/>
      <c r="H711" s="108"/>
      <c r="I711" s="107"/>
      <c r="J711" s="108"/>
      <c r="K711" s="108"/>
      <c r="L711" s="108"/>
      <c r="M711" s="108"/>
    </row>
    <row r="712" spans="1:13" ht="24.6" x14ac:dyDescent="0.25">
      <c r="A712" s="108"/>
      <c r="B712" s="108"/>
      <c r="C712" s="111"/>
      <c r="D712" s="115"/>
      <c r="F712" s="108"/>
      <c r="G712" s="108"/>
      <c r="H712" s="108"/>
      <c r="I712" s="107"/>
      <c r="J712" s="108"/>
      <c r="K712" s="108"/>
      <c r="L712" s="108"/>
      <c r="M712" s="108"/>
    </row>
    <row r="713" spans="1:13" ht="24.6" x14ac:dyDescent="0.25">
      <c r="A713" s="108"/>
      <c r="B713" s="108"/>
      <c r="C713" s="111"/>
      <c r="D713" s="115"/>
      <c r="F713" s="108"/>
      <c r="G713" s="108"/>
      <c r="H713" s="108"/>
      <c r="I713" s="107"/>
      <c r="J713" s="108"/>
      <c r="K713" s="108"/>
      <c r="L713" s="108"/>
      <c r="M713" s="108"/>
    </row>
    <row r="714" spans="1:13" ht="24.6" x14ac:dyDescent="0.25">
      <c r="A714" s="108"/>
      <c r="B714" s="108"/>
      <c r="C714" s="111"/>
      <c r="D714" s="115"/>
      <c r="F714" s="108"/>
      <c r="G714" s="108"/>
      <c r="H714" s="108"/>
      <c r="I714" s="107"/>
      <c r="J714" s="108"/>
      <c r="K714" s="108"/>
      <c r="L714" s="108"/>
      <c r="M714" s="108"/>
    </row>
    <row r="715" spans="1:13" ht="24.6" x14ac:dyDescent="0.25">
      <c r="A715" s="108"/>
      <c r="B715" s="108"/>
      <c r="C715" s="111"/>
      <c r="D715" s="115"/>
      <c r="F715" s="108"/>
      <c r="G715" s="108"/>
      <c r="H715" s="108"/>
      <c r="I715" s="107"/>
      <c r="J715" s="108"/>
      <c r="K715" s="108"/>
      <c r="L715" s="108"/>
      <c r="M715" s="108"/>
    </row>
    <row r="716" spans="1:13" ht="24.6" x14ac:dyDescent="0.25">
      <c r="A716" s="108"/>
      <c r="B716" s="108"/>
      <c r="C716" s="111"/>
      <c r="D716" s="115"/>
      <c r="F716" s="108"/>
      <c r="G716" s="108"/>
      <c r="H716" s="108"/>
      <c r="I716" s="107"/>
      <c r="J716" s="108"/>
      <c r="K716" s="108"/>
      <c r="L716" s="108"/>
      <c r="M716" s="108"/>
    </row>
    <row r="717" spans="1:13" ht="24.6" x14ac:dyDescent="0.25">
      <c r="A717" s="108"/>
      <c r="B717" s="108"/>
      <c r="C717" s="111"/>
      <c r="D717" s="115"/>
      <c r="F717" s="108"/>
      <c r="G717" s="108"/>
      <c r="H717" s="108"/>
      <c r="I717" s="107"/>
      <c r="J717" s="108"/>
      <c r="K717" s="108"/>
      <c r="L717" s="108"/>
      <c r="M717" s="108"/>
    </row>
    <row r="718" spans="1:13" ht="24.6" x14ac:dyDescent="0.25">
      <c r="A718" s="108"/>
      <c r="B718" s="108"/>
      <c r="C718" s="111"/>
      <c r="D718" s="115"/>
      <c r="F718" s="108"/>
      <c r="G718" s="108"/>
      <c r="H718" s="108"/>
      <c r="I718" s="107"/>
      <c r="J718" s="108"/>
      <c r="K718" s="108"/>
      <c r="L718" s="108"/>
      <c r="M718" s="108"/>
    </row>
    <row r="719" spans="1:13" ht="24.6" x14ac:dyDescent="0.25">
      <c r="A719" s="108"/>
      <c r="B719" s="108"/>
      <c r="C719" s="111"/>
      <c r="D719" s="115"/>
      <c r="F719" s="108"/>
      <c r="G719" s="108"/>
      <c r="H719" s="108"/>
      <c r="I719" s="107"/>
      <c r="J719" s="108"/>
      <c r="K719" s="108"/>
      <c r="L719" s="108"/>
      <c r="M719" s="108"/>
    </row>
    <row r="720" spans="1:13" ht="24.6" x14ac:dyDescent="0.25">
      <c r="A720" s="108"/>
      <c r="B720" s="108"/>
      <c r="C720" s="111"/>
      <c r="D720" s="115"/>
      <c r="F720" s="108"/>
      <c r="G720" s="108"/>
      <c r="H720" s="108"/>
      <c r="I720" s="107"/>
      <c r="J720" s="108"/>
      <c r="K720" s="108"/>
      <c r="L720" s="108"/>
      <c r="M720" s="108"/>
    </row>
    <row r="721" spans="1:13" ht="24.6" x14ac:dyDescent="0.25">
      <c r="A721" s="108"/>
      <c r="B721" s="108"/>
      <c r="C721" s="111"/>
      <c r="D721" s="115"/>
      <c r="F721" s="108"/>
      <c r="G721" s="108"/>
      <c r="H721" s="108"/>
      <c r="I721" s="107"/>
      <c r="J721" s="108"/>
      <c r="K721" s="108"/>
      <c r="L721" s="108"/>
      <c r="M721" s="108"/>
    </row>
    <row r="722" spans="1:13" ht="24.6" x14ac:dyDescent="0.25">
      <c r="A722" s="108"/>
      <c r="B722" s="108"/>
      <c r="C722" s="111"/>
      <c r="D722" s="115"/>
      <c r="F722" s="108"/>
      <c r="G722" s="108"/>
      <c r="H722" s="108"/>
      <c r="I722" s="107"/>
      <c r="J722" s="108"/>
      <c r="K722" s="108"/>
      <c r="L722" s="108"/>
      <c r="M722" s="108"/>
    </row>
    <row r="723" spans="1:13" ht="24.6" x14ac:dyDescent="0.25">
      <c r="A723" s="108"/>
      <c r="B723" s="108"/>
      <c r="C723" s="111"/>
      <c r="D723" s="115"/>
      <c r="F723" s="108"/>
      <c r="G723" s="108"/>
      <c r="H723" s="108"/>
      <c r="I723" s="107"/>
      <c r="J723" s="108"/>
      <c r="K723" s="108"/>
      <c r="L723" s="108"/>
      <c r="M723" s="108"/>
    </row>
    <row r="724" spans="1:13" ht="24.6" x14ac:dyDescent="0.25">
      <c r="A724" s="108"/>
      <c r="B724" s="108"/>
      <c r="C724" s="111"/>
      <c r="D724" s="115"/>
      <c r="F724" s="108"/>
      <c r="G724" s="108"/>
      <c r="H724" s="108"/>
      <c r="I724" s="107"/>
      <c r="J724" s="108"/>
      <c r="K724" s="108"/>
      <c r="L724" s="108"/>
      <c r="M724" s="108"/>
    </row>
    <row r="725" spans="1:13" ht="24.6" x14ac:dyDescent="0.25">
      <c r="A725" s="108"/>
      <c r="B725" s="108"/>
      <c r="C725" s="111"/>
      <c r="D725" s="115"/>
      <c r="F725" s="108"/>
      <c r="G725" s="108"/>
      <c r="H725" s="108"/>
      <c r="I725" s="107"/>
      <c r="J725" s="108"/>
      <c r="K725" s="108"/>
      <c r="L725" s="108"/>
      <c r="M725" s="108"/>
    </row>
    <row r="726" spans="1:13" ht="24.6" x14ac:dyDescent="0.25">
      <c r="A726" s="108"/>
      <c r="B726" s="108"/>
      <c r="C726" s="111"/>
      <c r="D726" s="115"/>
      <c r="F726" s="108"/>
      <c r="G726" s="108"/>
      <c r="H726" s="108"/>
      <c r="I726" s="107"/>
      <c r="J726" s="108"/>
      <c r="K726" s="108"/>
      <c r="L726" s="108"/>
      <c r="M726" s="108"/>
    </row>
    <row r="727" spans="1:13" ht="24.6" x14ac:dyDescent="0.25">
      <c r="A727" s="108"/>
      <c r="B727" s="108"/>
      <c r="C727" s="111"/>
      <c r="D727" s="115"/>
      <c r="F727" s="108"/>
      <c r="G727" s="108"/>
      <c r="H727" s="108"/>
      <c r="I727" s="107"/>
      <c r="J727" s="108"/>
      <c r="K727" s="108"/>
      <c r="L727" s="108"/>
      <c r="M727" s="108"/>
    </row>
    <row r="728" spans="1:13" ht="24.6" x14ac:dyDescent="0.25">
      <c r="A728" s="108"/>
      <c r="B728" s="108"/>
      <c r="C728" s="111"/>
      <c r="D728" s="115"/>
      <c r="F728" s="108"/>
      <c r="G728" s="108"/>
      <c r="H728" s="108"/>
      <c r="I728" s="107"/>
      <c r="J728" s="108"/>
      <c r="K728" s="108"/>
      <c r="L728" s="108"/>
      <c r="M728" s="108"/>
    </row>
    <row r="729" spans="1:13" ht="24.6" x14ac:dyDescent="0.25">
      <c r="A729" s="108"/>
      <c r="B729" s="108"/>
      <c r="C729" s="111"/>
      <c r="D729" s="115"/>
      <c r="F729" s="108"/>
      <c r="G729" s="108"/>
      <c r="H729" s="108"/>
      <c r="I729" s="107"/>
      <c r="J729" s="108"/>
      <c r="K729" s="108"/>
      <c r="L729" s="108"/>
      <c r="M729" s="108"/>
    </row>
    <row r="730" spans="1:13" ht="24.6" x14ac:dyDescent="0.25">
      <c r="A730" s="108"/>
      <c r="B730" s="108"/>
      <c r="C730" s="111"/>
      <c r="D730" s="115"/>
      <c r="F730" s="108"/>
      <c r="G730" s="108"/>
      <c r="H730" s="108"/>
      <c r="I730" s="107"/>
      <c r="J730" s="108"/>
      <c r="K730" s="108"/>
      <c r="L730" s="108"/>
      <c r="M730" s="108"/>
    </row>
    <row r="731" spans="1:13" ht="24.6" x14ac:dyDescent="0.25">
      <c r="A731" s="108"/>
      <c r="B731" s="108"/>
      <c r="C731" s="111"/>
      <c r="D731" s="115"/>
      <c r="F731" s="108"/>
      <c r="G731" s="108"/>
      <c r="H731" s="108"/>
      <c r="I731" s="107"/>
      <c r="J731" s="108"/>
      <c r="K731" s="108"/>
      <c r="L731" s="108"/>
      <c r="M731" s="108"/>
    </row>
    <row r="732" spans="1:13" ht="24.6" x14ac:dyDescent="0.25">
      <c r="A732" s="108"/>
      <c r="B732" s="108"/>
      <c r="C732" s="111"/>
      <c r="D732" s="115"/>
      <c r="F732" s="108"/>
      <c r="G732" s="108"/>
      <c r="H732" s="108"/>
      <c r="I732" s="107"/>
      <c r="J732" s="108"/>
      <c r="K732" s="108"/>
      <c r="L732" s="108"/>
      <c r="M732" s="108"/>
    </row>
    <row r="733" spans="1:13" ht="24.6" x14ac:dyDescent="0.25">
      <c r="A733" s="108"/>
      <c r="B733" s="108"/>
      <c r="C733" s="111"/>
      <c r="D733" s="115"/>
      <c r="F733" s="108"/>
      <c r="G733" s="108"/>
      <c r="H733" s="108"/>
      <c r="I733" s="107"/>
      <c r="J733" s="108"/>
      <c r="K733" s="108"/>
      <c r="L733" s="108"/>
      <c r="M733" s="108"/>
    </row>
    <row r="734" spans="1:13" ht="24.6" x14ac:dyDescent="0.25">
      <c r="A734" s="108"/>
      <c r="B734" s="108"/>
      <c r="C734" s="111"/>
      <c r="D734" s="115"/>
      <c r="F734" s="108"/>
      <c r="G734" s="108"/>
      <c r="H734" s="108"/>
      <c r="I734" s="107"/>
      <c r="J734" s="108"/>
      <c r="K734" s="108"/>
      <c r="L734" s="108"/>
      <c r="M734" s="108"/>
    </row>
    <row r="735" spans="1:13" ht="24.6" x14ac:dyDescent="0.25">
      <c r="A735" s="108"/>
      <c r="B735" s="108"/>
      <c r="C735" s="111"/>
      <c r="D735" s="115"/>
      <c r="F735" s="108"/>
      <c r="G735" s="108"/>
      <c r="H735" s="108"/>
      <c r="I735" s="107"/>
      <c r="J735" s="108"/>
      <c r="K735" s="108"/>
      <c r="L735" s="108"/>
      <c r="M735" s="108"/>
    </row>
    <row r="736" spans="1:13" ht="24.6" x14ac:dyDescent="0.25">
      <c r="A736" s="108"/>
      <c r="B736" s="108"/>
      <c r="C736" s="111"/>
      <c r="D736" s="115"/>
      <c r="F736" s="108"/>
      <c r="G736" s="108"/>
      <c r="H736" s="108"/>
      <c r="I736" s="107"/>
      <c r="J736" s="108"/>
      <c r="K736" s="108"/>
      <c r="L736" s="108"/>
      <c r="M736" s="108"/>
    </row>
    <row r="737" spans="1:13" ht="24.6" x14ac:dyDescent="0.25">
      <c r="A737" s="108"/>
      <c r="B737" s="108"/>
      <c r="C737" s="111"/>
      <c r="D737" s="115"/>
      <c r="F737" s="108"/>
      <c r="G737" s="108"/>
      <c r="H737" s="108"/>
      <c r="I737" s="107"/>
      <c r="J737" s="108"/>
      <c r="K737" s="108"/>
      <c r="L737" s="108"/>
      <c r="M737" s="108"/>
    </row>
    <row r="738" spans="1:13" ht="24.6" x14ac:dyDescent="0.25">
      <c r="A738" s="108"/>
      <c r="B738" s="108"/>
      <c r="C738" s="111"/>
      <c r="D738" s="115"/>
      <c r="F738" s="108"/>
      <c r="G738" s="108"/>
      <c r="H738" s="108"/>
      <c r="I738" s="107"/>
      <c r="J738" s="108"/>
      <c r="K738" s="108"/>
      <c r="L738" s="108"/>
      <c r="M738" s="108"/>
    </row>
    <row r="739" spans="1:13" ht="24.6" x14ac:dyDescent="0.25">
      <c r="A739" s="108"/>
      <c r="B739" s="108"/>
      <c r="C739" s="111"/>
      <c r="D739" s="115"/>
      <c r="F739" s="108"/>
      <c r="G739" s="108"/>
      <c r="H739" s="108"/>
      <c r="I739" s="107"/>
      <c r="J739" s="108"/>
      <c r="K739" s="108"/>
      <c r="L739" s="108"/>
      <c r="M739" s="108"/>
    </row>
    <row r="740" spans="1:13" ht="24.6" x14ac:dyDescent="0.25">
      <c r="A740" s="108"/>
      <c r="B740" s="108"/>
      <c r="C740" s="111"/>
      <c r="D740" s="115"/>
      <c r="F740" s="108"/>
      <c r="G740" s="108"/>
      <c r="H740" s="108"/>
      <c r="I740" s="107"/>
      <c r="J740" s="108"/>
      <c r="K740" s="108"/>
      <c r="L740" s="108"/>
      <c r="M740" s="108"/>
    </row>
    <row r="741" spans="1:13" ht="24.6" x14ac:dyDescent="0.25">
      <c r="A741" s="108"/>
      <c r="B741" s="108"/>
      <c r="C741" s="111"/>
      <c r="D741" s="115"/>
      <c r="F741" s="108"/>
      <c r="G741" s="108"/>
      <c r="H741" s="108"/>
      <c r="I741" s="107"/>
      <c r="J741" s="108"/>
      <c r="K741" s="108"/>
      <c r="L741" s="108"/>
      <c r="M741" s="108"/>
    </row>
    <row r="742" spans="1:13" ht="24.6" x14ac:dyDescent="0.25">
      <c r="A742" s="108"/>
      <c r="B742" s="108"/>
      <c r="C742" s="111"/>
      <c r="D742" s="115"/>
      <c r="F742" s="108"/>
      <c r="G742" s="108"/>
      <c r="H742" s="108"/>
      <c r="I742" s="107"/>
      <c r="J742" s="108"/>
      <c r="K742" s="108"/>
      <c r="L742" s="108"/>
      <c r="M742" s="108"/>
    </row>
    <row r="743" spans="1:13" ht="24.6" x14ac:dyDescent="0.25">
      <c r="A743" s="108"/>
      <c r="B743" s="108"/>
      <c r="C743" s="111"/>
      <c r="D743" s="115"/>
      <c r="F743" s="108"/>
      <c r="G743" s="108"/>
      <c r="H743" s="108"/>
      <c r="I743" s="107"/>
      <c r="J743" s="108"/>
      <c r="K743" s="108"/>
      <c r="L743" s="108"/>
      <c r="M743" s="108"/>
    </row>
    <row r="744" spans="1:13" ht="24.6" x14ac:dyDescent="0.25">
      <c r="A744" s="108"/>
      <c r="B744" s="108"/>
      <c r="C744" s="111"/>
      <c r="D744" s="115"/>
      <c r="F744" s="108"/>
      <c r="G744" s="108"/>
      <c r="H744" s="108"/>
      <c r="I744" s="107"/>
      <c r="J744" s="108"/>
      <c r="K744" s="108"/>
      <c r="L744" s="108"/>
      <c r="M744" s="108"/>
    </row>
    <row r="745" spans="1:13" ht="24.6" x14ac:dyDescent="0.25">
      <c r="A745" s="108"/>
      <c r="B745" s="108"/>
      <c r="C745" s="111"/>
      <c r="D745" s="115"/>
      <c r="F745" s="108"/>
      <c r="G745" s="108"/>
      <c r="H745" s="108"/>
      <c r="I745" s="107"/>
      <c r="J745" s="108"/>
      <c r="K745" s="108"/>
      <c r="L745" s="108"/>
      <c r="M745" s="108"/>
    </row>
    <row r="746" spans="1:13" ht="24.6" x14ac:dyDescent="0.25">
      <c r="A746" s="108"/>
      <c r="B746" s="108"/>
      <c r="C746" s="111"/>
      <c r="D746" s="115"/>
      <c r="F746" s="108"/>
      <c r="G746" s="108"/>
      <c r="H746" s="108"/>
      <c r="I746" s="107"/>
      <c r="J746" s="108"/>
      <c r="K746" s="108"/>
      <c r="L746" s="108"/>
      <c r="M746" s="108"/>
    </row>
    <row r="747" spans="1:13" ht="24.6" x14ac:dyDescent="0.25">
      <c r="A747" s="108"/>
      <c r="B747" s="108"/>
      <c r="C747" s="111"/>
      <c r="D747" s="115"/>
      <c r="F747" s="108"/>
      <c r="G747" s="108"/>
      <c r="H747" s="108"/>
      <c r="I747" s="107"/>
      <c r="J747" s="108"/>
      <c r="K747" s="108"/>
      <c r="L747" s="108"/>
      <c r="M747" s="108"/>
    </row>
    <row r="748" spans="1:13" ht="24.6" x14ac:dyDescent="0.25">
      <c r="A748" s="108"/>
      <c r="B748" s="108"/>
      <c r="C748" s="111"/>
      <c r="D748" s="115"/>
      <c r="F748" s="108"/>
      <c r="G748" s="108"/>
      <c r="H748" s="108"/>
      <c r="I748" s="107"/>
      <c r="J748" s="108"/>
      <c r="K748" s="108"/>
      <c r="L748" s="108"/>
      <c r="M748" s="108"/>
    </row>
    <row r="749" spans="1:13" ht="24.6" x14ac:dyDescent="0.25">
      <c r="A749" s="108"/>
      <c r="B749" s="108"/>
      <c r="C749" s="111"/>
      <c r="D749" s="115"/>
      <c r="F749" s="108"/>
      <c r="G749" s="108"/>
      <c r="H749" s="108"/>
      <c r="I749" s="107"/>
      <c r="J749" s="108"/>
      <c r="K749" s="108"/>
      <c r="L749" s="108"/>
      <c r="M749" s="108"/>
    </row>
    <row r="750" spans="1:13" ht="24.6" x14ac:dyDescent="0.25">
      <c r="A750" s="108"/>
      <c r="B750" s="108"/>
      <c r="C750" s="111"/>
      <c r="D750" s="115"/>
      <c r="F750" s="108"/>
      <c r="G750" s="108"/>
      <c r="H750" s="108"/>
      <c r="I750" s="107"/>
      <c r="J750" s="108"/>
      <c r="K750" s="108"/>
      <c r="L750" s="108"/>
      <c r="M750" s="108"/>
    </row>
    <row r="751" spans="1:13" ht="24.6" x14ac:dyDescent="0.25">
      <c r="A751" s="108"/>
      <c r="B751" s="108"/>
      <c r="C751" s="111"/>
      <c r="D751" s="115"/>
      <c r="F751" s="108"/>
      <c r="G751" s="108"/>
      <c r="H751" s="108"/>
      <c r="I751" s="107"/>
      <c r="J751" s="108"/>
      <c r="K751" s="108"/>
      <c r="L751" s="108"/>
      <c r="M751" s="108"/>
    </row>
    <row r="752" spans="1:13" ht="24.6" x14ac:dyDescent="0.25">
      <c r="A752" s="108"/>
      <c r="B752" s="108"/>
      <c r="C752" s="111"/>
      <c r="D752" s="115"/>
      <c r="F752" s="108"/>
      <c r="G752" s="108"/>
      <c r="H752" s="108"/>
      <c r="I752" s="107"/>
      <c r="J752" s="108"/>
      <c r="K752" s="108"/>
      <c r="L752" s="108"/>
      <c r="M752" s="108"/>
    </row>
    <row r="753" spans="1:13" ht="24.6" x14ac:dyDescent="0.25">
      <c r="A753" s="108"/>
      <c r="B753" s="108"/>
      <c r="C753" s="111"/>
      <c r="D753" s="115"/>
      <c r="F753" s="108"/>
      <c r="G753" s="108"/>
      <c r="H753" s="108"/>
      <c r="I753" s="107"/>
      <c r="J753" s="108"/>
      <c r="K753" s="108"/>
      <c r="L753" s="108"/>
      <c r="M753" s="108"/>
    </row>
    <row r="754" spans="1:13" ht="24.6" x14ac:dyDescent="0.25">
      <c r="A754" s="108"/>
      <c r="B754" s="108"/>
      <c r="C754" s="111"/>
      <c r="D754" s="115"/>
      <c r="F754" s="108"/>
      <c r="G754" s="108"/>
      <c r="H754" s="108"/>
      <c r="I754" s="107"/>
      <c r="J754" s="108"/>
      <c r="K754" s="108"/>
      <c r="L754" s="108"/>
      <c r="M754" s="108"/>
    </row>
    <row r="755" spans="1:13" ht="24.6" x14ac:dyDescent="0.25">
      <c r="A755" s="108"/>
      <c r="B755" s="108"/>
      <c r="C755" s="111"/>
      <c r="D755" s="115"/>
      <c r="F755" s="108"/>
      <c r="G755" s="108"/>
      <c r="H755" s="108"/>
      <c r="I755" s="107"/>
      <c r="J755" s="108"/>
      <c r="K755" s="108"/>
      <c r="L755" s="108"/>
      <c r="M755" s="108"/>
    </row>
    <row r="756" spans="1:13" ht="24.6" x14ac:dyDescent="0.25">
      <c r="A756" s="108"/>
      <c r="B756" s="108"/>
      <c r="C756" s="111"/>
      <c r="D756" s="115"/>
      <c r="F756" s="108"/>
      <c r="G756" s="108"/>
      <c r="H756" s="108"/>
      <c r="I756" s="107"/>
      <c r="J756" s="108"/>
      <c r="K756" s="108"/>
      <c r="L756" s="108"/>
      <c r="M756" s="108"/>
    </row>
    <row r="757" spans="1:13" ht="24.6" x14ac:dyDescent="0.25">
      <c r="A757" s="108"/>
      <c r="B757" s="108"/>
      <c r="C757" s="111"/>
      <c r="D757" s="115"/>
      <c r="F757" s="108"/>
      <c r="G757" s="108"/>
      <c r="H757" s="108"/>
      <c r="I757" s="107"/>
      <c r="J757" s="108"/>
      <c r="K757" s="108"/>
      <c r="L757" s="108"/>
      <c r="M757" s="108"/>
    </row>
    <row r="758" spans="1:13" ht="24.6" x14ac:dyDescent="0.25">
      <c r="A758" s="108"/>
      <c r="B758" s="108"/>
      <c r="C758" s="111"/>
      <c r="D758" s="115"/>
      <c r="F758" s="108"/>
      <c r="G758" s="108"/>
      <c r="H758" s="108"/>
      <c r="I758" s="107"/>
      <c r="J758" s="108"/>
      <c r="K758" s="108"/>
      <c r="L758" s="108"/>
      <c r="M758" s="108"/>
    </row>
    <row r="759" spans="1:13" ht="24.6" x14ac:dyDescent="0.25">
      <c r="A759" s="108"/>
      <c r="B759" s="108"/>
      <c r="C759" s="111"/>
      <c r="D759" s="115"/>
      <c r="F759" s="108"/>
      <c r="G759" s="108"/>
      <c r="H759" s="108"/>
      <c r="I759" s="107"/>
      <c r="J759" s="108"/>
      <c r="K759" s="108"/>
      <c r="L759" s="108"/>
      <c r="M759" s="108"/>
    </row>
    <row r="760" spans="1:13" ht="24.6" x14ac:dyDescent="0.25">
      <c r="A760" s="108"/>
      <c r="B760" s="108"/>
      <c r="C760" s="111"/>
      <c r="D760" s="115"/>
      <c r="F760" s="108"/>
      <c r="G760" s="108"/>
      <c r="H760" s="108"/>
      <c r="I760" s="107"/>
      <c r="J760" s="108"/>
      <c r="K760" s="108"/>
      <c r="L760" s="108"/>
      <c r="M760" s="108"/>
    </row>
    <row r="761" spans="1:13" ht="24.6" x14ac:dyDescent="0.25">
      <c r="A761" s="108"/>
      <c r="B761" s="108"/>
      <c r="C761" s="111"/>
      <c r="D761" s="115"/>
      <c r="F761" s="108"/>
      <c r="G761" s="108"/>
      <c r="H761" s="108"/>
      <c r="I761" s="107"/>
      <c r="J761" s="108"/>
      <c r="K761" s="108"/>
      <c r="L761" s="108"/>
      <c r="M761" s="108"/>
    </row>
    <row r="762" spans="1:13" ht="24.6" x14ac:dyDescent="0.25">
      <c r="A762" s="108"/>
      <c r="B762" s="108"/>
      <c r="C762" s="111"/>
      <c r="D762" s="115"/>
      <c r="F762" s="108"/>
      <c r="G762" s="108"/>
      <c r="H762" s="108"/>
      <c r="I762" s="107"/>
      <c r="J762" s="108"/>
      <c r="K762" s="108"/>
      <c r="L762" s="108"/>
      <c r="M762" s="108"/>
    </row>
    <row r="763" spans="1:13" ht="24.6" x14ac:dyDescent="0.25">
      <c r="A763" s="108"/>
      <c r="B763" s="108"/>
      <c r="C763" s="111"/>
      <c r="D763" s="115"/>
      <c r="F763" s="108"/>
      <c r="G763" s="108"/>
      <c r="H763" s="108"/>
      <c r="I763" s="107"/>
      <c r="J763" s="108"/>
      <c r="K763" s="108"/>
      <c r="L763" s="108"/>
      <c r="M763" s="108"/>
    </row>
    <row r="764" spans="1:13" ht="24.6" x14ac:dyDescent="0.25">
      <c r="A764" s="108"/>
      <c r="B764" s="108"/>
      <c r="C764" s="111"/>
      <c r="D764" s="115"/>
      <c r="F764" s="108"/>
      <c r="G764" s="108"/>
      <c r="H764" s="108"/>
      <c r="I764" s="107"/>
      <c r="J764" s="108"/>
      <c r="K764" s="108"/>
      <c r="L764" s="108"/>
      <c r="M764" s="108"/>
    </row>
    <row r="765" spans="1:13" ht="24.6" x14ac:dyDescent="0.25">
      <c r="A765" s="108"/>
      <c r="B765" s="108"/>
      <c r="C765" s="111"/>
      <c r="D765" s="115"/>
      <c r="F765" s="108"/>
      <c r="G765" s="108"/>
      <c r="H765" s="108"/>
      <c r="I765" s="107"/>
      <c r="J765" s="108"/>
      <c r="K765" s="108"/>
      <c r="L765" s="108"/>
      <c r="M765" s="108"/>
    </row>
    <row r="766" spans="1:13" ht="24.6" x14ac:dyDescent="0.25">
      <c r="A766" s="108"/>
      <c r="B766" s="108"/>
      <c r="C766" s="111"/>
      <c r="D766" s="115"/>
      <c r="F766" s="108"/>
      <c r="G766" s="108"/>
      <c r="H766" s="108"/>
      <c r="I766" s="107"/>
      <c r="J766" s="108"/>
      <c r="K766" s="108"/>
      <c r="L766" s="108"/>
      <c r="M766" s="108"/>
    </row>
    <row r="767" spans="1:13" ht="24.6" x14ac:dyDescent="0.25">
      <c r="A767" s="108"/>
      <c r="B767" s="108"/>
      <c r="C767" s="111"/>
      <c r="D767" s="115"/>
      <c r="F767" s="108"/>
      <c r="G767" s="108"/>
      <c r="H767" s="108"/>
      <c r="I767" s="107"/>
      <c r="J767" s="108"/>
      <c r="K767" s="108"/>
      <c r="L767" s="108"/>
      <c r="M767" s="108"/>
    </row>
    <row r="768" spans="1:13" ht="24.6" x14ac:dyDescent="0.25">
      <c r="A768" s="108"/>
      <c r="B768" s="108"/>
      <c r="C768" s="111"/>
      <c r="D768" s="115"/>
      <c r="F768" s="108"/>
      <c r="G768" s="108"/>
      <c r="H768" s="108"/>
      <c r="I768" s="107"/>
      <c r="J768" s="108"/>
      <c r="K768" s="108"/>
      <c r="L768" s="108"/>
      <c r="M768" s="108"/>
    </row>
    <row r="769" spans="1:13" ht="24.6" x14ac:dyDescent="0.25">
      <c r="A769" s="108"/>
      <c r="B769" s="108"/>
      <c r="C769" s="111"/>
      <c r="D769" s="115"/>
      <c r="F769" s="108"/>
      <c r="G769" s="108"/>
      <c r="H769" s="108"/>
      <c r="I769" s="107"/>
      <c r="J769" s="108"/>
      <c r="K769" s="108"/>
      <c r="L769" s="108"/>
      <c r="M769" s="108"/>
    </row>
    <row r="770" spans="1:13" ht="24.6" x14ac:dyDescent="0.25">
      <c r="A770" s="108"/>
      <c r="B770" s="108"/>
      <c r="C770" s="111"/>
      <c r="D770" s="115"/>
      <c r="F770" s="108"/>
      <c r="G770" s="108"/>
      <c r="H770" s="108"/>
      <c r="I770" s="107"/>
      <c r="J770" s="108"/>
      <c r="K770" s="108"/>
      <c r="L770" s="108"/>
      <c r="M770" s="108"/>
    </row>
    <row r="771" spans="1:13" ht="24.6" x14ac:dyDescent="0.25">
      <c r="A771" s="108"/>
      <c r="B771" s="108"/>
      <c r="C771" s="111"/>
      <c r="D771" s="115"/>
      <c r="F771" s="108"/>
      <c r="G771" s="108"/>
      <c r="H771" s="108"/>
      <c r="I771" s="107"/>
      <c r="J771" s="108"/>
      <c r="K771" s="108"/>
      <c r="L771" s="108"/>
      <c r="M771" s="108"/>
    </row>
    <row r="772" spans="1:13" ht="24.6" x14ac:dyDescent="0.25">
      <c r="A772" s="108"/>
      <c r="B772" s="108"/>
      <c r="C772" s="111"/>
      <c r="D772" s="115"/>
      <c r="F772" s="108"/>
      <c r="G772" s="108"/>
      <c r="H772" s="108"/>
      <c r="I772" s="107"/>
      <c r="J772" s="108"/>
      <c r="K772" s="108"/>
      <c r="L772" s="108"/>
      <c r="M772" s="108"/>
    </row>
    <row r="773" spans="1:13" ht="24.6" x14ac:dyDescent="0.25">
      <c r="A773" s="108"/>
      <c r="B773" s="108"/>
      <c r="C773" s="111"/>
      <c r="D773" s="115"/>
      <c r="F773" s="108"/>
      <c r="G773" s="108"/>
      <c r="H773" s="108"/>
      <c r="I773" s="107"/>
      <c r="J773" s="108"/>
      <c r="K773" s="108"/>
      <c r="L773" s="108"/>
      <c r="M773" s="108"/>
    </row>
    <row r="774" spans="1:13" ht="24.6" x14ac:dyDescent="0.25">
      <c r="A774" s="108"/>
      <c r="B774" s="108"/>
      <c r="C774" s="111"/>
      <c r="D774" s="115"/>
      <c r="F774" s="108"/>
      <c r="G774" s="108"/>
      <c r="H774" s="108"/>
      <c r="I774" s="107"/>
      <c r="J774" s="108"/>
      <c r="K774" s="108"/>
      <c r="L774" s="108"/>
      <c r="M774" s="108"/>
    </row>
    <row r="775" spans="1:13" ht="24.6" x14ac:dyDescent="0.25">
      <c r="A775" s="108"/>
      <c r="B775" s="108"/>
      <c r="C775" s="111"/>
      <c r="D775" s="115"/>
      <c r="F775" s="108"/>
      <c r="G775" s="108"/>
      <c r="H775" s="108"/>
      <c r="I775" s="107"/>
      <c r="J775" s="108"/>
      <c r="K775" s="108"/>
      <c r="L775" s="108"/>
      <c r="M775" s="108"/>
    </row>
    <row r="776" spans="1:13" ht="24.6" x14ac:dyDescent="0.25">
      <c r="A776" s="108"/>
      <c r="B776" s="108"/>
      <c r="C776" s="111"/>
      <c r="D776" s="115"/>
      <c r="F776" s="108"/>
      <c r="G776" s="108"/>
      <c r="H776" s="108"/>
      <c r="I776" s="107"/>
      <c r="J776" s="108"/>
      <c r="K776" s="108"/>
      <c r="L776" s="108"/>
      <c r="M776" s="108"/>
    </row>
    <row r="777" spans="1:13" ht="24.6" x14ac:dyDescent="0.25">
      <c r="A777" s="108"/>
      <c r="B777" s="108"/>
      <c r="C777" s="111"/>
      <c r="D777" s="115"/>
      <c r="F777" s="108"/>
      <c r="G777" s="108"/>
      <c r="H777" s="108"/>
      <c r="I777" s="107"/>
      <c r="J777" s="108"/>
      <c r="K777" s="108"/>
      <c r="L777" s="108"/>
      <c r="M777" s="108"/>
    </row>
    <row r="778" spans="1:13" ht="24.6" x14ac:dyDescent="0.25">
      <c r="A778" s="108"/>
      <c r="B778" s="108"/>
      <c r="C778" s="111"/>
      <c r="D778" s="115"/>
      <c r="F778" s="108"/>
      <c r="G778" s="108"/>
      <c r="H778" s="108"/>
      <c r="I778" s="107"/>
      <c r="J778" s="108"/>
      <c r="K778" s="108"/>
      <c r="L778" s="108"/>
      <c r="M778" s="108"/>
    </row>
    <row r="779" spans="1:13" ht="24.6" x14ac:dyDescent="0.25">
      <c r="A779" s="108"/>
      <c r="B779" s="108"/>
      <c r="C779" s="111"/>
      <c r="D779" s="115"/>
      <c r="F779" s="108"/>
      <c r="G779" s="108"/>
      <c r="H779" s="108"/>
      <c r="I779" s="107"/>
      <c r="J779" s="108"/>
      <c r="K779" s="108"/>
      <c r="L779" s="108"/>
      <c r="M779" s="108"/>
    </row>
    <row r="780" spans="1:13" ht="24.6" x14ac:dyDescent="0.25">
      <c r="A780" s="108"/>
      <c r="B780" s="108"/>
      <c r="C780" s="111"/>
      <c r="D780" s="115"/>
      <c r="F780" s="108"/>
      <c r="G780" s="108"/>
      <c r="H780" s="108"/>
      <c r="I780" s="107"/>
      <c r="J780" s="108"/>
      <c r="K780" s="108"/>
      <c r="L780" s="108"/>
      <c r="M780" s="108"/>
    </row>
    <row r="781" spans="1:13" ht="24.6" x14ac:dyDescent="0.25">
      <c r="A781" s="108"/>
      <c r="B781" s="108"/>
      <c r="C781" s="111"/>
      <c r="D781" s="115"/>
      <c r="F781" s="108"/>
      <c r="G781" s="108"/>
      <c r="H781" s="108"/>
      <c r="I781" s="107"/>
      <c r="J781" s="108"/>
      <c r="K781" s="108"/>
      <c r="L781" s="108"/>
      <c r="M781" s="108"/>
    </row>
    <row r="782" spans="1:13" ht="24.6" x14ac:dyDescent="0.25">
      <c r="A782" s="108"/>
      <c r="B782" s="108"/>
      <c r="C782" s="111"/>
      <c r="D782" s="115"/>
      <c r="F782" s="108"/>
      <c r="G782" s="108"/>
      <c r="H782" s="108"/>
      <c r="I782" s="107"/>
      <c r="J782" s="108"/>
      <c r="K782" s="108"/>
      <c r="L782" s="108"/>
      <c r="M782" s="108"/>
    </row>
    <row r="783" spans="1:13" ht="24.6" x14ac:dyDescent="0.25">
      <c r="A783" s="108"/>
      <c r="B783" s="108"/>
      <c r="C783" s="111"/>
      <c r="D783" s="115"/>
      <c r="F783" s="108"/>
      <c r="G783" s="108"/>
      <c r="H783" s="108"/>
      <c r="I783" s="107"/>
      <c r="J783" s="108"/>
      <c r="K783" s="108"/>
      <c r="L783" s="108"/>
      <c r="M783" s="108"/>
    </row>
    <row r="784" spans="1:13" ht="24.6" x14ac:dyDescent="0.25">
      <c r="A784" s="108"/>
      <c r="B784" s="108"/>
      <c r="C784" s="111"/>
      <c r="D784" s="115"/>
      <c r="F784" s="108"/>
      <c r="G784" s="108"/>
      <c r="H784" s="108"/>
      <c r="I784" s="107"/>
      <c r="J784" s="108"/>
      <c r="K784" s="108"/>
      <c r="L784" s="108"/>
      <c r="M784" s="108"/>
    </row>
    <row r="785" spans="1:13" ht="24.6" x14ac:dyDescent="0.25">
      <c r="A785" s="108"/>
      <c r="B785" s="108"/>
      <c r="C785" s="111"/>
      <c r="D785" s="115"/>
      <c r="F785" s="108"/>
      <c r="G785" s="108"/>
      <c r="H785" s="108"/>
      <c r="I785" s="107"/>
      <c r="J785" s="108"/>
      <c r="K785" s="108"/>
      <c r="L785" s="108"/>
      <c r="M785" s="108"/>
    </row>
    <row r="786" spans="1:13" ht="24.6" x14ac:dyDescent="0.25">
      <c r="A786" s="108"/>
      <c r="B786" s="108"/>
      <c r="C786" s="111"/>
      <c r="D786" s="115"/>
      <c r="F786" s="108"/>
      <c r="G786" s="108"/>
      <c r="H786" s="108"/>
      <c r="I786" s="107"/>
      <c r="J786" s="108"/>
      <c r="K786" s="108"/>
      <c r="L786" s="108"/>
      <c r="M786" s="108"/>
    </row>
    <row r="787" spans="1:13" ht="24.6" x14ac:dyDescent="0.25">
      <c r="A787" s="108"/>
      <c r="B787" s="108"/>
      <c r="C787" s="111"/>
      <c r="D787" s="115"/>
      <c r="F787" s="108"/>
      <c r="G787" s="108"/>
      <c r="H787" s="108"/>
      <c r="I787" s="107"/>
      <c r="J787" s="108"/>
      <c r="K787" s="108"/>
      <c r="L787" s="108"/>
      <c r="M787" s="108"/>
    </row>
    <row r="788" spans="1:13" ht="24.6" x14ac:dyDescent="0.25">
      <c r="A788" s="108"/>
      <c r="B788" s="108"/>
      <c r="C788" s="111"/>
      <c r="D788" s="115"/>
      <c r="F788" s="108"/>
      <c r="G788" s="108"/>
      <c r="H788" s="108"/>
      <c r="I788" s="107"/>
      <c r="J788" s="108"/>
      <c r="K788" s="108"/>
      <c r="L788" s="108"/>
      <c r="M788" s="108"/>
    </row>
    <row r="789" spans="1:13" ht="24.6" x14ac:dyDescent="0.25">
      <c r="A789" s="108"/>
      <c r="B789" s="108"/>
      <c r="C789" s="111"/>
      <c r="D789" s="115"/>
      <c r="F789" s="108"/>
      <c r="G789" s="108"/>
      <c r="H789" s="108"/>
      <c r="I789" s="107"/>
      <c r="J789" s="108"/>
      <c r="K789" s="108"/>
      <c r="L789" s="108"/>
      <c r="M789" s="108"/>
    </row>
    <row r="790" spans="1:13" ht="24.6" x14ac:dyDescent="0.25">
      <c r="A790" s="108"/>
      <c r="B790" s="108"/>
      <c r="C790" s="111"/>
      <c r="D790" s="115"/>
      <c r="F790" s="108"/>
      <c r="G790" s="108"/>
      <c r="H790" s="108"/>
      <c r="I790" s="107"/>
      <c r="J790" s="108"/>
      <c r="K790" s="108"/>
      <c r="L790" s="108"/>
      <c r="M790" s="108"/>
    </row>
    <row r="791" spans="1:13" ht="24.6" x14ac:dyDescent="0.25">
      <c r="A791" s="108"/>
      <c r="B791" s="108"/>
      <c r="C791" s="111"/>
      <c r="D791" s="115"/>
      <c r="F791" s="108"/>
      <c r="G791" s="108"/>
      <c r="H791" s="108"/>
      <c r="I791" s="107"/>
      <c r="J791" s="108"/>
      <c r="K791" s="108"/>
      <c r="L791" s="108"/>
      <c r="M791" s="108"/>
    </row>
    <row r="792" spans="1:13" ht="24.6" x14ac:dyDescent="0.25">
      <c r="A792" s="108"/>
      <c r="B792" s="108"/>
      <c r="C792" s="111"/>
      <c r="D792" s="115"/>
      <c r="F792" s="108"/>
      <c r="G792" s="108"/>
      <c r="H792" s="108"/>
      <c r="I792" s="107"/>
      <c r="J792" s="108"/>
      <c r="K792" s="108"/>
      <c r="L792" s="108"/>
      <c r="M792" s="108"/>
    </row>
    <row r="793" spans="1:13" ht="24.6" x14ac:dyDescent="0.25">
      <c r="A793" s="108"/>
      <c r="B793" s="108"/>
      <c r="C793" s="111"/>
      <c r="D793" s="115"/>
      <c r="F793" s="108"/>
      <c r="G793" s="108"/>
      <c r="H793" s="108"/>
      <c r="I793" s="107"/>
      <c r="J793" s="108"/>
      <c r="K793" s="108"/>
      <c r="L793" s="108"/>
      <c r="M793" s="108"/>
    </row>
    <row r="794" spans="1:13" ht="24.6" x14ac:dyDescent="0.25">
      <c r="A794" s="108"/>
      <c r="B794" s="108"/>
      <c r="C794" s="111"/>
      <c r="D794" s="115"/>
      <c r="F794" s="108"/>
      <c r="G794" s="108"/>
      <c r="H794" s="108"/>
      <c r="I794" s="107"/>
      <c r="J794" s="108"/>
      <c r="K794" s="108"/>
      <c r="L794" s="108"/>
      <c r="M794" s="108"/>
    </row>
    <row r="795" spans="1:13" ht="24.6" x14ac:dyDescent="0.25">
      <c r="A795" s="108"/>
      <c r="B795" s="108"/>
      <c r="C795" s="111"/>
      <c r="D795" s="115"/>
      <c r="F795" s="108"/>
      <c r="G795" s="108"/>
      <c r="H795" s="108"/>
      <c r="I795" s="107"/>
      <c r="J795" s="108"/>
      <c r="K795" s="108"/>
      <c r="L795" s="108"/>
      <c r="M795" s="108"/>
    </row>
    <row r="796" spans="1:13" ht="24.6" x14ac:dyDescent="0.25">
      <c r="A796" s="108"/>
      <c r="B796" s="108"/>
      <c r="C796" s="111"/>
      <c r="D796" s="115"/>
      <c r="F796" s="108"/>
      <c r="G796" s="108"/>
      <c r="H796" s="108"/>
      <c r="I796" s="107"/>
      <c r="J796" s="108"/>
      <c r="K796" s="108"/>
      <c r="L796" s="108"/>
      <c r="M796" s="108"/>
    </row>
    <row r="797" spans="1:13" ht="24.6" x14ac:dyDescent="0.25">
      <c r="A797" s="108"/>
      <c r="B797" s="108"/>
      <c r="C797" s="111"/>
      <c r="D797" s="115"/>
      <c r="F797" s="108"/>
      <c r="G797" s="108"/>
      <c r="H797" s="108"/>
      <c r="I797" s="107"/>
      <c r="J797" s="108"/>
      <c r="K797" s="108"/>
      <c r="L797" s="108"/>
      <c r="M797" s="108"/>
    </row>
    <row r="798" spans="1:13" ht="24.6" x14ac:dyDescent="0.25">
      <c r="A798" s="108"/>
      <c r="B798" s="108"/>
      <c r="C798" s="111"/>
      <c r="D798" s="115"/>
      <c r="F798" s="108"/>
      <c r="G798" s="108"/>
      <c r="H798" s="108"/>
      <c r="I798" s="107"/>
      <c r="J798" s="108"/>
      <c r="K798" s="108"/>
      <c r="L798" s="108"/>
      <c r="M798" s="108"/>
    </row>
    <row r="799" spans="1:13" ht="24.6" x14ac:dyDescent="0.25">
      <c r="A799" s="108"/>
      <c r="B799" s="108"/>
      <c r="C799" s="111"/>
      <c r="D799" s="115"/>
      <c r="F799" s="108"/>
      <c r="G799" s="108"/>
      <c r="H799" s="108"/>
      <c r="I799" s="107"/>
      <c r="J799" s="108"/>
      <c r="K799" s="108"/>
      <c r="L799" s="108"/>
      <c r="M799" s="108"/>
    </row>
    <row r="800" spans="1:13" ht="24.6" x14ac:dyDescent="0.25">
      <c r="A800" s="108"/>
      <c r="B800" s="108"/>
      <c r="C800" s="111"/>
      <c r="D800" s="115"/>
      <c r="F800" s="108"/>
      <c r="G800" s="108"/>
      <c r="H800" s="108"/>
      <c r="I800" s="107"/>
      <c r="J800" s="108"/>
      <c r="K800" s="108"/>
      <c r="L800" s="108"/>
      <c r="M800" s="108"/>
    </row>
    <row r="801" spans="1:13" ht="24.6" x14ac:dyDescent="0.25">
      <c r="A801" s="108"/>
      <c r="B801" s="108"/>
      <c r="C801" s="111"/>
      <c r="D801" s="115"/>
      <c r="F801" s="108"/>
      <c r="G801" s="108"/>
      <c r="H801" s="108"/>
      <c r="I801" s="107"/>
      <c r="J801" s="108"/>
      <c r="K801" s="108"/>
      <c r="L801" s="108"/>
      <c r="M801" s="108"/>
    </row>
    <row r="802" spans="1:13" ht="24.6" x14ac:dyDescent="0.25">
      <c r="A802" s="108"/>
      <c r="B802" s="108"/>
      <c r="C802" s="111"/>
      <c r="D802" s="115"/>
      <c r="F802" s="108"/>
      <c r="G802" s="108"/>
      <c r="H802" s="108"/>
      <c r="I802" s="107"/>
      <c r="J802" s="108"/>
      <c r="K802" s="108"/>
      <c r="L802" s="108"/>
      <c r="M802" s="108"/>
    </row>
    <row r="803" spans="1:13" ht="24.6" x14ac:dyDescent="0.25">
      <c r="A803" s="108"/>
      <c r="B803" s="108"/>
      <c r="C803" s="111"/>
      <c r="D803" s="115"/>
      <c r="F803" s="108"/>
      <c r="G803" s="108"/>
      <c r="H803" s="108"/>
      <c r="I803" s="107"/>
      <c r="J803" s="108"/>
      <c r="K803" s="108"/>
      <c r="L803" s="108"/>
      <c r="M803" s="108"/>
    </row>
    <row r="804" spans="1:13" ht="24.6" x14ac:dyDescent="0.25">
      <c r="A804" s="108"/>
      <c r="B804" s="108"/>
      <c r="C804" s="111"/>
      <c r="D804" s="115"/>
      <c r="F804" s="108"/>
      <c r="G804" s="108"/>
      <c r="H804" s="108"/>
      <c r="I804" s="107"/>
      <c r="J804" s="108"/>
      <c r="K804" s="108"/>
      <c r="L804" s="108"/>
      <c r="M804" s="108"/>
    </row>
    <row r="805" spans="1:13" ht="24.6" x14ac:dyDescent="0.25">
      <c r="A805" s="108"/>
      <c r="B805" s="108"/>
      <c r="C805" s="111"/>
      <c r="D805" s="115"/>
      <c r="F805" s="108"/>
      <c r="G805" s="108"/>
      <c r="H805" s="108"/>
      <c r="I805" s="107"/>
      <c r="J805" s="108"/>
      <c r="K805" s="108"/>
      <c r="L805" s="108"/>
      <c r="M805" s="108"/>
    </row>
    <row r="806" spans="1:13" ht="24.6" x14ac:dyDescent="0.25">
      <c r="A806" s="108"/>
      <c r="B806" s="108"/>
      <c r="C806" s="111"/>
      <c r="D806" s="115"/>
      <c r="F806" s="108"/>
      <c r="G806" s="108"/>
      <c r="H806" s="108"/>
      <c r="I806" s="107"/>
      <c r="J806" s="108"/>
      <c r="K806" s="108"/>
      <c r="L806" s="108"/>
      <c r="M806" s="108"/>
    </row>
    <row r="807" spans="1:13" ht="24.6" x14ac:dyDescent="0.25">
      <c r="A807" s="108"/>
      <c r="B807" s="108"/>
      <c r="C807" s="111"/>
      <c r="D807" s="115"/>
      <c r="F807" s="108"/>
      <c r="G807" s="108"/>
      <c r="H807" s="108"/>
      <c r="I807" s="107"/>
      <c r="J807" s="108"/>
      <c r="K807" s="108"/>
      <c r="L807" s="108"/>
      <c r="M807" s="108"/>
    </row>
    <row r="808" spans="1:13" ht="24.6" x14ac:dyDescent="0.25">
      <c r="A808" s="108"/>
      <c r="B808" s="108"/>
      <c r="C808" s="111"/>
      <c r="D808" s="115"/>
      <c r="F808" s="108"/>
      <c r="G808" s="108"/>
      <c r="H808" s="108"/>
      <c r="I808" s="107"/>
      <c r="J808" s="108"/>
      <c r="K808" s="108"/>
      <c r="L808" s="108"/>
      <c r="M808" s="108"/>
    </row>
    <row r="809" spans="1:13" ht="24.6" x14ac:dyDescent="0.25">
      <c r="A809" s="108"/>
      <c r="B809" s="108"/>
      <c r="C809" s="111"/>
      <c r="D809" s="115"/>
      <c r="F809" s="108"/>
      <c r="G809" s="108"/>
      <c r="H809" s="108"/>
      <c r="I809" s="107"/>
      <c r="J809" s="108"/>
      <c r="K809" s="108"/>
      <c r="L809" s="108"/>
      <c r="M809" s="108"/>
    </row>
    <row r="810" spans="1:13" ht="24.6" x14ac:dyDescent="0.25">
      <c r="A810" s="108"/>
      <c r="B810" s="108"/>
      <c r="C810" s="111"/>
      <c r="D810" s="115"/>
      <c r="F810" s="108"/>
      <c r="G810" s="108"/>
      <c r="H810" s="108"/>
      <c r="I810" s="107"/>
      <c r="J810" s="108"/>
      <c r="K810" s="108"/>
      <c r="L810" s="108"/>
      <c r="M810" s="108"/>
    </row>
    <row r="811" spans="1:13" ht="24.6" x14ac:dyDescent="0.25">
      <c r="A811" s="108"/>
      <c r="B811" s="108"/>
      <c r="C811" s="111"/>
      <c r="D811" s="115"/>
      <c r="F811" s="108"/>
      <c r="G811" s="108"/>
      <c r="H811" s="108"/>
      <c r="I811" s="107"/>
      <c r="J811" s="108"/>
      <c r="K811" s="108"/>
      <c r="L811" s="108"/>
      <c r="M811" s="108"/>
    </row>
    <row r="812" spans="1:13" ht="24.6" x14ac:dyDescent="0.25">
      <c r="A812" s="108"/>
      <c r="B812" s="108"/>
      <c r="C812" s="111"/>
      <c r="D812" s="115"/>
      <c r="F812" s="108"/>
      <c r="G812" s="108"/>
      <c r="H812" s="108"/>
      <c r="I812" s="107"/>
      <c r="J812" s="108"/>
      <c r="K812" s="108"/>
      <c r="L812" s="108"/>
      <c r="M812" s="108"/>
    </row>
    <row r="813" spans="1:13" ht="24.6" x14ac:dyDescent="0.25">
      <c r="A813" s="108"/>
      <c r="B813" s="108"/>
      <c r="C813" s="111"/>
      <c r="D813" s="115"/>
      <c r="F813" s="108"/>
      <c r="G813" s="108"/>
      <c r="H813" s="108"/>
      <c r="I813" s="107"/>
      <c r="J813" s="108"/>
      <c r="K813" s="108"/>
      <c r="L813" s="108"/>
      <c r="M813" s="108"/>
    </row>
    <row r="814" spans="1:13" ht="24.6" x14ac:dyDescent="0.25">
      <c r="A814" s="108"/>
      <c r="B814" s="108"/>
      <c r="C814" s="111"/>
      <c r="D814" s="115"/>
      <c r="F814" s="108"/>
      <c r="G814" s="108"/>
      <c r="H814" s="108"/>
      <c r="I814" s="107"/>
      <c r="J814" s="108"/>
      <c r="K814" s="108"/>
      <c r="L814" s="108"/>
      <c r="M814" s="108"/>
    </row>
    <row r="815" spans="1:13" ht="24.6" x14ac:dyDescent="0.25">
      <c r="A815" s="108"/>
      <c r="B815" s="108"/>
      <c r="C815" s="111"/>
      <c r="D815" s="115"/>
      <c r="F815" s="108"/>
      <c r="G815" s="108"/>
      <c r="H815" s="108"/>
      <c r="I815" s="107"/>
      <c r="J815" s="108"/>
      <c r="K815" s="108"/>
      <c r="L815" s="108"/>
      <c r="M815" s="108"/>
    </row>
    <row r="816" spans="1:13" ht="24.6" x14ac:dyDescent="0.25">
      <c r="A816" s="108"/>
      <c r="B816" s="108"/>
      <c r="C816" s="111"/>
      <c r="D816" s="115"/>
      <c r="F816" s="108"/>
      <c r="G816" s="108"/>
      <c r="H816" s="108"/>
      <c r="I816" s="107"/>
      <c r="J816" s="108"/>
      <c r="K816" s="108"/>
      <c r="L816" s="108"/>
      <c r="M816" s="108"/>
    </row>
    <row r="817" spans="1:13" ht="24.6" x14ac:dyDescent="0.25">
      <c r="A817" s="108"/>
      <c r="B817" s="108"/>
      <c r="C817" s="111"/>
      <c r="D817" s="115"/>
      <c r="F817" s="108"/>
      <c r="G817" s="108"/>
      <c r="H817" s="108"/>
      <c r="I817" s="107"/>
      <c r="J817" s="108"/>
      <c r="K817" s="108"/>
      <c r="L817" s="108"/>
      <c r="M817" s="108"/>
    </row>
    <row r="818" spans="1:13" ht="24.6" x14ac:dyDescent="0.25">
      <c r="A818" s="108"/>
      <c r="B818" s="108"/>
      <c r="C818" s="111"/>
      <c r="D818" s="115"/>
      <c r="F818" s="108"/>
      <c r="G818" s="108"/>
      <c r="H818" s="108"/>
      <c r="I818" s="107"/>
      <c r="J818" s="108"/>
      <c r="K818" s="108"/>
      <c r="L818" s="108"/>
      <c r="M818" s="108"/>
    </row>
    <row r="819" spans="1:13" ht="24.6" x14ac:dyDescent="0.25">
      <c r="A819" s="108"/>
      <c r="B819" s="108"/>
      <c r="C819" s="111"/>
      <c r="D819" s="115"/>
      <c r="F819" s="108"/>
      <c r="G819" s="108"/>
      <c r="H819" s="108"/>
      <c r="I819" s="107"/>
      <c r="J819" s="108"/>
      <c r="K819" s="108"/>
      <c r="L819" s="108"/>
      <c r="M819" s="108"/>
    </row>
    <row r="820" spans="1:13" ht="24.6" x14ac:dyDescent="0.25">
      <c r="A820" s="108"/>
      <c r="B820" s="108"/>
      <c r="C820" s="111"/>
      <c r="D820" s="115"/>
      <c r="F820" s="108"/>
      <c r="G820" s="108"/>
      <c r="H820" s="108"/>
      <c r="I820" s="107"/>
      <c r="J820" s="108"/>
      <c r="K820" s="108"/>
      <c r="L820" s="108"/>
      <c r="M820" s="108"/>
    </row>
    <row r="821" spans="1:13" ht="24.6" x14ac:dyDescent="0.25">
      <c r="A821" s="108"/>
      <c r="B821" s="108"/>
      <c r="C821" s="111"/>
      <c r="D821" s="115"/>
      <c r="F821" s="108"/>
      <c r="G821" s="108"/>
      <c r="H821" s="108"/>
      <c r="I821" s="107"/>
      <c r="J821" s="108"/>
      <c r="K821" s="108"/>
      <c r="L821" s="108"/>
      <c r="M821" s="108"/>
    </row>
    <row r="822" spans="1:13" ht="24.6" x14ac:dyDescent="0.25">
      <c r="A822" s="108"/>
      <c r="B822" s="108"/>
      <c r="C822" s="111"/>
      <c r="D822" s="115"/>
      <c r="F822" s="108"/>
      <c r="G822" s="108"/>
      <c r="H822" s="108"/>
      <c r="I822" s="107"/>
      <c r="J822" s="108"/>
      <c r="K822" s="108"/>
      <c r="L822" s="108"/>
      <c r="M822" s="108"/>
    </row>
    <row r="823" spans="1:13" ht="24.6" x14ac:dyDescent="0.25">
      <c r="A823" s="108"/>
      <c r="B823" s="108"/>
      <c r="C823" s="111"/>
      <c r="D823" s="115"/>
      <c r="F823" s="108"/>
      <c r="G823" s="108"/>
      <c r="H823" s="108"/>
      <c r="I823" s="107"/>
      <c r="J823" s="108"/>
      <c r="K823" s="108"/>
      <c r="L823" s="108"/>
      <c r="M823" s="108"/>
    </row>
    <row r="824" spans="1:13" ht="24.6" x14ac:dyDescent="0.25">
      <c r="A824" s="108"/>
      <c r="B824" s="108"/>
      <c r="C824" s="111"/>
      <c r="D824" s="115"/>
      <c r="F824" s="108"/>
      <c r="G824" s="108"/>
      <c r="H824" s="108"/>
      <c r="I824" s="107"/>
      <c r="J824" s="108"/>
      <c r="K824" s="108"/>
      <c r="L824" s="108"/>
      <c r="M824" s="108"/>
    </row>
    <row r="825" spans="1:13" ht="24.6" x14ac:dyDescent="0.25">
      <c r="A825" s="108"/>
      <c r="B825" s="108"/>
      <c r="C825" s="111"/>
      <c r="D825" s="115"/>
      <c r="F825" s="108"/>
      <c r="G825" s="108"/>
      <c r="H825" s="108"/>
      <c r="I825" s="107"/>
      <c r="J825" s="108"/>
      <c r="K825" s="108"/>
      <c r="L825" s="108"/>
      <c r="M825" s="108"/>
    </row>
    <row r="826" spans="1:13" ht="24.6" x14ac:dyDescent="0.25">
      <c r="A826" s="108"/>
      <c r="B826" s="108"/>
      <c r="C826" s="111"/>
      <c r="D826" s="115"/>
      <c r="F826" s="108"/>
      <c r="G826" s="108"/>
      <c r="H826" s="108"/>
      <c r="I826" s="107"/>
      <c r="J826" s="108"/>
      <c r="K826" s="108"/>
      <c r="L826" s="108"/>
      <c r="M826" s="108"/>
    </row>
    <row r="827" spans="1:13" ht="24.6" x14ac:dyDescent="0.25">
      <c r="A827" s="108"/>
      <c r="B827" s="108"/>
      <c r="C827" s="111"/>
      <c r="D827" s="115"/>
      <c r="F827" s="108"/>
      <c r="G827" s="108"/>
      <c r="H827" s="108"/>
      <c r="I827" s="107"/>
      <c r="J827" s="108"/>
      <c r="K827" s="108"/>
      <c r="L827" s="108"/>
      <c r="M827" s="108"/>
    </row>
    <row r="828" spans="1:13" ht="24.6" x14ac:dyDescent="0.25">
      <c r="A828" s="108"/>
      <c r="B828" s="108"/>
      <c r="C828" s="111"/>
      <c r="D828" s="115"/>
      <c r="F828" s="108"/>
      <c r="G828" s="108"/>
      <c r="H828" s="108"/>
      <c r="I828" s="107"/>
      <c r="J828" s="108"/>
      <c r="K828" s="108"/>
      <c r="L828" s="108"/>
      <c r="M828" s="108"/>
    </row>
    <row r="829" spans="1:13" ht="24.6" x14ac:dyDescent="0.25">
      <c r="A829" s="108"/>
      <c r="B829" s="108"/>
      <c r="C829" s="111"/>
      <c r="D829" s="115"/>
      <c r="F829" s="108"/>
      <c r="G829" s="108"/>
      <c r="H829" s="108"/>
      <c r="I829" s="107"/>
      <c r="J829" s="108"/>
      <c r="K829" s="108"/>
      <c r="L829" s="108"/>
      <c r="M829" s="108"/>
    </row>
    <row r="830" spans="1:13" ht="24.6" x14ac:dyDescent="0.25">
      <c r="A830" s="108"/>
      <c r="B830" s="108"/>
      <c r="C830" s="111"/>
      <c r="D830" s="115"/>
      <c r="F830" s="108"/>
      <c r="G830" s="108"/>
      <c r="H830" s="108"/>
      <c r="I830" s="107"/>
      <c r="J830" s="108"/>
      <c r="K830" s="108"/>
      <c r="L830" s="108"/>
      <c r="M830" s="108"/>
    </row>
    <row r="831" spans="1:13" ht="24.6" x14ac:dyDescent="0.25">
      <c r="A831" s="108"/>
      <c r="B831" s="108"/>
      <c r="C831" s="111"/>
      <c r="D831" s="115"/>
      <c r="F831" s="108"/>
      <c r="G831" s="108"/>
      <c r="H831" s="108"/>
      <c r="I831" s="107"/>
      <c r="J831" s="108"/>
      <c r="K831" s="108"/>
      <c r="L831" s="108"/>
      <c r="M831" s="108"/>
    </row>
    <row r="832" spans="1:13" ht="24.6" x14ac:dyDescent="0.25">
      <c r="A832" s="108"/>
      <c r="B832" s="108"/>
      <c r="C832" s="111"/>
      <c r="D832" s="115"/>
      <c r="F832" s="108"/>
      <c r="G832" s="108"/>
      <c r="H832" s="108"/>
      <c r="I832" s="107"/>
      <c r="J832" s="108"/>
      <c r="K832" s="108"/>
      <c r="L832" s="108"/>
      <c r="M832" s="108"/>
    </row>
    <row r="833" spans="1:13" ht="24.6" x14ac:dyDescent="0.25">
      <c r="A833" s="108"/>
      <c r="B833" s="108"/>
      <c r="C833" s="111"/>
      <c r="D833" s="115"/>
      <c r="F833" s="108"/>
      <c r="G833" s="108"/>
      <c r="H833" s="108"/>
      <c r="I833" s="107"/>
      <c r="J833" s="108"/>
      <c r="K833" s="108"/>
      <c r="L833" s="108"/>
      <c r="M833" s="108"/>
    </row>
    <row r="834" spans="1:13" ht="24.6" x14ac:dyDescent="0.25">
      <c r="A834" s="108"/>
      <c r="B834" s="108"/>
      <c r="C834" s="111"/>
      <c r="D834" s="115"/>
      <c r="F834" s="108"/>
      <c r="G834" s="108"/>
      <c r="H834" s="108"/>
      <c r="I834" s="107"/>
      <c r="J834" s="108"/>
      <c r="K834" s="108"/>
      <c r="L834" s="108"/>
      <c r="M834" s="108"/>
    </row>
    <row r="835" spans="1:13" ht="24.6" x14ac:dyDescent="0.25">
      <c r="A835" s="108"/>
      <c r="B835" s="108"/>
      <c r="C835" s="111"/>
      <c r="D835" s="115"/>
      <c r="F835" s="108"/>
      <c r="G835" s="108"/>
      <c r="H835" s="108"/>
      <c r="I835" s="107"/>
      <c r="J835" s="108"/>
      <c r="K835" s="108"/>
      <c r="L835" s="108"/>
      <c r="M835" s="108"/>
    </row>
    <row r="836" spans="1:13" ht="24.6" x14ac:dyDescent="0.25">
      <c r="A836" s="108"/>
      <c r="B836" s="108"/>
      <c r="C836" s="111"/>
      <c r="D836" s="115"/>
      <c r="F836" s="108"/>
      <c r="G836" s="108"/>
      <c r="H836" s="108"/>
      <c r="I836" s="107"/>
      <c r="J836" s="108"/>
      <c r="K836" s="108"/>
      <c r="L836" s="108"/>
      <c r="M836" s="108"/>
    </row>
    <row r="837" spans="1:13" ht="24.6" x14ac:dyDescent="0.25">
      <c r="A837" s="108"/>
      <c r="B837" s="108"/>
      <c r="C837" s="111"/>
      <c r="D837" s="115"/>
      <c r="F837" s="108"/>
      <c r="G837" s="108"/>
      <c r="H837" s="108"/>
      <c r="I837" s="107"/>
      <c r="J837" s="108"/>
      <c r="K837" s="108"/>
      <c r="L837" s="108"/>
      <c r="M837" s="108"/>
    </row>
    <row r="838" spans="1:13" ht="24.6" x14ac:dyDescent="0.25">
      <c r="A838" s="108"/>
      <c r="B838" s="108"/>
      <c r="C838" s="111"/>
      <c r="D838" s="115"/>
      <c r="F838" s="108"/>
      <c r="G838" s="108"/>
      <c r="H838" s="108"/>
      <c r="I838" s="107"/>
      <c r="J838" s="108"/>
      <c r="K838" s="108"/>
      <c r="L838" s="108"/>
      <c r="M838" s="108"/>
    </row>
    <row r="839" spans="1:13" ht="24.6" x14ac:dyDescent="0.25">
      <c r="A839" s="108"/>
      <c r="B839" s="108"/>
      <c r="C839" s="111"/>
      <c r="D839" s="115"/>
      <c r="F839" s="108"/>
      <c r="G839" s="108"/>
      <c r="H839" s="108"/>
      <c r="I839" s="107"/>
      <c r="J839" s="108"/>
      <c r="K839" s="108"/>
      <c r="L839" s="108"/>
      <c r="M839" s="108"/>
    </row>
    <row r="840" spans="1:13" ht="24.6" x14ac:dyDescent="0.25">
      <c r="A840" s="108"/>
      <c r="B840" s="108"/>
      <c r="C840" s="111"/>
      <c r="D840" s="115"/>
      <c r="F840" s="108"/>
      <c r="G840" s="108"/>
      <c r="H840" s="108"/>
      <c r="I840" s="107"/>
      <c r="J840" s="108"/>
      <c r="K840" s="108"/>
      <c r="L840" s="108"/>
      <c r="M840" s="108"/>
    </row>
    <row r="841" spans="1:13" ht="24.6" x14ac:dyDescent="0.25">
      <c r="A841" s="108"/>
      <c r="B841" s="108"/>
      <c r="C841" s="111"/>
      <c r="D841" s="115"/>
      <c r="F841" s="108"/>
      <c r="G841" s="108"/>
      <c r="H841" s="108"/>
      <c r="I841" s="107"/>
      <c r="J841" s="108"/>
      <c r="K841" s="108"/>
      <c r="L841" s="108"/>
      <c r="M841" s="108"/>
    </row>
    <row r="842" spans="1:13" ht="24.6" x14ac:dyDescent="0.25">
      <c r="A842" s="108"/>
      <c r="B842" s="108"/>
      <c r="C842" s="111"/>
      <c r="D842" s="115"/>
      <c r="F842" s="108"/>
      <c r="G842" s="108"/>
      <c r="H842" s="108"/>
      <c r="I842" s="107"/>
      <c r="J842" s="108"/>
      <c r="K842" s="108"/>
      <c r="L842" s="108"/>
      <c r="M842" s="108"/>
    </row>
    <row r="843" spans="1:13" ht="24.6" x14ac:dyDescent="0.25">
      <c r="A843" s="108"/>
      <c r="B843" s="108"/>
      <c r="C843" s="111"/>
      <c r="D843" s="115"/>
      <c r="F843" s="108"/>
      <c r="G843" s="108"/>
      <c r="H843" s="108"/>
      <c r="I843" s="107"/>
      <c r="J843" s="108"/>
      <c r="K843" s="108"/>
      <c r="L843" s="108"/>
      <c r="M843" s="108"/>
    </row>
    <row r="844" spans="1:13" ht="24.6" x14ac:dyDescent="0.25">
      <c r="A844" s="108"/>
      <c r="B844" s="108"/>
      <c r="C844" s="111"/>
      <c r="D844" s="115"/>
      <c r="F844" s="108"/>
      <c r="G844" s="108"/>
      <c r="H844" s="108"/>
      <c r="I844" s="107"/>
      <c r="J844" s="108"/>
      <c r="K844" s="108"/>
      <c r="L844" s="108"/>
      <c r="M844" s="108"/>
    </row>
    <row r="845" spans="1:13" ht="24.6" x14ac:dyDescent="0.25">
      <c r="A845" s="108"/>
      <c r="B845" s="108"/>
      <c r="C845" s="111"/>
      <c r="D845" s="115"/>
      <c r="F845" s="108"/>
      <c r="G845" s="108"/>
      <c r="H845" s="108"/>
      <c r="I845" s="107"/>
      <c r="J845" s="108"/>
      <c r="K845" s="108"/>
      <c r="L845" s="108"/>
      <c r="M845" s="108"/>
    </row>
    <row r="846" spans="1:13" ht="24.6" x14ac:dyDescent="0.25">
      <c r="A846" s="108"/>
      <c r="B846" s="108"/>
      <c r="C846" s="111"/>
      <c r="D846" s="115"/>
      <c r="F846" s="108"/>
      <c r="G846" s="108"/>
      <c r="H846" s="108"/>
      <c r="I846" s="107"/>
      <c r="J846" s="108"/>
      <c r="K846" s="108"/>
      <c r="L846" s="108"/>
      <c r="M846" s="108"/>
    </row>
    <row r="847" spans="1:13" ht="24.6" x14ac:dyDescent="0.25">
      <c r="A847" s="108"/>
      <c r="B847" s="108"/>
      <c r="C847" s="111"/>
      <c r="D847" s="115"/>
      <c r="F847" s="108"/>
      <c r="G847" s="108"/>
      <c r="H847" s="108"/>
      <c r="I847" s="107"/>
      <c r="J847" s="108"/>
      <c r="K847" s="108"/>
      <c r="L847" s="108"/>
      <c r="M847" s="108"/>
    </row>
    <row r="848" spans="1:13" ht="24.6" x14ac:dyDescent="0.25">
      <c r="A848" s="108"/>
      <c r="B848" s="108"/>
      <c r="C848" s="111"/>
      <c r="D848" s="115"/>
      <c r="F848" s="108"/>
      <c r="G848" s="108"/>
      <c r="H848" s="108"/>
      <c r="I848" s="107"/>
      <c r="J848" s="108"/>
      <c r="K848" s="108"/>
      <c r="L848" s="108"/>
      <c r="M848" s="108"/>
    </row>
    <row r="849" spans="1:13" ht="24.6" x14ac:dyDescent="0.25">
      <c r="A849" s="108"/>
      <c r="B849" s="108"/>
      <c r="C849" s="111"/>
      <c r="D849" s="115"/>
      <c r="F849" s="108"/>
      <c r="G849" s="108"/>
      <c r="H849" s="108"/>
      <c r="I849" s="107"/>
      <c r="J849" s="108"/>
      <c r="K849" s="108"/>
      <c r="L849" s="108"/>
      <c r="M849" s="108"/>
    </row>
    <row r="850" spans="1:13" ht="24.6" x14ac:dyDescent="0.25">
      <c r="A850" s="108"/>
      <c r="B850" s="108"/>
      <c r="C850" s="111"/>
      <c r="D850" s="115"/>
      <c r="F850" s="108"/>
      <c r="G850" s="108"/>
      <c r="H850" s="108"/>
      <c r="I850" s="107"/>
      <c r="J850" s="108"/>
      <c r="K850" s="108"/>
      <c r="L850" s="108"/>
      <c r="M850" s="108"/>
    </row>
    <row r="851" spans="1:13" ht="24.6" x14ac:dyDescent="0.25">
      <c r="A851" s="108"/>
      <c r="B851" s="108"/>
      <c r="C851" s="111"/>
      <c r="D851" s="115"/>
      <c r="F851" s="108"/>
      <c r="G851" s="108"/>
      <c r="H851" s="108"/>
      <c r="I851" s="107"/>
      <c r="J851" s="108"/>
      <c r="K851" s="108"/>
      <c r="L851" s="108"/>
      <c r="M851" s="108"/>
    </row>
    <row r="852" spans="1:13" ht="24.6" x14ac:dyDescent="0.25">
      <c r="A852" s="108"/>
      <c r="B852" s="108"/>
      <c r="C852" s="111"/>
      <c r="D852" s="115"/>
      <c r="F852" s="108"/>
      <c r="G852" s="108"/>
      <c r="H852" s="108"/>
      <c r="I852" s="107"/>
      <c r="J852" s="108"/>
      <c r="K852" s="108"/>
      <c r="L852" s="108"/>
      <c r="M852" s="108"/>
    </row>
    <row r="853" spans="1:13" ht="24.6" x14ac:dyDescent="0.25">
      <c r="A853" s="108"/>
      <c r="B853" s="108"/>
      <c r="C853" s="111"/>
      <c r="D853" s="115"/>
      <c r="F853" s="108"/>
      <c r="G853" s="108"/>
      <c r="H853" s="108"/>
      <c r="I853" s="107"/>
      <c r="J853" s="108"/>
      <c r="K853" s="108"/>
      <c r="L853" s="108"/>
      <c r="M853" s="108"/>
    </row>
    <row r="854" spans="1:13" ht="24.6" x14ac:dyDescent="0.25">
      <c r="A854" s="108"/>
      <c r="B854" s="108"/>
      <c r="C854" s="111"/>
      <c r="D854" s="115"/>
      <c r="F854" s="108"/>
      <c r="G854" s="108"/>
      <c r="H854" s="108"/>
      <c r="I854" s="107"/>
      <c r="J854" s="108"/>
      <c r="K854" s="108"/>
      <c r="L854" s="108"/>
      <c r="M854" s="108"/>
    </row>
    <row r="855" spans="1:13" ht="24.6" x14ac:dyDescent="0.25">
      <c r="A855" s="108"/>
      <c r="B855" s="108"/>
      <c r="C855" s="111"/>
      <c r="D855" s="115"/>
      <c r="F855" s="108"/>
      <c r="G855" s="108"/>
      <c r="H855" s="108"/>
      <c r="I855" s="107"/>
      <c r="J855" s="108"/>
      <c r="K855" s="108"/>
      <c r="L855" s="108"/>
      <c r="M855" s="108"/>
    </row>
    <row r="856" spans="1:13" ht="24.6" x14ac:dyDescent="0.25">
      <c r="A856" s="108"/>
      <c r="B856" s="108"/>
      <c r="C856" s="111"/>
      <c r="D856" s="115"/>
      <c r="F856" s="108"/>
      <c r="G856" s="108"/>
      <c r="H856" s="108"/>
      <c r="I856" s="107"/>
      <c r="J856" s="108"/>
      <c r="K856" s="108"/>
      <c r="L856" s="108"/>
      <c r="M856" s="108"/>
    </row>
    <row r="857" spans="1:13" ht="24.6" x14ac:dyDescent="0.25">
      <c r="A857" s="108"/>
      <c r="B857" s="108"/>
      <c r="C857" s="111"/>
      <c r="D857" s="115"/>
      <c r="F857" s="108"/>
      <c r="G857" s="108"/>
      <c r="H857" s="108"/>
      <c r="I857" s="107"/>
      <c r="J857" s="108"/>
      <c r="K857" s="108"/>
      <c r="L857" s="108"/>
      <c r="M857" s="108"/>
    </row>
    <row r="858" spans="1:13" ht="24.6" x14ac:dyDescent="0.25">
      <c r="A858" s="108"/>
      <c r="B858" s="108"/>
      <c r="C858" s="111"/>
      <c r="D858" s="115"/>
      <c r="F858" s="108"/>
      <c r="G858" s="108"/>
      <c r="H858" s="108"/>
      <c r="I858" s="107"/>
      <c r="J858" s="108"/>
      <c r="K858" s="108"/>
      <c r="L858" s="108"/>
      <c r="M858" s="108"/>
    </row>
    <row r="859" spans="1:13" ht="24.6" x14ac:dyDescent="0.25">
      <c r="A859" s="108"/>
      <c r="B859" s="108"/>
      <c r="C859" s="111"/>
      <c r="D859" s="115"/>
      <c r="F859" s="108"/>
      <c r="G859" s="108"/>
      <c r="H859" s="108"/>
      <c r="I859" s="107"/>
      <c r="J859" s="108"/>
      <c r="K859" s="108"/>
      <c r="L859" s="108"/>
      <c r="M859" s="108"/>
    </row>
    <row r="860" spans="1:13" ht="24.6" x14ac:dyDescent="0.25">
      <c r="A860" s="108"/>
      <c r="B860" s="108"/>
      <c r="C860" s="111"/>
      <c r="D860" s="115"/>
      <c r="F860" s="108"/>
      <c r="G860" s="108"/>
      <c r="H860" s="108"/>
      <c r="I860" s="107"/>
      <c r="J860" s="108"/>
      <c r="K860" s="108"/>
      <c r="L860" s="108"/>
      <c r="M860" s="108"/>
    </row>
    <row r="861" spans="1:13" ht="24.6" x14ac:dyDescent="0.25">
      <c r="A861" s="108"/>
      <c r="B861" s="108"/>
      <c r="C861" s="111"/>
      <c r="D861" s="115"/>
      <c r="F861" s="108"/>
      <c r="G861" s="108"/>
      <c r="H861" s="108"/>
      <c r="I861" s="107"/>
      <c r="J861" s="108"/>
      <c r="K861" s="108"/>
      <c r="L861" s="108"/>
      <c r="M861" s="108"/>
    </row>
    <row r="862" spans="1:13" ht="24.6" x14ac:dyDescent="0.25">
      <c r="A862" s="108"/>
      <c r="B862" s="108"/>
      <c r="C862" s="111"/>
      <c r="D862" s="115"/>
      <c r="F862" s="108"/>
      <c r="G862" s="108"/>
      <c r="H862" s="108"/>
      <c r="I862" s="107"/>
      <c r="J862" s="108"/>
      <c r="K862" s="108"/>
      <c r="L862" s="108"/>
      <c r="M862" s="108"/>
    </row>
    <row r="863" spans="1:13" ht="24.6" x14ac:dyDescent="0.25">
      <c r="A863" s="108"/>
      <c r="B863" s="108"/>
      <c r="C863" s="111"/>
      <c r="D863" s="115"/>
      <c r="F863" s="108"/>
      <c r="G863" s="108"/>
      <c r="H863" s="108"/>
      <c r="I863" s="107"/>
      <c r="J863" s="108"/>
      <c r="K863" s="108"/>
      <c r="L863" s="108"/>
      <c r="M863" s="108"/>
    </row>
    <row r="864" spans="1:13" ht="24.6" x14ac:dyDescent="0.25">
      <c r="A864" s="108"/>
      <c r="B864" s="108"/>
      <c r="C864" s="111"/>
      <c r="D864" s="115"/>
      <c r="F864" s="108"/>
      <c r="G864" s="108"/>
      <c r="H864" s="108"/>
      <c r="I864" s="107"/>
      <c r="J864" s="108"/>
      <c r="K864" s="108"/>
      <c r="L864" s="108"/>
      <c r="M864" s="108"/>
    </row>
    <row r="865" spans="1:13" ht="24.6" x14ac:dyDescent="0.25">
      <c r="A865" s="108"/>
      <c r="B865" s="108"/>
      <c r="C865" s="111"/>
      <c r="D865" s="115"/>
      <c r="F865" s="108"/>
      <c r="G865" s="108"/>
      <c r="H865" s="108"/>
      <c r="I865" s="107"/>
      <c r="J865" s="108"/>
      <c r="K865" s="108"/>
      <c r="L865" s="108"/>
      <c r="M865" s="108"/>
    </row>
    <row r="866" spans="1:13" ht="24.6" x14ac:dyDescent="0.25">
      <c r="A866" s="108"/>
      <c r="B866" s="108"/>
      <c r="C866" s="111"/>
      <c r="D866" s="115"/>
      <c r="F866" s="108"/>
      <c r="G866" s="108"/>
      <c r="H866" s="108"/>
      <c r="I866" s="107"/>
      <c r="J866" s="108"/>
      <c r="K866" s="108"/>
      <c r="L866" s="108"/>
      <c r="M866" s="108"/>
    </row>
    <row r="867" spans="1:13" ht="24.6" x14ac:dyDescent="0.25">
      <c r="A867" s="108"/>
      <c r="B867" s="108"/>
      <c r="C867" s="111"/>
      <c r="D867" s="115"/>
      <c r="F867" s="108"/>
      <c r="G867" s="108"/>
      <c r="H867" s="108"/>
      <c r="I867" s="107"/>
      <c r="J867" s="108"/>
      <c r="K867" s="108"/>
      <c r="L867" s="108"/>
      <c r="M867" s="108"/>
    </row>
    <row r="868" spans="1:13" ht="24.6" x14ac:dyDescent="0.25">
      <c r="A868" s="108"/>
      <c r="B868" s="108"/>
      <c r="C868" s="111"/>
      <c r="D868" s="115"/>
      <c r="F868" s="108"/>
      <c r="G868" s="108"/>
      <c r="H868" s="108"/>
      <c r="I868" s="107"/>
      <c r="J868" s="108"/>
      <c r="K868" s="108"/>
      <c r="L868" s="108"/>
      <c r="M868" s="108"/>
    </row>
    <row r="869" spans="1:13" ht="24.6" x14ac:dyDescent="0.25">
      <c r="A869" s="108"/>
      <c r="B869" s="108"/>
      <c r="C869" s="111"/>
      <c r="D869" s="115"/>
      <c r="F869" s="108"/>
      <c r="G869" s="108"/>
      <c r="H869" s="108"/>
      <c r="I869" s="107"/>
      <c r="J869" s="108"/>
      <c r="K869" s="108"/>
      <c r="L869" s="108"/>
      <c r="M869" s="108"/>
    </row>
    <row r="870" spans="1:13" ht="24.6" x14ac:dyDescent="0.25">
      <c r="A870" s="108"/>
      <c r="B870" s="108"/>
      <c r="C870" s="111"/>
      <c r="D870" s="115"/>
      <c r="F870" s="108"/>
      <c r="G870" s="108"/>
      <c r="H870" s="108"/>
      <c r="I870" s="107"/>
      <c r="J870" s="108"/>
      <c r="K870" s="108"/>
      <c r="L870" s="108"/>
      <c r="M870" s="108"/>
    </row>
    <row r="871" spans="1:13" ht="24.6" x14ac:dyDescent="0.25">
      <c r="A871" s="108"/>
      <c r="B871" s="108"/>
      <c r="C871" s="111"/>
      <c r="D871" s="115"/>
      <c r="F871" s="108"/>
      <c r="G871" s="108"/>
      <c r="H871" s="108"/>
      <c r="I871" s="107"/>
      <c r="J871" s="108"/>
      <c r="K871" s="108"/>
      <c r="L871" s="108"/>
      <c r="M871" s="108"/>
    </row>
    <row r="872" spans="1:13" ht="24.6" x14ac:dyDescent="0.25">
      <c r="A872" s="108"/>
      <c r="B872" s="108"/>
      <c r="C872" s="111"/>
      <c r="D872" s="115"/>
      <c r="F872" s="108"/>
      <c r="G872" s="108"/>
      <c r="H872" s="108"/>
      <c r="I872" s="107"/>
      <c r="J872" s="108"/>
      <c r="K872" s="108"/>
      <c r="L872" s="108"/>
      <c r="M872" s="108"/>
    </row>
    <row r="873" spans="1:13" ht="24.6" x14ac:dyDescent="0.25">
      <c r="A873" s="108"/>
      <c r="B873" s="108"/>
      <c r="C873" s="111"/>
      <c r="D873" s="115"/>
      <c r="F873" s="108"/>
      <c r="G873" s="108"/>
      <c r="H873" s="108"/>
      <c r="I873" s="107"/>
      <c r="J873" s="108"/>
      <c r="K873" s="108"/>
      <c r="L873" s="108"/>
      <c r="M873" s="108"/>
    </row>
    <row r="874" spans="1:13" ht="24.6" x14ac:dyDescent="0.25">
      <c r="A874" s="108"/>
      <c r="B874" s="108"/>
      <c r="C874" s="111"/>
      <c r="D874" s="115"/>
      <c r="F874" s="108"/>
      <c r="G874" s="108"/>
      <c r="H874" s="108"/>
      <c r="I874" s="107"/>
      <c r="J874" s="108"/>
      <c r="K874" s="108"/>
      <c r="L874" s="108"/>
      <c r="M874" s="108"/>
    </row>
    <row r="875" spans="1:13" ht="24.6" x14ac:dyDescent="0.25">
      <c r="A875" s="108"/>
      <c r="B875" s="108"/>
      <c r="C875" s="111"/>
      <c r="D875" s="115"/>
      <c r="F875" s="108"/>
      <c r="G875" s="108"/>
      <c r="H875" s="108"/>
      <c r="I875" s="107"/>
      <c r="J875" s="108"/>
      <c r="K875" s="108"/>
      <c r="L875" s="108"/>
      <c r="M875" s="108"/>
    </row>
    <row r="876" spans="1:13" ht="24.6" x14ac:dyDescent="0.25">
      <c r="A876" s="108"/>
      <c r="B876" s="108"/>
      <c r="C876" s="111"/>
      <c r="D876" s="115"/>
      <c r="F876" s="108"/>
      <c r="G876" s="108"/>
      <c r="H876" s="108"/>
      <c r="I876" s="107"/>
      <c r="J876" s="108"/>
      <c r="K876" s="108"/>
      <c r="L876" s="108"/>
      <c r="M876" s="108"/>
    </row>
    <row r="877" spans="1:13" ht="24.6" x14ac:dyDescent="0.25">
      <c r="A877" s="108"/>
      <c r="B877" s="108"/>
      <c r="C877" s="111"/>
      <c r="D877" s="115"/>
      <c r="F877" s="108"/>
      <c r="G877" s="108"/>
      <c r="H877" s="108"/>
      <c r="I877" s="107"/>
      <c r="J877" s="108"/>
      <c r="K877" s="108"/>
      <c r="L877" s="108"/>
      <c r="M877" s="108"/>
    </row>
    <row r="878" spans="1:13" ht="24.6" x14ac:dyDescent="0.25">
      <c r="A878" s="108"/>
      <c r="B878" s="108"/>
      <c r="C878" s="111"/>
      <c r="D878" s="115"/>
      <c r="F878" s="108"/>
      <c r="G878" s="108"/>
      <c r="H878" s="108"/>
      <c r="I878" s="107"/>
      <c r="J878" s="108"/>
      <c r="K878" s="108"/>
      <c r="L878" s="108"/>
      <c r="M878" s="108"/>
    </row>
    <row r="879" spans="1:13" ht="24.6" x14ac:dyDescent="0.25">
      <c r="A879" s="108"/>
      <c r="B879" s="108"/>
      <c r="C879" s="111"/>
      <c r="D879" s="115"/>
      <c r="F879" s="108"/>
      <c r="G879" s="108"/>
      <c r="H879" s="108"/>
      <c r="I879" s="107"/>
      <c r="J879" s="108"/>
      <c r="K879" s="108"/>
      <c r="L879" s="108"/>
      <c r="M879" s="108"/>
    </row>
    <row r="880" spans="1:13" ht="24.6" x14ac:dyDescent="0.25">
      <c r="A880" s="108"/>
      <c r="B880" s="108"/>
      <c r="C880" s="111"/>
      <c r="D880" s="115"/>
      <c r="F880" s="108"/>
      <c r="G880" s="108"/>
      <c r="H880" s="108"/>
      <c r="I880" s="107"/>
      <c r="J880" s="108"/>
      <c r="K880" s="108"/>
      <c r="L880" s="108"/>
      <c r="M880" s="108"/>
    </row>
    <row r="881" spans="1:13" ht="24.6" x14ac:dyDescent="0.25">
      <c r="A881" s="108"/>
      <c r="B881" s="108"/>
      <c r="C881" s="111"/>
      <c r="D881" s="115"/>
      <c r="F881" s="108"/>
      <c r="G881" s="108"/>
      <c r="H881" s="108"/>
      <c r="I881" s="107"/>
      <c r="J881" s="108"/>
      <c r="K881" s="108"/>
      <c r="L881" s="108"/>
      <c r="M881" s="108"/>
    </row>
    <row r="882" spans="1:13" ht="24.6" x14ac:dyDescent="0.25">
      <c r="A882" s="108"/>
      <c r="B882" s="108"/>
      <c r="C882" s="111"/>
      <c r="D882" s="115"/>
      <c r="F882" s="108"/>
      <c r="G882" s="108"/>
      <c r="H882" s="108"/>
      <c r="I882" s="107"/>
      <c r="J882" s="108"/>
      <c r="K882" s="108"/>
      <c r="L882" s="108"/>
      <c r="M882" s="108"/>
    </row>
    <row r="883" spans="1:13" ht="24.6" x14ac:dyDescent="0.25">
      <c r="A883" s="108"/>
      <c r="B883" s="108"/>
      <c r="C883" s="111"/>
      <c r="D883" s="115"/>
      <c r="F883" s="108"/>
      <c r="G883" s="108"/>
      <c r="H883" s="108"/>
      <c r="I883" s="107"/>
      <c r="J883" s="108"/>
      <c r="K883" s="108"/>
      <c r="L883" s="108"/>
      <c r="M883" s="108"/>
    </row>
    <row r="884" spans="1:13" ht="24.6" x14ac:dyDescent="0.25">
      <c r="A884" s="108"/>
      <c r="B884" s="108"/>
      <c r="C884" s="111"/>
      <c r="D884" s="115"/>
      <c r="F884" s="108"/>
      <c r="G884" s="108"/>
      <c r="H884" s="108"/>
      <c r="I884" s="107"/>
      <c r="J884" s="108"/>
      <c r="K884" s="108"/>
      <c r="L884" s="108"/>
      <c r="M884" s="108"/>
    </row>
    <row r="885" spans="1:13" ht="24.6" x14ac:dyDescent="0.25">
      <c r="A885" s="108"/>
      <c r="B885" s="108"/>
      <c r="C885" s="111"/>
      <c r="D885" s="115"/>
      <c r="F885" s="108"/>
      <c r="G885" s="108"/>
      <c r="H885" s="108"/>
      <c r="I885" s="107"/>
      <c r="J885" s="108"/>
      <c r="K885" s="108"/>
      <c r="L885" s="108"/>
      <c r="M885" s="108"/>
    </row>
    <row r="886" spans="1:13" ht="24.6" x14ac:dyDescent="0.25">
      <c r="A886" s="108"/>
      <c r="B886" s="108"/>
      <c r="C886" s="111"/>
      <c r="D886" s="115"/>
      <c r="F886" s="108"/>
      <c r="G886" s="108"/>
      <c r="H886" s="108"/>
      <c r="I886" s="107"/>
      <c r="J886" s="108"/>
      <c r="K886" s="108"/>
      <c r="L886" s="108"/>
      <c r="M886" s="108"/>
    </row>
    <row r="887" spans="1:13" ht="24.6" x14ac:dyDescent="0.25">
      <c r="A887" s="108"/>
      <c r="B887" s="108"/>
      <c r="C887" s="111"/>
      <c r="D887" s="115"/>
      <c r="F887" s="108"/>
      <c r="G887" s="108"/>
      <c r="H887" s="108"/>
      <c r="I887" s="107"/>
      <c r="J887" s="108"/>
      <c r="K887" s="108"/>
      <c r="L887" s="108"/>
      <c r="M887" s="108"/>
    </row>
    <row r="888" spans="1:13" ht="24.6" x14ac:dyDescent="0.25">
      <c r="A888" s="108"/>
      <c r="B888" s="108"/>
      <c r="C888" s="111"/>
      <c r="D888" s="115"/>
      <c r="F888" s="108"/>
      <c r="G888" s="108"/>
      <c r="H888" s="108"/>
      <c r="I888" s="107"/>
      <c r="J888" s="108"/>
      <c r="K888" s="108"/>
      <c r="L888" s="108"/>
      <c r="M888" s="108"/>
    </row>
    <row r="889" spans="1:13" ht="24.6" x14ac:dyDescent="0.25">
      <c r="A889" s="108"/>
      <c r="B889" s="108"/>
      <c r="C889" s="111"/>
      <c r="D889" s="115"/>
      <c r="F889" s="108"/>
      <c r="G889" s="108"/>
      <c r="H889" s="108"/>
      <c r="I889" s="107"/>
      <c r="J889" s="108"/>
      <c r="K889" s="108"/>
      <c r="L889" s="108"/>
      <c r="M889" s="108"/>
    </row>
    <row r="890" spans="1:13" ht="24.6" x14ac:dyDescent="0.25">
      <c r="A890" s="108"/>
      <c r="B890" s="108"/>
      <c r="C890" s="111"/>
      <c r="D890" s="115"/>
      <c r="F890" s="108"/>
      <c r="G890" s="108"/>
      <c r="H890" s="108"/>
      <c r="I890" s="107"/>
      <c r="J890" s="108"/>
      <c r="K890" s="108"/>
      <c r="L890" s="108"/>
      <c r="M890" s="108"/>
    </row>
    <row r="891" spans="1:13" ht="24.6" x14ac:dyDescent="0.25">
      <c r="A891" s="108"/>
      <c r="B891" s="108"/>
      <c r="C891" s="111"/>
      <c r="D891" s="115"/>
      <c r="F891" s="108"/>
      <c r="G891" s="108"/>
      <c r="H891" s="108"/>
      <c r="I891" s="107"/>
      <c r="J891" s="108"/>
      <c r="K891" s="108"/>
      <c r="L891" s="108"/>
      <c r="M891" s="108"/>
    </row>
    <row r="892" spans="1:13" ht="24.6" x14ac:dyDescent="0.25">
      <c r="A892" s="108"/>
      <c r="B892" s="108"/>
      <c r="C892" s="111"/>
      <c r="D892" s="115"/>
      <c r="F892" s="108"/>
      <c r="G892" s="108"/>
      <c r="H892" s="108"/>
      <c r="I892" s="107"/>
      <c r="J892" s="108"/>
      <c r="K892" s="108"/>
      <c r="L892" s="108"/>
      <c r="M892" s="108"/>
    </row>
    <row r="893" spans="1:13" ht="24.6" x14ac:dyDescent="0.25">
      <c r="A893" s="108"/>
      <c r="B893" s="108"/>
      <c r="C893" s="111"/>
      <c r="D893" s="115"/>
      <c r="F893" s="108"/>
      <c r="G893" s="108"/>
      <c r="H893" s="108"/>
      <c r="I893" s="107"/>
      <c r="J893" s="108"/>
      <c r="K893" s="108"/>
      <c r="L893" s="108"/>
      <c r="M893" s="108"/>
    </row>
    <row r="894" spans="1:13" ht="24.6" x14ac:dyDescent="0.25">
      <c r="A894" s="108"/>
      <c r="B894" s="108"/>
      <c r="C894" s="111"/>
      <c r="D894" s="115"/>
      <c r="F894" s="108"/>
      <c r="G894" s="108"/>
      <c r="H894" s="108"/>
      <c r="I894" s="107"/>
      <c r="J894" s="108"/>
      <c r="K894" s="108"/>
      <c r="L894" s="108"/>
      <c r="M894" s="108"/>
    </row>
    <row r="895" spans="1:13" ht="24.6" x14ac:dyDescent="0.25">
      <c r="A895" s="108"/>
      <c r="B895" s="108"/>
      <c r="C895" s="111"/>
      <c r="D895" s="115"/>
      <c r="F895" s="108"/>
      <c r="G895" s="108"/>
      <c r="H895" s="108"/>
      <c r="I895" s="107"/>
      <c r="J895" s="108"/>
      <c r="K895" s="108"/>
      <c r="L895" s="108"/>
      <c r="M895" s="108"/>
    </row>
    <row r="896" spans="1:13" ht="24.6" x14ac:dyDescent="0.25">
      <c r="A896" s="108"/>
      <c r="B896" s="108"/>
      <c r="C896" s="111"/>
      <c r="D896" s="115"/>
      <c r="F896" s="108"/>
      <c r="G896" s="108"/>
      <c r="H896" s="108"/>
      <c r="I896" s="107"/>
      <c r="J896" s="108"/>
      <c r="K896" s="108"/>
      <c r="L896" s="108"/>
      <c r="M896" s="108"/>
    </row>
    <row r="897" spans="1:13" ht="24.6" x14ac:dyDescent="0.25">
      <c r="A897" s="108"/>
      <c r="B897" s="108"/>
      <c r="C897" s="111"/>
      <c r="D897" s="115"/>
      <c r="F897" s="108"/>
      <c r="G897" s="108"/>
      <c r="H897" s="108"/>
      <c r="I897" s="107"/>
      <c r="J897" s="108"/>
      <c r="K897" s="108"/>
      <c r="L897" s="108"/>
      <c r="M897" s="108"/>
    </row>
    <row r="898" spans="1:13" ht="24.6" x14ac:dyDescent="0.25">
      <c r="A898" s="108"/>
      <c r="B898" s="108"/>
      <c r="C898" s="111"/>
      <c r="D898" s="115"/>
      <c r="F898" s="108"/>
      <c r="G898" s="108"/>
      <c r="H898" s="108"/>
      <c r="I898" s="107"/>
      <c r="J898" s="108"/>
      <c r="K898" s="108"/>
      <c r="L898" s="108"/>
      <c r="M898" s="108"/>
    </row>
    <row r="899" spans="1:13" ht="24.6" x14ac:dyDescent="0.25">
      <c r="A899" s="108"/>
      <c r="B899" s="108"/>
      <c r="C899" s="111"/>
      <c r="D899" s="115"/>
      <c r="F899" s="108"/>
      <c r="G899" s="108"/>
      <c r="H899" s="108"/>
      <c r="I899" s="107"/>
      <c r="J899" s="108"/>
      <c r="K899" s="108"/>
      <c r="L899" s="108"/>
      <c r="M899" s="108"/>
    </row>
    <row r="900" spans="1:13" ht="24.6" x14ac:dyDescent="0.25">
      <c r="A900" s="108"/>
      <c r="B900" s="108"/>
      <c r="C900" s="111"/>
      <c r="D900" s="115"/>
      <c r="F900" s="108"/>
      <c r="G900" s="108"/>
      <c r="H900" s="108"/>
      <c r="I900" s="107"/>
      <c r="J900" s="108"/>
      <c r="K900" s="108"/>
      <c r="L900" s="108"/>
      <c r="M900" s="108"/>
    </row>
    <row r="901" spans="1:13" ht="24.6" x14ac:dyDescent="0.25">
      <c r="A901" s="108"/>
      <c r="B901" s="108"/>
      <c r="C901" s="111"/>
      <c r="D901" s="115"/>
      <c r="F901" s="108"/>
      <c r="G901" s="108"/>
      <c r="H901" s="108"/>
      <c r="I901" s="107"/>
      <c r="J901" s="108"/>
      <c r="K901" s="108"/>
      <c r="L901" s="108"/>
      <c r="M901" s="108"/>
    </row>
    <row r="902" spans="1:13" ht="24.6" x14ac:dyDescent="0.25">
      <c r="A902" s="108"/>
      <c r="B902" s="108"/>
      <c r="C902" s="111"/>
      <c r="D902" s="115"/>
      <c r="F902" s="108"/>
      <c r="G902" s="108"/>
      <c r="H902" s="108"/>
      <c r="I902" s="107"/>
      <c r="J902" s="108"/>
      <c r="K902" s="108"/>
      <c r="L902" s="108"/>
      <c r="M902" s="108"/>
    </row>
    <row r="903" spans="1:13" ht="24.6" x14ac:dyDescent="0.25">
      <c r="A903" s="108"/>
      <c r="B903" s="108"/>
      <c r="C903" s="111"/>
      <c r="D903" s="115"/>
      <c r="F903" s="108"/>
      <c r="G903" s="108"/>
      <c r="H903" s="108"/>
      <c r="I903" s="107"/>
      <c r="J903" s="108"/>
      <c r="K903" s="108"/>
      <c r="L903" s="108"/>
      <c r="M903" s="108"/>
    </row>
    <row r="904" spans="1:13" ht="24.6" x14ac:dyDescent="0.25">
      <c r="A904" s="108"/>
      <c r="B904" s="108"/>
      <c r="C904" s="111"/>
      <c r="D904" s="115"/>
      <c r="F904" s="108"/>
      <c r="G904" s="108"/>
      <c r="H904" s="108"/>
      <c r="I904" s="107"/>
      <c r="J904" s="108"/>
      <c r="K904" s="108"/>
      <c r="L904" s="108"/>
      <c r="M904" s="108"/>
    </row>
    <row r="905" spans="1:13" ht="24.6" x14ac:dyDescent="0.25">
      <c r="A905" s="108"/>
      <c r="B905" s="108"/>
      <c r="C905" s="111"/>
      <c r="D905" s="115"/>
      <c r="F905" s="108"/>
      <c r="G905" s="108"/>
      <c r="H905" s="108"/>
      <c r="I905" s="107"/>
      <c r="J905" s="108"/>
      <c r="K905" s="108"/>
      <c r="L905" s="108"/>
      <c r="M905" s="108"/>
    </row>
    <row r="906" spans="1:13" ht="24.6" x14ac:dyDescent="0.25">
      <c r="A906" s="108"/>
      <c r="B906" s="108"/>
      <c r="C906" s="111"/>
      <c r="D906" s="115"/>
      <c r="F906" s="108"/>
      <c r="G906" s="108"/>
      <c r="H906" s="108"/>
      <c r="I906" s="107"/>
      <c r="J906" s="108"/>
      <c r="K906" s="108"/>
      <c r="L906" s="108"/>
      <c r="M906" s="108"/>
    </row>
    <row r="907" spans="1:13" ht="24.6" x14ac:dyDescent="0.25">
      <c r="A907" s="108"/>
      <c r="B907" s="108"/>
      <c r="C907" s="111"/>
      <c r="D907" s="115"/>
      <c r="F907" s="108"/>
      <c r="G907" s="108"/>
      <c r="H907" s="108"/>
      <c r="I907" s="107"/>
      <c r="J907" s="108"/>
      <c r="K907" s="108"/>
      <c r="L907" s="108"/>
      <c r="M907" s="108"/>
    </row>
    <row r="908" spans="1:13" ht="24.6" x14ac:dyDescent="0.25">
      <c r="A908" s="108"/>
      <c r="B908" s="108"/>
      <c r="C908" s="111"/>
      <c r="D908" s="115"/>
      <c r="F908" s="108"/>
      <c r="G908" s="108"/>
      <c r="H908" s="108"/>
      <c r="I908" s="107"/>
      <c r="J908" s="108"/>
      <c r="K908" s="108"/>
      <c r="L908" s="108"/>
      <c r="M908" s="108"/>
    </row>
    <row r="909" spans="1:13" ht="24.6" x14ac:dyDescent="0.25">
      <c r="A909" s="108"/>
      <c r="B909" s="108"/>
      <c r="C909" s="111"/>
      <c r="D909" s="115"/>
      <c r="F909" s="108"/>
      <c r="G909" s="108"/>
      <c r="H909" s="108"/>
      <c r="I909" s="107"/>
      <c r="J909" s="108"/>
      <c r="K909" s="108"/>
      <c r="L909" s="108"/>
      <c r="M909" s="108"/>
    </row>
    <row r="910" spans="1:13" ht="24.6" x14ac:dyDescent="0.25">
      <c r="A910" s="108"/>
      <c r="B910" s="108"/>
      <c r="C910" s="111"/>
      <c r="D910" s="115"/>
      <c r="F910" s="108"/>
      <c r="G910" s="108"/>
      <c r="H910" s="108"/>
      <c r="I910" s="107"/>
      <c r="J910" s="108"/>
      <c r="K910" s="108"/>
      <c r="L910" s="108"/>
      <c r="M910" s="108"/>
    </row>
    <row r="911" spans="1:13" ht="24.6" x14ac:dyDescent="0.25">
      <c r="A911" s="108"/>
      <c r="B911" s="108"/>
      <c r="C911" s="111"/>
      <c r="D911" s="115"/>
      <c r="F911" s="108"/>
      <c r="G911" s="108"/>
      <c r="H911" s="108"/>
      <c r="I911" s="107"/>
      <c r="J911" s="108"/>
      <c r="K911" s="108"/>
      <c r="L911" s="108"/>
      <c r="M911" s="108"/>
    </row>
    <row r="912" spans="1:13" ht="24.6" x14ac:dyDescent="0.25">
      <c r="A912" s="108"/>
      <c r="B912" s="108"/>
      <c r="C912" s="111"/>
      <c r="D912" s="115"/>
      <c r="F912" s="108"/>
      <c r="G912" s="108"/>
      <c r="H912" s="108"/>
      <c r="I912" s="107"/>
      <c r="J912" s="108"/>
      <c r="K912" s="108"/>
      <c r="L912" s="108"/>
      <c r="M912" s="108"/>
    </row>
    <row r="913" spans="1:13" ht="24.6" x14ac:dyDescent="0.25">
      <c r="A913" s="108"/>
      <c r="B913" s="108"/>
      <c r="C913" s="111"/>
      <c r="D913" s="115"/>
      <c r="F913" s="108"/>
      <c r="G913" s="108"/>
      <c r="H913" s="108"/>
      <c r="I913" s="107"/>
      <c r="J913" s="108"/>
      <c r="K913" s="108"/>
      <c r="L913" s="108"/>
      <c r="M913" s="108"/>
    </row>
    <row r="914" spans="1:13" ht="15.75" customHeight="1" x14ac:dyDescent="0.25">
      <c r="A914" s="108"/>
      <c r="B914" s="108"/>
      <c r="C914" s="111"/>
      <c r="D914" s="115"/>
      <c r="F914" s="108"/>
      <c r="G914" s="108"/>
      <c r="H914" s="108"/>
    </row>
    <row r="915" spans="1:13" ht="15.75" customHeight="1" x14ac:dyDescent="0.25">
      <c r="A915" s="108"/>
      <c r="B915" s="108"/>
      <c r="C915" s="111"/>
      <c r="D915" s="115"/>
      <c r="F915" s="108"/>
      <c r="G915" s="108"/>
      <c r="H915" s="108"/>
    </row>
    <row r="916" spans="1:13" ht="15.75" customHeight="1" x14ac:dyDescent="0.25">
      <c r="A916" s="108"/>
      <c r="B916" s="108"/>
      <c r="C916" s="111"/>
      <c r="D916" s="115"/>
      <c r="F916" s="108"/>
      <c r="G916" s="108"/>
      <c r="H916" s="108"/>
    </row>
    <row r="917" spans="1:13" ht="15.75" customHeight="1" x14ac:dyDescent="0.25">
      <c r="A917" s="108"/>
      <c r="B917" s="108"/>
      <c r="C917" s="111"/>
      <c r="D917" s="115"/>
      <c r="F917" s="108"/>
      <c r="G917" s="108"/>
      <c r="H917" s="108"/>
    </row>
    <row r="918" spans="1:13" ht="15.75" customHeight="1" x14ac:dyDescent="0.25">
      <c r="A918" s="108"/>
      <c r="B918" s="108"/>
      <c r="C918" s="111"/>
      <c r="D918" s="115"/>
      <c r="F918" s="108"/>
      <c r="G918" s="108"/>
      <c r="H918" s="108"/>
    </row>
    <row r="919" spans="1:13" ht="15.75" customHeight="1" x14ac:dyDescent="0.25">
      <c r="A919" s="108"/>
      <c r="B919" s="108"/>
      <c r="C919" s="111"/>
      <c r="D919" s="115"/>
      <c r="F919" s="108"/>
      <c r="G919" s="108"/>
      <c r="H919" s="108"/>
    </row>
    <row r="920" spans="1:13" ht="15.75" customHeight="1" x14ac:dyDescent="0.25">
      <c r="A920" s="108"/>
      <c r="B920" s="108"/>
      <c r="C920" s="111"/>
      <c r="D920" s="115"/>
      <c r="F920" s="108"/>
      <c r="G920" s="108"/>
      <c r="H920" s="108"/>
    </row>
    <row r="921" spans="1:13" ht="15.75" customHeight="1" x14ac:dyDescent="0.25">
      <c r="A921" s="108"/>
      <c r="B921" s="108"/>
      <c r="C921" s="111"/>
      <c r="D921" s="115"/>
      <c r="F921" s="108"/>
      <c r="G921" s="108"/>
      <c r="H921" s="108"/>
    </row>
    <row r="922" spans="1:13" ht="15.75" customHeight="1" x14ac:dyDescent="0.25">
      <c r="A922" s="108"/>
      <c r="B922" s="108"/>
      <c r="C922" s="111"/>
      <c r="D922" s="115"/>
      <c r="F922" s="108"/>
      <c r="G922" s="108"/>
      <c r="H922" s="108"/>
    </row>
    <row r="923" spans="1:13" ht="15.75" customHeight="1" x14ac:dyDescent="0.25">
      <c r="A923" s="108"/>
      <c r="B923" s="108"/>
      <c r="C923" s="111"/>
      <c r="D923" s="115"/>
      <c r="F923" s="108"/>
      <c r="G923" s="108"/>
      <c r="H923" s="108"/>
    </row>
    <row r="924" spans="1:13" ht="15.75" customHeight="1" x14ac:dyDescent="0.25">
      <c r="A924" s="108"/>
      <c r="B924" s="108"/>
      <c r="C924" s="111"/>
      <c r="D924" s="115"/>
      <c r="F924" s="108"/>
      <c r="G924" s="108"/>
      <c r="H924" s="108"/>
    </row>
    <row r="925" spans="1:13" ht="15.75" customHeight="1" x14ac:dyDescent="0.25">
      <c r="A925" s="108"/>
      <c r="B925" s="108"/>
      <c r="C925" s="111"/>
      <c r="D925" s="115"/>
      <c r="F925" s="108"/>
      <c r="G925" s="108"/>
      <c r="H925" s="108"/>
    </row>
    <row r="926" spans="1:13" ht="15.75" customHeight="1" x14ac:dyDescent="0.25">
      <c r="A926" s="108"/>
      <c r="B926" s="108"/>
      <c r="C926" s="111"/>
      <c r="D926" s="115"/>
      <c r="F926" s="108"/>
      <c r="G926" s="108"/>
      <c r="H926" s="108"/>
    </row>
    <row r="927" spans="1:13" ht="15.75" customHeight="1" x14ac:dyDescent="0.25">
      <c r="A927" s="108"/>
      <c r="B927" s="108"/>
      <c r="C927" s="111"/>
      <c r="D927" s="115"/>
      <c r="F927" s="108"/>
      <c r="G927" s="108"/>
      <c r="H927" s="108"/>
    </row>
    <row r="928" spans="1:13" ht="15.75" customHeight="1" x14ac:dyDescent="0.25">
      <c r="A928" s="108"/>
      <c r="B928" s="108"/>
      <c r="C928" s="111"/>
      <c r="D928" s="115"/>
      <c r="F928" s="108"/>
      <c r="G928" s="108"/>
      <c r="H928" s="108"/>
    </row>
    <row r="929" spans="1:8" ht="15.75" customHeight="1" x14ac:dyDescent="0.25">
      <c r="A929" s="108"/>
      <c r="B929" s="108"/>
      <c r="C929" s="111"/>
      <c r="D929" s="115"/>
      <c r="F929" s="108"/>
      <c r="G929" s="108"/>
      <c r="H929" s="108"/>
    </row>
    <row r="930" spans="1:8" ht="15.75" customHeight="1" x14ac:dyDescent="0.25">
      <c r="A930" s="108"/>
      <c r="B930" s="108"/>
      <c r="C930" s="111"/>
      <c r="D930" s="115"/>
      <c r="F930" s="108"/>
      <c r="G930" s="108"/>
      <c r="H930" s="108"/>
    </row>
    <row r="931" spans="1:8" ht="15.75" customHeight="1" x14ac:dyDescent="0.25">
      <c r="A931" s="108"/>
      <c r="B931" s="108"/>
      <c r="C931" s="111"/>
      <c r="D931" s="115"/>
      <c r="F931" s="108"/>
      <c r="G931" s="108"/>
      <c r="H931" s="108"/>
    </row>
    <row r="932" spans="1:8" ht="15.75" customHeight="1" x14ac:dyDescent="0.25">
      <c r="A932" s="108"/>
      <c r="B932" s="108"/>
      <c r="C932" s="111"/>
      <c r="D932" s="115"/>
      <c r="F932" s="108"/>
      <c r="G932" s="108"/>
      <c r="H932" s="108"/>
    </row>
    <row r="933" spans="1:8" ht="15.75" customHeight="1" x14ac:dyDescent="0.25">
      <c r="A933" s="108"/>
      <c r="B933" s="108"/>
      <c r="C933" s="111"/>
      <c r="D933" s="115"/>
      <c r="F933" s="108"/>
      <c r="G933" s="108"/>
      <c r="H933" s="108"/>
    </row>
    <row r="934" spans="1:8" ht="15.75" customHeight="1" x14ac:dyDescent="0.25">
      <c r="A934" s="108"/>
      <c r="B934" s="108"/>
      <c r="C934" s="111"/>
      <c r="D934" s="115"/>
      <c r="F934" s="108"/>
      <c r="G934" s="108"/>
      <c r="H934" s="108"/>
    </row>
    <row r="935" spans="1:8" ht="15.75" customHeight="1" x14ac:dyDescent="0.25">
      <c r="A935" s="108"/>
      <c r="B935" s="108"/>
      <c r="C935" s="111"/>
      <c r="D935" s="115"/>
      <c r="F935" s="108"/>
      <c r="G935" s="108"/>
      <c r="H935" s="108"/>
    </row>
    <row r="936" spans="1:8" ht="15.75" customHeight="1" x14ac:dyDescent="0.25">
      <c r="A936" s="108"/>
      <c r="B936" s="108"/>
      <c r="C936" s="111"/>
      <c r="D936" s="115"/>
      <c r="F936" s="108"/>
      <c r="G936" s="108"/>
      <c r="H936" s="108"/>
    </row>
    <row r="937" spans="1:8" ht="15.75" customHeight="1" x14ac:dyDescent="0.25">
      <c r="A937" s="108"/>
      <c r="B937" s="108"/>
      <c r="C937" s="111"/>
      <c r="D937" s="115"/>
      <c r="F937" s="108"/>
      <c r="G937" s="108"/>
      <c r="H937" s="108"/>
    </row>
    <row r="938" spans="1:8" ht="15.75" customHeight="1" x14ac:dyDescent="0.25">
      <c r="A938" s="108"/>
      <c r="B938" s="108"/>
      <c r="C938" s="111"/>
      <c r="D938" s="115"/>
      <c r="F938" s="108"/>
      <c r="G938" s="108"/>
      <c r="H938" s="108"/>
    </row>
    <row r="939" spans="1:8" ht="15.75" customHeight="1" x14ac:dyDescent="0.25">
      <c r="A939" s="108"/>
      <c r="B939" s="108"/>
      <c r="C939" s="111"/>
      <c r="D939" s="115"/>
      <c r="F939" s="108"/>
      <c r="G939" s="108"/>
      <c r="H939" s="108"/>
    </row>
    <row r="940" spans="1:8" ht="15.75" customHeight="1" x14ac:dyDescent="0.25">
      <c r="A940" s="108"/>
      <c r="B940" s="108"/>
      <c r="C940" s="111"/>
      <c r="D940" s="115"/>
      <c r="F940" s="108"/>
      <c r="G940" s="108"/>
      <c r="H940" s="108"/>
    </row>
    <row r="941" spans="1:8" ht="15.75" customHeight="1" x14ac:dyDescent="0.25">
      <c r="A941" s="108"/>
      <c r="B941" s="108"/>
      <c r="C941" s="111"/>
      <c r="D941" s="115"/>
      <c r="F941" s="108"/>
      <c r="G941" s="108"/>
      <c r="H941" s="108"/>
    </row>
    <row r="942" spans="1:8" ht="15.75" customHeight="1" x14ac:dyDescent="0.25">
      <c r="A942" s="108"/>
      <c r="B942" s="108"/>
      <c r="C942" s="111"/>
      <c r="D942" s="115"/>
      <c r="F942" s="108"/>
      <c r="G942" s="108"/>
      <c r="H942" s="108"/>
    </row>
    <row r="943" spans="1:8" ht="15.75" customHeight="1" x14ac:dyDescent="0.25">
      <c r="A943" s="108"/>
      <c r="B943" s="108"/>
      <c r="C943" s="111"/>
      <c r="D943" s="115"/>
      <c r="F943" s="108"/>
      <c r="G943" s="108"/>
      <c r="H943" s="108"/>
    </row>
    <row r="944" spans="1:8" ht="15.75" customHeight="1" x14ac:dyDescent="0.25">
      <c r="A944" s="108"/>
      <c r="B944" s="108"/>
      <c r="C944" s="111"/>
      <c r="D944" s="115"/>
      <c r="F944" s="108"/>
      <c r="G944" s="108"/>
      <c r="H944" s="108"/>
    </row>
    <row r="945" spans="1:8" ht="15.75" customHeight="1" x14ac:dyDescent="0.25">
      <c r="A945" s="108"/>
      <c r="B945" s="108"/>
      <c r="C945" s="111"/>
      <c r="D945" s="115"/>
      <c r="F945" s="108"/>
      <c r="G945" s="108"/>
      <c r="H945" s="108"/>
    </row>
    <row r="946" spans="1:8" ht="15.75" customHeight="1" x14ac:dyDescent="0.25">
      <c r="A946" s="108"/>
      <c r="B946" s="108"/>
      <c r="C946" s="111"/>
      <c r="D946" s="115"/>
      <c r="F946" s="108"/>
      <c r="G946" s="108"/>
      <c r="H946" s="108"/>
    </row>
    <row r="947" spans="1:8" ht="15.75" customHeight="1" x14ac:dyDescent="0.25">
      <c r="A947" s="108"/>
      <c r="B947" s="108"/>
      <c r="C947" s="111"/>
      <c r="D947" s="115"/>
      <c r="F947" s="108"/>
      <c r="G947" s="108"/>
      <c r="H947" s="108"/>
    </row>
    <row r="948" spans="1:8" ht="15.75" customHeight="1" x14ac:dyDescent="0.25">
      <c r="A948" s="108"/>
      <c r="B948" s="108"/>
      <c r="C948" s="111"/>
      <c r="D948" s="115"/>
      <c r="F948" s="108"/>
      <c r="G948" s="108"/>
      <c r="H948" s="108"/>
    </row>
    <row r="949" spans="1:8" ht="15.75" customHeight="1" x14ac:dyDescent="0.25">
      <c r="A949" s="108"/>
      <c r="B949" s="108"/>
      <c r="C949" s="111"/>
      <c r="D949" s="115"/>
      <c r="F949" s="108"/>
      <c r="G949" s="108"/>
      <c r="H949" s="108"/>
    </row>
    <row r="950" spans="1:8" ht="15.75" customHeight="1" x14ac:dyDescent="0.25">
      <c r="A950" s="108"/>
      <c r="B950" s="108"/>
      <c r="C950" s="111"/>
      <c r="D950" s="115"/>
      <c r="F950" s="108"/>
      <c r="G950" s="108"/>
      <c r="H950" s="108"/>
    </row>
    <row r="951" spans="1:8" ht="15.75" customHeight="1" x14ac:dyDescent="0.25">
      <c r="A951" s="108"/>
      <c r="B951" s="108"/>
      <c r="C951" s="111"/>
      <c r="D951" s="115"/>
      <c r="F951" s="108"/>
      <c r="G951" s="108"/>
      <c r="H951" s="108"/>
    </row>
    <row r="952" spans="1:8" ht="15.75" customHeight="1" x14ac:dyDescent="0.25">
      <c r="A952" s="108"/>
      <c r="B952" s="108"/>
      <c r="C952" s="111"/>
      <c r="D952" s="115"/>
      <c r="F952" s="108"/>
      <c r="G952" s="108"/>
      <c r="H952" s="108"/>
    </row>
    <row r="953" spans="1:8" ht="15.75" customHeight="1" x14ac:dyDescent="0.25">
      <c r="A953" s="108"/>
      <c r="B953" s="108"/>
      <c r="C953" s="111"/>
      <c r="D953" s="115"/>
      <c r="F953" s="108"/>
      <c r="G953" s="108"/>
      <c r="H953" s="108"/>
    </row>
    <row r="954" spans="1:8" ht="15.75" customHeight="1" x14ac:dyDescent="0.25">
      <c r="A954" s="108"/>
      <c r="B954" s="108"/>
      <c r="C954" s="111"/>
      <c r="D954" s="115"/>
      <c r="F954" s="108"/>
      <c r="G954" s="108"/>
      <c r="H954" s="108"/>
    </row>
    <row r="955" spans="1:8" ht="15.75" customHeight="1" x14ac:dyDescent="0.25">
      <c r="A955" s="108"/>
      <c r="B955" s="108"/>
      <c r="C955" s="111"/>
      <c r="D955" s="115"/>
      <c r="F955" s="108"/>
      <c r="G955" s="108"/>
      <c r="H955" s="108"/>
    </row>
    <row r="956" spans="1:8" ht="15.75" customHeight="1" x14ac:dyDescent="0.25">
      <c r="A956" s="108"/>
      <c r="B956" s="108"/>
      <c r="C956" s="111"/>
      <c r="D956" s="115"/>
      <c r="F956" s="108"/>
      <c r="G956" s="108"/>
      <c r="H956" s="108"/>
    </row>
    <row r="957" spans="1:8" ht="15.75" customHeight="1" x14ac:dyDescent="0.25">
      <c r="A957" s="108"/>
      <c r="B957" s="108"/>
      <c r="C957" s="111"/>
      <c r="D957" s="115"/>
      <c r="F957" s="108"/>
      <c r="G957" s="108"/>
      <c r="H957" s="108"/>
    </row>
    <row r="958" spans="1:8" ht="15.75" customHeight="1" x14ac:dyDescent="0.25">
      <c r="A958" s="108"/>
      <c r="B958" s="108"/>
      <c r="C958" s="111"/>
      <c r="D958" s="115"/>
      <c r="F958" s="108"/>
      <c r="G958" s="108"/>
      <c r="H958" s="108"/>
    </row>
    <row r="959" spans="1:8" ht="15.75" customHeight="1" x14ac:dyDescent="0.25">
      <c r="A959" s="108"/>
      <c r="B959" s="108"/>
      <c r="C959" s="111"/>
      <c r="D959" s="115"/>
      <c r="F959" s="108"/>
      <c r="G959" s="108"/>
      <c r="H959" s="108"/>
    </row>
    <row r="960" spans="1:8" ht="15.75" customHeight="1" x14ac:dyDescent="0.25">
      <c r="A960" s="108"/>
      <c r="B960" s="108"/>
      <c r="C960" s="111"/>
      <c r="D960" s="115"/>
      <c r="F960" s="108"/>
      <c r="G960" s="108"/>
      <c r="H960" s="108"/>
    </row>
    <row r="961" spans="1:8" ht="15.75" customHeight="1" x14ac:dyDescent="0.25">
      <c r="A961" s="108"/>
      <c r="B961" s="108"/>
      <c r="C961" s="111"/>
      <c r="D961" s="115"/>
      <c r="F961" s="108"/>
      <c r="G961" s="108"/>
      <c r="H961" s="108"/>
    </row>
    <row r="962" spans="1:8" ht="15.75" customHeight="1" x14ac:dyDescent="0.25">
      <c r="A962" s="108"/>
      <c r="B962" s="108"/>
      <c r="C962" s="111"/>
      <c r="D962" s="115"/>
      <c r="F962" s="108"/>
      <c r="G962" s="108"/>
      <c r="H962" s="108"/>
    </row>
    <row r="963" spans="1:8" ht="15.75" customHeight="1" x14ac:dyDescent="0.25">
      <c r="A963" s="108"/>
      <c r="B963" s="108"/>
      <c r="C963" s="111"/>
      <c r="D963" s="115"/>
      <c r="F963" s="108"/>
      <c r="G963" s="108"/>
      <c r="H963" s="108"/>
    </row>
    <row r="964" spans="1:8" ht="15.75" customHeight="1" x14ac:dyDescent="0.25">
      <c r="A964" s="108"/>
      <c r="B964" s="108"/>
      <c r="C964" s="111"/>
      <c r="D964" s="115"/>
      <c r="F964" s="108"/>
      <c r="G964" s="108"/>
      <c r="H964" s="108"/>
    </row>
    <row r="965" spans="1:8" ht="15.75" customHeight="1" x14ac:dyDescent="0.25">
      <c r="A965" s="108"/>
      <c r="B965" s="108"/>
      <c r="C965" s="111"/>
      <c r="D965" s="115"/>
      <c r="F965" s="108"/>
      <c r="G965" s="108"/>
      <c r="H965" s="108"/>
    </row>
    <row r="966" spans="1:8" ht="15.75" customHeight="1" x14ac:dyDescent="0.25">
      <c r="A966" s="108"/>
      <c r="B966" s="108"/>
      <c r="C966" s="111"/>
      <c r="D966" s="115"/>
      <c r="F966" s="108"/>
      <c r="G966" s="108"/>
      <c r="H966" s="108"/>
    </row>
    <row r="967" spans="1:8" ht="15.75" customHeight="1" x14ac:dyDescent="0.25">
      <c r="A967" s="108"/>
      <c r="B967" s="108"/>
      <c r="C967" s="111"/>
      <c r="D967" s="115"/>
      <c r="F967" s="108"/>
      <c r="G967" s="108"/>
      <c r="H967" s="108"/>
    </row>
    <row r="968" spans="1:8" ht="15.75" customHeight="1" x14ac:dyDescent="0.25">
      <c r="A968" s="108"/>
      <c r="B968" s="108"/>
      <c r="C968" s="111"/>
      <c r="D968" s="115"/>
      <c r="F968" s="108"/>
      <c r="G968" s="108"/>
      <c r="H968" s="108"/>
    </row>
    <row r="969" spans="1:8" ht="15.75" customHeight="1" x14ac:dyDescent="0.25">
      <c r="A969" s="108"/>
      <c r="B969" s="108"/>
      <c r="C969" s="111"/>
      <c r="D969" s="115"/>
      <c r="F969" s="108"/>
      <c r="G969" s="108"/>
      <c r="H969" s="108"/>
    </row>
    <row r="970" spans="1:8" ht="15.75" customHeight="1" x14ac:dyDescent="0.25">
      <c r="A970" s="108"/>
      <c r="B970" s="108"/>
      <c r="C970" s="111"/>
      <c r="D970" s="115"/>
      <c r="F970" s="108"/>
      <c r="G970" s="108"/>
      <c r="H970" s="108"/>
    </row>
    <row r="971" spans="1:8" ht="15.75" customHeight="1" x14ac:dyDescent="0.25">
      <c r="A971" s="108"/>
      <c r="B971" s="108"/>
      <c r="C971" s="111"/>
      <c r="D971" s="115"/>
      <c r="F971" s="108"/>
      <c r="G971" s="108"/>
      <c r="H971" s="108"/>
    </row>
    <row r="972" spans="1:8" ht="15.75" customHeight="1" x14ac:dyDescent="0.25">
      <c r="A972" s="108"/>
      <c r="B972" s="108"/>
      <c r="C972" s="111"/>
      <c r="D972" s="115"/>
      <c r="F972" s="108"/>
      <c r="G972" s="108"/>
      <c r="H972" s="108"/>
    </row>
    <row r="973" spans="1:8" ht="15.75" customHeight="1" x14ac:dyDescent="0.25">
      <c r="A973" s="108"/>
      <c r="B973" s="108"/>
      <c r="C973" s="111"/>
      <c r="D973" s="115"/>
      <c r="F973" s="108"/>
      <c r="G973" s="108"/>
      <c r="H973" s="108"/>
    </row>
    <row r="974" spans="1:8" ht="15.75" customHeight="1" x14ac:dyDescent="0.25">
      <c r="A974" s="108"/>
      <c r="B974" s="108"/>
      <c r="C974" s="111"/>
      <c r="D974" s="115"/>
      <c r="F974" s="108"/>
      <c r="G974" s="108"/>
      <c r="H974" s="108"/>
    </row>
    <row r="975" spans="1:8" ht="15.75" customHeight="1" x14ac:dyDescent="0.25">
      <c r="A975" s="108"/>
      <c r="B975" s="108"/>
      <c r="C975" s="111"/>
      <c r="D975" s="115"/>
      <c r="F975" s="108"/>
      <c r="G975" s="108"/>
      <c r="H975" s="108"/>
    </row>
    <row r="976" spans="1:8" ht="15.75" customHeight="1" x14ac:dyDescent="0.25">
      <c r="A976" s="108"/>
      <c r="B976" s="108"/>
      <c r="C976" s="111"/>
      <c r="D976" s="115"/>
      <c r="F976" s="108"/>
      <c r="G976" s="108"/>
      <c r="H976" s="108"/>
    </row>
    <row r="977" spans="1:8" ht="15.75" customHeight="1" x14ac:dyDescent="0.25">
      <c r="A977" s="108"/>
      <c r="B977" s="108"/>
      <c r="C977" s="111"/>
      <c r="D977" s="115"/>
      <c r="F977" s="108"/>
      <c r="G977" s="108"/>
      <c r="H977" s="108"/>
    </row>
    <row r="978" spans="1:8" ht="15.75" customHeight="1" x14ac:dyDescent="0.25">
      <c r="A978" s="108"/>
      <c r="B978" s="108"/>
      <c r="C978" s="111"/>
      <c r="D978" s="115"/>
      <c r="F978" s="108"/>
      <c r="G978" s="108"/>
      <c r="H978" s="108"/>
    </row>
    <row r="979" spans="1:8" ht="15.75" customHeight="1" x14ac:dyDescent="0.25">
      <c r="A979" s="108"/>
      <c r="B979" s="108"/>
      <c r="C979" s="111"/>
      <c r="D979" s="115"/>
      <c r="F979" s="108"/>
      <c r="G979" s="108"/>
      <c r="H979" s="108"/>
    </row>
    <row r="980" spans="1:8" ht="15.75" customHeight="1" x14ac:dyDescent="0.25">
      <c r="A980" s="108"/>
      <c r="B980" s="108"/>
      <c r="C980" s="111"/>
      <c r="D980" s="115"/>
      <c r="F980" s="108"/>
      <c r="G980" s="108"/>
      <c r="H980" s="108"/>
    </row>
    <row r="981" spans="1:8" ht="15.75" customHeight="1" x14ac:dyDescent="0.25">
      <c r="A981" s="108"/>
      <c r="B981" s="108"/>
      <c r="C981" s="111"/>
      <c r="D981" s="115"/>
      <c r="F981" s="108"/>
      <c r="G981" s="108"/>
      <c r="H981" s="108"/>
    </row>
    <row r="982" spans="1:8" ht="15.75" customHeight="1" x14ac:dyDescent="0.25">
      <c r="A982" s="108"/>
      <c r="B982" s="108"/>
      <c r="C982" s="111"/>
      <c r="D982" s="115"/>
      <c r="F982" s="108"/>
      <c r="G982" s="108"/>
      <c r="H982" s="108"/>
    </row>
    <row r="983" spans="1:8" ht="15.75" customHeight="1" x14ac:dyDescent="0.25">
      <c r="A983" s="108"/>
      <c r="B983" s="108"/>
      <c r="C983" s="111"/>
      <c r="D983" s="115"/>
      <c r="F983" s="108"/>
      <c r="G983" s="108"/>
      <c r="H983" s="108"/>
    </row>
    <row r="984" spans="1:8" ht="15.75" customHeight="1" x14ac:dyDescent="0.25">
      <c r="A984" s="108"/>
      <c r="B984" s="108"/>
      <c r="C984" s="111"/>
      <c r="D984" s="115"/>
      <c r="F984" s="108"/>
      <c r="G984" s="108"/>
      <c r="H984" s="108"/>
    </row>
    <row r="985" spans="1:8" ht="15.75" customHeight="1" x14ac:dyDescent="0.25">
      <c r="A985" s="108"/>
      <c r="B985" s="108"/>
      <c r="C985" s="111"/>
      <c r="D985" s="115"/>
      <c r="F985" s="108"/>
      <c r="G985" s="108"/>
      <c r="H985" s="108"/>
    </row>
    <row r="986" spans="1:8" ht="15.75" customHeight="1" x14ac:dyDescent="0.25">
      <c r="A986" s="108"/>
      <c r="B986" s="108"/>
      <c r="C986" s="111"/>
      <c r="D986" s="115"/>
      <c r="F986" s="108"/>
      <c r="G986" s="108"/>
      <c r="H986" s="108"/>
    </row>
    <row r="987" spans="1:8" ht="15.75" customHeight="1" x14ac:dyDescent="0.25">
      <c r="A987" s="108"/>
      <c r="B987" s="108"/>
      <c r="C987" s="111"/>
      <c r="D987" s="115"/>
      <c r="F987" s="108"/>
      <c r="G987" s="108"/>
      <c r="H987" s="108"/>
    </row>
    <row r="988" spans="1:8" ht="15.75" customHeight="1" x14ac:dyDescent="0.25">
      <c r="A988" s="108"/>
      <c r="B988" s="108"/>
      <c r="C988" s="111"/>
      <c r="D988" s="115"/>
      <c r="F988" s="108"/>
      <c r="G988" s="108"/>
      <c r="H988" s="108"/>
    </row>
    <row r="989" spans="1:8" ht="15.75" customHeight="1" x14ac:dyDescent="0.25">
      <c r="A989" s="108"/>
      <c r="B989" s="108"/>
      <c r="C989" s="111"/>
      <c r="D989" s="115"/>
      <c r="F989" s="108"/>
      <c r="G989" s="108"/>
      <c r="H989" s="108"/>
    </row>
    <row r="990" spans="1:8" ht="15.75" customHeight="1" x14ac:dyDescent="0.25">
      <c r="A990" s="108"/>
      <c r="B990" s="108"/>
      <c r="C990" s="111"/>
      <c r="D990" s="115"/>
      <c r="F990" s="108"/>
      <c r="G990" s="108"/>
      <c r="H990" s="108"/>
    </row>
    <row r="991" spans="1:8" ht="15.75" customHeight="1" x14ac:dyDescent="0.25">
      <c r="A991" s="108"/>
      <c r="B991" s="108"/>
      <c r="C991" s="111"/>
      <c r="D991" s="115"/>
      <c r="F991" s="108"/>
      <c r="G991" s="108"/>
      <c r="H991" s="108"/>
    </row>
    <row r="992" spans="1:8" ht="15.75" customHeight="1" x14ac:dyDescent="0.25">
      <c r="A992" s="108"/>
      <c r="B992" s="108"/>
      <c r="C992" s="111"/>
      <c r="D992" s="115"/>
      <c r="F992" s="108"/>
      <c r="G992" s="108"/>
      <c r="H992" s="108"/>
    </row>
    <row r="993" spans="1:8" ht="15.75" customHeight="1" x14ac:dyDescent="0.25">
      <c r="A993" s="108"/>
      <c r="B993" s="108"/>
      <c r="C993" s="111"/>
      <c r="D993" s="115"/>
      <c r="F993" s="108"/>
      <c r="G993" s="108"/>
      <c r="H993" s="108"/>
    </row>
    <row r="994" spans="1:8" ht="15.75" customHeight="1" x14ac:dyDescent="0.25">
      <c r="A994" s="108"/>
      <c r="B994" s="108"/>
      <c r="C994" s="111"/>
      <c r="D994" s="115"/>
      <c r="F994" s="108"/>
      <c r="G994" s="108"/>
      <c r="H994" s="108"/>
    </row>
    <row r="995" spans="1:8" ht="15.75" customHeight="1" x14ac:dyDescent="0.25">
      <c r="A995" s="108"/>
      <c r="B995" s="108"/>
      <c r="C995" s="111"/>
      <c r="D995" s="115"/>
      <c r="F995" s="108"/>
      <c r="G995" s="108"/>
      <c r="H995" s="108"/>
    </row>
    <row r="996" spans="1:8" ht="15.75" customHeight="1" x14ac:dyDescent="0.25">
      <c r="A996" s="108"/>
      <c r="B996" s="108"/>
      <c r="C996" s="111"/>
      <c r="D996" s="115"/>
      <c r="F996" s="108"/>
      <c r="G996" s="108"/>
      <c r="H996" s="108"/>
    </row>
    <row r="997" spans="1:8" ht="15.75" customHeight="1" x14ac:dyDescent="0.25">
      <c r="A997" s="108"/>
      <c r="B997" s="108"/>
      <c r="C997" s="111"/>
      <c r="D997" s="115"/>
      <c r="F997" s="108"/>
      <c r="G997" s="108"/>
      <c r="H997" s="108"/>
    </row>
    <row r="998" spans="1:8" ht="15.75" customHeight="1" x14ac:dyDescent="0.25">
      <c r="A998" s="108"/>
      <c r="B998" s="108"/>
      <c r="C998" s="111"/>
      <c r="D998" s="115"/>
      <c r="F998" s="108"/>
      <c r="G998" s="108"/>
      <c r="H998" s="108"/>
    </row>
    <row r="999" spans="1:8" ht="15.75" customHeight="1" x14ac:dyDescent="0.25">
      <c r="A999" s="108"/>
      <c r="B999" s="108"/>
      <c r="C999" s="111"/>
      <c r="D999" s="115"/>
      <c r="F999" s="108"/>
      <c r="G999" s="108"/>
      <c r="H999" s="108"/>
    </row>
    <row r="1000" spans="1:8" ht="15.75" customHeight="1" x14ac:dyDescent="0.25">
      <c r="A1000" s="108"/>
      <c r="B1000" s="108"/>
      <c r="C1000" s="111"/>
      <c r="D1000" s="115"/>
      <c r="F1000" s="108"/>
      <c r="G1000" s="108"/>
      <c r="H1000" s="108"/>
    </row>
    <row r="1001" spans="1:8" ht="15.75" customHeight="1" x14ac:dyDescent="0.25">
      <c r="A1001" s="108"/>
      <c r="B1001" s="108"/>
      <c r="C1001" s="111"/>
      <c r="D1001" s="115"/>
      <c r="F1001" s="108"/>
      <c r="G1001" s="108"/>
      <c r="H1001" s="108"/>
    </row>
    <row r="1002" spans="1:8" ht="15.75" customHeight="1" x14ac:dyDescent="0.25">
      <c r="A1002" s="108"/>
      <c r="B1002" s="108"/>
      <c r="C1002" s="111"/>
      <c r="D1002" s="115"/>
      <c r="F1002" s="108"/>
      <c r="G1002" s="108"/>
      <c r="H1002" s="108"/>
    </row>
    <row r="1003" spans="1:8" ht="15.75" customHeight="1" x14ac:dyDescent="0.25">
      <c r="A1003" s="108"/>
      <c r="B1003" s="108"/>
      <c r="C1003" s="111"/>
      <c r="D1003" s="115"/>
      <c r="F1003" s="108"/>
      <c r="G1003" s="108"/>
      <c r="H1003" s="108"/>
    </row>
    <row r="1004" spans="1:8" ht="15.75" customHeight="1" x14ac:dyDescent="0.25">
      <c r="A1004" s="108"/>
      <c r="B1004" s="108"/>
      <c r="C1004" s="111"/>
      <c r="D1004" s="115"/>
      <c r="F1004" s="108"/>
      <c r="G1004" s="108"/>
      <c r="H1004" s="108"/>
    </row>
    <row r="1005" spans="1:8" ht="15.75" customHeight="1" x14ac:dyDescent="0.25">
      <c r="A1005" s="108"/>
      <c r="B1005" s="108"/>
      <c r="C1005" s="111"/>
      <c r="D1005" s="115"/>
      <c r="F1005" s="108"/>
      <c r="G1005" s="108"/>
      <c r="H1005" s="108"/>
    </row>
    <row r="1006" spans="1:8" ht="15.75" customHeight="1" x14ac:dyDescent="0.25">
      <c r="A1006" s="108"/>
      <c r="B1006" s="108"/>
      <c r="C1006" s="111"/>
      <c r="D1006" s="115"/>
      <c r="F1006" s="108"/>
      <c r="G1006" s="108"/>
      <c r="H1006" s="108"/>
    </row>
    <row r="1007" spans="1:8" ht="15.75" customHeight="1" x14ac:dyDescent="0.25">
      <c r="A1007" s="108"/>
      <c r="B1007" s="108"/>
      <c r="C1007" s="111"/>
      <c r="D1007" s="115"/>
      <c r="F1007" s="108"/>
      <c r="G1007" s="108"/>
      <c r="H1007" s="108"/>
    </row>
    <row r="1008" spans="1:8" ht="15.75" customHeight="1" x14ac:dyDescent="0.25">
      <c r="A1008" s="108"/>
      <c r="B1008" s="108"/>
      <c r="C1008" s="111"/>
      <c r="D1008" s="115"/>
      <c r="F1008" s="108"/>
      <c r="G1008" s="108"/>
      <c r="H1008" s="108"/>
    </row>
    <row r="1009" spans="1:8" ht="15.75" customHeight="1" x14ac:dyDescent="0.25">
      <c r="A1009" s="108"/>
      <c r="B1009" s="108"/>
      <c r="C1009" s="111"/>
      <c r="D1009" s="115"/>
      <c r="F1009" s="108"/>
      <c r="G1009" s="108"/>
      <c r="H1009" s="108"/>
    </row>
    <row r="1010" spans="1:8" ht="15.75" customHeight="1" x14ac:dyDescent="0.25">
      <c r="A1010" s="108"/>
      <c r="B1010" s="108"/>
      <c r="C1010" s="111"/>
      <c r="D1010" s="115"/>
      <c r="F1010" s="108"/>
      <c r="G1010" s="108"/>
      <c r="H1010" s="108"/>
    </row>
    <row r="1011" spans="1:8" ht="15.75" customHeight="1" x14ac:dyDescent="0.25">
      <c r="A1011" s="108"/>
      <c r="B1011" s="108"/>
      <c r="C1011" s="111"/>
      <c r="D1011" s="115"/>
      <c r="F1011" s="108"/>
      <c r="G1011" s="108"/>
      <c r="H1011" s="108"/>
    </row>
    <row r="1012" spans="1:8" ht="15.75" customHeight="1" x14ac:dyDescent="0.25">
      <c r="A1012" s="108"/>
      <c r="B1012" s="108"/>
      <c r="C1012" s="111"/>
      <c r="D1012" s="115"/>
      <c r="F1012" s="108"/>
      <c r="G1012" s="108"/>
      <c r="H1012" s="108"/>
    </row>
    <row r="1013" spans="1:8" ht="15.75" customHeight="1" x14ac:dyDescent="0.25">
      <c r="A1013" s="108"/>
      <c r="B1013" s="108"/>
      <c r="C1013" s="111"/>
      <c r="D1013" s="115"/>
      <c r="F1013" s="108"/>
      <c r="G1013" s="108"/>
      <c r="H1013" s="108"/>
    </row>
    <row r="1014" spans="1:8" ht="15.75" customHeight="1" x14ac:dyDescent="0.25">
      <c r="A1014" s="108"/>
      <c r="B1014" s="108"/>
      <c r="C1014" s="111"/>
      <c r="D1014" s="115"/>
      <c r="F1014" s="108"/>
      <c r="G1014" s="108"/>
      <c r="H1014" s="108"/>
    </row>
    <row r="1015" spans="1:8" ht="15.75" customHeight="1" x14ac:dyDescent="0.25">
      <c r="A1015" s="108"/>
      <c r="B1015" s="108"/>
      <c r="C1015" s="111"/>
      <c r="D1015" s="115"/>
      <c r="F1015" s="108"/>
      <c r="G1015" s="108"/>
      <c r="H1015" s="108"/>
    </row>
    <row r="1016" spans="1:8" ht="15.75" customHeight="1" x14ac:dyDescent="0.25">
      <c r="A1016" s="108"/>
      <c r="B1016" s="108"/>
      <c r="C1016" s="111"/>
      <c r="D1016" s="115"/>
      <c r="F1016" s="108"/>
      <c r="G1016" s="108"/>
      <c r="H1016" s="108"/>
    </row>
    <row r="1017" spans="1:8" ht="15.75" customHeight="1" x14ac:dyDescent="0.25">
      <c r="A1017" s="108"/>
      <c r="B1017" s="108"/>
      <c r="C1017" s="111"/>
      <c r="D1017" s="115"/>
      <c r="F1017" s="108"/>
      <c r="G1017" s="108"/>
      <c r="H1017" s="108"/>
    </row>
    <row r="1018" spans="1:8" ht="15.75" customHeight="1" x14ac:dyDescent="0.25">
      <c r="A1018" s="108"/>
      <c r="B1018" s="108"/>
      <c r="C1018" s="111"/>
      <c r="D1018" s="115"/>
      <c r="F1018" s="108"/>
      <c r="G1018" s="108"/>
      <c r="H1018" s="108"/>
    </row>
    <row r="1019" spans="1:8" ht="15.75" customHeight="1" x14ac:dyDescent="0.25">
      <c r="A1019" s="108"/>
      <c r="B1019" s="108"/>
      <c r="C1019" s="111"/>
      <c r="D1019" s="115"/>
      <c r="F1019" s="108"/>
      <c r="G1019" s="108"/>
      <c r="H1019" s="108"/>
    </row>
    <row r="1020" spans="1:8" ht="15.75" customHeight="1" x14ac:dyDescent="0.25">
      <c r="A1020" s="108"/>
      <c r="B1020" s="108"/>
      <c r="C1020" s="111"/>
      <c r="D1020" s="115"/>
      <c r="F1020" s="108"/>
      <c r="G1020" s="108"/>
      <c r="H1020" s="108"/>
    </row>
    <row r="1021" spans="1:8" ht="15.75" customHeight="1" x14ac:dyDescent="0.25">
      <c r="A1021" s="108"/>
      <c r="B1021" s="108"/>
      <c r="C1021" s="111"/>
      <c r="D1021" s="115"/>
      <c r="F1021" s="108"/>
      <c r="G1021" s="108"/>
      <c r="H1021" s="108"/>
    </row>
    <row r="1022" spans="1:8" ht="15.75" customHeight="1" x14ac:dyDescent="0.25">
      <c r="A1022" s="108"/>
      <c r="B1022" s="108"/>
      <c r="C1022" s="111"/>
      <c r="D1022" s="115"/>
      <c r="F1022" s="108"/>
      <c r="G1022" s="108"/>
      <c r="H1022" s="108"/>
    </row>
    <row r="1023" spans="1:8" ht="15.75" customHeight="1" x14ac:dyDescent="0.25">
      <c r="A1023" s="108"/>
      <c r="B1023" s="108"/>
      <c r="C1023" s="111"/>
      <c r="D1023" s="115"/>
      <c r="F1023" s="108"/>
      <c r="G1023" s="108"/>
      <c r="H1023" s="108"/>
    </row>
    <row r="1024" spans="1:8" ht="15.75" customHeight="1" x14ac:dyDescent="0.25">
      <c r="A1024" s="108"/>
      <c r="B1024" s="108"/>
      <c r="C1024" s="111"/>
      <c r="D1024" s="115"/>
      <c r="F1024" s="108"/>
      <c r="G1024" s="108"/>
      <c r="H1024" s="108"/>
    </row>
    <row r="1025" spans="1:8" ht="15.75" customHeight="1" x14ac:dyDescent="0.25">
      <c r="A1025" s="108"/>
      <c r="B1025" s="108"/>
      <c r="C1025" s="111"/>
      <c r="D1025" s="115"/>
      <c r="F1025" s="108"/>
      <c r="G1025" s="108"/>
      <c r="H1025" s="108"/>
    </row>
    <row r="1026" spans="1:8" ht="15.75" customHeight="1" x14ac:dyDescent="0.25">
      <c r="A1026" s="108"/>
      <c r="B1026" s="108"/>
      <c r="C1026" s="111"/>
      <c r="D1026" s="115"/>
      <c r="F1026" s="108"/>
      <c r="G1026" s="108"/>
      <c r="H1026" s="108"/>
    </row>
    <row r="1027" spans="1:8" ht="15.75" customHeight="1" x14ac:dyDescent="0.25">
      <c r="A1027" s="108"/>
      <c r="B1027" s="108"/>
      <c r="C1027" s="111"/>
      <c r="D1027" s="115"/>
      <c r="F1027" s="108"/>
      <c r="G1027" s="108"/>
      <c r="H1027" s="108"/>
    </row>
    <row r="1028" spans="1:8" ht="15.75" customHeight="1" x14ac:dyDescent="0.25">
      <c r="A1028" s="108"/>
      <c r="B1028" s="108"/>
      <c r="C1028" s="111"/>
      <c r="D1028" s="115"/>
      <c r="F1028" s="108"/>
      <c r="G1028" s="108"/>
      <c r="H1028" s="108"/>
    </row>
    <row r="1029" spans="1:8" ht="15.75" customHeight="1" x14ac:dyDescent="0.25">
      <c r="A1029" s="108"/>
      <c r="B1029" s="108"/>
      <c r="C1029" s="111"/>
      <c r="D1029" s="115"/>
      <c r="F1029" s="108"/>
      <c r="G1029" s="108"/>
      <c r="H1029" s="108"/>
    </row>
    <row r="1030" spans="1:8" ht="15.75" customHeight="1" x14ac:dyDescent="0.25">
      <c r="A1030" s="108"/>
      <c r="B1030" s="108"/>
      <c r="C1030" s="111"/>
      <c r="D1030" s="115"/>
      <c r="F1030" s="108"/>
      <c r="G1030" s="108"/>
      <c r="H1030" s="108"/>
    </row>
    <row r="1031" spans="1:8" ht="15.75" customHeight="1" x14ac:dyDescent="0.25">
      <c r="A1031" s="108"/>
      <c r="B1031" s="108"/>
      <c r="C1031" s="111"/>
      <c r="D1031" s="115"/>
      <c r="F1031" s="108"/>
      <c r="G1031" s="108"/>
      <c r="H1031" s="108"/>
    </row>
    <row r="1032" spans="1:8" ht="15.75" customHeight="1" x14ac:dyDescent="0.25">
      <c r="A1032" s="108"/>
      <c r="B1032" s="108"/>
      <c r="C1032" s="111"/>
      <c r="D1032" s="115"/>
      <c r="F1032" s="108"/>
      <c r="G1032" s="108"/>
      <c r="H1032" s="108"/>
    </row>
    <row r="1033" spans="1:8" ht="15.75" customHeight="1" x14ac:dyDescent="0.25">
      <c r="A1033" s="108"/>
      <c r="B1033" s="108"/>
      <c r="C1033" s="111"/>
      <c r="D1033" s="115"/>
      <c r="F1033" s="108"/>
      <c r="G1033" s="108"/>
      <c r="H1033" s="108"/>
    </row>
    <row r="1034" spans="1:8" ht="15.75" customHeight="1" x14ac:dyDescent="0.25">
      <c r="A1034" s="108"/>
      <c r="B1034" s="108"/>
      <c r="C1034" s="111"/>
      <c r="D1034" s="115"/>
      <c r="F1034" s="108"/>
      <c r="G1034" s="108"/>
      <c r="H1034" s="108"/>
    </row>
    <row r="1035" spans="1:8" ht="15.75" customHeight="1" x14ac:dyDescent="0.25">
      <c r="A1035" s="108"/>
      <c r="B1035" s="108"/>
      <c r="C1035" s="111"/>
      <c r="D1035" s="115"/>
      <c r="F1035" s="108"/>
      <c r="G1035" s="108"/>
      <c r="H1035" s="108"/>
    </row>
    <row r="1036" spans="1:8" ht="15.75" customHeight="1" x14ac:dyDescent="0.25">
      <c r="A1036" s="108"/>
      <c r="B1036" s="108"/>
      <c r="C1036" s="111"/>
      <c r="D1036" s="115"/>
      <c r="F1036" s="108"/>
      <c r="G1036" s="108"/>
      <c r="H1036" s="108"/>
    </row>
    <row r="1037" spans="1:8" ht="15.75" customHeight="1" x14ac:dyDescent="0.25">
      <c r="A1037" s="108"/>
      <c r="B1037" s="108"/>
      <c r="C1037" s="111"/>
      <c r="D1037" s="115"/>
      <c r="F1037" s="108"/>
      <c r="G1037" s="108"/>
      <c r="H1037" s="108"/>
    </row>
    <row r="1038" spans="1:8" ht="15.75" customHeight="1" x14ac:dyDescent="0.25">
      <c r="A1038" s="108"/>
      <c r="B1038" s="108"/>
      <c r="C1038" s="111"/>
      <c r="D1038" s="115"/>
      <c r="F1038" s="108"/>
      <c r="G1038" s="108"/>
      <c r="H1038" s="108"/>
    </row>
    <row r="1039" spans="1:8" ht="15.75" customHeight="1" x14ac:dyDescent="0.25">
      <c r="A1039" s="108"/>
      <c r="B1039" s="108"/>
      <c r="C1039" s="111"/>
      <c r="D1039" s="115"/>
      <c r="F1039" s="108"/>
      <c r="G1039" s="108"/>
      <c r="H1039" s="108"/>
    </row>
    <row r="1040" spans="1:8" ht="15.75" customHeight="1" x14ac:dyDescent="0.25">
      <c r="A1040" s="108"/>
      <c r="B1040" s="108"/>
      <c r="C1040" s="111"/>
      <c r="D1040" s="115"/>
      <c r="F1040" s="108"/>
      <c r="G1040" s="108"/>
      <c r="H1040" s="108"/>
    </row>
    <row r="1041" spans="1:8" ht="15.75" customHeight="1" x14ac:dyDescent="0.25">
      <c r="A1041" s="108"/>
      <c r="B1041" s="108"/>
      <c r="C1041" s="111"/>
      <c r="D1041" s="115"/>
      <c r="F1041" s="108"/>
      <c r="G1041" s="108"/>
      <c r="H1041" s="108"/>
    </row>
    <row r="1042" spans="1:8" ht="15.75" customHeight="1" x14ac:dyDescent="0.25">
      <c r="A1042" s="108"/>
      <c r="B1042" s="108"/>
      <c r="C1042" s="111"/>
      <c r="D1042" s="115"/>
      <c r="F1042" s="108"/>
      <c r="G1042" s="108"/>
      <c r="H1042" s="108"/>
    </row>
    <row r="1043" spans="1:8" ht="15.75" customHeight="1" x14ac:dyDescent="0.25">
      <c r="A1043" s="108"/>
      <c r="B1043" s="108"/>
      <c r="C1043" s="111"/>
      <c r="D1043" s="115"/>
      <c r="F1043" s="108"/>
      <c r="G1043" s="108"/>
      <c r="H1043" s="108"/>
    </row>
    <row r="1044" spans="1:8" ht="15.75" customHeight="1" x14ac:dyDescent="0.25">
      <c r="A1044" s="108"/>
      <c r="B1044" s="108"/>
      <c r="C1044" s="111"/>
      <c r="D1044" s="115"/>
      <c r="F1044" s="108"/>
      <c r="G1044" s="108"/>
      <c r="H1044" s="108"/>
    </row>
    <row r="1045" spans="1:8" ht="15.75" customHeight="1" x14ac:dyDescent="0.25">
      <c r="A1045" s="108"/>
      <c r="B1045" s="108"/>
      <c r="C1045" s="111"/>
      <c r="D1045" s="115"/>
      <c r="F1045" s="108"/>
      <c r="G1045" s="108"/>
      <c r="H1045" s="108"/>
    </row>
    <row r="1046" spans="1:8" ht="15.75" customHeight="1" x14ac:dyDescent="0.25">
      <c r="A1046" s="108"/>
      <c r="B1046" s="108"/>
      <c r="C1046" s="111"/>
      <c r="D1046" s="115"/>
      <c r="F1046" s="108"/>
      <c r="G1046" s="108"/>
      <c r="H1046" s="108"/>
    </row>
    <row r="1047" spans="1:8" ht="15.75" customHeight="1" x14ac:dyDescent="0.25">
      <c r="A1047" s="108"/>
      <c r="B1047" s="108"/>
      <c r="C1047" s="111"/>
      <c r="D1047" s="115"/>
      <c r="F1047" s="108"/>
      <c r="G1047" s="108"/>
      <c r="H1047" s="108"/>
    </row>
    <row r="1048" spans="1:8" ht="15.75" customHeight="1" x14ac:dyDescent="0.25">
      <c r="A1048" s="108"/>
      <c r="B1048" s="108"/>
      <c r="C1048" s="111"/>
      <c r="D1048" s="115"/>
      <c r="F1048" s="108"/>
      <c r="G1048" s="108"/>
      <c r="H1048" s="108"/>
    </row>
    <row r="1049" spans="1:8" ht="15.75" customHeight="1" x14ac:dyDescent="0.25">
      <c r="A1049" s="108"/>
      <c r="B1049" s="108"/>
      <c r="C1049" s="111"/>
      <c r="D1049" s="115"/>
      <c r="F1049" s="108"/>
      <c r="G1049" s="108"/>
      <c r="H1049" s="108"/>
    </row>
    <row r="1050" spans="1:8" ht="15.75" customHeight="1" x14ac:dyDescent="0.25">
      <c r="A1050" s="108"/>
      <c r="B1050" s="108"/>
      <c r="C1050" s="111"/>
      <c r="D1050" s="115"/>
      <c r="F1050" s="108"/>
      <c r="G1050" s="108"/>
      <c r="H1050" s="108"/>
    </row>
    <row r="1051" spans="1:8" ht="15.75" customHeight="1" x14ac:dyDescent="0.25">
      <c r="A1051" s="108"/>
      <c r="B1051" s="108"/>
      <c r="C1051" s="111"/>
      <c r="D1051" s="115"/>
      <c r="F1051" s="108"/>
      <c r="G1051" s="108"/>
      <c r="H1051" s="108"/>
    </row>
    <row r="1052" spans="1:8" ht="15.75" customHeight="1" x14ac:dyDescent="0.25">
      <c r="A1052" s="108"/>
      <c r="B1052" s="108"/>
      <c r="C1052" s="111"/>
      <c r="D1052" s="115"/>
      <c r="F1052" s="108"/>
      <c r="G1052" s="108"/>
      <c r="H1052" s="108"/>
    </row>
    <row r="1053" spans="1:8" ht="15.75" customHeight="1" x14ac:dyDescent="0.25">
      <c r="A1053" s="108"/>
      <c r="B1053" s="108"/>
      <c r="C1053" s="111"/>
      <c r="D1053" s="115"/>
      <c r="F1053" s="108"/>
      <c r="G1053" s="108"/>
      <c r="H1053" s="108"/>
    </row>
    <row r="1054" spans="1:8" ht="15.75" customHeight="1" x14ac:dyDescent="0.25">
      <c r="A1054" s="108"/>
      <c r="B1054" s="108"/>
      <c r="C1054" s="111"/>
      <c r="D1054" s="115"/>
      <c r="F1054" s="108"/>
      <c r="G1054" s="108"/>
      <c r="H1054" s="108"/>
    </row>
    <row r="1055" spans="1:8" ht="15.75" customHeight="1" x14ac:dyDescent="0.25">
      <c r="A1055" s="108"/>
      <c r="B1055" s="108"/>
      <c r="C1055" s="111"/>
      <c r="D1055" s="115"/>
      <c r="F1055" s="108"/>
      <c r="G1055" s="108"/>
      <c r="H1055" s="108"/>
    </row>
    <row r="1056" spans="1:8" ht="15.75" customHeight="1" x14ac:dyDescent="0.25">
      <c r="A1056" s="108"/>
      <c r="B1056" s="108"/>
      <c r="C1056" s="111"/>
      <c r="D1056" s="115"/>
      <c r="F1056" s="108"/>
      <c r="G1056" s="108"/>
      <c r="H1056" s="108"/>
    </row>
    <row r="1057" spans="1:8" ht="15.75" customHeight="1" x14ac:dyDescent="0.25">
      <c r="A1057" s="108"/>
      <c r="B1057" s="108"/>
      <c r="C1057" s="111"/>
      <c r="D1057" s="115"/>
      <c r="F1057" s="108"/>
      <c r="G1057" s="108"/>
      <c r="H1057" s="108"/>
    </row>
    <row r="1058" spans="1:8" ht="15.75" customHeight="1" x14ac:dyDescent="0.25">
      <c r="A1058" s="108"/>
      <c r="B1058" s="108"/>
      <c r="C1058" s="111"/>
      <c r="D1058" s="115"/>
      <c r="F1058" s="108"/>
      <c r="G1058" s="108"/>
      <c r="H1058" s="108"/>
    </row>
    <row r="1059" spans="1:8" ht="15.75" customHeight="1" x14ac:dyDescent="0.25">
      <c r="A1059" s="108"/>
      <c r="B1059" s="108"/>
      <c r="C1059" s="111"/>
      <c r="D1059" s="115"/>
      <c r="F1059" s="108"/>
      <c r="G1059" s="108"/>
      <c r="H1059" s="108"/>
    </row>
    <row r="1060" spans="1:8" ht="15.75" customHeight="1" x14ac:dyDescent="0.25">
      <c r="A1060" s="108"/>
      <c r="B1060" s="108"/>
      <c r="C1060" s="111"/>
      <c r="D1060" s="115"/>
      <c r="F1060" s="108"/>
      <c r="G1060" s="108"/>
      <c r="H1060" s="108"/>
    </row>
    <row r="1061" spans="1:8" ht="15.75" customHeight="1" x14ac:dyDescent="0.25">
      <c r="A1061" s="108"/>
      <c r="B1061" s="108"/>
      <c r="C1061" s="111"/>
      <c r="D1061" s="115"/>
      <c r="F1061" s="108"/>
      <c r="G1061" s="108"/>
      <c r="H1061" s="108"/>
    </row>
    <row r="1062" spans="1:8" ht="15.75" customHeight="1" x14ac:dyDescent="0.25">
      <c r="A1062" s="108"/>
      <c r="B1062" s="108"/>
      <c r="C1062" s="111"/>
      <c r="D1062" s="115"/>
      <c r="F1062" s="108"/>
      <c r="G1062" s="108"/>
      <c r="H1062" s="108"/>
    </row>
    <row r="1063" spans="1:8" ht="15.75" customHeight="1" x14ac:dyDescent="0.25">
      <c r="A1063" s="108"/>
      <c r="B1063" s="108"/>
      <c r="C1063" s="111"/>
      <c r="D1063" s="115"/>
      <c r="F1063" s="108"/>
      <c r="G1063" s="108"/>
      <c r="H1063" s="108"/>
    </row>
    <row r="1064" spans="1:8" ht="15.75" customHeight="1" x14ac:dyDescent="0.25">
      <c r="A1064" s="108"/>
      <c r="B1064" s="108"/>
      <c r="C1064" s="111"/>
      <c r="D1064" s="115"/>
      <c r="F1064" s="108"/>
      <c r="G1064" s="108"/>
      <c r="H1064" s="108"/>
    </row>
    <row r="1065" spans="1:8" ht="15.75" customHeight="1" x14ac:dyDescent="0.25">
      <c r="A1065" s="108"/>
      <c r="B1065" s="108"/>
      <c r="C1065" s="111"/>
      <c r="D1065" s="115"/>
      <c r="F1065" s="108"/>
      <c r="G1065" s="108"/>
      <c r="H1065" s="108"/>
    </row>
    <row r="1066" spans="1:8" ht="15.75" customHeight="1" x14ac:dyDescent="0.25">
      <c r="A1066" s="108"/>
      <c r="B1066" s="108"/>
      <c r="C1066" s="111"/>
      <c r="D1066" s="115"/>
      <c r="F1066" s="108"/>
      <c r="G1066" s="108"/>
      <c r="H1066" s="108"/>
    </row>
    <row r="1067" spans="1:8" ht="15.75" customHeight="1" x14ac:dyDescent="0.25">
      <c r="A1067" s="108"/>
      <c r="B1067" s="108"/>
      <c r="C1067" s="111"/>
      <c r="D1067" s="115"/>
      <c r="F1067" s="108"/>
      <c r="G1067" s="108"/>
      <c r="H1067" s="108"/>
    </row>
    <row r="1068" spans="1:8" ht="15.75" customHeight="1" x14ac:dyDescent="0.25">
      <c r="A1068" s="108"/>
      <c r="B1068" s="108"/>
      <c r="C1068" s="111"/>
      <c r="D1068" s="115"/>
      <c r="F1068" s="108"/>
      <c r="G1068" s="108"/>
      <c r="H1068" s="108"/>
    </row>
    <row r="1069" spans="1:8" ht="15.75" customHeight="1" x14ac:dyDescent="0.25">
      <c r="A1069" s="108"/>
      <c r="B1069" s="108"/>
      <c r="C1069" s="111"/>
      <c r="D1069" s="115"/>
      <c r="F1069" s="108"/>
      <c r="G1069" s="108"/>
      <c r="H1069" s="108"/>
    </row>
    <row r="1070" spans="1:8" ht="15.75" customHeight="1" x14ac:dyDescent="0.25">
      <c r="A1070" s="108"/>
      <c r="B1070" s="108"/>
      <c r="C1070" s="111"/>
      <c r="D1070" s="115"/>
      <c r="F1070" s="108"/>
      <c r="G1070" s="108"/>
      <c r="H1070" s="108"/>
    </row>
    <row r="1071" spans="1:8" ht="15.75" customHeight="1" x14ac:dyDescent="0.25">
      <c r="A1071" s="108"/>
      <c r="B1071" s="108"/>
      <c r="C1071" s="111"/>
      <c r="D1071" s="115"/>
      <c r="F1071" s="108"/>
      <c r="G1071" s="108"/>
      <c r="H1071" s="108"/>
    </row>
    <row r="1072" spans="1:8" ht="15.75" customHeight="1" x14ac:dyDescent="0.25">
      <c r="A1072" s="108"/>
      <c r="B1072" s="108"/>
      <c r="C1072" s="111"/>
      <c r="D1072" s="115"/>
      <c r="F1072" s="108"/>
      <c r="G1072" s="108"/>
      <c r="H1072" s="108"/>
    </row>
    <row r="1073" spans="1:8" ht="15.75" customHeight="1" x14ac:dyDescent="0.25">
      <c r="A1073" s="108"/>
      <c r="B1073" s="108"/>
      <c r="C1073" s="111"/>
      <c r="D1073" s="115"/>
      <c r="F1073" s="108"/>
      <c r="G1073" s="108"/>
      <c r="H1073" s="108"/>
    </row>
    <row r="1074" spans="1:8" ht="15.75" customHeight="1" x14ac:dyDescent="0.25">
      <c r="A1074" s="108"/>
      <c r="B1074" s="108"/>
      <c r="C1074" s="111"/>
      <c r="D1074" s="115"/>
      <c r="F1074" s="108"/>
      <c r="G1074" s="108"/>
      <c r="H1074" s="108"/>
    </row>
    <row r="1075" spans="1:8" ht="15.75" customHeight="1" x14ac:dyDescent="0.25">
      <c r="A1075" s="108"/>
      <c r="B1075" s="108"/>
      <c r="C1075" s="111"/>
      <c r="D1075" s="115"/>
      <c r="F1075" s="108"/>
      <c r="G1075" s="108"/>
      <c r="H1075" s="108"/>
    </row>
    <row r="1076" spans="1:8" ht="15.75" customHeight="1" x14ac:dyDescent="0.25">
      <c r="A1076" s="108"/>
      <c r="B1076" s="108"/>
      <c r="C1076" s="111"/>
      <c r="D1076" s="115"/>
      <c r="F1076" s="108"/>
      <c r="G1076" s="108"/>
      <c r="H1076" s="108"/>
    </row>
    <row r="1077" spans="1:8" ht="15.75" customHeight="1" x14ac:dyDescent="0.25">
      <c r="A1077" s="108"/>
      <c r="B1077" s="108"/>
      <c r="C1077" s="111"/>
      <c r="D1077" s="115"/>
      <c r="F1077" s="108"/>
      <c r="G1077" s="108"/>
      <c r="H1077" s="108"/>
    </row>
    <row r="1078" spans="1:8" ht="15.75" customHeight="1" x14ac:dyDescent="0.25">
      <c r="A1078" s="108"/>
      <c r="B1078" s="108"/>
      <c r="C1078" s="111"/>
      <c r="D1078" s="115"/>
      <c r="F1078" s="108"/>
      <c r="G1078" s="108"/>
      <c r="H1078" s="108"/>
    </row>
    <row r="1079" spans="1:8" ht="15.75" customHeight="1" x14ac:dyDescent="0.25">
      <c r="A1079" s="108"/>
      <c r="B1079" s="108"/>
      <c r="C1079" s="111"/>
      <c r="D1079" s="115"/>
      <c r="F1079" s="108"/>
      <c r="G1079" s="108"/>
      <c r="H1079" s="108"/>
    </row>
    <row r="1080" spans="1:8" ht="15.75" customHeight="1" x14ac:dyDescent="0.25">
      <c r="A1080" s="108"/>
      <c r="B1080" s="108"/>
      <c r="C1080" s="111"/>
      <c r="D1080" s="115"/>
      <c r="F1080" s="108"/>
      <c r="G1080" s="108"/>
      <c r="H1080" s="108"/>
    </row>
    <row r="1081" spans="1:8" ht="15.75" customHeight="1" x14ac:dyDescent="0.25">
      <c r="A1081" s="108"/>
      <c r="B1081" s="108"/>
      <c r="C1081" s="111"/>
      <c r="D1081" s="115"/>
      <c r="F1081" s="108"/>
      <c r="G1081" s="108"/>
      <c r="H1081" s="108"/>
    </row>
    <row r="1082" spans="1:8" ht="15.75" customHeight="1" x14ac:dyDescent="0.25">
      <c r="A1082" s="108"/>
      <c r="B1082" s="108"/>
      <c r="C1082" s="111"/>
      <c r="D1082" s="115"/>
      <c r="F1082" s="108"/>
      <c r="G1082" s="108"/>
      <c r="H1082" s="108"/>
    </row>
    <row r="1083" spans="1:8" ht="15.75" customHeight="1" x14ac:dyDescent="0.25">
      <c r="A1083" s="108"/>
      <c r="B1083" s="108"/>
      <c r="C1083" s="111"/>
      <c r="D1083" s="115"/>
      <c r="F1083" s="108"/>
      <c r="G1083" s="108"/>
      <c r="H1083" s="108"/>
    </row>
    <row r="1084" spans="1:8" ht="15.75" customHeight="1" x14ac:dyDescent="0.25">
      <c r="A1084" s="108"/>
      <c r="B1084" s="108"/>
      <c r="C1084" s="111"/>
      <c r="D1084" s="115"/>
      <c r="F1084" s="108"/>
      <c r="G1084" s="108"/>
      <c r="H1084" s="108"/>
    </row>
    <row r="1085" spans="1:8" ht="15.75" customHeight="1" x14ac:dyDescent="0.25">
      <c r="A1085" s="108"/>
      <c r="B1085" s="108"/>
      <c r="C1085" s="111"/>
      <c r="D1085" s="115"/>
      <c r="F1085" s="108"/>
      <c r="G1085" s="108"/>
      <c r="H1085" s="108"/>
    </row>
    <row r="1086" spans="1:8" ht="15.75" customHeight="1" x14ac:dyDescent="0.25">
      <c r="A1086" s="108"/>
      <c r="B1086" s="108"/>
      <c r="C1086" s="111"/>
      <c r="D1086" s="115"/>
      <c r="F1086" s="108"/>
      <c r="G1086" s="108"/>
      <c r="H1086" s="108"/>
    </row>
    <row r="1087" spans="1:8" ht="15.75" customHeight="1" x14ac:dyDescent="0.25">
      <c r="A1087" s="108"/>
      <c r="B1087" s="108"/>
      <c r="C1087" s="111"/>
      <c r="D1087" s="115"/>
      <c r="F1087" s="108"/>
      <c r="G1087" s="108"/>
      <c r="H1087" s="108"/>
    </row>
    <row r="1088" spans="1:8" ht="15.75" customHeight="1" x14ac:dyDescent="0.25">
      <c r="A1088" s="108"/>
      <c r="B1088" s="108"/>
      <c r="C1088" s="111"/>
      <c r="D1088" s="115"/>
      <c r="F1088" s="108"/>
      <c r="G1088" s="108"/>
      <c r="H1088" s="108"/>
    </row>
    <row r="1089" spans="1:8" ht="15.75" customHeight="1" x14ac:dyDescent="0.25">
      <c r="A1089" s="108"/>
      <c r="B1089" s="108"/>
      <c r="C1089" s="111"/>
      <c r="D1089" s="115"/>
      <c r="F1089" s="108"/>
      <c r="G1089" s="108"/>
      <c r="H1089" s="108"/>
    </row>
    <row r="1090" spans="1:8" ht="15.75" customHeight="1" x14ac:dyDescent="0.25">
      <c r="A1090" s="108"/>
      <c r="B1090" s="108"/>
      <c r="C1090" s="111"/>
      <c r="D1090" s="115"/>
      <c r="F1090" s="108"/>
      <c r="G1090" s="108"/>
      <c r="H1090" s="108"/>
    </row>
    <row r="1091" spans="1:8" ht="15.75" customHeight="1" x14ac:dyDescent="0.25">
      <c r="A1091" s="108"/>
      <c r="B1091" s="108"/>
      <c r="C1091" s="111"/>
      <c r="D1091" s="115"/>
      <c r="F1091" s="108"/>
      <c r="G1091" s="108"/>
      <c r="H1091" s="108"/>
    </row>
    <row r="1092" spans="1:8" ht="15.75" customHeight="1" x14ac:dyDescent="0.25">
      <c r="A1092" s="108"/>
      <c r="B1092" s="108"/>
      <c r="C1092" s="111"/>
      <c r="D1092" s="115"/>
      <c r="F1092" s="108"/>
      <c r="G1092" s="108"/>
      <c r="H1092" s="108"/>
    </row>
    <row r="1093" spans="1:8" ht="15.75" customHeight="1" x14ac:dyDescent="0.25">
      <c r="A1093" s="108"/>
      <c r="B1093" s="108"/>
      <c r="C1093" s="111"/>
      <c r="D1093" s="115"/>
      <c r="F1093" s="108"/>
      <c r="G1093" s="108"/>
      <c r="H1093" s="108"/>
    </row>
    <row r="1094" spans="1:8" ht="15.75" customHeight="1" x14ac:dyDescent="0.25">
      <c r="A1094" s="108"/>
      <c r="B1094" s="108"/>
      <c r="C1094" s="111"/>
      <c r="D1094" s="115"/>
      <c r="F1094" s="108"/>
      <c r="G1094" s="108"/>
      <c r="H1094" s="108"/>
    </row>
    <row r="1095" spans="1:8" ht="15.75" customHeight="1" x14ac:dyDescent="0.25">
      <c r="A1095" s="108"/>
      <c r="B1095" s="108"/>
      <c r="C1095" s="111"/>
      <c r="D1095" s="115"/>
      <c r="F1095" s="108"/>
      <c r="G1095" s="108"/>
      <c r="H1095" s="108"/>
    </row>
    <row r="1096" spans="1:8" ht="15.75" customHeight="1" x14ac:dyDescent="0.25">
      <c r="A1096" s="108"/>
      <c r="B1096" s="108"/>
      <c r="C1096" s="111"/>
      <c r="D1096" s="115"/>
      <c r="F1096" s="108"/>
      <c r="G1096" s="108"/>
      <c r="H1096" s="108"/>
    </row>
    <row r="1097" spans="1:8" ht="15.75" customHeight="1" x14ac:dyDescent="0.25">
      <c r="A1097" s="108"/>
      <c r="B1097" s="108"/>
      <c r="C1097" s="111"/>
      <c r="D1097" s="115"/>
      <c r="F1097" s="108"/>
      <c r="G1097" s="108"/>
      <c r="H1097" s="108"/>
    </row>
    <row r="1098" spans="1:8" ht="15.75" customHeight="1" x14ac:dyDescent="0.25">
      <c r="A1098" s="108"/>
      <c r="B1098" s="108"/>
      <c r="C1098" s="111"/>
      <c r="D1098" s="115"/>
      <c r="F1098" s="108"/>
      <c r="G1098" s="108"/>
      <c r="H1098" s="108"/>
    </row>
    <row r="1099" spans="1:8" ht="15.75" customHeight="1" x14ac:dyDescent="0.25">
      <c r="A1099" s="108"/>
      <c r="B1099" s="108"/>
      <c r="C1099" s="111"/>
      <c r="D1099" s="115"/>
      <c r="F1099" s="108"/>
      <c r="G1099" s="108"/>
      <c r="H1099" s="108"/>
    </row>
    <row r="1100" spans="1:8" ht="15.75" customHeight="1" x14ac:dyDescent="0.25">
      <c r="A1100" s="108"/>
      <c r="B1100" s="108"/>
      <c r="C1100" s="111"/>
      <c r="D1100" s="115"/>
      <c r="F1100" s="108"/>
      <c r="G1100" s="108"/>
      <c r="H1100" s="108"/>
    </row>
    <row r="1101" spans="1:8" ht="15.75" customHeight="1" x14ac:dyDescent="0.25">
      <c r="A1101" s="108"/>
      <c r="B1101" s="108"/>
      <c r="C1101" s="111"/>
      <c r="D1101" s="115"/>
      <c r="F1101" s="108"/>
      <c r="G1101" s="108"/>
      <c r="H1101" s="108"/>
    </row>
    <row r="1102" spans="1:8" ht="15.75" customHeight="1" x14ac:dyDescent="0.25">
      <c r="A1102" s="108"/>
      <c r="B1102" s="108"/>
      <c r="C1102" s="111"/>
      <c r="D1102" s="115"/>
      <c r="F1102" s="108"/>
      <c r="G1102" s="108"/>
      <c r="H1102" s="108"/>
    </row>
    <row r="1103" spans="1:8" ht="15.75" customHeight="1" x14ac:dyDescent="0.25">
      <c r="A1103" s="108"/>
      <c r="B1103" s="108"/>
      <c r="C1103" s="111"/>
      <c r="D1103" s="115"/>
      <c r="F1103" s="108"/>
      <c r="G1103" s="108"/>
      <c r="H1103" s="108"/>
    </row>
    <row r="1104" spans="1:8" ht="15.75" customHeight="1" x14ac:dyDescent="0.25">
      <c r="A1104" s="108"/>
      <c r="B1104" s="108"/>
      <c r="C1104" s="111"/>
      <c r="D1104" s="115"/>
      <c r="F1104" s="108"/>
      <c r="G1104" s="108"/>
      <c r="H1104" s="108"/>
    </row>
    <row r="1105" spans="1:8" ht="15.75" customHeight="1" x14ac:dyDescent="0.25">
      <c r="A1105" s="108"/>
      <c r="B1105" s="108"/>
      <c r="C1105" s="111"/>
      <c r="D1105" s="115"/>
      <c r="F1105" s="108"/>
      <c r="G1105" s="108"/>
      <c r="H1105" s="108"/>
    </row>
    <row r="1106" spans="1:8" ht="15.75" customHeight="1" x14ac:dyDescent="0.25">
      <c r="A1106" s="108"/>
      <c r="B1106" s="108"/>
      <c r="C1106" s="111"/>
      <c r="D1106" s="115"/>
      <c r="F1106" s="108"/>
      <c r="G1106" s="108"/>
      <c r="H1106" s="108"/>
    </row>
    <row r="1107" spans="1:8" ht="15.75" customHeight="1" x14ac:dyDescent="0.25">
      <c r="A1107" s="108"/>
      <c r="B1107" s="108"/>
      <c r="C1107" s="111"/>
      <c r="D1107" s="115"/>
      <c r="F1107" s="108"/>
      <c r="G1107" s="108"/>
      <c r="H1107" s="108"/>
    </row>
    <row r="1108" spans="1:8" ht="15.75" customHeight="1" x14ac:dyDescent="0.25">
      <c r="A1108" s="108"/>
      <c r="B1108" s="108"/>
      <c r="C1108" s="111"/>
      <c r="D1108" s="115"/>
      <c r="F1108" s="108"/>
      <c r="G1108" s="108"/>
      <c r="H1108" s="108"/>
    </row>
    <row r="1109" spans="1:8" ht="15.75" customHeight="1" x14ac:dyDescent="0.25">
      <c r="A1109" s="108"/>
      <c r="B1109" s="108"/>
      <c r="C1109" s="111"/>
      <c r="D1109" s="115"/>
      <c r="F1109" s="108"/>
      <c r="G1109" s="108"/>
      <c r="H1109" s="108"/>
    </row>
    <row r="1110" spans="1:8" ht="15.75" customHeight="1" x14ac:dyDescent="0.25">
      <c r="A1110" s="108"/>
      <c r="B1110" s="108"/>
      <c r="C1110" s="111"/>
      <c r="D1110" s="115"/>
      <c r="F1110" s="108"/>
      <c r="G1110" s="108"/>
      <c r="H1110" s="108"/>
    </row>
    <row r="1111" spans="1:8" ht="15.75" customHeight="1" x14ac:dyDescent="0.25">
      <c r="A1111" s="108"/>
      <c r="B1111" s="108"/>
      <c r="C1111" s="111"/>
      <c r="D1111" s="115"/>
      <c r="F1111" s="108"/>
      <c r="G1111" s="108"/>
      <c r="H1111" s="108"/>
    </row>
    <row r="1112" spans="1:8" ht="15.75" customHeight="1" x14ac:dyDescent="0.25">
      <c r="A1112" s="108"/>
      <c r="B1112" s="108"/>
      <c r="C1112" s="111"/>
      <c r="D1112" s="115"/>
      <c r="F1112" s="108"/>
      <c r="G1112" s="108"/>
      <c r="H1112" s="108"/>
    </row>
    <row r="1113" spans="1:8" ht="15.75" customHeight="1" x14ac:dyDescent="0.25">
      <c r="A1113" s="108"/>
      <c r="B1113" s="108"/>
      <c r="C1113" s="111"/>
      <c r="D1113" s="115"/>
      <c r="F1113" s="108"/>
      <c r="G1113" s="108"/>
      <c r="H1113" s="108"/>
    </row>
    <row r="1114" spans="1:8" ht="15.75" customHeight="1" x14ac:dyDescent="0.25">
      <c r="A1114" s="108"/>
      <c r="B1114" s="108"/>
      <c r="C1114" s="111"/>
      <c r="D1114" s="115"/>
      <c r="F1114" s="108"/>
      <c r="G1114" s="108"/>
      <c r="H1114" s="108"/>
    </row>
    <row r="1115" spans="1:8" ht="15.75" customHeight="1" x14ac:dyDescent="0.25">
      <c r="A1115" s="108"/>
      <c r="B1115" s="108"/>
      <c r="C1115" s="111"/>
      <c r="D1115" s="115"/>
      <c r="F1115" s="108"/>
      <c r="G1115" s="108"/>
      <c r="H1115" s="108"/>
    </row>
    <row r="1116" spans="1:8" ht="15.75" customHeight="1" x14ac:dyDescent="0.25">
      <c r="A1116" s="108"/>
      <c r="B1116" s="108"/>
      <c r="C1116" s="111"/>
      <c r="D1116" s="115"/>
      <c r="F1116" s="108"/>
      <c r="G1116" s="108"/>
      <c r="H1116" s="108"/>
    </row>
    <row r="1117" spans="1:8" ht="15.75" customHeight="1" x14ac:dyDescent="0.25">
      <c r="A1117" s="108"/>
      <c r="B1117" s="108"/>
      <c r="C1117" s="111"/>
      <c r="D1117" s="115"/>
      <c r="F1117" s="108"/>
      <c r="G1117" s="108"/>
      <c r="H1117" s="108"/>
    </row>
    <row r="1118" spans="1:8" ht="15.75" customHeight="1" x14ac:dyDescent="0.25">
      <c r="A1118" s="108"/>
      <c r="B1118" s="108"/>
      <c r="C1118" s="111"/>
      <c r="D1118" s="115"/>
      <c r="F1118" s="108"/>
      <c r="G1118" s="108"/>
      <c r="H1118" s="108"/>
    </row>
    <row r="1119" spans="1:8" ht="15.75" customHeight="1" x14ac:dyDescent="0.25">
      <c r="A1119" s="108"/>
      <c r="B1119" s="108"/>
      <c r="C1119" s="111"/>
      <c r="D1119" s="115"/>
      <c r="F1119" s="108"/>
      <c r="G1119" s="108"/>
      <c r="H1119" s="108"/>
    </row>
    <row r="1120" spans="1:8" ht="15.75" customHeight="1" x14ac:dyDescent="0.25">
      <c r="A1120" s="108"/>
      <c r="B1120" s="108"/>
      <c r="C1120" s="111"/>
      <c r="D1120" s="115"/>
      <c r="F1120" s="108"/>
      <c r="G1120" s="108"/>
      <c r="H1120" s="108"/>
    </row>
    <row r="1121" spans="1:8" ht="15.75" customHeight="1" x14ac:dyDescent="0.25">
      <c r="A1121" s="108"/>
      <c r="B1121" s="108"/>
      <c r="C1121" s="111"/>
      <c r="D1121" s="115"/>
      <c r="F1121" s="108"/>
      <c r="G1121" s="108"/>
      <c r="H1121" s="108"/>
    </row>
    <row r="1122" spans="1:8" ht="15.75" customHeight="1" x14ac:dyDescent="0.25">
      <c r="A1122" s="108"/>
      <c r="B1122" s="108"/>
      <c r="C1122" s="111"/>
      <c r="D1122" s="115"/>
      <c r="F1122" s="108"/>
      <c r="G1122" s="108"/>
      <c r="H1122" s="108"/>
    </row>
    <row r="1123" spans="1:8" ht="15.75" customHeight="1" x14ac:dyDescent="0.25">
      <c r="A1123" s="108"/>
      <c r="B1123" s="108"/>
      <c r="C1123" s="111"/>
      <c r="D1123" s="115"/>
      <c r="F1123" s="108"/>
      <c r="G1123" s="108"/>
      <c r="H1123" s="108"/>
    </row>
    <row r="1124" spans="1:8" ht="15.75" customHeight="1" x14ac:dyDescent="0.25">
      <c r="A1124" s="108"/>
      <c r="B1124" s="108"/>
      <c r="C1124" s="111"/>
      <c r="D1124" s="115"/>
      <c r="F1124" s="108"/>
      <c r="G1124" s="108"/>
      <c r="H1124" s="108"/>
    </row>
    <row r="1125" spans="1:8" ht="15.75" customHeight="1" x14ac:dyDescent="0.25">
      <c r="A1125" s="108"/>
      <c r="B1125" s="108"/>
      <c r="C1125" s="111"/>
      <c r="D1125" s="115"/>
      <c r="F1125" s="108"/>
      <c r="G1125" s="108"/>
      <c r="H1125" s="108"/>
    </row>
    <row r="1126" spans="1:8" ht="15.75" customHeight="1" x14ac:dyDescent="0.25">
      <c r="A1126" s="108"/>
      <c r="B1126" s="108"/>
      <c r="C1126" s="111"/>
      <c r="D1126" s="115"/>
      <c r="F1126" s="108"/>
      <c r="G1126" s="108"/>
      <c r="H1126" s="108"/>
    </row>
    <row r="1127" spans="1:8" ht="15.75" customHeight="1" x14ac:dyDescent="0.25">
      <c r="A1127" s="108"/>
      <c r="B1127" s="108"/>
      <c r="C1127" s="111"/>
      <c r="D1127" s="115"/>
      <c r="F1127" s="108"/>
      <c r="G1127" s="108"/>
      <c r="H1127" s="108"/>
    </row>
    <row r="1128" spans="1:8" ht="15.75" customHeight="1" x14ac:dyDescent="0.25">
      <c r="A1128" s="108"/>
      <c r="B1128" s="108"/>
      <c r="C1128" s="111"/>
      <c r="D1128" s="115"/>
      <c r="F1128" s="108"/>
      <c r="G1128" s="108"/>
      <c r="H1128" s="108"/>
    </row>
    <row r="1129" spans="1:8" ht="15.75" customHeight="1" x14ac:dyDescent="0.25">
      <c r="A1129" s="108"/>
      <c r="B1129" s="108"/>
      <c r="C1129" s="111"/>
      <c r="D1129" s="115"/>
      <c r="F1129" s="108"/>
      <c r="G1129" s="108"/>
      <c r="H1129" s="108"/>
    </row>
    <row r="1130" spans="1:8" ht="15.75" customHeight="1" x14ac:dyDescent="0.25">
      <c r="A1130" s="108"/>
      <c r="B1130" s="108"/>
      <c r="C1130" s="111"/>
      <c r="D1130" s="115"/>
      <c r="F1130" s="108"/>
      <c r="G1130" s="108"/>
      <c r="H1130" s="108"/>
    </row>
    <row r="1131" spans="1:8" ht="15.75" customHeight="1" x14ac:dyDescent="0.25">
      <c r="A1131" s="108"/>
      <c r="B1131" s="108"/>
      <c r="C1131" s="111"/>
      <c r="D1131" s="115"/>
      <c r="F1131" s="108"/>
      <c r="G1131" s="108"/>
      <c r="H1131" s="108"/>
    </row>
    <row r="1132" spans="1:8" ht="15.75" customHeight="1" x14ac:dyDescent="0.25">
      <c r="A1132" s="108"/>
      <c r="B1132" s="108"/>
      <c r="C1132" s="111"/>
      <c r="D1132" s="115"/>
      <c r="F1132" s="108"/>
      <c r="G1132" s="108"/>
      <c r="H1132" s="108"/>
    </row>
    <row r="1133" spans="1:8" ht="15.75" customHeight="1" x14ac:dyDescent="0.25">
      <c r="A1133" s="108"/>
      <c r="B1133" s="108"/>
      <c r="C1133" s="111"/>
      <c r="D1133" s="115"/>
      <c r="F1133" s="108"/>
      <c r="G1133" s="108"/>
      <c r="H1133" s="108"/>
    </row>
    <row r="1134" spans="1:8" ht="15.75" customHeight="1" x14ac:dyDescent="0.25">
      <c r="A1134" s="108"/>
      <c r="B1134" s="108"/>
      <c r="C1134" s="111"/>
      <c r="D1134" s="115"/>
      <c r="F1134" s="108"/>
      <c r="G1134" s="108"/>
      <c r="H1134" s="108"/>
    </row>
    <row r="1135" spans="1:8" ht="15.75" customHeight="1" x14ac:dyDescent="0.25">
      <c r="A1135" s="108"/>
      <c r="B1135" s="108"/>
      <c r="C1135" s="111"/>
      <c r="D1135" s="115"/>
      <c r="F1135" s="108"/>
      <c r="G1135" s="108"/>
      <c r="H1135" s="108"/>
    </row>
    <row r="1136" spans="1:8" ht="15.75" customHeight="1" x14ac:dyDescent="0.25">
      <c r="A1136" s="108"/>
      <c r="B1136" s="108"/>
      <c r="C1136" s="111"/>
      <c r="D1136" s="115"/>
      <c r="F1136" s="108"/>
      <c r="G1136" s="108"/>
      <c r="H1136" s="108"/>
    </row>
    <row r="1137" spans="1:8" ht="15.75" customHeight="1" x14ac:dyDescent="0.25">
      <c r="A1137" s="108"/>
      <c r="B1137" s="108"/>
      <c r="C1137" s="111"/>
      <c r="D1137" s="115"/>
      <c r="F1137" s="108"/>
      <c r="G1137" s="108"/>
      <c r="H1137" s="108"/>
    </row>
    <row r="1138" spans="1:8" ht="15.75" customHeight="1" x14ac:dyDescent="0.25">
      <c r="A1138" s="108"/>
      <c r="B1138" s="108"/>
      <c r="C1138" s="111"/>
      <c r="D1138" s="115"/>
      <c r="F1138" s="108"/>
      <c r="G1138" s="108"/>
      <c r="H1138" s="108"/>
    </row>
    <row r="1139" spans="1:8" ht="15.75" customHeight="1" x14ac:dyDescent="0.25">
      <c r="A1139" s="108"/>
      <c r="B1139" s="108"/>
      <c r="C1139" s="111"/>
      <c r="D1139" s="115"/>
      <c r="F1139" s="108"/>
      <c r="G1139" s="108"/>
      <c r="H1139" s="108"/>
    </row>
    <row r="1140" spans="1:8" ht="15.75" customHeight="1" x14ac:dyDescent="0.25">
      <c r="A1140" s="108"/>
      <c r="B1140" s="108"/>
      <c r="C1140" s="111"/>
      <c r="D1140" s="115"/>
      <c r="F1140" s="108"/>
      <c r="G1140" s="108"/>
      <c r="H1140" s="108"/>
    </row>
    <row r="1141" spans="1:8" ht="15.75" customHeight="1" x14ac:dyDescent="0.25">
      <c r="A1141" s="108"/>
      <c r="B1141" s="108"/>
      <c r="C1141" s="111"/>
      <c r="D1141" s="115"/>
      <c r="F1141" s="108"/>
      <c r="G1141" s="108"/>
      <c r="H1141" s="108"/>
    </row>
    <row r="1142" spans="1:8" ht="15.75" customHeight="1" x14ac:dyDescent="0.25">
      <c r="A1142" s="108"/>
      <c r="B1142" s="108"/>
      <c r="C1142" s="111"/>
      <c r="D1142" s="115"/>
      <c r="F1142" s="108"/>
      <c r="G1142" s="108"/>
      <c r="H1142" s="108"/>
    </row>
    <row r="1143" spans="1:8" ht="15.75" customHeight="1" x14ac:dyDescent="0.25">
      <c r="A1143" s="108"/>
      <c r="B1143" s="108"/>
      <c r="C1143" s="111"/>
      <c r="D1143" s="115"/>
      <c r="F1143" s="108"/>
      <c r="G1143" s="108"/>
      <c r="H1143" s="108"/>
    </row>
    <row r="1144" spans="1:8" ht="15.75" customHeight="1" x14ac:dyDescent="0.25">
      <c r="A1144" s="108"/>
      <c r="B1144" s="108"/>
      <c r="C1144" s="111"/>
      <c r="D1144" s="115"/>
      <c r="F1144" s="108"/>
      <c r="G1144" s="108"/>
      <c r="H1144" s="108"/>
    </row>
    <row r="1145" spans="1:8" ht="15.75" customHeight="1" x14ac:dyDescent="0.25">
      <c r="A1145" s="108"/>
      <c r="B1145" s="108"/>
      <c r="C1145" s="111"/>
      <c r="D1145" s="115"/>
      <c r="F1145" s="108"/>
      <c r="G1145" s="108"/>
      <c r="H1145" s="108"/>
    </row>
    <row r="1146" spans="1:8" ht="15.75" customHeight="1" x14ac:dyDescent="0.25">
      <c r="A1146" s="108"/>
      <c r="B1146" s="108"/>
      <c r="C1146" s="111"/>
      <c r="D1146" s="115"/>
      <c r="F1146" s="108"/>
      <c r="G1146" s="108"/>
      <c r="H1146" s="108"/>
    </row>
    <row r="1147" spans="1:8" ht="15.75" customHeight="1" x14ac:dyDescent="0.25">
      <c r="A1147" s="108"/>
      <c r="B1147" s="108"/>
      <c r="C1147" s="111"/>
      <c r="D1147" s="115"/>
      <c r="F1147" s="108"/>
      <c r="G1147" s="108"/>
      <c r="H1147" s="108"/>
    </row>
    <row r="1148" spans="1:8" ht="15.75" customHeight="1" x14ac:dyDescent="0.25">
      <c r="A1148" s="108"/>
      <c r="B1148" s="108"/>
      <c r="C1148" s="111"/>
      <c r="D1148" s="115"/>
      <c r="F1148" s="108"/>
      <c r="G1148" s="108"/>
      <c r="H1148" s="108"/>
    </row>
    <row r="1149" spans="1:8" ht="15.75" customHeight="1" x14ac:dyDescent="0.25">
      <c r="A1149" s="108"/>
      <c r="B1149" s="108"/>
      <c r="C1149" s="111"/>
      <c r="D1149" s="115"/>
      <c r="F1149" s="108"/>
      <c r="G1149" s="108"/>
      <c r="H1149" s="108"/>
    </row>
    <row r="1150" spans="1:8" ht="15.75" customHeight="1" x14ac:dyDescent="0.25">
      <c r="A1150" s="108"/>
      <c r="B1150" s="108"/>
      <c r="C1150" s="111"/>
      <c r="D1150" s="115"/>
      <c r="F1150" s="108"/>
      <c r="G1150" s="108"/>
      <c r="H1150" s="108"/>
    </row>
    <row r="1151" spans="1:8" ht="15.75" customHeight="1" x14ac:dyDescent="0.25">
      <c r="A1151" s="108"/>
      <c r="B1151" s="108"/>
      <c r="C1151" s="111"/>
      <c r="D1151" s="115"/>
      <c r="F1151" s="108"/>
      <c r="G1151" s="108"/>
      <c r="H1151" s="108"/>
    </row>
    <row r="1152" spans="1:8" ht="15.75" customHeight="1" x14ac:dyDescent="0.25">
      <c r="A1152" s="108"/>
      <c r="B1152" s="108"/>
      <c r="C1152" s="111"/>
      <c r="D1152" s="115"/>
      <c r="F1152" s="108"/>
      <c r="G1152" s="108"/>
      <c r="H1152" s="108"/>
    </row>
    <row r="1153" spans="1:8" ht="15.75" customHeight="1" x14ac:dyDescent="0.25">
      <c r="A1153" s="108"/>
      <c r="B1153" s="108"/>
      <c r="C1153" s="111"/>
      <c r="D1153" s="115"/>
      <c r="F1153" s="108"/>
      <c r="G1153" s="108"/>
      <c r="H1153" s="108"/>
    </row>
    <row r="1154" spans="1:8" ht="15.75" customHeight="1" x14ac:dyDescent="0.25">
      <c r="A1154" s="108"/>
      <c r="B1154" s="108"/>
      <c r="C1154" s="111"/>
      <c r="D1154" s="115"/>
      <c r="F1154" s="108"/>
      <c r="G1154" s="108"/>
      <c r="H1154" s="108"/>
    </row>
    <row r="1155" spans="1:8" ht="15.75" customHeight="1" x14ac:dyDescent="0.25">
      <c r="A1155" s="108"/>
      <c r="B1155" s="108"/>
      <c r="C1155" s="111"/>
      <c r="D1155" s="115"/>
      <c r="F1155" s="108"/>
      <c r="G1155" s="108"/>
      <c r="H1155" s="108"/>
    </row>
    <row r="1156" spans="1:8" ht="15.75" customHeight="1" x14ac:dyDescent="0.25">
      <c r="A1156" s="108"/>
      <c r="B1156" s="108"/>
      <c r="C1156" s="111"/>
      <c r="D1156" s="115"/>
      <c r="F1156" s="108"/>
      <c r="G1156" s="108"/>
      <c r="H1156" s="108"/>
    </row>
    <row r="1157" spans="1:8" ht="15.75" customHeight="1" x14ac:dyDescent="0.25">
      <c r="A1157" s="108"/>
      <c r="B1157" s="108"/>
      <c r="C1157" s="111"/>
      <c r="D1157" s="115"/>
      <c r="F1157" s="108"/>
      <c r="G1157" s="108"/>
      <c r="H1157" s="108"/>
    </row>
    <row r="1158" spans="1:8" ht="15.75" customHeight="1" x14ac:dyDescent="0.25">
      <c r="A1158" s="108"/>
      <c r="B1158" s="108"/>
      <c r="C1158" s="111"/>
      <c r="D1158" s="115"/>
      <c r="F1158" s="108"/>
      <c r="G1158" s="108"/>
      <c r="H1158" s="108"/>
    </row>
    <row r="1159" spans="1:8" ht="15.75" customHeight="1" x14ac:dyDescent="0.25">
      <c r="A1159" s="108"/>
      <c r="B1159" s="108"/>
      <c r="C1159" s="111"/>
      <c r="D1159" s="115"/>
      <c r="F1159" s="108"/>
      <c r="G1159" s="108"/>
      <c r="H1159" s="108"/>
    </row>
    <row r="1160" spans="1:8" ht="15.75" customHeight="1" x14ac:dyDescent="0.25">
      <c r="A1160" s="108"/>
      <c r="B1160" s="108"/>
      <c r="C1160" s="111"/>
      <c r="D1160" s="115"/>
      <c r="F1160" s="108"/>
      <c r="G1160" s="108"/>
      <c r="H1160" s="108"/>
    </row>
    <row r="1161" spans="1:8" ht="15.75" customHeight="1" x14ac:dyDescent="0.25">
      <c r="A1161" s="108"/>
      <c r="B1161" s="108"/>
      <c r="C1161" s="111"/>
      <c r="D1161" s="115"/>
      <c r="F1161" s="108"/>
      <c r="G1161" s="108"/>
      <c r="H1161" s="108"/>
    </row>
    <row r="1162" spans="1:8" ht="15.75" customHeight="1" x14ac:dyDescent="0.25">
      <c r="A1162" s="108"/>
      <c r="B1162" s="108"/>
      <c r="C1162" s="111"/>
      <c r="D1162" s="115"/>
      <c r="F1162" s="108"/>
      <c r="G1162" s="108"/>
      <c r="H1162" s="108"/>
    </row>
    <row r="1163" spans="1:8" ht="15.75" customHeight="1" x14ac:dyDescent="0.25">
      <c r="A1163" s="108"/>
      <c r="B1163" s="108"/>
      <c r="C1163" s="111"/>
      <c r="D1163" s="115"/>
      <c r="F1163" s="108"/>
      <c r="G1163" s="108"/>
      <c r="H1163" s="108"/>
    </row>
    <row r="1164" spans="1:8" ht="15.75" customHeight="1" x14ac:dyDescent="0.25">
      <c r="A1164" s="108"/>
      <c r="B1164" s="108"/>
      <c r="C1164" s="111"/>
      <c r="D1164" s="115"/>
      <c r="F1164" s="108"/>
      <c r="G1164" s="108"/>
      <c r="H1164" s="108"/>
    </row>
    <row r="1165" spans="1:8" ht="15.75" customHeight="1" x14ac:dyDescent="0.25">
      <c r="A1165" s="108"/>
      <c r="B1165" s="108"/>
      <c r="C1165" s="111"/>
      <c r="D1165" s="115"/>
      <c r="F1165" s="108"/>
      <c r="G1165" s="108"/>
      <c r="H1165" s="108"/>
    </row>
    <row r="1166" spans="1:8" ht="15.75" customHeight="1" x14ac:dyDescent="0.25">
      <c r="A1166" s="108"/>
      <c r="B1166" s="108"/>
      <c r="C1166" s="111"/>
      <c r="D1166" s="115"/>
      <c r="F1166" s="108"/>
      <c r="G1166" s="108"/>
      <c r="H1166" s="108"/>
    </row>
    <row r="1167" spans="1:8" ht="15.75" customHeight="1" x14ac:dyDescent="0.25">
      <c r="A1167" s="108"/>
      <c r="B1167" s="108"/>
      <c r="C1167" s="111"/>
      <c r="D1167" s="115"/>
      <c r="F1167" s="108"/>
      <c r="G1167" s="108"/>
      <c r="H1167" s="108"/>
    </row>
    <row r="1168" spans="1:8" ht="15.75" customHeight="1" x14ac:dyDescent="0.25">
      <c r="A1168" s="108"/>
      <c r="B1168" s="108"/>
      <c r="C1168" s="111"/>
      <c r="D1168" s="115"/>
      <c r="F1168" s="108"/>
      <c r="G1168" s="108"/>
      <c r="H1168" s="108"/>
    </row>
    <row r="1169" spans="1:8" ht="15.75" customHeight="1" x14ac:dyDescent="0.25">
      <c r="A1169" s="108"/>
      <c r="B1169" s="108"/>
      <c r="C1169" s="111"/>
      <c r="D1169" s="115"/>
      <c r="F1169" s="108"/>
      <c r="G1169" s="108"/>
      <c r="H1169" s="108"/>
    </row>
    <row r="1170" spans="1:8" ht="15.75" customHeight="1" x14ac:dyDescent="0.25">
      <c r="A1170" s="108"/>
      <c r="B1170" s="108"/>
      <c r="C1170" s="111"/>
      <c r="D1170" s="115"/>
      <c r="F1170" s="108"/>
      <c r="G1170" s="108"/>
      <c r="H1170" s="108"/>
    </row>
    <row r="1171" spans="1:8" ht="15.75" customHeight="1" x14ac:dyDescent="0.25">
      <c r="A1171" s="108"/>
      <c r="B1171" s="108"/>
      <c r="C1171" s="111"/>
      <c r="D1171" s="115"/>
      <c r="F1171" s="108"/>
      <c r="G1171" s="108"/>
      <c r="H1171" s="108"/>
    </row>
    <row r="1172" spans="1:8" ht="15.75" customHeight="1" x14ac:dyDescent="0.25">
      <c r="A1172" s="108"/>
      <c r="B1172" s="108"/>
      <c r="C1172" s="111"/>
      <c r="D1172" s="115"/>
      <c r="F1172" s="108"/>
      <c r="G1172" s="108"/>
      <c r="H1172" s="108"/>
    </row>
    <row r="1173" spans="1:8" ht="15.75" customHeight="1" x14ac:dyDescent="0.25">
      <c r="A1173" s="108"/>
      <c r="B1173" s="108"/>
      <c r="C1173" s="111"/>
      <c r="D1173" s="115"/>
      <c r="F1173" s="108"/>
      <c r="G1173" s="108"/>
      <c r="H1173" s="108"/>
    </row>
    <row r="1174" spans="1:8" ht="15.75" customHeight="1" x14ac:dyDescent="0.25">
      <c r="A1174" s="108"/>
      <c r="B1174" s="108"/>
      <c r="C1174" s="111"/>
      <c r="D1174" s="115"/>
      <c r="F1174" s="108"/>
      <c r="G1174" s="108"/>
      <c r="H1174" s="108"/>
    </row>
    <row r="1175" spans="1:8" ht="15.75" customHeight="1" x14ac:dyDescent="0.25">
      <c r="A1175" s="108"/>
      <c r="B1175" s="108"/>
      <c r="C1175" s="111"/>
      <c r="D1175" s="115"/>
      <c r="F1175" s="108"/>
      <c r="G1175" s="108"/>
      <c r="H1175" s="108"/>
    </row>
    <row r="1176" spans="1:8" ht="15.75" customHeight="1" x14ac:dyDescent="0.25">
      <c r="A1176" s="108"/>
      <c r="B1176" s="108"/>
      <c r="C1176" s="111"/>
      <c r="D1176" s="115"/>
      <c r="F1176" s="108"/>
      <c r="G1176" s="108"/>
    </row>
    <row r="1177" spans="1:8" ht="15.75" customHeight="1" x14ac:dyDescent="0.25">
      <c r="A1177" s="108"/>
      <c r="B1177" s="108"/>
      <c r="C1177" s="111"/>
      <c r="D1177" s="115"/>
      <c r="F1177" s="108"/>
      <c r="G1177" s="108"/>
    </row>
    <row r="1178" spans="1:8" ht="15.75" customHeight="1" x14ac:dyDescent="0.25">
      <c r="A1178" s="108"/>
      <c r="B1178" s="108"/>
      <c r="C1178" s="111"/>
      <c r="D1178" s="115"/>
      <c r="F1178" s="108"/>
      <c r="G1178" s="108"/>
    </row>
    <row r="1179" spans="1:8" ht="15.75" customHeight="1" x14ac:dyDescent="0.25">
      <c r="A1179" s="108"/>
      <c r="B1179" s="108"/>
      <c r="C1179" s="111"/>
      <c r="D1179" s="115"/>
      <c r="F1179" s="108"/>
      <c r="G1179" s="108"/>
    </row>
    <row r="1180" spans="1:8" ht="15.75" customHeight="1" x14ac:dyDescent="0.25">
      <c r="A1180" s="108"/>
      <c r="B1180" s="108"/>
      <c r="C1180" s="111"/>
      <c r="D1180" s="115"/>
      <c r="F1180" s="108"/>
      <c r="G1180" s="108"/>
    </row>
    <row r="1181" spans="1:8" ht="15.75" customHeight="1" x14ac:dyDescent="0.25">
      <c r="A1181" s="108"/>
      <c r="B1181" s="108"/>
      <c r="C1181" s="111"/>
      <c r="D1181" s="115"/>
      <c r="F1181" s="108"/>
      <c r="G1181" s="108"/>
    </row>
  </sheetData>
  <autoFilter ref="H1:H1181" xr:uid="{00000000-0009-0000-0000-00000D000000}"/>
  <mergeCells count="8">
    <mergeCell ref="A460:F460"/>
    <mergeCell ref="A485:F485"/>
    <mergeCell ref="A1:H1"/>
    <mergeCell ref="E217:E218"/>
    <mergeCell ref="A430:F430"/>
    <mergeCell ref="A444:F444"/>
    <mergeCell ref="A450:F450"/>
    <mergeCell ref="A318:G318"/>
  </mergeCells>
  <phoneticPr fontId="54" type="noConversion"/>
  <pageMargins left="0.23622047244094491" right="0.19685039370078741" top="0.43307086614173229" bottom="0.31496062992125984" header="0.23622047244094491" footer="0.11811023622047245"/>
  <pageSetup paperSize="9" scale="73" firstPageNumber="25" orientation="landscape" useFirstPageNumber="1" horizontalDpi="4294967293" verticalDpi="1200" r:id="rId1"/>
  <headerFooter>
    <oddFooter>&amp;C&amp;P</oddFooter>
  </headerFooter>
  <rowBreaks count="1" manualBreakCount="1">
    <brk id="49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M539"/>
  <sheetViews>
    <sheetView topLeftCell="A380" zoomScaleSheetLayoutView="110" workbookViewId="0">
      <selection activeCell="F389" sqref="F389"/>
    </sheetView>
  </sheetViews>
  <sheetFormatPr defaultColWidth="11" defaultRowHeight="23.4" x14ac:dyDescent="0.25"/>
  <cols>
    <col min="1" max="1" width="5.69921875" style="467" customWidth="1"/>
    <col min="2" max="2" width="74.296875" style="467" customWidth="1"/>
    <col min="3" max="3" width="9.59765625" style="589" customWidth="1"/>
    <col min="4" max="4" width="15" style="652" customWidth="1"/>
    <col min="5" max="5" width="16.09765625" style="651" customWidth="1"/>
    <col min="6" max="6" width="38.3984375" style="467" customWidth="1"/>
    <col min="7" max="7" width="16.8984375" style="467" customWidth="1"/>
    <col min="8" max="8" width="36.3984375" style="467" customWidth="1"/>
    <col min="9" max="9" width="13.69921875" style="466" customWidth="1"/>
    <col min="10" max="10" width="15.09765625" style="467" customWidth="1"/>
    <col min="11" max="16384" width="11" style="467"/>
  </cols>
  <sheetData>
    <row r="1" spans="1:13" ht="35.25" customHeight="1" x14ac:dyDescent="0.25">
      <c r="A1" s="1540" t="s">
        <v>1038</v>
      </c>
      <c r="B1" s="1540"/>
      <c r="C1" s="1540"/>
      <c r="D1" s="1540"/>
      <c r="E1" s="1540"/>
      <c r="F1" s="1540"/>
      <c r="G1" s="1540"/>
      <c r="H1" s="1540"/>
    </row>
    <row r="2" spans="1:13" ht="46.8" x14ac:dyDescent="0.25">
      <c r="A2" s="468" t="s">
        <v>1</v>
      </c>
      <c r="B2" s="468" t="s">
        <v>2</v>
      </c>
      <c r="C2" s="468" t="s">
        <v>291</v>
      </c>
      <c r="D2" s="468" t="s">
        <v>292</v>
      </c>
      <c r="E2" s="469" t="s">
        <v>293</v>
      </c>
      <c r="F2" s="468" t="s">
        <v>294</v>
      </c>
      <c r="G2" s="468" t="s">
        <v>608</v>
      </c>
      <c r="H2" s="469" t="s">
        <v>127</v>
      </c>
      <c r="I2" s="470"/>
      <c r="J2" s="471"/>
      <c r="K2" s="471"/>
      <c r="L2" s="471"/>
      <c r="M2" s="471"/>
    </row>
    <row r="3" spans="1:13" ht="46.8" x14ac:dyDescent="0.25">
      <c r="A3" s="472">
        <v>1</v>
      </c>
      <c r="B3" s="473" t="s">
        <v>550</v>
      </c>
      <c r="C3" s="472">
        <v>1</v>
      </c>
      <c r="D3" s="474">
        <v>2247000</v>
      </c>
      <c r="E3" s="474">
        <f t="shared" ref="E3:E4" si="0">C3*D3</f>
        <v>2247000</v>
      </c>
      <c r="F3" s="473" t="s">
        <v>318</v>
      </c>
      <c r="G3" s="473" t="s">
        <v>369</v>
      </c>
      <c r="H3" s="475" t="s">
        <v>1072</v>
      </c>
      <c r="I3" s="470"/>
      <c r="J3" s="471"/>
      <c r="K3" s="471"/>
      <c r="L3" s="471"/>
      <c r="M3" s="471"/>
    </row>
    <row r="4" spans="1:13" x14ac:dyDescent="0.25">
      <c r="A4" s="472">
        <v>2</v>
      </c>
      <c r="B4" s="476" t="s">
        <v>346</v>
      </c>
      <c r="C4" s="477">
        <v>1</v>
      </c>
      <c r="D4" s="478">
        <v>2200000</v>
      </c>
      <c r="E4" s="474">
        <f t="shared" si="0"/>
        <v>2200000</v>
      </c>
      <c r="F4" s="479" t="s">
        <v>327</v>
      </c>
      <c r="G4" s="473" t="s">
        <v>369</v>
      </c>
      <c r="H4" s="480" t="s">
        <v>393</v>
      </c>
      <c r="I4" s="470"/>
      <c r="J4" s="471"/>
      <c r="K4" s="471"/>
      <c r="L4" s="471"/>
      <c r="M4" s="471"/>
    </row>
    <row r="5" spans="1:13" x14ac:dyDescent="0.25">
      <c r="A5" s="472">
        <v>3</v>
      </c>
      <c r="B5" s="476" t="s">
        <v>349</v>
      </c>
      <c r="C5" s="477">
        <v>1</v>
      </c>
      <c r="D5" s="478">
        <v>1760000</v>
      </c>
      <c r="E5" s="474">
        <f>C5*D5</f>
        <v>1760000</v>
      </c>
      <c r="F5" s="479" t="s">
        <v>327</v>
      </c>
      <c r="G5" s="479" t="s">
        <v>369</v>
      </c>
      <c r="H5" s="480" t="s">
        <v>393</v>
      </c>
      <c r="I5" s="470"/>
      <c r="J5" s="471"/>
      <c r="K5" s="471"/>
      <c r="L5" s="471"/>
      <c r="M5" s="471"/>
    </row>
    <row r="6" spans="1:13" x14ac:dyDescent="0.25">
      <c r="A6" s="472">
        <v>4</v>
      </c>
      <c r="B6" s="476" t="s">
        <v>348</v>
      </c>
      <c r="C6" s="477">
        <v>1</v>
      </c>
      <c r="D6" s="478">
        <v>1450000</v>
      </c>
      <c r="E6" s="474">
        <f>C6*D6</f>
        <v>1450000</v>
      </c>
      <c r="F6" s="479" t="s">
        <v>327</v>
      </c>
      <c r="G6" s="479" t="s">
        <v>369</v>
      </c>
      <c r="H6" s="480" t="s">
        <v>393</v>
      </c>
      <c r="I6" s="470"/>
      <c r="J6" s="471"/>
      <c r="K6" s="471"/>
      <c r="L6" s="471"/>
      <c r="M6" s="471"/>
    </row>
    <row r="7" spans="1:13" x14ac:dyDescent="0.25">
      <c r="A7" s="472">
        <v>5</v>
      </c>
      <c r="B7" s="481" t="s">
        <v>483</v>
      </c>
      <c r="C7" s="482">
        <v>1</v>
      </c>
      <c r="D7" s="483">
        <v>1250000</v>
      </c>
      <c r="E7" s="484">
        <v>1250000</v>
      </c>
      <c r="F7" s="481" t="s">
        <v>320</v>
      </c>
      <c r="G7" s="479" t="s">
        <v>369</v>
      </c>
      <c r="H7" s="480" t="s">
        <v>393</v>
      </c>
      <c r="I7" s="470"/>
      <c r="J7" s="471"/>
      <c r="K7" s="471"/>
      <c r="L7" s="471"/>
      <c r="M7" s="471"/>
    </row>
    <row r="8" spans="1:13" s="491" customFormat="1" ht="46.8" x14ac:dyDescent="0.25">
      <c r="A8" s="485">
        <v>6</v>
      </c>
      <c r="B8" s="486" t="s">
        <v>333</v>
      </c>
      <c r="C8" s="485">
        <v>1</v>
      </c>
      <c r="D8" s="487">
        <v>1200000</v>
      </c>
      <c r="E8" s="487">
        <f>C8*D8</f>
        <v>1200000</v>
      </c>
      <c r="F8" s="486" t="s">
        <v>332</v>
      </c>
      <c r="G8" s="488" t="s">
        <v>369</v>
      </c>
      <c r="H8" s="480" t="s">
        <v>393</v>
      </c>
      <c r="I8" s="489"/>
      <c r="J8" s="490"/>
      <c r="K8" s="490"/>
      <c r="L8" s="490"/>
      <c r="M8" s="490"/>
    </row>
    <row r="9" spans="1:13" x14ac:dyDescent="0.25">
      <c r="A9" s="472">
        <v>7</v>
      </c>
      <c r="B9" s="492" t="s">
        <v>339</v>
      </c>
      <c r="C9" s="472">
        <v>2</v>
      </c>
      <c r="D9" s="474">
        <v>250000</v>
      </c>
      <c r="E9" s="474">
        <f t="shared" ref="E9" si="1">C9*D9</f>
        <v>500000</v>
      </c>
      <c r="F9" s="473" t="s">
        <v>340</v>
      </c>
      <c r="G9" s="473" t="s">
        <v>369</v>
      </c>
      <c r="H9" s="480" t="s">
        <v>393</v>
      </c>
      <c r="I9" s="470"/>
      <c r="J9" s="471"/>
      <c r="K9" s="471"/>
      <c r="L9" s="471"/>
      <c r="M9" s="471"/>
    </row>
    <row r="10" spans="1:13" x14ac:dyDescent="0.25">
      <c r="A10" s="472">
        <v>8</v>
      </c>
      <c r="B10" s="493" t="s">
        <v>353</v>
      </c>
      <c r="C10" s="472">
        <v>1</v>
      </c>
      <c r="D10" s="494">
        <v>499476</v>
      </c>
      <c r="E10" s="494">
        <f>C10*D10</f>
        <v>499476</v>
      </c>
      <c r="F10" s="493" t="s">
        <v>351</v>
      </c>
      <c r="G10" s="493" t="s">
        <v>369</v>
      </c>
      <c r="H10" s="495">
        <v>257067.5</v>
      </c>
      <c r="I10" s="495">
        <v>257067.5</v>
      </c>
      <c r="J10" s="471"/>
      <c r="K10" s="471"/>
      <c r="L10" s="471"/>
      <c r="M10" s="471"/>
    </row>
    <row r="11" spans="1:13" x14ac:dyDescent="0.25">
      <c r="A11" s="472">
        <v>9</v>
      </c>
      <c r="B11" s="492" t="s">
        <v>341</v>
      </c>
      <c r="C11" s="472">
        <v>1</v>
      </c>
      <c r="D11" s="474">
        <v>490000</v>
      </c>
      <c r="E11" s="474">
        <f>C11*D11</f>
        <v>490000</v>
      </c>
      <c r="F11" s="473" t="s">
        <v>342</v>
      </c>
      <c r="G11" s="473" t="s">
        <v>369</v>
      </c>
      <c r="H11" s="480" t="s">
        <v>393</v>
      </c>
      <c r="I11" s="470"/>
      <c r="J11" s="471"/>
      <c r="K11" s="471"/>
      <c r="L11" s="471"/>
      <c r="M11" s="471"/>
    </row>
    <row r="12" spans="1:13" x14ac:dyDescent="0.25">
      <c r="A12" s="472">
        <v>10</v>
      </c>
      <c r="B12" s="473" t="s">
        <v>343</v>
      </c>
      <c r="C12" s="472">
        <v>2</v>
      </c>
      <c r="D12" s="474">
        <v>225000</v>
      </c>
      <c r="E12" s="474">
        <f>C12*D12</f>
        <v>450000</v>
      </c>
      <c r="F12" s="473" t="s">
        <v>344</v>
      </c>
      <c r="G12" s="473" t="s">
        <v>369</v>
      </c>
      <c r="H12" s="480" t="s">
        <v>393</v>
      </c>
      <c r="I12" s="470"/>
      <c r="J12" s="471"/>
      <c r="K12" s="471"/>
      <c r="L12" s="471"/>
      <c r="M12" s="471"/>
    </row>
    <row r="13" spans="1:13" x14ac:dyDescent="0.25">
      <c r="A13" s="472">
        <v>11</v>
      </c>
      <c r="B13" s="481" t="s">
        <v>484</v>
      </c>
      <c r="C13" s="482">
        <v>1</v>
      </c>
      <c r="D13" s="483">
        <v>330000</v>
      </c>
      <c r="E13" s="484">
        <v>330000</v>
      </c>
      <c r="F13" s="481" t="s">
        <v>358</v>
      </c>
      <c r="G13" s="481" t="s">
        <v>369</v>
      </c>
      <c r="H13" s="496" t="s">
        <v>393</v>
      </c>
      <c r="I13" s="470"/>
      <c r="J13" s="471"/>
      <c r="K13" s="471"/>
      <c r="L13" s="471"/>
      <c r="M13" s="471"/>
    </row>
    <row r="14" spans="1:13" x14ac:dyDescent="0.25">
      <c r="A14" s="472">
        <v>12</v>
      </c>
      <c r="B14" s="493" t="s">
        <v>355</v>
      </c>
      <c r="C14" s="472">
        <v>1</v>
      </c>
      <c r="D14" s="494">
        <v>330000</v>
      </c>
      <c r="E14" s="494">
        <f>C14*D14</f>
        <v>330000</v>
      </c>
      <c r="F14" s="493" t="s">
        <v>356</v>
      </c>
      <c r="G14" s="493" t="s">
        <v>369</v>
      </c>
      <c r="H14" s="496" t="s">
        <v>393</v>
      </c>
      <c r="I14" s="470"/>
      <c r="J14" s="471"/>
      <c r="K14" s="471"/>
      <c r="L14" s="471"/>
      <c r="M14" s="471"/>
    </row>
    <row r="15" spans="1:13" x14ac:dyDescent="0.25">
      <c r="A15" s="472">
        <v>13</v>
      </c>
      <c r="B15" s="493" t="s">
        <v>357</v>
      </c>
      <c r="C15" s="472">
        <v>1</v>
      </c>
      <c r="D15" s="494">
        <v>317255</v>
      </c>
      <c r="E15" s="494">
        <v>317255</v>
      </c>
      <c r="F15" s="493" t="s">
        <v>323</v>
      </c>
      <c r="G15" s="493" t="s">
        <v>369</v>
      </c>
      <c r="H15" s="496" t="s">
        <v>393</v>
      </c>
      <c r="I15" s="470"/>
      <c r="J15" s="471"/>
      <c r="K15" s="471"/>
      <c r="L15" s="471"/>
      <c r="M15" s="471"/>
    </row>
    <row r="16" spans="1:13" x14ac:dyDescent="0.25">
      <c r="A16" s="472">
        <v>14</v>
      </c>
      <c r="B16" s="481" t="s">
        <v>486</v>
      </c>
      <c r="C16" s="482">
        <v>1</v>
      </c>
      <c r="D16" s="483">
        <v>250000</v>
      </c>
      <c r="E16" s="484">
        <f>C16*D16</f>
        <v>250000</v>
      </c>
      <c r="F16" s="481" t="s">
        <v>335</v>
      </c>
      <c r="G16" s="481" t="s">
        <v>369</v>
      </c>
      <c r="H16" s="496" t="s">
        <v>1073</v>
      </c>
      <c r="I16" s="470"/>
      <c r="J16" s="471"/>
      <c r="K16" s="471"/>
      <c r="L16" s="471"/>
      <c r="M16" s="471"/>
    </row>
    <row r="17" spans="1:13" x14ac:dyDescent="0.25">
      <c r="A17" s="472">
        <v>15</v>
      </c>
      <c r="B17" s="492" t="s">
        <v>102</v>
      </c>
      <c r="C17" s="472">
        <v>2</v>
      </c>
      <c r="D17" s="474">
        <v>117500</v>
      </c>
      <c r="E17" s="474">
        <f>+C17*D17</f>
        <v>235000</v>
      </c>
      <c r="F17" s="473" t="s">
        <v>345</v>
      </c>
      <c r="G17" s="473" t="s">
        <v>369</v>
      </c>
      <c r="H17" s="496" t="s">
        <v>393</v>
      </c>
      <c r="I17" s="470"/>
      <c r="J17" s="471"/>
      <c r="K17" s="471"/>
      <c r="L17" s="471"/>
      <c r="M17" s="471"/>
    </row>
    <row r="18" spans="1:13" x14ac:dyDescent="0.25">
      <c r="A18" s="472">
        <v>16</v>
      </c>
      <c r="B18" s="481" t="s">
        <v>482</v>
      </c>
      <c r="C18" s="482">
        <v>1</v>
      </c>
      <c r="D18" s="483">
        <v>230000</v>
      </c>
      <c r="E18" s="484">
        <v>230000</v>
      </c>
      <c r="F18" s="481" t="s">
        <v>488</v>
      </c>
      <c r="G18" s="481" t="s">
        <v>369</v>
      </c>
      <c r="H18" s="496" t="s">
        <v>393</v>
      </c>
      <c r="I18" s="470"/>
      <c r="J18" s="471"/>
      <c r="K18" s="471"/>
      <c r="L18" s="471"/>
      <c r="M18" s="471"/>
    </row>
    <row r="19" spans="1:13" s="491" customFormat="1" ht="46.8" x14ac:dyDescent="0.25">
      <c r="A19" s="485">
        <v>17</v>
      </c>
      <c r="B19" s="497" t="s">
        <v>338</v>
      </c>
      <c r="C19" s="485">
        <v>1</v>
      </c>
      <c r="D19" s="487">
        <v>200000</v>
      </c>
      <c r="E19" s="487">
        <f>+C19*D19</f>
        <v>200000</v>
      </c>
      <c r="F19" s="486" t="s">
        <v>474</v>
      </c>
      <c r="G19" s="486" t="s">
        <v>369</v>
      </c>
      <c r="H19" s="498" t="s">
        <v>1074</v>
      </c>
      <c r="I19" s="489"/>
      <c r="J19" s="490"/>
      <c r="K19" s="490"/>
      <c r="L19" s="490"/>
      <c r="M19" s="490"/>
    </row>
    <row r="20" spans="1:13" x14ac:dyDescent="0.25">
      <c r="A20" s="472">
        <v>18</v>
      </c>
      <c r="B20" s="476" t="s">
        <v>347</v>
      </c>
      <c r="C20" s="477">
        <v>1</v>
      </c>
      <c r="D20" s="478">
        <v>200000</v>
      </c>
      <c r="E20" s="474">
        <f>C20*D20</f>
        <v>200000</v>
      </c>
      <c r="F20" s="479" t="s">
        <v>327</v>
      </c>
      <c r="G20" s="479" t="s">
        <v>369</v>
      </c>
      <c r="H20" s="496" t="s">
        <v>393</v>
      </c>
      <c r="I20" s="470"/>
      <c r="J20" s="471"/>
      <c r="K20" s="471"/>
      <c r="L20" s="471"/>
      <c r="M20" s="471"/>
    </row>
    <row r="21" spans="1:13" x14ac:dyDescent="0.25">
      <c r="A21" s="472">
        <v>19</v>
      </c>
      <c r="B21" s="499" t="s">
        <v>362</v>
      </c>
      <c r="C21" s="500">
        <v>1</v>
      </c>
      <c r="D21" s="501">
        <v>33500</v>
      </c>
      <c r="E21" s="474">
        <f>C21*D21</f>
        <v>33500</v>
      </c>
      <c r="F21" s="502" t="s">
        <v>363</v>
      </c>
      <c r="G21" s="502" t="s">
        <v>369</v>
      </c>
      <c r="H21" s="496" t="s">
        <v>393</v>
      </c>
      <c r="I21" s="470"/>
      <c r="J21" s="471"/>
      <c r="K21" s="471"/>
      <c r="L21" s="471"/>
      <c r="M21" s="471"/>
    </row>
    <row r="22" spans="1:13" x14ac:dyDescent="0.25">
      <c r="A22" s="472">
        <v>20</v>
      </c>
      <c r="B22" s="481" t="s">
        <v>687</v>
      </c>
      <c r="C22" s="482">
        <v>3</v>
      </c>
      <c r="D22" s="503">
        <v>85600</v>
      </c>
      <c r="E22" s="495">
        <f t="shared" ref="E22:E32" si="2">+C22*D22</f>
        <v>256800</v>
      </c>
      <c r="F22" s="481" t="s">
        <v>324</v>
      </c>
      <c r="G22" s="493" t="s">
        <v>369</v>
      </c>
      <c r="H22" s="496" t="s">
        <v>393</v>
      </c>
      <c r="I22" s="470"/>
      <c r="J22" s="471"/>
      <c r="K22" s="471"/>
      <c r="L22" s="471"/>
      <c r="M22" s="471"/>
    </row>
    <row r="23" spans="1:13" x14ac:dyDescent="0.25">
      <c r="A23" s="472">
        <v>21</v>
      </c>
      <c r="B23" s="481" t="s">
        <v>688</v>
      </c>
      <c r="C23" s="482">
        <v>1</v>
      </c>
      <c r="D23" s="503">
        <v>14000</v>
      </c>
      <c r="E23" s="495">
        <f t="shared" si="2"/>
        <v>14000</v>
      </c>
      <c r="F23" s="481" t="s">
        <v>324</v>
      </c>
      <c r="G23" s="493" t="s">
        <v>369</v>
      </c>
      <c r="H23" s="496" t="s">
        <v>393</v>
      </c>
      <c r="I23" s="470"/>
      <c r="J23" s="471"/>
      <c r="K23" s="471"/>
      <c r="L23" s="471"/>
      <c r="M23" s="471"/>
    </row>
    <row r="24" spans="1:13" x14ac:dyDescent="0.25">
      <c r="A24" s="472">
        <v>22</v>
      </c>
      <c r="B24" s="481" t="s">
        <v>696</v>
      </c>
      <c r="C24" s="482">
        <v>1</v>
      </c>
      <c r="D24" s="503">
        <v>20000</v>
      </c>
      <c r="E24" s="495">
        <f t="shared" si="2"/>
        <v>20000</v>
      </c>
      <c r="F24" s="481" t="s">
        <v>730</v>
      </c>
      <c r="G24" s="493" t="s">
        <v>369</v>
      </c>
      <c r="H24" s="496" t="s">
        <v>393</v>
      </c>
      <c r="I24" s="470"/>
      <c r="J24" s="471"/>
      <c r="K24" s="471"/>
      <c r="L24" s="471"/>
      <c r="M24" s="471"/>
    </row>
    <row r="25" spans="1:13" x14ac:dyDescent="0.25">
      <c r="A25" s="472">
        <v>23</v>
      </c>
      <c r="B25" s="504" t="s">
        <v>699</v>
      </c>
      <c r="C25" s="505">
        <v>1</v>
      </c>
      <c r="D25" s="506">
        <v>6500</v>
      </c>
      <c r="E25" s="495">
        <f t="shared" si="2"/>
        <v>6500</v>
      </c>
      <c r="F25" s="504" t="s">
        <v>732</v>
      </c>
      <c r="G25" s="493" t="s">
        <v>369</v>
      </c>
      <c r="H25" s="496" t="s">
        <v>393</v>
      </c>
      <c r="I25" s="470"/>
      <c r="J25" s="471"/>
      <c r="K25" s="471"/>
      <c r="L25" s="471"/>
      <c r="M25" s="471"/>
    </row>
    <row r="26" spans="1:13" x14ac:dyDescent="0.25">
      <c r="A26" s="472">
        <v>24</v>
      </c>
      <c r="B26" s="481" t="s">
        <v>709</v>
      </c>
      <c r="C26" s="482">
        <v>3</v>
      </c>
      <c r="D26" s="503">
        <v>10000</v>
      </c>
      <c r="E26" s="495">
        <f t="shared" si="2"/>
        <v>30000</v>
      </c>
      <c r="F26" s="481" t="s">
        <v>626</v>
      </c>
      <c r="G26" s="493" t="s">
        <v>369</v>
      </c>
      <c r="H26" s="496" t="s">
        <v>393</v>
      </c>
      <c r="I26" s="470"/>
      <c r="J26" s="471"/>
      <c r="K26" s="471"/>
      <c r="L26" s="471"/>
      <c r="M26" s="471"/>
    </row>
    <row r="27" spans="1:13" x14ac:dyDescent="0.25">
      <c r="A27" s="472">
        <v>25</v>
      </c>
      <c r="B27" s="481" t="s">
        <v>712</v>
      </c>
      <c r="C27" s="482">
        <v>1</v>
      </c>
      <c r="D27" s="503">
        <v>130000</v>
      </c>
      <c r="E27" s="495">
        <f t="shared" si="2"/>
        <v>130000</v>
      </c>
      <c r="F27" s="481" t="s">
        <v>510</v>
      </c>
      <c r="G27" s="493" t="s">
        <v>369</v>
      </c>
      <c r="H27" s="496" t="s">
        <v>393</v>
      </c>
      <c r="I27" s="470"/>
      <c r="J27" s="471"/>
      <c r="K27" s="471"/>
      <c r="L27" s="471"/>
      <c r="M27" s="471"/>
    </row>
    <row r="28" spans="1:13" x14ac:dyDescent="0.25">
      <c r="A28" s="472">
        <v>26</v>
      </c>
      <c r="B28" s="481" t="s">
        <v>717</v>
      </c>
      <c r="C28" s="482">
        <v>1</v>
      </c>
      <c r="D28" s="503">
        <v>35100</v>
      </c>
      <c r="E28" s="495">
        <f t="shared" si="2"/>
        <v>35100</v>
      </c>
      <c r="F28" s="481" t="s">
        <v>328</v>
      </c>
      <c r="G28" s="493" t="s">
        <v>369</v>
      </c>
      <c r="H28" s="496" t="s">
        <v>393</v>
      </c>
      <c r="I28" s="470"/>
      <c r="J28" s="471"/>
      <c r="K28" s="471"/>
      <c r="L28" s="471"/>
      <c r="M28" s="471"/>
    </row>
    <row r="29" spans="1:13" x14ac:dyDescent="0.25">
      <c r="A29" s="472">
        <v>27</v>
      </c>
      <c r="B29" s="481" t="s">
        <v>718</v>
      </c>
      <c r="C29" s="482">
        <v>1</v>
      </c>
      <c r="D29" s="503">
        <v>19000</v>
      </c>
      <c r="E29" s="495">
        <f t="shared" si="2"/>
        <v>19000</v>
      </c>
      <c r="F29" s="481" t="s">
        <v>328</v>
      </c>
      <c r="G29" s="493" t="s">
        <v>369</v>
      </c>
      <c r="H29" s="496" t="s">
        <v>393</v>
      </c>
      <c r="I29" s="470"/>
      <c r="J29" s="471"/>
      <c r="K29" s="471"/>
      <c r="L29" s="471"/>
      <c r="M29" s="471"/>
    </row>
    <row r="30" spans="1:13" x14ac:dyDescent="0.25">
      <c r="A30" s="472">
        <v>28</v>
      </c>
      <c r="B30" s="481" t="s">
        <v>744</v>
      </c>
      <c r="C30" s="482">
        <v>1</v>
      </c>
      <c r="D30" s="503">
        <v>35000</v>
      </c>
      <c r="E30" s="495">
        <f t="shared" si="2"/>
        <v>35000</v>
      </c>
      <c r="F30" s="481" t="s">
        <v>328</v>
      </c>
      <c r="G30" s="493" t="s">
        <v>369</v>
      </c>
      <c r="H30" s="496" t="s">
        <v>393</v>
      </c>
      <c r="I30" s="470"/>
      <c r="J30" s="471"/>
      <c r="K30" s="471"/>
      <c r="L30" s="471"/>
      <c r="M30" s="471"/>
    </row>
    <row r="31" spans="1:13" x14ac:dyDescent="0.25">
      <c r="A31" s="472">
        <v>29</v>
      </c>
      <c r="B31" s="481" t="s">
        <v>719</v>
      </c>
      <c r="C31" s="482">
        <v>1</v>
      </c>
      <c r="D31" s="503">
        <v>71500</v>
      </c>
      <c r="E31" s="495">
        <f t="shared" si="2"/>
        <v>71500</v>
      </c>
      <c r="F31" s="481" t="s">
        <v>328</v>
      </c>
      <c r="G31" s="493" t="s">
        <v>369</v>
      </c>
      <c r="H31" s="496"/>
      <c r="I31" s="470"/>
      <c r="J31" s="471"/>
      <c r="K31" s="471"/>
      <c r="L31" s="471"/>
      <c r="M31" s="471"/>
    </row>
    <row r="32" spans="1:13" x14ac:dyDescent="0.25">
      <c r="A32" s="472">
        <v>30</v>
      </c>
      <c r="B32" s="481" t="s">
        <v>724</v>
      </c>
      <c r="C32" s="482">
        <v>1</v>
      </c>
      <c r="D32" s="503">
        <v>10000</v>
      </c>
      <c r="E32" s="495">
        <f t="shared" si="2"/>
        <v>10000</v>
      </c>
      <c r="F32" s="481" t="s">
        <v>617</v>
      </c>
      <c r="G32" s="493" t="s">
        <v>369</v>
      </c>
      <c r="H32" s="496" t="s">
        <v>393</v>
      </c>
      <c r="I32" s="470"/>
      <c r="J32" s="471"/>
      <c r="K32" s="471"/>
      <c r="L32" s="471"/>
      <c r="M32" s="471"/>
    </row>
    <row r="33" spans="1:13" x14ac:dyDescent="0.25">
      <c r="A33" s="472">
        <v>31</v>
      </c>
      <c r="B33" s="507" t="s">
        <v>565</v>
      </c>
      <c r="C33" s="472">
        <v>1</v>
      </c>
      <c r="D33" s="494">
        <v>1250000</v>
      </c>
      <c r="E33" s="494">
        <v>1250000</v>
      </c>
      <c r="F33" s="493" t="s">
        <v>320</v>
      </c>
      <c r="G33" s="473" t="s">
        <v>369</v>
      </c>
      <c r="H33" s="498" t="s">
        <v>1075</v>
      </c>
      <c r="I33" s="470"/>
      <c r="J33" s="471"/>
      <c r="K33" s="471"/>
      <c r="L33" s="471"/>
      <c r="M33" s="471"/>
    </row>
    <row r="34" spans="1:13" x14ac:dyDescent="0.25">
      <c r="A34" s="472">
        <v>32</v>
      </c>
      <c r="B34" s="481" t="s">
        <v>487</v>
      </c>
      <c r="C34" s="482">
        <v>1</v>
      </c>
      <c r="D34" s="483">
        <v>229729</v>
      </c>
      <c r="E34" s="484">
        <f t="shared" ref="E34" si="3">C34*D34</f>
        <v>229729</v>
      </c>
      <c r="F34" s="481" t="s">
        <v>481</v>
      </c>
      <c r="G34" s="481" t="s">
        <v>369</v>
      </c>
      <c r="H34" s="496" t="s">
        <v>393</v>
      </c>
      <c r="I34" s="470"/>
      <c r="J34" s="471"/>
      <c r="K34" s="471"/>
      <c r="L34" s="471"/>
      <c r="M34" s="471"/>
    </row>
    <row r="35" spans="1:13" x14ac:dyDescent="0.25">
      <c r="A35" s="472">
        <v>33</v>
      </c>
      <c r="B35" s="502" t="s">
        <v>107</v>
      </c>
      <c r="C35" s="500">
        <v>1</v>
      </c>
      <c r="D35" s="501">
        <v>65000</v>
      </c>
      <c r="E35" s="474">
        <f>C35*D35</f>
        <v>65000</v>
      </c>
      <c r="F35" s="502" t="s">
        <v>364</v>
      </c>
      <c r="G35" s="502" t="s">
        <v>369</v>
      </c>
      <c r="H35" s="496"/>
      <c r="I35" s="470"/>
      <c r="J35" s="471"/>
      <c r="K35" s="471"/>
      <c r="L35" s="471"/>
      <c r="M35" s="471"/>
    </row>
    <row r="36" spans="1:13" x14ac:dyDescent="0.25">
      <c r="A36" s="472">
        <v>34</v>
      </c>
      <c r="B36" s="499" t="s">
        <v>559</v>
      </c>
      <c r="C36" s="500">
        <v>1</v>
      </c>
      <c r="D36" s="508">
        <v>350000</v>
      </c>
      <c r="E36" s="509">
        <f t="shared" ref="E36:E43" si="4">+C36*D36</f>
        <v>350000</v>
      </c>
      <c r="F36" s="510" t="s">
        <v>330</v>
      </c>
      <c r="G36" s="510" t="s">
        <v>369</v>
      </c>
      <c r="H36" s="496" t="s">
        <v>393</v>
      </c>
      <c r="I36" s="470"/>
      <c r="J36" s="471"/>
      <c r="K36" s="471"/>
      <c r="L36" s="471"/>
      <c r="M36" s="471"/>
    </row>
    <row r="37" spans="1:13" x14ac:dyDescent="0.25">
      <c r="A37" s="472">
        <v>35</v>
      </c>
      <c r="B37" s="511" t="s">
        <v>560</v>
      </c>
      <c r="C37" s="500">
        <v>1</v>
      </c>
      <c r="D37" s="508">
        <v>650000</v>
      </c>
      <c r="E37" s="509">
        <f t="shared" si="4"/>
        <v>650000</v>
      </c>
      <c r="F37" s="510" t="s">
        <v>329</v>
      </c>
      <c r="G37" s="510" t="s">
        <v>369</v>
      </c>
      <c r="H37" s="496" t="s">
        <v>393</v>
      </c>
      <c r="I37" s="470"/>
      <c r="J37" s="471"/>
      <c r="K37" s="471"/>
      <c r="L37" s="471"/>
      <c r="M37" s="471"/>
    </row>
    <row r="38" spans="1:13" x14ac:dyDescent="0.25">
      <c r="A38" s="472">
        <v>36</v>
      </c>
      <c r="B38" s="511" t="s">
        <v>561</v>
      </c>
      <c r="C38" s="500">
        <v>1</v>
      </c>
      <c r="D38" s="508">
        <v>100000</v>
      </c>
      <c r="E38" s="509">
        <f t="shared" si="4"/>
        <v>100000</v>
      </c>
      <c r="F38" s="510" t="s">
        <v>329</v>
      </c>
      <c r="G38" s="510" t="s">
        <v>369</v>
      </c>
      <c r="H38" s="496" t="s">
        <v>393</v>
      </c>
      <c r="I38" s="470"/>
      <c r="J38" s="471"/>
      <c r="K38" s="471"/>
      <c r="L38" s="471"/>
      <c r="M38" s="471"/>
    </row>
    <row r="39" spans="1:13" x14ac:dyDescent="0.25">
      <c r="A39" s="472">
        <v>37</v>
      </c>
      <c r="B39" s="511" t="s">
        <v>562</v>
      </c>
      <c r="C39" s="500">
        <v>2</v>
      </c>
      <c r="D39" s="508">
        <v>149000</v>
      </c>
      <c r="E39" s="509">
        <f t="shared" si="4"/>
        <v>298000</v>
      </c>
      <c r="F39" s="510" t="s">
        <v>329</v>
      </c>
      <c r="G39" s="510" t="s">
        <v>369</v>
      </c>
      <c r="H39" s="496" t="s">
        <v>393</v>
      </c>
      <c r="I39" s="470"/>
      <c r="J39" s="471"/>
      <c r="K39" s="471"/>
      <c r="L39" s="471"/>
      <c r="M39" s="471"/>
    </row>
    <row r="40" spans="1:13" x14ac:dyDescent="0.25">
      <c r="A40" s="472">
        <v>38</v>
      </c>
      <c r="B40" s="512" t="s">
        <v>616</v>
      </c>
      <c r="C40" s="513">
        <v>1</v>
      </c>
      <c r="D40" s="495">
        <v>2495000</v>
      </c>
      <c r="E40" s="495">
        <f t="shared" si="4"/>
        <v>2495000</v>
      </c>
      <c r="F40" s="511" t="s">
        <v>480</v>
      </c>
      <c r="G40" s="493" t="s">
        <v>369</v>
      </c>
      <c r="H40" s="496" t="s">
        <v>393</v>
      </c>
      <c r="I40" s="470"/>
      <c r="J40" s="471"/>
      <c r="K40" s="471"/>
      <c r="L40" s="471"/>
      <c r="M40" s="471"/>
    </row>
    <row r="41" spans="1:13" x14ac:dyDescent="0.25">
      <c r="A41" s="472">
        <v>39</v>
      </c>
      <c r="B41" s="511" t="s">
        <v>618</v>
      </c>
      <c r="C41" s="513">
        <v>1</v>
      </c>
      <c r="D41" s="495">
        <v>150000</v>
      </c>
      <c r="E41" s="495">
        <f t="shared" si="4"/>
        <v>150000</v>
      </c>
      <c r="F41" s="511" t="s">
        <v>617</v>
      </c>
      <c r="G41" s="493" t="s">
        <v>369</v>
      </c>
      <c r="H41" s="496" t="s">
        <v>1076</v>
      </c>
      <c r="I41" s="470"/>
      <c r="J41" s="471"/>
      <c r="K41" s="471"/>
      <c r="L41" s="471"/>
      <c r="M41" s="471"/>
    </row>
    <row r="42" spans="1:13" x14ac:dyDescent="0.25">
      <c r="A42" s="472">
        <v>40</v>
      </c>
      <c r="B42" s="511" t="s">
        <v>619</v>
      </c>
      <c r="C42" s="513">
        <v>2</v>
      </c>
      <c r="D42" s="495">
        <v>550000</v>
      </c>
      <c r="E42" s="495">
        <f t="shared" si="4"/>
        <v>1100000</v>
      </c>
      <c r="F42" s="511" t="s">
        <v>617</v>
      </c>
      <c r="G42" s="493" t="s">
        <v>369</v>
      </c>
      <c r="H42" s="496" t="s">
        <v>1077</v>
      </c>
      <c r="I42" s="470"/>
      <c r="J42" s="471"/>
      <c r="K42" s="471"/>
      <c r="L42" s="471"/>
      <c r="M42" s="471"/>
    </row>
    <row r="43" spans="1:13" x14ac:dyDescent="0.25">
      <c r="A43" s="472">
        <v>41</v>
      </c>
      <c r="B43" s="511" t="s">
        <v>622</v>
      </c>
      <c r="C43" s="513">
        <v>1</v>
      </c>
      <c r="D43" s="495">
        <v>30000</v>
      </c>
      <c r="E43" s="514">
        <f t="shared" si="4"/>
        <v>30000</v>
      </c>
      <c r="F43" s="511" t="s">
        <v>623</v>
      </c>
      <c r="G43" s="493" t="s">
        <v>369</v>
      </c>
      <c r="H43" s="496" t="s">
        <v>528</v>
      </c>
      <c r="I43" s="470"/>
      <c r="J43" s="471"/>
      <c r="K43" s="471"/>
      <c r="L43" s="471"/>
      <c r="M43" s="471"/>
    </row>
    <row r="44" spans="1:13" x14ac:dyDescent="0.25">
      <c r="A44" s="472">
        <v>42</v>
      </c>
      <c r="B44" s="511" t="s">
        <v>627</v>
      </c>
      <c r="C44" s="513">
        <v>1</v>
      </c>
      <c r="D44" s="495">
        <v>190000</v>
      </c>
      <c r="E44" s="495">
        <f>+C44*D44</f>
        <v>190000</v>
      </c>
      <c r="F44" s="511" t="s">
        <v>626</v>
      </c>
      <c r="G44" s="493" t="s">
        <v>369</v>
      </c>
      <c r="H44" s="496" t="str">
        <f>+H51</f>
        <v>เบิกจ่ายแล้ว</v>
      </c>
      <c r="I44" s="470"/>
      <c r="J44" s="471"/>
      <c r="K44" s="471"/>
      <c r="L44" s="471"/>
      <c r="M44" s="471"/>
    </row>
    <row r="45" spans="1:13" s="491" customFormat="1" ht="46.8" x14ac:dyDescent="0.25">
      <c r="A45" s="485">
        <v>43</v>
      </c>
      <c r="B45" s="515" t="s">
        <v>879</v>
      </c>
      <c r="C45" s="516">
        <v>1</v>
      </c>
      <c r="D45" s="517">
        <v>2700000</v>
      </c>
      <c r="E45" s="518">
        <f t="shared" ref="E45:E48" si="5">+C45*D45</f>
        <v>2700000</v>
      </c>
      <c r="F45" s="519" t="s">
        <v>602</v>
      </c>
      <c r="G45" s="520" t="s">
        <v>369</v>
      </c>
      <c r="H45" s="480" t="s">
        <v>1078</v>
      </c>
      <c r="I45" s="489"/>
      <c r="J45" s="490"/>
      <c r="K45" s="490"/>
      <c r="L45" s="490"/>
      <c r="M45" s="490"/>
    </row>
    <row r="46" spans="1:13" x14ac:dyDescent="0.25">
      <c r="A46" s="472">
        <v>44</v>
      </c>
      <c r="B46" s="481" t="s">
        <v>681</v>
      </c>
      <c r="C46" s="482">
        <v>1</v>
      </c>
      <c r="D46" s="503">
        <v>650000</v>
      </c>
      <c r="E46" s="495">
        <f t="shared" si="5"/>
        <v>650000</v>
      </c>
      <c r="F46" s="481" t="s">
        <v>602</v>
      </c>
      <c r="G46" s="493" t="s">
        <v>369</v>
      </c>
      <c r="H46" s="480" t="s">
        <v>1078</v>
      </c>
      <c r="I46" s="470"/>
      <c r="J46" s="471"/>
      <c r="K46" s="471"/>
      <c r="L46" s="471"/>
      <c r="M46" s="471"/>
    </row>
    <row r="47" spans="1:13" x14ac:dyDescent="0.25">
      <c r="A47" s="472">
        <v>45</v>
      </c>
      <c r="B47" s="481" t="s">
        <v>682</v>
      </c>
      <c r="C47" s="482">
        <v>1</v>
      </c>
      <c r="D47" s="503">
        <v>1337500</v>
      </c>
      <c r="E47" s="495">
        <f t="shared" si="5"/>
        <v>1337500</v>
      </c>
      <c r="F47" s="481" t="s">
        <v>602</v>
      </c>
      <c r="G47" s="493" t="s">
        <v>369</v>
      </c>
      <c r="H47" s="480" t="s">
        <v>1078</v>
      </c>
      <c r="I47" s="470"/>
      <c r="J47" s="471"/>
      <c r="K47" s="471"/>
      <c r="L47" s="471"/>
      <c r="M47" s="471"/>
    </row>
    <row r="48" spans="1:13" x14ac:dyDescent="0.25">
      <c r="A48" s="472">
        <v>46</v>
      </c>
      <c r="B48" s="481" t="s">
        <v>683</v>
      </c>
      <c r="C48" s="482">
        <v>1</v>
      </c>
      <c r="D48" s="503">
        <v>448598.13</v>
      </c>
      <c r="E48" s="495">
        <f t="shared" si="5"/>
        <v>448598.13</v>
      </c>
      <c r="F48" s="481" t="s">
        <v>602</v>
      </c>
      <c r="G48" s="493" t="s">
        <v>369</v>
      </c>
      <c r="H48" s="480" t="s">
        <v>1078</v>
      </c>
      <c r="I48" s="470"/>
      <c r="J48" s="471"/>
      <c r="K48" s="471"/>
      <c r="L48" s="471"/>
      <c r="M48" s="471"/>
    </row>
    <row r="49" spans="1:13" x14ac:dyDescent="0.25">
      <c r="A49" s="472">
        <v>47</v>
      </c>
      <c r="B49" s="481" t="s">
        <v>680</v>
      </c>
      <c r="C49" s="482">
        <v>1</v>
      </c>
      <c r="D49" s="503">
        <v>4500000</v>
      </c>
      <c r="E49" s="495">
        <f t="shared" ref="E49:E86" si="6">+C49*D49</f>
        <v>4500000</v>
      </c>
      <c r="F49" s="481" t="s">
        <v>602</v>
      </c>
      <c r="G49" s="493" t="s">
        <v>369</v>
      </c>
      <c r="H49" s="480" t="s">
        <v>1078</v>
      </c>
      <c r="I49" s="470"/>
      <c r="J49" s="471"/>
      <c r="K49" s="471"/>
      <c r="L49" s="471"/>
      <c r="M49" s="471"/>
    </row>
    <row r="50" spans="1:13" x14ac:dyDescent="0.25">
      <c r="A50" s="472">
        <v>48</v>
      </c>
      <c r="B50" s="511" t="s">
        <v>685</v>
      </c>
      <c r="C50" s="513">
        <v>1</v>
      </c>
      <c r="D50" s="521">
        <v>2200000</v>
      </c>
      <c r="E50" s="495">
        <f t="shared" si="6"/>
        <v>2200000</v>
      </c>
      <c r="F50" s="511" t="s">
        <v>324</v>
      </c>
      <c r="G50" s="493" t="s">
        <v>369</v>
      </c>
      <c r="H50" s="496" t="s">
        <v>393</v>
      </c>
      <c r="I50" s="470"/>
      <c r="J50" s="471"/>
      <c r="K50" s="471"/>
      <c r="L50" s="471"/>
      <c r="M50" s="471"/>
    </row>
    <row r="51" spans="1:13" x14ac:dyDescent="0.25">
      <c r="A51" s="472">
        <v>49</v>
      </c>
      <c r="B51" s="481" t="s">
        <v>689</v>
      </c>
      <c r="C51" s="482">
        <v>6</v>
      </c>
      <c r="D51" s="503">
        <v>24610</v>
      </c>
      <c r="E51" s="495">
        <f t="shared" si="6"/>
        <v>147660</v>
      </c>
      <c r="F51" s="481" t="s">
        <v>324</v>
      </c>
      <c r="G51" s="493" t="s">
        <v>369</v>
      </c>
      <c r="H51" s="496" t="s">
        <v>393</v>
      </c>
      <c r="I51" s="470"/>
      <c r="J51" s="471"/>
      <c r="K51" s="471"/>
      <c r="L51" s="471"/>
      <c r="M51" s="471"/>
    </row>
    <row r="52" spans="1:13" x14ac:dyDescent="0.25">
      <c r="A52" s="472">
        <v>50</v>
      </c>
      <c r="B52" s="481" t="s">
        <v>691</v>
      </c>
      <c r="C52" s="482">
        <v>1</v>
      </c>
      <c r="D52" s="503">
        <v>85600</v>
      </c>
      <c r="E52" s="495">
        <f t="shared" si="6"/>
        <v>85600</v>
      </c>
      <c r="F52" s="481" t="s">
        <v>324</v>
      </c>
      <c r="G52" s="493" t="s">
        <v>369</v>
      </c>
      <c r="H52" s="496" t="s">
        <v>393</v>
      </c>
      <c r="I52" s="470"/>
      <c r="J52" s="471"/>
      <c r="K52" s="471"/>
      <c r="L52" s="471"/>
      <c r="M52" s="471"/>
    </row>
    <row r="53" spans="1:13" x14ac:dyDescent="0.25">
      <c r="A53" s="472">
        <v>51</v>
      </c>
      <c r="B53" s="481" t="s">
        <v>692</v>
      </c>
      <c r="C53" s="482">
        <v>1</v>
      </c>
      <c r="D53" s="522">
        <v>8700</v>
      </c>
      <c r="E53" s="495">
        <f t="shared" si="6"/>
        <v>8700</v>
      </c>
      <c r="F53" s="481" t="s">
        <v>728</v>
      </c>
      <c r="G53" s="493" t="s">
        <v>369</v>
      </c>
      <c r="H53" s="496" t="s">
        <v>393</v>
      </c>
      <c r="I53" s="470"/>
      <c r="J53" s="471"/>
      <c r="K53" s="471"/>
      <c r="L53" s="471"/>
      <c r="M53" s="471"/>
    </row>
    <row r="54" spans="1:13" x14ac:dyDescent="0.25">
      <c r="A54" s="472">
        <v>52</v>
      </c>
      <c r="B54" s="504" t="s">
        <v>693</v>
      </c>
      <c r="C54" s="505">
        <v>1</v>
      </c>
      <c r="D54" s="506">
        <v>6000</v>
      </c>
      <c r="E54" s="495">
        <f t="shared" si="6"/>
        <v>6000</v>
      </c>
      <c r="F54" s="523" t="s">
        <v>375</v>
      </c>
      <c r="G54" s="493" t="s">
        <v>369</v>
      </c>
      <c r="H54" s="496" t="s">
        <v>393</v>
      </c>
      <c r="I54" s="470"/>
      <c r="J54" s="471"/>
      <c r="K54" s="471"/>
      <c r="L54" s="471"/>
      <c r="M54" s="471"/>
    </row>
    <row r="55" spans="1:13" x14ac:dyDescent="0.25">
      <c r="A55" s="472">
        <v>53</v>
      </c>
      <c r="B55" s="481" t="s">
        <v>695</v>
      </c>
      <c r="C55" s="482">
        <v>1</v>
      </c>
      <c r="D55" s="503">
        <v>35000</v>
      </c>
      <c r="E55" s="495">
        <f t="shared" si="6"/>
        <v>35000</v>
      </c>
      <c r="F55" s="481" t="s">
        <v>729</v>
      </c>
      <c r="G55" s="493" t="s">
        <v>369</v>
      </c>
      <c r="H55" s="496" t="s">
        <v>393</v>
      </c>
      <c r="I55" s="470"/>
      <c r="J55" s="471"/>
      <c r="K55" s="471"/>
      <c r="L55" s="471"/>
      <c r="M55" s="471"/>
    </row>
    <row r="56" spans="1:13" x14ac:dyDescent="0.25">
      <c r="A56" s="472">
        <v>54</v>
      </c>
      <c r="B56" s="481" t="s">
        <v>697</v>
      </c>
      <c r="C56" s="482">
        <v>1</v>
      </c>
      <c r="D56" s="503">
        <v>25000</v>
      </c>
      <c r="E56" s="495">
        <f t="shared" si="6"/>
        <v>25000</v>
      </c>
      <c r="F56" s="481" t="s">
        <v>731</v>
      </c>
      <c r="G56" s="493" t="s">
        <v>369</v>
      </c>
      <c r="H56" s="496" t="s">
        <v>393</v>
      </c>
      <c r="I56" s="470"/>
      <c r="J56" s="471"/>
      <c r="K56" s="471"/>
      <c r="L56" s="471"/>
      <c r="M56" s="471"/>
    </row>
    <row r="57" spans="1:13" x14ac:dyDescent="0.25">
      <c r="A57" s="472">
        <v>55</v>
      </c>
      <c r="B57" s="481" t="s">
        <v>698</v>
      </c>
      <c r="C57" s="482">
        <v>1</v>
      </c>
      <c r="D57" s="503">
        <v>28500</v>
      </c>
      <c r="E57" s="495">
        <f t="shared" si="6"/>
        <v>28500</v>
      </c>
      <c r="F57" s="481" t="s">
        <v>731</v>
      </c>
      <c r="G57" s="493" t="s">
        <v>369</v>
      </c>
      <c r="H57" s="496" t="s">
        <v>393</v>
      </c>
      <c r="I57" s="470"/>
      <c r="J57" s="471"/>
      <c r="K57" s="471"/>
      <c r="L57" s="471"/>
      <c r="M57" s="471"/>
    </row>
    <row r="58" spans="1:13" x14ac:dyDescent="0.25">
      <c r="A58" s="472">
        <v>56</v>
      </c>
      <c r="B58" s="481" t="s">
        <v>700</v>
      </c>
      <c r="C58" s="482">
        <v>1</v>
      </c>
      <c r="D58" s="503">
        <v>75000</v>
      </c>
      <c r="E58" s="495">
        <f t="shared" si="6"/>
        <v>75000</v>
      </c>
      <c r="F58" s="481" t="s">
        <v>733</v>
      </c>
      <c r="G58" s="493" t="s">
        <v>369</v>
      </c>
      <c r="H58" s="496" t="s">
        <v>393</v>
      </c>
      <c r="I58" s="470"/>
      <c r="J58" s="471"/>
      <c r="K58" s="471"/>
      <c r="L58" s="471"/>
      <c r="M58" s="471"/>
    </row>
    <row r="59" spans="1:13" x14ac:dyDescent="0.25">
      <c r="A59" s="472">
        <v>57</v>
      </c>
      <c r="B59" s="481" t="s">
        <v>701</v>
      </c>
      <c r="C59" s="482">
        <v>1</v>
      </c>
      <c r="D59" s="503">
        <v>85000</v>
      </c>
      <c r="E59" s="495">
        <f t="shared" si="6"/>
        <v>85000</v>
      </c>
      <c r="F59" s="481" t="s">
        <v>373</v>
      </c>
      <c r="G59" s="493" t="s">
        <v>369</v>
      </c>
      <c r="H59" s="496" t="s">
        <v>393</v>
      </c>
      <c r="I59" s="470"/>
      <c r="J59" s="471"/>
      <c r="K59" s="471"/>
      <c r="L59" s="471"/>
      <c r="M59" s="471"/>
    </row>
    <row r="60" spans="1:13" x14ac:dyDescent="0.25">
      <c r="A60" s="472">
        <v>58</v>
      </c>
      <c r="B60" s="481" t="s">
        <v>701</v>
      </c>
      <c r="C60" s="482">
        <v>1</v>
      </c>
      <c r="D60" s="503">
        <v>85000</v>
      </c>
      <c r="E60" s="495">
        <f t="shared" si="6"/>
        <v>85000</v>
      </c>
      <c r="F60" s="481" t="s">
        <v>373</v>
      </c>
      <c r="G60" s="493" t="s">
        <v>369</v>
      </c>
      <c r="H60" s="496" t="s">
        <v>393</v>
      </c>
      <c r="I60" s="470"/>
      <c r="J60" s="471"/>
      <c r="K60" s="471"/>
      <c r="L60" s="471"/>
      <c r="M60" s="471"/>
    </row>
    <row r="61" spans="1:13" x14ac:dyDescent="0.25">
      <c r="A61" s="472">
        <v>59</v>
      </c>
      <c r="B61" s="481" t="s">
        <v>702</v>
      </c>
      <c r="C61" s="482">
        <v>1</v>
      </c>
      <c r="D61" s="503">
        <v>20000</v>
      </c>
      <c r="E61" s="495">
        <f t="shared" si="6"/>
        <v>20000</v>
      </c>
      <c r="F61" s="481" t="s">
        <v>373</v>
      </c>
      <c r="G61" s="493" t="s">
        <v>369</v>
      </c>
      <c r="H61" s="496" t="s">
        <v>393</v>
      </c>
      <c r="I61" s="470"/>
      <c r="J61" s="471"/>
      <c r="K61" s="471"/>
      <c r="L61" s="471"/>
      <c r="M61" s="471"/>
    </row>
    <row r="62" spans="1:13" x14ac:dyDescent="0.25">
      <c r="A62" s="472">
        <v>60</v>
      </c>
      <c r="B62" s="504" t="s">
        <v>703</v>
      </c>
      <c r="C62" s="505">
        <v>1</v>
      </c>
      <c r="D62" s="506">
        <v>12000</v>
      </c>
      <c r="E62" s="495">
        <f t="shared" si="6"/>
        <v>12000</v>
      </c>
      <c r="F62" s="523" t="s">
        <v>734</v>
      </c>
      <c r="G62" s="493" t="s">
        <v>369</v>
      </c>
      <c r="H62" s="496" t="s">
        <v>393</v>
      </c>
      <c r="I62" s="470"/>
      <c r="J62" s="471"/>
      <c r="K62" s="471"/>
      <c r="L62" s="471"/>
      <c r="M62" s="471"/>
    </row>
    <row r="63" spans="1:13" x14ac:dyDescent="0.25">
      <c r="A63" s="472">
        <v>61</v>
      </c>
      <c r="B63" s="523" t="s">
        <v>704</v>
      </c>
      <c r="C63" s="482">
        <v>3</v>
      </c>
      <c r="D63" s="524">
        <v>9000</v>
      </c>
      <c r="E63" s="495">
        <f t="shared" si="6"/>
        <v>27000</v>
      </c>
      <c r="F63" s="523" t="s">
        <v>735</v>
      </c>
      <c r="G63" s="493" t="s">
        <v>369</v>
      </c>
      <c r="H63" s="496" t="s">
        <v>393</v>
      </c>
      <c r="I63" s="470"/>
      <c r="J63" s="471"/>
      <c r="K63" s="471"/>
      <c r="L63" s="471"/>
      <c r="M63" s="471"/>
    </row>
    <row r="64" spans="1:13" x14ac:dyDescent="0.25">
      <c r="A64" s="472">
        <v>62</v>
      </c>
      <c r="B64" s="481" t="s">
        <v>705</v>
      </c>
      <c r="C64" s="482">
        <v>1</v>
      </c>
      <c r="D64" s="481">
        <v>85000</v>
      </c>
      <c r="E64" s="495">
        <f t="shared" si="6"/>
        <v>85000</v>
      </c>
      <c r="F64" s="481" t="s">
        <v>736</v>
      </c>
      <c r="G64" s="493" t="s">
        <v>369</v>
      </c>
      <c r="H64" s="496" t="s">
        <v>393</v>
      </c>
      <c r="I64" s="470"/>
      <c r="J64" s="471"/>
      <c r="K64" s="471"/>
      <c r="L64" s="471"/>
      <c r="M64" s="471"/>
    </row>
    <row r="65" spans="1:13" x14ac:dyDescent="0.25">
      <c r="A65" s="472">
        <v>63</v>
      </c>
      <c r="B65" s="481" t="s">
        <v>706</v>
      </c>
      <c r="C65" s="482">
        <v>1</v>
      </c>
      <c r="D65" s="503">
        <v>280000</v>
      </c>
      <c r="E65" s="495">
        <f t="shared" si="6"/>
        <v>280000</v>
      </c>
      <c r="F65" s="481" t="s">
        <v>332</v>
      </c>
      <c r="G65" s="493" t="s">
        <v>369</v>
      </c>
      <c r="H65" s="496" t="s">
        <v>393</v>
      </c>
      <c r="I65" s="470"/>
      <c r="J65" s="471"/>
      <c r="K65" s="471"/>
      <c r="L65" s="471"/>
      <c r="M65" s="471"/>
    </row>
    <row r="66" spans="1:13" x14ac:dyDescent="0.25">
      <c r="A66" s="472">
        <v>64</v>
      </c>
      <c r="B66" s="481" t="s">
        <v>707</v>
      </c>
      <c r="C66" s="482">
        <v>1</v>
      </c>
      <c r="D66" s="503">
        <v>15000</v>
      </c>
      <c r="E66" s="495">
        <f t="shared" si="6"/>
        <v>15000</v>
      </c>
      <c r="F66" s="481" t="s">
        <v>332</v>
      </c>
      <c r="G66" s="493" t="s">
        <v>369</v>
      </c>
      <c r="H66" s="496" t="s">
        <v>393</v>
      </c>
      <c r="I66" s="470"/>
      <c r="J66" s="471"/>
      <c r="K66" s="471"/>
      <c r="L66" s="471"/>
      <c r="M66" s="471"/>
    </row>
    <row r="67" spans="1:13" x14ac:dyDescent="0.25">
      <c r="A67" s="472">
        <v>65</v>
      </c>
      <c r="B67" s="481" t="s">
        <v>708</v>
      </c>
      <c r="C67" s="482">
        <v>1</v>
      </c>
      <c r="D67" s="503">
        <v>60000</v>
      </c>
      <c r="E67" s="495">
        <f t="shared" si="6"/>
        <v>60000</v>
      </c>
      <c r="F67" s="481" t="s">
        <v>626</v>
      </c>
      <c r="G67" s="493" t="s">
        <v>369</v>
      </c>
      <c r="H67" s="496" t="s">
        <v>393</v>
      </c>
      <c r="I67" s="470"/>
      <c r="J67" s="471"/>
      <c r="K67" s="471"/>
      <c r="L67" s="471"/>
      <c r="M67" s="471"/>
    </row>
    <row r="68" spans="1:13" x14ac:dyDescent="0.25">
      <c r="A68" s="472">
        <v>66</v>
      </c>
      <c r="B68" s="481" t="s">
        <v>710</v>
      </c>
      <c r="C68" s="482">
        <v>2</v>
      </c>
      <c r="D68" s="503">
        <v>49950</v>
      </c>
      <c r="E68" s="495">
        <f t="shared" si="6"/>
        <v>99900</v>
      </c>
      <c r="F68" s="481" t="s">
        <v>737</v>
      </c>
      <c r="G68" s="493" t="s">
        <v>369</v>
      </c>
      <c r="H68" s="496" t="s">
        <v>393</v>
      </c>
      <c r="I68" s="470"/>
      <c r="J68" s="471"/>
      <c r="K68" s="471"/>
      <c r="L68" s="471"/>
      <c r="M68" s="471"/>
    </row>
    <row r="69" spans="1:13" x14ac:dyDescent="0.25">
      <c r="A69" s="472">
        <v>67</v>
      </c>
      <c r="B69" s="481" t="s">
        <v>711</v>
      </c>
      <c r="C69" s="482">
        <v>1</v>
      </c>
      <c r="D69" s="503">
        <v>850000</v>
      </c>
      <c r="E69" s="495">
        <f t="shared" si="6"/>
        <v>850000</v>
      </c>
      <c r="F69" s="481" t="s">
        <v>738</v>
      </c>
      <c r="G69" s="493" t="s">
        <v>369</v>
      </c>
      <c r="H69" s="496" t="s">
        <v>393</v>
      </c>
      <c r="I69" s="470"/>
      <c r="J69" s="471"/>
      <c r="K69" s="471"/>
      <c r="L69" s="471"/>
      <c r="M69" s="471"/>
    </row>
    <row r="70" spans="1:13" x14ac:dyDescent="0.25">
      <c r="A70" s="472">
        <v>68</v>
      </c>
      <c r="B70" s="481" t="s">
        <v>713</v>
      </c>
      <c r="C70" s="482">
        <v>1</v>
      </c>
      <c r="D70" s="503">
        <v>30000</v>
      </c>
      <c r="E70" s="495">
        <f t="shared" si="6"/>
        <v>30000</v>
      </c>
      <c r="F70" s="481" t="s">
        <v>510</v>
      </c>
      <c r="G70" s="493" t="s">
        <v>369</v>
      </c>
      <c r="H70" s="496" t="s">
        <v>393</v>
      </c>
      <c r="I70" s="470"/>
      <c r="J70" s="471"/>
      <c r="K70" s="471"/>
      <c r="L70" s="471"/>
      <c r="M70" s="471"/>
    </row>
    <row r="71" spans="1:13" x14ac:dyDescent="0.25">
      <c r="A71" s="472">
        <v>69</v>
      </c>
      <c r="B71" s="481" t="s">
        <v>714</v>
      </c>
      <c r="C71" s="482">
        <v>1</v>
      </c>
      <c r="D71" s="503">
        <v>14000</v>
      </c>
      <c r="E71" s="495">
        <f t="shared" si="6"/>
        <v>14000</v>
      </c>
      <c r="F71" s="481" t="s">
        <v>510</v>
      </c>
      <c r="G71" s="493" t="s">
        <v>369</v>
      </c>
      <c r="H71" s="496" t="s">
        <v>393</v>
      </c>
      <c r="I71" s="470"/>
      <c r="J71" s="471"/>
      <c r="K71" s="471"/>
      <c r="L71" s="471"/>
      <c r="M71" s="471"/>
    </row>
    <row r="72" spans="1:13" x14ac:dyDescent="0.25">
      <c r="A72" s="472">
        <v>70</v>
      </c>
      <c r="B72" s="481" t="s">
        <v>715</v>
      </c>
      <c r="C72" s="482">
        <v>1</v>
      </c>
      <c r="D72" s="503">
        <v>5000</v>
      </c>
      <c r="E72" s="495">
        <f t="shared" si="6"/>
        <v>5000</v>
      </c>
      <c r="F72" s="481" t="s">
        <v>510</v>
      </c>
      <c r="G72" s="493" t="s">
        <v>369</v>
      </c>
      <c r="H72" s="496" t="s">
        <v>393</v>
      </c>
      <c r="I72" s="470"/>
      <c r="J72" s="471"/>
      <c r="K72" s="471"/>
      <c r="L72" s="471"/>
      <c r="M72" s="471"/>
    </row>
    <row r="73" spans="1:13" x14ac:dyDescent="0.25">
      <c r="A73" s="472">
        <v>71</v>
      </c>
      <c r="B73" s="481" t="s">
        <v>716</v>
      </c>
      <c r="C73" s="482">
        <v>1</v>
      </c>
      <c r="D73" s="503">
        <v>350000</v>
      </c>
      <c r="E73" s="495">
        <f t="shared" si="6"/>
        <v>350000</v>
      </c>
      <c r="F73" s="481" t="s">
        <v>602</v>
      </c>
      <c r="G73" s="493" t="s">
        <v>369</v>
      </c>
      <c r="H73" s="496" t="s">
        <v>393</v>
      </c>
      <c r="I73" s="470"/>
      <c r="J73" s="471"/>
      <c r="K73" s="471"/>
      <c r="L73" s="471"/>
      <c r="M73" s="471"/>
    </row>
    <row r="74" spans="1:13" x14ac:dyDescent="0.25">
      <c r="A74" s="472">
        <v>72</v>
      </c>
      <c r="B74" s="481" t="s">
        <v>100</v>
      </c>
      <c r="C74" s="482">
        <v>1</v>
      </c>
      <c r="D74" s="503">
        <v>579900</v>
      </c>
      <c r="E74" s="495">
        <f t="shared" si="6"/>
        <v>579900</v>
      </c>
      <c r="F74" s="481" t="s">
        <v>328</v>
      </c>
      <c r="G74" s="493" t="s">
        <v>369</v>
      </c>
      <c r="H74" s="496" t="s">
        <v>528</v>
      </c>
      <c r="I74" s="470"/>
      <c r="J74" s="471"/>
      <c r="K74" s="471"/>
      <c r="L74" s="471"/>
      <c r="M74" s="471"/>
    </row>
    <row r="75" spans="1:13" x14ac:dyDescent="0.25">
      <c r="A75" s="472">
        <v>73</v>
      </c>
      <c r="B75" s="481" t="s">
        <v>717</v>
      </c>
      <c r="C75" s="482">
        <v>1</v>
      </c>
      <c r="D75" s="503">
        <v>35100</v>
      </c>
      <c r="E75" s="495">
        <f t="shared" si="6"/>
        <v>35100</v>
      </c>
      <c r="F75" s="481" t="s">
        <v>328</v>
      </c>
      <c r="G75" s="493" t="s">
        <v>369</v>
      </c>
      <c r="H75" s="496" t="s">
        <v>393</v>
      </c>
      <c r="I75" s="470"/>
      <c r="J75" s="471"/>
      <c r="K75" s="471"/>
      <c r="L75" s="471"/>
      <c r="M75" s="471"/>
    </row>
    <row r="76" spans="1:13" x14ac:dyDescent="0.25">
      <c r="A76" s="472">
        <v>74</v>
      </c>
      <c r="B76" s="481" t="s">
        <v>720</v>
      </c>
      <c r="C76" s="482">
        <v>1</v>
      </c>
      <c r="D76" s="503">
        <v>180000</v>
      </c>
      <c r="E76" s="495">
        <f t="shared" si="6"/>
        <v>180000</v>
      </c>
      <c r="F76" s="481" t="s">
        <v>621</v>
      </c>
      <c r="G76" s="493" t="s">
        <v>369</v>
      </c>
      <c r="H76" s="496" t="s">
        <v>393</v>
      </c>
      <c r="I76" s="470"/>
      <c r="J76" s="471"/>
      <c r="K76" s="471"/>
      <c r="L76" s="471"/>
      <c r="M76" s="471"/>
    </row>
    <row r="77" spans="1:13" x14ac:dyDescent="0.25">
      <c r="A77" s="472">
        <v>75</v>
      </c>
      <c r="B77" s="481" t="s">
        <v>745</v>
      </c>
      <c r="C77" s="482">
        <v>1</v>
      </c>
      <c r="D77" s="503">
        <v>74000</v>
      </c>
      <c r="E77" s="495">
        <f t="shared" si="6"/>
        <v>74000</v>
      </c>
      <c r="F77" s="481" t="s">
        <v>739</v>
      </c>
      <c r="G77" s="493" t="s">
        <v>369</v>
      </c>
      <c r="H77" s="496" t="s">
        <v>393</v>
      </c>
      <c r="I77" s="470"/>
      <c r="J77" s="471"/>
      <c r="K77" s="471"/>
      <c r="L77" s="471"/>
      <c r="M77" s="471"/>
    </row>
    <row r="78" spans="1:13" x14ac:dyDescent="0.25">
      <c r="A78" s="472">
        <v>76</v>
      </c>
      <c r="B78" s="481" t="s">
        <v>746</v>
      </c>
      <c r="C78" s="482">
        <v>1</v>
      </c>
      <c r="D78" s="503">
        <v>80000</v>
      </c>
      <c r="E78" s="495">
        <f t="shared" si="6"/>
        <v>80000</v>
      </c>
      <c r="F78" s="481" t="s">
        <v>739</v>
      </c>
      <c r="G78" s="493" t="s">
        <v>369</v>
      </c>
      <c r="H78" s="496" t="s">
        <v>393</v>
      </c>
      <c r="I78" s="470"/>
      <c r="J78" s="471"/>
      <c r="K78" s="471"/>
      <c r="L78" s="471"/>
      <c r="M78" s="471"/>
    </row>
    <row r="79" spans="1:13" x14ac:dyDescent="0.25">
      <c r="A79" s="472">
        <v>77</v>
      </c>
      <c r="B79" s="481" t="s">
        <v>747</v>
      </c>
      <c r="C79" s="482">
        <v>1</v>
      </c>
      <c r="D79" s="503">
        <v>14000</v>
      </c>
      <c r="E79" s="495">
        <f t="shared" si="6"/>
        <v>14000</v>
      </c>
      <c r="F79" s="481" t="s">
        <v>739</v>
      </c>
      <c r="G79" s="493" t="s">
        <v>369</v>
      </c>
      <c r="H79" s="496" t="s">
        <v>393</v>
      </c>
      <c r="I79" s="470"/>
      <c r="J79" s="471"/>
      <c r="K79" s="471"/>
      <c r="L79" s="471"/>
      <c r="M79" s="471"/>
    </row>
    <row r="80" spans="1:13" x14ac:dyDescent="0.25">
      <c r="A80" s="472">
        <v>78</v>
      </c>
      <c r="B80" s="481" t="s">
        <v>722</v>
      </c>
      <c r="C80" s="482">
        <v>1</v>
      </c>
      <c r="D80" s="503">
        <v>405000</v>
      </c>
      <c r="E80" s="495">
        <f t="shared" si="6"/>
        <v>405000</v>
      </c>
      <c r="F80" s="481" t="s">
        <v>337</v>
      </c>
      <c r="G80" s="493" t="s">
        <v>369</v>
      </c>
      <c r="H80" s="496" t="s">
        <v>393</v>
      </c>
      <c r="I80" s="470"/>
      <c r="J80" s="471"/>
      <c r="K80" s="471"/>
      <c r="L80" s="471"/>
      <c r="M80" s="471"/>
    </row>
    <row r="81" spans="1:13" x14ac:dyDescent="0.25">
      <c r="A81" s="472">
        <v>79</v>
      </c>
      <c r="B81" s="481" t="s">
        <v>723</v>
      </c>
      <c r="C81" s="482">
        <v>2</v>
      </c>
      <c r="D81" s="503">
        <v>200000</v>
      </c>
      <c r="E81" s="495">
        <f t="shared" si="6"/>
        <v>400000</v>
      </c>
      <c r="F81" s="481" t="s">
        <v>617</v>
      </c>
      <c r="G81" s="493" t="s">
        <v>369</v>
      </c>
      <c r="H81" s="496" t="s">
        <v>393</v>
      </c>
      <c r="I81" s="470"/>
      <c r="J81" s="471"/>
      <c r="K81" s="471"/>
      <c r="L81" s="471"/>
      <c r="M81" s="471"/>
    </row>
    <row r="82" spans="1:13" x14ac:dyDescent="0.25">
      <c r="A82" s="472">
        <v>80</v>
      </c>
      <c r="B82" s="481" t="s">
        <v>101</v>
      </c>
      <c r="C82" s="482">
        <v>2</v>
      </c>
      <c r="D82" s="503">
        <v>120000</v>
      </c>
      <c r="E82" s="495">
        <f t="shared" si="6"/>
        <v>240000</v>
      </c>
      <c r="F82" s="481" t="s">
        <v>740</v>
      </c>
      <c r="G82" s="493" t="s">
        <v>369</v>
      </c>
      <c r="H82" s="496" t="s">
        <v>393</v>
      </c>
      <c r="I82" s="470"/>
      <c r="J82" s="471"/>
      <c r="K82" s="471"/>
      <c r="L82" s="471"/>
      <c r="M82" s="471"/>
    </row>
    <row r="83" spans="1:13" x14ac:dyDescent="0.25">
      <c r="A83" s="472">
        <v>81</v>
      </c>
      <c r="B83" s="504" t="s">
        <v>1039</v>
      </c>
      <c r="C83" s="505">
        <v>1</v>
      </c>
      <c r="D83" s="506">
        <v>20000</v>
      </c>
      <c r="E83" s="495">
        <f t="shared" si="6"/>
        <v>20000</v>
      </c>
      <c r="F83" s="504" t="s">
        <v>741</v>
      </c>
      <c r="G83" s="493" t="s">
        <v>369</v>
      </c>
      <c r="H83" s="496" t="s">
        <v>393</v>
      </c>
      <c r="I83" s="470"/>
      <c r="J83" s="471"/>
      <c r="K83" s="471"/>
      <c r="L83" s="471"/>
      <c r="M83" s="471"/>
    </row>
    <row r="84" spans="1:13" x14ac:dyDescent="0.25">
      <c r="A84" s="472">
        <v>82</v>
      </c>
      <c r="B84" s="511" t="s">
        <v>1040</v>
      </c>
      <c r="C84" s="513">
        <v>1</v>
      </c>
      <c r="D84" s="495">
        <v>9800</v>
      </c>
      <c r="E84" s="495">
        <f t="shared" si="6"/>
        <v>9800</v>
      </c>
      <c r="F84" s="511" t="s">
        <v>553</v>
      </c>
      <c r="G84" s="493" t="s">
        <v>369</v>
      </c>
      <c r="H84" s="496" t="s">
        <v>1073</v>
      </c>
      <c r="I84" s="470"/>
      <c r="J84" s="471"/>
      <c r="K84" s="471"/>
      <c r="L84" s="471"/>
      <c r="M84" s="471"/>
    </row>
    <row r="85" spans="1:13" x14ac:dyDescent="0.25">
      <c r="A85" s="472">
        <v>83</v>
      </c>
      <c r="B85" s="481" t="s">
        <v>727</v>
      </c>
      <c r="C85" s="482">
        <v>21</v>
      </c>
      <c r="D85" s="503">
        <v>8400</v>
      </c>
      <c r="E85" s="495">
        <f t="shared" si="6"/>
        <v>176400</v>
      </c>
      <c r="F85" s="481" t="s">
        <v>742</v>
      </c>
      <c r="G85" s="493" t="s">
        <v>369</v>
      </c>
      <c r="H85" s="496" t="s">
        <v>393</v>
      </c>
      <c r="I85" s="470"/>
      <c r="J85" s="471"/>
      <c r="K85" s="471"/>
      <c r="L85" s="471"/>
      <c r="M85" s="471"/>
    </row>
    <row r="86" spans="1:13" x14ac:dyDescent="0.25">
      <c r="A86" s="472">
        <v>84</v>
      </c>
      <c r="B86" s="473" t="s">
        <v>916</v>
      </c>
      <c r="C86" s="472">
        <v>1</v>
      </c>
      <c r="D86" s="494">
        <v>450000</v>
      </c>
      <c r="E86" s="525">
        <f t="shared" si="6"/>
        <v>450000</v>
      </c>
      <c r="F86" s="511" t="s">
        <v>320</v>
      </c>
      <c r="G86" s="493" t="s">
        <v>369</v>
      </c>
      <c r="H86" s="496" t="s">
        <v>393</v>
      </c>
      <c r="I86" s="470"/>
      <c r="J86" s="471"/>
      <c r="K86" s="471"/>
      <c r="L86" s="471"/>
      <c r="M86" s="471"/>
    </row>
    <row r="87" spans="1:13" x14ac:dyDescent="0.25">
      <c r="A87" s="472"/>
      <c r="B87" s="1541" t="s">
        <v>1041</v>
      </c>
      <c r="C87" s="1542"/>
      <c r="D87" s="1543"/>
      <c r="E87" s="526">
        <f>SUM(E3:E86)</f>
        <v>38637518.129999995</v>
      </c>
      <c r="F87" s="511"/>
      <c r="G87" s="493"/>
      <c r="H87" s="496"/>
      <c r="I87" s="470"/>
      <c r="J87" s="471"/>
      <c r="K87" s="471"/>
      <c r="L87" s="471"/>
      <c r="M87" s="471"/>
    </row>
    <row r="88" spans="1:13" x14ac:dyDescent="0.25">
      <c r="A88" s="477">
        <v>107</v>
      </c>
      <c r="B88" s="492" t="s">
        <v>105</v>
      </c>
      <c r="C88" s="472">
        <v>3</v>
      </c>
      <c r="D88" s="527">
        <f>+E88/C88</f>
        <v>278091.66666666669</v>
      </c>
      <c r="E88" s="474">
        <v>834275</v>
      </c>
      <c r="F88" s="473" t="s">
        <v>321</v>
      </c>
      <c r="G88" s="473" t="s">
        <v>609</v>
      </c>
      <c r="H88" s="496" t="s">
        <v>393</v>
      </c>
      <c r="I88" s="470"/>
      <c r="J88" s="471"/>
      <c r="K88" s="471"/>
      <c r="L88" s="471"/>
      <c r="M88" s="471"/>
    </row>
    <row r="89" spans="1:13" x14ac:dyDescent="0.25">
      <c r="A89" s="472">
        <v>120</v>
      </c>
      <c r="B89" s="481" t="s">
        <v>768</v>
      </c>
      <c r="C89" s="482">
        <v>1</v>
      </c>
      <c r="D89" s="503">
        <v>2450.3000000000002</v>
      </c>
      <c r="E89" s="495">
        <f>+C89*D89</f>
        <v>2450.3000000000002</v>
      </c>
      <c r="F89" s="481" t="s">
        <v>733</v>
      </c>
      <c r="G89" s="528" t="s">
        <v>609</v>
      </c>
      <c r="H89" s="496" t="s">
        <v>393</v>
      </c>
      <c r="I89" s="470"/>
      <c r="J89" s="471"/>
      <c r="K89" s="471"/>
      <c r="L89" s="471"/>
      <c r="M89" s="471"/>
    </row>
    <row r="90" spans="1:13" x14ac:dyDescent="0.25">
      <c r="A90" s="472">
        <v>121</v>
      </c>
      <c r="B90" s="481" t="s">
        <v>753</v>
      </c>
      <c r="C90" s="482">
        <v>1</v>
      </c>
      <c r="D90" s="503">
        <v>3900</v>
      </c>
      <c r="E90" s="495">
        <f>+C90*D90</f>
        <v>3900</v>
      </c>
      <c r="F90" s="481" t="s">
        <v>733</v>
      </c>
      <c r="G90" s="528" t="s">
        <v>609</v>
      </c>
      <c r="H90" s="496" t="s">
        <v>393</v>
      </c>
      <c r="I90" s="470"/>
      <c r="J90" s="471"/>
      <c r="K90" s="471"/>
      <c r="L90" s="471"/>
      <c r="M90" s="471"/>
    </row>
    <row r="91" spans="1:13" x14ac:dyDescent="0.25">
      <c r="A91" s="477">
        <v>122</v>
      </c>
      <c r="B91" s="481" t="s">
        <v>754</v>
      </c>
      <c r="C91" s="482">
        <v>1</v>
      </c>
      <c r="D91" s="503">
        <v>3900</v>
      </c>
      <c r="E91" s="495">
        <f>+C91*D91</f>
        <v>3900</v>
      </c>
      <c r="F91" s="481" t="s">
        <v>735</v>
      </c>
      <c r="G91" s="528" t="s">
        <v>609</v>
      </c>
      <c r="H91" s="496" t="s">
        <v>393</v>
      </c>
      <c r="I91" s="470"/>
      <c r="J91" s="471"/>
      <c r="K91" s="471"/>
      <c r="L91" s="471"/>
      <c r="M91" s="471"/>
    </row>
    <row r="92" spans="1:13" x14ac:dyDescent="0.25">
      <c r="A92" s="472">
        <v>123</v>
      </c>
      <c r="B92" s="481" t="s">
        <v>762</v>
      </c>
      <c r="C92" s="482">
        <v>1</v>
      </c>
      <c r="D92" s="503">
        <v>6790</v>
      </c>
      <c r="E92" s="495">
        <f>+C92*D92</f>
        <v>6790</v>
      </c>
      <c r="F92" s="481" t="s">
        <v>624</v>
      </c>
      <c r="G92" s="528" t="s">
        <v>609</v>
      </c>
      <c r="H92" s="496" t="s">
        <v>393</v>
      </c>
      <c r="I92" s="470"/>
      <c r="J92" s="471"/>
      <c r="K92" s="471"/>
      <c r="L92" s="471"/>
      <c r="M92" s="471"/>
    </row>
    <row r="93" spans="1:13" x14ac:dyDescent="0.25">
      <c r="A93" s="477">
        <v>131</v>
      </c>
      <c r="B93" s="481" t="s">
        <v>759</v>
      </c>
      <c r="C93" s="482">
        <v>1</v>
      </c>
      <c r="D93" s="503">
        <v>3900</v>
      </c>
      <c r="E93" s="495">
        <f>+C93*D93</f>
        <v>3900</v>
      </c>
      <c r="F93" s="481" t="s">
        <v>520</v>
      </c>
      <c r="G93" s="528" t="s">
        <v>609</v>
      </c>
      <c r="H93" s="496" t="s">
        <v>393</v>
      </c>
      <c r="I93" s="470"/>
      <c r="J93" s="471"/>
      <c r="K93" s="471"/>
      <c r="L93" s="471"/>
      <c r="M93" s="471"/>
    </row>
    <row r="94" spans="1:13" x14ac:dyDescent="0.25">
      <c r="A94" s="472">
        <v>106</v>
      </c>
      <c r="B94" s="492" t="s">
        <v>103</v>
      </c>
      <c r="C94" s="472">
        <v>1</v>
      </c>
      <c r="D94" s="474">
        <v>2000000</v>
      </c>
      <c r="E94" s="474">
        <f>C94*D94</f>
        <v>2000000</v>
      </c>
      <c r="F94" s="473" t="s">
        <v>336</v>
      </c>
      <c r="G94" s="473" t="s">
        <v>609</v>
      </c>
      <c r="H94" s="496" t="s">
        <v>393</v>
      </c>
      <c r="I94" s="470"/>
      <c r="J94" s="471"/>
      <c r="K94" s="471"/>
      <c r="L94" s="471"/>
      <c r="M94" s="471"/>
    </row>
    <row r="95" spans="1:13" x14ac:dyDescent="0.25">
      <c r="A95" s="472">
        <v>108</v>
      </c>
      <c r="B95" s="528" t="s">
        <v>423</v>
      </c>
      <c r="C95" s="477">
        <v>1</v>
      </c>
      <c r="D95" s="529">
        <v>720000</v>
      </c>
      <c r="E95" s="530">
        <f t="shared" ref="E95:E104" si="7">+C95*D95</f>
        <v>720000</v>
      </c>
      <c r="F95" s="528"/>
      <c r="G95" s="528" t="s">
        <v>609</v>
      </c>
      <c r="H95" s="496" t="s">
        <v>393</v>
      </c>
      <c r="I95" s="470"/>
      <c r="J95" s="471"/>
      <c r="K95" s="471"/>
      <c r="L95" s="471"/>
      <c r="M95" s="471"/>
    </row>
    <row r="96" spans="1:13" x14ac:dyDescent="0.25">
      <c r="A96" s="472">
        <v>109</v>
      </c>
      <c r="B96" s="511" t="s">
        <v>748</v>
      </c>
      <c r="C96" s="513">
        <v>1</v>
      </c>
      <c r="D96" s="495">
        <v>9290</v>
      </c>
      <c r="E96" s="495">
        <f t="shared" si="7"/>
        <v>9290</v>
      </c>
      <c r="F96" s="511" t="s">
        <v>624</v>
      </c>
      <c r="G96" s="493" t="s">
        <v>609</v>
      </c>
      <c r="H96" s="496" t="s">
        <v>393</v>
      </c>
      <c r="I96" s="470"/>
      <c r="J96" s="471"/>
      <c r="K96" s="471"/>
      <c r="L96" s="471"/>
      <c r="M96" s="471"/>
    </row>
    <row r="97" spans="1:13" x14ac:dyDescent="0.25">
      <c r="A97" s="477">
        <v>110</v>
      </c>
      <c r="B97" s="511" t="s">
        <v>749</v>
      </c>
      <c r="C97" s="513">
        <v>12</v>
      </c>
      <c r="D97" s="495">
        <v>39630</v>
      </c>
      <c r="E97" s="495">
        <f t="shared" si="7"/>
        <v>475560</v>
      </c>
      <c r="F97" s="531" t="s">
        <v>769</v>
      </c>
      <c r="G97" s="528" t="s">
        <v>609</v>
      </c>
      <c r="H97" s="496" t="s">
        <v>393</v>
      </c>
      <c r="I97" s="470"/>
      <c r="J97" s="471"/>
      <c r="K97" s="471"/>
      <c r="L97" s="471"/>
      <c r="M97" s="471"/>
    </row>
    <row r="98" spans="1:13" x14ac:dyDescent="0.25">
      <c r="A98" s="472">
        <v>112</v>
      </c>
      <c r="B98" s="481" t="s">
        <v>767</v>
      </c>
      <c r="C98" s="482">
        <v>3</v>
      </c>
      <c r="D98" s="503">
        <v>10500</v>
      </c>
      <c r="E98" s="495">
        <f t="shared" si="7"/>
        <v>31500</v>
      </c>
      <c r="F98" s="511" t="s">
        <v>769</v>
      </c>
      <c r="G98" s="528" t="s">
        <v>609</v>
      </c>
      <c r="H98" s="496" t="s">
        <v>393</v>
      </c>
      <c r="I98" s="470"/>
      <c r="J98" s="471"/>
      <c r="K98" s="471"/>
      <c r="L98" s="471"/>
      <c r="M98" s="471"/>
    </row>
    <row r="99" spans="1:13" x14ac:dyDescent="0.25">
      <c r="A99" s="477">
        <v>113</v>
      </c>
      <c r="B99" s="481" t="s">
        <v>766</v>
      </c>
      <c r="C99" s="482">
        <v>33</v>
      </c>
      <c r="D99" s="503">
        <v>5690</v>
      </c>
      <c r="E99" s="495">
        <f t="shared" si="7"/>
        <v>187770</v>
      </c>
      <c r="F99" s="511" t="s">
        <v>769</v>
      </c>
      <c r="G99" s="528" t="s">
        <v>609</v>
      </c>
      <c r="H99" s="496" t="s">
        <v>393</v>
      </c>
      <c r="I99" s="470"/>
      <c r="J99" s="471"/>
      <c r="K99" s="471"/>
      <c r="L99" s="471"/>
      <c r="M99" s="471"/>
    </row>
    <row r="100" spans="1:13" x14ac:dyDescent="0.25">
      <c r="A100" s="472">
        <v>114</v>
      </c>
      <c r="B100" s="481" t="s">
        <v>765</v>
      </c>
      <c r="C100" s="482">
        <v>33</v>
      </c>
      <c r="D100" s="503">
        <v>3200</v>
      </c>
      <c r="E100" s="495">
        <f t="shared" si="7"/>
        <v>105600</v>
      </c>
      <c r="F100" s="511" t="s">
        <v>769</v>
      </c>
      <c r="G100" s="528" t="s">
        <v>609</v>
      </c>
      <c r="H100" s="496" t="s">
        <v>393</v>
      </c>
      <c r="I100" s="470"/>
      <c r="J100" s="471"/>
      <c r="K100" s="471"/>
      <c r="L100" s="471"/>
      <c r="M100" s="471"/>
    </row>
    <row r="101" spans="1:13" x14ac:dyDescent="0.25">
      <c r="A101" s="472">
        <v>115</v>
      </c>
      <c r="B101" s="481" t="s">
        <v>764</v>
      </c>
      <c r="C101" s="482">
        <v>1</v>
      </c>
      <c r="D101" s="503">
        <v>6400</v>
      </c>
      <c r="E101" s="495">
        <f t="shared" si="7"/>
        <v>6400</v>
      </c>
      <c r="F101" s="511" t="s">
        <v>769</v>
      </c>
      <c r="G101" s="528" t="s">
        <v>609</v>
      </c>
      <c r="H101" s="496" t="s">
        <v>393</v>
      </c>
      <c r="I101" s="470"/>
      <c r="J101" s="471"/>
      <c r="K101" s="471"/>
      <c r="L101" s="471"/>
      <c r="M101" s="471"/>
    </row>
    <row r="102" spans="1:13" x14ac:dyDescent="0.25">
      <c r="A102" s="472">
        <v>127</v>
      </c>
      <c r="B102" s="481" t="s">
        <v>760</v>
      </c>
      <c r="C102" s="482">
        <v>1</v>
      </c>
      <c r="D102" s="503">
        <v>6500</v>
      </c>
      <c r="E102" s="495">
        <f t="shared" si="7"/>
        <v>6500</v>
      </c>
      <c r="F102" s="481" t="s">
        <v>771</v>
      </c>
      <c r="G102" s="528" t="s">
        <v>609</v>
      </c>
      <c r="H102" s="496" t="s">
        <v>393</v>
      </c>
      <c r="I102" s="470"/>
      <c r="J102" s="471"/>
      <c r="K102" s="471"/>
      <c r="L102" s="471"/>
      <c r="M102" s="471"/>
    </row>
    <row r="103" spans="1:13" x14ac:dyDescent="0.25">
      <c r="A103" s="477">
        <v>128</v>
      </c>
      <c r="B103" s="481" t="s">
        <v>761</v>
      </c>
      <c r="C103" s="482">
        <v>1</v>
      </c>
      <c r="D103" s="503">
        <v>4500</v>
      </c>
      <c r="E103" s="495">
        <f t="shared" si="7"/>
        <v>4500</v>
      </c>
      <c r="F103" s="481" t="s">
        <v>771</v>
      </c>
      <c r="G103" s="528" t="s">
        <v>609</v>
      </c>
      <c r="H103" s="496" t="s">
        <v>393</v>
      </c>
      <c r="I103" s="470"/>
      <c r="J103" s="471"/>
      <c r="K103" s="471"/>
      <c r="L103" s="471"/>
      <c r="M103" s="471"/>
    </row>
    <row r="104" spans="1:13" x14ac:dyDescent="0.25">
      <c r="A104" s="472">
        <v>129</v>
      </c>
      <c r="B104" s="481" t="s">
        <v>757</v>
      </c>
      <c r="C104" s="482">
        <v>1</v>
      </c>
      <c r="D104" s="503">
        <v>64000</v>
      </c>
      <c r="E104" s="495">
        <f t="shared" si="7"/>
        <v>64000</v>
      </c>
      <c r="F104" s="481" t="s">
        <v>520</v>
      </c>
      <c r="G104" s="528" t="s">
        <v>609</v>
      </c>
      <c r="H104" s="496" t="s">
        <v>393</v>
      </c>
      <c r="I104" s="470"/>
      <c r="J104" s="471"/>
      <c r="K104" s="471"/>
      <c r="L104" s="471"/>
      <c r="M104" s="471"/>
    </row>
    <row r="105" spans="1:13" x14ac:dyDescent="0.25">
      <c r="A105" s="472"/>
      <c r="B105" s="1544" t="s">
        <v>1042</v>
      </c>
      <c r="C105" s="1545"/>
      <c r="D105" s="1546"/>
      <c r="E105" s="532">
        <f>SUM(E88:E104)</f>
        <v>4466335.3</v>
      </c>
      <c r="F105" s="481"/>
      <c r="G105" s="528"/>
      <c r="H105" s="496"/>
      <c r="I105" s="470"/>
      <c r="J105" s="471"/>
      <c r="K105" s="471"/>
      <c r="L105" s="471"/>
      <c r="M105" s="471"/>
    </row>
    <row r="106" spans="1:13" x14ac:dyDescent="0.25">
      <c r="A106" s="477">
        <v>134</v>
      </c>
      <c r="B106" s="481" t="s">
        <v>773</v>
      </c>
      <c r="C106" s="482">
        <v>1</v>
      </c>
      <c r="D106" s="503">
        <v>4800</v>
      </c>
      <c r="E106" s="530">
        <f>+C106*D106</f>
        <v>4800</v>
      </c>
      <c r="F106" s="481" t="s">
        <v>375</v>
      </c>
      <c r="G106" s="528" t="s">
        <v>612</v>
      </c>
      <c r="H106" s="496" t="s">
        <v>393</v>
      </c>
      <c r="I106" s="470"/>
      <c r="J106" s="471"/>
      <c r="K106" s="471"/>
      <c r="L106" s="471"/>
      <c r="M106" s="471"/>
    </row>
    <row r="107" spans="1:13" x14ac:dyDescent="0.25">
      <c r="A107" s="500">
        <v>135</v>
      </c>
      <c r="B107" s="481" t="s">
        <v>774</v>
      </c>
      <c r="C107" s="482">
        <v>2</v>
      </c>
      <c r="D107" s="503">
        <v>11235</v>
      </c>
      <c r="E107" s="530">
        <f>+C107*D107</f>
        <v>22470</v>
      </c>
      <c r="F107" s="481" t="s">
        <v>375</v>
      </c>
      <c r="G107" s="528" t="s">
        <v>612</v>
      </c>
      <c r="H107" s="496" t="s">
        <v>393</v>
      </c>
      <c r="I107" s="470"/>
      <c r="J107" s="471"/>
      <c r="K107" s="471"/>
      <c r="L107" s="471"/>
      <c r="M107" s="471"/>
    </row>
    <row r="108" spans="1:13" x14ac:dyDescent="0.25">
      <c r="A108" s="477">
        <v>136</v>
      </c>
      <c r="B108" s="481" t="s">
        <v>773</v>
      </c>
      <c r="C108" s="482">
        <v>1</v>
      </c>
      <c r="D108" s="503">
        <v>55533</v>
      </c>
      <c r="E108" s="530">
        <f>+C108*D108</f>
        <v>55533</v>
      </c>
      <c r="F108" s="481" t="s">
        <v>375</v>
      </c>
      <c r="G108" s="528" t="s">
        <v>612</v>
      </c>
      <c r="H108" s="496" t="s">
        <v>393</v>
      </c>
      <c r="I108" s="470"/>
      <c r="J108" s="471"/>
      <c r="K108" s="471"/>
      <c r="L108" s="471"/>
      <c r="M108" s="471"/>
    </row>
    <row r="109" spans="1:13" x14ac:dyDescent="0.25">
      <c r="A109" s="477"/>
      <c r="B109" s="1544" t="s">
        <v>1043</v>
      </c>
      <c r="C109" s="1545"/>
      <c r="D109" s="1546"/>
      <c r="E109" s="533">
        <f>SUM(E106:E108)</f>
        <v>82803</v>
      </c>
      <c r="F109" s="481"/>
      <c r="G109" s="528"/>
      <c r="H109" s="496"/>
      <c r="I109" s="470"/>
      <c r="J109" s="471"/>
      <c r="K109" s="471"/>
      <c r="L109" s="471"/>
      <c r="M109" s="471"/>
    </row>
    <row r="110" spans="1:13" s="491" customFormat="1" ht="70.2" x14ac:dyDescent="0.25">
      <c r="A110" s="485">
        <v>141</v>
      </c>
      <c r="B110" s="534" t="s">
        <v>614</v>
      </c>
      <c r="C110" s="535">
        <v>1</v>
      </c>
      <c r="D110" s="536">
        <v>2500000</v>
      </c>
      <c r="E110" s="537">
        <f>+C110*D110</f>
        <v>2500000</v>
      </c>
      <c r="F110" s="538" t="s">
        <v>374</v>
      </c>
      <c r="G110" s="538" t="s">
        <v>613</v>
      </c>
      <c r="H110" s="475" t="s">
        <v>1079</v>
      </c>
      <c r="I110" s="489"/>
      <c r="J110" s="490"/>
      <c r="K110" s="490"/>
      <c r="L110" s="490"/>
      <c r="M110" s="490"/>
    </row>
    <row r="111" spans="1:13" x14ac:dyDescent="0.25">
      <c r="A111" s="472"/>
      <c r="B111" s="1547" t="s">
        <v>1044</v>
      </c>
      <c r="C111" s="1548"/>
      <c r="D111" s="1549"/>
      <c r="E111" s="533">
        <f>SUM(E110)</f>
        <v>2500000</v>
      </c>
      <c r="F111" s="528"/>
      <c r="G111" s="528"/>
      <c r="H111" s="496"/>
      <c r="I111" s="470"/>
      <c r="J111" s="471"/>
      <c r="K111" s="471"/>
      <c r="L111" s="471"/>
      <c r="M111" s="471"/>
    </row>
    <row r="112" spans="1:13" x14ac:dyDescent="0.25">
      <c r="A112" s="472">
        <v>153</v>
      </c>
      <c r="B112" s="493" t="s">
        <v>390</v>
      </c>
      <c r="C112" s="472">
        <v>2</v>
      </c>
      <c r="D112" s="539">
        <v>1950</v>
      </c>
      <c r="E112" s="540">
        <f t="shared" ref="E112:E119" si="8">+C112*D112</f>
        <v>3900</v>
      </c>
      <c r="F112" s="493" t="s">
        <v>350</v>
      </c>
      <c r="G112" s="493" t="s">
        <v>610</v>
      </c>
      <c r="H112" s="496" t="s">
        <v>1080</v>
      </c>
      <c r="I112" s="470"/>
      <c r="J112" s="471"/>
      <c r="K112" s="471"/>
      <c r="L112" s="471"/>
      <c r="M112" s="471"/>
    </row>
    <row r="113" spans="1:13" x14ac:dyDescent="0.25">
      <c r="A113" s="472">
        <v>154</v>
      </c>
      <c r="B113" s="481" t="s">
        <v>620</v>
      </c>
      <c r="C113" s="482">
        <v>1</v>
      </c>
      <c r="D113" s="503">
        <v>1590</v>
      </c>
      <c r="E113" s="503">
        <f t="shared" si="8"/>
        <v>1590</v>
      </c>
      <c r="F113" s="481" t="s">
        <v>621</v>
      </c>
      <c r="G113" s="528" t="s">
        <v>610</v>
      </c>
      <c r="H113" s="496" t="s">
        <v>1080</v>
      </c>
      <c r="I113" s="470"/>
      <c r="J113" s="471"/>
      <c r="K113" s="471"/>
      <c r="L113" s="471"/>
      <c r="M113" s="471"/>
    </row>
    <row r="114" spans="1:13" x14ac:dyDescent="0.25">
      <c r="A114" s="472">
        <v>159</v>
      </c>
      <c r="B114" s="511" t="s">
        <v>781</v>
      </c>
      <c r="C114" s="513">
        <v>3</v>
      </c>
      <c r="D114" s="495">
        <v>5900</v>
      </c>
      <c r="E114" s="495">
        <f t="shared" si="8"/>
        <v>17700</v>
      </c>
      <c r="F114" s="511" t="s">
        <v>324</v>
      </c>
      <c r="G114" s="493" t="s">
        <v>610</v>
      </c>
      <c r="H114" s="496" t="s">
        <v>393</v>
      </c>
      <c r="I114" s="470"/>
      <c r="J114" s="471"/>
      <c r="K114" s="471"/>
      <c r="L114" s="471"/>
      <c r="M114" s="471"/>
    </row>
    <row r="115" spans="1:13" x14ac:dyDescent="0.25">
      <c r="A115" s="472">
        <v>160</v>
      </c>
      <c r="B115" s="511" t="s">
        <v>782</v>
      </c>
      <c r="C115" s="513">
        <v>1</v>
      </c>
      <c r="D115" s="495">
        <v>76420</v>
      </c>
      <c r="E115" s="495">
        <f t="shared" si="8"/>
        <v>76420</v>
      </c>
      <c r="F115" s="511" t="s">
        <v>324</v>
      </c>
      <c r="G115" s="493" t="s">
        <v>610</v>
      </c>
      <c r="H115" s="496" t="s">
        <v>393</v>
      </c>
      <c r="I115" s="470"/>
      <c r="J115" s="471"/>
      <c r="K115" s="471"/>
      <c r="L115" s="471"/>
      <c r="M115" s="471"/>
    </row>
    <row r="116" spans="1:13" x14ac:dyDescent="0.25">
      <c r="A116" s="472">
        <v>161</v>
      </c>
      <c r="B116" s="481" t="s">
        <v>783</v>
      </c>
      <c r="C116" s="482">
        <v>1</v>
      </c>
      <c r="D116" s="522">
        <v>6100</v>
      </c>
      <c r="E116" s="495">
        <f t="shared" si="8"/>
        <v>6100</v>
      </c>
      <c r="F116" s="481" t="s">
        <v>324</v>
      </c>
      <c r="G116" s="493" t="s">
        <v>610</v>
      </c>
      <c r="H116" s="496" t="s">
        <v>393</v>
      </c>
      <c r="I116" s="470"/>
      <c r="J116" s="471"/>
      <c r="K116" s="471"/>
      <c r="L116" s="471"/>
      <c r="M116" s="471"/>
    </row>
    <row r="117" spans="1:13" x14ac:dyDescent="0.25">
      <c r="A117" s="472">
        <v>164</v>
      </c>
      <c r="B117" s="481" t="s">
        <v>377</v>
      </c>
      <c r="C117" s="482">
        <v>2</v>
      </c>
      <c r="D117" s="503">
        <v>2590</v>
      </c>
      <c r="E117" s="495">
        <f t="shared" si="8"/>
        <v>5180</v>
      </c>
      <c r="F117" s="481" t="s">
        <v>825</v>
      </c>
      <c r="G117" s="493" t="s">
        <v>610</v>
      </c>
      <c r="H117" s="496" t="s">
        <v>393</v>
      </c>
      <c r="I117" s="470"/>
      <c r="J117" s="471"/>
      <c r="K117" s="471"/>
      <c r="L117" s="471"/>
      <c r="M117" s="471"/>
    </row>
    <row r="118" spans="1:13" x14ac:dyDescent="0.25">
      <c r="A118" s="472">
        <v>179</v>
      </c>
      <c r="B118" s="504" t="s">
        <v>795</v>
      </c>
      <c r="C118" s="505">
        <v>1</v>
      </c>
      <c r="D118" s="506">
        <v>36700</v>
      </c>
      <c r="E118" s="495">
        <f t="shared" si="8"/>
        <v>36700</v>
      </c>
      <c r="F118" s="504" t="s">
        <v>733</v>
      </c>
      <c r="G118" s="493" t="s">
        <v>610</v>
      </c>
      <c r="H118" s="496" t="s">
        <v>393</v>
      </c>
      <c r="I118" s="470"/>
      <c r="J118" s="471"/>
      <c r="K118" s="471"/>
      <c r="L118" s="471"/>
      <c r="M118" s="471"/>
    </row>
    <row r="119" spans="1:13" x14ac:dyDescent="0.25">
      <c r="A119" s="472">
        <v>184</v>
      </c>
      <c r="B119" s="504" t="s">
        <v>800</v>
      </c>
      <c r="C119" s="505">
        <v>1</v>
      </c>
      <c r="D119" s="506">
        <v>53200</v>
      </c>
      <c r="E119" s="495">
        <f t="shared" si="8"/>
        <v>53200</v>
      </c>
      <c r="F119" s="504" t="s">
        <v>830</v>
      </c>
      <c r="G119" s="493" t="s">
        <v>610</v>
      </c>
      <c r="H119" s="496" t="s">
        <v>393</v>
      </c>
      <c r="I119" s="470"/>
      <c r="J119" s="471"/>
      <c r="K119" s="471"/>
      <c r="L119" s="471"/>
      <c r="M119" s="471"/>
    </row>
    <row r="120" spans="1:13" x14ac:dyDescent="0.25">
      <c r="A120" s="472">
        <v>185</v>
      </c>
      <c r="B120" s="523" t="s">
        <v>801</v>
      </c>
      <c r="C120" s="482">
        <v>11</v>
      </c>
      <c r="D120" s="509">
        <v>8850</v>
      </c>
      <c r="E120" s="541">
        <v>104164.5</v>
      </c>
      <c r="F120" s="523" t="s">
        <v>624</v>
      </c>
      <c r="G120" s="493" t="s">
        <v>610</v>
      </c>
      <c r="H120" s="496" t="s">
        <v>393</v>
      </c>
      <c r="I120" s="470"/>
      <c r="J120" s="471"/>
      <c r="K120" s="471"/>
      <c r="L120" s="471"/>
      <c r="M120" s="471"/>
    </row>
    <row r="121" spans="1:13" x14ac:dyDescent="0.25">
      <c r="A121" s="472">
        <v>186</v>
      </c>
      <c r="B121" s="481" t="s">
        <v>376</v>
      </c>
      <c r="C121" s="482">
        <v>1</v>
      </c>
      <c r="D121" s="503">
        <v>3400</v>
      </c>
      <c r="E121" s="503">
        <v>3400</v>
      </c>
      <c r="F121" s="481" t="s">
        <v>831</v>
      </c>
      <c r="G121" s="493" t="s">
        <v>610</v>
      </c>
      <c r="H121" s="496" t="s">
        <v>393</v>
      </c>
      <c r="I121" s="470"/>
      <c r="J121" s="471"/>
      <c r="K121" s="471"/>
      <c r="L121" s="471"/>
      <c r="M121" s="471"/>
    </row>
    <row r="122" spans="1:13" x14ac:dyDescent="0.25">
      <c r="A122" s="472">
        <v>187</v>
      </c>
      <c r="B122" s="481" t="s">
        <v>789</v>
      </c>
      <c r="C122" s="482">
        <v>1</v>
      </c>
      <c r="D122" s="503">
        <v>2305.85</v>
      </c>
      <c r="E122" s="503">
        <v>2305.85</v>
      </c>
      <c r="F122" s="481" t="s">
        <v>831</v>
      </c>
      <c r="G122" s="493" t="s">
        <v>610</v>
      </c>
      <c r="H122" s="496" t="s">
        <v>393</v>
      </c>
      <c r="I122" s="470"/>
      <c r="J122" s="471"/>
      <c r="K122" s="471"/>
      <c r="L122" s="471"/>
      <c r="M122" s="471"/>
    </row>
    <row r="123" spans="1:13" x14ac:dyDescent="0.25">
      <c r="A123" s="472">
        <v>188</v>
      </c>
      <c r="B123" s="481" t="s">
        <v>802</v>
      </c>
      <c r="C123" s="482">
        <v>2</v>
      </c>
      <c r="D123" s="503">
        <v>4291.8</v>
      </c>
      <c r="E123" s="495">
        <v>8583.6</v>
      </c>
      <c r="F123" s="481" t="s">
        <v>832</v>
      </c>
      <c r="G123" s="493" t="s">
        <v>610</v>
      </c>
      <c r="H123" s="496" t="s">
        <v>393</v>
      </c>
      <c r="I123" s="470"/>
      <c r="J123" s="471"/>
      <c r="K123" s="471"/>
      <c r="L123" s="471"/>
      <c r="M123" s="471"/>
    </row>
    <row r="124" spans="1:13" x14ac:dyDescent="0.25">
      <c r="A124" s="472">
        <v>191</v>
      </c>
      <c r="B124" s="481" t="s">
        <v>804</v>
      </c>
      <c r="C124" s="482">
        <v>1</v>
      </c>
      <c r="D124" s="503">
        <v>52965</v>
      </c>
      <c r="E124" s="503">
        <v>52965</v>
      </c>
      <c r="F124" s="481" t="s">
        <v>334</v>
      </c>
      <c r="G124" s="493" t="s">
        <v>610</v>
      </c>
      <c r="H124" s="496" t="s">
        <v>393</v>
      </c>
      <c r="I124" s="470"/>
      <c r="J124" s="471"/>
      <c r="K124" s="471"/>
      <c r="L124" s="471"/>
      <c r="M124" s="471"/>
    </row>
    <row r="125" spans="1:13" x14ac:dyDescent="0.25">
      <c r="A125" s="472">
        <v>194</v>
      </c>
      <c r="B125" s="504" t="s">
        <v>807</v>
      </c>
      <c r="C125" s="505">
        <v>1</v>
      </c>
      <c r="D125" s="506">
        <v>8390</v>
      </c>
      <c r="E125" s="524">
        <v>8390</v>
      </c>
      <c r="F125" s="504" t="s">
        <v>320</v>
      </c>
      <c r="G125" s="493" t="s">
        <v>610</v>
      </c>
      <c r="H125" s="496" t="s">
        <v>393</v>
      </c>
      <c r="I125" s="470"/>
      <c r="J125" s="471"/>
      <c r="K125" s="471"/>
      <c r="L125" s="471"/>
      <c r="M125" s="471"/>
    </row>
    <row r="126" spans="1:13" x14ac:dyDescent="0.25">
      <c r="A126" s="472">
        <v>195</v>
      </c>
      <c r="B126" s="481" t="s">
        <v>808</v>
      </c>
      <c r="C126" s="482">
        <v>1</v>
      </c>
      <c r="D126" s="503">
        <v>2198.85</v>
      </c>
      <c r="E126" s="503">
        <v>2198.85</v>
      </c>
      <c r="F126" s="481" t="s">
        <v>320</v>
      </c>
      <c r="G126" s="493" t="s">
        <v>610</v>
      </c>
      <c r="H126" s="496" t="s">
        <v>393</v>
      </c>
      <c r="I126" s="470"/>
      <c r="J126" s="471"/>
      <c r="K126" s="471"/>
      <c r="L126" s="471"/>
      <c r="M126" s="471"/>
    </row>
    <row r="127" spans="1:13" x14ac:dyDescent="0.25">
      <c r="A127" s="472">
        <v>196</v>
      </c>
      <c r="B127" s="481" t="s">
        <v>809</v>
      </c>
      <c r="C127" s="482">
        <v>1</v>
      </c>
      <c r="D127" s="503">
        <v>52965</v>
      </c>
      <c r="E127" s="503">
        <v>52965</v>
      </c>
      <c r="F127" s="481" t="s">
        <v>738</v>
      </c>
      <c r="G127" s="493" t="s">
        <v>610</v>
      </c>
      <c r="H127" s="496" t="s">
        <v>393</v>
      </c>
      <c r="I127" s="470"/>
      <c r="J127" s="471"/>
      <c r="K127" s="471"/>
      <c r="L127" s="471"/>
      <c r="M127" s="471"/>
    </row>
    <row r="128" spans="1:13" s="491" customFormat="1" x14ac:dyDescent="0.25">
      <c r="A128" s="485">
        <v>198</v>
      </c>
      <c r="B128" s="542" t="s">
        <v>811</v>
      </c>
      <c r="C128" s="516">
        <v>1</v>
      </c>
      <c r="D128" s="543">
        <v>14700</v>
      </c>
      <c r="E128" s="543">
        <v>14700</v>
      </c>
      <c r="F128" s="544" t="s">
        <v>836</v>
      </c>
      <c r="G128" s="520" t="s">
        <v>610</v>
      </c>
      <c r="H128" s="480" t="s">
        <v>393</v>
      </c>
      <c r="I128" s="489"/>
      <c r="J128" s="490"/>
      <c r="K128" s="490"/>
      <c r="L128" s="490"/>
      <c r="M128" s="490"/>
    </row>
    <row r="129" spans="1:13" s="491" customFormat="1" x14ac:dyDescent="0.25">
      <c r="A129" s="485">
        <v>199</v>
      </c>
      <c r="B129" s="519" t="s">
        <v>812</v>
      </c>
      <c r="C129" s="516">
        <v>1</v>
      </c>
      <c r="D129" s="517">
        <v>16900</v>
      </c>
      <c r="E129" s="517">
        <v>16900</v>
      </c>
      <c r="F129" s="544" t="s">
        <v>836</v>
      </c>
      <c r="G129" s="520" t="s">
        <v>610</v>
      </c>
      <c r="H129" s="480" t="s">
        <v>393</v>
      </c>
      <c r="I129" s="489"/>
      <c r="J129" s="490"/>
      <c r="K129" s="490"/>
      <c r="L129" s="490"/>
      <c r="M129" s="490"/>
    </row>
    <row r="130" spans="1:13" x14ac:dyDescent="0.25">
      <c r="A130" s="472">
        <v>200</v>
      </c>
      <c r="B130" s="481" t="s">
        <v>813</v>
      </c>
      <c r="C130" s="482">
        <v>1</v>
      </c>
      <c r="D130" s="503">
        <v>27900</v>
      </c>
      <c r="E130" s="503">
        <v>27900</v>
      </c>
      <c r="F130" s="481" t="s">
        <v>328</v>
      </c>
      <c r="G130" s="493" t="s">
        <v>610</v>
      </c>
      <c r="H130" s="496" t="s">
        <v>393</v>
      </c>
      <c r="I130" s="470"/>
      <c r="J130" s="471"/>
      <c r="K130" s="471"/>
      <c r="L130" s="471"/>
      <c r="M130" s="471"/>
    </row>
    <row r="131" spans="1:13" x14ac:dyDescent="0.25">
      <c r="A131" s="472">
        <v>202</v>
      </c>
      <c r="B131" s="481" t="s">
        <v>815</v>
      </c>
      <c r="C131" s="482">
        <v>1</v>
      </c>
      <c r="D131" s="503">
        <v>12500</v>
      </c>
      <c r="E131" s="503">
        <v>12500</v>
      </c>
      <c r="F131" s="481" t="s">
        <v>838</v>
      </c>
      <c r="G131" s="493" t="s">
        <v>610</v>
      </c>
      <c r="H131" s="496" t="s">
        <v>393</v>
      </c>
      <c r="I131" s="470"/>
      <c r="J131" s="471"/>
      <c r="K131" s="471"/>
      <c r="L131" s="471"/>
      <c r="M131" s="471"/>
    </row>
    <row r="132" spans="1:13" x14ac:dyDescent="0.25">
      <c r="A132" s="472">
        <v>203</v>
      </c>
      <c r="B132" s="481" t="s">
        <v>816</v>
      </c>
      <c r="C132" s="482">
        <v>1</v>
      </c>
      <c r="D132" s="503">
        <v>4999</v>
      </c>
      <c r="E132" s="503">
        <v>4999</v>
      </c>
      <c r="F132" s="481" t="s">
        <v>839</v>
      </c>
      <c r="G132" s="493" t="s">
        <v>610</v>
      </c>
      <c r="H132" s="496" t="s">
        <v>393</v>
      </c>
      <c r="I132" s="470"/>
      <c r="J132" s="471"/>
      <c r="K132" s="471"/>
      <c r="L132" s="471"/>
      <c r="M132" s="471"/>
    </row>
    <row r="133" spans="1:13" x14ac:dyDescent="0.25">
      <c r="A133" s="472">
        <v>204</v>
      </c>
      <c r="B133" s="523" t="s">
        <v>817</v>
      </c>
      <c r="C133" s="482">
        <v>1</v>
      </c>
      <c r="D133" s="524">
        <v>16050</v>
      </c>
      <c r="E133" s="524">
        <v>16050</v>
      </c>
      <c r="F133" s="523" t="s">
        <v>621</v>
      </c>
      <c r="G133" s="493" t="s">
        <v>610</v>
      </c>
      <c r="H133" s="496" t="s">
        <v>393</v>
      </c>
      <c r="I133" s="470"/>
      <c r="J133" s="471"/>
      <c r="K133" s="471"/>
      <c r="L133" s="471"/>
      <c r="M133" s="471"/>
    </row>
    <row r="134" spans="1:13" x14ac:dyDescent="0.25">
      <c r="A134" s="472">
        <v>210</v>
      </c>
      <c r="B134" s="481" t="s">
        <v>819</v>
      </c>
      <c r="C134" s="482">
        <v>1</v>
      </c>
      <c r="D134" s="503">
        <v>21590</v>
      </c>
      <c r="E134" s="503">
        <v>21590</v>
      </c>
      <c r="F134" s="481" t="s">
        <v>739</v>
      </c>
      <c r="G134" s="493" t="s">
        <v>610</v>
      </c>
      <c r="H134" s="496" t="s">
        <v>393</v>
      </c>
      <c r="I134" s="470"/>
      <c r="J134" s="471"/>
      <c r="K134" s="471"/>
      <c r="L134" s="471"/>
      <c r="M134" s="471"/>
    </row>
    <row r="135" spans="1:13" x14ac:dyDescent="0.25">
      <c r="A135" s="472">
        <v>211</v>
      </c>
      <c r="B135" s="481" t="s">
        <v>820</v>
      </c>
      <c r="C135" s="482">
        <v>5</v>
      </c>
      <c r="D135" s="503"/>
      <c r="E135" s="1550">
        <v>16340</v>
      </c>
      <c r="F135" s="481" t="s">
        <v>842</v>
      </c>
      <c r="G135" s="493" t="s">
        <v>610</v>
      </c>
      <c r="H135" s="496" t="s">
        <v>393</v>
      </c>
      <c r="I135" s="470"/>
      <c r="J135" s="471"/>
      <c r="K135" s="471"/>
      <c r="L135" s="471"/>
      <c r="M135" s="471"/>
    </row>
    <row r="136" spans="1:13" x14ac:dyDescent="0.25">
      <c r="A136" s="472">
        <v>212</v>
      </c>
      <c r="B136" s="481" t="s">
        <v>821</v>
      </c>
      <c r="C136" s="482">
        <v>1</v>
      </c>
      <c r="D136" s="503"/>
      <c r="E136" s="1551"/>
      <c r="F136" s="481" t="s">
        <v>842</v>
      </c>
      <c r="G136" s="493" t="s">
        <v>610</v>
      </c>
      <c r="H136" s="496" t="s">
        <v>393</v>
      </c>
      <c r="I136" s="470"/>
      <c r="J136" s="471"/>
      <c r="K136" s="471"/>
      <c r="L136" s="471"/>
      <c r="M136" s="471"/>
    </row>
    <row r="137" spans="1:13" x14ac:dyDescent="0.25">
      <c r="A137" s="472">
        <v>213</v>
      </c>
      <c r="B137" s="481" t="s">
        <v>886</v>
      </c>
      <c r="C137" s="482">
        <v>1</v>
      </c>
      <c r="D137" s="503">
        <v>53500</v>
      </c>
      <c r="E137" s="503">
        <v>53500</v>
      </c>
      <c r="F137" s="481" t="s">
        <v>740</v>
      </c>
      <c r="G137" s="493" t="s">
        <v>610</v>
      </c>
      <c r="H137" s="496" t="s">
        <v>393</v>
      </c>
      <c r="I137" s="470"/>
      <c r="J137" s="471"/>
      <c r="K137" s="471"/>
      <c r="L137" s="471"/>
      <c r="M137" s="471"/>
    </row>
    <row r="138" spans="1:13" x14ac:dyDescent="0.25">
      <c r="A138" s="472">
        <v>214</v>
      </c>
      <c r="B138" s="481" t="s">
        <v>887</v>
      </c>
      <c r="C138" s="482">
        <v>1</v>
      </c>
      <c r="D138" s="503">
        <v>23800</v>
      </c>
      <c r="E138" s="503">
        <v>23800</v>
      </c>
      <c r="F138" s="481" t="s">
        <v>740</v>
      </c>
      <c r="G138" s="493" t="s">
        <v>610</v>
      </c>
      <c r="H138" s="496" t="s">
        <v>393</v>
      </c>
      <c r="I138" s="470"/>
      <c r="J138" s="471"/>
      <c r="K138" s="471"/>
      <c r="L138" s="471"/>
      <c r="M138" s="471"/>
    </row>
    <row r="139" spans="1:13" x14ac:dyDescent="0.25">
      <c r="A139" s="472">
        <v>215</v>
      </c>
      <c r="B139" s="481" t="s">
        <v>822</v>
      </c>
      <c r="C139" s="482">
        <v>4</v>
      </c>
      <c r="D139" s="503">
        <v>3400</v>
      </c>
      <c r="E139" s="503">
        <v>13600</v>
      </c>
      <c r="F139" s="481" t="s">
        <v>843</v>
      </c>
      <c r="G139" s="493" t="s">
        <v>610</v>
      </c>
      <c r="H139" s="496" t="s">
        <v>393</v>
      </c>
      <c r="I139" s="470"/>
      <c r="J139" s="471"/>
      <c r="K139" s="471"/>
      <c r="L139" s="471"/>
      <c r="M139" s="471"/>
    </row>
    <row r="140" spans="1:13" x14ac:dyDescent="0.25">
      <c r="A140" s="472">
        <v>216</v>
      </c>
      <c r="B140" s="481" t="s">
        <v>823</v>
      </c>
      <c r="C140" s="482">
        <v>1</v>
      </c>
      <c r="D140" s="503">
        <v>16500</v>
      </c>
      <c r="E140" s="503">
        <v>16500</v>
      </c>
      <c r="F140" s="481" t="s">
        <v>321</v>
      </c>
      <c r="G140" s="493" t="s">
        <v>610</v>
      </c>
      <c r="H140" s="496" t="s">
        <v>393</v>
      </c>
      <c r="I140" s="470"/>
      <c r="J140" s="471"/>
      <c r="K140" s="471"/>
      <c r="L140" s="471"/>
      <c r="M140" s="471"/>
    </row>
    <row r="141" spans="1:13" x14ac:dyDescent="0.25">
      <c r="A141" s="472">
        <v>217</v>
      </c>
      <c r="B141" s="481" t="s">
        <v>376</v>
      </c>
      <c r="C141" s="482">
        <v>2</v>
      </c>
      <c r="D141" s="503">
        <v>3400</v>
      </c>
      <c r="E141" s="503">
        <v>6800</v>
      </c>
      <c r="F141" s="481" t="s">
        <v>844</v>
      </c>
      <c r="G141" s="493" t="s">
        <v>610</v>
      </c>
      <c r="H141" s="496" t="s">
        <v>393</v>
      </c>
      <c r="I141" s="470"/>
      <c r="J141" s="471"/>
      <c r="K141" s="471"/>
      <c r="L141" s="471"/>
      <c r="M141" s="471"/>
    </row>
    <row r="142" spans="1:13" x14ac:dyDescent="0.25">
      <c r="A142" s="472">
        <v>218</v>
      </c>
      <c r="B142" s="481" t="s">
        <v>824</v>
      </c>
      <c r="C142" s="482">
        <v>1</v>
      </c>
      <c r="D142" s="503">
        <v>42800</v>
      </c>
      <c r="E142" s="503">
        <v>42800</v>
      </c>
      <c r="F142" s="481" t="s">
        <v>742</v>
      </c>
      <c r="G142" s="493" t="s">
        <v>610</v>
      </c>
      <c r="H142" s="496" t="s">
        <v>393</v>
      </c>
      <c r="I142" s="470"/>
      <c r="J142" s="471"/>
      <c r="K142" s="471"/>
      <c r="L142" s="471"/>
      <c r="M142" s="471"/>
    </row>
    <row r="143" spans="1:13" x14ac:dyDescent="0.25">
      <c r="A143" s="472">
        <v>219</v>
      </c>
      <c r="B143" s="481" t="s">
        <v>789</v>
      </c>
      <c r="C143" s="482">
        <v>1</v>
      </c>
      <c r="D143" s="503">
        <v>1883.2</v>
      </c>
      <c r="E143" s="503">
        <v>1883.2</v>
      </c>
      <c r="F143" s="481" t="s">
        <v>331</v>
      </c>
      <c r="G143" s="493" t="s">
        <v>610</v>
      </c>
      <c r="H143" s="496" t="s">
        <v>393</v>
      </c>
      <c r="I143" s="470"/>
      <c r="J143" s="471"/>
      <c r="K143" s="471"/>
      <c r="L143" s="471"/>
      <c r="M143" s="471"/>
    </row>
    <row r="144" spans="1:13" x14ac:dyDescent="0.25">
      <c r="A144" s="472">
        <v>142</v>
      </c>
      <c r="B144" s="493" t="s">
        <v>352</v>
      </c>
      <c r="C144" s="472">
        <v>2</v>
      </c>
      <c r="D144" s="494">
        <v>495000</v>
      </c>
      <c r="E144" s="494">
        <f t="shared" ref="E144:E162" si="9">+C144*D144</f>
        <v>990000</v>
      </c>
      <c r="F144" s="493" t="s">
        <v>320</v>
      </c>
      <c r="G144" s="493" t="s">
        <v>610</v>
      </c>
      <c r="H144" s="496" t="s">
        <v>393</v>
      </c>
      <c r="I144" s="470"/>
      <c r="J144" s="471"/>
      <c r="K144" s="471"/>
      <c r="L144" s="471"/>
      <c r="M144" s="471"/>
    </row>
    <row r="145" spans="1:13" x14ac:dyDescent="0.25">
      <c r="A145" s="472">
        <v>157</v>
      </c>
      <c r="B145" s="481" t="s">
        <v>882</v>
      </c>
      <c r="C145" s="482">
        <v>33</v>
      </c>
      <c r="D145" s="503">
        <v>2950</v>
      </c>
      <c r="E145" s="503">
        <f t="shared" si="9"/>
        <v>97350</v>
      </c>
      <c r="F145" s="511" t="s">
        <v>769</v>
      </c>
      <c r="G145" s="493" t="s">
        <v>610</v>
      </c>
      <c r="H145" s="496" t="s">
        <v>393</v>
      </c>
      <c r="I145" s="470"/>
      <c r="J145" s="471"/>
      <c r="K145" s="471"/>
      <c r="L145" s="471"/>
      <c r="M145" s="471"/>
    </row>
    <row r="146" spans="1:13" x14ac:dyDescent="0.25">
      <c r="A146" s="472">
        <v>158</v>
      </c>
      <c r="B146" s="481" t="s">
        <v>883</v>
      </c>
      <c r="C146" s="482">
        <v>33</v>
      </c>
      <c r="D146" s="503">
        <v>730</v>
      </c>
      <c r="E146" s="503">
        <f t="shared" si="9"/>
        <v>24090</v>
      </c>
      <c r="F146" s="511" t="s">
        <v>769</v>
      </c>
      <c r="G146" s="493" t="s">
        <v>610</v>
      </c>
      <c r="H146" s="496" t="s">
        <v>393</v>
      </c>
      <c r="I146" s="470"/>
      <c r="J146" s="471"/>
      <c r="K146" s="471"/>
      <c r="L146" s="471"/>
      <c r="M146" s="471"/>
    </row>
    <row r="147" spans="1:13" x14ac:dyDescent="0.25">
      <c r="A147" s="472">
        <v>165</v>
      </c>
      <c r="B147" s="481" t="s">
        <v>785</v>
      </c>
      <c r="C147" s="482">
        <v>1</v>
      </c>
      <c r="D147" s="503">
        <v>54500</v>
      </c>
      <c r="E147" s="495">
        <f t="shared" si="9"/>
        <v>54500</v>
      </c>
      <c r="F147" s="481" t="s">
        <v>731</v>
      </c>
      <c r="G147" s="493" t="s">
        <v>610</v>
      </c>
      <c r="H147" s="496" t="s">
        <v>393</v>
      </c>
      <c r="I147" s="470"/>
      <c r="J147" s="471"/>
      <c r="K147" s="471"/>
      <c r="L147" s="471"/>
      <c r="M147" s="471"/>
    </row>
    <row r="148" spans="1:13" x14ac:dyDescent="0.25">
      <c r="A148" s="472">
        <v>166</v>
      </c>
      <c r="B148" s="481" t="s">
        <v>786</v>
      </c>
      <c r="C148" s="482">
        <v>1</v>
      </c>
      <c r="D148" s="503">
        <v>6400</v>
      </c>
      <c r="E148" s="495">
        <f t="shared" si="9"/>
        <v>6400</v>
      </c>
      <c r="F148" s="481" t="s">
        <v>731</v>
      </c>
      <c r="G148" s="493" t="s">
        <v>610</v>
      </c>
      <c r="H148" s="496" t="s">
        <v>393</v>
      </c>
      <c r="I148" s="470"/>
      <c r="J148" s="471"/>
      <c r="K148" s="471"/>
      <c r="L148" s="471"/>
      <c r="M148" s="471"/>
    </row>
    <row r="149" spans="1:13" x14ac:dyDescent="0.25">
      <c r="A149" s="472">
        <v>167</v>
      </c>
      <c r="B149" s="481" t="s">
        <v>787</v>
      </c>
      <c r="C149" s="482">
        <v>1</v>
      </c>
      <c r="D149" s="503">
        <v>36700</v>
      </c>
      <c r="E149" s="495">
        <f t="shared" si="9"/>
        <v>36700</v>
      </c>
      <c r="F149" s="481" t="s">
        <v>731</v>
      </c>
      <c r="G149" s="493" t="s">
        <v>610</v>
      </c>
      <c r="H149" s="496" t="s">
        <v>393</v>
      </c>
      <c r="I149" s="470"/>
      <c r="J149" s="471"/>
      <c r="K149" s="471"/>
      <c r="L149" s="471"/>
      <c r="M149" s="471"/>
    </row>
    <row r="150" spans="1:13" x14ac:dyDescent="0.25">
      <c r="A150" s="472">
        <v>168</v>
      </c>
      <c r="B150" s="481" t="s">
        <v>788</v>
      </c>
      <c r="C150" s="482">
        <v>1</v>
      </c>
      <c r="D150" s="503">
        <v>7200</v>
      </c>
      <c r="E150" s="495">
        <f t="shared" si="9"/>
        <v>7200</v>
      </c>
      <c r="F150" s="481" t="s">
        <v>731</v>
      </c>
      <c r="G150" s="493" t="s">
        <v>610</v>
      </c>
      <c r="H150" s="496" t="s">
        <v>393</v>
      </c>
      <c r="I150" s="470"/>
      <c r="J150" s="471"/>
      <c r="K150" s="471"/>
      <c r="L150" s="471"/>
      <c r="M150" s="471"/>
    </row>
    <row r="151" spans="1:13" x14ac:dyDescent="0.25">
      <c r="A151" s="472">
        <v>169</v>
      </c>
      <c r="B151" s="481" t="s">
        <v>789</v>
      </c>
      <c r="C151" s="482">
        <v>1</v>
      </c>
      <c r="D151" s="503">
        <v>2305.85</v>
      </c>
      <c r="E151" s="495">
        <f t="shared" si="9"/>
        <v>2305.85</v>
      </c>
      <c r="F151" s="481" t="s">
        <v>732</v>
      </c>
      <c r="G151" s="493" t="s">
        <v>610</v>
      </c>
      <c r="H151" s="496" t="s">
        <v>393</v>
      </c>
      <c r="I151" s="470"/>
      <c r="J151" s="471"/>
      <c r="K151" s="471"/>
      <c r="L151" s="471"/>
      <c r="M151" s="471"/>
    </row>
    <row r="152" spans="1:13" x14ac:dyDescent="0.25">
      <c r="A152" s="472">
        <v>170</v>
      </c>
      <c r="B152" s="481" t="s">
        <v>790</v>
      </c>
      <c r="C152" s="482">
        <v>2</v>
      </c>
      <c r="D152" s="503">
        <v>3300</v>
      </c>
      <c r="E152" s="495">
        <f t="shared" si="9"/>
        <v>6600</v>
      </c>
      <c r="F152" s="481" t="s">
        <v>732</v>
      </c>
      <c r="G152" s="493" t="s">
        <v>610</v>
      </c>
      <c r="H152" s="496" t="s">
        <v>393</v>
      </c>
      <c r="I152" s="470"/>
      <c r="J152" s="471"/>
      <c r="K152" s="471"/>
      <c r="L152" s="471"/>
      <c r="M152" s="471"/>
    </row>
    <row r="153" spans="1:13" x14ac:dyDescent="0.25">
      <c r="A153" s="472">
        <v>171</v>
      </c>
      <c r="B153" s="504" t="s">
        <v>791</v>
      </c>
      <c r="C153" s="505">
        <v>1</v>
      </c>
      <c r="D153" s="506">
        <v>5590</v>
      </c>
      <c r="E153" s="495">
        <f t="shared" si="9"/>
        <v>5590</v>
      </c>
      <c r="F153" s="504" t="s">
        <v>826</v>
      </c>
      <c r="G153" s="493" t="s">
        <v>610</v>
      </c>
      <c r="H153" s="496" t="s">
        <v>393</v>
      </c>
      <c r="I153" s="470"/>
      <c r="J153" s="471"/>
      <c r="K153" s="471"/>
      <c r="L153" s="471"/>
      <c r="M153" s="471"/>
    </row>
    <row r="154" spans="1:13" x14ac:dyDescent="0.25">
      <c r="A154" s="472">
        <v>172</v>
      </c>
      <c r="B154" s="481" t="s">
        <v>884</v>
      </c>
      <c r="C154" s="482">
        <v>1</v>
      </c>
      <c r="D154" s="503">
        <v>28800</v>
      </c>
      <c r="E154" s="495">
        <f t="shared" si="9"/>
        <v>28800</v>
      </c>
      <c r="F154" s="504" t="s">
        <v>826</v>
      </c>
      <c r="G154" s="493" t="s">
        <v>610</v>
      </c>
      <c r="H154" s="496" t="s">
        <v>393</v>
      </c>
      <c r="I154" s="470"/>
      <c r="J154" s="471"/>
      <c r="K154" s="471"/>
      <c r="L154" s="471"/>
      <c r="M154" s="471"/>
    </row>
    <row r="155" spans="1:13" x14ac:dyDescent="0.25">
      <c r="A155" s="472">
        <v>173</v>
      </c>
      <c r="B155" s="481" t="s">
        <v>885</v>
      </c>
      <c r="C155" s="482">
        <v>1</v>
      </c>
      <c r="D155" s="503">
        <v>15500</v>
      </c>
      <c r="E155" s="495">
        <f t="shared" si="9"/>
        <v>15500</v>
      </c>
      <c r="F155" s="504" t="s">
        <v>826</v>
      </c>
      <c r="G155" s="493" t="s">
        <v>610</v>
      </c>
      <c r="H155" s="496" t="s">
        <v>393</v>
      </c>
      <c r="I155" s="470"/>
      <c r="J155" s="471"/>
      <c r="K155" s="471"/>
      <c r="L155" s="471"/>
      <c r="M155" s="471"/>
    </row>
    <row r="156" spans="1:13" x14ac:dyDescent="0.25">
      <c r="A156" s="472">
        <v>174</v>
      </c>
      <c r="B156" s="481" t="s">
        <v>789</v>
      </c>
      <c r="C156" s="482">
        <v>7</v>
      </c>
      <c r="D156" s="503">
        <v>2204.1999999999998</v>
      </c>
      <c r="E156" s="495">
        <f t="shared" si="9"/>
        <v>15429.399999999998</v>
      </c>
      <c r="F156" s="504" t="s">
        <v>826</v>
      </c>
      <c r="G156" s="493" t="s">
        <v>610</v>
      </c>
      <c r="H156" s="496" t="s">
        <v>393</v>
      </c>
      <c r="I156" s="470"/>
      <c r="J156" s="471"/>
      <c r="K156" s="471"/>
      <c r="L156" s="471"/>
      <c r="M156" s="471"/>
    </row>
    <row r="157" spans="1:13" x14ac:dyDescent="0.25">
      <c r="A157" s="472">
        <v>175</v>
      </c>
      <c r="B157" s="481" t="s">
        <v>789</v>
      </c>
      <c r="C157" s="482">
        <v>1</v>
      </c>
      <c r="D157" s="481">
        <v>2305.85</v>
      </c>
      <c r="E157" s="495">
        <f t="shared" si="9"/>
        <v>2305.85</v>
      </c>
      <c r="F157" s="481" t="s">
        <v>827</v>
      </c>
      <c r="G157" s="493" t="s">
        <v>610</v>
      </c>
      <c r="H157" s="496" t="s">
        <v>393</v>
      </c>
      <c r="I157" s="470"/>
      <c r="J157" s="471"/>
      <c r="K157" s="471"/>
      <c r="L157" s="471"/>
      <c r="M157" s="471"/>
    </row>
    <row r="158" spans="1:13" x14ac:dyDescent="0.25">
      <c r="A158" s="472">
        <v>176</v>
      </c>
      <c r="B158" s="504" t="s">
        <v>792</v>
      </c>
      <c r="C158" s="505">
        <v>1</v>
      </c>
      <c r="D158" s="506">
        <v>31800</v>
      </c>
      <c r="E158" s="495">
        <f t="shared" si="9"/>
        <v>31800</v>
      </c>
      <c r="F158" s="504" t="s">
        <v>827</v>
      </c>
      <c r="G158" s="493" t="s">
        <v>610</v>
      </c>
      <c r="H158" s="496" t="s">
        <v>393</v>
      </c>
      <c r="I158" s="470"/>
      <c r="J158" s="471"/>
      <c r="K158" s="471"/>
      <c r="L158" s="471"/>
      <c r="M158" s="471"/>
    </row>
    <row r="159" spans="1:13" x14ac:dyDescent="0.25">
      <c r="A159" s="472">
        <v>177</v>
      </c>
      <c r="B159" s="481" t="s">
        <v>793</v>
      </c>
      <c r="C159" s="482">
        <v>1</v>
      </c>
      <c r="D159" s="503">
        <v>28800</v>
      </c>
      <c r="E159" s="495">
        <f t="shared" si="9"/>
        <v>28800</v>
      </c>
      <c r="F159" s="481" t="s">
        <v>827</v>
      </c>
      <c r="G159" s="493" t="s">
        <v>610</v>
      </c>
      <c r="H159" s="496" t="s">
        <v>393</v>
      </c>
      <c r="I159" s="470"/>
      <c r="J159" s="471"/>
      <c r="K159" s="471"/>
      <c r="L159" s="471"/>
      <c r="M159" s="471"/>
    </row>
    <row r="160" spans="1:13" x14ac:dyDescent="0.25">
      <c r="A160" s="472">
        <v>181</v>
      </c>
      <c r="B160" s="481" t="s">
        <v>797</v>
      </c>
      <c r="C160" s="482">
        <v>1</v>
      </c>
      <c r="D160" s="503">
        <v>49000</v>
      </c>
      <c r="E160" s="495">
        <f t="shared" si="9"/>
        <v>49000</v>
      </c>
      <c r="F160" s="481" t="s">
        <v>829</v>
      </c>
      <c r="G160" s="493" t="s">
        <v>610</v>
      </c>
      <c r="H160" s="496" t="s">
        <v>393</v>
      </c>
      <c r="I160" s="470"/>
      <c r="J160" s="471"/>
      <c r="K160" s="471"/>
      <c r="L160" s="471"/>
      <c r="M160" s="471"/>
    </row>
    <row r="161" spans="1:13" x14ac:dyDescent="0.25">
      <c r="A161" s="472">
        <v>182</v>
      </c>
      <c r="B161" s="481" t="s">
        <v>798</v>
      </c>
      <c r="C161" s="482">
        <v>1</v>
      </c>
      <c r="D161" s="545">
        <v>2418.1999999999998</v>
      </c>
      <c r="E161" s="495">
        <f t="shared" si="9"/>
        <v>2418.1999999999998</v>
      </c>
      <c r="F161" s="481" t="s">
        <v>829</v>
      </c>
      <c r="G161" s="493" t="s">
        <v>610</v>
      </c>
      <c r="H161" s="496" t="s">
        <v>393</v>
      </c>
      <c r="I161" s="470"/>
      <c r="J161" s="471"/>
      <c r="K161" s="471"/>
      <c r="L161" s="471"/>
      <c r="M161" s="471"/>
    </row>
    <row r="162" spans="1:13" x14ac:dyDescent="0.25">
      <c r="A162" s="472">
        <v>183</v>
      </c>
      <c r="B162" s="481" t="s">
        <v>799</v>
      </c>
      <c r="C162" s="482">
        <v>1</v>
      </c>
      <c r="D162" s="503">
        <v>1808.3</v>
      </c>
      <c r="E162" s="495">
        <f t="shared" si="9"/>
        <v>1808.3</v>
      </c>
      <c r="F162" s="481" t="s">
        <v>830</v>
      </c>
      <c r="G162" s="493" t="s">
        <v>610</v>
      </c>
      <c r="H162" s="496" t="s">
        <v>393</v>
      </c>
      <c r="I162" s="470"/>
      <c r="J162" s="471"/>
      <c r="K162" s="471"/>
      <c r="L162" s="471"/>
      <c r="M162" s="471"/>
    </row>
    <row r="163" spans="1:13" x14ac:dyDescent="0.25">
      <c r="A163" s="472">
        <v>189</v>
      </c>
      <c r="B163" s="481" t="s">
        <v>803</v>
      </c>
      <c r="C163" s="482">
        <v>1</v>
      </c>
      <c r="D163" s="503">
        <v>2305.85</v>
      </c>
      <c r="E163" s="495">
        <v>2305.85</v>
      </c>
      <c r="F163" s="481" t="s">
        <v>833</v>
      </c>
      <c r="G163" s="493" t="s">
        <v>610</v>
      </c>
      <c r="H163" s="496" t="s">
        <v>393</v>
      </c>
      <c r="I163" s="470"/>
      <c r="J163" s="471"/>
      <c r="K163" s="471"/>
      <c r="L163" s="471"/>
      <c r="M163" s="471"/>
    </row>
    <row r="164" spans="1:13" x14ac:dyDescent="0.25">
      <c r="A164" s="472">
        <v>190</v>
      </c>
      <c r="B164" s="481" t="s">
        <v>798</v>
      </c>
      <c r="C164" s="482">
        <v>1</v>
      </c>
      <c r="D164" s="503">
        <v>2590</v>
      </c>
      <c r="E164" s="495">
        <v>2590</v>
      </c>
      <c r="F164" s="481" t="s">
        <v>834</v>
      </c>
      <c r="G164" s="493" t="s">
        <v>610</v>
      </c>
      <c r="H164" s="496" t="s">
        <v>393</v>
      </c>
      <c r="I164" s="470"/>
      <c r="J164" s="471"/>
      <c r="K164" s="471"/>
      <c r="L164" s="471"/>
      <c r="M164" s="471"/>
    </row>
    <row r="165" spans="1:13" x14ac:dyDescent="0.25">
      <c r="A165" s="472">
        <v>192</v>
      </c>
      <c r="B165" s="481" t="s">
        <v>805</v>
      </c>
      <c r="C165" s="482">
        <v>5</v>
      </c>
      <c r="D165" s="503">
        <v>9580</v>
      </c>
      <c r="E165" s="503">
        <v>47900</v>
      </c>
      <c r="F165" s="481" t="s">
        <v>332</v>
      </c>
      <c r="G165" s="493" t="s">
        <v>610</v>
      </c>
      <c r="H165" s="496" t="s">
        <v>393</v>
      </c>
      <c r="I165" s="470"/>
      <c r="J165" s="471"/>
      <c r="K165" s="471"/>
      <c r="L165" s="471"/>
      <c r="M165" s="471"/>
    </row>
    <row r="166" spans="1:13" x14ac:dyDescent="0.25">
      <c r="A166" s="472">
        <v>193</v>
      </c>
      <c r="B166" s="481" t="s">
        <v>806</v>
      </c>
      <c r="C166" s="482">
        <v>4</v>
      </c>
      <c r="D166" s="503">
        <v>6690</v>
      </c>
      <c r="E166" s="503">
        <v>26760</v>
      </c>
      <c r="F166" s="481" t="s">
        <v>737</v>
      </c>
      <c r="G166" s="493" t="s">
        <v>610</v>
      </c>
      <c r="H166" s="496" t="s">
        <v>393</v>
      </c>
      <c r="I166" s="470"/>
      <c r="J166" s="471"/>
      <c r="K166" s="471"/>
      <c r="L166" s="471"/>
      <c r="M166" s="471"/>
    </row>
    <row r="167" spans="1:13" x14ac:dyDescent="0.25">
      <c r="A167" s="472">
        <v>205</v>
      </c>
      <c r="B167" s="481" t="s">
        <v>915</v>
      </c>
      <c r="C167" s="482">
        <v>1</v>
      </c>
      <c r="D167" s="503">
        <v>45500</v>
      </c>
      <c r="E167" s="503">
        <v>45500</v>
      </c>
      <c r="F167" s="481" t="s">
        <v>840</v>
      </c>
      <c r="G167" s="493" t="s">
        <v>610</v>
      </c>
      <c r="H167" s="496" t="s">
        <v>393</v>
      </c>
      <c r="I167" s="470"/>
      <c r="J167" s="471"/>
      <c r="K167" s="471"/>
      <c r="L167" s="471"/>
      <c r="M167" s="471"/>
    </row>
    <row r="168" spans="1:13" x14ac:dyDescent="0.25">
      <c r="A168" s="472">
        <v>206</v>
      </c>
      <c r="B168" s="481" t="s">
        <v>888</v>
      </c>
      <c r="C168" s="482">
        <v>1</v>
      </c>
      <c r="D168" s="503">
        <v>12000</v>
      </c>
      <c r="E168" s="503">
        <v>12000</v>
      </c>
      <c r="F168" s="481" t="s">
        <v>840</v>
      </c>
      <c r="G168" s="493" t="s">
        <v>610</v>
      </c>
      <c r="H168" s="496" t="s">
        <v>393</v>
      </c>
      <c r="I168" s="470"/>
      <c r="J168" s="471"/>
      <c r="K168" s="471"/>
      <c r="L168" s="471"/>
      <c r="M168" s="471"/>
    </row>
    <row r="169" spans="1:13" x14ac:dyDescent="0.25">
      <c r="A169" s="472">
        <v>209</v>
      </c>
      <c r="B169" s="481" t="s">
        <v>792</v>
      </c>
      <c r="C169" s="482">
        <v>2</v>
      </c>
      <c r="D169" s="503">
        <v>50250</v>
      </c>
      <c r="E169" s="506">
        <v>100500</v>
      </c>
      <c r="F169" s="481" t="s">
        <v>520</v>
      </c>
      <c r="G169" s="493" t="s">
        <v>610</v>
      </c>
      <c r="H169" s="496" t="s">
        <v>393</v>
      </c>
      <c r="I169" s="470"/>
      <c r="J169" s="471"/>
      <c r="K169" s="471"/>
      <c r="L169" s="471"/>
      <c r="M169" s="471"/>
    </row>
    <row r="170" spans="1:13" x14ac:dyDescent="0.25">
      <c r="A170" s="472">
        <v>220</v>
      </c>
      <c r="B170" s="481" t="s">
        <v>376</v>
      </c>
      <c r="C170" s="482">
        <v>1</v>
      </c>
      <c r="D170" s="503">
        <v>3400</v>
      </c>
      <c r="E170" s="503">
        <v>3400</v>
      </c>
      <c r="F170" s="481" t="s">
        <v>845</v>
      </c>
      <c r="G170" s="493" t="s">
        <v>610</v>
      </c>
      <c r="H170" s="496" t="s">
        <v>393</v>
      </c>
      <c r="I170" s="470"/>
      <c r="J170" s="471"/>
      <c r="K170" s="471"/>
      <c r="L170" s="471"/>
      <c r="M170" s="471"/>
    </row>
    <row r="171" spans="1:13" x14ac:dyDescent="0.25">
      <c r="A171" s="472"/>
      <c r="B171" s="1544" t="s">
        <v>1045</v>
      </c>
      <c r="C171" s="1545"/>
      <c r="D171" s="1546"/>
      <c r="E171" s="546">
        <f>SUM(E112:E170)</f>
        <v>2373178.4500000002</v>
      </c>
      <c r="F171" s="481"/>
      <c r="G171" s="493"/>
      <c r="H171" s="496"/>
      <c r="I171" s="470"/>
      <c r="J171" s="471"/>
      <c r="K171" s="471"/>
      <c r="L171" s="471"/>
      <c r="M171" s="471"/>
    </row>
    <row r="172" spans="1:13" x14ac:dyDescent="0.25">
      <c r="A172" s="472">
        <v>222</v>
      </c>
      <c r="B172" s="492" t="s">
        <v>104</v>
      </c>
      <c r="C172" s="472">
        <v>1</v>
      </c>
      <c r="D172" s="474">
        <v>381027</v>
      </c>
      <c r="E172" s="474">
        <f>C172*D172</f>
        <v>381027</v>
      </c>
      <c r="F172" s="473" t="s">
        <v>323</v>
      </c>
      <c r="G172" s="473" t="s">
        <v>611</v>
      </c>
      <c r="H172" s="496"/>
      <c r="I172" s="470"/>
      <c r="J172" s="471"/>
      <c r="K172" s="471"/>
      <c r="L172" s="471"/>
      <c r="M172" s="471"/>
    </row>
    <row r="173" spans="1:13" s="491" customFormat="1" ht="46.8" x14ac:dyDescent="0.25">
      <c r="A173" s="485">
        <v>224</v>
      </c>
      <c r="B173" s="515" t="s">
        <v>1062</v>
      </c>
      <c r="C173" s="516">
        <v>6</v>
      </c>
      <c r="D173" s="547">
        <v>8470</v>
      </c>
      <c r="E173" s="548">
        <v>50820</v>
      </c>
      <c r="F173" s="519" t="s">
        <v>490</v>
      </c>
      <c r="G173" s="519" t="s">
        <v>611</v>
      </c>
      <c r="H173" s="496" t="s">
        <v>393</v>
      </c>
      <c r="I173" s="489"/>
      <c r="J173" s="490"/>
      <c r="K173" s="490"/>
      <c r="L173" s="490"/>
      <c r="M173" s="490"/>
    </row>
    <row r="174" spans="1:13" x14ac:dyDescent="0.25">
      <c r="A174" s="472">
        <v>227</v>
      </c>
      <c r="B174" s="512" t="s">
        <v>432</v>
      </c>
      <c r="C174" s="513">
        <v>1</v>
      </c>
      <c r="D174" s="549">
        <v>2000000</v>
      </c>
      <c r="E174" s="550">
        <f>+C174*D174</f>
        <v>2000000</v>
      </c>
      <c r="F174" s="510" t="s">
        <v>434</v>
      </c>
      <c r="G174" s="510" t="s">
        <v>611</v>
      </c>
      <c r="H174" s="496" t="s">
        <v>393</v>
      </c>
      <c r="I174" s="470"/>
      <c r="J174" s="471"/>
      <c r="K174" s="471"/>
      <c r="L174" s="471"/>
      <c r="M174" s="471"/>
    </row>
    <row r="175" spans="1:13" x14ac:dyDescent="0.25">
      <c r="A175" s="472">
        <v>229</v>
      </c>
      <c r="B175" s="551" t="s">
        <v>427</v>
      </c>
      <c r="C175" s="513">
        <v>1</v>
      </c>
      <c r="D175" s="549">
        <v>100000</v>
      </c>
      <c r="E175" s="550">
        <v>100000</v>
      </c>
      <c r="F175" s="510" t="s">
        <v>434</v>
      </c>
      <c r="G175" s="510" t="s">
        <v>611</v>
      </c>
      <c r="H175" s="552" t="s">
        <v>393</v>
      </c>
      <c r="I175" s="470"/>
      <c r="J175" s="471"/>
      <c r="K175" s="471"/>
      <c r="L175" s="471"/>
      <c r="M175" s="471"/>
    </row>
    <row r="176" spans="1:13" x14ac:dyDescent="0.25">
      <c r="A176" s="472">
        <v>231</v>
      </c>
      <c r="B176" s="512" t="s">
        <v>429</v>
      </c>
      <c r="C176" s="553">
        <v>2</v>
      </c>
      <c r="D176" s="554">
        <v>68000</v>
      </c>
      <c r="E176" s="554">
        <f>+C176*D176</f>
        <v>136000</v>
      </c>
      <c r="F176" s="510" t="s">
        <v>434</v>
      </c>
      <c r="G176" s="510" t="s">
        <v>611</v>
      </c>
      <c r="H176" s="552" t="s">
        <v>393</v>
      </c>
      <c r="I176" s="470"/>
      <c r="J176" s="471"/>
      <c r="K176" s="471"/>
      <c r="L176" s="471"/>
      <c r="M176" s="471"/>
    </row>
    <row r="177" spans="1:13" s="491" customFormat="1" ht="23.25" customHeight="1" x14ac:dyDescent="0.25">
      <c r="A177" s="485">
        <v>232</v>
      </c>
      <c r="B177" s="555" t="s">
        <v>615</v>
      </c>
      <c r="C177" s="556">
        <v>1</v>
      </c>
      <c r="D177" s="557">
        <v>800000</v>
      </c>
      <c r="E177" s="557">
        <v>800000</v>
      </c>
      <c r="F177" s="558" t="s">
        <v>434</v>
      </c>
      <c r="G177" s="558" t="s">
        <v>611</v>
      </c>
      <c r="H177" s="559" t="s">
        <v>471</v>
      </c>
      <c r="I177" s="489"/>
      <c r="J177" s="490"/>
      <c r="K177" s="490"/>
      <c r="L177" s="490"/>
      <c r="M177" s="490"/>
    </row>
    <row r="178" spans="1:13" x14ac:dyDescent="0.25">
      <c r="A178" s="472">
        <v>233</v>
      </c>
      <c r="B178" s="560" t="s">
        <v>435</v>
      </c>
      <c r="C178" s="561">
        <v>20</v>
      </c>
      <c r="D178" s="562">
        <v>24000</v>
      </c>
      <c r="E178" s="563">
        <f t="shared" ref="E178:E215" si="10">+C178*D178</f>
        <v>480000</v>
      </c>
      <c r="F178" s="510" t="s">
        <v>434</v>
      </c>
      <c r="G178" s="510" t="s">
        <v>611</v>
      </c>
      <c r="H178" s="496" t="s">
        <v>1081</v>
      </c>
      <c r="I178" s="470"/>
      <c r="J178" s="471"/>
      <c r="K178" s="471"/>
      <c r="L178" s="471"/>
      <c r="M178" s="471"/>
    </row>
    <row r="179" spans="1:13" x14ac:dyDescent="0.25">
      <c r="A179" s="472">
        <v>235</v>
      </c>
      <c r="B179" s="560" t="s">
        <v>438</v>
      </c>
      <c r="C179" s="561">
        <v>15</v>
      </c>
      <c r="D179" s="564">
        <v>7900</v>
      </c>
      <c r="E179" s="525">
        <f t="shared" si="10"/>
        <v>118500</v>
      </c>
      <c r="F179" s="510" t="s">
        <v>434</v>
      </c>
      <c r="G179" s="510" t="s">
        <v>611</v>
      </c>
      <c r="H179" s="496" t="s">
        <v>1081</v>
      </c>
      <c r="I179" s="470"/>
      <c r="J179" s="471"/>
      <c r="K179" s="471"/>
      <c r="L179" s="471"/>
      <c r="M179" s="471"/>
    </row>
    <row r="180" spans="1:13" x14ac:dyDescent="0.25">
      <c r="A180" s="472">
        <v>237</v>
      </c>
      <c r="B180" s="560" t="s">
        <v>440</v>
      </c>
      <c r="C180" s="561">
        <v>50</v>
      </c>
      <c r="D180" s="564">
        <v>4000</v>
      </c>
      <c r="E180" s="525">
        <f t="shared" si="10"/>
        <v>200000</v>
      </c>
      <c r="F180" s="510" t="s">
        <v>434</v>
      </c>
      <c r="G180" s="510" t="s">
        <v>611</v>
      </c>
      <c r="H180" s="496" t="s">
        <v>1081</v>
      </c>
      <c r="I180" s="470"/>
      <c r="J180" s="471"/>
      <c r="K180" s="471"/>
      <c r="L180" s="471"/>
      <c r="M180" s="471"/>
    </row>
    <row r="181" spans="1:13" x14ac:dyDescent="0.25">
      <c r="A181" s="472">
        <v>256</v>
      </c>
      <c r="B181" s="560" t="s">
        <v>641</v>
      </c>
      <c r="C181" s="561">
        <v>1</v>
      </c>
      <c r="D181" s="565">
        <v>10600</v>
      </c>
      <c r="E181" s="525">
        <f t="shared" si="10"/>
        <v>10600</v>
      </c>
      <c r="F181" s="510" t="s">
        <v>434</v>
      </c>
      <c r="G181" s="510" t="s">
        <v>611</v>
      </c>
      <c r="H181" s="566" t="s">
        <v>393</v>
      </c>
      <c r="I181" s="470"/>
      <c r="J181" s="471"/>
      <c r="K181" s="471"/>
      <c r="L181" s="471"/>
      <c r="M181" s="471"/>
    </row>
    <row r="182" spans="1:13" x14ac:dyDescent="0.25">
      <c r="A182" s="472">
        <v>257</v>
      </c>
      <c r="B182" s="560" t="s">
        <v>642</v>
      </c>
      <c r="C182" s="561">
        <v>1</v>
      </c>
      <c r="D182" s="565">
        <v>24300</v>
      </c>
      <c r="E182" s="525">
        <f t="shared" si="10"/>
        <v>24300</v>
      </c>
      <c r="F182" s="510" t="s">
        <v>434</v>
      </c>
      <c r="G182" s="510" t="s">
        <v>611</v>
      </c>
      <c r="H182" s="566" t="s">
        <v>1082</v>
      </c>
      <c r="I182" s="470"/>
      <c r="J182" s="471"/>
      <c r="K182" s="471"/>
      <c r="L182" s="471"/>
      <c r="M182" s="471"/>
    </row>
    <row r="183" spans="1:13" x14ac:dyDescent="0.25">
      <c r="A183" s="472">
        <v>258</v>
      </c>
      <c r="B183" s="560" t="s">
        <v>643</v>
      </c>
      <c r="C183" s="561">
        <v>1</v>
      </c>
      <c r="D183" s="565">
        <v>10516</v>
      </c>
      <c r="E183" s="525">
        <f t="shared" si="10"/>
        <v>10516</v>
      </c>
      <c r="F183" s="510" t="s">
        <v>434</v>
      </c>
      <c r="G183" s="510" t="s">
        <v>611</v>
      </c>
      <c r="H183" s="566" t="s">
        <v>1082</v>
      </c>
      <c r="I183" s="470"/>
      <c r="J183" s="471"/>
      <c r="K183" s="471"/>
      <c r="L183" s="471"/>
      <c r="M183" s="471"/>
    </row>
    <row r="184" spans="1:13" x14ac:dyDescent="0.25">
      <c r="A184" s="472">
        <v>259</v>
      </c>
      <c r="B184" s="560" t="s">
        <v>644</v>
      </c>
      <c r="C184" s="561">
        <v>2</v>
      </c>
      <c r="D184" s="565">
        <v>1700</v>
      </c>
      <c r="E184" s="525">
        <f t="shared" si="10"/>
        <v>3400</v>
      </c>
      <c r="F184" s="510" t="s">
        <v>434</v>
      </c>
      <c r="G184" s="510" t="s">
        <v>611</v>
      </c>
      <c r="H184" s="566" t="s">
        <v>393</v>
      </c>
      <c r="I184" s="470"/>
      <c r="J184" s="471"/>
      <c r="K184" s="471"/>
      <c r="L184" s="471"/>
      <c r="M184" s="471"/>
    </row>
    <row r="185" spans="1:13" x14ac:dyDescent="0.25">
      <c r="A185" s="472">
        <v>260</v>
      </c>
      <c r="B185" s="560" t="s">
        <v>645</v>
      </c>
      <c r="C185" s="561">
        <v>2</v>
      </c>
      <c r="D185" s="565">
        <v>1850</v>
      </c>
      <c r="E185" s="525">
        <f t="shared" si="10"/>
        <v>3700</v>
      </c>
      <c r="F185" s="510" t="s">
        <v>434</v>
      </c>
      <c r="G185" s="510" t="s">
        <v>611</v>
      </c>
      <c r="H185" s="566" t="s">
        <v>393</v>
      </c>
      <c r="I185" s="470"/>
      <c r="J185" s="471"/>
      <c r="K185" s="471"/>
      <c r="L185" s="471"/>
      <c r="M185" s="471"/>
    </row>
    <row r="186" spans="1:13" x14ac:dyDescent="0.25">
      <c r="A186" s="472">
        <v>261</v>
      </c>
      <c r="B186" s="560" t="s">
        <v>646</v>
      </c>
      <c r="C186" s="561">
        <v>2</v>
      </c>
      <c r="D186" s="565">
        <v>3000</v>
      </c>
      <c r="E186" s="525">
        <f t="shared" si="10"/>
        <v>6000</v>
      </c>
      <c r="F186" s="510" t="s">
        <v>434</v>
      </c>
      <c r="G186" s="510" t="s">
        <v>611</v>
      </c>
      <c r="H186" s="566" t="s">
        <v>393</v>
      </c>
      <c r="I186" s="470"/>
      <c r="J186" s="471"/>
      <c r="K186" s="471"/>
      <c r="L186" s="471"/>
      <c r="M186" s="471"/>
    </row>
    <row r="187" spans="1:13" x14ac:dyDescent="0.25">
      <c r="A187" s="472">
        <v>266</v>
      </c>
      <c r="B187" s="481" t="s">
        <v>846</v>
      </c>
      <c r="C187" s="482">
        <v>3</v>
      </c>
      <c r="D187" s="503">
        <v>6900</v>
      </c>
      <c r="E187" s="525">
        <f t="shared" si="10"/>
        <v>20700</v>
      </c>
      <c r="F187" s="481" t="s">
        <v>324</v>
      </c>
      <c r="G187" s="510" t="s">
        <v>611</v>
      </c>
      <c r="H187" s="496" t="s">
        <v>393</v>
      </c>
      <c r="I187" s="470"/>
      <c r="J187" s="471"/>
      <c r="K187" s="471"/>
      <c r="L187" s="471"/>
      <c r="M187" s="471"/>
    </row>
    <row r="188" spans="1:13" x14ac:dyDescent="0.25">
      <c r="A188" s="472">
        <v>268</v>
      </c>
      <c r="B188" s="511" t="s">
        <v>850</v>
      </c>
      <c r="C188" s="513">
        <v>2</v>
      </c>
      <c r="D188" s="495">
        <v>26500</v>
      </c>
      <c r="E188" s="525">
        <f t="shared" si="10"/>
        <v>53000</v>
      </c>
      <c r="F188" s="511" t="s">
        <v>375</v>
      </c>
      <c r="G188" s="510" t="s">
        <v>611</v>
      </c>
      <c r="H188" s="496" t="s">
        <v>393</v>
      </c>
      <c r="I188" s="470"/>
      <c r="J188" s="471"/>
      <c r="K188" s="471"/>
      <c r="L188" s="471"/>
      <c r="M188" s="471"/>
    </row>
    <row r="189" spans="1:13" x14ac:dyDescent="0.25">
      <c r="A189" s="472">
        <v>269</v>
      </c>
      <c r="B189" s="511" t="s">
        <v>889</v>
      </c>
      <c r="C189" s="513">
        <v>2</v>
      </c>
      <c r="D189" s="495">
        <v>2320</v>
      </c>
      <c r="E189" s="525">
        <f t="shared" si="10"/>
        <v>4640</v>
      </c>
      <c r="F189" s="511" t="s">
        <v>375</v>
      </c>
      <c r="G189" s="510" t="s">
        <v>611</v>
      </c>
      <c r="H189" s="496" t="s">
        <v>393</v>
      </c>
      <c r="I189" s="470"/>
      <c r="J189" s="471"/>
      <c r="K189" s="471"/>
      <c r="L189" s="471"/>
      <c r="M189" s="471"/>
    </row>
    <row r="190" spans="1:13" x14ac:dyDescent="0.25">
      <c r="A190" s="472">
        <v>270</v>
      </c>
      <c r="B190" s="511" t="s">
        <v>890</v>
      </c>
      <c r="C190" s="513">
        <v>1</v>
      </c>
      <c r="D190" s="495">
        <v>4290</v>
      </c>
      <c r="E190" s="525">
        <f t="shared" si="10"/>
        <v>4290</v>
      </c>
      <c r="F190" s="511" t="s">
        <v>375</v>
      </c>
      <c r="G190" s="510" t="s">
        <v>611</v>
      </c>
      <c r="H190" s="496" t="s">
        <v>393</v>
      </c>
      <c r="I190" s="470"/>
      <c r="J190" s="471"/>
      <c r="K190" s="471"/>
      <c r="L190" s="471"/>
      <c r="M190" s="471"/>
    </row>
    <row r="191" spans="1:13" x14ac:dyDescent="0.25">
      <c r="A191" s="472">
        <v>271</v>
      </c>
      <c r="B191" s="511" t="s">
        <v>891</v>
      </c>
      <c r="C191" s="513">
        <v>1</v>
      </c>
      <c r="D191" s="495">
        <v>5500</v>
      </c>
      <c r="E191" s="525">
        <f t="shared" si="10"/>
        <v>5500</v>
      </c>
      <c r="F191" s="511" t="s">
        <v>375</v>
      </c>
      <c r="G191" s="510" t="s">
        <v>611</v>
      </c>
      <c r="H191" s="496" t="s">
        <v>393</v>
      </c>
      <c r="I191" s="470"/>
      <c r="J191" s="471"/>
      <c r="K191" s="471"/>
      <c r="L191" s="471"/>
      <c r="M191" s="471"/>
    </row>
    <row r="192" spans="1:13" x14ac:dyDescent="0.25">
      <c r="A192" s="472">
        <v>272</v>
      </c>
      <c r="B192" s="481" t="s">
        <v>850</v>
      </c>
      <c r="C192" s="482">
        <v>1</v>
      </c>
      <c r="D192" s="503">
        <v>26500</v>
      </c>
      <c r="E192" s="525">
        <f t="shared" si="10"/>
        <v>26500</v>
      </c>
      <c r="F192" s="481" t="s">
        <v>375</v>
      </c>
      <c r="G192" s="510" t="s">
        <v>611</v>
      </c>
      <c r="H192" s="496" t="s">
        <v>393</v>
      </c>
      <c r="I192" s="470"/>
      <c r="J192" s="471"/>
      <c r="K192" s="471"/>
      <c r="L192" s="471"/>
      <c r="M192" s="471"/>
    </row>
    <row r="193" spans="1:13" x14ac:dyDescent="0.25">
      <c r="A193" s="472">
        <v>273</v>
      </c>
      <c r="B193" s="481" t="s">
        <v>892</v>
      </c>
      <c r="C193" s="482">
        <v>1</v>
      </c>
      <c r="D193" s="503">
        <v>2320</v>
      </c>
      <c r="E193" s="525">
        <f t="shared" si="10"/>
        <v>2320</v>
      </c>
      <c r="F193" s="481" t="s">
        <v>375</v>
      </c>
      <c r="G193" s="510" t="s">
        <v>611</v>
      </c>
      <c r="H193" s="496" t="s">
        <v>393</v>
      </c>
      <c r="I193" s="470"/>
      <c r="J193" s="471"/>
      <c r="K193" s="471"/>
      <c r="L193" s="471"/>
      <c r="M193" s="471"/>
    </row>
    <row r="194" spans="1:13" x14ac:dyDescent="0.25">
      <c r="A194" s="472">
        <v>274</v>
      </c>
      <c r="B194" s="481" t="s">
        <v>893</v>
      </c>
      <c r="C194" s="482">
        <v>1</v>
      </c>
      <c r="D194" s="503">
        <v>7700</v>
      </c>
      <c r="E194" s="525">
        <f t="shared" si="10"/>
        <v>7700</v>
      </c>
      <c r="F194" s="481" t="s">
        <v>375</v>
      </c>
      <c r="G194" s="510" t="s">
        <v>611</v>
      </c>
      <c r="H194" s="496" t="s">
        <v>393</v>
      </c>
      <c r="I194" s="470"/>
      <c r="J194" s="471"/>
      <c r="K194" s="471"/>
      <c r="L194" s="471"/>
      <c r="M194" s="471"/>
    </row>
    <row r="195" spans="1:13" x14ac:dyDescent="0.25">
      <c r="A195" s="472">
        <v>275</v>
      </c>
      <c r="B195" s="481" t="s">
        <v>894</v>
      </c>
      <c r="C195" s="482">
        <v>1</v>
      </c>
      <c r="D195" s="503">
        <v>26500</v>
      </c>
      <c r="E195" s="525">
        <f t="shared" si="10"/>
        <v>26500</v>
      </c>
      <c r="F195" s="481" t="s">
        <v>862</v>
      </c>
      <c r="G195" s="510" t="s">
        <v>611</v>
      </c>
      <c r="H195" s="496" t="s">
        <v>393</v>
      </c>
      <c r="I195" s="470"/>
      <c r="J195" s="471"/>
      <c r="K195" s="471"/>
      <c r="L195" s="471"/>
      <c r="M195" s="471"/>
    </row>
    <row r="196" spans="1:13" x14ac:dyDescent="0.25">
      <c r="A196" s="472">
        <v>276</v>
      </c>
      <c r="B196" s="481" t="s">
        <v>889</v>
      </c>
      <c r="C196" s="482">
        <v>1</v>
      </c>
      <c r="D196" s="503">
        <v>2320</v>
      </c>
      <c r="E196" s="525">
        <f t="shared" si="10"/>
        <v>2320</v>
      </c>
      <c r="F196" s="481" t="s">
        <v>862</v>
      </c>
      <c r="G196" s="510" t="s">
        <v>611</v>
      </c>
      <c r="H196" s="496" t="s">
        <v>393</v>
      </c>
      <c r="I196" s="470"/>
      <c r="J196" s="471"/>
      <c r="K196" s="471"/>
      <c r="L196" s="471"/>
      <c r="M196" s="471"/>
    </row>
    <row r="197" spans="1:13" s="491" customFormat="1" x14ac:dyDescent="0.25">
      <c r="A197" s="485">
        <v>277</v>
      </c>
      <c r="B197" s="515" t="s">
        <v>848</v>
      </c>
      <c r="C197" s="567">
        <v>1</v>
      </c>
      <c r="D197" s="568">
        <v>8990</v>
      </c>
      <c r="E197" s="569">
        <f t="shared" si="10"/>
        <v>8990</v>
      </c>
      <c r="F197" s="515" t="s">
        <v>830</v>
      </c>
      <c r="G197" s="558" t="s">
        <v>611</v>
      </c>
      <c r="H197" s="480" t="s">
        <v>393</v>
      </c>
      <c r="I197" s="489"/>
      <c r="J197" s="490"/>
      <c r="K197" s="490"/>
      <c r="L197" s="490"/>
      <c r="M197" s="490"/>
    </row>
    <row r="198" spans="1:13" x14ac:dyDescent="0.25">
      <c r="A198" s="472">
        <v>279</v>
      </c>
      <c r="B198" s="481" t="s">
        <v>850</v>
      </c>
      <c r="C198" s="482">
        <v>1</v>
      </c>
      <c r="D198" s="565">
        <v>28820</v>
      </c>
      <c r="E198" s="525">
        <f t="shared" si="10"/>
        <v>28820</v>
      </c>
      <c r="F198" s="481" t="s">
        <v>328</v>
      </c>
      <c r="G198" s="510" t="s">
        <v>611</v>
      </c>
      <c r="H198" s="496" t="s">
        <v>393</v>
      </c>
      <c r="I198" s="470"/>
      <c r="J198" s="471"/>
      <c r="K198" s="471"/>
      <c r="L198" s="471"/>
      <c r="M198" s="471"/>
    </row>
    <row r="199" spans="1:13" x14ac:dyDescent="0.25">
      <c r="A199" s="472">
        <v>280</v>
      </c>
      <c r="B199" s="481" t="s">
        <v>894</v>
      </c>
      <c r="C199" s="482">
        <v>1</v>
      </c>
      <c r="D199" s="503">
        <v>26500</v>
      </c>
      <c r="E199" s="525">
        <f t="shared" si="10"/>
        <v>26500</v>
      </c>
      <c r="F199" s="481" t="s">
        <v>837</v>
      </c>
      <c r="G199" s="510" t="s">
        <v>611</v>
      </c>
      <c r="H199" s="496" t="s">
        <v>393</v>
      </c>
      <c r="I199" s="470"/>
      <c r="J199" s="471"/>
      <c r="K199" s="471"/>
      <c r="L199" s="471"/>
      <c r="M199" s="471"/>
    </row>
    <row r="200" spans="1:13" x14ac:dyDescent="0.25">
      <c r="A200" s="472">
        <v>281</v>
      </c>
      <c r="B200" s="481" t="s">
        <v>889</v>
      </c>
      <c r="C200" s="482">
        <v>1</v>
      </c>
      <c r="D200" s="503">
        <v>2320</v>
      </c>
      <c r="E200" s="525">
        <f t="shared" si="10"/>
        <v>2320</v>
      </c>
      <c r="F200" s="481" t="s">
        <v>837</v>
      </c>
      <c r="G200" s="510" t="s">
        <v>611</v>
      </c>
      <c r="H200" s="496" t="s">
        <v>393</v>
      </c>
      <c r="I200" s="470"/>
      <c r="J200" s="471"/>
      <c r="K200" s="471"/>
      <c r="L200" s="471"/>
      <c r="M200" s="471"/>
    </row>
    <row r="201" spans="1:13" x14ac:dyDescent="0.25">
      <c r="A201" s="472">
        <v>282</v>
      </c>
      <c r="B201" s="481" t="s">
        <v>895</v>
      </c>
      <c r="C201" s="482">
        <v>1</v>
      </c>
      <c r="D201" s="503">
        <v>6900</v>
      </c>
      <c r="E201" s="525">
        <f t="shared" si="10"/>
        <v>6900</v>
      </c>
      <c r="F201" s="481" t="s">
        <v>838</v>
      </c>
      <c r="G201" s="510" t="s">
        <v>611</v>
      </c>
      <c r="H201" s="496" t="s">
        <v>393</v>
      </c>
      <c r="I201" s="470"/>
      <c r="J201" s="471"/>
      <c r="K201" s="471"/>
      <c r="L201" s="471"/>
      <c r="M201" s="471"/>
    </row>
    <row r="202" spans="1:13" x14ac:dyDescent="0.25">
      <c r="A202" s="472">
        <v>283</v>
      </c>
      <c r="B202" s="481" t="s">
        <v>372</v>
      </c>
      <c r="C202" s="482">
        <v>1</v>
      </c>
      <c r="D202" s="503">
        <v>10900</v>
      </c>
      <c r="E202" s="525">
        <f t="shared" si="10"/>
        <v>10900</v>
      </c>
      <c r="F202" s="481" t="s">
        <v>838</v>
      </c>
      <c r="G202" s="510" t="s">
        <v>611</v>
      </c>
      <c r="H202" s="496" t="s">
        <v>393</v>
      </c>
      <c r="I202" s="470"/>
      <c r="J202" s="471"/>
      <c r="K202" s="471"/>
      <c r="L202" s="471"/>
      <c r="M202" s="471"/>
    </row>
    <row r="203" spans="1:13" x14ac:dyDescent="0.25">
      <c r="A203" s="472">
        <v>292</v>
      </c>
      <c r="B203" s="481" t="s">
        <v>852</v>
      </c>
      <c r="C203" s="482">
        <v>8</v>
      </c>
      <c r="D203" s="503">
        <v>23125</v>
      </c>
      <c r="E203" s="525">
        <f t="shared" si="10"/>
        <v>185000</v>
      </c>
      <c r="F203" s="481" t="s">
        <v>322</v>
      </c>
      <c r="G203" s="510" t="s">
        <v>611</v>
      </c>
      <c r="H203" s="552" t="s">
        <v>1083</v>
      </c>
      <c r="I203" s="470"/>
      <c r="J203" s="471"/>
      <c r="K203" s="471"/>
      <c r="L203" s="471"/>
      <c r="M203" s="471"/>
    </row>
    <row r="204" spans="1:13" x14ac:dyDescent="0.25">
      <c r="A204" s="472">
        <v>293</v>
      </c>
      <c r="B204" s="481" t="s">
        <v>853</v>
      </c>
      <c r="C204" s="482">
        <v>3</v>
      </c>
      <c r="D204" s="503">
        <v>172805</v>
      </c>
      <c r="E204" s="525">
        <f t="shared" si="10"/>
        <v>518415</v>
      </c>
      <c r="F204" s="481" t="s">
        <v>490</v>
      </c>
      <c r="G204" s="510" t="s">
        <v>611</v>
      </c>
      <c r="H204" s="552" t="s">
        <v>1083</v>
      </c>
      <c r="I204" s="470"/>
      <c r="J204" s="471"/>
      <c r="K204" s="471"/>
      <c r="L204" s="471"/>
      <c r="M204" s="471"/>
    </row>
    <row r="205" spans="1:13" x14ac:dyDescent="0.25">
      <c r="A205" s="472">
        <v>294</v>
      </c>
      <c r="B205" s="511" t="s">
        <v>854</v>
      </c>
      <c r="C205" s="513">
        <v>1</v>
      </c>
      <c r="D205" s="495">
        <v>10690</v>
      </c>
      <c r="E205" s="525">
        <f t="shared" si="10"/>
        <v>10690</v>
      </c>
      <c r="F205" s="511" t="s">
        <v>490</v>
      </c>
      <c r="G205" s="510" t="s">
        <v>611</v>
      </c>
      <c r="H205" s="566" t="s">
        <v>1083</v>
      </c>
      <c r="I205" s="470"/>
      <c r="J205" s="471"/>
      <c r="K205" s="471"/>
      <c r="L205" s="471"/>
      <c r="M205" s="471"/>
    </row>
    <row r="206" spans="1:13" x14ac:dyDescent="0.25">
      <c r="A206" s="472">
        <v>295</v>
      </c>
      <c r="B206" s="481" t="s">
        <v>855</v>
      </c>
      <c r="C206" s="482">
        <v>2</v>
      </c>
      <c r="D206" s="503">
        <v>17560</v>
      </c>
      <c r="E206" s="525">
        <f t="shared" si="10"/>
        <v>35120</v>
      </c>
      <c r="F206" s="481" t="s">
        <v>490</v>
      </c>
      <c r="G206" s="510" t="s">
        <v>611</v>
      </c>
      <c r="H206" s="566" t="s">
        <v>1083</v>
      </c>
      <c r="I206" s="470"/>
      <c r="J206" s="471"/>
      <c r="K206" s="471"/>
      <c r="L206" s="471"/>
      <c r="M206" s="471"/>
    </row>
    <row r="207" spans="1:13" x14ac:dyDescent="0.25">
      <c r="A207" s="472">
        <v>299</v>
      </c>
      <c r="B207" s="481" t="s">
        <v>859</v>
      </c>
      <c r="C207" s="482">
        <v>2</v>
      </c>
      <c r="D207" s="503">
        <v>7220</v>
      </c>
      <c r="E207" s="525">
        <f t="shared" si="10"/>
        <v>14440</v>
      </c>
      <c r="F207" s="481" t="s">
        <v>490</v>
      </c>
      <c r="G207" s="510" t="s">
        <v>611</v>
      </c>
      <c r="H207" s="496" t="s">
        <v>393</v>
      </c>
      <c r="I207" s="470"/>
      <c r="J207" s="471"/>
      <c r="K207" s="471"/>
      <c r="L207" s="471"/>
      <c r="M207" s="471"/>
    </row>
    <row r="208" spans="1:13" x14ac:dyDescent="0.25">
      <c r="A208" s="472">
        <v>302</v>
      </c>
      <c r="B208" s="481" t="s">
        <v>861</v>
      </c>
      <c r="C208" s="482">
        <v>1</v>
      </c>
      <c r="D208" s="503">
        <v>17140</v>
      </c>
      <c r="E208" s="525">
        <f t="shared" si="10"/>
        <v>17140</v>
      </c>
      <c r="F208" s="481" t="s">
        <v>371</v>
      </c>
      <c r="G208" s="510" t="s">
        <v>611</v>
      </c>
      <c r="H208" s="496" t="s">
        <v>393</v>
      </c>
      <c r="I208" s="470"/>
      <c r="J208" s="471"/>
      <c r="K208" s="471"/>
      <c r="L208" s="471"/>
      <c r="M208" s="471"/>
    </row>
    <row r="209" spans="1:13" x14ac:dyDescent="0.25">
      <c r="A209" s="472">
        <v>303</v>
      </c>
      <c r="B209" s="504" t="s">
        <v>850</v>
      </c>
      <c r="C209" s="505">
        <v>9</v>
      </c>
      <c r="D209" s="506">
        <v>24900</v>
      </c>
      <c r="E209" s="525">
        <f t="shared" si="10"/>
        <v>224100</v>
      </c>
      <c r="F209" s="504" t="s">
        <v>842</v>
      </c>
      <c r="G209" s="510" t="s">
        <v>611</v>
      </c>
      <c r="H209" s="496" t="s">
        <v>393</v>
      </c>
      <c r="I209" s="470"/>
      <c r="J209" s="471"/>
      <c r="K209" s="471"/>
      <c r="L209" s="471"/>
      <c r="M209" s="471"/>
    </row>
    <row r="210" spans="1:13" x14ac:dyDescent="0.25">
      <c r="A210" s="472">
        <v>304</v>
      </c>
      <c r="B210" s="481" t="s">
        <v>894</v>
      </c>
      <c r="C210" s="482">
        <v>1</v>
      </c>
      <c r="D210" s="503">
        <v>26500</v>
      </c>
      <c r="E210" s="525">
        <f t="shared" si="10"/>
        <v>26500</v>
      </c>
      <c r="F210" s="481" t="s">
        <v>864</v>
      </c>
      <c r="G210" s="510" t="s">
        <v>611</v>
      </c>
      <c r="H210" s="496" t="s">
        <v>393</v>
      </c>
      <c r="I210" s="470"/>
      <c r="J210" s="471"/>
      <c r="K210" s="471"/>
      <c r="L210" s="471"/>
      <c r="M210" s="471"/>
    </row>
    <row r="211" spans="1:13" x14ac:dyDescent="0.25">
      <c r="A211" s="472">
        <v>305</v>
      </c>
      <c r="B211" s="481" t="s">
        <v>889</v>
      </c>
      <c r="C211" s="482">
        <v>1</v>
      </c>
      <c r="D211" s="503">
        <v>2320</v>
      </c>
      <c r="E211" s="525">
        <f t="shared" si="10"/>
        <v>2320</v>
      </c>
      <c r="F211" s="481" t="s">
        <v>864</v>
      </c>
      <c r="G211" s="510" t="s">
        <v>611</v>
      </c>
      <c r="H211" s="496" t="s">
        <v>393</v>
      </c>
      <c r="I211" s="470"/>
      <c r="J211" s="471"/>
      <c r="K211" s="471"/>
      <c r="L211" s="471"/>
      <c r="M211" s="471"/>
    </row>
    <row r="212" spans="1:13" x14ac:dyDescent="0.25">
      <c r="A212" s="472">
        <v>306</v>
      </c>
      <c r="B212" s="481" t="s">
        <v>894</v>
      </c>
      <c r="C212" s="482">
        <v>1</v>
      </c>
      <c r="D212" s="503">
        <v>26500</v>
      </c>
      <c r="E212" s="525">
        <f t="shared" si="10"/>
        <v>26500</v>
      </c>
      <c r="F212" s="481" t="s">
        <v>865</v>
      </c>
      <c r="G212" s="510" t="s">
        <v>611</v>
      </c>
      <c r="H212" s="496" t="s">
        <v>393</v>
      </c>
      <c r="I212" s="470"/>
      <c r="J212" s="471"/>
      <c r="K212" s="471"/>
      <c r="L212" s="471"/>
      <c r="M212" s="471"/>
    </row>
    <row r="213" spans="1:13" x14ac:dyDescent="0.25">
      <c r="A213" s="472">
        <v>307</v>
      </c>
      <c r="B213" s="481" t="s">
        <v>889</v>
      </c>
      <c r="C213" s="482">
        <v>1</v>
      </c>
      <c r="D213" s="503">
        <v>2320</v>
      </c>
      <c r="E213" s="525">
        <f t="shared" si="10"/>
        <v>2320</v>
      </c>
      <c r="F213" s="481" t="s">
        <v>865</v>
      </c>
      <c r="G213" s="510" t="s">
        <v>611</v>
      </c>
      <c r="H213" s="496" t="s">
        <v>393</v>
      </c>
      <c r="I213" s="470"/>
      <c r="J213" s="471"/>
      <c r="K213" s="471"/>
      <c r="L213" s="471"/>
      <c r="M213" s="471"/>
    </row>
    <row r="214" spans="1:13" x14ac:dyDescent="0.25">
      <c r="A214" s="472">
        <v>308</v>
      </c>
      <c r="B214" s="481" t="s">
        <v>903</v>
      </c>
      <c r="C214" s="482">
        <v>1</v>
      </c>
      <c r="D214" s="503">
        <v>6900</v>
      </c>
      <c r="E214" s="525">
        <f t="shared" si="10"/>
        <v>6900</v>
      </c>
      <c r="F214" s="481" t="s">
        <v>865</v>
      </c>
      <c r="G214" s="510" t="s">
        <v>611</v>
      </c>
      <c r="H214" s="496" t="s">
        <v>393</v>
      </c>
      <c r="I214" s="470"/>
      <c r="J214" s="471"/>
      <c r="K214" s="471"/>
      <c r="L214" s="471"/>
      <c r="M214" s="471"/>
    </row>
    <row r="215" spans="1:13" x14ac:dyDescent="0.25">
      <c r="A215" s="472">
        <v>221</v>
      </c>
      <c r="B215" s="476" t="s">
        <v>407</v>
      </c>
      <c r="C215" s="477">
        <v>1</v>
      </c>
      <c r="D215" s="478">
        <v>410490</v>
      </c>
      <c r="E215" s="474">
        <f t="shared" si="10"/>
        <v>410490</v>
      </c>
      <c r="F215" s="479" t="s">
        <v>408</v>
      </c>
      <c r="G215" s="479" t="s">
        <v>611</v>
      </c>
      <c r="H215" s="566" t="s">
        <v>1084</v>
      </c>
      <c r="I215" s="470"/>
      <c r="J215" s="471"/>
      <c r="K215" s="471"/>
      <c r="L215" s="471"/>
      <c r="M215" s="471"/>
    </row>
    <row r="216" spans="1:13" x14ac:dyDescent="0.25">
      <c r="A216" s="472">
        <v>223</v>
      </c>
      <c r="B216" s="476" t="s">
        <v>106</v>
      </c>
      <c r="C216" s="477">
        <v>1</v>
      </c>
      <c r="D216" s="570">
        <v>130000</v>
      </c>
      <c r="E216" s="474">
        <f>C216*D216</f>
        <v>130000</v>
      </c>
      <c r="F216" s="479" t="s">
        <v>322</v>
      </c>
      <c r="G216" s="479" t="s">
        <v>611</v>
      </c>
      <c r="H216" s="496" t="s">
        <v>393</v>
      </c>
      <c r="I216" s="470"/>
      <c r="J216" s="471"/>
      <c r="K216" s="471"/>
      <c r="L216" s="471"/>
      <c r="M216" s="471"/>
    </row>
    <row r="217" spans="1:13" s="491" customFormat="1" ht="46.8" x14ac:dyDescent="0.25">
      <c r="A217" s="485">
        <v>225</v>
      </c>
      <c r="B217" s="571" t="s">
        <v>1063</v>
      </c>
      <c r="C217" s="556">
        <v>1</v>
      </c>
      <c r="D217" s="572">
        <v>9000000</v>
      </c>
      <c r="E217" s="573">
        <f t="shared" ref="E217:E238" si="11">+C217*D217</f>
        <v>9000000</v>
      </c>
      <c r="F217" s="558" t="s">
        <v>434</v>
      </c>
      <c r="G217" s="558" t="s">
        <v>611</v>
      </c>
      <c r="H217" s="559" t="s">
        <v>1085</v>
      </c>
      <c r="I217" s="489"/>
      <c r="J217" s="490"/>
      <c r="K217" s="490"/>
      <c r="L217" s="490"/>
      <c r="M217" s="490"/>
    </row>
    <row r="218" spans="1:13" x14ac:dyDescent="0.25">
      <c r="A218" s="472">
        <v>234</v>
      </c>
      <c r="B218" s="512" t="s">
        <v>551</v>
      </c>
      <c r="C218" s="561">
        <v>5</v>
      </c>
      <c r="D218" s="564">
        <v>40000</v>
      </c>
      <c r="E218" s="525">
        <f t="shared" si="11"/>
        <v>200000</v>
      </c>
      <c r="F218" s="510" t="s">
        <v>434</v>
      </c>
      <c r="G218" s="510" t="s">
        <v>611</v>
      </c>
      <c r="H218" s="566" t="s">
        <v>1083</v>
      </c>
      <c r="I218" s="470"/>
      <c r="J218" s="471"/>
      <c r="K218" s="471"/>
      <c r="L218" s="471"/>
      <c r="M218" s="471"/>
    </row>
    <row r="219" spans="1:13" x14ac:dyDescent="0.25">
      <c r="A219" s="472">
        <v>236</v>
      </c>
      <c r="B219" s="560" t="s">
        <v>439</v>
      </c>
      <c r="C219" s="561">
        <v>5</v>
      </c>
      <c r="D219" s="564">
        <v>29000</v>
      </c>
      <c r="E219" s="525">
        <f t="shared" si="11"/>
        <v>145000</v>
      </c>
      <c r="F219" s="510" t="s">
        <v>434</v>
      </c>
      <c r="G219" s="510" t="s">
        <v>611</v>
      </c>
      <c r="H219" s="496"/>
      <c r="I219" s="470"/>
      <c r="J219" s="471"/>
      <c r="K219" s="471"/>
      <c r="L219" s="471"/>
      <c r="M219" s="471"/>
    </row>
    <row r="220" spans="1:13" x14ac:dyDescent="0.25">
      <c r="A220" s="472">
        <v>238</v>
      </c>
      <c r="B220" s="560" t="s">
        <v>441</v>
      </c>
      <c r="C220" s="561">
        <v>100</v>
      </c>
      <c r="D220" s="564">
        <v>4000</v>
      </c>
      <c r="E220" s="525">
        <f t="shared" si="11"/>
        <v>400000</v>
      </c>
      <c r="F220" s="510" t="s">
        <v>434</v>
      </c>
      <c r="G220" s="510" t="s">
        <v>611</v>
      </c>
      <c r="H220" s="496" t="s">
        <v>1086</v>
      </c>
      <c r="I220" s="470"/>
      <c r="J220" s="471"/>
      <c r="K220" s="471"/>
      <c r="L220" s="471"/>
      <c r="M220" s="471"/>
    </row>
    <row r="221" spans="1:13" x14ac:dyDescent="0.25">
      <c r="A221" s="472">
        <v>239</v>
      </c>
      <c r="B221" s="560" t="s">
        <v>442</v>
      </c>
      <c r="C221" s="561">
        <v>5</v>
      </c>
      <c r="D221" s="564">
        <v>37000</v>
      </c>
      <c r="E221" s="525">
        <f t="shared" si="11"/>
        <v>185000</v>
      </c>
      <c r="F221" s="510" t="s">
        <v>434</v>
      </c>
      <c r="G221" s="510" t="s">
        <v>611</v>
      </c>
      <c r="H221" s="496" t="s">
        <v>1086</v>
      </c>
      <c r="I221" s="470"/>
      <c r="J221" s="471"/>
      <c r="K221" s="471"/>
      <c r="L221" s="471"/>
      <c r="M221" s="471"/>
    </row>
    <row r="222" spans="1:13" x14ac:dyDescent="0.25">
      <c r="A222" s="472">
        <v>240</v>
      </c>
      <c r="B222" s="560" t="s">
        <v>444</v>
      </c>
      <c r="C222" s="561">
        <v>20</v>
      </c>
      <c r="D222" s="564">
        <v>13000</v>
      </c>
      <c r="E222" s="525">
        <f t="shared" si="11"/>
        <v>260000</v>
      </c>
      <c r="F222" s="510" t="s">
        <v>434</v>
      </c>
      <c r="G222" s="510" t="s">
        <v>611</v>
      </c>
      <c r="H222" s="496" t="s">
        <v>1086</v>
      </c>
      <c r="I222" s="470"/>
      <c r="J222" s="471"/>
      <c r="K222" s="471"/>
      <c r="L222" s="471"/>
      <c r="M222" s="471"/>
    </row>
    <row r="223" spans="1:13" x14ac:dyDescent="0.25">
      <c r="A223" s="472">
        <v>242</v>
      </c>
      <c r="B223" s="560" t="s">
        <v>629</v>
      </c>
      <c r="C223" s="561">
        <v>10</v>
      </c>
      <c r="D223" s="574">
        <v>24000</v>
      </c>
      <c r="E223" s="525">
        <f t="shared" si="11"/>
        <v>240000</v>
      </c>
      <c r="F223" s="510" t="s">
        <v>434</v>
      </c>
      <c r="G223" s="510" t="s">
        <v>611</v>
      </c>
      <c r="H223" s="496" t="s">
        <v>1086</v>
      </c>
      <c r="I223" s="470"/>
      <c r="J223" s="471"/>
      <c r="K223" s="471"/>
      <c r="L223" s="471"/>
      <c r="M223" s="471"/>
    </row>
    <row r="224" spans="1:13" x14ac:dyDescent="0.25">
      <c r="A224" s="472">
        <v>243</v>
      </c>
      <c r="B224" s="560" t="s">
        <v>630</v>
      </c>
      <c r="C224" s="561">
        <v>10</v>
      </c>
      <c r="D224" s="574">
        <v>25800</v>
      </c>
      <c r="E224" s="525">
        <f t="shared" si="11"/>
        <v>258000</v>
      </c>
      <c r="F224" s="510" t="s">
        <v>434</v>
      </c>
      <c r="G224" s="510" t="s">
        <v>611</v>
      </c>
      <c r="H224" s="496" t="s">
        <v>1086</v>
      </c>
      <c r="I224" s="470"/>
      <c r="J224" s="471"/>
      <c r="K224" s="471"/>
      <c r="L224" s="471"/>
      <c r="M224" s="471"/>
    </row>
    <row r="225" spans="1:13" x14ac:dyDescent="0.25">
      <c r="A225" s="472">
        <v>244</v>
      </c>
      <c r="B225" s="560" t="s">
        <v>631</v>
      </c>
      <c r="C225" s="561">
        <v>10</v>
      </c>
      <c r="D225" s="574">
        <v>25000</v>
      </c>
      <c r="E225" s="525">
        <f t="shared" si="11"/>
        <v>250000</v>
      </c>
      <c r="F225" s="510" t="s">
        <v>434</v>
      </c>
      <c r="G225" s="510" t="s">
        <v>611</v>
      </c>
      <c r="H225" s="496" t="s">
        <v>393</v>
      </c>
      <c r="I225" s="470"/>
      <c r="J225" s="471"/>
      <c r="K225" s="471"/>
      <c r="L225" s="471"/>
      <c r="M225" s="471"/>
    </row>
    <row r="226" spans="1:13" x14ac:dyDescent="0.25">
      <c r="A226" s="472">
        <v>245</v>
      </c>
      <c r="B226" s="560" t="s">
        <v>632</v>
      </c>
      <c r="C226" s="561">
        <v>2</v>
      </c>
      <c r="D226" s="574">
        <v>32000</v>
      </c>
      <c r="E226" s="525">
        <f t="shared" si="11"/>
        <v>64000</v>
      </c>
      <c r="F226" s="510" t="s">
        <v>434</v>
      </c>
      <c r="G226" s="510" t="s">
        <v>611</v>
      </c>
      <c r="H226" s="552" t="s">
        <v>1083</v>
      </c>
      <c r="I226" s="470"/>
      <c r="J226" s="471"/>
      <c r="K226" s="471"/>
      <c r="L226" s="471"/>
      <c r="M226" s="471"/>
    </row>
    <row r="227" spans="1:13" x14ac:dyDescent="0.25">
      <c r="A227" s="472">
        <v>246</v>
      </c>
      <c r="B227" s="560" t="s">
        <v>633</v>
      </c>
      <c r="C227" s="561">
        <v>5</v>
      </c>
      <c r="D227" s="574">
        <v>23000</v>
      </c>
      <c r="E227" s="525">
        <f t="shared" si="11"/>
        <v>115000</v>
      </c>
      <c r="F227" s="510" t="s">
        <v>434</v>
      </c>
      <c r="G227" s="510" t="s">
        <v>611</v>
      </c>
      <c r="H227" s="552" t="s">
        <v>1083</v>
      </c>
      <c r="I227" s="470"/>
      <c r="J227" s="471"/>
      <c r="K227" s="471"/>
      <c r="L227" s="471"/>
      <c r="M227" s="471"/>
    </row>
    <row r="228" spans="1:13" x14ac:dyDescent="0.25">
      <c r="A228" s="472">
        <v>247</v>
      </c>
      <c r="B228" s="560" t="s">
        <v>634</v>
      </c>
      <c r="C228" s="561">
        <v>10</v>
      </c>
      <c r="D228" s="574">
        <v>6900</v>
      </c>
      <c r="E228" s="525">
        <f t="shared" si="11"/>
        <v>69000</v>
      </c>
      <c r="F228" s="510" t="s">
        <v>434</v>
      </c>
      <c r="G228" s="510" t="s">
        <v>611</v>
      </c>
      <c r="H228" s="496" t="s">
        <v>1086</v>
      </c>
      <c r="I228" s="470"/>
      <c r="J228" s="471"/>
      <c r="K228" s="471"/>
      <c r="L228" s="471"/>
      <c r="M228" s="471"/>
    </row>
    <row r="229" spans="1:13" x14ac:dyDescent="0.25">
      <c r="A229" s="472">
        <v>248</v>
      </c>
      <c r="B229" s="560" t="s">
        <v>438</v>
      </c>
      <c r="C229" s="561">
        <v>10</v>
      </c>
      <c r="D229" s="574">
        <v>6700</v>
      </c>
      <c r="E229" s="525">
        <f t="shared" si="11"/>
        <v>67000</v>
      </c>
      <c r="F229" s="510" t="s">
        <v>434</v>
      </c>
      <c r="G229" s="510" t="s">
        <v>611</v>
      </c>
      <c r="H229" s="496" t="s">
        <v>1086</v>
      </c>
      <c r="I229" s="470"/>
      <c r="J229" s="471"/>
      <c r="K229" s="471"/>
      <c r="L229" s="471"/>
      <c r="M229" s="471"/>
    </row>
    <row r="230" spans="1:13" x14ac:dyDescent="0.25">
      <c r="A230" s="472">
        <v>249</v>
      </c>
      <c r="B230" s="560" t="s">
        <v>635</v>
      </c>
      <c r="C230" s="561">
        <v>10</v>
      </c>
      <c r="D230" s="574">
        <v>8100</v>
      </c>
      <c r="E230" s="525">
        <f t="shared" si="11"/>
        <v>81000</v>
      </c>
      <c r="F230" s="510" t="s">
        <v>434</v>
      </c>
      <c r="G230" s="510" t="s">
        <v>611</v>
      </c>
      <c r="H230" s="496" t="s">
        <v>1086</v>
      </c>
      <c r="I230" s="470"/>
      <c r="J230" s="471"/>
      <c r="K230" s="471"/>
      <c r="L230" s="471"/>
      <c r="M230" s="471"/>
    </row>
    <row r="231" spans="1:13" x14ac:dyDescent="0.25">
      <c r="A231" s="472">
        <v>250</v>
      </c>
      <c r="B231" s="560" t="s">
        <v>636</v>
      </c>
      <c r="C231" s="561">
        <v>10</v>
      </c>
      <c r="D231" s="574">
        <v>10000</v>
      </c>
      <c r="E231" s="525">
        <f t="shared" si="11"/>
        <v>100000</v>
      </c>
      <c r="F231" s="510" t="s">
        <v>434</v>
      </c>
      <c r="G231" s="510" t="s">
        <v>611</v>
      </c>
      <c r="H231" s="496" t="s">
        <v>1086</v>
      </c>
      <c r="I231" s="470"/>
      <c r="J231" s="471"/>
      <c r="K231" s="471"/>
      <c r="L231" s="471"/>
      <c r="M231" s="471"/>
    </row>
    <row r="232" spans="1:13" x14ac:dyDescent="0.25">
      <c r="A232" s="472">
        <v>251</v>
      </c>
      <c r="B232" s="560" t="s">
        <v>637</v>
      </c>
      <c r="C232" s="561">
        <v>30</v>
      </c>
      <c r="D232" s="574">
        <v>2620</v>
      </c>
      <c r="E232" s="525">
        <f t="shared" si="11"/>
        <v>78600</v>
      </c>
      <c r="F232" s="510" t="s">
        <v>434</v>
      </c>
      <c r="G232" s="510" t="s">
        <v>611</v>
      </c>
      <c r="H232" s="496" t="s">
        <v>1086</v>
      </c>
      <c r="I232" s="470"/>
      <c r="J232" s="471"/>
      <c r="K232" s="471"/>
      <c r="L232" s="471"/>
      <c r="M232" s="471"/>
    </row>
    <row r="233" spans="1:13" x14ac:dyDescent="0.25">
      <c r="A233" s="472">
        <v>252</v>
      </c>
      <c r="B233" s="560" t="s">
        <v>638</v>
      </c>
      <c r="C233" s="561">
        <v>10</v>
      </c>
      <c r="D233" s="574">
        <v>8900</v>
      </c>
      <c r="E233" s="525">
        <f t="shared" si="11"/>
        <v>89000</v>
      </c>
      <c r="F233" s="510" t="s">
        <v>434</v>
      </c>
      <c r="G233" s="510" t="s">
        <v>611</v>
      </c>
      <c r="H233" s="566" t="s">
        <v>1083</v>
      </c>
      <c r="I233" s="470"/>
      <c r="J233" s="471"/>
      <c r="K233" s="471"/>
      <c r="L233" s="471"/>
      <c r="M233" s="471"/>
    </row>
    <row r="234" spans="1:13" x14ac:dyDescent="0.25">
      <c r="A234" s="472">
        <v>253</v>
      </c>
      <c r="B234" s="560" t="s">
        <v>922</v>
      </c>
      <c r="C234" s="561">
        <v>10</v>
      </c>
      <c r="D234" s="574">
        <v>16800</v>
      </c>
      <c r="E234" s="525">
        <f t="shared" si="11"/>
        <v>168000</v>
      </c>
      <c r="F234" s="510" t="s">
        <v>434</v>
      </c>
      <c r="G234" s="510" t="s">
        <v>611</v>
      </c>
      <c r="H234" s="496" t="s">
        <v>393</v>
      </c>
      <c r="I234" s="470"/>
      <c r="J234" s="471"/>
      <c r="K234" s="471"/>
      <c r="L234" s="471"/>
      <c r="M234" s="471"/>
    </row>
    <row r="235" spans="1:13" x14ac:dyDescent="0.25">
      <c r="A235" s="472">
        <v>254</v>
      </c>
      <c r="B235" s="560" t="s">
        <v>639</v>
      </c>
      <c r="C235" s="561">
        <v>10</v>
      </c>
      <c r="D235" s="565">
        <v>5400</v>
      </c>
      <c r="E235" s="525">
        <f t="shared" si="11"/>
        <v>54000</v>
      </c>
      <c r="F235" s="510" t="s">
        <v>434</v>
      </c>
      <c r="G235" s="510" t="s">
        <v>611</v>
      </c>
      <c r="H235" s="566" t="s">
        <v>1083</v>
      </c>
      <c r="I235" s="470"/>
      <c r="J235" s="471"/>
      <c r="K235" s="471"/>
      <c r="L235" s="471"/>
      <c r="M235" s="471"/>
    </row>
    <row r="236" spans="1:13" x14ac:dyDescent="0.25">
      <c r="A236" s="472">
        <v>255</v>
      </c>
      <c r="B236" s="560" t="s">
        <v>640</v>
      </c>
      <c r="C236" s="561">
        <v>4</v>
      </c>
      <c r="D236" s="565">
        <v>22000</v>
      </c>
      <c r="E236" s="525">
        <f t="shared" si="11"/>
        <v>88000</v>
      </c>
      <c r="F236" s="510" t="s">
        <v>434</v>
      </c>
      <c r="G236" s="510" t="s">
        <v>611</v>
      </c>
      <c r="H236" s="496" t="s">
        <v>1086</v>
      </c>
      <c r="I236" s="470"/>
      <c r="J236" s="471"/>
      <c r="K236" s="471"/>
      <c r="L236" s="471"/>
      <c r="M236" s="471"/>
    </row>
    <row r="237" spans="1:13" x14ac:dyDescent="0.25">
      <c r="A237" s="472">
        <v>262</v>
      </c>
      <c r="B237" s="560" t="s">
        <v>647</v>
      </c>
      <c r="C237" s="561">
        <v>2</v>
      </c>
      <c r="D237" s="565">
        <v>919</v>
      </c>
      <c r="E237" s="525">
        <f t="shared" si="11"/>
        <v>1838</v>
      </c>
      <c r="F237" s="510" t="s">
        <v>434</v>
      </c>
      <c r="G237" s="510" t="s">
        <v>611</v>
      </c>
      <c r="H237" s="566" t="s">
        <v>1083</v>
      </c>
      <c r="I237" s="470"/>
      <c r="J237" s="471"/>
      <c r="K237" s="471"/>
      <c r="L237" s="471"/>
      <c r="M237" s="471"/>
    </row>
    <row r="238" spans="1:13" x14ac:dyDescent="0.25">
      <c r="A238" s="472">
        <v>265</v>
      </c>
      <c r="B238" s="560" t="s">
        <v>650</v>
      </c>
      <c r="C238" s="561">
        <v>2</v>
      </c>
      <c r="D238" s="565">
        <v>1800</v>
      </c>
      <c r="E238" s="525">
        <f t="shared" si="11"/>
        <v>3600</v>
      </c>
      <c r="F238" s="510" t="s">
        <v>434</v>
      </c>
      <c r="G238" s="510" t="s">
        <v>611</v>
      </c>
      <c r="H238" s="566" t="s">
        <v>1083</v>
      </c>
      <c r="I238" s="470"/>
      <c r="J238" s="471"/>
      <c r="K238" s="471"/>
      <c r="L238" s="471"/>
      <c r="M238" s="471"/>
    </row>
    <row r="239" spans="1:13" x14ac:dyDescent="0.25">
      <c r="A239" s="472">
        <v>267</v>
      </c>
      <c r="B239" s="481" t="s">
        <v>847</v>
      </c>
      <c r="C239" s="482">
        <v>1</v>
      </c>
      <c r="D239" s="503">
        <v>1980</v>
      </c>
      <c r="E239" s="525">
        <f t="shared" ref="E239:E253" si="12">+C239*D239</f>
        <v>1980</v>
      </c>
      <c r="F239" s="481" t="s">
        <v>375</v>
      </c>
      <c r="G239" s="510" t="s">
        <v>611</v>
      </c>
      <c r="H239" s="566" t="s">
        <v>1083</v>
      </c>
      <c r="I239" s="470"/>
      <c r="J239" s="471"/>
      <c r="K239" s="471"/>
      <c r="L239" s="471"/>
      <c r="M239" s="471"/>
    </row>
    <row r="240" spans="1:13" x14ac:dyDescent="0.25">
      <c r="A240" s="472">
        <v>278</v>
      </c>
      <c r="B240" s="523" t="s">
        <v>849</v>
      </c>
      <c r="C240" s="482">
        <v>8</v>
      </c>
      <c r="D240" s="565">
        <v>3960</v>
      </c>
      <c r="E240" s="525">
        <f t="shared" si="12"/>
        <v>31680</v>
      </c>
      <c r="F240" s="482" t="s">
        <v>836</v>
      </c>
      <c r="G240" s="510" t="s">
        <v>611</v>
      </c>
      <c r="H240" s="496" t="s">
        <v>1080</v>
      </c>
      <c r="I240" s="470"/>
      <c r="J240" s="471"/>
      <c r="K240" s="471"/>
      <c r="L240" s="471"/>
      <c r="M240" s="471"/>
    </row>
    <row r="241" spans="1:13" x14ac:dyDescent="0.25">
      <c r="A241" s="472">
        <v>284</v>
      </c>
      <c r="B241" s="481" t="s">
        <v>851</v>
      </c>
      <c r="C241" s="482">
        <v>1</v>
      </c>
      <c r="D241" s="503">
        <v>65000</v>
      </c>
      <c r="E241" s="525">
        <f t="shared" si="12"/>
        <v>65000</v>
      </c>
      <c r="F241" s="481" t="s">
        <v>863</v>
      </c>
      <c r="G241" s="510" t="s">
        <v>611</v>
      </c>
      <c r="H241" s="496" t="s">
        <v>393</v>
      </c>
      <c r="I241" s="470"/>
      <c r="J241" s="471"/>
      <c r="K241" s="471"/>
      <c r="L241" s="471"/>
      <c r="M241" s="471"/>
    </row>
    <row r="242" spans="1:13" x14ac:dyDescent="0.25">
      <c r="A242" s="472">
        <v>285</v>
      </c>
      <c r="B242" s="481" t="s">
        <v>896</v>
      </c>
      <c r="C242" s="482">
        <v>1</v>
      </c>
      <c r="D242" s="503">
        <v>19200</v>
      </c>
      <c r="E242" s="525">
        <f t="shared" si="12"/>
        <v>19200</v>
      </c>
      <c r="F242" s="481" t="s">
        <v>490</v>
      </c>
      <c r="G242" s="510" t="s">
        <v>611</v>
      </c>
      <c r="H242" s="566" t="s">
        <v>1083</v>
      </c>
      <c r="I242" s="470"/>
      <c r="J242" s="471"/>
      <c r="K242" s="471"/>
      <c r="L242" s="471"/>
      <c r="M242" s="471"/>
    </row>
    <row r="243" spans="1:13" x14ac:dyDescent="0.25">
      <c r="A243" s="472">
        <v>286</v>
      </c>
      <c r="B243" s="481" t="s">
        <v>897</v>
      </c>
      <c r="C243" s="482">
        <v>1</v>
      </c>
      <c r="D243" s="503">
        <v>19200</v>
      </c>
      <c r="E243" s="525">
        <f t="shared" si="12"/>
        <v>19200</v>
      </c>
      <c r="F243" s="481" t="s">
        <v>490</v>
      </c>
      <c r="G243" s="510" t="s">
        <v>611</v>
      </c>
      <c r="H243" s="566" t="s">
        <v>1083</v>
      </c>
      <c r="I243" s="470"/>
      <c r="J243" s="471"/>
      <c r="K243" s="471"/>
      <c r="L243" s="471"/>
      <c r="M243" s="471"/>
    </row>
    <row r="244" spans="1:13" x14ac:dyDescent="0.25">
      <c r="A244" s="472">
        <v>287</v>
      </c>
      <c r="B244" s="481" t="s">
        <v>898</v>
      </c>
      <c r="C244" s="482">
        <v>1</v>
      </c>
      <c r="D244" s="503">
        <v>19200</v>
      </c>
      <c r="E244" s="525">
        <f t="shared" si="12"/>
        <v>19200</v>
      </c>
      <c r="F244" s="481" t="s">
        <v>490</v>
      </c>
      <c r="G244" s="510" t="s">
        <v>611</v>
      </c>
      <c r="H244" s="566" t="s">
        <v>1083</v>
      </c>
      <c r="I244" s="470"/>
      <c r="J244" s="471"/>
      <c r="K244" s="471"/>
      <c r="L244" s="471"/>
      <c r="M244" s="471"/>
    </row>
    <row r="245" spans="1:13" x14ac:dyDescent="0.25">
      <c r="A245" s="472">
        <v>288</v>
      </c>
      <c r="B245" s="481" t="s">
        <v>899</v>
      </c>
      <c r="C245" s="482">
        <v>2</v>
      </c>
      <c r="D245" s="503">
        <v>11750</v>
      </c>
      <c r="E245" s="525">
        <f t="shared" si="12"/>
        <v>23500</v>
      </c>
      <c r="F245" s="481" t="s">
        <v>490</v>
      </c>
      <c r="G245" s="510" t="s">
        <v>611</v>
      </c>
      <c r="H245" s="566" t="s">
        <v>1083</v>
      </c>
      <c r="I245" s="470"/>
      <c r="J245" s="471"/>
      <c r="K245" s="471"/>
      <c r="L245" s="471"/>
      <c r="M245" s="471"/>
    </row>
    <row r="246" spans="1:13" x14ac:dyDescent="0.25">
      <c r="A246" s="472">
        <v>289</v>
      </c>
      <c r="B246" s="481" t="s">
        <v>900</v>
      </c>
      <c r="C246" s="482">
        <v>1</v>
      </c>
      <c r="D246" s="503">
        <v>6600</v>
      </c>
      <c r="E246" s="525">
        <f t="shared" si="12"/>
        <v>6600</v>
      </c>
      <c r="F246" s="481" t="s">
        <v>490</v>
      </c>
      <c r="G246" s="510" t="s">
        <v>611</v>
      </c>
      <c r="H246" s="566" t="s">
        <v>1083</v>
      </c>
      <c r="I246" s="470"/>
      <c r="J246" s="471"/>
      <c r="K246" s="471"/>
      <c r="L246" s="471"/>
      <c r="M246" s="471"/>
    </row>
    <row r="247" spans="1:13" x14ac:dyDescent="0.25">
      <c r="A247" s="472">
        <v>290</v>
      </c>
      <c r="B247" s="481" t="s">
        <v>901</v>
      </c>
      <c r="C247" s="482">
        <v>1</v>
      </c>
      <c r="D247" s="503">
        <v>5000</v>
      </c>
      <c r="E247" s="525">
        <f t="shared" si="12"/>
        <v>5000</v>
      </c>
      <c r="F247" s="481" t="s">
        <v>490</v>
      </c>
      <c r="G247" s="510" t="s">
        <v>611</v>
      </c>
      <c r="H247" s="566" t="s">
        <v>1083</v>
      </c>
      <c r="I247" s="470"/>
      <c r="J247" s="471"/>
      <c r="K247" s="471"/>
      <c r="L247" s="471"/>
      <c r="M247" s="471"/>
    </row>
    <row r="248" spans="1:13" x14ac:dyDescent="0.25">
      <c r="A248" s="472">
        <v>291</v>
      </c>
      <c r="B248" s="481" t="s">
        <v>902</v>
      </c>
      <c r="C248" s="482">
        <v>1</v>
      </c>
      <c r="D248" s="503">
        <v>2650</v>
      </c>
      <c r="E248" s="525">
        <f t="shared" si="12"/>
        <v>2650</v>
      </c>
      <c r="F248" s="481" t="s">
        <v>490</v>
      </c>
      <c r="G248" s="510" t="s">
        <v>611</v>
      </c>
      <c r="H248" s="566" t="s">
        <v>1083</v>
      </c>
      <c r="I248" s="470"/>
      <c r="J248" s="471"/>
      <c r="K248" s="471"/>
      <c r="L248" s="471"/>
      <c r="M248" s="471"/>
    </row>
    <row r="249" spans="1:13" x14ac:dyDescent="0.25">
      <c r="A249" s="472">
        <v>296</v>
      </c>
      <c r="B249" s="481" t="s">
        <v>856</v>
      </c>
      <c r="C249" s="482">
        <v>4</v>
      </c>
      <c r="D249" s="503">
        <v>16800</v>
      </c>
      <c r="E249" s="525">
        <f t="shared" si="12"/>
        <v>67200</v>
      </c>
      <c r="F249" s="481" t="s">
        <v>490</v>
      </c>
      <c r="G249" s="510" t="s">
        <v>611</v>
      </c>
      <c r="H249" s="496" t="s">
        <v>393</v>
      </c>
      <c r="I249" s="470"/>
      <c r="J249" s="471"/>
      <c r="K249" s="471"/>
      <c r="L249" s="471"/>
      <c r="M249" s="471"/>
    </row>
    <row r="250" spans="1:13" x14ac:dyDescent="0.25">
      <c r="A250" s="472">
        <v>297</v>
      </c>
      <c r="B250" s="481" t="s">
        <v>857</v>
      </c>
      <c r="C250" s="482">
        <v>1</v>
      </c>
      <c r="D250" s="503">
        <v>62076.05</v>
      </c>
      <c r="E250" s="525">
        <f t="shared" si="12"/>
        <v>62076.05</v>
      </c>
      <c r="F250" s="504" t="s">
        <v>490</v>
      </c>
      <c r="G250" s="510" t="s">
        <v>611</v>
      </c>
      <c r="H250" s="566" t="s">
        <v>1083</v>
      </c>
      <c r="I250" s="470"/>
      <c r="J250" s="471"/>
      <c r="K250" s="471"/>
      <c r="L250" s="471"/>
      <c r="M250" s="471"/>
    </row>
    <row r="251" spans="1:13" x14ac:dyDescent="0.25">
      <c r="A251" s="472">
        <v>298</v>
      </c>
      <c r="B251" s="481" t="s">
        <v>858</v>
      </c>
      <c r="C251" s="482">
        <v>3</v>
      </c>
      <c r="D251" s="503">
        <v>15943</v>
      </c>
      <c r="E251" s="525">
        <f t="shared" si="12"/>
        <v>47829</v>
      </c>
      <c r="F251" s="481" t="s">
        <v>490</v>
      </c>
      <c r="G251" s="510" t="s">
        <v>611</v>
      </c>
      <c r="H251" s="566" t="s">
        <v>1083</v>
      </c>
      <c r="I251" s="470"/>
      <c r="J251" s="471"/>
      <c r="K251" s="471"/>
      <c r="L251" s="471"/>
      <c r="M251" s="471"/>
    </row>
    <row r="252" spans="1:13" x14ac:dyDescent="0.25">
      <c r="A252" s="472">
        <v>300</v>
      </c>
      <c r="B252" s="481" t="s">
        <v>860</v>
      </c>
      <c r="C252" s="482">
        <v>3</v>
      </c>
      <c r="D252" s="503">
        <v>19973.333333333332</v>
      </c>
      <c r="E252" s="525">
        <f t="shared" si="12"/>
        <v>59920</v>
      </c>
      <c r="F252" s="481" t="s">
        <v>490</v>
      </c>
      <c r="G252" s="510" t="s">
        <v>611</v>
      </c>
      <c r="H252" s="496" t="s">
        <v>1087</v>
      </c>
      <c r="I252" s="470"/>
      <c r="J252" s="471"/>
      <c r="K252" s="471"/>
      <c r="L252" s="471"/>
      <c r="M252" s="471"/>
    </row>
    <row r="253" spans="1:13" x14ac:dyDescent="0.25">
      <c r="A253" s="472">
        <v>301</v>
      </c>
      <c r="B253" s="481" t="s">
        <v>904</v>
      </c>
      <c r="C253" s="482">
        <v>5</v>
      </c>
      <c r="D253" s="503">
        <v>8100</v>
      </c>
      <c r="E253" s="525">
        <f t="shared" si="12"/>
        <v>40500</v>
      </c>
      <c r="F253" s="481" t="s">
        <v>490</v>
      </c>
      <c r="G253" s="510" t="s">
        <v>611</v>
      </c>
      <c r="H253" s="496" t="s">
        <v>1086</v>
      </c>
      <c r="I253" s="470"/>
      <c r="J253" s="471"/>
      <c r="K253" s="471"/>
      <c r="L253" s="471"/>
      <c r="M253" s="471"/>
    </row>
    <row r="254" spans="1:13" x14ac:dyDescent="0.25">
      <c r="A254" s="472"/>
      <c r="B254" s="1544" t="s">
        <v>1046</v>
      </c>
      <c r="C254" s="1545"/>
      <c r="D254" s="1546"/>
      <c r="E254" s="526">
        <f>SUM(E172:E253)</f>
        <v>18561271.050000001</v>
      </c>
      <c r="F254" s="481"/>
      <c r="G254" s="510"/>
      <c r="H254" s="552"/>
      <c r="I254" s="470"/>
      <c r="J254" s="471"/>
      <c r="K254" s="471"/>
      <c r="L254" s="471"/>
      <c r="M254" s="471"/>
    </row>
    <row r="255" spans="1:13" x14ac:dyDescent="0.25">
      <c r="A255" s="1552" t="s">
        <v>533</v>
      </c>
      <c r="B255" s="1552"/>
      <c r="C255" s="1552"/>
      <c r="D255" s="1552"/>
      <c r="E255" s="1552"/>
      <c r="F255" s="1552"/>
      <c r="G255" s="575"/>
      <c r="H255" s="496"/>
      <c r="I255" s="470"/>
      <c r="J255" s="471"/>
      <c r="K255" s="471"/>
      <c r="L255" s="471"/>
      <c r="M255" s="471"/>
    </row>
    <row r="256" spans="1:13" x14ac:dyDescent="0.25">
      <c r="A256" s="561">
        <v>1</v>
      </c>
      <c r="B256" s="560" t="s">
        <v>458</v>
      </c>
      <c r="C256" s="561">
        <v>1</v>
      </c>
      <c r="D256" s="576">
        <v>5100000</v>
      </c>
      <c r="E256" s="577">
        <f t="shared" ref="E256:E266" si="13">+C256*D256</f>
        <v>5100000</v>
      </c>
      <c r="F256" s="510" t="s">
        <v>466</v>
      </c>
      <c r="H256" s="496"/>
      <c r="I256" s="470"/>
      <c r="J256" s="471"/>
      <c r="K256" s="471"/>
      <c r="L256" s="471"/>
      <c r="M256" s="471"/>
    </row>
    <row r="257" spans="1:13" x14ac:dyDescent="0.25">
      <c r="A257" s="561">
        <v>2</v>
      </c>
      <c r="B257" s="560" t="s">
        <v>459</v>
      </c>
      <c r="C257" s="561">
        <v>1</v>
      </c>
      <c r="D257" s="576">
        <v>2800000</v>
      </c>
      <c r="E257" s="577">
        <f t="shared" si="13"/>
        <v>2800000</v>
      </c>
      <c r="F257" s="510" t="s">
        <v>466</v>
      </c>
      <c r="H257" s="496"/>
      <c r="I257" s="470"/>
      <c r="J257" s="471"/>
      <c r="K257" s="471"/>
      <c r="L257" s="471"/>
      <c r="M257" s="471"/>
    </row>
    <row r="258" spans="1:13" x14ac:dyDescent="0.25">
      <c r="A258" s="561">
        <v>3</v>
      </c>
      <c r="B258" s="560" t="s">
        <v>460</v>
      </c>
      <c r="C258" s="561">
        <v>1</v>
      </c>
      <c r="D258" s="576">
        <v>1400000</v>
      </c>
      <c r="E258" s="577">
        <f t="shared" si="13"/>
        <v>1400000</v>
      </c>
      <c r="F258" s="510" t="s">
        <v>466</v>
      </c>
      <c r="H258" s="496"/>
      <c r="I258" s="470"/>
      <c r="J258" s="471"/>
      <c r="K258" s="471"/>
      <c r="L258" s="471"/>
      <c r="M258" s="471"/>
    </row>
    <row r="259" spans="1:13" x14ac:dyDescent="0.25">
      <c r="A259" s="561">
        <v>4</v>
      </c>
      <c r="B259" s="560" t="s">
        <v>461</v>
      </c>
      <c r="C259" s="561">
        <v>2</v>
      </c>
      <c r="D259" s="576">
        <v>500000</v>
      </c>
      <c r="E259" s="577">
        <f t="shared" si="13"/>
        <v>1000000</v>
      </c>
      <c r="F259" s="510" t="s">
        <v>466</v>
      </c>
      <c r="H259" s="496"/>
      <c r="I259" s="470"/>
      <c r="J259" s="471"/>
      <c r="K259" s="471"/>
      <c r="L259" s="471"/>
      <c r="M259" s="471"/>
    </row>
    <row r="260" spans="1:13" x14ac:dyDescent="0.25">
      <c r="A260" s="561">
        <v>5</v>
      </c>
      <c r="B260" s="560" t="s">
        <v>462</v>
      </c>
      <c r="C260" s="561">
        <v>2</v>
      </c>
      <c r="D260" s="576">
        <v>370000</v>
      </c>
      <c r="E260" s="577">
        <f t="shared" si="13"/>
        <v>740000</v>
      </c>
      <c r="F260" s="510" t="s">
        <v>466</v>
      </c>
      <c r="H260" s="496"/>
      <c r="I260" s="470"/>
      <c r="J260" s="471"/>
      <c r="K260" s="471"/>
      <c r="L260" s="471"/>
      <c r="M260" s="471"/>
    </row>
    <row r="261" spans="1:13" x14ac:dyDescent="0.25">
      <c r="A261" s="561">
        <v>6</v>
      </c>
      <c r="B261" s="560" t="s">
        <v>917</v>
      </c>
      <c r="C261" s="561">
        <v>1</v>
      </c>
      <c r="D261" s="576">
        <v>2200000</v>
      </c>
      <c r="E261" s="577">
        <f t="shared" si="13"/>
        <v>2200000</v>
      </c>
      <c r="F261" s="510" t="s">
        <v>466</v>
      </c>
      <c r="H261" s="496"/>
      <c r="I261" s="470"/>
      <c r="J261" s="471"/>
      <c r="K261" s="471"/>
      <c r="L261" s="471"/>
      <c r="M261" s="471"/>
    </row>
    <row r="262" spans="1:13" x14ac:dyDescent="0.25">
      <c r="A262" s="561">
        <v>7</v>
      </c>
      <c r="B262" s="560" t="s">
        <v>463</v>
      </c>
      <c r="C262" s="561">
        <v>1</v>
      </c>
      <c r="D262" s="576">
        <v>1800000</v>
      </c>
      <c r="E262" s="577">
        <f t="shared" si="13"/>
        <v>1800000</v>
      </c>
      <c r="F262" s="510" t="s">
        <v>466</v>
      </c>
      <c r="H262" s="496"/>
      <c r="I262" s="470"/>
      <c r="J262" s="471"/>
      <c r="K262" s="471"/>
      <c r="L262" s="471"/>
      <c r="M262" s="471"/>
    </row>
    <row r="263" spans="1:13" x14ac:dyDescent="0.25">
      <c r="A263" s="561">
        <v>8</v>
      </c>
      <c r="B263" s="560" t="s">
        <v>464</v>
      </c>
      <c r="C263" s="561">
        <v>1</v>
      </c>
      <c r="D263" s="576">
        <v>2000000</v>
      </c>
      <c r="E263" s="577">
        <f t="shared" si="13"/>
        <v>2000000</v>
      </c>
      <c r="F263" s="510" t="s">
        <v>467</v>
      </c>
      <c r="H263" s="496"/>
      <c r="I263" s="470"/>
      <c r="J263" s="471"/>
      <c r="K263" s="471"/>
      <c r="L263" s="471"/>
      <c r="M263" s="471"/>
    </row>
    <row r="264" spans="1:13" x14ac:dyDescent="0.25">
      <c r="A264" s="561">
        <v>9</v>
      </c>
      <c r="B264" s="578" t="s">
        <v>907</v>
      </c>
      <c r="C264" s="561">
        <v>1</v>
      </c>
      <c r="D264" s="579">
        <v>890000</v>
      </c>
      <c r="E264" s="577">
        <f t="shared" si="13"/>
        <v>890000</v>
      </c>
      <c r="F264" s="510" t="s">
        <v>466</v>
      </c>
      <c r="H264" s="496"/>
      <c r="I264" s="470"/>
      <c r="J264" s="471"/>
      <c r="K264" s="471"/>
      <c r="L264" s="471"/>
      <c r="M264" s="471"/>
    </row>
    <row r="265" spans="1:13" x14ac:dyDescent="0.25">
      <c r="A265" s="561">
        <v>10</v>
      </c>
      <c r="B265" s="578" t="s">
        <v>908</v>
      </c>
      <c r="C265" s="561">
        <v>1</v>
      </c>
      <c r="D265" s="579">
        <v>268000</v>
      </c>
      <c r="E265" s="577">
        <f t="shared" si="13"/>
        <v>268000</v>
      </c>
      <c r="F265" s="510" t="s">
        <v>466</v>
      </c>
      <c r="H265" s="496"/>
      <c r="I265" s="470"/>
      <c r="J265" s="471"/>
      <c r="K265" s="471"/>
      <c r="L265" s="471"/>
      <c r="M265" s="471"/>
    </row>
    <row r="266" spans="1:13" x14ac:dyDescent="0.25">
      <c r="A266" s="561">
        <v>11</v>
      </c>
      <c r="B266" s="578" t="s">
        <v>909</v>
      </c>
      <c r="C266" s="561">
        <v>1</v>
      </c>
      <c r="D266" s="579">
        <v>1832600</v>
      </c>
      <c r="E266" s="577">
        <f t="shared" si="13"/>
        <v>1832600</v>
      </c>
      <c r="F266" s="510" t="s">
        <v>466</v>
      </c>
      <c r="H266" s="496"/>
      <c r="I266" s="470"/>
      <c r="J266" s="471"/>
      <c r="K266" s="471"/>
      <c r="L266" s="471"/>
      <c r="M266" s="471"/>
    </row>
    <row r="267" spans="1:13" x14ac:dyDescent="0.25">
      <c r="A267" s="561"/>
      <c r="B267" s="580" t="s">
        <v>3</v>
      </c>
      <c r="C267" s="561"/>
      <c r="D267" s="576"/>
      <c r="E267" s="581">
        <f>SUM(E256:E266)</f>
        <v>20030600</v>
      </c>
      <c r="F267" s="510"/>
      <c r="H267" s="496"/>
      <c r="I267" s="470"/>
      <c r="J267" s="471"/>
      <c r="K267" s="471"/>
      <c r="L267" s="471"/>
      <c r="M267" s="471"/>
    </row>
    <row r="268" spans="1:13" x14ac:dyDescent="0.25">
      <c r="A268" s="582"/>
      <c r="B268" s="583"/>
      <c r="C268" s="582"/>
      <c r="D268" s="584"/>
      <c r="E268" s="585"/>
      <c r="H268" s="496"/>
      <c r="I268" s="470"/>
      <c r="J268" s="471"/>
      <c r="K268" s="471"/>
      <c r="L268" s="471"/>
      <c r="M268" s="471"/>
    </row>
    <row r="269" spans="1:13" x14ac:dyDescent="0.25">
      <c r="A269" s="1553" t="s">
        <v>534</v>
      </c>
      <c r="B269" s="1553"/>
      <c r="C269" s="1553"/>
      <c r="D269" s="1553"/>
      <c r="E269" s="1553"/>
      <c r="F269" s="1553"/>
      <c r="H269" s="496"/>
      <c r="I269" s="470"/>
      <c r="J269" s="471"/>
      <c r="K269" s="471"/>
      <c r="L269" s="471"/>
      <c r="M269" s="471"/>
    </row>
    <row r="270" spans="1:13" ht="46.8" x14ac:dyDescent="0.25">
      <c r="A270" s="468" t="s">
        <v>1</v>
      </c>
      <c r="B270" s="468" t="s">
        <v>2</v>
      </c>
      <c r="C270" s="468" t="s">
        <v>291</v>
      </c>
      <c r="D270" s="468" t="s">
        <v>292</v>
      </c>
      <c r="E270" s="469" t="s">
        <v>293</v>
      </c>
      <c r="F270" s="468" t="s">
        <v>294</v>
      </c>
      <c r="G270" s="586"/>
      <c r="H270" s="496"/>
      <c r="I270" s="470"/>
      <c r="J270" s="471"/>
      <c r="K270" s="471"/>
      <c r="L270" s="471"/>
      <c r="M270" s="471"/>
    </row>
    <row r="271" spans="1:13" ht="21" customHeight="1" x14ac:dyDescent="0.25">
      <c r="A271" s="561">
        <v>1</v>
      </c>
      <c r="B271" s="560" t="s">
        <v>465</v>
      </c>
      <c r="C271" s="561"/>
      <c r="D271" s="576"/>
      <c r="E271" s="577"/>
      <c r="F271" s="510"/>
      <c r="H271" s="496"/>
      <c r="I271" s="470"/>
      <c r="J271" s="471"/>
      <c r="K271" s="471"/>
      <c r="L271" s="471"/>
      <c r="M271" s="471"/>
    </row>
    <row r="272" spans="1:13" ht="21" customHeight="1" x14ac:dyDescent="0.25">
      <c r="A272" s="587"/>
      <c r="B272" s="560" t="s">
        <v>905</v>
      </c>
      <c r="C272" s="500">
        <v>2</v>
      </c>
      <c r="D272" s="579">
        <v>950000</v>
      </c>
      <c r="E272" s="579">
        <v>1900000</v>
      </c>
      <c r="F272" s="510" t="s">
        <v>467</v>
      </c>
      <c r="H272" s="496"/>
    </row>
    <row r="273" spans="1:9" ht="21" customHeight="1" x14ac:dyDescent="0.25">
      <c r="A273" s="588"/>
      <c r="B273" s="560" t="s">
        <v>906</v>
      </c>
      <c r="C273" s="500">
        <v>4</v>
      </c>
      <c r="D273" s="579">
        <v>585000</v>
      </c>
      <c r="E273" s="579">
        <v>2340000</v>
      </c>
      <c r="F273" s="510" t="s">
        <v>466</v>
      </c>
      <c r="H273" s="496"/>
    </row>
    <row r="274" spans="1:9" ht="24.9" customHeight="1" x14ac:dyDescent="0.25">
      <c r="A274" s="582"/>
      <c r="B274" s="583"/>
      <c r="D274" s="590"/>
      <c r="E274" s="591">
        <f>SUM(E272:E273)</f>
        <v>4240000</v>
      </c>
      <c r="H274" s="496"/>
    </row>
    <row r="275" spans="1:9" ht="24.9" customHeight="1" x14ac:dyDescent="0.25">
      <c r="A275" s="1554" t="s">
        <v>472</v>
      </c>
      <c r="B275" s="1555"/>
      <c r="C275" s="1555"/>
      <c r="D275" s="1555"/>
      <c r="E275" s="1555"/>
      <c r="F275" s="1556"/>
      <c r="G275" s="471"/>
      <c r="H275" s="496"/>
    </row>
    <row r="276" spans="1:9" ht="46.8" x14ac:dyDescent="0.25">
      <c r="A276" s="468" t="s">
        <v>1</v>
      </c>
      <c r="B276" s="468" t="s">
        <v>2</v>
      </c>
      <c r="C276" s="468" t="s">
        <v>291</v>
      </c>
      <c r="D276" s="468" t="s">
        <v>292</v>
      </c>
      <c r="E276" s="469" t="s">
        <v>293</v>
      </c>
      <c r="F276" s="468" t="s">
        <v>294</v>
      </c>
      <c r="G276" s="593" t="s">
        <v>1047</v>
      </c>
      <c r="H276" s="496"/>
    </row>
    <row r="277" spans="1:9" ht="24.9" customHeight="1" x14ac:dyDescent="0.25">
      <c r="A277" s="477">
        <v>1</v>
      </c>
      <c r="B277" s="504" t="s">
        <v>552</v>
      </c>
      <c r="C277" s="505">
        <v>1</v>
      </c>
      <c r="D277" s="594">
        <v>5000000</v>
      </c>
      <c r="E277" s="506">
        <v>5000000</v>
      </c>
      <c r="F277" s="595" t="s">
        <v>553</v>
      </c>
      <c r="G277" s="596">
        <v>4990000</v>
      </c>
      <c r="H277" s="496"/>
    </row>
    <row r="278" spans="1:9" ht="24.9" customHeight="1" x14ac:dyDescent="0.25">
      <c r="A278" s="477">
        <v>2</v>
      </c>
      <c r="B278" s="504" t="s">
        <v>913</v>
      </c>
      <c r="C278" s="505">
        <v>1</v>
      </c>
      <c r="D278" s="594">
        <v>5000000</v>
      </c>
      <c r="E278" s="506">
        <f>+C278*D278</f>
        <v>5000000</v>
      </c>
      <c r="F278" s="595" t="s">
        <v>554</v>
      </c>
      <c r="G278" s="596">
        <v>4975000</v>
      </c>
      <c r="H278" s="496"/>
    </row>
    <row r="279" spans="1:9" ht="24.9" customHeight="1" x14ac:dyDescent="0.25">
      <c r="A279" s="477">
        <v>3</v>
      </c>
      <c r="B279" s="504" t="s">
        <v>918</v>
      </c>
      <c r="C279" s="505">
        <v>1</v>
      </c>
      <c r="D279" s="594">
        <v>7000000</v>
      </c>
      <c r="E279" s="506">
        <v>7000000</v>
      </c>
      <c r="F279" s="595" t="s">
        <v>555</v>
      </c>
      <c r="G279" s="597">
        <v>6500000</v>
      </c>
      <c r="H279" s="496"/>
    </row>
    <row r="280" spans="1:9" ht="24.9" customHeight="1" x14ac:dyDescent="0.25">
      <c r="A280" s="477">
        <v>4</v>
      </c>
      <c r="B280" s="504" t="s">
        <v>914</v>
      </c>
      <c r="C280" s="505">
        <v>1</v>
      </c>
      <c r="D280" s="506">
        <v>204967.59</v>
      </c>
      <c r="E280" s="506">
        <v>204967.59</v>
      </c>
      <c r="F280" s="504" t="s">
        <v>320</v>
      </c>
      <c r="G280" s="597">
        <v>200000</v>
      </c>
      <c r="H280" s="496"/>
    </row>
    <row r="281" spans="1:9" s="491" customFormat="1" ht="46.8" x14ac:dyDescent="0.25">
      <c r="A281" s="535">
        <v>5</v>
      </c>
      <c r="B281" s="515" t="s">
        <v>910</v>
      </c>
      <c r="C281" s="567">
        <v>1</v>
      </c>
      <c r="D281" s="568">
        <v>12000000</v>
      </c>
      <c r="E281" s="568">
        <f>+D281</f>
        <v>12000000</v>
      </c>
      <c r="F281" s="515" t="s">
        <v>912</v>
      </c>
      <c r="G281" s="598">
        <v>11994000</v>
      </c>
      <c r="H281" s="480"/>
      <c r="I281" s="599"/>
    </row>
    <row r="282" spans="1:9" ht="24.9" customHeight="1" x14ac:dyDescent="0.25">
      <c r="A282" s="477">
        <v>6</v>
      </c>
      <c r="B282" s="504" t="s">
        <v>911</v>
      </c>
      <c r="C282" s="505">
        <v>1</v>
      </c>
      <c r="D282" s="506">
        <v>3500000</v>
      </c>
      <c r="E282" s="506">
        <v>3500000</v>
      </c>
      <c r="F282" s="504" t="s">
        <v>510</v>
      </c>
      <c r="G282" s="600" t="s">
        <v>1048</v>
      </c>
      <c r="H282" s="496"/>
    </row>
    <row r="283" spans="1:9" ht="24.9" customHeight="1" x14ac:dyDescent="0.25">
      <c r="A283" s="601"/>
      <c r="B283" s="592" t="s">
        <v>3</v>
      </c>
      <c r="C283" s="602"/>
      <c r="D283" s="603"/>
      <c r="E283" s="604">
        <f>SUM(E277:E282)</f>
        <v>32704967.59</v>
      </c>
      <c r="F283" s="605">
        <f>+E283-30827352.01</f>
        <v>1877615.5799999982</v>
      </c>
      <c r="G283" s="528"/>
      <c r="H283" s="496"/>
    </row>
    <row r="284" spans="1:9" ht="24.9" customHeight="1" x14ac:dyDescent="0.25">
      <c r="A284" s="582"/>
      <c r="B284" s="583"/>
      <c r="D284" s="590"/>
      <c r="E284" s="590"/>
      <c r="H284" s="496"/>
    </row>
    <row r="285" spans="1:9" ht="24.9" customHeight="1" x14ac:dyDescent="0.25">
      <c r="A285" s="1539" t="s">
        <v>508</v>
      </c>
      <c r="B285" s="1539"/>
      <c r="C285" s="1539"/>
      <c r="D285" s="1539"/>
      <c r="E285" s="1539"/>
      <c r="F285" s="1539"/>
      <c r="G285" s="471"/>
      <c r="H285" s="496"/>
    </row>
    <row r="286" spans="1:9" ht="46.8" x14ac:dyDescent="0.25">
      <c r="A286" s="606" t="s">
        <v>1</v>
      </c>
      <c r="B286" s="606" t="s">
        <v>2</v>
      </c>
      <c r="C286" s="606" t="s">
        <v>291</v>
      </c>
      <c r="D286" s="606" t="s">
        <v>292</v>
      </c>
      <c r="E286" s="607" t="s">
        <v>293</v>
      </c>
      <c r="F286" s="606" t="s">
        <v>294</v>
      </c>
      <c r="G286" s="586"/>
      <c r="H286" s="496"/>
    </row>
    <row r="287" spans="1:9" ht="24.9" customHeight="1" x14ac:dyDescent="0.25">
      <c r="A287" s="482">
        <v>1</v>
      </c>
      <c r="B287" s="608" t="s">
        <v>547</v>
      </c>
      <c r="C287" s="609">
        <v>2</v>
      </c>
      <c r="D287" s="610">
        <v>4690</v>
      </c>
      <c r="E287" s="611">
        <f t="shared" ref="E287:E293" si="14">C287*D287</f>
        <v>9380</v>
      </c>
      <c r="F287" s="608" t="s">
        <v>493</v>
      </c>
      <c r="G287" s="612" t="s">
        <v>492</v>
      </c>
      <c r="H287" s="496" t="s">
        <v>528</v>
      </c>
    </row>
    <row r="288" spans="1:9" ht="24.9" customHeight="1" x14ac:dyDescent="0.25">
      <c r="A288" s="482">
        <v>2</v>
      </c>
      <c r="B288" s="608" t="s">
        <v>494</v>
      </c>
      <c r="C288" s="609">
        <v>1</v>
      </c>
      <c r="D288" s="610">
        <v>150000</v>
      </c>
      <c r="E288" s="611">
        <f t="shared" si="14"/>
        <v>150000</v>
      </c>
      <c r="F288" s="608" t="s">
        <v>493</v>
      </c>
      <c r="G288" s="612"/>
      <c r="H288" s="496"/>
    </row>
    <row r="289" spans="1:9" ht="24.9" customHeight="1" x14ac:dyDescent="0.25">
      <c r="A289" s="613">
        <v>3</v>
      </c>
      <c r="B289" s="614" t="s">
        <v>495</v>
      </c>
      <c r="C289" s="615">
        <v>3</v>
      </c>
      <c r="D289" s="616">
        <v>25000</v>
      </c>
      <c r="E289" s="617">
        <f t="shared" si="14"/>
        <v>75000</v>
      </c>
      <c r="F289" s="614" t="s">
        <v>493</v>
      </c>
      <c r="G289" s="618">
        <v>69840</v>
      </c>
      <c r="H289" s="496" t="s">
        <v>393</v>
      </c>
    </row>
    <row r="290" spans="1:9" ht="24.9" customHeight="1" x14ac:dyDescent="0.25">
      <c r="A290" s="482">
        <v>4</v>
      </c>
      <c r="B290" s="608" t="s">
        <v>544</v>
      </c>
      <c r="C290" s="609">
        <v>4</v>
      </c>
      <c r="D290" s="619">
        <v>7600</v>
      </c>
      <c r="E290" s="611">
        <f t="shared" si="14"/>
        <v>30400</v>
      </c>
      <c r="F290" s="608" t="s">
        <v>493</v>
      </c>
      <c r="G290" s="612" t="s">
        <v>492</v>
      </c>
      <c r="H290" s="496" t="s">
        <v>528</v>
      </c>
    </row>
    <row r="291" spans="1:9" ht="24.9" customHeight="1" x14ac:dyDescent="0.25">
      <c r="A291" s="482">
        <v>5</v>
      </c>
      <c r="B291" s="608" t="s">
        <v>549</v>
      </c>
      <c r="C291" s="609">
        <v>4</v>
      </c>
      <c r="D291" s="619">
        <v>3400</v>
      </c>
      <c r="E291" s="611">
        <f t="shared" si="14"/>
        <v>13600</v>
      </c>
      <c r="F291" s="608" t="s">
        <v>493</v>
      </c>
      <c r="G291" s="612" t="s">
        <v>492</v>
      </c>
      <c r="H291" s="496" t="s">
        <v>528</v>
      </c>
    </row>
    <row r="292" spans="1:9" ht="24.9" customHeight="1" x14ac:dyDescent="0.25">
      <c r="A292" s="613">
        <v>6</v>
      </c>
      <c r="B292" s="614" t="s">
        <v>496</v>
      </c>
      <c r="C292" s="615">
        <v>2</v>
      </c>
      <c r="D292" s="616">
        <v>3700</v>
      </c>
      <c r="E292" s="617">
        <f t="shared" si="14"/>
        <v>7400</v>
      </c>
      <c r="F292" s="614" t="s">
        <v>493</v>
      </c>
      <c r="G292" s="618">
        <v>8774</v>
      </c>
      <c r="H292" s="496" t="s">
        <v>393</v>
      </c>
    </row>
    <row r="293" spans="1:9" ht="24.9" customHeight="1" x14ac:dyDescent="0.25">
      <c r="A293" s="613">
        <v>7</v>
      </c>
      <c r="B293" s="614" t="s">
        <v>497</v>
      </c>
      <c r="C293" s="615">
        <v>2</v>
      </c>
      <c r="D293" s="616">
        <v>7500</v>
      </c>
      <c r="E293" s="617">
        <f t="shared" si="14"/>
        <v>15000</v>
      </c>
      <c r="F293" s="614" t="s">
        <v>493</v>
      </c>
      <c r="G293" s="618">
        <v>18618</v>
      </c>
      <c r="H293" s="496" t="s">
        <v>393</v>
      </c>
    </row>
    <row r="294" spans="1:9" ht="24.9" customHeight="1" x14ac:dyDescent="0.25">
      <c r="A294" s="613">
        <v>8</v>
      </c>
      <c r="B294" s="614" t="s">
        <v>498</v>
      </c>
      <c r="C294" s="615">
        <v>7</v>
      </c>
      <c r="D294" s="616">
        <f>+E294/C294</f>
        <v>6221.4285714285716</v>
      </c>
      <c r="E294" s="617">
        <v>43550</v>
      </c>
      <c r="F294" s="614" t="s">
        <v>493</v>
      </c>
      <c r="G294" s="618">
        <v>42158</v>
      </c>
      <c r="H294" s="496" t="s">
        <v>393</v>
      </c>
    </row>
    <row r="295" spans="1:9" ht="24.9" customHeight="1" x14ac:dyDescent="0.25">
      <c r="A295" s="613">
        <v>9</v>
      </c>
      <c r="B295" s="614" t="s">
        <v>499</v>
      </c>
      <c r="C295" s="615">
        <v>3</v>
      </c>
      <c r="D295" s="616">
        <v>8185</v>
      </c>
      <c r="E295" s="617">
        <f t="shared" ref="E295:E306" si="15">C295*D295</f>
        <v>24555</v>
      </c>
      <c r="F295" s="614" t="s">
        <v>493</v>
      </c>
      <c r="G295" s="618">
        <v>22149</v>
      </c>
      <c r="H295" s="496" t="s">
        <v>393</v>
      </c>
    </row>
    <row r="296" spans="1:9" ht="24.9" customHeight="1" x14ac:dyDescent="0.25">
      <c r="A296" s="613">
        <v>10</v>
      </c>
      <c r="B296" s="614" t="s">
        <v>545</v>
      </c>
      <c r="C296" s="615">
        <v>1</v>
      </c>
      <c r="D296" s="616">
        <v>25343.439999999999</v>
      </c>
      <c r="E296" s="617">
        <f t="shared" si="15"/>
        <v>25343.439999999999</v>
      </c>
      <c r="F296" s="614" t="s">
        <v>493</v>
      </c>
      <c r="G296" s="618" t="s">
        <v>325</v>
      </c>
      <c r="H296" s="496" t="s">
        <v>1088</v>
      </c>
    </row>
    <row r="297" spans="1:9" ht="24.9" customHeight="1" x14ac:dyDescent="0.25">
      <c r="A297" s="613">
        <v>11</v>
      </c>
      <c r="B297" s="614" t="s">
        <v>500</v>
      </c>
      <c r="C297" s="615">
        <v>2</v>
      </c>
      <c r="D297" s="616">
        <v>150000</v>
      </c>
      <c r="E297" s="617">
        <f t="shared" si="15"/>
        <v>300000</v>
      </c>
      <c r="F297" s="614" t="s">
        <v>493</v>
      </c>
      <c r="G297" s="618">
        <v>291000</v>
      </c>
      <c r="H297" s="496" t="s">
        <v>393</v>
      </c>
    </row>
    <row r="298" spans="1:9" ht="24.9" customHeight="1" x14ac:dyDescent="0.25">
      <c r="A298" s="482">
        <v>12</v>
      </c>
      <c r="B298" s="608" t="s">
        <v>546</v>
      </c>
      <c r="C298" s="609">
        <v>1</v>
      </c>
      <c r="D298" s="619">
        <v>45000</v>
      </c>
      <c r="E298" s="611">
        <f t="shared" si="15"/>
        <v>45000</v>
      </c>
      <c r="F298" s="608" t="s">
        <v>493</v>
      </c>
      <c r="G298" s="618" t="s">
        <v>1049</v>
      </c>
      <c r="H298" s="496"/>
    </row>
    <row r="299" spans="1:9" ht="24.9" customHeight="1" x14ac:dyDescent="0.25">
      <c r="A299" s="482">
        <v>13</v>
      </c>
      <c r="B299" s="608" t="s">
        <v>501</v>
      </c>
      <c r="C299" s="609">
        <v>4</v>
      </c>
      <c r="D299" s="619">
        <v>25000</v>
      </c>
      <c r="E299" s="611">
        <f t="shared" si="15"/>
        <v>100000</v>
      </c>
      <c r="F299" s="608" t="s">
        <v>493</v>
      </c>
      <c r="G299" s="618" t="s">
        <v>1049</v>
      </c>
      <c r="H299" s="496"/>
    </row>
    <row r="300" spans="1:9" ht="24.9" customHeight="1" x14ac:dyDescent="0.25">
      <c r="A300" s="482">
        <v>14</v>
      </c>
      <c r="B300" s="608" t="s">
        <v>502</v>
      </c>
      <c r="C300" s="609">
        <v>1</v>
      </c>
      <c r="D300" s="619">
        <v>100000</v>
      </c>
      <c r="E300" s="611">
        <f t="shared" si="15"/>
        <v>100000</v>
      </c>
      <c r="F300" s="608" t="s">
        <v>493</v>
      </c>
      <c r="G300" s="618" t="s">
        <v>1049</v>
      </c>
      <c r="H300" s="496"/>
    </row>
    <row r="301" spans="1:9" ht="24.9" customHeight="1" x14ac:dyDescent="0.25">
      <c r="A301" s="482">
        <v>15</v>
      </c>
      <c r="B301" s="608" t="s">
        <v>503</v>
      </c>
      <c r="C301" s="609">
        <v>1</v>
      </c>
      <c r="D301" s="619">
        <v>60000</v>
      </c>
      <c r="E301" s="611">
        <f t="shared" si="15"/>
        <v>60000</v>
      </c>
      <c r="F301" s="608" t="s">
        <v>493</v>
      </c>
      <c r="G301" s="620">
        <v>35823.599999999999</v>
      </c>
      <c r="H301" s="496"/>
    </row>
    <row r="302" spans="1:9" s="491" customFormat="1" ht="117" x14ac:dyDescent="0.25">
      <c r="A302" s="516">
        <v>16</v>
      </c>
      <c r="B302" s="621" t="s">
        <v>504</v>
      </c>
      <c r="C302" s="622">
        <v>9</v>
      </c>
      <c r="D302" s="623">
        <v>60000</v>
      </c>
      <c r="E302" s="624">
        <f t="shared" si="15"/>
        <v>540000</v>
      </c>
      <c r="F302" s="625" t="s">
        <v>1060</v>
      </c>
      <c r="G302" s="626" t="s">
        <v>523</v>
      </c>
      <c r="H302" s="480" t="s">
        <v>1089</v>
      </c>
      <c r="I302" s="599"/>
    </row>
    <row r="303" spans="1:9" s="491" customFormat="1" ht="24.75" customHeight="1" x14ac:dyDescent="0.25">
      <c r="A303" s="516">
        <v>17</v>
      </c>
      <c r="B303" s="621" t="s">
        <v>505</v>
      </c>
      <c r="C303" s="622">
        <v>1</v>
      </c>
      <c r="D303" s="623">
        <v>240000</v>
      </c>
      <c r="E303" s="624">
        <f t="shared" si="15"/>
        <v>240000</v>
      </c>
      <c r="F303" s="625" t="s">
        <v>1061</v>
      </c>
      <c r="G303" s="626" t="s">
        <v>1050</v>
      </c>
      <c r="H303" s="480" t="s">
        <v>528</v>
      </c>
      <c r="I303" s="599"/>
    </row>
    <row r="304" spans="1:9" ht="24.9" customHeight="1" x14ac:dyDescent="0.25">
      <c r="A304" s="482">
        <v>18</v>
      </c>
      <c r="B304" s="608" t="s">
        <v>507</v>
      </c>
      <c r="C304" s="609">
        <v>1</v>
      </c>
      <c r="D304" s="619">
        <v>150000</v>
      </c>
      <c r="E304" s="611">
        <f t="shared" si="15"/>
        <v>150000</v>
      </c>
      <c r="F304" s="627" t="s">
        <v>368</v>
      </c>
      <c r="G304" s="628"/>
      <c r="H304" s="496" t="s">
        <v>528</v>
      </c>
    </row>
    <row r="305" spans="1:9" s="491" customFormat="1" ht="46.8" x14ac:dyDescent="0.25">
      <c r="A305" s="516">
        <v>19</v>
      </c>
      <c r="B305" s="571" t="s">
        <v>1051</v>
      </c>
      <c r="C305" s="556">
        <v>1</v>
      </c>
      <c r="D305" s="629">
        <v>1200000</v>
      </c>
      <c r="E305" s="624">
        <f t="shared" si="15"/>
        <v>1200000</v>
      </c>
      <c r="F305" s="571" t="s">
        <v>1052</v>
      </c>
      <c r="G305" s="626"/>
      <c r="H305" s="480"/>
      <c r="I305" s="599"/>
    </row>
    <row r="306" spans="1:9" ht="24.9" customHeight="1" x14ac:dyDescent="0.25">
      <c r="A306" s="482">
        <v>20</v>
      </c>
      <c r="B306" s="608" t="s">
        <v>548</v>
      </c>
      <c r="C306" s="609">
        <v>6</v>
      </c>
      <c r="D306" s="619">
        <v>4600</v>
      </c>
      <c r="E306" s="611">
        <f t="shared" si="15"/>
        <v>27600</v>
      </c>
      <c r="F306" s="627" t="s">
        <v>493</v>
      </c>
      <c r="G306" s="612" t="s">
        <v>492</v>
      </c>
      <c r="H306" s="496" t="s">
        <v>528</v>
      </c>
    </row>
    <row r="307" spans="1:9" ht="24.9" customHeight="1" x14ac:dyDescent="0.25">
      <c r="A307" s="528"/>
      <c r="B307" s="593" t="s">
        <v>3</v>
      </c>
      <c r="C307" s="477"/>
      <c r="D307" s="630"/>
      <c r="E307" s="631">
        <f>SUM(E287:E306)</f>
        <v>3156828.44</v>
      </c>
      <c r="F307" s="528"/>
      <c r="G307" s="471"/>
      <c r="H307" s="496"/>
    </row>
    <row r="308" spans="1:9" ht="24.9" customHeight="1" x14ac:dyDescent="0.25">
      <c r="A308" s="471"/>
      <c r="B308" s="632"/>
      <c r="C308" s="633"/>
      <c r="D308" s="634"/>
      <c r="E308" s="635"/>
      <c r="F308" s="471"/>
      <c r="G308" s="471"/>
      <c r="H308" s="496"/>
    </row>
    <row r="309" spans="1:9" ht="24.9" customHeight="1" x14ac:dyDescent="0.25">
      <c r="A309" s="471"/>
      <c r="B309" s="632"/>
      <c r="C309" s="633"/>
      <c r="D309" s="634"/>
      <c r="E309" s="635"/>
      <c r="F309" s="471"/>
      <c r="G309" s="471"/>
      <c r="H309" s="496"/>
    </row>
    <row r="310" spans="1:9" ht="24.9" customHeight="1" x14ac:dyDescent="0.25">
      <c r="A310" s="1539" t="s">
        <v>491</v>
      </c>
      <c r="B310" s="1539"/>
      <c r="C310" s="1539"/>
      <c r="D310" s="1539"/>
      <c r="E310" s="1539"/>
      <c r="F310" s="1539"/>
      <c r="G310" s="471"/>
      <c r="H310" s="496"/>
    </row>
    <row r="311" spans="1:9" ht="24.9" customHeight="1" x14ac:dyDescent="0.25">
      <c r="A311" s="477">
        <v>1</v>
      </c>
      <c r="B311" s="504" t="s">
        <v>509</v>
      </c>
      <c r="C311" s="561">
        <v>1</v>
      </c>
      <c r="D311" s="636">
        <v>800000</v>
      </c>
      <c r="E311" s="525">
        <f>+C311*D311</f>
        <v>800000</v>
      </c>
      <c r="F311" s="528" t="s">
        <v>510</v>
      </c>
      <c r="G311" s="471"/>
      <c r="H311" s="496"/>
    </row>
    <row r="312" spans="1:9" ht="24.9" customHeight="1" x14ac:dyDescent="0.25">
      <c r="A312" s="477">
        <v>2</v>
      </c>
      <c r="B312" s="504" t="s">
        <v>511</v>
      </c>
      <c r="C312" s="561">
        <v>1</v>
      </c>
      <c r="D312" s="636">
        <v>500000</v>
      </c>
      <c r="E312" s="525">
        <f t="shared" ref="E312:E315" si="16">+C312*D312</f>
        <v>500000</v>
      </c>
      <c r="F312" s="528" t="s">
        <v>324</v>
      </c>
      <c r="G312" s="471"/>
      <c r="H312" s="496"/>
    </row>
    <row r="313" spans="1:9" ht="24.9" customHeight="1" x14ac:dyDescent="0.25">
      <c r="A313" s="477">
        <v>3</v>
      </c>
      <c r="B313" s="504" t="s">
        <v>512</v>
      </c>
      <c r="C313" s="561">
        <v>1</v>
      </c>
      <c r="D313" s="636">
        <v>120000</v>
      </c>
      <c r="E313" s="525">
        <f t="shared" si="16"/>
        <v>120000</v>
      </c>
      <c r="F313" s="528" t="s">
        <v>328</v>
      </c>
      <c r="G313" s="471"/>
      <c r="H313" s="496"/>
    </row>
    <row r="314" spans="1:9" ht="24.9" customHeight="1" x14ac:dyDescent="0.25">
      <c r="A314" s="477">
        <v>4</v>
      </c>
      <c r="B314" s="504" t="s">
        <v>513</v>
      </c>
      <c r="C314" s="561">
        <v>1</v>
      </c>
      <c r="D314" s="636">
        <v>228000</v>
      </c>
      <c r="E314" s="525">
        <f t="shared" si="16"/>
        <v>228000</v>
      </c>
      <c r="F314" s="528" t="s">
        <v>480</v>
      </c>
      <c r="G314" s="471"/>
      <c r="H314" s="496"/>
    </row>
    <row r="315" spans="1:9" ht="24.9" customHeight="1" x14ac:dyDescent="0.25">
      <c r="A315" s="477">
        <v>5</v>
      </c>
      <c r="B315" s="504" t="s">
        <v>514</v>
      </c>
      <c r="C315" s="561">
        <v>1</v>
      </c>
      <c r="D315" s="636">
        <v>500000</v>
      </c>
      <c r="E315" s="525">
        <f t="shared" si="16"/>
        <v>500000</v>
      </c>
      <c r="F315" s="528" t="s">
        <v>480</v>
      </c>
      <c r="G315" s="471"/>
      <c r="H315" s="496"/>
    </row>
    <row r="316" spans="1:9" ht="24.9" customHeight="1" x14ac:dyDescent="0.25">
      <c r="A316" s="528"/>
      <c r="B316" s="593" t="s">
        <v>3</v>
      </c>
      <c r="C316" s="477"/>
      <c r="D316" s="630"/>
      <c r="E316" s="637">
        <f>SUM(E311:E315)</f>
        <v>2148000</v>
      </c>
      <c r="F316" s="528"/>
      <c r="G316" s="471"/>
      <c r="H316" s="496"/>
    </row>
    <row r="317" spans="1:9" ht="24.9" customHeight="1" x14ac:dyDescent="0.25">
      <c r="A317" s="1556" t="s">
        <v>1053</v>
      </c>
      <c r="B317" s="1539"/>
      <c r="C317" s="1539"/>
      <c r="D317" s="1539"/>
      <c r="E317" s="1539"/>
      <c r="F317" s="1539"/>
      <c r="G317" s="1539"/>
      <c r="H317" s="496"/>
    </row>
    <row r="318" spans="1:9" ht="24.9" customHeight="1" x14ac:dyDescent="0.25">
      <c r="A318" s="472">
        <v>22</v>
      </c>
      <c r="B318" s="492" t="s">
        <v>1054</v>
      </c>
      <c r="C318" s="472">
        <v>1</v>
      </c>
      <c r="D318" s="474">
        <v>200000</v>
      </c>
      <c r="E318" s="474">
        <f>C318*D318</f>
        <v>200000</v>
      </c>
      <c r="F318" s="473" t="s">
        <v>327</v>
      </c>
      <c r="G318" s="473" t="s">
        <v>369</v>
      </c>
      <c r="H318" s="496"/>
    </row>
    <row r="319" spans="1:9" ht="24.9" customHeight="1" x14ac:dyDescent="0.25">
      <c r="A319" s="472">
        <v>23</v>
      </c>
      <c r="B319" s="473" t="s">
        <v>1055</v>
      </c>
      <c r="C319" s="472">
        <v>2</v>
      </c>
      <c r="D319" s="474">
        <v>100000</v>
      </c>
      <c r="E319" s="474">
        <f>C319*D319</f>
        <v>200000</v>
      </c>
      <c r="F319" s="473" t="s">
        <v>365</v>
      </c>
      <c r="G319" s="473" t="s">
        <v>369</v>
      </c>
      <c r="H319" s="496"/>
    </row>
    <row r="320" spans="1:9" ht="24.9" customHeight="1" x14ac:dyDescent="0.25">
      <c r="A320" s="472">
        <v>24</v>
      </c>
      <c r="B320" s="492" t="s">
        <v>98</v>
      </c>
      <c r="C320" s="472">
        <v>1</v>
      </c>
      <c r="D320" s="474">
        <v>400000</v>
      </c>
      <c r="E320" s="474">
        <f>C320*D320</f>
        <v>400000</v>
      </c>
      <c r="F320" s="473" t="s">
        <v>327</v>
      </c>
      <c r="G320" s="473" t="s">
        <v>369</v>
      </c>
      <c r="H320" s="496"/>
    </row>
    <row r="321" spans="1:9" ht="24.9" customHeight="1" x14ac:dyDescent="0.25">
      <c r="A321" s="472">
        <v>25</v>
      </c>
      <c r="B321" s="492" t="s">
        <v>97</v>
      </c>
      <c r="C321" s="472">
        <v>1</v>
      </c>
      <c r="D321" s="474">
        <v>100000</v>
      </c>
      <c r="E321" s="474">
        <f t="shared" ref="E321" si="17">C321*D321</f>
        <v>100000</v>
      </c>
      <c r="F321" s="473" t="s">
        <v>327</v>
      </c>
      <c r="G321" s="473" t="s">
        <v>369</v>
      </c>
      <c r="H321" s="496"/>
    </row>
    <row r="322" spans="1:9" ht="24.9" customHeight="1" x14ac:dyDescent="0.25">
      <c r="A322" s="472">
        <v>27</v>
      </c>
      <c r="B322" s="473" t="s">
        <v>108</v>
      </c>
      <c r="C322" s="472">
        <v>1</v>
      </c>
      <c r="D322" s="474">
        <v>65000</v>
      </c>
      <c r="E322" s="474">
        <f>C322*D322</f>
        <v>65000</v>
      </c>
      <c r="F322" s="473" t="s">
        <v>366</v>
      </c>
      <c r="G322" s="473" t="s">
        <v>369</v>
      </c>
      <c r="H322" s="496"/>
    </row>
    <row r="323" spans="1:9" ht="24.9" customHeight="1" x14ac:dyDescent="0.25">
      <c r="A323" s="472">
        <v>28</v>
      </c>
      <c r="B323" s="638" t="s">
        <v>384</v>
      </c>
      <c r="C323" s="472">
        <v>1</v>
      </c>
      <c r="D323" s="639">
        <v>50000</v>
      </c>
      <c r="E323" s="540">
        <f>+C323*D323</f>
        <v>50000</v>
      </c>
      <c r="F323" s="493" t="s">
        <v>350</v>
      </c>
      <c r="G323" s="493" t="s">
        <v>369</v>
      </c>
      <c r="H323" s="496"/>
    </row>
    <row r="324" spans="1:9" ht="24.9" customHeight="1" x14ac:dyDescent="0.25">
      <c r="A324" s="472">
        <v>29</v>
      </c>
      <c r="B324" s="638" t="s">
        <v>383</v>
      </c>
      <c r="C324" s="472">
        <v>1</v>
      </c>
      <c r="D324" s="639">
        <v>40000</v>
      </c>
      <c r="E324" s="540">
        <f>+C324*D324</f>
        <v>40000</v>
      </c>
      <c r="F324" s="493" t="s">
        <v>350</v>
      </c>
      <c r="G324" s="493" t="s">
        <v>369</v>
      </c>
      <c r="H324" s="496"/>
    </row>
    <row r="325" spans="1:9" ht="24.9" customHeight="1" x14ac:dyDescent="0.25">
      <c r="A325" s="472">
        <v>30</v>
      </c>
      <c r="B325" s="473" t="s">
        <v>113</v>
      </c>
      <c r="C325" s="472">
        <v>1</v>
      </c>
      <c r="D325" s="474">
        <v>31849</v>
      </c>
      <c r="E325" s="474">
        <f t="shared" ref="E325" si="18">C325*D325</f>
        <v>31849</v>
      </c>
      <c r="F325" s="473" t="s">
        <v>367</v>
      </c>
      <c r="G325" s="473" t="s">
        <v>369</v>
      </c>
      <c r="H325" s="496"/>
    </row>
    <row r="326" spans="1:9" ht="24.9" customHeight="1" x14ac:dyDescent="0.25">
      <c r="A326" s="472">
        <v>31</v>
      </c>
      <c r="B326" s="638" t="s">
        <v>385</v>
      </c>
      <c r="C326" s="472">
        <v>2</v>
      </c>
      <c r="D326" s="639">
        <v>9500</v>
      </c>
      <c r="E326" s="540">
        <f>+C326*D326</f>
        <v>19000</v>
      </c>
      <c r="F326" s="493" t="s">
        <v>350</v>
      </c>
      <c r="G326" s="493" t="s">
        <v>369</v>
      </c>
      <c r="H326" s="496"/>
    </row>
    <row r="327" spans="1:9" s="491" customFormat="1" ht="46.8" x14ac:dyDescent="0.25">
      <c r="A327" s="485">
        <v>32</v>
      </c>
      <c r="B327" s="497" t="s">
        <v>110</v>
      </c>
      <c r="C327" s="485">
        <v>10</v>
      </c>
      <c r="D327" s="487">
        <v>5500</v>
      </c>
      <c r="E327" s="487">
        <f>C327*D327</f>
        <v>55000</v>
      </c>
      <c r="F327" s="486" t="s">
        <v>543</v>
      </c>
      <c r="G327" s="486" t="s">
        <v>369</v>
      </c>
      <c r="H327" s="480"/>
      <c r="I327" s="599"/>
    </row>
    <row r="328" spans="1:9" ht="24.9" customHeight="1" x14ac:dyDescent="0.25">
      <c r="A328" s="472">
        <v>34</v>
      </c>
      <c r="B328" s="493" t="s">
        <v>388</v>
      </c>
      <c r="C328" s="472">
        <v>2</v>
      </c>
      <c r="D328" s="539">
        <v>4950</v>
      </c>
      <c r="E328" s="540">
        <f>+C328*D328</f>
        <v>9900</v>
      </c>
      <c r="F328" s="493" t="s">
        <v>350</v>
      </c>
      <c r="G328" s="493" t="s">
        <v>369</v>
      </c>
      <c r="H328" s="496"/>
    </row>
    <row r="329" spans="1:9" ht="24.9" customHeight="1" x14ac:dyDescent="0.25">
      <c r="A329" s="472">
        <v>35</v>
      </c>
      <c r="B329" s="638" t="s">
        <v>382</v>
      </c>
      <c r="C329" s="472">
        <v>1</v>
      </c>
      <c r="D329" s="539">
        <v>2000</v>
      </c>
      <c r="E329" s="540">
        <f>+C329*D329</f>
        <v>2000</v>
      </c>
      <c r="F329" s="493" t="s">
        <v>350</v>
      </c>
      <c r="G329" s="493" t="s">
        <v>369</v>
      </c>
      <c r="H329" s="496"/>
    </row>
    <row r="330" spans="1:9" ht="24.9" customHeight="1" x14ac:dyDescent="0.25">
      <c r="A330" s="472">
        <v>36</v>
      </c>
      <c r="B330" s="492" t="s">
        <v>557</v>
      </c>
      <c r="C330" s="472">
        <v>2</v>
      </c>
      <c r="D330" s="509">
        <v>130000</v>
      </c>
      <c r="E330" s="509">
        <f>+C330*D330</f>
        <v>260000</v>
      </c>
      <c r="F330" s="493" t="s">
        <v>558</v>
      </c>
      <c r="G330" s="493" t="s">
        <v>369</v>
      </c>
      <c r="H330" s="496"/>
    </row>
    <row r="331" spans="1:9" ht="24.9" customHeight="1" x14ac:dyDescent="0.25">
      <c r="A331" s="472">
        <v>45</v>
      </c>
      <c r="B331" s="531" t="s">
        <v>625</v>
      </c>
      <c r="C331" s="513">
        <v>1</v>
      </c>
      <c r="D331" s="509">
        <v>400000</v>
      </c>
      <c r="E331" s="541">
        <f>+C331*D331</f>
        <v>400000</v>
      </c>
      <c r="F331" s="531" t="s">
        <v>626</v>
      </c>
      <c r="G331" s="493" t="s">
        <v>369</v>
      </c>
      <c r="H331" s="496"/>
    </row>
    <row r="332" spans="1:9" ht="24.9" customHeight="1" x14ac:dyDescent="0.25">
      <c r="A332" s="472">
        <v>52</v>
      </c>
      <c r="B332" s="511" t="s">
        <v>684</v>
      </c>
      <c r="C332" s="513">
        <v>1</v>
      </c>
      <c r="D332" s="521">
        <v>310000</v>
      </c>
      <c r="E332" s="495">
        <f t="shared" ref="E332:E336" si="19">+C332*D332</f>
        <v>310000</v>
      </c>
      <c r="F332" s="511" t="s">
        <v>324</v>
      </c>
      <c r="G332" s="493" t="s">
        <v>369</v>
      </c>
      <c r="H332" s="496"/>
    </row>
    <row r="333" spans="1:9" ht="24.9" customHeight="1" x14ac:dyDescent="0.25">
      <c r="A333" s="472">
        <v>54</v>
      </c>
      <c r="B333" s="511" t="s">
        <v>686</v>
      </c>
      <c r="C333" s="513">
        <v>1</v>
      </c>
      <c r="D333" s="495">
        <v>28000</v>
      </c>
      <c r="E333" s="495">
        <f t="shared" si="19"/>
        <v>28000</v>
      </c>
      <c r="F333" s="511" t="s">
        <v>324</v>
      </c>
      <c r="G333" s="493" t="s">
        <v>369</v>
      </c>
      <c r="H333" s="496" t="s">
        <v>393</v>
      </c>
    </row>
    <row r="334" spans="1:9" ht="24.9" customHeight="1" x14ac:dyDescent="0.25">
      <c r="A334" s="472">
        <v>58</v>
      </c>
      <c r="B334" s="512" t="s">
        <v>690</v>
      </c>
      <c r="C334" s="553">
        <v>1</v>
      </c>
      <c r="D334" s="541">
        <v>25000</v>
      </c>
      <c r="E334" s="495">
        <f t="shared" si="19"/>
        <v>25000</v>
      </c>
      <c r="F334" s="531" t="s">
        <v>324</v>
      </c>
      <c r="G334" s="493" t="s">
        <v>369</v>
      </c>
      <c r="H334" s="496" t="s">
        <v>393</v>
      </c>
    </row>
    <row r="335" spans="1:9" ht="24.9" customHeight="1" x14ac:dyDescent="0.25">
      <c r="A335" s="472">
        <v>62</v>
      </c>
      <c r="B335" s="531" t="s">
        <v>694</v>
      </c>
      <c r="C335" s="513">
        <v>2</v>
      </c>
      <c r="D335" s="509">
        <v>5990</v>
      </c>
      <c r="E335" s="495">
        <f t="shared" si="19"/>
        <v>11980</v>
      </c>
      <c r="F335" s="531" t="s">
        <v>375</v>
      </c>
      <c r="G335" s="493" t="s">
        <v>369</v>
      </c>
      <c r="H335" s="496"/>
    </row>
    <row r="336" spans="1:9" ht="24.9" customHeight="1" x14ac:dyDescent="0.25">
      <c r="A336" s="472">
        <v>96</v>
      </c>
      <c r="B336" s="531" t="s">
        <v>721</v>
      </c>
      <c r="C336" s="513">
        <v>4</v>
      </c>
      <c r="D336" s="509">
        <v>33000</v>
      </c>
      <c r="E336" s="495">
        <f t="shared" si="19"/>
        <v>132000</v>
      </c>
      <c r="F336" s="531" t="s">
        <v>350</v>
      </c>
      <c r="G336" s="493" t="s">
        <v>369</v>
      </c>
      <c r="H336" s="496"/>
    </row>
    <row r="337" spans="1:8" ht="24.9" customHeight="1" x14ac:dyDescent="0.25">
      <c r="A337" s="472">
        <v>104</v>
      </c>
      <c r="B337" s="473" t="s">
        <v>871</v>
      </c>
      <c r="C337" s="472">
        <v>1</v>
      </c>
      <c r="D337" s="494">
        <v>2500000</v>
      </c>
      <c r="E337" s="525">
        <f>+C337*D337</f>
        <v>2500000</v>
      </c>
      <c r="F337" s="511"/>
      <c r="G337" s="493" t="s">
        <v>369</v>
      </c>
      <c r="H337" s="496"/>
    </row>
    <row r="338" spans="1:8" ht="24.9" customHeight="1" x14ac:dyDescent="0.25">
      <c r="A338" s="472"/>
      <c r="B338" s="1544" t="s">
        <v>1041</v>
      </c>
      <c r="C338" s="1545"/>
      <c r="D338" s="1546"/>
      <c r="E338" s="532">
        <f>SUM(E318:E337)</f>
        <v>4839729</v>
      </c>
      <c r="F338" s="481"/>
      <c r="G338" s="493"/>
      <c r="H338" s="496"/>
    </row>
    <row r="339" spans="1:8" ht="24.9" customHeight="1" x14ac:dyDescent="0.25">
      <c r="A339" s="472">
        <v>111</v>
      </c>
      <c r="B339" s="511" t="s">
        <v>768</v>
      </c>
      <c r="C339" s="513">
        <v>2</v>
      </c>
      <c r="D339" s="495">
        <v>2290</v>
      </c>
      <c r="E339" s="495">
        <f t="shared" ref="E339:E347" si="20">+C339*D339</f>
        <v>4580</v>
      </c>
      <c r="F339" s="511" t="s">
        <v>769</v>
      </c>
      <c r="G339" s="493" t="s">
        <v>609</v>
      </c>
      <c r="H339" s="496"/>
    </row>
    <row r="340" spans="1:8" ht="24.9" customHeight="1" x14ac:dyDescent="0.25">
      <c r="A340" s="472">
        <v>116</v>
      </c>
      <c r="B340" s="511" t="s">
        <v>763</v>
      </c>
      <c r="C340" s="513">
        <v>2</v>
      </c>
      <c r="D340" s="495">
        <v>8690</v>
      </c>
      <c r="E340" s="495">
        <f t="shared" si="20"/>
        <v>17380</v>
      </c>
      <c r="F340" s="511" t="s">
        <v>769</v>
      </c>
      <c r="G340" s="493" t="s">
        <v>609</v>
      </c>
      <c r="H340" s="496"/>
    </row>
    <row r="341" spans="1:8" ht="24.9" customHeight="1" x14ac:dyDescent="0.25">
      <c r="A341" s="472">
        <v>117</v>
      </c>
      <c r="B341" s="511" t="s">
        <v>750</v>
      </c>
      <c r="C341" s="513">
        <v>19</v>
      </c>
      <c r="D341" s="511">
        <v>3524.58</v>
      </c>
      <c r="E341" s="495">
        <f t="shared" si="20"/>
        <v>66967.02</v>
      </c>
      <c r="F341" s="511" t="s">
        <v>769</v>
      </c>
      <c r="G341" s="493" t="s">
        <v>609</v>
      </c>
      <c r="H341" s="496"/>
    </row>
    <row r="342" spans="1:8" ht="24.9" customHeight="1" x14ac:dyDescent="0.25">
      <c r="A342" s="472">
        <v>118</v>
      </c>
      <c r="B342" s="511" t="s">
        <v>751</v>
      </c>
      <c r="C342" s="513">
        <v>40</v>
      </c>
      <c r="D342" s="495">
        <v>2477.5</v>
      </c>
      <c r="E342" s="495">
        <f t="shared" si="20"/>
        <v>99100</v>
      </c>
      <c r="F342" s="511" t="s">
        <v>731</v>
      </c>
      <c r="G342" s="493" t="s">
        <v>609</v>
      </c>
      <c r="H342" s="496"/>
    </row>
    <row r="343" spans="1:8" ht="24.9" customHeight="1" x14ac:dyDescent="0.25">
      <c r="A343" s="472">
        <v>119</v>
      </c>
      <c r="B343" s="511" t="s">
        <v>752</v>
      </c>
      <c r="C343" s="513">
        <v>1</v>
      </c>
      <c r="D343" s="495">
        <v>22950</v>
      </c>
      <c r="E343" s="495">
        <f t="shared" si="20"/>
        <v>22950</v>
      </c>
      <c r="F343" s="511" t="s">
        <v>732</v>
      </c>
      <c r="G343" s="493" t="s">
        <v>609</v>
      </c>
      <c r="H343" s="496" t="s">
        <v>1090</v>
      </c>
    </row>
    <row r="344" spans="1:8" ht="24.9" customHeight="1" x14ac:dyDescent="0.25">
      <c r="A344" s="472">
        <v>124</v>
      </c>
      <c r="B344" s="512" t="s">
        <v>752</v>
      </c>
      <c r="C344" s="553">
        <v>1</v>
      </c>
      <c r="D344" s="541">
        <v>22950</v>
      </c>
      <c r="E344" s="495">
        <f t="shared" si="20"/>
        <v>22950</v>
      </c>
      <c r="F344" s="512" t="s">
        <v>736</v>
      </c>
      <c r="G344" s="493" t="s">
        <v>609</v>
      </c>
      <c r="H344" s="496" t="s">
        <v>1090</v>
      </c>
    </row>
    <row r="345" spans="1:8" ht="24.9" customHeight="1" x14ac:dyDescent="0.25">
      <c r="A345" s="472">
        <v>125</v>
      </c>
      <c r="B345" s="512" t="s">
        <v>755</v>
      </c>
      <c r="C345" s="553">
        <v>1</v>
      </c>
      <c r="D345" s="541">
        <v>2140</v>
      </c>
      <c r="E345" s="495">
        <f t="shared" si="20"/>
        <v>2140</v>
      </c>
      <c r="F345" s="512" t="s">
        <v>356</v>
      </c>
      <c r="G345" s="493" t="s">
        <v>609</v>
      </c>
      <c r="H345" s="496" t="s">
        <v>1080</v>
      </c>
    </row>
    <row r="346" spans="1:8" ht="24.9" customHeight="1" x14ac:dyDescent="0.25">
      <c r="A346" s="472">
        <v>126</v>
      </c>
      <c r="B346" s="511" t="s">
        <v>756</v>
      </c>
      <c r="C346" s="513">
        <v>1</v>
      </c>
      <c r="D346" s="495">
        <v>61018.03</v>
      </c>
      <c r="E346" s="495">
        <f t="shared" si="20"/>
        <v>61018.03</v>
      </c>
      <c r="F346" s="511" t="s">
        <v>770</v>
      </c>
      <c r="G346" s="493" t="s">
        <v>609</v>
      </c>
      <c r="H346" s="496" t="s">
        <v>1080</v>
      </c>
    </row>
    <row r="347" spans="1:8" ht="24.9" customHeight="1" x14ac:dyDescent="0.25">
      <c r="A347" s="472">
        <v>130</v>
      </c>
      <c r="B347" s="511" t="s">
        <v>758</v>
      </c>
      <c r="C347" s="513">
        <v>1</v>
      </c>
      <c r="D347" s="495">
        <v>1400</v>
      </c>
      <c r="E347" s="495">
        <f t="shared" si="20"/>
        <v>1400</v>
      </c>
      <c r="F347" s="511" t="s">
        <v>520</v>
      </c>
      <c r="G347" s="493" t="s">
        <v>609</v>
      </c>
      <c r="H347" s="496" t="s">
        <v>1080</v>
      </c>
    </row>
    <row r="348" spans="1:8" ht="24.9" customHeight="1" x14ac:dyDescent="0.25">
      <c r="A348" s="472"/>
      <c r="B348" s="1558" t="s">
        <v>1042</v>
      </c>
      <c r="C348" s="1559"/>
      <c r="D348" s="1560"/>
      <c r="E348" s="532">
        <f>SUM(E339:E347)</f>
        <v>298485.05000000005</v>
      </c>
      <c r="F348" s="640"/>
      <c r="G348" s="528"/>
      <c r="H348" s="496"/>
    </row>
    <row r="349" spans="1:8" ht="24.9" customHeight="1" x14ac:dyDescent="0.25">
      <c r="A349" s="472">
        <v>132</v>
      </c>
      <c r="B349" s="473" t="s">
        <v>112</v>
      </c>
      <c r="C349" s="472">
        <v>2</v>
      </c>
      <c r="D349" s="474">
        <v>7500</v>
      </c>
      <c r="E349" s="474">
        <f>C349*D349</f>
        <v>15000</v>
      </c>
      <c r="F349" s="473" t="s">
        <v>360</v>
      </c>
      <c r="G349" s="473" t="s">
        <v>612</v>
      </c>
      <c r="H349" s="496" t="s">
        <v>393</v>
      </c>
    </row>
    <row r="350" spans="1:8" ht="24.9" customHeight="1" x14ac:dyDescent="0.25">
      <c r="A350" s="472">
        <v>133</v>
      </c>
      <c r="B350" s="493" t="s">
        <v>530</v>
      </c>
      <c r="C350" s="472">
        <v>1</v>
      </c>
      <c r="D350" s="474">
        <v>1000000</v>
      </c>
      <c r="E350" s="530">
        <f>+C350*D350</f>
        <v>1000000</v>
      </c>
      <c r="F350" s="493" t="s">
        <v>374</v>
      </c>
      <c r="G350" s="493" t="s">
        <v>612</v>
      </c>
      <c r="H350" s="496" t="s">
        <v>1080</v>
      </c>
    </row>
    <row r="351" spans="1:8" ht="24.9" customHeight="1" x14ac:dyDescent="0.25">
      <c r="A351" s="472">
        <v>137</v>
      </c>
      <c r="B351" s="511" t="s">
        <v>775</v>
      </c>
      <c r="C351" s="513">
        <v>1</v>
      </c>
      <c r="D351" s="495">
        <v>5025</v>
      </c>
      <c r="E351" s="530">
        <f t="shared" ref="E351:E354" si="21">+C351*D351</f>
        <v>5025</v>
      </c>
      <c r="F351" s="511" t="s">
        <v>777</v>
      </c>
      <c r="G351" s="493" t="s">
        <v>612</v>
      </c>
      <c r="H351" s="496" t="s">
        <v>1080</v>
      </c>
    </row>
    <row r="352" spans="1:8" ht="24.9" customHeight="1" x14ac:dyDescent="0.25">
      <c r="A352" s="472">
        <v>138</v>
      </c>
      <c r="B352" s="511" t="s">
        <v>776</v>
      </c>
      <c r="C352" s="513">
        <v>1</v>
      </c>
      <c r="D352" s="495">
        <v>2685.7</v>
      </c>
      <c r="E352" s="530">
        <f t="shared" si="21"/>
        <v>2685.7</v>
      </c>
      <c r="F352" s="511" t="s">
        <v>626</v>
      </c>
      <c r="G352" s="493" t="s">
        <v>612</v>
      </c>
      <c r="H352" s="496" t="s">
        <v>1080</v>
      </c>
    </row>
    <row r="353" spans="1:8" ht="24.9" customHeight="1" x14ac:dyDescent="0.25">
      <c r="A353" s="472">
        <v>139</v>
      </c>
      <c r="B353" s="511" t="s">
        <v>779</v>
      </c>
      <c r="C353" s="513">
        <v>2</v>
      </c>
      <c r="D353" s="495">
        <v>1701.3</v>
      </c>
      <c r="E353" s="530">
        <f t="shared" si="21"/>
        <v>3402.6</v>
      </c>
      <c r="F353" s="511" t="s">
        <v>520</v>
      </c>
      <c r="G353" s="493" t="s">
        <v>612</v>
      </c>
      <c r="H353" s="496" t="s">
        <v>1080</v>
      </c>
    </row>
    <row r="354" spans="1:8" ht="24.9" customHeight="1" x14ac:dyDescent="0.25">
      <c r="A354" s="472">
        <v>140</v>
      </c>
      <c r="B354" s="511" t="s">
        <v>778</v>
      </c>
      <c r="C354" s="513">
        <v>4</v>
      </c>
      <c r="D354" s="495">
        <v>1519.4</v>
      </c>
      <c r="E354" s="530">
        <f t="shared" si="21"/>
        <v>6077.6</v>
      </c>
      <c r="F354" s="511" t="s">
        <v>520</v>
      </c>
      <c r="G354" s="493" t="s">
        <v>612</v>
      </c>
      <c r="H354" s="496" t="s">
        <v>1080</v>
      </c>
    </row>
    <row r="355" spans="1:8" ht="24.9" customHeight="1" x14ac:dyDescent="0.25">
      <c r="A355" s="477"/>
      <c r="B355" s="1561" t="s">
        <v>1043</v>
      </c>
      <c r="C355" s="1562"/>
      <c r="D355" s="1563"/>
      <c r="E355" s="533">
        <f>SUM(E349:E354)</f>
        <v>1032190.8999999999</v>
      </c>
      <c r="F355" s="528"/>
      <c r="G355" s="528"/>
      <c r="H355" s="496"/>
    </row>
    <row r="356" spans="1:8" ht="24.9" customHeight="1" x14ac:dyDescent="0.25">
      <c r="A356" s="472">
        <v>143</v>
      </c>
      <c r="B356" s="492" t="s">
        <v>111</v>
      </c>
      <c r="C356" s="472">
        <v>71</v>
      </c>
      <c r="D356" s="474">
        <v>7000</v>
      </c>
      <c r="E356" s="474">
        <f>C356*D356</f>
        <v>497000</v>
      </c>
      <c r="F356" s="473" t="s">
        <v>361</v>
      </c>
      <c r="G356" s="473" t="s">
        <v>610</v>
      </c>
      <c r="H356" s="496"/>
    </row>
    <row r="357" spans="1:8" ht="24.9" customHeight="1" x14ac:dyDescent="0.25">
      <c r="A357" s="472">
        <v>144</v>
      </c>
      <c r="B357" s="638" t="s">
        <v>379</v>
      </c>
      <c r="C357" s="472">
        <v>1</v>
      </c>
      <c r="D357" s="639">
        <v>15000</v>
      </c>
      <c r="E357" s="540">
        <f t="shared" ref="E357:E363" si="22">+C357*D357</f>
        <v>15000</v>
      </c>
      <c r="F357" s="493" t="s">
        <v>350</v>
      </c>
      <c r="G357" s="493" t="s">
        <v>610</v>
      </c>
      <c r="H357" s="496"/>
    </row>
    <row r="358" spans="1:8" ht="24.9" customHeight="1" x14ac:dyDescent="0.25">
      <c r="A358" s="472">
        <v>145</v>
      </c>
      <c r="B358" s="493" t="s">
        <v>386</v>
      </c>
      <c r="C358" s="472">
        <v>2</v>
      </c>
      <c r="D358" s="539">
        <v>6500</v>
      </c>
      <c r="E358" s="540">
        <f t="shared" si="22"/>
        <v>13000</v>
      </c>
      <c r="F358" s="493" t="s">
        <v>350</v>
      </c>
      <c r="G358" s="493" t="s">
        <v>610</v>
      </c>
      <c r="H358" s="496"/>
    </row>
    <row r="359" spans="1:8" ht="24.9" customHeight="1" x14ac:dyDescent="0.25">
      <c r="A359" s="472">
        <v>146</v>
      </c>
      <c r="B359" s="638" t="s">
        <v>380</v>
      </c>
      <c r="C359" s="472">
        <v>1</v>
      </c>
      <c r="D359" s="639">
        <v>10000</v>
      </c>
      <c r="E359" s="540">
        <f t="shared" si="22"/>
        <v>10000</v>
      </c>
      <c r="F359" s="493" t="s">
        <v>350</v>
      </c>
      <c r="G359" s="493" t="s">
        <v>610</v>
      </c>
      <c r="H359" s="496"/>
    </row>
    <row r="360" spans="1:8" ht="24.9" customHeight="1" x14ac:dyDescent="0.25">
      <c r="A360" s="472">
        <v>147</v>
      </c>
      <c r="B360" s="473" t="s">
        <v>392</v>
      </c>
      <c r="C360" s="472">
        <v>1</v>
      </c>
      <c r="D360" s="527">
        <v>50000</v>
      </c>
      <c r="E360" s="540">
        <f t="shared" si="22"/>
        <v>50000</v>
      </c>
      <c r="F360" s="493" t="s">
        <v>350</v>
      </c>
      <c r="G360" s="493" t="s">
        <v>610</v>
      </c>
      <c r="H360" s="496"/>
    </row>
    <row r="361" spans="1:8" ht="24.9" customHeight="1" x14ac:dyDescent="0.25">
      <c r="A361" s="472">
        <v>148</v>
      </c>
      <c r="B361" s="638" t="s">
        <v>389</v>
      </c>
      <c r="C361" s="472">
        <v>2</v>
      </c>
      <c r="D361" s="639">
        <v>4500</v>
      </c>
      <c r="E361" s="540">
        <f t="shared" si="22"/>
        <v>9000</v>
      </c>
      <c r="F361" s="493" t="s">
        <v>350</v>
      </c>
      <c r="G361" s="493" t="s">
        <v>610</v>
      </c>
      <c r="H361" s="496"/>
    </row>
    <row r="362" spans="1:8" ht="24.9" customHeight="1" x14ac:dyDescent="0.25">
      <c r="A362" s="472">
        <v>149</v>
      </c>
      <c r="B362" s="638" t="s">
        <v>387</v>
      </c>
      <c r="C362" s="472">
        <v>2</v>
      </c>
      <c r="D362" s="639">
        <v>3950</v>
      </c>
      <c r="E362" s="540">
        <f t="shared" si="22"/>
        <v>7900</v>
      </c>
      <c r="F362" s="493" t="s">
        <v>350</v>
      </c>
      <c r="G362" s="493" t="s">
        <v>610</v>
      </c>
      <c r="H362" s="496"/>
    </row>
    <row r="363" spans="1:8" ht="24.9" customHeight="1" x14ac:dyDescent="0.25">
      <c r="A363" s="472">
        <v>150</v>
      </c>
      <c r="B363" s="492" t="s">
        <v>391</v>
      </c>
      <c r="C363" s="472">
        <v>2</v>
      </c>
      <c r="D363" s="527">
        <v>3950</v>
      </c>
      <c r="E363" s="540">
        <f t="shared" si="22"/>
        <v>7900</v>
      </c>
      <c r="F363" s="493" t="s">
        <v>350</v>
      </c>
      <c r="G363" s="493" t="s">
        <v>610</v>
      </c>
      <c r="H363" s="496"/>
    </row>
    <row r="364" spans="1:8" ht="24.9" customHeight="1" x14ac:dyDescent="0.25">
      <c r="A364" s="472">
        <v>151</v>
      </c>
      <c r="B364" s="511" t="s">
        <v>404</v>
      </c>
      <c r="C364" s="513">
        <v>1</v>
      </c>
      <c r="D364" s="484">
        <v>5590</v>
      </c>
      <c r="E364" s="484">
        <v>5590</v>
      </c>
      <c r="F364" s="511" t="s">
        <v>489</v>
      </c>
      <c r="G364" s="511" t="s">
        <v>610</v>
      </c>
      <c r="H364" s="496" t="s">
        <v>393</v>
      </c>
    </row>
    <row r="365" spans="1:8" ht="24.9" customHeight="1" x14ac:dyDescent="0.25">
      <c r="A365" s="472">
        <v>152</v>
      </c>
      <c r="B365" s="638" t="s">
        <v>381</v>
      </c>
      <c r="C365" s="472">
        <v>1</v>
      </c>
      <c r="D365" s="639">
        <v>4000</v>
      </c>
      <c r="E365" s="540">
        <f t="shared" ref="E365" si="23">+C365*D365</f>
        <v>4000</v>
      </c>
      <c r="F365" s="493" t="s">
        <v>350</v>
      </c>
      <c r="G365" s="493" t="s">
        <v>610</v>
      </c>
      <c r="H365" s="496"/>
    </row>
    <row r="366" spans="1:8" ht="24.9" customHeight="1" x14ac:dyDescent="0.25">
      <c r="A366" s="472">
        <v>155</v>
      </c>
      <c r="B366" s="511" t="s">
        <v>780</v>
      </c>
      <c r="C366" s="513">
        <v>3</v>
      </c>
      <c r="D366" s="495">
        <v>15200</v>
      </c>
      <c r="E366" s="495">
        <f>+C366*D366</f>
        <v>45600</v>
      </c>
      <c r="F366" s="511" t="s">
        <v>769</v>
      </c>
      <c r="G366" s="493" t="s">
        <v>610</v>
      </c>
      <c r="H366" s="496"/>
    </row>
    <row r="367" spans="1:8" ht="24.9" customHeight="1" x14ac:dyDescent="0.25">
      <c r="A367" s="472">
        <v>156</v>
      </c>
      <c r="B367" s="511" t="s">
        <v>881</v>
      </c>
      <c r="C367" s="513">
        <v>1</v>
      </c>
      <c r="D367" s="495">
        <v>2027.65</v>
      </c>
      <c r="E367" s="495">
        <v>2027.65</v>
      </c>
      <c r="F367" s="511" t="s">
        <v>769</v>
      </c>
      <c r="G367" s="493" t="s">
        <v>610</v>
      </c>
      <c r="H367" s="496"/>
    </row>
    <row r="368" spans="1:8" ht="24.9" customHeight="1" x14ac:dyDescent="0.25">
      <c r="A368" s="472">
        <v>162</v>
      </c>
      <c r="B368" s="511" t="s">
        <v>784</v>
      </c>
      <c r="C368" s="513">
        <v>4</v>
      </c>
      <c r="D368" s="495">
        <v>750</v>
      </c>
      <c r="E368" s="495">
        <f t="shared" ref="E368:E371" si="24">+C368*D368</f>
        <v>3000</v>
      </c>
      <c r="F368" s="511" t="s">
        <v>375</v>
      </c>
      <c r="G368" s="493" t="s">
        <v>610</v>
      </c>
      <c r="H368" s="496" t="s">
        <v>1080</v>
      </c>
    </row>
    <row r="369" spans="1:9" ht="24.9" customHeight="1" x14ac:dyDescent="0.25">
      <c r="A369" s="472">
        <v>163</v>
      </c>
      <c r="B369" s="511" t="s">
        <v>784</v>
      </c>
      <c r="C369" s="513">
        <v>1</v>
      </c>
      <c r="D369" s="495">
        <v>2990</v>
      </c>
      <c r="E369" s="495">
        <f t="shared" si="24"/>
        <v>2990</v>
      </c>
      <c r="F369" s="511" t="s">
        <v>375</v>
      </c>
      <c r="G369" s="493" t="s">
        <v>610</v>
      </c>
      <c r="H369" s="496"/>
    </row>
    <row r="370" spans="1:9" ht="24.9" customHeight="1" x14ac:dyDescent="0.25">
      <c r="A370" s="472">
        <v>178</v>
      </c>
      <c r="B370" s="511" t="s">
        <v>794</v>
      </c>
      <c r="C370" s="513">
        <v>2</v>
      </c>
      <c r="D370" s="495">
        <v>1590</v>
      </c>
      <c r="E370" s="495">
        <f t="shared" si="24"/>
        <v>3180</v>
      </c>
      <c r="F370" s="511" t="s">
        <v>828</v>
      </c>
      <c r="G370" s="493" t="s">
        <v>610</v>
      </c>
      <c r="H370" s="496" t="s">
        <v>1080</v>
      </c>
    </row>
    <row r="371" spans="1:9" ht="24.9" customHeight="1" x14ac:dyDescent="0.25">
      <c r="A371" s="472">
        <v>180</v>
      </c>
      <c r="B371" s="511" t="s">
        <v>796</v>
      </c>
      <c r="C371" s="513">
        <v>1</v>
      </c>
      <c r="D371" s="641">
        <v>2878.3</v>
      </c>
      <c r="E371" s="495">
        <f t="shared" si="24"/>
        <v>2878.3</v>
      </c>
      <c r="F371" s="511" t="s">
        <v>373</v>
      </c>
      <c r="G371" s="493" t="s">
        <v>610</v>
      </c>
      <c r="H371" s="496" t="s">
        <v>1080</v>
      </c>
    </row>
    <row r="372" spans="1:9" ht="24.9" customHeight="1" x14ac:dyDescent="0.25">
      <c r="A372" s="472">
        <v>197</v>
      </c>
      <c r="B372" s="512" t="s">
        <v>810</v>
      </c>
      <c r="C372" s="553">
        <v>4</v>
      </c>
      <c r="D372" s="541">
        <v>1990</v>
      </c>
      <c r="E372" s="509">
        <v>7960</v>
      </c>
      <c r="F372" s="512" t="s">
        <v>835</v>
      </c>
      <c r="G372" s="493" t="s">
        <v>610</v>
      </c>
      <c r="H372" s="496" t="s">
        <v>1080</v>
      </c>
    </row>
    <row r="373" spans="1:9" ht="24.9" customHeight="1" x14ac:dyDescent="0.25">
      <c r="A373" s="472">
        <v>201</v>
      </c>
      <c r="B373" s="511" t="s">
        <v>814</v>
      </c>
      <c r="C373" s="513">
        <v>2</v>
      </c>
      <c r="D373" s="495">
        <v>1320</v>
      </c>
      <c r="E373" s="642">
        <v>2640</v>
      </c>
      <c r="F373" s="511" t="s">
        <v>837</v>
      </c>
      <c r="G373" s="493" t="s">
        <v>610</v>
      </c>
      <c r="H373" s="496" t="s">
        <v>1080</v>
      </c>
    </row>
    <row r="374" spans="1:9" ht="24.9" customHeight="1" x14ac:dyDescent="0.25">
      <c r="A374" s="472">
        <v>207</v>
      </c>
      <c r="B374" s="511" t="s">
        <v>620</v>
      </c>
      <c r="C374" s="513">
        <v>1</v>
      </c>
      <c r="D374" s="514">
        <v>1590</v>
      </c>
      <c r="E374" s="514">
        <v>1590</v>
      </c>
      <c r="F374" s="511" t="s">
        <v>841</v>
      </c>
      <c r="G374" s="493" t="s">
        <v>610</v>
      </c>
      <c r="H374" s="496" t="s">
        <v>1080</v>
      </c>
    </row>
    <row r="375" spans="1:9" ht="24.9" customHeight="1" x14ac:dyDescent="0.25">
      <c r="A375" s="472">
        <v>208</v>
      </c>
      <c r="B375" s="511" t="s">
        <v>818</v>
      </c>
      <c r="C375" s="513">
        <v>2</v>
      </c>
      <c r="D375" s="495">
        <v>4994</v>
      </c>
      <c r="E375" s="495">
        <v>9988</v>
      </c>
      <c r="F375" s="511" t="s">
        <v>520</v>
      </c>
      <c r="G375" s="493" t="s">
        <v>610</v>
      </c>
      <c r="H375" s="496" t="s">
        <v>1080</v>
      </c>
    </row>
    <row r="376" spans="1:9" ht="24.9" customHeight="1" x14ac:dyDescent="0.25">
      <c r="A376" s="472"/>
      <c r="B376" s="1564" t="s">
        <v>1045</v>
      </c>
      <c r="C376" s="1565"/>
      <c r="D376" s="1566"/>
      <c r="E376" s="532">
        <f>SUM(E356:E375)</f>
        <v>701243.95000000007</v>
      </c>
      <c r="F376" s="511"/>
      <c r="G376" s="493"/>
      <c r="H376" s="496"/>
    </row>
    <row r="377" spans="1:9" ht="24.9" customHeight="1" x14ac:dyDescent="0.25">
      <c r="A377" s="472">
        <v>226</v>
      </c>
      <c r="B377" s="643" t="s">
        <v>1057</v>
      </c>
      <c r="C377" s="513">
        <v>1</v>
      </c>
      <c r="D377" s="509">
        <v>7000000</v>
      </c>
      <c r="E377" s="550">
        <f>+C377*D377</f>
        <v>7000000</v>
      </c>
      <c r="F377" s="510" t="s">
        <v>434</v>
      </c>
      <c r="G377" s="510" t="s">
        <v>611</v>
      </c>
      <c r="H377" s="496"/>
    </row>
    <row r="378" spans="1:9" ht="24.9" customHeight="1" x14ac:dyDescent="0.25">
      <c r="A378" s="472">
        <v>228</v>
      </c>
      <c r="B378" s="551" t="s">
        <v>433</v>
      </c>
      <c r="C378" s="513">
        <v>1</v>
      </c>
      <c r="D378" s="549">
        <v>152000</v>
      </c>
      <c r="E378" s="550">
        <v>152000</v>
      </c>
      <c r="F378" s="493" t="s">
        <v>434</v>
      </c>
      <c r="G378" s="493" t="s">
        <v>611</v>
      </c>
      <c r="H378" s="496"/>
    </row>
    <row r="379" spans="1:9" x14ac:dyDescent="0.25">
      <c r="A379" s="472">
        <v>230</v>
      </c>
      <c r="B379" s="512" t="s">
        <v>1058</v>
      </c>
      <c r="C379" s="513">
        <v>1</v>
      </c>
      <c r="D379" s="549">
        <v>250000</v>
      </c>
      <c r="E379" s="550">
        <v>250000</v>
      </c>
      <c r="F379" s="510" t="s">
        <v>434</v>
      </c>
      <c r="G379" s="510" t="s">
        <v>611</v>
      </c>
      <c r="H379" s="496"/>
    </row>
    <row r="380" spans="1:9" s="491" customFormat="1" ht="245.25" customHeight="1" x14ac:dyDescent="0.25">
      <c r="A380" s="485">
        <v>241</v>
      </c>
      <c r="B380" s="644" t="s">
        <v>628</v>
      </c>
      <c r="C380" s="645">
        <v>1</v>
      </c>
      <c r="D380" s="646">
        <v>5000000</v>
      </c>
      <c r="E380" s="569">
        <f t="shared" ref="E380:E382" si="25">+C380*D380</f>
        <v>5000000</v>
      </c>
      <c r="F380" s="558" t="s">
        <v>434</v>
      </c>
      <c r="G380" s="558" t="s">
        <v>611</v>
      </c>
      <c r="H380" s="480"/>
      <c r="I380" s="599"/>
    </row>
    <row r="381" spans="1:9" s="491" customFormat="1" ht="46.8" x14ac:dyDescent="0.25">
      <c r="A381" s="485">
        <v>263</v>
      </c>
      <c r="B381" s="555" t="s">
        <v>1059</v>
      </c>
      <c r="C381" s="647">
        <v>1</v>
      </c>
      <c r="D381" s="648">
        <v>450000</v>
      </c>
      <c r="E381" s="569">
        <f t="shared" si="25"/>
        <v>450000</v>
      </c>
      <c r="F381" s="558" t="s">
        <v>434</v>
      </c>
      <c r="G381" s="558" t="s">
        <v>611</v>
      </c>
      <c r="H381" s="480"/>
      <c r="I381" s="599"/>
    </row>
    <row r="382" spans="1:9" ht="24.9" customHeight="1" x14ac:dyDescent="0.25">
      <c r="A382" s="472">
        <v>264</v>
      </c>
      <c r="B382" s="560" t="s">
        <v>649</v>
      </c>
      <c r="C382" s="561">
        <v>20</v>
      </c>
      <c r="D382" s="565">
        <v>2500</v>
      </c>
      <c r="E382" s="525">
        <f t="shared" si="25"/>
        <v>50000</v>
      </c>
      <c r="F382" s="510" t="s">
        <v>434</v>
      </c>
      <c r="G382" s="510" t="s">
        <v>611</v>
      </c>
      <c r="H382" s="496"/>
    </row>
    <row r="383" spans="1:9" ht="24.9" customHeight="1" x14ac:dyDescent="0.25">
      <c r="A383" s="589"/>
      <c r="B383" s="1557" t="s">
        <v>1046</v>
      </c>
      <c r="C383" s="1557"/>
      <c r="D383" s="1557"/>
      <c r="E383" s="649">
        <f>SUM(E377:E382)</f>
        <v>12902000</v>
      </c>
      <c r="G383" s="650"/>
      <c r="H383" s="496"/>
    </row>
    <row r="384" spans="1:9" ht="15.75" customHeight="1" x14ac:dyDescent="0.25">
      <c r="A384" s="471"/>
      <c r="B384" s="471"/>
      <c r="C384" s="633"/>
      <c r="D384" s="634"/>
      <c r="F384" s="471"/>
      <c r="G384" s="471"/>
      <c r="H384" s="496"/>
    </row>
    <row r="385" spans="1:8" ht="15.75" customHeight="1" x14ac:dyDescent="0.25">
      <c r="A385" s="471"/>
      <c r="B385" s="471"/>
      <c r="C385" s="633"/>
      <c r="D385" s="634"/>
      <c r="F385" s="471"/>
      <c r="G385" s="471"/>
      <c r="H385" s="496"/>
    </row>
    <row r="386" spans="1:8" ht="15.75" customHeight="1" x14ac:dyDescent="0.25">
      <c r="A386" s="471"/>
      <c r="B386" s="471"/>
      <c r="C386" s="633"/>
      <c r="D386" s="634"/>
      <c r="F386" s="471"/>
      <c r="G386" s="471"/>
      <c r="H386" s="496"/>
    </row>
    <row r="387" spans="1:8" ht="15.75" customHeight="1" x14ac:dyDescent="0.25">
      <c r="A387" s="471"/>
      <c r="B387" s="471"/>
      <c r="C387" s="633"/>
      <c r="D387" s="634"/>
      <c r="F387" s="471"/>
      <c r="G387" s="471"/>
      <c r="H387" s="496"/>
    </row>
    <row r="388" spans="1:8" ht="15.75" customHeight="1" x14ac:dyDescent="0.25">
      <c r="A388" s="471"/>
      <c r="B388" s="471"/>
      <c r="C388" s="633"/>
      <c r="D388" s="634"/>
      <c r="F388" s="471"/>
      <c r="G388" s="471"/>
      <c r="H388" s="496"/>
    </row>
    <row r="389" spans="1:8" ht="15.75" customHeight="1" x14ac:dyDescent="0.25">
      <c r="A389" s="471"/>
      <c r="B389" s="471"/>
      <c r="C389" s="633"/>
      <c r="D389" s="634"/>
      <c r="F389" s="471"/>
      <c r="G389" s="471"/>
      <c r="H389" s="496"/>
    </row>
    <row r="390" spans="1:8" ht="15.75" customHeight="1" x14ac:dyDescent="0.25">
      <c r="A390" s="471"/>
      <c r="B390" s="471"/>
      <c r="C390" s="633"/>
      <c r="D390" s="634"/>
      <c r="F390" s="471"/>
      <c r="G390" s="471"/>
      <c r="H390" s="496"/>
    </row>
    <row r="391" spans="1:8" ht="15.75" customHeight="1" x14ac:dyDescent="0.25">
      <c r="A391" s="471"/>
      <c r="B391" s="471"/>
      <c r="C391" s="633"/>
      <c r="D391" s="634"/>
      <c r="F391" s="471"/>
      <c r="G391" s="471"/>
      <c r="H391" s="496"/>
    </row>
    <row r="392" spans="1:8" ht="15.75" customHeight="1" x14ac:dyDescent="0.25">
      <c r="A392" s="471"/>
      <c r="B392" s="471"/>
      <c r="C392" s="633"/>
      <c r="D392" s="634"/>
      <c r="F392" s="471"/>
      <c r="G392" s="471"/>
      <c r="H392" s="496"/>
    </row>
    <row r="393" spans="1:8" ht="15.75" customHeight="1" x14ac:dyDescent="0.25">
      <c r="A393" s="471"/>
      <c r="B393" s="471"/>
      <c r="C393" s="633"/>
      <c r="D393" s="634"/>
      <c r="F393" s="471"/>
      <c r="G393" s="471"/>
      <c r="H393" s="496"/>
    </row>
    <row r="394" spans="1:8" ht="15.75" customHeight="1" x14ac:dyDescent="0.25">
      <c r="A394" s="471"/>
      <c r="B394" s="471"/>
      <c r="C394" s="633"/>
      <c r="D394" s="634"/>
      <c r="F394" s="471"/>
      <c r="G394" s="471"/>
      <c r="H394" s="496"/>
    </row>
    <row r="395" spans="1:8" ht="15.75" customHeight="1" x14ac:dyDescent="0.25">
      <c r="A395" s="471"/>
      <c r="B395" s="471"/>
      <c r="C395" s="633"/>
      <c r="D395" s="634"/>
      <c r="F395" s="471"/>
      <c r="G395" s="471"/>
      <c r="H395" s="496"/>
    </row>
    <row r="396" spans="1:8" ht="15.75" customHeight="1" x14ac:dyDescent="0.25">
      <c r="A396" s="471"/>
      <c r="B396" s="471"/>
      <c r="C396" s="633"/>
      <c r="D396" s="634"/>
      <c r="F396" s="471"/>
      <c r="G396" s="471"/>
      <c r="H396" s="496"/>
    </row>
    <row r="397" spans="1:8" ht="15.75" customHeight="1" x14ac:dyDescent="0.25">
      <c r="A397" s="471"/>
      <c r="B397" s="471"/>
      <c r="C397" s="633"/>
      <c r="D397" s="634"/>
      <c r="F397" s="471"/>
      <c r="G397" s="471"/>
      <c r="H397" s="496"/>
    </row>
    <row r="398" spans="1:8" ht="15.75" customHeight="1" x14ac:dyDescent="0.25">
      <c r="A398" s="471"/>
      <c r="B398" s="471"/>
      <c r="C398" s="633"/>
      <c r="D398" s="634"/>
      <c r="F398" s="471"/>
      <c r="G398" s="471"/>
      <c r="H398" s="496"/>
    </row>
    <row r="399" spans="1:8" ht="15.75" customHeight="1" x14ac:dyDescent="0.25">
      <c r="A399" s="471"/>
      <c r="B399" s="471"/>
      <c r="C399" s="633"/>
      <c r="D399" s="634"/>
      <c r="F399" s="471"/>
      <c r="G399" s="471"/>
      <c r="H399" s="496"/>
    </row>
    <row r="400" spans="1:8" ht="15.75" customHeight="1" x14ac:dyDescent="0.25">
      <c r="A400" s="471"/>
      <c r="B400" s="471"/>
      <c r="C400" s="633"/>
      <c r="D400" s="634"/>
      <c r="F400" s="471"/>
      <c r="G400" s="471"/>
      <c r="H400" s="496"/>
    </row>
    <row r="401" spans="1:8" ht="15.75" customHeight="1" x14ac:dyDescent="0.25">
      <c r="A401" s="471"/>
      <c r="B401" s="471"/>
      <c r="C401" s="633"/>
      <c r="D401" s="634"/>
      <c r="F401" s="471"/>
      <c r="G401" s="471"/>
      <c r="H401" s="496"/>
    </row>
    <row r="402" spans="1:8" ht="15.75" customHeight="1" x14ac:dyDescent="0.25">
      <c r="A402" s="471"/>
      <c r="B402" s="471"/>
      <c r="C402" s="633"/>
      <c r="D402" s="634"/>
      <c r="F402" s="471"/>
      <c r="G402" s="471"/>
      <c r="H402" s="496"/>
    </row>
    <row r="403" spans="1:8" ht="15.75" customHeight="1" x14ac:dyDescent="0.25">
      <c r="A403" s="471"/>
      <c r="B403" s="471"/>
      <c r="C403" s="633"/>
      <c r="D403" s="634"/>
      <c r="F403" s="471"/>
      <c r="G403" s="471"/>
      <c r="H403" s="496"/>
    </row>
    <row r="404" spans="1:8" ht="15.75" customHeight="1" x14ac:dyDescent="0.25">
      <c r="A404" s="471"/>
      <c r="B404" s="471"/>
      <c r="C404" s="633"/>
      <c r="D404" s="634"/>
      <c r="F404" s="471"/>
      <c r="G404" s="471"/>
      <c r="H404" s="496"/>
    </row>
    <row r="405" spans="1:8" ht="15.75" customHeight="1" x14ac:dyDescent="0.25">
      <c r="A405" s="471"/>
      <c r="B405" s="471"/>
      <c r="C405" s="633"/>
      <c r="D405" s="634"/>
      <c r="F405" s="471"/>
      <c r="G405" s="471"/>
      <c r="H405" s="496"/>
    </row>
    <row r="406" spans="1:8" ht="15.75" customHeight="1" x14ac:dyDescent="0.25">
      <c r="A406" s="471"/>
      <c r="B406" s="471"/>
      <c r="C406" s="633"/>
      <c r="D406" s="634"/>
      <c r="F406" s="471"/>
      <c r="G406" s="471"/>
      <c r="H406" s="496"/>
    </row>
    <row r="407" spans="1:8" ht="15.75" customHeight="1" x14ac:dyDescent="0.25">
      <c r="A407" s="471"/>
      <c r="B407" s="471"/>
      <c r="C407" s="633"/>
      <c r="D407" s="634"/>
      <c r="F407" s="471"/>
      <c r="G407" s="471"/>
      <c r="H407" s="496"/>
    </row>
    <row r="408" spans="1:8" ht="15.75" customHeight="1" x14ac:dyDescent="0.25">
      <c r="A408" s="471"/>
      <c r="B408" s="471"/>
      <c r="C408" s="633"/>
      <c r="D408" s="634"/>
      <c r="F408" s="471"/>
      <c r="G408" s="471"/>
      <c r="H408" s="496"/>
    </row>
    <row r="409" spans="1:8" ht="15.75" customHeight="1" x14ac:dyDescent="0.25">
      <c r="A409" s="471"/>
      <c r="B409" s="471"/>
      <c r="C409" s="633"/>
      <c r="D409" s="634"/>
      <c r="F409" s="471"/>
      <c r="G409" s="471"/>
      <c r="H409" s="496"/>
    </row>
    <row r="410" spans="1:8" ht="15.75" customHeight="1" x14ac:dyDescent="0.25">
      <c r="A410" s="471"/>
      <c r="B410" s="471"/>
      <c r="C410" s="633"/>
      <c r="D410" s="634"/>
      <c r="F410" s="471"/>
      <c r="G410" s="471"/>
      <c r="H410" s="496"/>
    </row>
    <row r="411" spans="1:8" ht="15.75" customHeight="1" x14ac:dyDescent="0.25">
      <c r="A411" s="471"/>
      <c r="B411" s="471"/>
      <c r="C411" s="633"/>
      <c r="D411" s="634"/>
      <c r="F411" s="471"/>
      <c r="G411" s="471"/>
      <c r="H411" s="496"/>
    </row>
    <row r="412" spans="1:8" ht="15.75" customHeight="1" x14ac:dyDescent="0.25">
      <c r="A412" s="471"/>
      <c r="B412" s="471"/>
      <c r="C412" s="633"/>
      <c r="D412" s="634"/>
      <c r="F412" s="471"/>
      <c r="G412" s="471"/>
      <c r="H412" s="496"/>
    </row>
    <row r="413" spans="1:8" ht="15.75" customHeight="1" x14ac:dyDescent="0.25">
      <c r="A413" s="471"/>
      <c r="B413" s="471"/>
      <c r="C413" s="633"/>
      <c r="D413" s="634"/>
      <c r="F413" s="471"/>
      <c r="G413" s="471"/>
      <c r="H413" s="496"/>
    </row>
    <row r="414" spans="1:8" ht="15.75" customHeight="1" x14ac:dyDescent="0.25">
      <c r="A414" s="471"/>
      <c r="B414" s="471"/>
      <c r="C414" s="633"/>
      <c r="D414" s="634"/>
      <c r="F414" s="471"/>
      <c r="G414" s="471"/>
      <c r="H414" s="496"/>
    </row>
    <row r="415" spans="1:8" ht="15.75" customHeight="1" x14ac:dyDescent="0.25">
      <c r="A415" s="471"/>
      <c r="B415" s="471"/>
      <c r="C415" s="633"/>
      <c r="D415" s="634"/>
      <c r="F415" s="471"/>
      <c r="G415" s="471"/>
      <c r="H415" s="496"/>
    </row>
    <row r="416" spans="1:8" ht="15.75" customHeight="1" x14ac:dyDescent="0.25">
      <c r="A416" s="471"/>
      <c r="B416" s="471"/>
      <c r="C416" s="633"/>
      <c r="D416" s="634"/>
      <c r="F416" s="471"/>
      <c r="G416" s="471"/>
      <c r="H416" s="496"/>
    </row>
    <row r="417" spans="1:8" ht="15.75" customHeight="1" x14ac:dyDescent="0.25">
      <c r="A417" s="471"/>
      <c r="B417" s="471"/>
      <c r="C417" s="633"/>
      <c r="D417" s="634"/>
      <c r="F417" s="471"/>
      <c r="G417" s="471"/>
      <c r="H417" s="496"/>
    </row>
    <row r="418" spans="1:8" ht="15.75" customHeight="1" x14ac:dyDescent="0.25">
      <c r="A418" s="471"/>
      <c r="B418" s="471"/>
      <c r="C418" s="633"/>
      <c r="D418" s="634"/>
      <c r="F418" s="471"/>
      <c r="G418" s="471"/>
      <c r="H418" s="471"/>
    </row>
    <row r="419" spans="1:8" ht="15.75" customHeight="1" x14ac:dyDescent="0.25">
      <c r="A419" s="471"/>
      <c r="B419" s="471"/>
      <c r="C419" s="633"/>
      <c r="D419" s="634"/>
      <c r="F419" s="471"/>
      <c r="G419" s="471"/>
      <c r="H419" s="471"/>
    </row>
    <row r="420" spans="1:8" ht="15.75" customHeight="1" x14ac:dyDescent="0.25">
      <c r="A420" s="471"/>
      <c r="B420" s="471"/>
      <c r="C420" s="633"/>
      <c r="D420" s="634"/>
      <c r="F420" s="471"/>
      <c r="G420" s="471"/>
      <c r="H420" s="471"/>
    </row>
    <row r="421" spans="1:8" ht="15.75" customHeight="1" x14ac:dyDescent="0.25">
      <c r="A421" s="471"/>
      <c r="B421" s="471"/>
      <c r="C421" s="633"/>
      <c r="D421" s="634"/>
      <c r="F421" s="471"/>
      <c r="G421" s="471"/>
      <c r="H421" s="471"/>
    </row>
    <row r="422" spans="1:8" ht="15.75" customHeight="1" x14ac:dyDescent="0.25">
      <c r="A422" s="471"/>
      <c r="B422" s="471"/>
      <c r="C422" s="633"/>
      <c r="D422" s="634"/>
      <c r="F422" s="471"/>
      <c r="G422" s="471"/>
      <c r="H422" s="471"/>
    </row>
    <row r="423" spans="1:8" ht="15.75" customHeight="1" x14ac:dyDescent="0.25">
      <c r="A423" s="471"/>
      <c r="B423" s="471"/>
      <c r="C423" s="633"/>
      <c r="D423" s="634"/>
      <c r="F423" s="471"/>
      <c r="G423" s="471"/>
      <c r="H423" s="471"/>
    </row>
    <row r="424" spans="1:8" ht="15.75" customHeight="1" x14ac:dyDescent="0.25">
      <c r="A424" s="471"/>
      <c r="B424" s="471"/>
      <c r="C424" s="633"/>
      <c r="D424" s="634"/>
      <c r="F424" s="471"/>
      <c r="G424" s="471"/>
      <c r="H424" s="471"/>
    </row>
    <row r="425" spans="1:8" ht="15.75" customHeight="1" x14ac:dyDescent="0.25">
      <c r="A425" s="471"/>
      <c r="B425" s="471"/>
      <c r="C425" s="633"/>
      <c r="D425" s="634"/>
      <c r="F425" s="471"/>
      <c r="G425" s="471"/>
      <c r="H425" s="471"/>
    </row>
    <row r="426" spans="1:8" ht="15.75" customHeight="1" x14ac:dyDescent="0.25">
      <c r="A426" s="471"/>
      <c r="B426" s="471"/>
      <c r="C426" s="633"/>
      <c r="D426" s="634"/>
      <c r="F426" s="471"/>
      <c r="G426" s="471"/>
      <c r="H426" s="471"/>
    </row>
    <row r="427" spans="1:8" ht="15.75" customHeight="1" x14ac:dyDescent="0.25">
      <c r="A427" s="471"/>
      <c r="B427" s="471"/>
      <c r="C427" s="633"/>
      <c r="D427" s="634"/>
      <c r="F427" s="471"/>
      <c r="G427" s="471"/>
      <c r="H427" s="471"/>
    </row>
    <row r="428" spans="1:8" ht="15.75" customHeight="1" x14ac:dyDescent="0.25">
      <c r="A428" s="471"/>
      <c r="B428" s="471"/>
      <c r="C428" s="633"/>
      <c r="D428" s="634"/>
      <c r="F428" s="471"/>
      <c r="G428" s="471"/>
      <c r="H428" s="471"/>
    </row>
    <row r="429" spans="1:8" ht="15.75" customHeight="1" x14ac:dyDescent="0.25">
      <c r="A429" s="471"/>
      <c r="B429" s="471"/>
      <c r="C429" s="633"/>
      <c r="D429" s="634"/>
      <c r="F429" s="471"/>
      <c r="G429" s="471"/>
      <c r="H429" s="471"/>
    </row>
    <row r="430" spans="1:8" ht="15.75" customHeight="1" x14ac:dyDescent="0.25">
      <c r="A430" s="471"/>
      <c r="B430" s="471"/>
      <c r="C430" s="633"/>
      <c r="D430" s="634"/>
      <c r="F430" s="471"/>
      <c r="G430" s="471"/>
      <c r="H430" s="471"/>
    </row>
    <row r="431" spans="1:8" ht="15.75" customHeight="1" x14ac:dyDescent="0.25">
      <c r="A431" s="471"/>
      <c r="B431" s="471"/>
      <c r="C431" s="633"/>
      <c r="D431" s="634"/>
      <c r="F431" s="471"/>
      <c r="G431" s="471"/>
      <c r="H431" s="471"/>
    </row>
    <row r="432" spans="1:8" ht="15.75" customHeight="1" x14ac:dyDescent="0.25">
      <c r="A432" s="471"/>
      <c r="B432" s="471"/>
      <c r="C432" s="633"/>
      <c r="D432" s="634"/>
      <c r="F432" s="471"/>
      <c r="G432" s="471"/>
      <c r="H432" s="471"/>
    </row>
    <row r="433" spans="1:8" ht="15.75" customHeight="1" x14ac:dyDescent="0.25">
      <c r="A433" s="471"/>
      <c r="B433" s="471"/>
      <c r="C433" s="633"/>
      <c r="D433" s="634"/>
      <c r="F433" s="471"/>
      <c r="G433" s="471"/>
      <c r="H433" s="471"/>
    </row>
    <row r="434" spans="1:8" ht="15.75" customHeight="1" x14ac:dyDescent="0.25">
      <c r="A434" s="471"/>
      <c r="B434" s="471"/>
      <c r="C434" s="633"/>
      <c r="D434" s="634"/>
      <c r="F434" s="471"/>
      <c r="G434" s="471"/>
      <c r="H434" s="471"/>
    </row>
    <row r="435" spans="1:8" ht="15.75" customHeight="1" x14ac:dyDescent="0.25">
      <c r="A435" s="471"/>
      <c r="B435" s="471"/>
      <c r="C435" s="633"/>
      <c r="D435" s="634"/>
      <c r="F435" s="471"/>
      <c r="G435" s="471"/>
      <c r="H435" s="471"/>
    </row>
    <row r="436" spans="1:8" ht="15.75" customHeight="1" x14ac:dyDescent="0.25">
      <c r="A436" s="471"/>
      <c r="B436" s="471"/>
      <c r="C436" s="633"/>
      <c r="D436" s="634"/>
      <c r="F436" s="471"/>
      <c r="G436" s="471"/>
      <c r="H436" s="471"/>
    </row>
    <row r="437" spans="1:8" ht="15.75" customHeight="1" x14ac:dyDescent="0.25">
      <c r="A437" s="471"/>
      <c r="B437" s="471"/>
      <c r="C437" s="633"/>
      <c r="D437" s="634"/>
      <c r="F437" s="471"/>
      <c r="G437" s="471"/>
      <c r="H437" s="471"/>
    </row>
    <row r="438" spans="1:8" ht="15.75" customHeight="1" x14ac:dyDescent="0.25">
      <c r="A438" s="471"/>
      <c r="B438" s="471"/>
      <c r="C438" s="633"/>
      <c r="D438" s="634"/>
      <c r="F438" s="471"/>
      <c r="G438" s="471"/>
      <c r="H438" s="471"/>
    </row>
    <row r="439" spans="1:8" ht="15.75" customHeight="1" x14ac:dyDescent="0.25">
      <c r="A439" s="471"/>
      <c r="B439" s="471"/>
      <c r="C439" s="633"/>
      <c r="D439" s="634"/>
      <c r="F439" s="471"/>
      <c r="G439" s="471"/>
      <c r="H439" s="471"/>
    </row>
    <row r="440" spans="1:8" ht="15.75" customHeight="1" x14ac:dyDescent="0.25">
      <c r="A440" s="471"/>
      <c r="B440" s="471"/>
      <c r="C440" s="633"/>
      <c r="D440" s="634"/>
      <c r="F440" s="471"/>
      <c r="G440" s="471"/>
      <c r="H440" s="471"/>
    </row>
    <row r="441" spans="1:8" ht="15.75" customHeight="1" x14ac:dyDescent="0.25">
      <c r="A441" s="471"/>
      <c r="B441" s="471"/>
      <c r="C441" s="633"/>
      <c r="D441" s="634"/>
      <c r="F441" s="471"/>
      <c r="G441" s="471"/>
      <c r="H441" s="471"/>
    </row>
    <row r="442" spans="1:8" ht="15.75" customHeight="1" x14ac:dyDescent="0.25">
      <c r="A442" s="471"/>
      <c r="B442" s="471"/>
      <c r="C442" s="633"/>
      <c r="D442" s="634"/>
      <c r="F442" s="471"/>
      <c r="G442" s="471"/>
      <c r="H442" s="471"/>
    </row>
    <row r="443" spans="1:8" ht="15.75" customHeight="1" x14ac:dyDescent="0.25">
      <c r="A443" s="471"/>
      <c r="B443" s="471"/>
      <c r="C443" s="633"/>
      <c r="D443" s="634"/>
      <c r="F443" s="471"/>
      <c r="G443" s="471"/>
      <c r="H443" s="471"/>
    </row>
    <row r="444" spans="1:8" ht="15.75" customHeight="1" x14ac:dyDescent="0.25">
      <c r="A444" s="471"/>
      <c r="B444" s="471"/>
      <c r="C444" s="633"/>
      <c r="D444" s="634"/>
      <c r="F444" s="471"/>
      <c r="G444" s="471"/>
      <c r="H444" s="471"/>
    </row>
    <row r="445" spans="1:8" ht="15.75" customHeight="1" x14ac:dyDescent="0.25">
      <c r="A445" s="471"/>
      <c r="B445" s="471"/>
      <c r="C445" s="633"/>
      <c r="D445" s="634"/>
      <c r="F445" s="471"/>
      <c r="G445" s="471"/>
      <c r="H445" s="471"/>
    </row>
    <row r="446" spans="1:8" ht="15.75" customHeight="1" x14ac:dyDescent="0.25">
      <c r="A446" s="471"/>
      <c r="B446" s="471"/>
      <c r="C446" s="633"/>
      <c r="D446" s="634"/>
      <c r="F446" s="471"/>
      <c r="G446" s="471"/>
      <c r="H446" s="471"/>
    </row>
    <row r="447" spans="1:8" ht="15.75" customHeight="1" x14ac:dyDescent="0.25">
      <c r="A447" s="471"/>
      <c r="B447" s="471"/>
      <c r="C447" s="633"/>
      <c r="D447" s="634"/>
      <c r="F447" s="471"/>
      <c r="G447" s="471"/>
      <c r="H447" s="471"/>
    </row>
    <row r="448" spans="1:8" ht="15.75" customHeight="1" x14ac:dyDescent="0.25">
      <c r="A448" s="471"/>
      <c r="B448" s="471"/>
      <c r="C448" s="633"/>
      <c r="D448" s="634"/>
      <c r="F448" s="471"/>
      <c r="G448" s="471"/>
      <c r="H448" s="471"/>
    </row>
    <row r="449" spans="1:8" ht="15.75" customHeight="1" x14ac:dyDescent="0.25">
      <c r="A449" s="471"/>
      <c r="B449" s="471"/>
      <c r="C449" s="633"/>
      <c r="D449" s="634"/>
      <c r="F449" s="471"/>
      <c r="G449" s="471"/>
      <c r="H449" s="471"/>
    </row>
    <row r="450" spans="1:8" ht="15.75" customHeight="1" x14ac:dyDescent="0.25">
      <c r="A450" s="471"/>
      <c r="B450" s="471"/>
      <c r="C450" s="633"/>
      <c r="D450" s="634"/>
      <c r="F450" s="471"/>
      <c r="G450" s="471"/>
      <c r="H450" s="471"/>
    </row>
    <row r="451" spans="1:8" ht="15.75" customHeight="1" x14ac:dyDescent="0.25">
      <c r="A451" s="471"/>
      <c r="B451" s="471"/>
      <c r="C451" s="633"/>
      <c r="D451" s="634"/>
      <c r="F451" s="471"/>
      <c r="G451" s="471"/>
      <c r="H451" s="471"/>
    </row>
    <row r="452" spans="1:8" ht="15.75" customHeight="1" x14ac:dyDescent="0.25">
      <c r="A452" s="471"/>
      <c r="B452" s="471"/>
      <c r="C452" s="633"/>
      <c r="D452" s="634"/>
      <c r="F452" s="471"/>
      <c r="G452" s="471"/>
      <c r="H452" s="471"/>
    </row>
    <row r="453" spans="1:8" ht="15.75" customHeight="1" x14ac:dyDescent="0.25">
      <c r="A453" s="471"/>
      <c r="B453" s="471"/>
      <c r="C453" s="633"/>
      <c r="D453" s="634"/>
      <c r="F453" s="471"/>
      <c r="G453" s="471"/>
      <c r="H453" s="471"/>
    </row>
    <row r="454" spans="1:8" ht="15.75" customHeight="1" x14ac:dyDescent="0.25">
      <c r="A454" s="471"/>
      <c r="B454" s="471"/>
      <c r="C454" s="633"/>
      <c r="D454" s="634"/>
      <c r="F454" s="471"/>
      <c r="G454" s="471"/>
      <c r="H454" s="471"/>
    </row>
    <row r="455" spans="1:8" ht="15.75" customHeight="1" x14ac:dyDescent="0.25">
      <c r="A455" s="471"/>
      <c r="B455" s="471"/>
      <c r="C455" s="633"/>
      <c r="D455" s="634"/>
      <c r="F455" s="471"/>
      <c r="G455" s="471"/>
      <c r="H455" s="471"/>
    </row>
    <row r="456" spans="1:8" ht="15.75" customHeight="1" x14ac:dyDescent="0.25">
      <c r="A456" s="471"/>
      <c r="B456" s="471"/>
      <c r="C456" s="633"/>
      <c r="D456" s="634"/>
      <c r="F456" s="471"/>
      <c r="G456" s="471"/>
      <c r="H456" s="471"/>
    </row>
    <row r="457" spans="1:8" ht="15.75" customHeight="1" x14ac:dyDescent="0.25">
      <c r="A457" s="471"/>
      <c r="B457" s="471"/>
      <c r="C457" s="633"/>
      <c r="D457" s="634"/>
      <c r="F457" s="471"/>
      <c r="G457" s="471"/>
      <c r="H457" s="471"/>
    </row>
    <row r="458" spans="1:8" ht="15.75" customHeight="1" x14ac:dyDescent="0.25">
      <c r="A458" s="471"/>
      <c r="B458" s="471"/>
      <c r="C458" s="633"/>
      <c r="D458" s="634"/>
      <c r="F458" s="471"/>
      <c r="G458" s="471"/>
      <c r="H458" s="471"/>
    </row>
    <row r="459" spans="1:8" ht="15.75" customHeight="1" x14ac:dyDescent="0.25">
      <c r="A459" s="471"/>
      <c r="B459" s="471"/>
      <c r="C459" s="633"/>
      <c r="D459" s="634"/>
      <c r="F459" s="471"/>
      <c r="G459" s="471"/>
      <c r="H459" s="471"/>
    </row>
    <row r="460" spans="1:8" ht="15.75" customHeight="1" x14ac:dyDescent="0.25">
      <c r="A460" s="471"/>
      <c r="B460" s="471"/>
      <c r="C460" s="633"/>
      <c r="D460" s="634"/>
      <c r="F460" s="471"/>
      <c r="G460" s="471"/>
      <c r="H460" s="471"/>
    </row>
    <row r="461" spans="1:8" ht="15.75" customHeight="1" x14ac:dyDescent="0.25">
      <c r="A461" s="471"/>
      <c r="B461" s="471"/>
      <c r="C461" s="633"/>
      <c r="D461" s="634"/>
      <c r="F461" s="471"/>
      <c r="G461" s="471"/>
      <c r="H461" s="471"/>
    </row>
    <row r="462" spans="1:8" ht="15.75" customHeight="1" x14ac:dyDescent="0.25">
      <c r="A462" s="471"/>
      <c r="B462" s="471"/>
      <c r="C462" s="633"/>
      <c r="D462" s="634"/>
      <c r="F462" s="471"/>
      <c r="G462" s="471"/>
      <c r="H462" s="471"/>
    </row>
    <row r="463" spans="1:8" ht="15.75" customHeight="1" x14ac:dyDescent="0.25">
      <c r="A463" s="471"/>
      <c r="B463" s="471"/>
      <c r="C463" s="633"/>
      <c r="D463" s="634"/>
      <c r="F463" s="471"/>
      <c r="G463" s="471"/>
      <c r="H463" s="471"/>
    </row>
    <row r="464" spans="1:8" ht="15.75" customHeight="1" x14ac:dyDescent="0.25">
      <c r="A464" s="471"/>
      <c r="B464" s="471"/>
      <c r="C464" s="633"/>
      <c r="D464" s="634"/>
      <c r="F464" s="471"/>
      <c r="G464" s="471"/>
      <c r="H464" s="471"/>
    </row>
    <row r="465" spans="1:8" ht="15.75" customHeight="1" x14ac:dyDescent="0.25">
      <c r="A465" s="471"/>
      <c r="B465" s="471"/>
      <c r="C465" s="633"/>
      <c r="D465" s="634"/>
      <c r="F465" s="471"/>
      <c r="G465" s="471"/>
      <c r="H465" s="471"/>
    </row>
    <row r="466" spans="1:8" ht="15.75" customHeight="1" x14ac:dyDescent="0.25">
      <c r="A466" s="471"/>
      <c r="B466" s="471"/>
      <c r="C466" s="633"/>
      <c r="D466" s="634"/>
      <c r="F466" s="471"/>
      <c r="G466" s="471"/>
      <c r="H466" s="471"/>
    </row>
    <row r="467" spans="1:8" ht="15.75" customHeight="1" x14ac:dyDescent="0.25">
      <c r="A467" s="471"/>
      <c r="B467" s="471"/>
      <c r="C467" s="633"/>
      <c r="D467" s="634"/>
      <c r="F467" s="471"/>
      <c r="G467" s="471"/>
      <c r="H467" s="471"/>
    </row>
    <row r="468" spans="1:8" ht="15.75" customHeight="1" x14ac:dyDescent="0.25">
      <c r="A468" s="471"/>
      <c r="B468" s="471"/>
      <c r="C468" s="633"/>
      <c r="D468" s="634"/>
      <c r="F468" s="471"/>
      <c r="G468" s="471"/>
      <c r="H468" s="471"/>
    </row>
    <row r="469" spans="1:8" ht="15.75" customHeight="1" x14ac:dyDescent="0.25">
      <c r="A469" s="471"/>
      <c r="B469" s="471"/>
      <c r="C469" s="633"/>
      <c r="D469" s="634"/>
      <c r="F469" s="471"/>
      <c r="G469" s="471"/>
      <c r="H469" s="471"/>
    </row>
    <row r="470" spans="1:8" ht="15.75" customHeight="1" x14ac:dyDescent="0.25">
      <c r="A470" s="471"/>
      <c r="B470" s="471"/>
      <c r="C470" s="633"/>
      <c r="D470" s="634"/>
      <c r="F470" s="471"/>
      <c r="G470" s="471"/>
      <c r="H470" s="471"/>
    </row>
    <row r="471" spans="1:8" ht="15.75" customHeight="1" x14ac:dyDescent="0.25">
      <c r="A471" s="471"/>
      <c r="B471" s="471"/>
      <c r="C471" s="633"/>
      <c r="D471" s="634"/>
      <c r="F471" s="471"/>
      <c r="G471" s="471"/>
      <c r="H471" s="471"/>
    </row>
    <row r="472" spans="1:8" ht="15.75" customHeight="1" x14ac:dyDescent="0.25">
      <c r="A472" s="471"/>
      <c r="B472" s="471"/>
      <c r="C472" s="633"/>
      <c r="D472" s="634"/>
      <c r="F472" s="471"/>
      <c r="G472" s="471"/>
      <c r="H472" s="471"/>
    </row>
    <row r="473" spans="1:8" ht="15.75" customHeight="1" x14ac:dyDescent="0.25">
      <c r="A473" s="471"/>
      <c r="B473" s="471"/>
      <c r="C473" s="633"/>
      <c r="D473" s="634"/>
      <c r="F473" s="471"/>
      <c r="G473" s="471"/>
      <c r="H473" s="471"/>
    </row>
    <row r="474" spans="1:8" ht="15.75" customHeight="1" x14ac:dyDescent="0.25">
      <c r="A474" s="471"/>
      <c r="B474" s="471"/>
      <c r="C474" s="633"/>
      <c r="D474" s="634"/>
      <c r="F474" s="471"/>
      <c r="G474" s="471"/>
      <c r="H474" s="471"/>
    </row>
    <row r="475" spans="1:8" ht="15.75" customHeight="1" x14ac:dyDescent="0.25">
      <c r="A475" s="471"/>
      <c r="B475" s="471"/>
      <c r="C475" s="633"/>
      <c r="D475" s="634"/>
      <c r="F475" s="471"/>
      <c r="G475" s="471"/>
      <c r="H475" s="471"/>
    </row>
    <row r="476" spans="1:8" ht="15.75" customHeight="1" x14ac:dyDescent="0.25">
      <c r="A476" s="471"/>
      <c r="B476" s="471"/>
      <c r="C476" s="633"/>
      <c r="D476" s="634"/>
      <c r="F476" s="471"/>
      <c r="G476" s="471"/>
      <c r="H476" s="471"/>
    </row>
    <row r="477" spans="1:8" ht="15.75" customHeight="1" x14ac:dyDescent="0.25">
      <c r="A477" s="471"/>
      <c r="B477" s="471"/>
      <c r="C477" s="633"/>
      <c r="D477" s="634"/>
      <c r="F477" s="471"/>
      <c r="G477" s="471"/>
      <c r="H477" s="471"/>
    </row>
    <row r="478" spans="1:8" ht="15.75" customHeight="1" x14ac:dyDescent="0.25">
      <c r="A478" s="471"/>
      <c r="B478" s="471"/>
      <c r="C478" s="633"/>
      <c r="D478" s="634"/>
      <c r="F478" s="471"/>
      <c r="G478" s="471"/>
      <c r="H478" s="471"/>
    </row>
    <row r="479" spans="1:8" ht="15.75" customHeight="1" x14ac:dyDescent="0.25">
      <c r="A479" s="471"/>
      <c r="B479" s="471"/>
      <c r="C479" s="633"/>
      <c r="D479" s="634"/>
      <c r="F479" s="471"/>
      <c r="G479" s="471"/>
      <c r="H479" s="471"/>
    </row>
    <row r="480" spans="1:8" ht="15.75" customHeight="1" x14ac:dyDescent="0.25">
      <c r="A480" s="471"/>
      <c r="B480" s="471"/>
      <c r="C480" s="633"/>
      <c r="D480" s="634"/>
      <c r="F480" s="471"/>
      <c r="G480" s="471"/>
      <c r="H480" s="471"/>
    </row>
    <row r="481" spans="1:8" ht="15.75" customHeight="1" x14ac:dyDescent="0.25">
      <c r="A481" s="471"/>
      <c r="B481" s="471"/>
      <c r="C481" s="633"/>
      <c r="D481" s="634"/>
      <c r="F481" s="471"/>
      <c r="G481" s="471"/>
      <c r="H481" s="471"/>
    </row>
    <row r="482" spans="1:8" ht="15.75" customHeight="1" x14ac:dyDescent="0.25">
      <c r="A482" s="471"/>
      <c r="B482" s="471"/>
      <c r="C482" s="633"/>
      <c r="D482" s="634"/>
      <c r="F482" s="471"/>
      <c r="G482" s="471"/>
      <c r="H482" s="471"/>
    </row>
    <row r="483" spans="1:8" ht="15.75" customHeight="1" x14ac:dyDescent="0.25">
      <c r="A483" s="471"/>
      <c r="B483" s="471"/>
      <c r="C483" s="633"/>
      <c r="D483" s="634"/>
      <c r="F483" s="471"/>
      <c r="G483" s="471"/>
      <c r="H483" s="471"/>
    </row>
    <row r="484" spans="1:8" ht="15.75" customHeight="1" x14ac:dyDescent="0.25">
      <c r="A484" s="471"/>
      <c r="B484" s="471"/>
      <c r="C484" s="633"/>
      <c r="D484" s="634"/>
      <c r="F484" s="471"/>
      <c r="G484" s="471"/>
      <c r="H484" s="471"/>
    </row>
    <row r="485" spans="1:8" ht="15.75" customHeight="1" x14ac:dyDescent="0.25">
      <c r="A485" s="471"/>
      <c r="B485" s="471"/>
      <c r="C485" s="633"/>
      <c r="D485" s="634"/>
      <c r="F485" s="471"/>
      <c r="G485" s="471"/>
      <c r="H485" s="471"/>
    </row>
    <row r="486" spans="1:8" ht="15.75" customHeight="1" x14ac:dyDescent="0.25">
      <c r="A486" s="471"/>
      <c r="B486" s="471"/>
      <c r="C486" s="633"/>
      <c r="D486" s="634"/>
      <c r="F486" s="471"/>
      <c r="G486" s="471"/>
      <c r="H486" s="471"/>
    </row>
    <row r="487" spans="1:8" ht="15.75" customHeight="1" x14ac:dyDescent="0.25">
      <c r="A487" s="471"/>
      <c r="B487" s="471"/>
      <c r="C487" s="633"/>
      <c r="D487" s="634"/>
      <c r="F487" s="471"/>
      <c r="G487" s="471"/>
      <c r="H487" s="471"/>
    </row>
    <row r="488" spans="1:8" ht="15.75" customHeight="1" x14ac:dyDescent="0.25">
      <c r="A488" s="471"/>
      <c r="B488" s="471"/>
      <c r="C488" s="633"/>
      <c r="D488" s="634"/>
      <c r="F488" s="471"/>
      <c r="G488" s="471"/>
      <c r="H488" s="471"/>
    </row>
    <row r="489" spans="1:8" ht="15.75" customHeight="1" x14ac:dyDescent="0.25">
      <c r="A489" s="471"/>
      <c r="B489" s="471"/>
      <c r="C489" s="633"/>
      <c r="D489" s="634"/>
      <c r="F489" s="471"/>
      <c r="G489" s="471"/>
      <c r="H489" s="471"/>
    </row>
    <row r="490" spans="1:8" ht="15.75" customHeight="1" x14ac:dyDescent="0.25">
      <c r="A490" s="471"/>
      <c r="B490" s="471"/>
      <c r="C490" s="633"/>
      <c r="D490" s="634"/>
      <c r="F490" s="471"/>
      <c r="G490" s="471"/>
      <c r="H490" s="471"/>
    </row>
    <row r="491" spans="1:8" ht="15.75" customHeight="1" x14ac:dyDescent="0.25">
      <c r="A491" s="471"/>
      <c r="B491" s="471"/>
      <c r="C491" s="633"/>
      <c r="D491" s="634"/>
      <c r="F491" s="471"/>
      <c r="G491" s="471"/>
      <c r="H491" s="471"/>
    </row>
    <row r="492" spans="1:8" ht="15.75" customHeight="1" x14ac:dyDescent="0.25">
      <c r="A492" s="471"/>
      <c r="B492" s="471"/>
      <c r="C492" s="633"/>
      <c r="D492" s="634"/>
      <c r="F492" s="471"/>
      <c r="G492" s="471"/>
      <c r="H492" s="471"/>
    </row>
    <row r="493" spans="1:8" ht="15.75" customHeight="1" x14ac:dyDescent="0.25">
      <c r="A493" s="471"/>
      <c r="B493" s="471"/>
      <c r="C493" s="633"/>
      <c r="D493" s="634"/>
      <c r="F493" s="471"/>
      <c r="G493" s="471"/>
      <c r="H493" s="471"/>
    </row>
    <row r="494" spans="1:8" ht="15.75" customHeight="1" x14ac:dyDescent="0.25">
      <c r="A494" s="471"/>
      <c r="B494" s="471"/>
      <c r="C494" s="633"/>
      <c r="D494" s="634"/>
      <c r="F494" s="471"/>
      <c r="G494" s="471"/>
      <c r="H494" s="471"/>
    </row>
    <row r="495" spans="1:8" ht="15.75" customHeight="1" x14ac:dyDescent="0.25">
      <c r="A495" s="471"/>
      <c r="B495" s="471"/>
      <c r="C495" s="633"/>
      <c r="D495" s="634"/>
      <c r="F495" s="471"/>
      <c r="G495" s="471"/>
      <c r="H495" s="471"/>
    </row>
    <row r="496" spans="1:8" ht="15.75" customHeight="1" x14ac:dyDescent="0.25">
      <c r="A496" s="471"/>
      <c r="B496" s="471"/>
      <c r="C496" s="633"/>
      <c r="D496" s="634"/>
      <c r="F496" s="471"/>
      <c r="G496" s="471"/>
      <c r="H496" s="471"/>
    </row>
    <row r="497" spans="1:8" ht="15.75" customHeight="1" x14ac:dyDescent="0.25">
      <c r="A497" s="471"/>
      <c r="B497" s="471"/>
      <c r="C497" s="633"/>
      <c r="D497" s="634"/>
      <c r="F497" s="471"/>
      <c r="G497" s="471"/>
      <c r="H497" s="471"/>
    </row>
    <row r="498" spans="1:8" ht="15.75" customHeight="1" x14ac:dyDescent="0.25">
      <c r="A498" s="471"/>
      <c r="B498" s="471"/>
      <c r="C498" s="633"/>
      <c r="D498" s="634"/>
      <c r="F498" s="471"/>
      <c r="G498" s="471"/>
      <c r="H498" s="471"/>
    </row>
    <row r="499" spans="1:8" ht="15.75" customHeight="1" x14ac:dyDescent="0.25">
      <c r="A499" s="471"/>
      <c r="B499" s="471"/>
      <c r="C499" s="633"/>
      <c r="D499" s="634"/>
      <c r="F499" s="471"/>
      <c r="G499" s="471"/>
      <c r="H499" s="471"/>
    </row>
    <row r="500" spans="1:8" ht="15.75" customHeight="1" x14ac:dyDescent="0.25">
      <c r="A500" s="471"/>
      <c r="B500" s="471"/>
      <c r="C500" s="633"/>
      <c r="D500" s="634"/>
      <c r="F500" s="471"/>
      <c r="G500" s="471"/>
      <c r="H500" s="471"/>
    </row>
    <row r="501" spans="1:8" ht="15.75" customHeight="1" x14ac:dyDescent="0.25">
      <c r="A501" s="471"/>
      <c r="B501" s="471"/>
      <c r="C501" s="633"/>
      <c r="D501" s="634"/>
      <c r="F501" s="471"/>
      <c r="G501" s="471"/>
      <c r="H501" s="471"/>
    </row>
    <row r="502" spans="1:8" ht="15.75" customHeight="1" x14ac:dyDescent="0.25">
      <c r="A502" s="471"/>
      <c r="B502" s="471"/>
      <c r="C502" s="633"/>
      <c r="D502" s="634"/>
      <c r="F502" s="471"/>
      <c r="G502" s="471"/>
      <c r="H502" s="471"/>
    </row>
    <row r="503" spans="1:8" ht="15.75" customHeight="1" x14ac:dyDescent="0.25">
      <c r="A503" s="471"/>
      <c r="B503" s="471"/>
      <c r="C503" s="633"/>
      <c r="D503" s="634"/>
      <c r="F503" s="471"/>
      <c r="G503" s="471"/>
      <c r="H503" s="471"/>
    </row>
    <row r="504" spans="1:8" ht="15.75" customHeight="1" x14ac:dyDescent="0.25">
      <c r="A504" s="471"/>
      <c r="B504" s="471"/>
      <c r="C504" s="633"/>
      <c r="D504" s="634"/>
      <c r="F504" s="471"/>
      <c r="G504" s="471"/>
      <c r="H504" s="471"/>
    </row>
    <row r="505" spans="1:8" ht="15.75" customHeight="1" x14ac:dyDescent="0.25">
      <c r="A505" s="471"/>
      <c r="B505" s="471"/>
      <c r="C505" s="633"/>
      <c r="D505" s="634"/>
      <c r="F505" s="471"/>
      <c r="G505" s="471"/>
      <c r="H505" s="471"/>
    </row>
    <row r="506" spans="1:8" ht="15.75" customHeight="1" x14ac:dyDescent="0.25">
      <c r="A506" s="471"/>
      <c r="B506" s="471"/>
      <c r="C506" s="633"/>
      <c r="D506" s="634"/>
      <c r="F506" s="471"/>
      <c r="G506" s="471"/>
      <c r="H506" s="471"/>
    </row>
    <row r="507" spans="1:8" ht="15.75" customHeight="1" x14ac:dyDescent="0.25">
      <c r="A507" s="471"/>
      <c r="B507" s="471"/>
      <c r="C507" s="633"/>
      <c r="D507" s="634"/>
      <c r="F507" s="471"/>
      <c r="G507" s="471"/>
      <c r="H507" s="471"/>
    </row>
    <row r="508" spans="1:8" ht="15.75" customHeight="1" x14ac:dyDescent="0.25">
      <c r="A508" s="471"/>
      <c r="B508" s="471"/>
      <c r="C508" s="633"/>
      <c r="D508" s="634"/>
      <c r="F508" s="471"/>
      <c r="G508" s="471"/>
      <c r="H508" s="471"/>
    </row>
    <row r="509" spans="1:8" ht="15.75" customHeight="1" x14ac:dyDescent="0.25">
      <c r="A509" s="471"/>
      <c r="B509" s="471"/>
      <c r="C509" s="633"/>
      <c r="D509" s="634"/>
      <c r="F509" s="471"/>
      <c r="G509" s="471"/>
      <c r="H509" s="471"/>
    </row>
    <row r="510" spans="1:8" ht="15.75" customHeight="1" x14ac:dyDescent="0.25">
      <c r="A510" s="471"/>
      <c r="B510" s="471"/>
      <c r="C510" s="633"/>
      <c r="D510" s="634"/>
      <c r="F510" s="471"/>
      <c r="G510" s="471"/>
      <c r="H510" s="471"/>
    </row>
    <row r="511" spans="1:8" ht="15.75" customHeight="1" x14ac:dyDescent="0.25">
      <c r="A511" s="471"/>
      <c r="B511" s="471"/>
      <c r="C511" s="633"/>
      <c r="D511" s="634"/>
      <c r="F511" s="471"/>
      <c r="G511" s="471"/>
      <c r="H511" s="471"/>
    </row>
    <row r="512" spans="1:8" ht="15.75" customHeight="1" x14ac:dyDescent="0.25">
      <c r="A512" s="471"/>
      <c r="B512" s="471"/>
      <c r="C512" s="633"/>
      <c r="D512" s="634"/>
      <c r="F512" s="471"/>
      <c r="G512" s="471"/>
      <c r="H512" s="471"/>
    </row>
    <row r="513" spans="1:8" ht="15.75" customHeight="1" x14ac:dyDescent="0.25">
      <c r="A513" s="471"/>
      <c r="B513" s="471"/>
      <c r="C513" s="633"/>
      <c r="D513" s="634"/>
      <c r="F513" s="471"/>
      <c r="G513" s="471"/>
      <c r="H513" s="471"/>
    </row>
    <row r="514" spans="1:8" ht="15.75" customHeight="1" x14ac:dyDescent="0.25">
      <c r="A514" s="471"/>
      <c r="B514" s="471"/>
      <c r="C514" s="633"/>
      <c r="D514" s="634"/>
      <c r="F514" s="471"/>
      <c r="G514" s="471"/>
      <c r="H514" s="471"/>
    </row>
    <row r="515" spans="1:8" ht="15.75" customHeight="1" x14ac:dyDescent="0.25">
      <c r="A515" s="471"/>
      <c r="B515" s="471"/>
      <c r="C515" s="633"/>
      <c r="D515" s="634"/>
      <c r="F515" s="471"/>
      <c r="G515" s="471"/>
      <c r="H515" s="471"/>
    </row>
    <row r="516" spans="1:8" ht="15.75" customHeight="1" x14ac:dyDescent="0.25">
      <c r="A516" s="471"/>
      <c r="B516" s="471"/>
      <c r="C516" s="633"/>
      <c r="D516" s="634"/>
      <c r="F516" s="471"/>
      <c r="G516" s="471"/>
      <c r="H516" s="471"/>
    </row>
    <row r="517" spans="1:8" ht="15.75" customHeight="1" x14ac:dyDescent="0.25">
      <c r="A517" s="471"/>
      <c r="B517" s="471"/>
      <c r="C517" s="633"/>
      <c r="D517" s="634"/>
      <c r="F517" s="471"/>
      <c r="G517" s="471"/>
      <c r="H517" s="471"/>
    </row>
    <row r="518" spans="1:8" ht="15.75" customHeight="1" x14ac:dyDescent="0.25">
      <c r="A518" s="471"/>
      <c r="B518" s="471"/>
      <c r="C518" s="633"/>
      <c r="D518" s="634"/>
      <c r="F518" s="471"/>
      <c r="G518" s="471"/>
      <c r="H518" s="471"/>
    </row>
    <row r="519" spans="1:8" ht="15.75" customHeight="1" x14ac:dyDescent="0.25">
      <c r="A519" s="471"/>
      <c r="B519" s="471"/>
      <c r="C519" s="633"/>
      <c r="D519" s="634"/>
      <c r="F519" s="471"/>
      <c r="G519" s="471"/>
      <c r="H519" s="471"/>
    </row>
    <row r="520" spans="1:8" ht="15.75" customHeight="1" x14ac:dyDescent="0.25">
      <c r="A520" s="471"/>
      <c r="B520" s="471"/>
      <c r="C520" s="633"/>
      <c r="D520" s="634"/>
      <c r="F520" s="471"/>
      <c r="G520" s="471"/>
      <c r="H520" s="471"/>
    </row>
    <row r="521" spans="1:8" ht="15.75" customHeight="1" x14ac:dyDescent="0.25">
      <c r="A521" s="471"/>
      <c r="B521" s="471"/>
      <c r="C521" s="633"/>
      <c r="D521" s="634"/>
      <c r="F521" s="471"/>
      <c r="G521" s="471"/>
      <c r="H521" s="471"/>
    </row>
    <row r="522" spans="1:8" ht="15.75" customHeight="1" x14ac:dyDescent="0.25">
      <c r="A522" s="471"/>
      <c r="B522" s="471"/>
      <c r="C522" s="633"/>
      <c r="D522" s="634"/>
      <c r="F522" s="471"/>
      <c r="G522" s="471"/>
      <c r="H522" s="471"/>
    </row>
    <row r="523" spans="1:8" ht="15.75" customHeight="1" x14ac:dyDescent="0.25">
      <c r="A523" s="471"/>
      <c r="B523" s="471"/>
      <c r="C523" s="633"/>
      <c r="D523" s="634"/>
      <c r="F523" s="471"/>
      <c r="G523" s="471"/>
      <c r="H523" s="471"/>
    </row>
    <row r="524" spans="1:8" ht="15.75" customHeight="1" x14ac:dyDescent="0.25">
      <c r="A524" s="471"/>
      <c r="B524" s="471"/>
      <c r="C524" s="633"/>
      <c r="D524" s="634"/>
      <c r="F524" s="471"/>
      <c r="G524" s="471"/>
      <c r="H524" s="471"/>
    </row>
    <row r="525" spans="1:8" ht="15.75" customHeight="1" x14ac:dyDescent="0.25">
      <c r="A525" s="471"/>
      <c r="B525" s="471"/>
      <c r="C525" s="633"/>
      <c r="D525" s="634"/>
      <c r="F525" s="471"/>
      <c r="G525" s="471"/>
      <c r="H525" s="471"/>
    </row>
    <row r="526" spans="1:8" ht="15.75" customHeight="1" x14ac:dyDescent="0.25">
      <c r="A526" s="471"/>
      <c r="B526" s="471"/>
      <c r="C526" s="633"/>
      <c r="D526" s="634"/>
      <c r="F526" s="471"/>
      <c r="G526" s="471"/>
      <c r="H526" s="471"/>
    </row>
    <row r="527" spans="1:8" ht="15.75" customHeight="1" x14ac:dyDescent="0.25">
      <c r="A527" s="471"/>
      <c r="B527" s="471"/>
      <c r="C527" s="633"/>
      <c r="D527" s="634"/>
      <c r="F527" s="471"/>
      <c r="G527" s="471"/>
      <c r="H527" s="471"/>
    </row>
    <row r="528" spans="1:8" ht="15.75" customHeight="1" x14ac:dyDescent="0.25">
      <c r="A528" s="471"/>
      <c r="B528" s="471"/>
      <c r="C528" s="633"/>
      <c r="D528" s="634"/>
      <c r="F528" s="471"/>
      <c r="G528" s="471"/>
      <c r="H528" s="471"/>
    </row>
    <row r="529" spans="1:8" ht="15.75" customHeight="1" x14ac:dyDescent="0.25">
      <c r="A529" s="471"/>
      <c r="B529" s="471"/>
      <c r="C529" s="633"/>
      <c r="D529" s="634"/>
      <c r="F529" s="471"/>
      <c r="G529" s="471"/>
      <c r="H529" s="471"/>
    </row>
    <row r="530" spans="1:8" ht="15.75" customHeight="1" x14ac:dyDescent="0.25">
      <c r="A530" s="471"/>
      <c r="B530" s="471"/>
      <c r="C530" s="633"/>
      <c r="D530" s="634"/>
      <c r="F530" s="471"/>
      <c r="G530" s="471"/>
      <c r="H530" s="471"/>
    </row>
    <row r="531" spans="1:8" ht="15.75" customHeight="1" x14ac:dyDescent="0.25">
      <c r="A531" s="471"/>
      <c r="B531" s="471"/>
      <c r="C531" s="633"/>
      <c r="D531" s="634"/>
      <c r="F531" s="471"/>
      <c r="G531" s="471"/>
      <c r="H531" s="471"/>
    </row>
    <row r="532" spans="1:8" ht="15.75" customHeight="1" x14ac:dyDescent="0.25">
      <c r="A532" s="471"/>
      <c r="B532" s="471"/>
      <c r="C532" s="633"/>
      <c r="D532" s="634"/>
      <c r="F532" s="471"/>
      <c r="G532" s="471"/>
      <c r="H532" s="471"/>
    </row>
    <row r="533" spans="1:8" ht="15.75" customHeight="1" x14ac:dyDescent="0.25">
      <c r="A533" s="471"/>
      <c r="B533" s="471"/>
      <c r="C533" s="633"/>
      <c r="D533" s="634"/>
      <c r="F533" s="471"/>
      <c r="G533" s="471"/>
      <c r="H533" s="471"/>
    </row>
    <row r="534" spans="1:8" ht="15.75" customHeight="1" x14ac:dyDescent="0.25">
      <c r="A534" s="471"/>
      <c r="B534" s="471"/>
      <c r="C534" s="633"/>
      <c r="D534" s="634"/>
      <c r="F534" s="471"/>
      <c r="G534" s="471"/>
    </row>
    <row r="535" spans="1:8" ht="15.75" customHeight="1" x14ac:dyDescent="0.25">
      <c r="A535" s="471"/>
      <c r="B535" s="471"/>
      <c r="C535" s="633"/>
      <c r="D535" s="634"/>
      <c r="F535" s="471"/>
      <c r="G535" s="471"/>
    </row>
    <row r="536" spans="1:8" ht="15.75" customHeight="1" x14ac:dyDescent="0.25">
      <c r="A536" s="471"/>
      <c r="B536" s="471"/>
      <c r="C536" s="633"/>
      <c r="D536" s="634"/>
      <c r="F536" s="471"/>
      <c r="G536" s="471"/>
    </row>
    <row r="537" spans="1:8" ht="15.75" customHeight="1" x14ac:dyDescent="0.25">
      <c r="A537" s="471"/>
      <c r="B537" s="471"/>
      <c r="C537" s="633"/>
      <c r="D537" s="634"/>
      <c r="F537" s="471"/>
      <c r="G537" s="471"/>
    </row>
    <row r="538" spans="1:8" ht="15.75" customHeight="1" x14ac:dyDescent="0.25">
      <c r="A538" s="471"/>
      <c r="B538" s="471"/>
      <c r="C538" s="633"/>
      <c r="D538" s="634"/>
      <c r="F538" s="471"/>
      <c r="G538" s="471"/>
    </row>
    <row r="539" spans="1:8" ht="15.75" customHeight="1" x14ac:dyDescent="0.25">
      <c r="A539" s="471"/>
      <c r="B539" s="471"/>
      <c r="C539" s="633"/>
      <c r="D539" s="634"/>
      <c r="F539" s="471"/>
      <c r="G539" s="471"/>
    </row>
  </sheetData>
  <mergeCells count="19">
    <mergeCell ref="B383:D383"/>
    <mergeCell ref="A310:F310"/>
    <mergeCell ref="A317:G317"/>
    <mergeCell ref="B338:D338"/>
    <mergeCell ref="B348:D348"/>
    <mergeCell ref="B355:D355"/>
    <mergeCell ref="B376:D376"/>
    <mergeCell ref="A285:F285"/>
    <mergeCell ref="A1:H1"/>
    <mergeCell ref="B87:D87"/>
    <mergeCell ref="B105:D105"/>
    <mergeCell ref="B109:D109"/>
    <mergeCell ref="B111:D111"/>
    <mergeCell ref="E135:E136"/>
    <mergeCell ref="B171:D171"/>
    <mergeCell ref="B254:D254"/>
    <mergeCell ref="A255:F255"/>
    <mergeCell ref="A269:F269"/>
    <mergeCell ref="A275:F275"/>
  </mergeCells>
  <pageMargins left="0.26" right="0.19685039370078741" top="0.47244094488188981" bottom="0.23622047244094491" header="0.31496062992125984" footer="0.15748031496062992"/>
  <pageSetup paperSize="9" scale="84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G675"/>
  <sheetViews>
    <sheetView zoomScaleSheetLayoutView="120" workbookViewId="0">
      <selection activeCell="D18" sqref="D18"/>
    </sheetView>
  </sheetViews>
  <sheetFormatPr defaultColWidth="11" defaultRowHeight="24.6" x14ac:dyDescent="0.25"/>
  <cols>
    <col min="1" max="1" width="7.09765625" style="111" customWidth="1"/>
    <col min="2" max="2" width="119.59765625" style="112" customWidth="1"/>
    <col min="3" max="3" width="8.3984375" style="112" customWidth="1"/>
    <col min="4" max="4" width="17.296875" style="113" customWidth="1"/>
    <col min="5" max="5" width="17" style="113" customWidth="1"/>
    <col min="6" max="6" width="16.69921875" style="112" hidden="1" customWidth="1"/>
    <col min="7" max="7" width="8.3984375" style="112" hidden="1" customWidth="1"/>
    <col min="8" max="8" width="10.296875" style="112" hidden="1" customWidth="1"/>
    <col min="9" max="9" width="10.3984375" style="112" hidden="1" customWidth="1"/>
    <col min="10" max="10" width="9.59765625" style="112" hidden="1" customWidth="1"/>
    <col min="11" max="11" width="14.296875" style="112" hidden="1" customWidth="1"/>
    <col min="12" max="12" width="13.69921875" style="112" hidden="1" customWidth="1"/>
    <col min="13" max="13" width="9.09765625" style="112" hidden="1" customWidth="1"/>
    <col min="14" max="14" width="11.3984375" style="112" hidden="1" customWidth="1"/>
    <col min="15" max="15" width="13.3984375" style="112" hidden="1" customWidth="1"/>
    <col min="16" max="16" width="20" style="112" hidden="1" customWidth="1"/>
    <col min="17" max="17" width="10.59765625" style="112" hidden="1" customWidth="1"/>
    <col min="18" max="18" width="11.69921875" style="112" hidden="1" customWidth="1"/>
    <col min="19" max="19" width="10.59765625" style="112" hidden="1" customWidth="1"/>
    <col min="20" max="20" width="10.296875" style="112" hidden="1" customWidth="1"/>
    <col min="21" max="21" width="12.69921875" style="112" hidden="1" customWidth="1"/>
    <col min="22" max="22" width="11.3984375" style="112" hidden="1" customWidth="1"/>
    <col min="23" max="23" width="11.59765625" style="112" hidden="1" customWidth="1"/>
    <col min="24" max="24" width="10.296875" style="112" hidden="1" customWidth="1"/>
    <col min="25" max="25" width="11.09765625" style="112" hidden="1" customWidth="1"/>
    <col min="26" max="26" width="11.8984375" style="112" hidden="1" customWidth="1"/>
    <col min="27" max="27" width="2.3984375" style="112" hidden="1" customWidth="1"/>
    <col min="28" max="28" width="32.59765625" style="116" customWidth="1"/>
    <col min="29" max="29" width="60.3984375" style="112" customWidth="1"/>
    <col min="30" max="16384" width="11" style="112"/>
  </cols>
  <sheetData>
    <row r="1" spans="1:32" ht="21.9" customHeight="1" x14ac:dyDescent="0.25">
      <c r="A1" s="1567" t="s">
        <v>1056</v>
      </c>
      <c r="B1" s="1567"/>
      <c r="C1" s="1567"/>
      <c r="D1" s="1567"/>
      <c r="E1" s="1567"/>
      <c r="F1" s="1567"/>
      <c r="G1" s="1567"/>
      <c r="H1" s="1567"/>
      <c r="I1" s="1567"/>
      <c r="J1" s="1567"/>
      <c r="K1" s="1567"/>
      <c r="L1" s="1567"/>
      <c r="M1" s="1567"/>
      <c r="N1" s="1567"/>
      <c r="O1" s="1567"/>
      <c r="P1" s="1567"/>
      <c r="Q1" s="1567"/>
      <c r="R1" s="1567"/>
      <c r="S1" s="1567"/>
      <c r="T1" s="1567"/>
      <c r="U1" s="1567"/>
      <c r="V1" s="1567"/>
      <c r="W1" s="1567"/>
      <c r="X1" s="1567"/>
      <c r="Y1" s="1567"/>
      <c r="Z1" s="1567"/>
      <c r="AA1" s="1567"/>
      <c r="AB1" s="1567"/>
      <c r="AC1" s="108"/>
      <c r="AD1" s="108"/>
      <c r="AE1" s="108"/>
      <c r="AF1" s="108"/>
    </row>
    <row r="2" spans="1:32" ht="9.75" customHeight="1" x14ac:dyDescent="0.25">
      <c r="B2" s="107"/>
      <c r="C2" s="111"/>
      <c r="D2" s="114"/>
      <c r="E2" s="114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7"/>
      <c r="AC2" s="108"/>
      <c r="AD2" s="108"/>
      <c r="AE2" s="108"/>
      <c r="AF2" s="108"/>
    </row>
    <row r="3" spans="1:32" ht="48.75" customHeight="1" x14ac:dyDescent="0.25">
      <c r="A3" s="428" t="s">
        <v>1</v>
      </c>
      <c r="B3" s="428" t="s">
        <v>2</v>
      </c>
      <c r="C3" s="428" t="s">
        <v>291</v>
      </c>
      <c r="D3" s="428" t="s">
        <v>292</v>
      </c>
      <c r="E3" s="428" t="s">
        <v>293</v>
      </c>
      <c r="F3" s="428" t="s">
        <v>295</v>
      </c>
      <c r="G3" s="428" t="s">
        <v>296</v>
      </c>
      <c r="H3" s="428" t="s">
        <v>297</v>
      </c>
      <c r="I3" s="428" t="s">
        <v>298</v>
      </c>
      <c r="J3" s="428" t="s">
        <v>299</v>
      </c>
      <c r="K3" s="428" t="s">
        <v>300</v>
      </c>
      <c r="L3" s="428" t="s">
        <v>301</v>
      </c>
      <c r="M3" s="428" t="s">
        <v>302</v>
      </c>
      <c r="N3" s="428" t="s">
        <v>303</v>
      </c>
      <c r="O3" s="428" t="s">
        <v>304</v>
      </c>
      <c r="P3" s="428" t="s">
        <v>305</v>
      </c>
      <c r="Q3" s="428" t="s">
        <v>306</v>
      </c>
      <c r="R3" s="428" t="s">
        <v>307</v>
      </c>
      <c r="S3" s="428" t="s">
        <v>308</v>
      </c>
      <c r="T3" s="428" t="s">
        <v>309</v>
      </c>
      <c r="U3" s="428" t="s">
        <v>310</v>
      </c>
      <c r="V3" s="428" t="s">
        <v>311</v>
      </c>
      <c r="W3" s="428" t="s">
        <v>312</v>
      </c>
      <c r="X3" s="428" t="s">
        <v>313</v>
      </c>
      <c r="Y3" s="428" t="s">
        <v>314</v>
      </c>
      <c r="Z3" s="428" t="s">
        <v>315</v>
      </c>
      <c r="AA3" s="428" t="s">
        <v>316</v>
      </c>
      <c r="AB3" s="428" t="s">
        <v>127</v>
      </c>
      <c r="AC3" s="108"/>
      <c r="AD3" s="108"/>
      <c r="AE3" s="108"/>
      <c r="AF3" s="108"/>
    </row>
    <row r="4" spans="1:32" ht="24" customHeight="1" x14ac:dyDescent="0.25">
      <c r="A4" s="141">
        <v>1</v>
      </c>
      <c r="B4" s="147" t="s">
        <v>394</v>
      </c>
      <c r="C4" s="148">
        <v>1</v>
      </c>
      <c r="D4" s="150">
        <v>356900</v>
      </c>
      <c r="E4" s="175">
        <f t="shared" ref="E4:E5" si="0">D4</f>
        <v>356900</v>
      </c>
      <c r="F4" s="153"/>
      <c r="G4" s="153"/>
      <c r="H4" s="153"/>
      <c r="I4" s="153"/>
      <c r="J4" s="153"/>
      <c r="K4" s="153"/>
      <c r="L4" s="153"/>
      <c r="M4" s="153"/>
      <c r="N4" s="176"/>
      <c r="O4" s="176" t="s">
        <v>395</v>
      </c>
      <c r="P4" s="176" t="s">
        <v>359</v>
      </c>
      <c r="Q4" s="176" t="s">
        <v>359</v>
      </c>
      <c r="R4" s="176"/>
      <c r="S4" s="176"/>
      <c r="T4" s="176"/>
      <c r="U4" s="176" t="s">
        <v>326</v>
      </c>
      <c r="V4" s="176" t="s">
        <v>354</v>
      </c>
      <c r="W4" s="176"/>
      <c r="X4" s="176"/>
      <c r="Y4" s="176"/>
      <c r="Z4" s="176"/>
      <c r="AA4" s="176"/>
      <c r="AB4" s="338" t="s">
        <v>933</v>
      </c>
      <c r="AC4" s="108"/>
      <c r="AD4" s="108"/>
      <c r="AE4" s="108"/>
      <c r="AF4" s="108"/>
    </row>
    <row r="5" spans="1:32" ht="24" customHeight="1" x14ac:dyDescent="0.25">
      <c r="A5" s="141">
        <v>2</v>
      </c>
      <c r="B5" s="147" t="s">
        <v>532</v>
      </c>
      <c r="C5" s="148">
        <v>1</v>
      </c>
      <c r="D5" s="150">
        <v>400000</v>
      </c>
      <c r="E5" s="175">
        <f t="shared" si="0"/>
        <v>400000</v>
      </c>
      <c r="F5" s="153"/>
      <c r="G5" s="153"/>
      <c r="H5" s="153"/>
      <c r="I5" s="153"/>
      <c r="J5" s="153"/>
      <c r="K5" s="153"/>
      <c r="L5" s="153"/>
      <c r="M5" s="153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338" t="s">
        <v>933</v>
      </c>
      <c r="AC5" s="108"/>
      <c r="AD5" s="108"/>
      <c r="AE5" s="108"/>
      <c r="AF5" s="108"/>
    </row>
    <row r="6" spans="1:32" s="158" customFormat="1" ht="24" customHeight="1" x14ac:dyDescent="0.25">
      <c r="A6" s="141">
        <v>3</v>
      </c>
      <c r="B6" s="147" t="s">
        <v>419</v>
      </c>
      <c r="C6" s="148">
        <v>1</v>
      </c>
      <c r="D6" s="175">
        <v>9057868</v>
      </c>
      <c r="E6" s="175">
        <f>+C6*D6</f>
        <v>9057868</v>
      </c>
      <c r="F6" s="153"/>
      <c r="G6" s="153"/>
      <c r="H6" s="153"/>
      <c r="I6" s="153"/>
      <c r="J6" s="153"/>
      <c r="K6" s="153"/>
      <c r="L6" s="153"/>
      <c r="M6" s="153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338" t="s">
        <v>393</v>
      </c>
    </row>
    <row r="7" spans="1:32" ht="24" customHeight="1" x14ac:dyDescent="0.25">
      <c r="A7" s="141">
        <v>4</v>
      </c>
      <c r="B7" s="147" t="s">
        <v>569</v>
      </c>
      <c r="C7" s="148">
        <v>1</v>
      </c>
      <c r="D7" s="150">
        <v>500000</v>
      </c>
      <c r="E7" s="150">
        <f>+D7</f>
        <v>500000</v>
      </c>
      <c r="F7" s="153"/>
      <c r="G7" s="153"/>
      <c r="H7" s="153"/>
      <c r="I7" s="153"/>
      <c r="J7" s="153"/>
      <c r="K7" s="153"/>
      <c r="L7" s="153"/>
      <c r="M7" s="153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338" t="s">
        <v>393</v>
      </c>
      <c r="AC7" s="108"/>
      <c r="AD7" s="108"/>
      <c r="AE7" s="108"/>
      <c r="AF7" s="108"/>
    </row>
    <row r="8" spans="1:32" s="158" customFormat="1" ht="24" customHeight="1" x14ac:dyDescent="0.25">
      <c r="A8" s="141">
        <v>5</v>
      </c>
      <c r="B8" s="147" t="s">
        <v>420</v>
      </c>
      <c r="C8" s="148">
        <v>1</v>
      </c>
      <c r="D8" s="175">
        <v>8535743.1400000006</v>
      </c>
      <c r="E8" s="175">
        <f>+C8*D8</f>
        <v>8535743.1400000006</v>
      </c>
      <c r="F8" s="153"/>
      <c r="G8" s="153"/>
      <c r="H8" s="153"/>
      <c r="I8" s="153"/>
      <c r="J8" s="153"/>
      <c r="K8" s="153"/>
      <c r="L8" s="153"/>
      <c r="M8" s="153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338"/>
    </row>
    <row r="9" spans="1:32" ht="24" customHeight="1" x14ac:dyDescent="0.25">
      <c r="A9" s="141">
        <v>6</v>
      </c>
      <c r="B9" s="147" t="s">
        <v>422</v>
      </c>
      <c r="C9" s="148">
        <v>1</v>
      </c>
      <c r="D9" s="150">
        <v>9500000</v>
      </c>
      <c r="E9" s="206">
        <f>+C9*D9</f>
        <v>9500000</v>
      </c>
      <c r="F9" s="150"/>
      <c r="G9" s="150"/>
      <c r="H9" s="150"/>
      <c r="I9" s="150"/>
      <c r="J9" s="150"/>
      <c r="K9" s="150"/>
      <c r="L9" s="150"/>
      <c r="M9" s="150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338" t="s">
        <v>393</v>
      </c>
      <c r="AC9" s="108"/>
      <c r="AD9" s="108"/>
      <c r="AE9" s="108"/>
      <c r="AF9" s="108"/>
    </row>
    <row r="10" spans="1:32" ht="24" customHeight="1" x14ac:dyDescent="0.7">
      <c r="A10" s="444"/>
      <c r="B10" s="1569" t="s">
        <v>938</v>
      </c>
      <c r="C10" s="1569"/>
      <c r="D10" s="1569"/>
      <c r="E10" s="453">
        <f>SUM(E4:E9)</f>
        <v>28350511.140000001</v>
      </c>
      <c r="F10" s="456"/>
      <c r="G10" s="456"/>
      <c r="H10" s="456"/>
      <c r="I10" s="456"/>
      <c r="J10" s="456"/>
      <c r="K10" s="456"/>
      <c r="L10" s="456"/>
      <c r="M10" s="456"/>
      <c r="N10" s="457"/>
      <c r="O10" s="457"/>
      <c r="P10" s="457"/>
      <c r="Q10" s="457"/>
      <c r="R10" s="457"/>
      <c r="S10" s="457"/>
      <c r="T10" s="457"/>
      <c r="U10" s="457"/>
      <c r="V10" s="457"/>
      <c r="W10" s="457"/>
      <c r="X10" s="457"/>
      <c r="Y10" s="457"/>
      <c r="Z10" s="457"/>
      <c r="AA10" s="457"/>
      <c r="AB10" s="458"/>
      <c r="AC10" s="108"/>
      <c r="AD10" s="108"/>
      <c r="AE10" s="108"/>
      <c r="AF10" s="108"/>
    </row>
    <row r="11" spans="1:32" ht="24" customHeight="1" x14ac:dyDescent="0.25">
      <c r="A11" s="1568" t="s">
        <v>937</v>
      </c>
      <c r="B11" s="1568"/>
      <c r="C11" s="1568"/>
      <c r="D11" s="1568"/>
      <c r="E11" s="1568"/>
      <c r="F11" s="1568"/>
      <c r="G11" s="1568"/>
      <c r="H11" s="1568"/>
      <c r="I11" s="1568"/>
      <c r="J11" s="1568"/>
      <c r="K11" s="1568"/>
      <c r="L11" s="1568"/>
      <c r="M11" s="1568"/>
      <c r="N11" s="1568"/>
      <c r="O11" s="1568"/>
      <c r="P11" s="1568"/>
      <c r="Q11" s="1568"/>
      <c r="R11" s="1568"/>
      <c r="S11" s="1568"/>
      <c r="T11" s="1568"/>
      <c r="U11" s="1568"/>
      <c r="V11" s="1568"/>
      <c r="W11" s="1568"/>
      <c r="X11" s="1568"/>
      <c r="Y11" s="1568"/>
      <c r="Z11" s="1568"/>
      <c r="AA11" s="1568"/>
      <c r="AB11" s="1568"/>
      <c r="AC11" s="108"/>
      <c r="AD11" s="108"/>
      <c r="AE11" s="108"/>
      <c r="AF11" s="108"/>
    </row>
    <row r="12" spans="1:32" s="108" customFormat="1" ht="24" customHeight="1" x14ac:dyDescent="0.7">
      <c r="A12" s="141">
        <v>1</v>
      </c>
      <c r="B12" s="151" t="s">
        <v>596</v>
      </c>
      <c r="C12" s="141">
        <v>1</v>
      </c>
      <c r="D12" s="264">
        <v>8000000</v>
      </c>
      <c r="E12" s="431">
        <f>+D12*C12</f>
        <v>8000000</v>
      </c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430"/>
    </row>
    <row r="13" spans="1:32" s="108" customFormat="1" ht="24" customHeight="1" x14ac:dyDescent="0.7">
      <c r="A13" s="141">
        <v>2</v>
      </c>
      <c r="B13" s="153" t="s">
        <v>878</v>
      </c>
      <c r="C13" s="148">
        <v>2</v>
      </c>
      <c r="D13" s="206">
        <v>3000000</v>
      </c>
      <c r="E13" s="175">
        <f>+C13*D13</f>
        <v>6000000</v>
      </c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430"/>
    </row>
    <row r="14" spans="1:32" s="108" customFormat="1" ht="24" customHeight="1" x14ac:dyDescent="0.7">
      <c r="A14" s="141">
        <v>3</v>
      </c>
      <c r="B14" s="153" t="s">
        <v>866</v>
      </c>
      <c r="C14" s="148">
        <v>1</v>
      </c>
      <c r="D14" s="206">
        <v>490000</v>
      </c>
      <c r="E14" s="175">
        <f>+C14*D14</f>
        <v>490000</v>
      </c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430"/>
    </row>
    <row r="15" spans="1:32" ht="24" customHeight="1" x14ac:dyDescent="0.25">
      <c r="A15" s="141">
        <v>4</v>
      </c>
      <c r="B15" s="147" t="s">
        <v>405</v>
      </c>
      <c r="C15" s="148">
        <v>1</v>
      </c>
      <c r="D15" s="175">
        <v>57000000</v>
      </c>
      <c r="E15" s="175">
        <f t="shared" ref="E15:E16" si="1">+C15*D15</f>
        <v>57000000</v>
      </c>
      <c r="F15" s="153"/>
      <c r="G15" s="153"/>
      <c r="H15" s="153"/>
      <c r="I15" s="153"/>
      <c r="J15" s="153"/>
      <c r="K15" s="153"/>
      <c r="L15" s="153"/>
      <c r="M15" s="153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429"/>
      <c r="AC15" s="108"/>
      <c r="AD15" s="108"/>
      <c r="AE15" s="108"/>
      <c r="AF15" s="108"/>
    </row>
    <row r="16" spans="1:32" ht="24" customHeight="1" x14ac:dyDescent="0.7">
      <c r="A16" s="141">
        <v>5</v>
      </c>
      <c r="B16" s="147" t="s">
        <v>570</v>
      </c>
      <c r="C16" s="148">
        <v>1</v>
      </c>
      <c r="D16" s="150">
        <v>8000000</v>
      </c>
      <c r="E16" s="150">
        <f t="shared" si="1"/>
        <v>8000000</v>
      </c>
      <c r="F16" s="153"/>
      <c r="G16" s="153"/>
      <c r="H16" s="153"/>
      <c r="I16" s="153"/>
      <c r="J16" s="153"/>
      <c r="K16" s="153"/>
      <c r="L16" s="153"/>
      <c r="M16" s="153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430"/>
      <c r="AC16" s="108"/>
      <c r="AD16" s="108"/>
      <c r="AE16" s="108"/>
      <c r="AF16" s="108"/>
    </row>
    <row r="17" spans="1:33" ht="24" customHeight="1" x14ac:dyDescent="0.7">
      <c r="A17" s="141">
        <v>6</v>
      </c>
      <c r="B17" s="147" t="s">
        <v>927</v>
      </c>
      <c r="C17" s="148">
        <v>1</v>
      </c>
      <c r="D17" s="150">
        <v>2000000</v>
      </c>
      <c r="E17" s="150">
        <f>+D17</f>
        <v>2000000</v>
      </c>
      <c r="F17" s="153"/>
      <c r="G17" s="153"/>
      <c r="H17" s="153"/>
      <c r="I17" s="153"/>
      <c r="J17" s="153"/>
      <c r="K17" s="153"/>
      <c r="L17" s="153"/>
      <c r="M17" s="153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430"/>
      <c r="AC17" s="108"/>
      <c r="AD17" s="108"/>
      <c r="AE17" s="108"/>
      <c r="AF17" s="108"/>
    </row>
    <row r="18" spans="1:33" ht="24" customHeight="1" x14ac:dyDescent="0.7">
      <c r="A18" s="141">
        <v>7</v>
      </c>
      <c r="B18" s="147" t="s">
        <v>599</v>
      </c>
      <c r="C18" s="148">
        <v>1</v>
      </c>
      <c r="D18" s="150">
        <v>15000000</v>
      </c>
      <c r="E18" s="206">
        <f t="shared" ref="E18:E39" si="2">+C18*D18</f>
        <v>15000000</v>
      </c>
      <c r="F18" s="153"/>
      <c r="G18" s="153"/>
      <c r="H18" s="153"/>
      <c r="I18" s="153"/>
      <c r="J18" s="153"/>
      <c r="K18" s="153"/>
      <c r="L18" s="153"/>
      <c r="M18" s="153"/>
      <c r="N18" s="175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430"/>
      <c r="AC18" s="107"/>
      <c r="AD18" s="108"/>
      <c r="AE18" s="108"/>
      <c r="AF18" s="108"/>
      <c r="AG18" s="108"/>
    </row>
    <row r="19" spans="1:33" ht="66.75" customHeight="1" x14ac:dyDescent="0.7">
      <c r="A19" s="141">
        <v>8</v>
      </c>
      <c r="B19" s="147" t="s">
        <v>921</v>
      </c>
      <c r="C19" s="148">
        <v>1</v>
      </c>
      <c r="D19" s="150">
        <v>10000000</v>
      </c>
      <c r="E19" s="206">
        <f t="shared" si="2"/>
        <v>10000000</v>
      </c>
      <c r="F19" s="153"/>
      <c r="G19" s="153"/>
      <c r="H19" s="153"/>
      <c r="I19" s="153"/>
      <c r="J19" s="153"/>
      <c r="K19" s="153"/>
      <c r="L19" s="153"/>
      <c r="M19" s="153"/>
      <c r="N19" s="175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430"/>
      <c r="AC19" s="107"/>
      <c r="AD19" s="108"/>
      <c r="AE19" s="108"/>
      <c r="AF19" s="108"/>
      <c r="AG19" s="108"/>
    </row>
    <row r="20" spans="1:33" ht="24" customHeight="1" x14ac:dyDescent="0.7">
      <c r="A20" s="141">
        <v>9</v>
      </c>
      <c r="B20" s="153" t="s">
        <v>928</v>
      </c>
      <c r="C20" s="148">
        <v>1</v>
      </c>
      <c r="D20" s="206">
        <v>18522237.399999999</v>
      </c>
      <c r="E20" s="206">
        <f t="shared" si="2"/>
        <v>18522237.399999999</v>
      </c>
      <c r="F20" s="153"/>
      <c r="G20" s="153"/>
      <c r="H20" s="153"/>
      <c r="I20" s="153"/>
      <c r="J20" s="153"/>
      <c r="K20" s="153"/>
      <c r="L20" s="153"/>
      <c r="M20" s="153"/>
      <c r="N20" s="175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459" t="s">
        <v>1091</v>
      </c>
      <c r="AC20" s="107"/>
      <c r="AD20" s="108"/>
      <c r="AE20" s="108"/>
      <c r="AF20" s="108"/>
      <c r="AG20" s="108"/>
    </row>
    <row r="21" spans="1:33" ht="24" customHeight="1" x14ac:dyDescent="0.7">
      <c r="A21" s="141">
        <v>10</v>
      </c>
      <c r="B21" s="147" t="s">
        <v>525</v>
      </c>
      <c r="C21" s="148">
        <v>10</v>
      </c>
      <c r="D21" s="150">
        <v>1000000</v>
      </c>
      <c r="E21" s="206">
        <f>+C21*D21</f>
        <v>10000000</v>
      </c>
      <c r="F21" s="150"/>
      <c r="G21" s="150"/>
      <c r="H21" s="150"/>
      <c r="I21" s="150"/>
      <c r="J21" s="150"/>
      <c r="K21" s="150"/>
      <c r="L21" s="150"/>
      <c r="M21" s="150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430"/>
      <c r="AC21" s="108"/>
      <c r="AD21" s="108"/>
      <c r="AE21" s="108"/>
      <c r="AF21" s="108"/>
    </row>
    <row r="22" spans="1:33" ht="24" customHeight="1" x14ac:dyDescent="0.7">
      <c r="A22" s="141">
        <v>11</v>
      </c>
      <c r="B22" s="147" t="s">
        <v>526</v>
      </c>
      <c r="C22" s="148">
        <v>4</v>
      </c>
      <c r="D22" s="150">
        <v>1200000</v>
      </c>
      <c r="E22" s="206">
        <f>+C22*D22</f>
        <v>4800000</v>
      </c>
      <c r="F22" s="150"/>
      <c r="G22" s="150"/>
      <c r="H22" s="150"/>
      <c r="I22" s="150"/>
      <c r="J22" s="150"/>
      <c r="K22" s="150"/>
      <c r="L22" s="150"/>
      <c r="M22" s="150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430"/>
      <c r="AC22" s="107"/>
      <c r="AD22" s="108"/>
      <c r="AE22" s="108"/>
      <c r="AF22" s="108"/>
      <c r="AG22" s="108"/>
    </row>
    <row r="23" spans="1:33" ht="24" customHeight="1" x14ac:dyDescent="0.25">
      <c r="A23" s="141">
        <v>12</v>
      </c>
      <c r="B23" s="353" t="s">
        <v>936</v>
      </c>
      <c r="C23" s="351">
        <v>15</v>
      </c>
      <c r="D23" s="342">
        <v>500000</v>
      </c>
      <c r="E23" s="206">
        <f>+C23*D23</f>
        <v>7500000</v>
      </c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228"/>
    </row>
    <row r="24" spans="1:33" ht="26.1" customHeight="1" x14ac:dyDescent="0.25">
      <c r="A24" s="1570" t="str">
        <f>+B10</f>
        <v>รวมทั้งสิ้น</v>
      </c>
      <c r="B24" s="1570"/>
      <c r="C24" s="1570"/>
      <c r="D24" s="1570"/>
      <c r="E24" s="453">
        <f>SUM(E12:E23)</f>
        <v>147312237.40000001</v>
      </c>
      <c r="F24" s="454"/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  <c r="W24" s="454"/>
      <c r="X24" s="454"/>
      <c r="Y24" s="454"/>
      <c r="Z24" s="454"/>
      <c r="AA24" s="454"/>
      <c r="AB24" s="455"/>
    </row>
    <row r="25" spans="1:33" ht="46.8" x14ac:dyDescent="0.6">
      <c r="A25" s="462"/>
      <c r="B25" s="463" t="s">
        <v>1092</v>
      </c>
      <c r="C25" s="464">
        <v>1</v>
      </c>
      <c r="D25" s="465">
        <v>15000000</v>
      </c>
      <c r="E25" s="315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347"/>
    </row>
    <row r="26" spans="1:33" ht="26.1" customHeight="1" x14ac:dyDescent="0.25">
      <c r="A26" s="462"/>
      <c r="B26" s="347" t="s">
        <v>1093</v>
      </c>
      <c r="C26" s="653">
        <v>1</v>
      </c>
      <c r="D26" s="654">
        <v>99450</v>
      </c>
      <c r="E26" s="315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347"/>
    </row>
    <row r="27" spans="1:33" ht="26.1" customHeight="1" x14ac:dyDescent="0.25">
      <c r="A27" s="462"/>
      <c r="B27" s="462"/>
      <c r="C27" s="462"/>
      <c r="D27" s="462"/>
      <c r="E27" s="315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347"/>
    </row>
    <row r="28" spans="1:33" ht="26.1" customHeight="1" x14ac:dyDescent="0.25">
      <c r="A28" s="462"/>
      <c r="B28" s="462"/>
      <c r="C28" s="462"/>
      <c r="D28" s="462"/>
      <c r="E28" s="315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347"/>
    </row>
    <row r="29" spans="1:33" ht="24.75" customHeight="1" x14ac:dyDescent="0.25">
      <c r="A29" s="1567" t="s">
        <v>556</v>
      </c>
      <c r="B29" s="1567"/>
      <c r="C29" s="1567"/>
      <c r="D29" s="1567"/>
      <c r="E29" s="1567"/>
      <c r="F29" s="1567"/>
      <c r="G29" s="1567"/>
      <c r="H29" s="1567"/>
      <c r="I29" s="1567"/>
      <c r="J29" s="1567"/>
      <c r="K29" s="1567"/>
      <c r="L29" s="1567"/>
      <c r="M29" s="1567"/>
      <c r="N29" s="1567"/>
      <c r="O29" s="1567"/>
      <c r="P29" s="1567"/>
      <c r="Q29" s="1567"/>
      <c r="R29" s="1567"/>
      <c r="S29" s="1567"/>
      <c r="T29" s="1567"/>
      <c r="U29" s="1567"/>
      <c r="V29" s="1567"/>
      <c r="W29" s="1567"/>
      <c r="X29" s="1567"/>
      <c r="Y29" s="1567"/>
      <c r="Z29" s="1567"/>
      <c r="AA29" s="1567"/>
      <c r="AB29" s="1567"/>
    </row>
    <row r="30" spans="1:33" ht="41.25" customHeight="1" x14ac:dyDescent="0.25">
      <c r="A30" s="105" t="s">
        <v>1</v>
      </c>
      <c r="B30" s="105" t="s">
        <v>2</v>
      </c>
      <c r="C30" s="105" t="s">
        <v>291</v>
      </c>
      <c r="D30" s="105" t="s">
        <v>292</v>
      </c>
      <c r="E30" s="105" t="s">
        <v>293</v>
      </c>
      <c r="F30" s="105" t="s">
        <v>295</v>
      </c>
      <c r="G30" s="105" t="s">
        <v>296</v>
      </c>
      <c r="H30" s="105" t="s">
        <v>297</v>
      </c>
      <c r="I30" s="105" t="s">
        <v>298</v>
      </c>
      <c r="J30" s="105" t="s">
        <v>299</v>
      </c>
      <c r="K30" s="105" t="s">
        <v>300</v>
      </c>
      <c r="L30" s="105" t="s">
        <v>301</v>
      </c>
      <c r="M30" s="105" t="s">
        <v>302</v>
      </c>
      <c r="N30" s="105" t="s">
        <v>303</v>
      </c>
      <c r="O30" s="105" t="s">
        <v>304</v>
      </c>
      <c r="P30" s="105" t="s">
        <v>305</v>
      </c>
      <c r="Q30" s="105" t="s">
        <v>306</v>
      </c>
      <c r="R30" s="105" t="s">
        <v>307</v>
      </c>
      <c r="S30" s="105" t="s">
        <v>308</v>
      </c>
      <c r="T30" s="105" t="s">
        <v>309</v>
      </c>
      <c r="U30" s="105" t="s">
        <v>310</v>
      </c>
      <c r="V30" s="105" t="s">
        <v>311</v>
      </c>
      <c r="W30" s="105" t="s">
        <v>312</v>
      </c>
      <c r="X30" s="105" t="s">
        <v>313</v>
      </c>
      <c r="Y30" s="105" t="s">
        <v>314</v>
      </c>
      <c r="Z30" s="105" t="s">
        <v>315</v>
      </c>
      <c r="AA30" s="105" t="s">
        <v>316</v>
      </c>
      <c r="AB30" s="105" t="s">
        <v>127</v>
      </c>
      <c r="AC30" s="108"/>
      <c r="AD30" s="108"/>
      <c r="AE30" s="108"/>
      <c r="AF30" s="108"/>
    </row>
    <row r="31" spans="1:33" x14ac:dyDescent="0.25">
      <c r="A31" s="141">
        <v>1</v>
      </c>
      <c r="B31" s="151" t="s">
        <v>931</v>
      </c>
      <c r="C31" s="141">
        <v>1</v>
      </c>
      <c r="D31" s="171">
        <v>12465000</v>
      </c>
      <c r="E31" s="202">
        <f t="shared" ref="E31:E32" si="3">+C31*D31</f>
        <v>12465000</v>
      </c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39" t="s">
        <v>940</v>
      </c>
      <c r="AC31" s="108"/>
      <c r="AD31" s="108"/>
      <c r="AE31" s="108"/>
      <c r="AF31" s="108"/>
    </row>
    <row r="32" spans="1:33" x14ac:dyDescent="0.25">
      <c r="A32" s="141">
        <v>2</v>
      </c>
      <c r="B32" s="151" t="s">
        <v>932</v>
      </c>
      <c r="C32" s="141">
        <v>1</v>
      </c>
      <c r="D32" s="171">
        <v>2000000</v>
      </c>
      <c r="E32" s="202">
        <f t="shared" si="3"/>
        <v>2000000</v>
      </c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39" t="s">
        <v>940</v>
      </c>
      <c r="AC32" s="108"/>
      <c r="AD32" s="108"/>
      <c r="AE32" s="108"/>
      <c r="AF32" s="108"/>
    </row>
    <row r="33" spans="1:32" x14ac:dyDescent="0.25">
      <c r="A33" s="444"/>
      <c r="B33" s="445"/>
      <c r="C33" s="444"/>
      <c r="D33" s="452" t="str">
        <f>+A24</f>
        <v>รวมทั้งสิ้น</v>
      </c>
      <c r="E33" s="446">
        <f>SUM(E31:E32)</f>
        <v>14465000</v>
      </c>
      <c r="F33" s="445"/>
      <c r="G33" s="445"/>
      <c r="H33" s="445"/>
      <c r="I33" s="445"/>
      <c r="J33" s="445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45"/>
      <c r="X33" s="445"/>
      <c r="Y33" s="445"/>
      <c r="Z33" s="445"/>
      <c r="AA33" s="445"/>
      <c r="AB33" s="447"/>
      <c r="AC33" s="108"/>
      <c r="AD33" s="108"/>
      <c r="AE33" s="108"/>
      <c r="AF33" s="108"/>
    </row>
    <row r="34" spans="1:32" x14ac:dyDescent="0.25">
      <c r="B34" s="108"/>
      <c r="C34" s="111"/>
      <c r="D34" s="460"/>
      <c r="E34" s="461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7"/>
      <c r="AC34" s="108"/>
      <c r="AD34" s="108"/>
      <c r="AE34" s="108"/>
      <c r="AF34" s="108"/>
    </row>
    <row r="35" spans="1:32" ht="24.75" customHeight="1" x14ac:dyDescent="0.25">
      <c r="A35" s="1567" t="s">
        <v>1064</v>
      </c>
      <c r="B35" s="1567"/>
      <c r="C35" s="1567"/>
      <c r="D35" s="1567"/>
      <c r="E35" s="1567"/>
      <c r="F35" s="1567"/>
      <c r="G35" s="1567"/>
      <c r="H35" s="1567"/>
      <c r="I35" s="1567"/>
      <c r="J35" s="1567"/>
      <c r="K35" s="1567"/>
      <c r="L35" s="1567"/>
      <c r="M35" s="1567"/>
      <c r="N35" s="1567"/>
      <c r="O35" s="1567"/>
      <c r="P35" s="1567"/>
      <c r="Q35" s="1567"/>
      <c r="R35" s="1567"/>
      <c r="S35" s="1567"/>
      <c r="T35" s="1567"/>
      <c r="U35" s="1567"/>
      <c r="V35" s="1567"/>
      <c r="W35" s="1567"/>
      <c r="X35" s="1567"/>
      <c r="Y35" s="1567"/>
      <c r="Z35" s="1567"/>
      <c r="AA35" s="1567"/>
      <c r="AB35" s="1567"/>
    </row>
    <row r="36" spans="1:32" ht="41.25" customHeight="1" x14ac:dyDescent="0.25">
      <c r="A36" s="105" t="s">
        <v>1</v>
      </c>
      <c r="B36" s="105" t="s">
        <v>2</v>
      </c>
      <c r="C36" s="105" t="s">
        <v>291</v>
      </c>
      <c r="D36" s="105" t="s">
        <v>292</v>
      </c>
      <c r="E36" s="105" t="s">
        <v>293</v>
      </c>
      <c r="F36" s="105" t="s">
        <v>295</v>
      </c>
      <c r="G36" s="105" t="s">
        <v>296</v>
      </c>
      <c r="H36" s="105" t="s">
        <v>297</v>
      </c>
      <c r="I36" s="105" t="s">
        <v>298</v>
      </c>
      <c r="J36" s="105" t="s">
        <v>299</v>
      </c>
      <c r="K36" s="105" t="s">
        <v>300</v>
      </c>
      <c r="L36" s="105" t="s">
        <v>301</v>
      </c>
      <c r="M36" s="105" t="s">
        <v>302</v>
      </c>
      <c r="N36" s="105" t="s">
        <v>303</v>
      </c>
      <c r="O36" s="105" t="s">
        <v>304</v>
      </c>
      <c r="P36" s="105" t="s">
        <v>305</v>
      </c>
      <c r="Q36" s="105" t="s">
        <v>306</v>
      </c>
      <c r="R36" s="105" t="s">
        <v>307</v>
      </c>
      <c r="S36" s="105" t="s">
        <v>308</v>
      </c>
      <c r="T36" s="105" t="s">
        <v>309</v>
      </c>
      <c r="U36" s="105" t="s">
        <v>310</v>
      </c>
      <c r="V36" s="105" t="s">
        <v>311</v>
      </c>
      <c r="W36" s="105" t="s">
        <v>312</v>
      </c>
      <c r="X36" s="105" t="s">
        <v>313</v>
      </c>
      <c r="Y36" s="105" t="s">
        <v>314</v>
      </c>
      <c r="Z36" s="105" t="s">
        <v>315</v>
      </c>
      <c r="AA36" s="105" t="s">
        <v>316</v>
      </c>
      <c r="AB36" s="105" t="s">
        <v>127</v>
      </c>
      <c r="AC36" s="108"/>
      <c r="AD36" s="108"/>
      <c r="AE36" s="108"/>
      <c r="AF36" s="108"/>
    </row>
    <row r="37" spans="1:32" x14ac:dyDescent="0.25">
      <c r="A37" s="141">
        <v>1</v>
      </c>
      <c r="B37" s="152" t="s">
        <v>930</v>
      </c>
      <c r="C37" s="141">
        <v>1</v>
      </c>
      <c r="D37" s="171">
        <v>200000000</v>
      </c>
      <c r="E37" s="202">
        <f>+C37*D37</f>
        <v>200000000</v>
      </c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39" t="s">
        <v>939</v>
      </c>
      <c r="AC37" s="108"/>
      <c r="AD37" s="108"/>
      <c r="AE37" s="108"/>
      <c r="AF37" s="108"/>
    </row>
    <row r="38" spans="1:32" ht="26.1" customHeight="1" x14ac:dyDescent="0.25">
      <c r="A38" s="448"/>
      <c r="B38" s="448"/>
      <c r="C38" s="448"/>
      <c r="D38" s="448"/>
      <c r="E38" s="449"/>
      <c r="F38" s="450"/>
      <c r="G38" s="450"/>
      <c r="H38" s="450"/>
      <c r="I38" s="450"/>
      <c r="J38" s="450"/>
      <c r="K38" s="450"/>
      <c r="L38" s="450"/>
      <c r="M38" s="450"/>
      <c r="N38" s="450"/>
      <c r="O38" s="450"/>
      <c r="P38" s="450"/>
      <c r="Q38" s="450"/>
      <c r="R38" s="450"/>
      <c r="S38" s="450"/>
      <c r="T38" s="450"/>
      <c r="U38" s="450"/>
      <c r="V38" s="450"/>
      <c r="W38" s="450"/>
      <c r="X38" s="450"/>
      <c r="Y38" s="450"/>
      <c r="Z38" s="450"/>
      <c r="AA38" s="450"/>
      <c r="AB38" s="451"/>
    </row>
    <row r="39" spans="1:32" s="407" customFormat="1" ht="23.25" customHeight="1" x14ac:dyDescent="0.7">
      <c r="A39" s="409">
        <v>1</v>
      </c>
      <c r="B39" s="413" t="s">
        <v>424</v>
      </c>
      <c r="C39" s="404">
        <v>1</v>
      </c>
      <c r="D39" s="414">
        <v>2200000</v>
      </c>
      <c r="E39" s="414">
        <f t="shared" si="2"/>
        <v>2200000</v>
      </c>
      <c r="F39" s="413"/>
      <c r="G39" s="413"/>
      <c r="H39" s="413"/>
      <c r="I39" s="413"/>
      <c r="J39" s="413"/>
      <c r="K39" s="413"/>
      <c r="L39" s="413"/>
      <c r="M39" s="413"/>
      <c r="N39" s="415"/>
      <c r="O39" s="413"/>
      <c r="P39" s="413"/>
      <c r="Q39" s="413"/>
      <c r="R39" s="413"/>
      <c r="S39" s="413"/>
      <c r="T39" s="413"/>
      <c r="U39" s="413"/>
      <c r="V39" s="413"/>
      <c r="W39" s="413"/>
      <c r="X39" s="413"/>
      <c r="Y39" s="413"/>
      <c r="Z39" s="413"/>
      <c r="AA39" s="413"/>
      <c r="AB39" s="432"/>
      <c r="AC39" s="411"/>
      <c r="AD39" s="411"/>
      <c r="AE39" s="411"/>
      <c r="AF39" s="411"/>
    </row>
    <row r="40" spans="1:32" s="402" customFormat="1" ht="25.95" customHeight="1" x14ac:dyDescent="0.7">
      <c r="A40" s="433">
        <v>2</v>
      </c>
      <c r="B40" s="396" t="s">
        <v>595</v>
      </c>
      <c r="C40" s="397">
        <v>1</v>
      </c>
      <c r="D40" s="398">
        <v>4000000</v>
      </c>
      <c r="E40" s="399">
        <f>+C40*D40</f>
        <v>4000000</v>
      </c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  <c r="AA40" s="400"/>
      <c r="AB40" s="434"/>
      <c r="AC40" s="401"/>
      <c r="AD40" s="401"/>
      <c r="AE40" s="401"/>
      <c r="AF40" s="401"/>
    </row>
    <row r="41" spans="1:32" s="407" customFormat="1" ht="27.6" customHeight="1" x14ac:dyDescent="0.7">
      <c r="A41" s="409">
        <v>3</v>
      </c>
      <c r="B41" s="403" t="s">
        <v>929</v>
      </c>
      <c r="C41" s="404">
        <v>1</v>
      </c>
      <c r="D41" s="405">
        <v>5000000</v>
      </c>
      <c r="E41" s="405">
        <f>+D41*C41</f>
        <v>5000000</v>
      </c>
      <c r="F41" s="405"/>
      <c r="G41" s="405"/>
      <c r="H41" s="405"/>
      <c r="I41" s="405"/>
      <c r="J41" s="405"/>
      <c r="K41" s="405"/>
      <c r="L41" s="405"/>
      <c r="M41" s="405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  <c r="AA41" s="406"/>
      <c r="AB41" s="432"/>
    </row>
    <row r="42" spans="1:32" s="411" customFormat="1" ht="26.1" customHeight="1" x14ac:dyDescent="0.7">
      <c r="A42" s="409">
        <v>4</v>
      </c>
      <c r="B42" s="408" t="s">
        <v>580</v>
      </c>
      <c r="C42" s="409">
        <v>1</v>
      </c>
      <c r="D42" s="410">
        <v>2300000</v>
      </c>
      <c r="E42" s="405">
        <f t="shared" ref="E42:E43" si="4">+D42*C42</f>
        <v>2300000</v>
      </c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32"/>
    </row>
    <row r="43" spans="1:32" s="411" customFormat="1" ht="26.1" customHeight="1" x14ac:dyDescent="0.7">
      <c r="A43" s="433">
        <v>5</v>
      </c>
      <c r="B43" s="408" t="s">
        <v>593</v>
      </c>
      <c r="C43" s="409">
        <v>1</v>
      </c>
      <c r="D43" s="410">
        <v>500000</v>
      </c>
      <c r="E43" s="412">
        <f t="shared" si="4"/>
        <v>500000</v>
      </c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  <c r="V43" s="408"/>
      <c r="W43" s="408"/>
      <c r="X43" s="408"/>
      <c r="Y43" s="408"/>
      <c r="Z43" s="408"/>
      <c r="AA43" s="408"/>
      <c r="AB43" s="432"/>
    </row>
    <row r="44" spans="1:32" s="407" customFormat="1" ht="26.1" customHeight="1" x14ac:dyDescent="0.25">
      <c r="A44" s="409">
        <v>6</v>
      </c>
      <c r="B44" s="413" t="s">
        <v>874</v>
      </c>
      <c r="C44" s="404">
        <v>3</v>
      </c>
      <c r="D44" s="414">
        <v>1400000</v>
      </c>
      <c r="E44" s="414">
        <f>+C44*D44</f>
        <v>4200000</v>
      </c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  <c r="AB44" s="417"/>
    </row>
    <row r="45" spans="1:32" s="407" customFormat="1" ht="26.1" customHeight="1" x14ac:dyDescent="0.25">
      <c r="A45" s="409">
        <v>7</v>
      </c>
      <c r="B45" s="418" t="s">
        <v>875</v>
      </c>
      <c r="C45" s="419">
        <v>1</v>
      </c>
      <c r="D45" s="420">
        <v>786400</v>
      </c>
      <c r="E45" s="414">
        <f t="shared" ref="E45:E47" si="5">+C45*D45</f>
        <v>786400</v>
      </c>
      <c r="F45" s="416"/>
      <c r="G45" s="416"/>
      <c r="H45" s="416"/>
      <c r="I45" s="416"/>
      <c r="J45" s="416"/>
      <c r="K45" s="416"/>
      <c r="L45" s="416"/>
      <c r="M45" s="416"/>
      <c r="N45" s="416"/>
      <c r="O45" s="416"/>
      <c r="P45" s="416"/>
      <c r="Q45" s="416"/>
      <c r="R45" s="416"/>
      <c r="S45" s="416"/>
      <c r="T45" s="416"/>
      <c r="U45" s="416"/>
      <c r="V45" s="416"/>
      <c r="W45" s="416"/>
      <c r="X45" s="416"/>
      <c r="Y45" s="416"/>
      <c r="Z45" s="416"/>
      <c r="AA45" s="416"/>
      <c r="AB45" s="417"/>
    </row>
    <row r="46" spans="1:32" s="407" customFormat="1" ht="26.1" customHeight="1" x14ac:dyDescent="0.25">
      <c r="A46" s="433">
        <v>8</v>
      </c>
      <c r="B46" s="418" t="s">
        <v>421</v>
      </c>
      <c r="C46" s="419">
        <v>8</v>
      </c>
      <c r="D46" s="420">
        <v>700000</v>
      </c>
      <c r="E46" s="414">
        <f t="shared" si="5"/>
        <v>5600000</v>
      </c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P46" s="416"/>
      <c r="Q46" s="416"/>
      <c r="R46" s="416"/>
      <c r="S46" s="416"/>
      <c r="T46" s="416"/>
      <c r="U46" s="416"/>
      <c r="V46" s="416"/>
      <c r="W46" s="416"/>
      <c r="X46" s="416"/>
      <c r="Y46" s="416"/>
      <c r="Z46" s="416"/>
      <c r="AA46" s="416"/>
      <c r="AB46" s="417"/>
    </row>
    <row r="47" spans="1:32" s="407" customFormat="1" ht="108.6" customHeight="1" x14ac:dyDescent="0.25">
      <c r="A47" s="409">
        <v>9</v>
      </c>
      <c r="B47" s="418" t="s">
        <v>406</v>
      </c>
      <c r="C47" s="419">
        <v>1</v>
      </c>
      <c r="D47" s="420">
        <v>20092000</v>
      </c>
      <c r="E47" s="414">
        <f t="shared" si="5"/>
        <v>20092000</v>
      </c>
      <c r="F47" s="421" t="s">
        <v>872</v>
      </c>
      <c r="G47" s="416"/>
      <c r="H47" s="416"/>
      <c r="I47" s="416"/>
      <c r="J47" s="416"/>
      <c r="K47" s="416"/>
      <c r="L47" s="416"/>
      <c r="M47" s="416"/>
      <c r="N47" s="416"/>
      <c r="O47" s="416"/>
      <c r="P47" s="416"/>
      <c r="Q47" s="416"/>
      <c r="R47" s="416"/>
      <c r="S47" s="416"/>
      <c r="T47" s="416"/>
      <c r="U47" s="416"/>
      <c r="V47" s="416"/>
      <c r="W47" s="416"/>
      <c r="X47" s="416"/>
      <c r="Y47" s="416"/>
      <c r="Z47" s="416"/>
      <c r="AA47" s="416"/>
      <c r="AB47" s="421" t="s">
        <v>920</v>
      </c>
    </row>
    <row r="48" spans="1:32" s="407" customFormat="1" ht="26.1" customHeight="1" x14ac:dyDescent="0.7">
      <c r="A48" s="409">
        <v>10</v>
      </c>
      <c r="B48" s="422" t="s">
        <v>876</v>
      </c>
      <c r="C48" s="423">
        <v>2</v>
      </c>
      <c r="D48" s="424">
        <f>+D44</f>
        <v>1400000</v>
      </c>
      <c r="E48" s="424">
        <f>+C48*D48</f>
        <v>2800000</v>
      </c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6"/>
      <c r="Q48" s="416"/>
      <c r="R48" s="416"/>
      <c r="S48" s="416"/>
      <c r="T48" s="416"/>
      <c r="U48" s="416"/>
      <c r="V48" s="416"/>
      <c r="W48" s="416"/>
      <c r="X48" s="416"/>
      <c r="Y48" s="416"/>
      <c r="Z48" s="416"/>
      <c r="AA48" s="416"/>
      <c r="AB48" s="417"/>
    </row>
    <row r="49" spans="1:32" s="407" customFormat="1" x14ac:dyDescent="0.25">
      <c r="A49" s="433">
        <v>11</v>
      </c>
      <c r="B49" s="408" t="s">
        <v>923</v>
      </c>
      <c r="C49" s="409">
        <v>1</v>
      </c>
      <c r="D49" s="410">
        <v>4681768.3099999996</v>
      </c>
      <c r="E49" s="424">
        <f>+C49*D49</f>
        <v>4681768.3099999996</v>
      </c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35"/>
      <c r="AC49" s="411"/>
      <c r="AD49" s="411"/>
      <c r="AE49" s="411"/>
      <c r="AF49" s="411"/>
    </row>
    <row r="50" spans="1:32" ht="26.1" customHeight="1" x14ac:dyDescent="0.25">
      <c r="D50" s="112"/>
      <c r="E50" s="388">
        <f>SUM(E44:E48)</f>
        <v>33478400</v>
      </c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347"/>
    </row>
    <row r="51" spans="1:32" s="443" customFormat="1" ht="26.1" customHeight="1" x14ac:dyDescent="0.25">
      <c r="A51" s="436">
        <v>5</v>
      </c>
      <c r="B51" s="437" t="s">
        <v>531</v>
      </c>
      <c r="C51" s="438">
        <v>1</v>
      </c>
      <c r="D51" s="439">
        <v>7500000</v>
      </c>
      <c r="E51" s="440">
        <f>+C51*D51</f>
        <v>7500000</v>
      </c>
      <c r="F51" s="441"/>
      <c r="G51" s="441"/>
      <c r="H51" s="441"/>
      <c r="I51" s="441"/>
      <c r="J51" s="441"/>
      <c r="K51" s="441"/>
      <c r="L51" s="441"/>
      <c r="M51" s="441"/>
      <c r="N51" s="441"/>
      <c r="O51" s="441"/>
      <c r="P51" s="441"/>
      <c r="Q51" s="441"/>
      <c r="R51" s="441"/>
      <c r="S51" s="441"/>
      <c r="T51" s="441"/>
      <c r="U51" s="441"/>
      <c r="V51" s="441"/>
      <c r="W51" s="441"/>
      <c r="X51" s="441"/>
      <c r="Y51" s="441"/>
      <c r="Z51" s="441"/>
      <c r="AA51" s="441"/>
      <c r="AB51" s="442"/>
    </row>
    <row r="52" spans="1:32" ht="26.1" customHeight="1" x14ac:dyDescent="0.25">
      <c r="E52" s="160"/>
    </row>
    <row r="53" spans="1:32" x14ac:dyDescent="0.25">
      <c r="B53" s="108"/>
      <c r="C53" s="111"/>
      <c r="D53" s="426"/>
      <c r="E53" s="115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7"/>
      <c r="AC53" s="108"/>
      <c r="AD53" s="108"/>
      <c r="AE53" s="108"/>
      <c r="AF53" s="108"/>
    </row>
    <row r="54" spans="1:32" x14ac:dyDescent="0.25">
      <c r="B54" s="108"/>
      <c r="C54" s="111"/>
      <c r="D54" s="115"/>
      <c r="E54" s="115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7"/>
      <c r="AC54" s="108"/>
      <c r="AD54" s="108"/>
      <c r="AE54" s="108"/>
      <c r="AF54" s="108"/>
    </row>
    <row r="55" spans="1:32" x14ac:dyDescent="0.25">
      <c r="B55" s="108"/>
      <c r="C55" s="111"/>
      <c r="D55" s="115"/>
      <c r="E55" s="115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7"/>
      <c r="AC55" s="108"/>
      <c r="AD55" s="108"/>
      <c r="AE55" s="108"/>
      <c r="AF55" s="108"/>
    </row>
    <row r="56" spans="1:32" x14ac:dyDescent="0.25">
      <c r="B56" s="108"/>
      <c r="C56" s="111"/>
      <c r="D56" s="115"/>
      <c r="E56" s="115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7"/>
      <c r="AC56" s="108"/>
      <c r="AD56" s="108"/>
      <c r="AE56" s="108"/>
      <c r="AF56" s="108"/>
    </row>
    <row r="57" spans="1:32" x14ac:dyDescent="0.25">
      <c r="B57" s="108"/>
      <c r="C57" s="111"/>
      <c r="D57" s="115"/>
      <c r="E57" s="115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7"/>
      <c r="AC57" s="108"/>
      <c r="AD57" s="108"/>
      <c r="AE57" s="108"/>
      <c r="AF57" s="108"/>
    </row>
    <row r="58" spans="1:32" x14ac:dyDescent="0.25">
      <c r="B58" s="108"/>
      <c r="C58" s="111"/>
      <c r="D58" s="115"/>
      <c r="E58" s="115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7"/>
      <c r="AC58" s="108"/>
      <c r="AD58" s="108"/>
      <c r="AE58" s="108"/>
      <c r="AF58" s="108"/>
    </row>
    <row r="59" spans="1:32" x14ac:dyDescent="0.25">
      <c r="B59" s="108"/>
      <c r="C59" s="111"/>
      <c r="D59" s="115"/>
      <c r="E59" s="115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7"/>
      <c r="AC59" s="108"/>
      <c r="AD59" s="108"/>
      <c r="AE59" s="108"/>
      <c r="AF59" s="108"/>
    </row>
    <row r="60" spans="1:32" x14ac:dyDescent="0.25">
      <c r="B60" s="108"/>
      <c r="C60" s="111"/>
      <c r="D60" s="115"/>
      <c r="E60" s="115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7"/>
      <c r="AC60" s="108"/>
      <c r="AD60" s="108"/>
      <c r="AE60" s="108"/>
      <c r="AF60" s="108"/>
    </row>
    <row r="61" spans="1:32" x14ac:dyDescent="0.25">
      <c r="B61" s="108"/>
      <c r="C61" s="111"/>
      <c r="D61" s="115"/>
      <c r="E61" s="115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7"/>
      <c r="AC61" s="108"/>
      <c r="AD61" s="108"/>
      <c r="AE61" s="108"/>
      <c r="AF61" s="108"/>
    </row>
    <row r="62" spans="1:32" x14ac:dyDescent="0.25">
      <c r="B62" s="108"/>
      <c r="C62" s="111"/>
      <c r="D62" s="115"/>
      <c r="E62" s="115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7"/>
      <c r="AC62" s="108"/>
      <c r="AD62" s="108"/>
      <c r="AE62" s="108"/>
      <c r="AF62" s="108"/>
    </row>
    <row r="63" spans="1:32" x14ac:dyDescent="0.25">
      <c r="B63" s="108"/>
      <c r="C63" s="111"/>
      <c r="D63" s="115"/>
      <c r="E63" s="115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7"/>
      <c r="AC63" s="108"/>
      <c r="AD63" s="108"/>
      <c r="AE63" s="108"/>
      <c r="AF63" s="108"/>
    </row>
    <row r="64" spans="1:32" x14ac:dyDescent="0.25">
      <c r="B64" s="108"/>
      <c r="C64" s="111"/>
      <c r="D64" s="115"/>
      <c r="E64" s="115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7"/>
      <c r="AC64" s="108"/>
      <c r="AD64" s="108"/>
      <c r="AE64" s="108"/>
      <c r="AF64" s="108"/>
    </row>
    <row r="65" spans="2:32" x14ac:dyDescent="0.25">
      <c r="B65" s="108"/>
      <c r="C65" s="111"/>
      <c r="D65" s="115"/>
      <c r="E65" s="115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7"/>
      <c r="AC65" s="108"/>
      <c r="AD65" s="108"/>
      <c r="AE65" s="108"/>
      <c r="AF65" s="108"/>
    </row>
    <row r="66" spans="2:32" x14ac:dyDescent="0.25">
      <c r="B66" s="108"/>
      <c r="C66" s="111"/>
      <c r="D66" s="115"/>
      <c r="E66" s="115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7"/>
      <c r="AC66" s="108"/>
      <c r="AD66" s="108"/>
      <c r="AE66" s="108"/>
      <c r="AF66" s="108"/>
    </row>
    <row r="67" spans="2:32" x14ac:dyDescent="0.25">
      <c r="B67" s="108"/>
      <c r="C67" s="111"/>
      <c r="D67" s="115"/>
      <c r="E67" s="115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7"/>
      <c r="AC67" s="108"/>
      <c r="AD67" s="108"/>
      <c r="AE67" s="108"/>
      <c r="AF67" s="108"/>
    </row>
    <row r="68" spans="2:32" x14ac:dyDescent="0.25">
      <c r="B68" s="108"/>
      <c r="C68" s="111"/>
      <c r="D68" s="115"/>
      <c r="E68" s="115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7"/>
      <c r="AC68" s="108"/>
      <c r="AD68" s="108"/>
      <c r="AE68" s="108"/>
      <c r="AF68" s="108"/>
    </row>
    <row r="69" spans="2:32" x14ac:dyDescent="0.25">
      <c r="B69" s="108"/>
      <c r="C69" s="111"/>
      <c r="D69" s="115"/>
      <c r="E69" s="115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7"/>
      <c r="AC69" s="108"/>
      <c r="AD69" s="108"/>
      <c r="AE69" s="108"/>
      <c r="AF69" s="108"/>
    </row>
    <row r="70" spans="2:32" x14ac:dyDescent="0.25">
      <c r="B70" s="108"/>
      <c r="C70" s="111"/>
      <c r="D70" s="115"/>
      <c r="E70" s="115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7"/>
      <c r="AC70" s="108"/>
      <c r="AD70" s="108"/>
      <c r="AE70" s="108"/>
      <c r="AF70" s="108"/>
    </row>
    <row r="71" spans="2:32" x14ac:dyDescent="0.25">
      <c r="B71" s="108"/>
      <c r="C71" s="111"/>
      <c r="D71" s="115"/>
      <c r="E71" s="115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7"/>
      <c r="AC71" s="108"/>
      <c r="AD71" s="108"/>
      <c r="AE71" s="108"/>
      <c r="AF71" s="108"/>
    </row>
    <row r="72" spans="2:32" x14ac:dyDescent="0.25">
      <c r="B72" s="108"/>
      <c r="C72" s="111"/>
      <c r="D72" s="115"/>
      <c r="E72" s="115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7"/>
      <c r="AC72" s="108"/>
      <c r="AD72" s="108"/>
      <c r="AE72" s="108"/>
      <c r="AF72" s="108"/>
    </row>
    <row r="73" spans="2:32" x14ac:dyDescent="0.25">
      <c r="B73" s="108"/>
      <c r="C73" s="111"/>
      <c r="D73" s="115"/>
      <c r="E73" s="115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7"/>
      <c r="AC73" s="108"/>
      <c r="AD73" s="108"/>
      <c r="AE73" s="108"/>
      <c r="AF73" s="108"/>
    </row>
    <row r="74" spans="2:32" x14ac:dyDescent="0.25">
      <c r="B74" s="108"/>
      <c r="C74" s="111"/>
      <c r="D74" s="115"/>
      <c r="E74" s="115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7"/>
      <c r="AC74" s="108"/>
      <c r="AD74" s="108"/>
      <c r="AE74" s="108"/>
      <c r="AF74" s="108"/>
    </row>
    <row r="75" spans="2:32" x14ac:dyDescent="0.25">
      <c r="B75" s="108"/>
      <c r="C75" s="111"/>
      <c r="D75" s="115"/>
      <c r="E75" s="115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7"/>
      <c r="AC75" s="108"/>
      <c r="AD75" s="108"/>
      <c r="AE75" s="108"/>
      <c r="AF75" s="108"/>
    </row>
    <row r="76" spans="2:32" x14ac:dyDescent="0.25">
      <c r="B76" s="108"/>
      <c r="C76" s="111"/>
      <c r="D76" s="115"/>
      <c r="E76" s="115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7"/>
      <c r="AC76" s="108"/>
      <c r="AD76" s="108"/>
      <c r="AE76" s="108"/>
      <c r="AF76" s="108"/>
    </row>
    <row r="77" spans="2:32" x14ac:dyDescent="0.25">
      <c r="B77" s="108"/>
      <c r="C77" s="111"/>
      <c r="D77" s="115"/>
      <c r="E77" s="115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7"/>
      <c r="AC77" s="108"/>
      <c r="AD77" s="108"/>
      <c r="AE77" s="108"/>
      <c r="AF77" s="108"/>
    </row>
    <row r="78" spans="2:32" x14ac:dyDescent="0.25">
      <c r="B78" s="108"/>
      <c r="C78" s="111"/>
      <c r="D78" s="115"/>
      <c r="E78" s="115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7"/>
      <c r="AC78" s="108"/>
      <c r="AD78" s="108"/>
      <c r="AE78" s="108"/>
      <c r="AF78" s="108"/>
    </row>
    <row r="79" spans="2:32" x14ac:dyDescent="0.25">
      <c r="B79" s="108"/>
      <c r="C79" s="111"/>
      <c r="D79" s="115"/>
      <c r="E79" s="115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7"/>
      <c r="AC79" s="108"/>
      <c r="AD79" s="108"/>
      <c r="AE79" s="108"/>
      <c r="AF79" s="108"/>
    </row>
    <row r="80" spans="2:32" x14ac:dyDescent="0.25">
      <c r="B80" s="108"/>
      <c r="C80" s="111"/>
      <c r="D80" s="115"/>
      <c r="E80" s="115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7"/>
      <c r="AC80" s="108"/>
      <c r="AD80" s="108"/>
      <c r="AE80" s="108"/>
      <c r="AF80" s="108"/>
    </row>
    <row r="81" spans="2:32" x14ac:dyDescent="0.25">
      <c r="B81" s="108"/>
      <c r="C81" s="111"/>
      <c r="D81" s="115"/>
      <c r="E81" s="115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7"/>
      <c r="AC81" s="108"/>
      <c r="AD81" s="108"/>
      <c r="AE81" s="108"/>
      <c r="AF81" s="108"/>
    </row>
    <row r="82" spans="2:32" x14ac:dyDescent="0.25">
      <c r="B82" s="108"/>
      <c r="C82" s="111"/>
      <c r="D82" s="115"/>
      <c r="E82" s="115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7"/>
      <c r="AC82" s="108"/>
      <c r="AD82" s="108"/>
      <c r="AE82" s="108"/>
      <c r="AF82" s="108"/>
    </row>
    <row r="83" spans="2:32" x14ac:dyDescent="0.25">
      <c r="B83" s="108"/>
      <c r="C83" s="111"/>
      <c r="D83" s="115"/>
      <c r="E83" s="115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7"/>
      <c r="AC83" s="108"/>
      <c r="AD83" s="108"/>
      <c r="AE83" s="108"/>
      <c r="AF83" s="108"/>
    </row>
    <row r="84" spans="2:32" x14ac:dyDescent="0.25">
      <c r="B84" s="108"/>
      <c r="C84" s="111"/>
      <c r="D84" s="115"/>
      <c r="E84" s="115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7"/>
      <c r="AC84" s="108"/>
      <c r="AD84" s="108"/>
      <c r="AE84" s="108"/>
      <c r="AF84" s="108"/>
    </row>
    <row r="85" spans="2:32" x14ac:dyDescent="0.25">
      <c r="B85" s="108"/>
      <c r="C85" s="111"/>
      <c r="D85" s="115"/>
      <c r="E85" s="115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7"/>
      <c r="AC85" s="108"/>
      <c r="AD85" s="108"/>
      <c r="AE85" s="108"/>
      <c r="AF85" s="108"/>
    </row>
    <row r="86" spans="2:32" x14ac:dyDescent="0.25">
      <c r="B86" s="108"/>
      <c r="C86" s="111"/>
      <c r="D86" s="115"/>
      <c r="E86" s="115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7"/>
      <c r="AC86" s="108"/>
      <c r="AD86" s="108"/>
      <c r="AE86" s="108"/>
      <c r="AF86" s="108"/>
    </row>
    <row r="87" spans="2:32" x14ac:dyDescent="0.25">
      <c r="B87" s="108"/>
      <c r="C87" s="111"/>
      <c r="D87" s="115"/>
      <c r="E87" s="115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7"/>
      <c r="AC87" s="108"/>
      <c r="AD87" s="108"/>
      <c r="AE87" s="108"/>
      <c r="AF87" s="108"/>
    </row>
    <row r="88" spans="2:32" x14ac:dyDescent="0.25">
      <c r="B88" s="108"/>
      <c r="C88" s="111"/>
      <c r="D88" s="115"/>
      <c r="E88" s="115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7"/>
      <c r="AC88" s="108"/>
      <c r="AD88" s="108"/>
      <c r="AE88" s="108"/>
      <c r="AF88" s="108"/>
    </row>
    <row r="89" spans="2:32" x14ac:dyDescent="0.25">
      <c r="B89" s="108"/>
      <c r="C89" s="111"/>
      <c r="D89" s="115"/>
      <c r="E89" s="115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7"/>
      <c r="AC89" s="108"/>
      <c r="AD89" s="108"/>
      <c r="AE89" s="108"/>
      <c r="AF89" s="108"/>
    </row>
    <row r="90" spans="2:32" x14ac:dyDescent="0.25">
      <c r="B90" s="108"/>
      <c r="C90" s="111"/>
      <c r="D90" s="115"/>
      <c r="E90" s="115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7"/>
      <c r="AC90" s="108"/>
      <c r="AD90" s="108"/>
      <c r="AE90" s="108"/>
      <c r="AF90" s="108"/>
    </row>
    <row r="91" spans="2:32" x14ac:dyDescent="0.25">
      <c r="B91" s="108"/>
      <c r="C91" s="111"/>
      <c r="D91" s="115"/>
      <c r="E91" s="115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7"/>
      <c r="AC91" s="108"/>
      <c r="AD91" s="108"/>
      <c r="AE91" s="108"/>
      <c r="AF91" s="108"/>
    </row>
    <row r="92" spans="2:32" x14ac:dyDescent="0.25">
      <c r="B92" s="108"/>
      <c r="C92" s="111"/>
      <c r="D92" s="115"/>
      <c r="E92" s="115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7"/>
      <c r="AC92" s="108"/>
      <c r="AD92" s="108"/>
      <c r="AE92" s="108"/>
      <c r="AF92" s="108"/>
    </row>
    <row r="93" spans="2:32" x14ac:dyDescent="0.25">
      <c r="B93" s="108"/>
      <c r="C93" s="111"/>
      <c r="D93" s="115"/>
      <c r="E93" s="115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7"/>
      <c r="AC93" s="108"/>
      <c r="AD93" s="108"/>
      <c r="AE93" s="108"/>
      <c r="AF93" s="108"/>
    </row>
    <row r="94" spans="2:32" x14ac:dyDescent="0.25">
      <c r="B94" s="108"/>
      <c r="C94" s="111"/>
      <c r="D94" s="115"/>
      <c r="E94" s="115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7"/>
      <c r="AC94" s="108"/>
      <c r="AD94" s="108"/>
      <c r="AE94" s="108"/>
      <c r="AF94" s="108"/>
    </row>
    <row r="95" spans="2:32" x14ac:dyDescent="0.25">
      <c r="B95" s="108"/>
      <c r="C95" s="111"/>
      <c r="D95" s="115"/>
      <c r="E95" s="115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7"/>
      <c r="AC95" s="108"/>
      <c r="AD95" s="108"/>
      <c r="AE95" s="108"/>
      <c r="AF95" s="108"/>
    </row>
    <row r="96" spans="2:32" x14ac:dyDescent="0.25">
      <c r="B96" s="108"/>
      <c r="C96" s="111"/>
      <c r="D96" s="115"/>
      <c r="E96" s="115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7"/>
      <c r="AC96" s="108"/>
      <c r="AD96" s="108"/>
      <c r="AE96" s="108"/>
      <c r="AF96" s="108"/>
    </row>
    <row r="97" spans="2:32" x14ac:dyDescent="0.25">
      <c r="B97" s="108"/>
      <c r="C97" s="111"/>
      <c r="D97" s="115"/>
      <c r="E97" s="115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7"/>
      <c r="AC97" s="108"/>
      <c r="AD97" s="108"/>
      <c r="AE97" s="108"/>
      <c r="AF97" s="108"/>
    </row>
    <row r="98" spans="2:32" x14ac:dyDescent="0.25">
      <c r="B98" s="108"/>
      <c r="C98" s="111"/>
      <c r="D98" s="115"/>
      <c r="E98" s="115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7"/>
      <c r="AC98" s="108"/>
      <c r="AD98" s="108"/>
      <c r="AE98" s="108"/>
      <c r="AF98" s="108"/>
    </row>
    <row r="99" spans="2:32" x14ac:dyDescent="0.25">
      <c r="B99" s="108"/>
      <c r="C99" s="111"/>
      <c r="D99" s="115"/>
      <c r="E99" s="115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7"/>
      <c r="AC99" s="108"/>
      <c r="AD99" s="108"/>
      <c r="AE99" s="108"/>
      <c r="AF99" s="108"/>
    </row>
    <row r="100" spans="2:32" x14ac:dyDescent="0.25">
      <c r="B100" s="108"/>
      <c r="C100" s="111"/>
      <c r="D100" s="115"/>
      <c r="E100" s="115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7"/>
      <c r="AC100" s="108"/>
      <c r="AD100" s="108"/>
      <c r="AE100" s="108"/>
      <c r="AF100" s="108"/>
    </row>
    <row r="101" spans="2:32" x14ac:dyDescent="0.25">
      <c r="B101" s="108"/>
      <c r="C101" s="111"/>
      <c r="D101" s="115"/>
      <c r="E101" s="115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7"/>
      <c r="AC101" s="108"/>
      <c r="AD101" s="108"/>
      <c r="AE101" s="108"/>
      <c r="AF101" s="108"/>
    </row>
    <row r="102" spans="2:32" x14ac:dyDescent="0.25">
      <c r="B102" s="108"/>
      <c r="C102" s="111"/>
      <c r="D102" s="115"/>
      <c r="E102" s="115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7"/>
      <c r="AC102" s="108"/>
      <c r="AD102" s="108"/>
      <c r="AE102" s="108"/>
      <c r="AF102" s="108"/>
    </row>
    <row r="103" spans="2:32" x14ac:dyDescent="0.25">
      <c r="B103" s="108"/>
      <c r="C103" s="111"/>
      <c r="D103" s="115"/>
      <c r="E103" s="115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7"/>
      <c r="AC103" s="108"/>
      <c r="AD103" s="108"/>
      <c r="AE103" s="108"/>
      <c r="AF103" s="108"/>
    </row>
    <row r="104" spans="2:32" x14ac:dyDescent="0.25">
      <c r="B104" s="108"/>
      <c r="C104" s="111"/>
      <c r="D104" s="115"/>
      <c r="E104" s="115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7"/>
      <c r="AC104" s="108"/>
      <c r="AD104" s="108"/>
      <c r="AE104" s="108"/>
      <c r="AF104" s="108"/>
    </row>
    <row r="105" spans="2:32" x14ac:dyDescent="0.25">
      <c r="B105" s="108"/>
      <c r="C105" s="111"/>
      <c r="D105" s="115"/>
      <c r="E105" s="115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7"/>
      <c r="AC105" s="108"/>
      <c r="AD105" s="108"/>
      <c r="AE105" s="108"/>
      <c r="AF105" s="108"/>
    </row>
    <row r="106" spans="2:32" x14ac:dyDescent="0.25">
      <c r="B106" s="108"/>
      <c r="C106" s="111"/>
      <c r="D106" s="115"/>
      <c r="E106" s="115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7"/>
      <c r="AC106" s="108"/>
      <c r="AD106" s="108"/>
      <c r="AE106" s="108"/>
      <c r="AF106" s="108"/>
    </row>
    <row r="107" spans="2:32" x14ac:dyDescent="0.25">
      <c r="B107" s="108"/>
      <c r="C107" s="111"/>
      <c r="D107" s="115"/>
      <c r="E107" s="115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7"/>
      <c r="AC107" s="108"/>
      <c r="AD107" s="108"/>
      <c r="AE107" s="108"/>
      <c r="AF107" s="108"/>
    </row>
    <row r="108" spans="2:32" x14ac:dyDescent="0.25">
      <c r="B108" s="108"/>
      <c r="C108" s="111"/>
      <c r="D108" s="115"/>
      <c r="E108" s="115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7"/>
      <c r="AC108" s="108"/>
      <c r="AD108" s="108"/>
      <c r="AE108" s="108"/>
      <c r="AF108" s="108"/>
    </row>
    <row r="109" spans="2:32" x14ac:dyDescent="0.25">
      <c r="B109" s="108"/>
      <c r="C109" s="111"/>
      <c r="D109" s="115"/>
      <c r="E109" s="115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7"/>
      <c r="AC109" s="108"/>
      <c r="AD109" s="108"/>
      <c r="AE109" s="108"/>
      <c r="AF109" s="108"/>
    </row>
    <row r="110" spans="2:32" x14ac:dyDescent="0.25">
      <c r="B110" s="108"/>
      <c r="C110" s="111"/>
      <c r="D110" s="115"/>
      <c r="E110" s="115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7"/>
      <c r="AC110" s="108"/>
      <c r="AD110" s="108"/>
      <c r="AE110" s="108"/>
      <c r="AF110" s="108"/>
    </row>
    <row r="111" spans="2:32" x14ac:dyDescent="0.25">
      <c r="B111" s="108"/>
      <c r="C111" s="111"/>
      <c r="D111" s="115"/>
      <c r="E111" s="115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7"/>
      <c r="AC111" s="108"/>
      <c r="AD111" s="108"/>
      <c r="AE111" s="108"/>
      <c r="AF111" s="108"/>
    </row>
    <row r="112" spans="2:32" x14ac:dyDescent="0.25">
      <c r="B112" s="108"/>
      <c r="C112" s="111"/>
      <c r="D112" s="115"/>
      <c r="E112" s="115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7"/>
      <c r="AC112" s="108"/>
      <c r="AD112" s="108"/>
      <c r="AE112" s="108"/>
      <c r="AF112" s="108"/>
    </row>
    <row r="113" spans="2:32" x14ac:dyDescent="0.25">
      <c r="B113" s="108"/>
      <c r="C113" s="111"/>
      <c r="D113" s="115"/>
      <c r="E113" s="115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7"/>
      <c r="AC113" s="108"/>
      <c r="AD113" s="108"/>
      <c r="AE113" s="108"/>
      <c r="AF113" s="108"/>
    </row>
    <row r="114" spans="2:32" x14ac:dyDescent="0.25">
      <c r="B114" s="108"/>
      <c r="C114" s="111"/>
      <c r="D114" s="115"/>
      <c r="E114" s="115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7"/>
      <c r="AC114" s="108"/>
      <c r="AD114" s="108"/>
      <c r="AE114" s="108"/>
      <c r="AF114" s="108"/>
    </row>
    <row r="115" spans="2:32" x14ac:dyDescent="0.25">
      <c r="B115" s="108"/>
      <c r="C115" s="111"/>
      <c r="D115" s="115"/>
      <c r="E115" s="115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7"/>
      <c r="AC115" s="108"/>
      <c r="AD115" s="108"/>
      <c r="AE115" s="108"/>
      <c r="AF115" s="108"/>
    </row>
    <row r="116" spans="2:32" x14ac:dyDescent="0.25">
      <c r="B116" s="108"/>
      <c r="C116" s="111"/>
      <c r="D116" s="115"/>
      <c r="E116" s="115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7"/>
      <c r="AC116" s="108"/>
      <c r="AD116" s="108"/>
      <c r="AE116" s="108"/>
      <c r="AF116" s="108"/>
    </row>
    <row r="117" spans="2:32" x14ac:dyDescent="0.25">
      <c r="B117" s="108"/>
      <c r="C117" s="111"/>
      <c r="D117" s="115"/>
      <c r="E117" s="115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7"/>
      <c r="AC117" s="108"/>
      <c r="AD117" s="108"/>
      <c r="AE117" s="108"/>
      <c r="AF117" s="108"/>
    </row>
    <row r="118" spans="2:32" x14ac:dyDescent="0.25">
      <c r="B118" s="108"/>
      <c r="C118" s="111"/>
      <c r="D118" s="115"/>
      <c r="E118" s="115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7"/>
      <c r="AC118" s="108"/>
      <c r="AD118" s="108"/>
      <c r="AE118" s="108"/>
      <c r="AF118" s="108"/>
    </row>
    <row r="119" spans="2:32" x14ac:dyDescent="0.25">
      <c r="B119" s="108"/>
      <c r="C119" s="111"/>
      <c r="D119" s="115"/>
      <c r="E119" s="115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7"/>
      <c r="AC119" s="108"/>
      <c r="AD119" s="108"/>
      <c r="AE119" s="108"/>
      <c r="AF119" s="108"/>
    </row>
    <row r="120" spans="2:32" x14ac:dyDescent="0.25">
      <c r="B120" s="108"/>
      <c r="C120" s="111"/>
      <c r="D120" s="115"/>
      <c r="E120" s="115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7"/>
      <c r="AC120" s="108"/>
      <c r="AD120" s="108"/>
      <c r="AE120" s="108"/>
      <c r="AF120" s="108"/>
    </row>
    <row r="121" spans="2:32" x14ac:dyDescent="0.25">
      <c r="B121" s="108"/>
      <c r="C121" s="111"/>
      <c r="D121" s="115"/>
      <c r="E121" s="115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7"/>
      <c r="AC121" s="108"/>
      <c r="AD121" s="108"/>
      <c r="AE121" s="108"/>
      <c r="AF121" s="108"/>
    </row>
    <row r="122" spans="2:32" x14ac:dyDescent="0.25">
      <c r="B122" s="108"/>
      <c r="C122" s="111"/>
      <c r="D122" s="115"/>
      <c r="E122" s="115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7"/>
      <c r="AC122" s="108"/>
      <c r="AD122" s="108"/>
      <c r="AE122" s="108"/>
      <c r="AF122" s="108"/>
    </row>
    <row r="123" spans="2:32" x14ac:dyDescent="0.25">
      <c r="B123" s="108"/>
      <c r="C123" s="111"/>
      <c r="D123" s="115"/>
      <c r="E123" s="115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7"/>
      <c r="AC123" s="108"/>
      <c r="AD123" s="108"/>
      <c r="AE123" s="108"/>
      <c r="AF123" s="108"/>
    </row>
    <row r="124" spans="2:32" x14ac:dyDescent="0.25">
      <c r="B124" s="108"/>
      <c r="C124" s="111"/>
      <c r="D124" s="115"/>
      <c r="E124" s="115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7"/>
      <c r="AC124" s="108"/>
      <c r="AD124" s="108"/>
      <c r="AE124" s="108"/>
      <c r="AF124" s="108"/>
    </row>
    <row r="125" spans="2:32" x14ac:dyDescent="0.25">
      <c r="B125" s="108"/>
      <c r="C125" s="111"/>
      <c r="D125" s="115"/>
      <c r="E125" s="115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7"/>
      <c r="AC125" s="108"/>
      <c r="AD125" s="108"/>
      <c r="AE125" s="108"/>
      <c r="AF125" s="108"/>
    </row>
    <row r="126" spans="2:32" x14ac:dyDescent="0.25">
      <c r="B126" s="108"/>
      <c r="C126" s="111"/>
      <c r="D126" s="115"/>
      <c r="E126" s="115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7"/>
      <c r="AC126" s="108"/>
      <c r="AD126" s="108"/>
      <c r="AE126" s="108"/>
      <c r="AF126" s="108"/>
    </row>
    <row r="127" spans="2:32" x14ac:dyDescent="0.25">
      <c r="B127" s="108"/>
      <c r="C127" s="111"/>
      <c r="D127" s="115"/>
      <c r="E127" s="115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7"/>
      <c r="AC127" s="108"/>
      <c r="AD127" s="108"/>
      <c r="AE127" s="108"/>
      <c r="AF127" s="108"/>
    </row>
    <row r="128" spans="2:32" x14ac:dyDescent="0.25">
      <c r="B128" s="108"/>
      <c r="C128" s="111"/>
      <c r="D128" s="115"/>
      <c r="E128" s="115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7"/>
      <c r="AC128" s="108"/>
      <c r="AD128" s="108"/>
      <c r="AE128" s="108"/>
      <c r="AF128" s="108"/>
    </row>
    <row r="129" spans="2:32" x14ac:dyDescent="0.25">
      <c r="B129" s="108"/>
      <c r="C129" s="111"/>
      <c r="D129" s="115"/>
      <c r="E129" s="115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7"/>
      <c r="AC129" s="108"/>
      <c r="AD129" s="108"/>
      <c r="AE129" s="108"/>
      <c r="AF129" s="108"/>
    </row>
    <row r="130" spans="2:32" x14ac:dyDescent="0.25">
      <c r="B130" s="108"/>
      <c r="C130" s="111"/>
      <c r="D130" s="115"/>
      <c r="E130" s="115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7"/>
      <c r="AC130" s="108"/>
      <c r="AD130" s="108"/>
      <c r="AE130" s="108"/>
      <c r="AF130" s="108"/>
    </row>
    <row r="131" spans="2:32" x14ac:dyDescent="0.25">
      <c r="B131" s="108"/>
      <c r="C131" s="111"/>
      <c r="D131" s="115"/>
      <c r="E131" s="115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7"/>
      <c r="AC131" s="108"/>
      <c r="AD131" s="108"/>
      <c r="AE131" s="108"/>
      <c r="AF131" s="108"/>
    </row>
    <row r="132" spans="2:32" x14ac:dyDescent="0.25">
      <c r="B132" s="108"/>
      <c r="C132" s="111"/>
      <c r="D132" s="115"/>
      <c r="E132" s="115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7"/>
      <c r="AC132" s="108"/>
      <c r="AD132" s="108"/>
      <c r="AE132" s="108"/>
      <c r="AF132" s="108"/>
    </row>
    <row r="133" spans="2:32" x14ac:dyDescent="0.25">
      <c r="B133" s="108"/>
      <c r="C133" s="111"/>
      <c r="D133" s="115"/>
      <c r="E133" s="115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7"/>
      <c r="AC133" s="108"/>
      <c r="AD133" s="108"/>
      <c r="AE133" s="108"/>
      <c r="AF133" s="108"/>
    </row>
    <row r="134" spans="2:32" x14ac:dyDescent="0.25">
      <c r="B134" s="108"/>
      <c r="C134" s="111"/>
      <c r="D134" s="115"/>
      <c r="E134" s="115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7"/>
      <c r="AC134" s="108"/>
      <c r="AD134" s="108"/>
      <c r="AE134" s="108"/>
      <c r="AF134" s="108"/>
    </row>
    <row r="135" spans="2:32" x14ac:dyDescent="0.25">
      <c r="B135" s="108"/>
      <c r="C135" s="111"/>
      <c r="D135" s="115"/>
      <c r="E135" s="115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7"/>
      <c r="AC135" s="108"/>
      <c r="AD135" s="108"/>
      <c r="AE135" s="108"/>
      <c r="AF135" s="108"/>
    </row>
    <row r="136" spans="2:32" x14ac:dyDescent="0.25">
      <c r="B136" s="108"/>
      <c r="C136" s="111"/>
      <c r="D136" s="115"/>
      <c r="E136" s="115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7"/>
      <c r="AC136" s="108"/>
      <c r="AD136" s="108"/>
      <c r="AE136" s="108"/>
      <c r="AF136" s="108"/>
    </row>
    <row r="137" spans="2:32" x14ac:dyDescent="0.25">
      <c r="B137" s="108"/>
      <c r="C137" s="111"/>
      <c r="D137" s="115"/>
      <c r="E137" s="115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7"/>
      <c r="AC137" s="108"/>
      <c r="AD137" s="108"/>
      <c r="AE137" s="108"/>
      <c r="AF137" s="108"/>
    </row>
    <row r="138" spans="2:32" x14ac:dyDescent="0.25">
      <c r="B138" s="108"/>
      <c r="C138" s="111"/>
      <c r="D138" s="115"/>
      <c r="E138" s="115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7"/>
      <c r="AC138" s="108"/>
      <c r="AD138" s="108"/>
      <c r="AE138" s="108"/>
      <c r="AF138" s="108"/>
    </row>
    <row r="139" spans="2:32" x14ac:dyDescent="0.25">
      <c r="B139" s="108"/>
      <c r="C139" s="111"/>
      <c r="D139" s="115"/>
      <c r="E139" s="115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7"/>
      <c r="AC139" s="108"/>
      <c r="AD139" s="108"/>
      <c r="AE139" s="108"/>
      <c r="AF139" s="108"/>
    </row>
    <row r="140" spans="2:32" x14ac:dyDescent="0.25">
      <c r="B140" s="108"/>
      <c r="C140" s="111"/>
      <c r="D140" s="115"/>
      <c r="E140" s="115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7"/>
      <c r="AC140" s="108"/>
      <c r="AD140" s="108"/>
      <c r="AE140" s="108"/>
      <c r="AF140" s="108"/>
    </row>
    <row r="141" spans="2:32" x14ac:dyDescent="0.25">
      <c r="B141" s="108"/>
      <c r="C141" s="111"/>
      <c r="D141" s="115"/>
      <c r="E141" s="115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7"/>
      <c r="AC141" s="108"/>
      <c r="AD141" s="108"/>
      <c r="AE141" s="108"/>
      <c r="AF141" s="108"/>
    </row>
    <row r="142" spans="2:32" x14ac:dyDescent="0.25">
      <c r="B142" s="108"/>
      <c r="C142" s="111"/>
      <c r="D142" s="115"/>
      <c r="E142" s="115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7"/>
      <c r="AC142" s="108"/>
      <c r="AD142" s="108"/>
      <c r="AE142" s="108"/>
      <c r="AF142" s="108"/>
    </row>
    <row r="143" spans="2:32" x14ac:dyDescent="0.25">
      <c r="B143" s="108"/>
      <c r="C143" s="111"/>
      <c r="D143" s="115"/>
      <c r="E143" s="115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7"/>
      <c r="AC143" s="108"/>
      <c r="AD143" s="108"/>
      <c r="AE143" s="108"/>
      <c r="AF143" s="108"/>
    </row>
    <row r="144" spans="2:32" x14ac:dyDescent="0.25">
      <c r="B144" s="108"/>
      <c r="C144" s="111"/>
      <c r="D144" s="115"/>
      <c r="E144" s="115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7"/>
      <c r="AC144" s="108"/>
      <c r="AD144" s="108"/>
      <c r="AE144" s="108"/>
      <c r="AF144" s="108"/>
    </row>
    <row r="145" spans="2:32" x14ac:dyDescent="0.25">
      <c r="B145" s="108"/>
      <c r="C145" s="111"/>
      <c r="D145" s="115"/>
      <c r="E145" s="115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7"/>
      <c r="AC145" s="108"/>
      <c r="AD145" s="108"/>
      <c r="AE145" s="108"/>
      <c r="AF145" s="108"/>
    </row>
    <row r="146" spans="2:32" x14ac:dyDescent="0.25">
      <c r="B146" s="108"/>
      <c r="C146" s="111"/>
      <c r="D146" s="115"/>
      <c r="E146" s="115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7"/>
      <c r="AC146" s="108"/>
      <c r="AD146" s="108"/>
      <c r="AE146" s="108"/>
      <c r="AF146" s="108"/>
    </row>
    <row r="147" spans="2:32" x14ac:dyDescent="0.25">
      <c r="B147" s="108"/>
      <c r="C147" s="111"/>
      <c r="D147" s="115"/>
      <c r="E147" s="115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7"/>
      <c r="AC147" s="108"/>
      <c r="AD147" s="108"/>
      <c r="AE147" s="108"/>
      <c r="AF147" s="108"/>
    </row>
    <row r="148" spans="2:32" x14ac:dyDescent="0.25">
      <c r="B148" s="108"/>
      <c r="C148" s="111"/>
      <c r="D148" s="115"/>
      <c r="E148" s="115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7"/>
      <c r="AC148" s="108"/>
      <c r="AD148" s="108"/>
      <c r="AE148" s="108"/>
      <c r="AF148" s="108"/>
    </row>
    <row r="149" spans="2:32" x14ac:dyDescent="0.25">
      <c r="B149" s="108"/>
      <c r="C149" s="111"/>
      <c r="D149" s="115"/>
      <c r="E149" s="115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7"/>
      <c r="AC149" s="108"/>
      <c r="AD149" s="108"/>
      <c r="AE149" s="108"/>
      <c r="AF149" s="108"/>
    </row>
    <row r="150" spans="2:32" x14ac:dyDescent="0.25">
      <c r="B150" s="108"/>
      <c r="C150" s="111"/>
      <c r="D150" s="115"/>
      <c r="E150" s="115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7"/>
      <c r="AC150" s="108"/>
      <c r="AD150" s="108"/>
      <c r="AE150" s="108"/>
      <c r="AF150" s="108"/>
    </row>
    <row r="151" spans="2:32" x14ac:dyDescent="0.25">
      <c r="B151" s="108"/>
      <c r="C151" s="111"/>
      <c r="D151" s="115"/>
      <c r="E151" s="115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7"/>
      <c r="AC151" s="108"/>
      <c r="AD151" s="108"/>
      <c r="AE151" s="108"/>
      <c r="AF151" s="108"/>
    </row>
    <row r="152" spans="2:32" x14ac:dyDescent="0.25">
      <c r="B152" s="108"/>
      <c r="C152" s="111"/>
      <c r="D152" s="115"/>
      <c r="E152" s="115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7"/>
      <c r="AC152" s="108"/>
      <c r="AD152" s="108"/>
      <c r="AE152" s="108"/>
      <c r="AF152" s="108"/>
    </row>
    <row r="153" spans="2:32" x14ac:dyDescent="0.25">
      <c r="B153" s="108"/>
      <c r="C153" s="111"/>
      <c r="D153" s="115"/>
      <c r="E153" s="115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7"/>
      <c r="AC153" s="108"/>
      <c r="AD153" s="108"/>
      <c r="AE153" s="108"/>
      <c r="AF153" s="108"/>
    </row>
    <row r="154" spans="2:32" x14ac:dyDescent="0.25">
      <c r="B154" s="108"/>
      <c r="C154" s="111"/>
      <c r="D154" s="115"/>
      <c r="E154" s="115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7"/>
      <c r="AC154" s="108"/>
      <c r="AD154" s="108"/>
      <c r="AE154" s="108"/>
      <c r="AF154" s="108"/>
    </row>
    <row r="155" spans="2:32" x14ac:dyDescent="0.25">
      <c r="B155" s="108"/>
      <c r="C155" s="111"/>
      <c r="D155" s="115"/>
      <c r="E155" s="115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7"/>
      <c r="AC155" s="108"/>
      <c r="AD155" s="108"/>
      <c r="AE155" s="108"/>
      <c r="AF155" s="108"/>
    </row>
    <row r="156" spans="2:32" x14ac:dyDescent="0.25">
      <c r="B156" s="108"/>
      <c r="C156" s="111"/>
      <c r="D156" s="115"/>
      <c r="E156" s="115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7"/>
      <c r="AC156" s="108"/>
      <c r="AD156" s="108"/>
      <c r="AE156" s="108"/>
      <c r="AF156" s="108"/>
    </row>
    <row r="157" spans="2:32" x14ac:dyDescent="0.25">
      <c r="B157" s="108"/>
      <c r="C157" s="111"/>
      <c r="D157" s="115"/>
      <c r="E157" s="115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7"/>
      <c r="AC157" s="108"/>
      <c r="AD157" s="108"/>
      <c r="AE157" s="108"/>
      <c r="AF157" s="108"/>
    </row>
    <row r="158" spans="2:32" x14ac:dyDescent="0.25">
      <c r="B158" s="108"/>
      <c r="C158" s="111"/>
      <c r="D158" s="115"/>
      <c r="E158" s="115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7"/>
      <c r="AC158" s="108"/>
      <c r="AD158" s="108"/>
      <c r="AE158" s="108"/>
      <c r="AF158" s="108"/>
    </row>
    <row r="159" spans="2:32" x14ac:dyDescent="0.25">
      <c r="B159" s="108"/>
      <c r="C159" s="111"/>
      <c r="D159" s="115"/>
      <c r="E159" s="115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7"/>
      <c r="AC159" s="108"/>
      <c r="AD159" s="108"/>
      <c r="AE159" s="108"/>
      <c r="AF159" s="108"/>
    </row>
    <row r="160" spans="2:32" x14ac:dyDescent="0.25">
      <c r="B160" s="108"/>
      <c r="C160" s="111"/>
      <c r="D160" s="115"/>
      <c r="E160" s="115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7"/>
      <c r="AC160" s="108"/>
      <c r="AD160" s="108"/>
      <c r="AE160" s="108"/>
      <c r="AF160" s="108"/>
    </row>
    <row r="161" spans="2:32" x14ac:dyDescent="0.25">
      <c r="B161" s="108"/>
      <c r="C161" s="111"/>
      <c r="D161" s="115"/>
      <c r="E161" s="115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7"/>
      <c r="AC161" s="108"/>
      <c r="AD161" s="108"/>
      <c r="AE161" s="108"/>
      <c r="AF161" s="108"/>
    </row>
    <row r="162" spans="2:32" x14ac:dyDescent="0.25">
      <c r="B162" s="108"/>
      <c r="C162" s="111"/>
      <c r="D162" s="115"/>
      <c r="E162" s="115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7"/>
      <c r="AC162" s="108"/>
      <c r="AD162" s="108"/>
      <c r="AE162" s="108"/>
      <c r="AF162" s="108"/>
    </row>
    <row r="163" spans="2:32" x14ac:dyDescent="0.25">
      <c r="B163" s="108"/>
      <c r="C163" s="111"/>
      <c r="D163" s="115"/>
      <c r="E163" s="115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7"/>
      <c r="AC163" s="108"/>
      <c r="AD163" s="108"/>
      <c r="AE163" s="108"/>
      <c r="AF163" s="108"/>
    </row>
    <row r="164" spans="2:32" x14ac:dyDescent="0.25">
      <c r="B164" s="108"/>
      <c r="C164" s="111"/>
      <c r="D164" s="115"/>
      <c r="E164" s="115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7"/>
      <c r="AC164" s="108"/>
      <c r="AD164" s="108"/>
      <c r="AE164" s="108"/>
      <c r="AF164" s="108"/>
    </row>
    <row r="165" spans="2:32" x14ac:dyDescent="0.25">
      <c r="B165" s="108"/>
      <c r="C165" s="111"/>
      <c r="D165" s="115"/>
      <c r="E165" s="115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7"/>
      <c r="AC165" s="108"/>
      <c r="AD165" s="108"/>
      <c r="AE165" s="108"/>
      <c r="AF165" s="108"/>
    </row>
    <row r="166" spans="2:32" x14ac:dyDescent="0.25">
      <c r="B166" s="108"/>
      <c r="C166" s="111"/>
      <c r="D166" s="115"/>
      <c r="E166" s="115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7"/>
      <c r="AC166" s="108"/>
      <c r="AD166" s="108"/>
      <c r="AE166" s="108"/>
      <c r="AF166" s="108"/>
    </row>
    <row r="167" spans="2:32" x14ac:dyDescent="0.25">
      <c r="B167" s="108"/>
      <c r="C167" s="111"/>
      <c r="D167" s="115"/>
      <c r="E167" s="115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7"/>
      <c r="AC167" s="108"/>
      <c r="AD167" s="108"/>
      <c r="AE167" s="108"/>
      <c r="AF167" s="108"/>
    </row>
    <row r="168" spans="2:32" x14ac:dyDescent="0.25">
      <c r="B168" s="108"/>
      <c r="C168" s="111"/>
      <c r="D168" s="115"/>
      <c r="E168" s="115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7"/>
      <c r="AC168" s="108"/>
      <c r="AD168" s="108"/>
      <c r="AE168" s="108"/>
      <c r="AF168" s="108"/>
    </row>
    <row r="169" spans="2:32" x14ac:dyDescent="0.25">
      <c r="B169" s="108"/>
      <c r="C169" s="111"/>
      <c r="D169" s="115"/>
      <c r="E169" s="115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7"/>
      <c r="AC169" s="108"/>
      <c r="AD169" s="108"/>
      <c r="AE169" s="108"/>
      <c r="AF169" s="108"/>
    </row>
    <row r="170" spans="2:32" x14ac:dyDescent="0.25">
      <c r="B170" s="108"/>
      <c r="C170" s="111"/>
      <c r="D170" s="115"/>
      <c r="E170" s="115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7"/>
      <c r="AC170" s="108"/>
      <c r="AD170" s="108"/>
      <c r="AE170" s="108"/>
      <c r="AF170" s="108"/>
    </row>
    <row r="171" spans="2:32" x14ac:dyDescent="0.25">
      <c r="B171" s="108"/>
      <c r="C171" s="111"/>
      <c r="D171" s="115"/>
      <c r="E171" s="115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7"/>
      <c r="AC171" s="108"/>
      <c r="AD171" s="108"/>
      <c r="AE171" s="108"/>
      <c r="AF171" s="108"/>
    </row>
    <row r="172" spans="2:32" x14ac:dyDescent="0.25">
      <c r="B172" s="108"/>
      <c r="C172" s="111"/>
      <c r="D172" s="115"/>
      <c r="E172" s="115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7"/>
      <c r="AC172" s="108"/>
      <c r="AD172" s="108"/>
      <c r="AE172" s="108"/>
      <c r="AF172" s="108"/>
    </row>
    <row r="173" spans="2:32" x14ac:dyDescent="0.25">
      <c r="B173" s="108"/>
      <c r="C173" s="111"/>
      <c r="D173" s="115"/>
      <c r="E173" s="115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7"/>
      <c r="AC173" s="108"/>
      <c r="AD173" s="108"/>
      <c r="AE173" s="108"/>
      <c r="AF173" s="108"/>
    </row>
    <row r="174" spans="2:32" x14ac:dyDescent="0.25">
      <c r="B174" s="108"/>
      <c r="C174" s="111"/>
      <c r="D174" s="115"/>
      <c r="E174" s="115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7"/>
      <c r="AC174" s="108"/>
      <c r="AD174" s="108"/>
      <c r="AE174" s="108"/>
      <c r="AF174" s="108"/>
    </row>
    <row r="175" spans="2:32" x14ac:dyDescent="0.25">
      <c r="B175" s="108"/>
      <c r="C175" s="111"/>
      <c r="D175" s="115"/>
      <c r="E175" s="115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7"/>
      <c r="AC175" s="108"/>
      <c r="AD175" s="108"/>
      <c r="AE175" s="108"/>
      <c r="AF175" s="108"/>
    </row>
    <row r="176" spans="2:32" x14ac:dyDescent="0.25">
      <c r="B176" s="108"/>
      <c r="C176" s="111"/>
      <c r="D176" s="115"/>
      <c r="E176" s="115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7"/>
      <c r="AC176" s="108"/>
      <c r="AD176" s="108"/>
      <c r="AE176" s="108"/>
      <c r="AF176" s="108"/>
    </row>
    <row r="177" spans="2:32" x14ac:dyDescent="0.25">
      <c r="B177" s="108"/>
      <c r="C177" s="111"/>
      <c r="D177" s="115"/>
      <c r="E177" s="115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7"/>
      <c r="AC177" s="108"/>
      <c r="AD177" s="108"/>
      <c r="AE177" s="108"/>
      <c r="AF177" s="108"/>
    </row>
    <row r="178" spans="2:32" x14ac:dyDescent="0.25">
      <c r="B178" s="108"/>
      <c r="C178" s="111"/>
      <c r="D178" s="115"/>
      <c r="E178" s="115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7"/>
      <c r="AC178" s="108"/>
      <c r="AD178" s="108"/>
      <c r="AE178" s="108"/>
      <c r="AF178" s="108"/>
    </row>
    <row r="179" spans="2:32" x14ac:dyDescent="0.25">
      <c r="B179" s="108"/>
      <c r="C179" s="111"/>
      <c r="D179" s="115"/>
      <c r="E179" s="115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7"/>
      <c r="AC179" s="108"/>
      <c r="AD179" s="108"/>
      <c r="AE179" s="108"/>
      <c r="AF179" s="108"/>
    </row>
    <row r="180" spans="2:32" x14ac:dyDescent="0.25">
      <c r="B180" s="108"/>
      <c r="C180" s="111"/>
      <c r="D180" s="115"/>
      <c r="E180" s="115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7"/>
      <c r="AC180" s="108"/>
      <c r="AD180" s="108"/>
      <c r="AE180" s="108"/>
      <c r="AF180" s="108"/>
    </row>
    <row r="181" spans="2:32" x14ac:dyDescent="0.25">
      <c r="B181" s="108"/>
      <c r="C181" s="111"/>
      <c r="D181" s="115"/>
      <c r="E181" s="115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7"/>
      <c r="AC181" s="108"/>
      <c r="AD181" s="108"/>
      <c r="AE181" s="108"/>
      <c r="AF181" s="108"/>
    </row>
    <row r="182" spans="2:32" x14ac:dyDescent="0.25">
      <c r="B182" s="108"/>
      <c r="C182" s="111"/>
      <c r="D182" s="115"/>
      <c r="E182" s="115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7"/>
      <c r="AC182" s="108"/>
      <c r="AD182" s="108"/>
      <c r="AE182" s="108"/>
      <c r="AF182" s="108"/>
    </row>
    <row r="183" spans="2:32" x14ac:dyDescent="0.25">
      <c r="B183" s="108"/>
      <c r="C183" s="111"/>
      <c r="D183" s="115"/>
      <c r="E183" s="115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7"/>
      <c r="AC183" s="108"/>
      <c r="AD183" s="108"/>
      <c r="AE183" s="108"/>
      <c r="AF183" s="108"/>
    </row>
    <row r="184" spans="2:32" x14ac:dyDescent="0.25">
      <c r="B184" s="108"/>
      <c r="C184" s="111"/>
      <c r="D184" s="115"/>
      <c r="E184" s="115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7"/>
      <c r="AC184" s="108"/>
      <c r="AD184" s="108"/>
      <c r="AE184" s="108"/>
      <c r="AF184" s="108"/>
    </row>
    <row r="185" spans="2:32" x14ac:dyDescent="0.25">
      <c r="B185" s="108"/>
      <c r="C185" s="111"/>
      <c r="D185" s="115"/>
      <c r="E185" s="115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7"/>
      <c r="AC185" s="108"/>
      <c r="AD185" s="108"/>
      <c r="AE185" s="108"/>
      <c r="AF185" s="108"/>
    </row>
    <row r="186" spans="2:32" x14ac:dyDescent="0.25">
      <c r="B186" s="108"/>
      <c r="C186" s="111"/>
      <c r="D186" s="115"/>
      <c r="E186" s="115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7"/>
      <c r="AC186" s="108"/>
      <c r="AD186" s="108"/>
      <c r="AE186" s="108"/>
      <c r="AF186" s="108"/>
    </row>
    <row r="187" spans="2:32" x14ac:dyDescent="0.25">
      <c r="B187" s="108"/>
      <c r="C187" s="111"/>
      <c r="D187" s="115"/>
      <c r="E187" s="115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7"/>
      <c r="AC187" s="108"/>
      <c r="AD187" s="108"/>
      <c r="AE187" s="108"/>
      <c r="AF187" s="108"/>
    </row>
    <row r="188" spans="2:32" x14ac:dyDescent="0.25">
      <c r="B188" s="108"/>
      <c r="C188" s="111"/>
      <c r="D188" s="115"/>
      <c r="E188" s="115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7"/>
      <c r="AC188" s="108"/>
      <c r="AD188" s="108"/>
      <c r="AE188" s="108"/>
      <c r="AF188" s="108"/>
    </row>
    <row r="189" spans="2:32" x14ac:dyDescent="0.25">
      <c r="B189" s="108"/>
      <c r="C189" s="111"/>
      <c r="D189" s="115"/>
      <c r="E189" s="115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7"/>
      <c r="AC189" s="108"/>
      <c r="AD189" s="108"/>
      <c r="AE189" s="108"/>
      <c r="AF189" s="108"/>
    </row>
    <row r="190" spans="2:32" x14ac:dyDescent="0.25">
      <c r="B190" s="108"/>
      <c r="C190" s="111"/>
      <c r="D190" s="115"/>
      <c r="E190" s="115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7"/>
      <c r="AC190" s="108"/>
      <c r="AD190" s="108"/>
      <c r="AE190" s="108"/>
      <c r="AF190" s="108"/>
    </row>
    <row r="191" spans="2:32" x14ac:dyDescent="0.25">
      <c r="B191" s="108"/>
      <c r="C191" s="111"/>
      <c r="D191" s="115"/>
      <c r="E191" s="115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7"/>
      <c r="AC191" s="108"/>
      <c r="AD191" s="108"/>
      <c r="AE191" s="108"/>
      <c r="AF191" s="108"/>
    </row>
    <row r="192" spans="2:32" x14ac:dyDescent="0.25">
      <c r="B192" s="108"/>
      <c r="C192" s="111"/>
      <c r="D192" s="115"/>
      <c r="E192" s="115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7"/>
      <c r="AC192" s="108"/>
      <c r="AD192" s="108"/>
      <c r="AE192" s="108"/>
      <c r="AF192" s="108"/>
    </row>
    <row r="193" spans="2:32" x14ac:dyDescent="0.25">
      <c r="B193" s="108"/>
      <c r="C193" s="111"/>
      <c r="D193" s="115"/>
      <c r="E193" s="115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7"/>
      <c r="AC193" s="108"/>
      <c r="AD193" s="108"/>
      <c r="AE193" s="108"/>
      <c r="AF193" s="108"/>
    </row>
    <row r="194" spans="2:32" x14ac:dyDescent="0.25">
      <c r="B194" s="108"/>
      <c r="C194" s="111"/>
      <c r="D194" s="115"/>
      <c r="E194" s="115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7"/>
      <c r="AC194" s="108"/>
      <c r="AD194" s="108"/>
      <c r="AE194" s="108"/>
      <c r="AF194" s="108"/>
    </row>
    <row r="195" spans="2:32" x14ac:dyDescent="0.25">
      <c r="B195" s="108"/>
      <c r="C195" s="111"/>
      <c r="D195" s="115"/>
      <c r="E195" s="115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7"/>
      <c r="AC195" s="108"/>
      <c r="AD195" s="108"/>
      <c r="AE195" s="108"/>
      <c r="AF195" s="108"/>
    </row>
    <row r="196" spans="2:32" x14ac:dyDescent="0.25">
      <c r="B196" s="108"/>
      <c r="C196" s="111"/>
      <c r="D196" s="115"/>
      <c r="E196" s="115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7"/>
      <c r="AC196" s="108"/>
      <c r="AD196" s="108"/>
      <c r="AE196" s="108"/>
      <c r="AF196" s="108"/>
    </row>
    <row r="197" spans="2:32" x14ac:dyDescent="0.25">
      <c r="B197" s="108"/>
      <c r="C197" s="111"/>
      <c r="D197" s="115"/>
      <c r="E197" s="115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7"/>
      <c r="AC197" s="108"/>
      <c r="AD197" s="108"/>
      <c r="AE197" s="108"/>
      <c r="AF197" s="108"/>
    </row>
    <row r="198" spans="2:32" x14ac:dyDescent="0.25">
      <c r="B198" s="108"/>
      <c r="C198" s="111"/>
      <c r="D198" s="115"/>
      <c r="E198" s="115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7"/>
      <c r="AC198" s="108"/>
      <c r="AD198" s="108"/>
      <c r="AE198" s="108"/>
      <c r="AF198" s="108"/>
    </row>
    <row r="199" spans="2:32" x14ac:dyDescent="0.25">
      <c r="B199" s="108"/>
      <c r="C199" s="111"/>
      <c r="D199" s="115"/>
      <c r="E199" s="115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7"/>
      <c r="AC199" s="108"/>
      <c r="AD199" s="108"/>
      <c r="AE199" s="108"/>
      <c r="AF199" s="108"/>
    </row>
    <row r="200" spans="2:32" x14ac:dyDescent="0.25">
      <c r="B200" s="108"/>
      <c r="C200" s="111"/>
      <c r="D200" s="115"/>
      <c r="E200" s="115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7"/>
      <c r="AC200" s="108"/>
      <c r="AD200" s="108"/>
      <c r="AE200" s="108"/>
      <c r="AF200" s="108"/>
    </row>
    <row r="201" spans="2:32" x14ac:dyDescent="0.25">
      <c r="B201" s="108"/>
      <c r="C201" s="111"/>
      <c r="D201" s="115"/>
      <c r="E201" s="115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7"/>
      <c r="AC201" s="108"/>
      <c r="AD201" s="108"/>
      <c r="AE201" s="108"/>
      <c r="AF201" s="108"/>
    </row>
    <row r="202" spans="2:32" x14ac:dyDescent="0.25">
      <c r="B202" s="108"/>
      <c r="C202" s="111"/>
      <c r="D202" s="115"/>
      <c r="E202" s="115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7"/>
      <c r="AC202" s="108"/>
      <c r="AD202" s="108"/>
      <c r="AE202" s="108"/>
      <c r="AF202" s="108"/>
    </row>
    <row r="203" spans="2:32" x14ac:dyDescent="0.25">
      <c r="B203" s="108"/>
      <c r="C203" s="111"/>
      <c r="D203" s="115"/>
      <c r="E203" s="115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7"/>
      <c r="AC203" s="108"/>
      <c r="AD203" s="108"/>
      <c r="AE203" s="108"/>
      <c r="AF203" s="108"/>
    </row>
    <row r="204" spans="2:32" x14ac:dyDescent="0.25">
      <c r="B204" s="108"/>
      <c r="C204" s="111"/>
      <c r="D204" s="115"/>
      <c r="E204" s="115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7"/>
      <c r="AC204" s="108"/>
      <c r="AD204" s="108"/>
      <c r="AE204" s="108"/>
      <c r="AF204" s="108"/>
    </row>
    <row r="205" spans="2:32" x14ac:dyDescent="0.25">
      <c r="B205" s="108"/>
      <c r="C205" s="111"/>
      <c r="D205" s="115"/>
      <c r="E205" s="115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7"/>
      <c r="AC205" s="108"/>
      <c r="AD205" s="108"/>
      <c r="AE205" s="108"/>
      <c r="AF205" s="108"/>
    </row>
    <row r="206" spans="2:32" x14ac:dyDescent="0.25">
      <c r="B206" s="108"/>
      <c r="C206" s="111"/>
      <c r="D206" s="115"/>
      <c r="E206" s="115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7"/>
      <c r="AC206" s="108"/>
      <c r="AD206" s="108"/>
      <c r="AE206" s="108"/>
      <c r="AF206" s="108"/>
    </row>
    <row r="207" spans="2:32" x14ac:dyDescent="0.25">
      <c r="B207" s="108"/>
      <c r="C207" s="111"/>
      <c r="D207" s="115"/>
      <c r="E207" s="115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7"/>
      <c r="AC207" s="108"/>
      <c r="AD207" s="108"/>
      <c r="AE207" s="108"/>
      <c r="AF207" s="108"/>
    </row>
    <row r="208" spans="2:32" x14ac:dyDescent="0.25">
      <c r="B208" s="108"/>
      <c r="C208" s="111"/>
      <c r="D208" s="115"/>
      <c r="E208" s="115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7"/>
      <c r="AC208" s="108"/>
      <c r="AD208" s="108"/>
      <c r="AE208" s="108"/>
      <c r="AF208" s="108"/>
    </row>
    <row r="209" spans="2:32" x14ac:dyDescent="0.25">
      <c r="B209" s="108"/>
      <c r="C209" s="111"/>
      <c r="D209" s="115"/>
      <c r="E209" s="115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7"/>
      <c r="AC209" s="108"/>
      <c r="AD209" s="108"/>
      <c r="AE209" s="108"/>
      <c r="AF209" s="108"/>
    </row>
    <row r="210" spans="2:32" x14ac:dyDescent="0.25">
      <c r="B210" s="108"/>
      <c r="C210" s="111"/>
      <c r="D210" s="115"/>
      <c r="E210" s="115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7"/>
      <c r="AC210" s="108"/>
      <c r="AD210" s="108"/>
      <c r="AE210" s="108"/>
      <c r="AF210" s="108"/>
    </row>
    <row r="211" spans="2:32" x14ac:dyDescent="0.25">
      <c r="B211" s="108"/>
      <c r="C211" s="111"/>
      <c r="D211" s="115"/>
      <c r="E211" s="115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7"/>
      <c r="AC211" s="108"/>
      <c r="AD211" s="108"/>
      <c r="AE211" s="108"/>
      <c r="AF211" s="108"/>
    </row>
    <row r="212" spans="2:32" x14ac:dyDescent="0.25">
      <c r="B212" s="108"/>
      <c r="C212" s="111"/>
      <c r="D212" s="115"/>
      <c r="E212" s="115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7"/>
      <c r="AC212" s="108"/>
      <c r="AD212" s="108"/>
      <c r="AE212" s="108"/>
      <c r="AF212" s="108"/>
    </row>
    <row r="213" spans="2:32" x14ac:dyDescent="0.25">
      <c r="B213" s="108"/>
      <c r="C213" s="111"/>
      <c r="D213" s="115"/>
      <c r="E213" s="115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7"/>
      <c r="AC213" s="108"/>
      <c r="AD213" s="108"/>
      <c r="AE213" s="108"/>
      <c r="AF213" s="108"/>
    </row>
    <row r="214" spans="2:32" x14ac:dyDescent="0.25">
      <c r="B214" s="108"/>
      <c r="C214" s="111"/>
      <c r="D214" s="115"/>
      <c r="E214" s="115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7"/>
      <c r="AC214" s="108"/>
      <c r="AD214" s="108"/>
      <c r="AE214" s="108"/>
      <c r="AF214" s="108"/>
    </row>
    <row r="215" spans="2:32" x14ac:dyDescent="0.25">
      <c r="B215" s="108"/>
      <c r="C215" s="111"/>
      <c r="D215" s="115"/>
      <c r="E215" s="115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7"/>
      <c r="AC215" s="108"/>
      <c r="AD215" s="108"/>
      <c r="AE215" s="108"/>
      <c r="AF215" s="108"/>
    </row>
    <row r="216" spans="2:32" x14ac:dyDescent="0.25">
      <c r="B216" s="108"/>
      <c r="C216" s="111"/>
      <c r="D216" s="115"/>
      <c r="E216" s="115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7"/>
      <c r="AC216" s="108"/>
      <c r="AD216" s="108"/>
      <c r="AE216" s="108"/>
      <c r="AF216" s="108"/>
    </row>
    <row r="217" spans="2:32" x14ac:dyDescent="0.25">
      <c r="B217" s="108"/>
      <c r="C217" s="111"/>
      <c r="D217" s="115"/>
      <c r="E217" s="115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7"/>
      <c r="AC217" s="108"/>
      <c r="AD217" s="108"/>
      <c r="AE217" s="108"/>
      <c r="AF217" s="108"/>
    </row>
    <row r="218" spans="2:32" x14ac:dyDescent="0.25">
      <c r="B218" s="108"/>
      <c r="C218" s="111"/>
      <c r="D218" s="115"/>
      <c r="E218" s="115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7"/>
      <c r="AC218" s="108"/>
      <c r="AD218" s="108"/>
      <c r="AE218" s="108"/>
      <c r="AF218" s="108"/>
    </row>
    <row r="219" spans="2:32" x14ac:dyDescent="0.25">
      <c r="B219" s="108"/>
      <c r="C219" s="111"/>
      <c r="D219" s="115"/>
      <c r="E219" s="115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7"/>
      <c r="AC219" s="108"/>
      <c r="AD219" s="108"/>
      <c r="AE219" s="108"/>
      <c r="AF219" s="108"/>
    </row>
    <row r="220" spans="2:32" x14ac:dyDescent="0.25">
      <c r="B220" s="108"/>
      <c r="C220" s="111"/>
      <c r="D220" s="115"/>
      <c r="E220" s="115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7"/>
      <c r="AC220" s="108"/>
      <c r="AD220" s="108"/>
      <c r="AE220" s="108"/>
      <c r="AF220" s="108"/>
    </row>
    <row r="221" spans="2:32" x14ac:dyDescent="0.25">
      <c r="B221" s="108"/>
      <c r="C221" s="111"/>
      <c r="D221" s="115"/>
      <c r="E221" s="115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7"/>
      <c r="AC221" s="108"/>
      <c r="AD221" s="108"/>
      <c r="AE221" s="108"/>
      <c r="AF221" s="108"/>
    </row>
    <row r="222" spans="2:32" x14ac:dyDescent="0.25">
      <c r="B222" s="108"/>
      <c r="C222" s="111"/>
      <c r="D222" s="115"/>
      <c r="E222" s="115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7"/>
      <c r="AC222" s="108"/>
      <c r="AD222" s="108"/>
      <c r="AE222" s="108"/>
      <c r="AF222" s="108"/>
    </row>
    <row r="223" spans="2:32" x14ac:dyDescent="0.25">
      <c r="B223" s="108"/>
      <c r="C223" s="111"/>
      <c r="D223" s="115"/>
      <c r="E223" s="115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7"/>
      <c r="AC223" s="108"/>
      <c r="AD223" s="108"/>
      <c r="AE223" s="108"/>
      <c r="AF223" s="108"/>
    </row>
    <row r="224" spans="2:32" x14ac:dyDescent="0.25">
      <c r="B224" s="108"/>
      <c r="C224" s="111"/>
      <c r="D224" s="115"/>
      <c r="E224" s="115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7"/>
      <c r="AC224" s="108"/>
      <c r="AD224" s="108"/>
      <c r="AE224" s="108"/>
      <c r="AF224" s="108"/>
    </row>
    <row r="225" spans="2:32" x14ac:dyDescent="0.25">
      <c r="B225" s="108"/>
      <c r="C225" s="111"/>
      <c r="D225" s="115"/>
      <c r="E225" s="115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7"/>
      <c r="AC225" s="108"/>
      <c r="AD225" s="108"/>
      <c r="AE225" s="108"/>
      <c r="AF225" s="108"/>
    </row>
    <row r="226" spans="2:32" x14ac:dyDescent="0.25">
      <c r="B226" s="108"/>
      <c r="C226" s="111"/>
      <c r="D226" s="115"/>
      <c r="E226" s="115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7"/>
      <c r="AC226" s="108"/>
      <c r="AD226" s="108"/>
      <c r="AE226" s="108"/>
      <c r="AF226" s="108"/>
    </row>
    <row r="227" spans="2:32" x14ac:dyDescent="0.25">
      <c r="B227" s="108"/>
      <c r="C227" s="111"/>
      <c r="D227" s="115"/>
      <c r="E227" s="115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7"/>
      <c r="AC227" s="108"/>
      <c r="AD227" s="108"/>
      <c r="AE227" s="108"/>
      <c r="AF227" s="108"/>
    </row>
    <row r="228" spans="2:32" x14ac:dyDescent="0.25">
      <c r="B228" s="108"/>
      <c r="C228" s="111"/>
      <c r="D228" s="115"/>
      <c r="E228" s="115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7"/>
      <c r="AC228" s="108"/>
      <c r="AD228" s="108"/>
      <c r="AE228" s="108"/>
      <c r="AF228" s="108"/>
    </row>
    <row r="229" spans="2:32" x14ac:dyDescent="0.25">
      <c r="B229" s="108"/>
      <c r="C229" s="111"/>
      <c r="D229" s="115"/>
      <c r="E229" s="115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7"/>
      <c r="AC229" s="108"/>
      <c r="AD229" s="108"/>
      <c r="AE229" s="108"/>
      <c r="AF229" s="108"/>
    </row>
    <row r="230" spans="2:32" x14ac:dyDescent="0.25">
      <c r="B230" s="108"/>
      <c r="C230" s="111"/>
      <c r="D230" s="115"/>
      <c r="E230" s="115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7"/>
      <c r="AC230" s="108"/>
      <c r="AD230" s="108"/>
      <c r="AE230" s="108"/>
      <c r="AF230" s="108"/>
    </row>
    <row r="231" spans="2:32" x14ac:dyDescent="0.25">
      <c r="B231" s="108"/>
      <c r="C231" s="111"/>
      <c r="D231" s="115"/>
      <c r="E231" s="115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7"/>
      <c r="AC231" s="108"/>
      <c r="AD231" s="108"/>
      <c r="AE231" s="108"/>
      <c r="AF231" s="108"/>
    </row>
    <row r="232" spans="2:32" x14ac:dyDescent="0.25">
      <c r="B232" s="108"/>
      <c r="C232" s="111"/>
      <c r="D232" s="115"/>
      <c r="E232" s="115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7"/>
      <c r="AC232" s="108"/>
      <c r="AD232" s="108"/>
      <c r="AE232" s="108"/>
      <c r="AF232" s="108"/>
    </row>
    <row r="233" spans="2:32" x14ac:dyDescent="0.25">
      <c r="B233" s="108"/>
      <c r="C233" s="111"/>
      <c r="D233" s="115"/>
      <c r="E233" s="115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7"/>
      <c r="AC233" s="108"/>
      <c r="AD233" s="108"/>
      <c r="AE233" s="108"/>
      <c r="AF233" s="108"/>
    </row>
    <row r="234" spans="2:32" x14ac:dyDescent="0.25">
      <c r="B234" s="108"/>
      <c r="C234" s="111"/>
      <c r="D234" s="115"/>
      <c r="E234" s="115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7"/>
      <c r="AC234" s="108"/>
      <c r="AD234" s="108"/>
      <c r="AE234" s="108"/>
      <c r="AF234" s="108"/>
    </row>
    <row r="235" spans="2:32" x14ac:dyDescent="0.25">
      <c r="B235" s="108"/>
      <c r="C235" s="111"/>
      <c r="D235" s="115"/>
      <c r="E235" s="115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7"/>
      <c r="AC235" s="108"/>
      <c r="AD235" s="108"/>
      <c r="AE235" s="108"/>
      <c r="AF235" s="108"/>
    </row>
    <row r="236" spans="2:32" x14ac:dyDescent="0.25">
      <c r="B236" s="108"/>
      <c r="C236" s="111"/>
      <c r="D236" s="115"/>
      <c r="E236" s="115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7"/>
      <c r="AC236" s="108"/>
      <c r="AD236" s="108"/>
      <c r="AE236" s="108"/>
      <c r="AF236" s="108"/>
    </row>
    <row r="237" spans="2:32" x14ac:dyDescent="0.25">
      <c r="B237" s="108"/>
      <c r="C237" s="111"/>
      <c r="D237" s="115"/>
      <c r="E237" s="115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7"/>
      <c r="AC237" s="108"/>
      <c r="AD237" s="108"/>
      <c r="AE237" s="108"/>
      <c r="AF237" s="108"/>
    </row>
    <row r="238" spans="2:32" x14ac:dyDescent="0.25">
      <c r="B238" s="108"/>
      <c r="C238" s="111"/>
      <c r="D238" s="115"/>
      <c r="E238" s="115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7"/>
      <c r="AC238" s="108"/>
      <c r="AD238" s="108"/>
      <c r="AE238" s="108"/>
      <c r="AF238" s="108"/>
    </row>
    <row r="239" spans="2:32" x14ac:dyDescent="0.25">
      <c r="B239" s="108"/>
      <c r="C239" s="111"/>
      <c r="D239" s="115"/>
      <c r="E239" s="115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7"/>
      <c r="AC239" s="108"/>
      <c r="AD239" s="108"/>
      <c r="AE239" s="108"/>
      <c r="AF239" s="108"/>
    </row>
    <row r="240" spans="2:32" x14ac:dyDescent="0.25">
      <c r="B240" s="108"/>
      <c r="C240" s="111"/>
      <c r="D240" s="115"/>
      <c r="E240" s="115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7"/>
      <c r="AC240" s="108"/>
      <c r="AD240" s="108"/>
      <c r="AE240" s="108"/>
      <c r="AF240" s="108"/>
    </row>
    <row r="241" spans="2:32" x14ac:dyDescent="0.25">
      <c r="B241" s="108"/>
      <c r="C241" s="111"/>
      <c r="D241" s="115"/>
      <c r="E241" s="115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7"/>
      <c r="AC241" s="108"/>
      <c r="AD241" s="108"/>
      <c r="AE241" s="108"/>
      <c r="AF241" s="108"/>
    </row>
    <row r="242" spans="2:32" x14ac:dyDescent="0.25">
      <c r="B242" s="108"/>
      <c r="C242" s="111"/>
      <c r="D242" s="115"/>
      <c r="E242" s="115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7"/>
      <c r="AC242" s="108"/>
      <c r="AD242" s="108"/>
      <c r="AE242" s="108"/>
      <c r="AF242" s="108"/>
    </row>
    <row r="243" spans="2:32" x14ac:dyDescent="0.25">
      <c r="B243" s="108"/>
      <c r="C243" s="111"/>
      <c r="D243" s="115"/>
      <c r="E243" s="115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7"/>
      <c r="AC243" s="108"/>
      <c r="AD243" s="108"/>
      <c r="AE243" s="108"/>
      <c r="AF243" s="108"/>
    </row>
    <row r="244" spans="2:32" x14ac:dyDescent="0.25">
      <c r="B244" s="108"/>
      <c r="C244" s="111"/>
      <c r="D244" s="115"/>
      <c r="E244" s="115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7"/>
      <c r="AC244" s="108"/>
      <c r="AD244" s="108"/>
      <c r="AE244" s="108"/>
      <c r="AF244" s="108"/>
    </row>
    <row r="245" spans="2:32" x14ac:dyDescent="0.25">
      <c r="B245" s="108"/>
      <c r="C245" s="111"/>
      <c r="D245" s="115"/>
      <c r="E245" s="115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7"/>
      <c r="AC245" s="108"/>
      <c r="AD245" s="108"/>
      <c r="AE245" s="108"/>
      <c r="AF245" s="108"/>
    </row>
    <row r="246" spans="2:32" x14ac:dyDescent="0.25">
      <c r="B246" s="108"/>
      <c r="C246" s="111"/>
      <c r="D246" s="115"/>
      <c r="E246" s="115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7"/>
      <c r="AC246" s="108"/>
      <c r="AD246" s="108"/>
      <c r="AE246" s="108"/>
      <c r="AF246" s="108"/>
    </row>
    <row r="247" spans="2:32" x14ac:dyDescent="0.25">
      <c r="B247" s="108"/>
      <c r="C247" s="111"/>
      <c r="D247" s="115"/>
      <c r="E247" s="115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7"/>
      <c r="AC247" s="108"/>
      <c r="AD247" s="108"/>
      <c r="AE247" s="108"/>
      <c r="AF247" s="108"/>
    </row>
    <row r="248" spans="2:32" x14ac:dyDescent="0.25">
      <c r="B248" s="108"/>
      <c r="C248" s="111"/>
      <c r="D248" s="115"/>
      <c r="E248" s="115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7"/>
      <c r="AC248" s="108"/>
      <c r="AD248" s="108"/>
      <c r="AE248" s="108"/>
      <c r="AF248" s="108"/>
    </row>
    <row r="249" spans="2:32" x14ac:dyDescent="0.25">
      <c r="B249" s="108"/>
      <c r="C249" s="111"/>
      <c r="D249" s="115"/>
      <c r="E249" s="115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7"/>
      <c r="AC249" s="108"/>
      <c r="AD249" s="108"/>
      <c r="AE249" s="108"/>
      <c r="AF249" s="108"/>
    </row>
    <row r="250" spans="2:32" x14ac:dyDescent="0.25">
      <c r="B250" s="108"/>
      <c r="C250" s="111"/>
      <c r="D250" s="115"/>
      <c r="E250" s="115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7"/>
      <c r="AC250" s="108"/>
      <c r="AD250" s="108"/>
      <c r="AE250" s="108"/>
      <c r="AF250" s="108"/>
    </row>
    <row r="251" spans="2:32" x14ac:dyDescent="0.25">
      <c r="B251" s="108"/>
      <c r="C251" s="111"/>
      <c r="D251" s="115"/>
      <c r="E251" s="115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7"/>
      <c r="AC251" s="108"/>
      <c r="AD251" s="108"/>
      <c r="AE251" s="108"/>
      <c r="AF251" s="108"/>
    </row>
    <row r="252" spans="2:32" x14ac:dyDescent="0.25">
      <c r="B252" s="108"/>
      <c r="C252" s="111"/>
      <c r="D252" s="115"/>
      <c r="E252" s="115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7"/>
      <c r="AC252" s="108"/>
      <c r="AD252" s="108"/>
      <c r="AE252" s="108"/>
      <c r="AF252" s="108"/>
    </row>
    <row r="253" spans="2:32" x14ac:dyDescent="0.25">
      <c r="B253" s="108"/>
      <c r="C253" s="111"/>
      <c r="D253" s="115"/>
      <c r="E253" s="115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7"/>
      <c r="AC253" s="108"/>
      <c r="AD253" s="108"/>
      <c r="AE253" s="108"/>
      <c r="AF253" s="108"/>
    </row>
    <row r="254" spans="2:32" x14ac:dyDescent="0.25">
      <c r="B254" s="108"/>
      <c r="C254" s="111"/>
      <c r="D254" s="115"/>
      <c r="E254" s="115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7"/>
      <c r="AC254" s="108"/>
      <c r="AD254" s="108"/>
      <c r="AE254" s="108"/>
      <c r="AF254" s="108"/>
    </row>
    <row r="255" spans="2:32" x14ac:dyDescent="0.25">
      <c r="B255" s="108"/>
      <c r="C255" s="111"/>
      <c r="D255" s="115"/>
      <c r="E255" s="115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7"/>
      <c r="AC255" s="108"/>
      <c r="AD255" s="108"/>
      <c r="AE255" s="108"/>
      <c r="AF255" s="108"/>
    </row>
    <row r="256" spans="2:32" x14ac:dyDescent="0.25">
      <c r="B256" s="108"/>
      <c r="C256" s="111"/>
      <c r="D256" s="115"/>
      <c r="E256" s="115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7"/>
      <c r="AC256" s="108"/>
      <c r="AD256" s="108"/>
      <c r="AE256" s="108"/>
      <c r="AF256" s="108"/>
    </row>
    <row r="257" spans="2:32" x14ac:dyDescent="0.25">
      <c r="B257" s="108"/>
      <c r="C257" s="111"/>
      <c r="D257" s="115"/>
      <c r="E257" s="115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7"/>
      <c r="AC257" s="108"/>
      <c r="AD257" s="108"/>
      <c r="AE257" s="108"/>
      <c r="AF257" s="108"/>
    </row>
    <row r="258" spans="2:32" x14ac:dyDescent="0.25">
      <c r="B258" s="108"/>
      <c r="C258" s="111"/>
      <c r="D258" s="115"/>
      <c r="E258" s="115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7"/>
      <c r="AC258" s="108"/>
      <c r="AD258" s="108"/>
      <c r="AE258" s="108"/>
      <c r="AF258" s="108"/>
    </row>
    <row r="259" spans="2:32" x14ac:dyDescent="0.25">
      <c r="B259" s="108"/>
      <c r="C259" s="111"/>
      <c r="D259" s="115"/>
      <c r="E259" s="115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7"/>
      <c r="AC259" s="108"/>
      <c r="AD259" s="108"/>
      <c r="AE259" s="108"/>
      <c r="AF259" s="108"/>
    </row>
    <row r="260" spans="2:32" x14ac:dyDescent="0.25">
      <c r="B260" s="108"/>
      <c r="C260" s="111"/>
      <c r="D260" s="115"/>
      <c r="E260" s="115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7"/>
      <c r="AC260" s="108"/>
      <c r="AD260" s="108"/>
      <c r="AE260" s="108"/>
      <c r="AF260" s="108"/>
    </row>
    <row r="261" spans="2:32" x14ac:dyDescent="0.25">
      <c r="B261" s="108"/>
      <c r="C261" s="111"/>
      <c r="D261" s="115"/>
      <c r="E261" s="115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7"/>
      <c r="AC261" s="108"/>
      <c r="AD261" s="108"/>
      <c r="AE261" s="108"/>
      <c r="AF261" s="108"/>
    </row>
    <row r="262" spans="2:32" x14ac:dyDescent="0.25">
      <c r="B262" s="108"/>
      <c r="C262" s="111"/>
      <c r="D262" s="115"/>
      <c r="E262" s="115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7"/>
      <c r="AC262" s="108"/>
      <c r="AD262" s="108"/>
      <c r="AE262" s="108"/>
      <c r="AF262" s="108"/>
    </row>
    <row r="263" spans="2:32" x14ac:dyDescent="0.25">
      <c r="B263" s="108"/>
      <c r="C263" s="111"/>
      <c r="D263" s="115"/>
      <c r="E263" s="115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7"/>
      <c r="AC263" s="108"/>
      <c r="AD263" s="108"/>
      <c r="AE263" s="108"/>
      <c r="AF263" s="108"/>
    </row>
    <row r="264" spans="2:32" x14ac:dyDescent="0.25">
      <c r="B264" s="108"/>
      <c r="C264" s="111"/>
      <c r="D264" s="115"/>
      <c r="E264" s="115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7"/>
      <c r="AC264" s="108"/>
      <c r="AD264" s="108"/>
      <c r="AE264" s="108"/>
      <c r="AF264" s="108"/>
    </row>
    <row r="265" spans="2:32" x14ac:dyDescent="0.25">
      <c r="B265" s="108"/>
      <c r="C265" s="111"/>
      <c r="D265" s="115"/>
      <c r="E265" s="115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7"/>
      <c r="AC265" s="108"/>
      <c r="AD265" s="108"/>
      <c r="AE265" s="108"/>
      <c r="AF265" s="108"/>
    </row>
    <row r="266" spans="2:32" x14ac:dyDescent="0.25">
      <c r="B266" s="108"/>
      <c r="C266" s="111"/>
      <c r="D266" s="115"/>
      <c r="E266" s="115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7"/>
      <c r="AC266" s="108"/>
      <c r="AD266" s="108"/>
      <c r="AE266" s="108"/>
      <c r="AF266" s="108"/>
    </row>
    <row r="267" spans="2:32" x14ac:dyDescent="0.25">
      <c r="B267" s="108"/>
      <c r="C267" s="111"/>
      <c r="D267" s="115"/>
      <c r="E267" s="115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7"/>
      <c r="AC267" s="108"/>
      <c r="AD267" s="108"/>
      <c r="AE267" s="108"/>
      <c r="AF267" s="108"/>
    </row>
    <row r="268" spans="2:32" x14ac:dyDescent="0.25">
      <c r="B268" s="108"/>
      <c r="C268" s="111"/>
      <c r="D268" s="115"/>
      <c r="E268" s="115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7"/>
      <c r="AC268" s="108"/>
      <c r="AD268" s="108"/>
      <c r="AE268" s="108"/>
      <c r="AF268" s="108"/>
    </row>
    <row r="269" spans="2:32" x14ac:dyDescent="0.25">
      <c r="B269" s="108"/>
      <c r="C269" s="111"/>
      <c r="D269" s="115"/>
      <c r="E269" s="115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7"/>
      <c r="AC269" s="108"/>
      <c r="AD269" s="108"/>
      <c r="AE269" s="108"/>
      <c r="AF269" s="108"/>
    </row>
    <row r="270" spans="2:32" x14ac:dyDescent="0.25">
      <c r="B270" s="108"/>
      <c r="C270" s="111"/>
      <c r="D270" s="115"/>
      <c r="E270" s="115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7"/>
      <c r="AC270" s="108"/>
      <c r="AD270" s="108"/>
      <c r="AE270" s="108"/>
      <c r="AF270" s="108"/>
    </row>
    <row r="271" spans="2:32" x14ac:dyDescent="0.25">
      <c r="B271" s="108"/>
      <c r="C271" s="111"/>
      <c r="D271" s="115"/>
      <c r="E271" s="115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7"/>
      <c r="AC271" s="108"/>
      <c r="AD271" s="108"/>
      <c r="AE271" s="108"/>
      <c r="AF271" s="108"/>
    </row>
    <row r="272" spans="2:32" x14ac:dyDescent="0.25">
      <c r="B272" s="108"/>
      <c r="C272" s="111"/>
      <c r="D272" s="115"/>
      <c r="E272" s="115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7"/>
      <c r="AC272" s="108"/>
      <c r="AD272" s="108"/>
      <c r="AE272" s="108"/>
      <c r="AF272" s="108"/>
    </row>
    <row r="273" spans="2:32" x14ac:dyDescent="0.25">
      <c r="B273" s="108"/>
      <c r="C273" s="111"/>
      <c r="D273" s="115"/>
      <c r="E273" s="115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7"/>
      <c r="AC273" s="108"/>
      <c r="AD273" s="108"/>
      <c r="AE273" s="108"/>
      <c r="AF273" s="108"/>
    </row>
    <row r="274" spans="2:32" x14ac:dyDescent="0.25">
      <c r="B274" s="108"/>
      <c r="C274" s="111"/>
      <c r="D274" s="115"/>
      <c r="E274" s="115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7"/>
      <c r="AC274" s="108"/>
      <c r="AD274" s="108"/>
      <c r="AE274" s="108"/>
      <c r="AF274" s="108"/>
    </row>
    <row r="275" spans="2:32" x14ac:dyDescent="0.25">
      <c r="B275" s="108"/>
      <c r="C275" s="111"/>
      <c r="D275" s="115"/>
      <c r="E275" s="115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7"/>
      <c r="AC275" s="108"/>
      <c r="AD275" s="108"/>
      <c r="AE275" s="108"/>
      <c r="AF275" s="108"/>
    </row>
    <row r="276" spans="2:32" x14ac:dyDescent="0.25">
      <c r="B276" s="108"/>
      <c r="C276" s="111"/>
      <c r="D276" s="115"/>
      <c r="E276" s="115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7"/>
      <c r="AC276" s="108"/>
      <c r="AD276" s="108"/>
      <c r="AE276" s="108"/>
      <c r="AF276" s="108"/>
    </row>
    <row r="277" spans="2:32" x14ac:dyDescent="0.25">
      <c r="B277" s="108"/>
      <c r="C277" s="111"/>
      <c r="D277" s="115"/>
      <c r="E277" s="115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7"/>
      <c r="AC277" s="108"/>
      <c r="AD277" s="108"/>
      <c r="AE277" s="108"/>
      <c r="AF277" s="108"/>
    </row>
    <row r="278" spans="2:32" x14ac:dyDescent="0.25">
      <c r="B278" s="108"/>
      <c r="C278" s="111"/>
      <c r="D278" s="115"/>
      <c r="E278" s="115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7"/>
      <c r="AC278" s="108"/>
      <c r="AD278" s="108"/>
      <c r="AE278" s="108"/>
      <c r="AF278" s="108"/>
    </row>
    <row r="279" spans="2:32" x14ac:dyDescent="0.25">
      <c r="B279" s="108"/>
      <c r="C279" s="111"/>
      <c r="D279" s="115"/>
      <c r="E279" s="115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7"/>
      <c r="AC279" s="108"/>
      <c r="AD279" s="108"/>
      <c r="AE279" s="108"/>
      <c r="AF279" s="108"/>
    </row>
    <row r="280" spans="2:32" x14ac:dyDescent="0.25">
      <c r="B280" s="108"/>
      <c r="C280" s="111"/>
      <c r="D280" s="115"/>
      <c r="E280" s="115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7"/>
      <c r="AC280" s="108"/>
      <c r="AD280" s="108"/>
      <c r="AE280" s="108"/>
      <c r="AF280" s="108"/>
    </row>
    <row r="281" spans="2:32" x14ac:dyDescent="0.25">
      <c r="B281" s="108"/>
      <c r="C281" s="111"/>
      <c r="D281" s="115"/>
      <c r="E281" s="115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7"/>
      <c r="AC281" s="108"/>
      <c r="AD281" s="108"/>
      <c r="AE281" s="108"/>
      <c r="AF281" s="108"/>
    </row>
    <row r="282" spans="2:32" x14ac:dyDescent="0.25">
      <c r="B282" s="108"/>
      <c r="C282" s="111"/>
      <c r="D282" s="115"/>
      <c r="E282" s="115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7"/>
      <c r="AC282" s="108"/>
      <c r="AD282" s="108"/>
      <c r="AE282" s="108"/>
      <c r="AF282" s="108"/>
    </row>
    <row r="283" spans="2:32" x14ac:dyDescent="0.25">
      <c r="B283" s="108"/>
      <c r="C283" s="111"/>
      <c r="D283" s="115"/>
      <c r="E283" s="115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7"/>
      <c r="AC283" s="108"/>
      <c r="AD283" s="108"/>
      <c r="AE283" s="108"/>
      <c r="AF283" s="108"/>
    </row>
    <row r="284" spans="2:32" x14ac:dyDescent="0.25">
      <c r="B284" s="108"/>
      <c r="C284" s="111"/>
      <c r="D284" s="115"/>
      <c r="E284" s="115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7"/>
      <c r="AC284" s="108"/>
      <c r="AD284" s="108"/>
      <c r="AE284" s="108"/>
      <c r="AF284" s="108"/>
    </row>
    <row r="285" spans="2:32" x14ac:dyDescent="0.25">
      <c r="B285" s="108"/>
      <c r="C285" s="111"/>
      <c r="D285" s="115"/>
      <c r="E285" s="115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7"/>
      <c r="AC285" s="108"/>
      <c r="AD285" s="108"/>
      <c r="AE285" s="108"/>
      <c r="AF285" s="108"/>
    </row>
    <row r="286" spans="2:32" x14ac:dyDescent="0.25">
      <c r="B286" s="108"/>
      <c r="C286" s="111"/>
      <c r="D286" s="115"/>
      <c r="E286" s="115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7"/>
      <c r="AC286" s="108"/>
      <c r="AD286" s="108"/>
      <c r="AE286" s="108"/>
      <c r="AF286" s="108"/>
    </row>
    <row r="287" spans="2:32" x14ac:dyDescent="0.25">
      <c r="B287" s="108"/>
      <c r="C287" s="111"/>
      <c r="D287" s="115"/>
      <c r="E287" s="115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7"/>
      <c r="AC287" s="108"/>
      <c r="AD287" s="108"/>
      <c r="AE287" s="108"/>
      <c r="AF287" s="108"/>
    </row>
    <row r="288" spans="2:32" x14ac:dyDescent="0.25">
      <c r="B288" s="108"/>
      <c r="C288" s="111"/>
      <c r="D288" s="115"/>
      <c r="E288" s="115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7"/>
      <c r="AC288" s="108"/>
      <c r="AD288" s="108"/>
      <c r="AE288" s="108"/>
      <c r="AF288" s="108"/>
    </row>
    <row r="289" spans="2:32" x14ac:dyDescent="0.25">
      <c r="B289" s="108"/>
      <c r="C289" s="111"/>
      <c r="D289" s="115"/>
      <c r="E289" s="115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7"/>
      <c r="AC289" s="108"/>
      <c r="AD289" s="108"/>
      <c r="AE289" s="108"/>
      <c r="AF289" s="108"/>
    </row>
    <row r="290" spans="2:32" x14ac:dyDescent="0.25">
      <c r="B290" s="108"/>
      <c r="C290" s="111"/>
      <c r="D290" s="115"/>
      <c r="E290" s="115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7"/>
      <c r="AC290" s="108"/>
      <c r="AD290" s="108"/>
      <c r="AE290" s="108"/>
      <c r="AF290" s="108"/>
    </row>
    <row r="291" spans="2:32" x14ac:dyDescent="0.25">
      <c r="B291" s="108"/>
      <c r="C291" s="111"/>
      <c r="D291" s="115"/>
      <c r="E291" s="115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7"/>
      <c r="AC291" s="108"/>
      <c r="AD291" s="108"/>
      <c r="AE291" s="108"/>
      <c r="AF291" s="108"/>
    </row>
    <row r="292" spans="2:32" x14ac:dyDescent="0.25">
      <c r="B292" s="108"/>
      <c r="C292" s="111"/>
      <c r="D292" s="115"/>
      <c r="E292" s="115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7"/>
      <c r="AC292" s="108"/>
      <c r="AD292" s="108"/>
      <c r="AE292" s="108"/>
      <c r="AF292" s="108"/>
    </row>
    <row r="293" spans="2:32" x14ac:dyDescent="0.25">
      <c r="B293" s="108"/>
      <c r="C293" s="111"/>
      <c r="D293" s="115"/>
      <c r="E293" s="115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7"/>
      <c r="AC293" s="108"/>
      <c r="AD293" s="108"/>
      <c r="AE293" s="108"/>
      <c r="AF293" s="108"/>
    </row>
    <row r="294" spans="2:32" x14ac:dyDescent="0.25">
      <c r="B294" s="108"/>
      <c r="C294" s="111"/>
      <c r="D294" s="115"/>
      <c r="E294" s="115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7"/>
      <c r="AC294" s="108"/>
      <c r="AD294" s="108"/>
      <c r="AE294" s="108"/>
      <c r="AF294" s="108"/>
    </row>
    <row r="295" spans="2:32" x14ac:dyDescent="0.25">
      <c r="B295" s="108"/>
      <c r="C295" s="111"/>
      <c r="D295" s="115"/>
      <c r="E295" s="115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7"/>
      <c r="AC295" s="108"/>
      <c r="AD295" s="108"/>
      <c r="AE295" s="108"/>
      <c r="AF295" s="108"/>
    </row>
    <row r="296" spans="2:32" x14ac:dyDescent="0.25">
      <c r="B296" s="108"/>
      <c r="C296" s="111"/>
      <c r="D296" s="115"/>
      <c r="E296" s="115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7"/>
      <c r="AC296" s="108"/>
      <c r="AD296" s="108"/>
      <c r="AE296" s="108"/>
      <c r="AF296" s="108"/>
    </row>
    <row r="297" spans="2:32" x14ac:dyDescent="0.25">
      <c r="B297" s="108"/>
      <c r="C297" s="111"/>
      <c r="D297" s="115"/>
      <c r="E297" s="115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7"/>
      <c r="AC297" s="108"/>
      <c r="AD297" s="108"/>
      <c r="AE297" s="108"/>
      <c r="AF297" s="108"/>
    </row>
    <row r="298" spans="2:32" x14ac:dyDescent="0.25">
      <c r="B298" s="108"/>
      <c r="C298" s="111"/>
      <c r="D298" s="115"/>
      <c r="E298" s="115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7"/>
      <c r="AC298" s="108"/>
      <c r="AD298" s="108"/>
      <c r="AE298" s="108"/>
      <c r="AF298" s="108"/>
    </row>
    <row r="299" spans="2:32" x14ac:dyDescent="0.25">
      <c r="B299" s="108"/>
      <c r="C299" s="111"/>
      <c r="D299" s="115"/>
      <c r="E299" s="115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7"/>
      <c r="AC299" s="108"/>
      <c r="AD299" s="108"/>
      <c r="AE299" s="108"/>
      <c r="AF299" s="108"/>
    </row>
    <row r="300" spans="2:32" x14ac:dyDescent="0.25">
      <c r="B300" s="108"/>
      <c r="C300" s="111"/>
      <c r="D300" s="115"/>
      <c r="E300" s="115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7"/>
      <c r="AC300" s="108"/>
      <c r="AD300" s="108"/>
      <c r="AE300" s="108"/>
      <c r="AF300" s="108"/>
    </row>
    <row r="301" spans="2:32" x14ac:dyDescent="0.25">
      <c r="B301" s="108"/>
      <c r="C301" s="111"/>
      <c r="D301" s="115"/>
      <c r="E301" s="115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7"/>
      <c r="AC301" s="108"/>
      <c r="AD301" s="108"/>
      <c r="AE301" s="108"/>
      <c r="AF301" s="108"/>
    </row>
    <row r="302" spans="2:32" x14ac:dyDescent="0.25">
      <c r="B302" s="108"/>
      <c r="C302" s="111"/>
      <c r="D302" s="115"/>
      <c r="E302" s="115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7"/>
      <c r="AC302" s="108"/>
      <c r="AD302" s="108"/>
      <c r="AE302" s="108"/>
      <c r="AF302" s="108"/>
    </row>
    <row r="303" spans="2:32" x14ac:dyDescent="0.25">
      <c r="B303" s="108"/>
      <c r="C303" s="111"/>
      <c r="D303" s="115"/>
      <c r="E303" s="115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7"/>
      <c r="AC303" s="108"/>
      <c r="AD303" s="108"/>
      <c r="AE303" s="108"/>
      <c r="AF303" s="108"/>
    </row>
    <row r="304" spans="2:32" x14ac:dyDescent="0.25">
      <c r="B304" s="108"/>
      <c r="C304" s="111"/>
      <c r="D304" s="115"/>
      <c r="E304" s="115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7"/>
      <c r="AC304" s="108"/>
      <c r="AD304" s="108"/>
      <c r="AE304" s="108"/>
      <c r="AF304" s="108"/>
    </row>
    <row r="305" spans="2:32" x14ac:dyDescent="0.25">
      <c r="B305" s="108"/>
      <c r="C305" s="111"/>
      <c r="D305" s="115"/>
      <c r="E305" s="115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7"/>
      <c r="AC305" s="108"/>
      <c r="AD305" s="108"/>
      <c r="AE305" s="108"/>
      <c r="AF305" s="108"/>
    </row>
    <row r="306" spans="2:32" x14ac:dyDescent="0.25">
      <c r="B306" s="108"/>
      <c r="C306" s="111"/>
      <c r="D306" s="115"/>
      <c r="E306" s="115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7"/>
      <c r="AC306" s="108"/>
      <c r="AD306" s="108"/>
      <c r="AE306" s="108"/>
      <c r="AF306" s="108"/>
    </row>
    <row r="307" spans="2:32" x14ac:dyDescent="0.25">
      <c r="B307" s="108"/>
      <c r="C307" s="111"/>
      <c r="D307" s="115"/>
      <c r="E307" s="115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7"/>
      <c r="AC307" s="108"/>
      <c r="AD307" s="108"/>
      <c r="AE307" s="108"/>
      <c r="AF307" s="108"/>
    </row>
    <row r="308" spans="2:32" x14ac:dyDescent="0.25">
      <c r="B308" s="108"/>
      <c r="C308" s="111"/>
      <c r="D308" s="115"/>
      <c r="E308" s="115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7"/>
      <c r="AC308" s="108"/>
      <c r="AD308" s="108"/>
      <c r="AE308" s="108"/>
      <c r="AF308" s="108"/>
    </row>
    <row r="309" spans="2:32" x14ac:dyDescent="0.25">
      <c r="B309" s="108"/>
      <c r="C309" s="111"/>
      <c r="D309" s="115"/>
      <c r="E309" s="115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7"/>
      <c r="AC309" s="108"/>
      <c r="AD309" s="108"/>
      <c r="AE309" s="108"/>
      <c r="AF309" s="108"/>
    </row>
    <row r="310" spans="2:32" x14ac:dyDescent="0.25">
      <c r="B310" s="108"/>
      <c r="C310" s="111"/>
      <c r="D310" s="115"/>
      <c r="E310" s="115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7"/>
      <c r="AC310" s="108"/>
      <c r="AD310" s="108"/>
      <c r="AE310" s="108"/>
      <c r="AF310" s="108"/>
    </row>
    <row r="311" spans="2:32" x14ac:dyDescent="0.25">
      <c r="B311" s="108"/>
      <c r="C311" s="111"/>
      <c r="D311" s="115"/>
      <c r="E311" s="115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7"/>
      <c r="AC311" s="108"/>
      <c r="AD311" s="108"/>
      <c r="AE311" s="108"/>
      <c r="AF311" s="108"/>
    </row>
    <row r="312" spans="2:32" x14ac:dyDescent="0.25">
      <c r="B312" s="108"/>
      <c r="C312" s="111"/>
      <c r="D312" s="115"/>
      <c r="E312" s="115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7"/>
      <c r="AC312" s="108"/>
      <c r="AD312" s="108"/>
      <c r="AE312" s="108"/>
      <c r="AF312" s="108"/>
    </row>
    <row r="313" spans="2:32" x14ac:dyDescent="0.25">
      <c r="B313" s="108"/>
      <c r="C313" s="111"/>
      <c r="D313" s="115"/>
      <c r="E313" s="115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7"/>
      <c r="AC313" s="108"/>
      <c r="AD313" s="108"/>
      <c r="AE313" s="108"/>
      <c r="AF313" s="108"/>
    </row>
    <row r="314" spans="2:32" x14ac:dyDescent="0.25">
      <c r="B314" s="108"/>
      <c r="C314" s="111"/>
      <c r="D314" s="115"/>
      <c r="E314" s="115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7"/>
      <c r="AC314" s="108"/>
      <c r="AD314" s="108"/>
      <c r="AE314" s="108"/>
      <c r="AF314" s="108"/>
    </row>
    <row r="315" spans="2:32" x14ac:dyDescent="0.25">
      <c r="B315" s="108"/>
      <c r="C315" s="111"/>
      <c r="D315" s="115"/>
      <c r="E315" s="115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7"/>
      <c r="AC315" s="108"/>
      <c r="AD315" s="108"/>
      <c r="AE315" s="108"/>
      <c r="AF315" s="108"/>
    </row>
    <row r="316" spans="2:32" x14ac:dyDescent="0.25">
      <c r="B316" s="108"/>
      <c r="C316" s="111"/>
      <c r="D316" s="115"/>
      <c r="E316" s="115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7"/>
      <c r="AC316" s="108"/>
      <c r="AD316" s="108"/>
      <c r="AE316" s="108"/>
      <c r="AF316" s="108"/>
    </row>
    <row r="317" spans="2:32" x14ac:dyDescent="0.25">
      <c r="B317" s="108"/>
      <c r="C317" s="111"/>
      <c r="D317" s="115"/>
      <c r="E317" s="115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7"/>
      <c r="AC317" s="108"/>
      <c r="AD317" s="108"/>
      <c r="AE317" s="108"/>
      <c r="AF317" s="108"/>
    </row>
    <row r="318" spans="2:32" x14ac:dyDescent="0.25">
      <c r="B318" s="108"/>
      <c r="C318" s="111"/>
      <c r="D318" s="115"/>
      <c r="E318" s="115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7"/>
      <c r="AC318" s="108"/>
      <c r="AD318" s="108"/>
      <c r="AE318" s="108"/>
      <c r="AF318" s="108"/>
    </row>
    <row r="319" spans="2:32" x14ac:dyDescent="0.25">
      <c r="B319" s="108"/>
      <c r="C319" s="111"/>
      <c r="D319" s="115"/>
      <c r="E319" s="115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7"/>
      <c r="AC319" s="108"/>
      <c r="AD319" s="108"/>
      <c r="AE319" s="108"/>
      <c r="AF319" s="108"/>
    </row>
    <row r="320" spans="2:32" x14ac:dyDescent="0.25">
      <c r="B320" s="108"/>
      <c r="C320" s="111"/>
      <c r="D320" s="115"/>
      <c r="E320" s="115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7"/>
      <c r="AC320" s="108"/>
      <c r="AD320" s="108"/>
      <c r="AE320" s="108"/>
      <c r="AF320" s="108"/>
    </row>
    <row r="321" spans="2:32" x14ac:dyDescent="0.25">
      <c r="B321" s="108"/>
      <c r="C321" s="111"/>
      <c r="D321" s="115"/>
      <c r="E321" s="115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7"/>
      <c r="AC321" s="108"/>
      <c r="AD321" s="108"/>
      <c r="AE321" s="108"/>
      <c r="AF321" s="108"/>
    </row>
    <row r="322" spans="2:32" x14ac:dyDescent="0.25">
      <c r="B322" s="108"/>
      <c r="C322" s="111"/>
      <c r="D322" s="115"/>
      <c r="E322" s="115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7"/>
      <c r="AC322" s="108"/>
      <c r="AD322" s="108"/>
      <c r="AE322" s="108"/>
      <c r="AF322" s="108"/>
    </row>
    <row r="323" spans="2:32" x14ac:dyDescent="0.25">
      <c r="B323" s="108"/>
      <c r="C323" s="111"/>
      <c r="D323" s="115"/>
      <c r="E323" s="115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7"/>
      <c r="AC323" s="108"/>
      <c r="AD323" s="108"/>
      <c r="AE323" s="108"/>
      <c r="AF323" s="108"/>
    </row>
    <row r="324" spans="2:32" x14ac:dyDescent="0.25">
      <c r="B324" s="108"/>
      <c r="C324" s="111"/>
      <c r="D324" s="115"/>
      <c r="E324" s="115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7"/>
      <c r="AC324" s="108"/>
      <c r="AD324" s="108"/>
      <c r="AE324" s="108"/>
      <c r="AF324" s="108"/>
    </row>
    <row r="325" spans="2:32" x14ac:dyDescent="0.25">
      <c r="B325" s="108"/>
      <c r="C325" s="111"/>
      <c r="D325" s="115"/>
      <c r="E325" s="115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7"/>
      <c r="AC325" s="108"/>
      <c r="AD325" s="108"/>
      <c r="AE325" s="108"/>
      <c r="AF325" s="108"/>
    </row>
    <row r="326" spans="2:32" x14ac:dyDescent="0.25">
      <c r="B326" s="108"/>
      <c r="C326" s="111"/>
      <c r="D326" s="115"/>
      <c r="E326" s="115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7"/>
      <c r="AC326" s="108"/>
      <c r="AD326" s="108"/>
      <c r="AE326" s="108"/>
      <c r="AF326" s="108"/>
    </row>
    <row r="327" spans="2:32" x14ac:dyDescent="0.25">
      <c r="B327" s="108"/>
      <c r="C327" s="111"/>
      <c r="D327" s="115"/>
      <c r="E327" s="115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7"/>
      <c r="AC327" s="108"/>
      <c r="AD327" s="108"/>
      <c r="AE327" s="108"/>
      <c r="AF327" s="108"/>
    </row>
    <row r="328" spans="2:32" x14ac:dyDescent="0.25">
      <c r="B328" s="108"/>
      <c r="C328" s="111"/>
      <c r="D328" s="115"/>
      <c r="E328" s="115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7"/>
      <c r="AC328" s="108"/>
      <c r="AD328" s="108"/>
      <c r="AE328" s="108"/>
      <c r="AF328" s="108"/>
    </row>
    <row r="329" spans="2:32" x14ac:dyDescent="0.25">
      <c r="B329" s="108"/>
      <c r="C329" s="111"/>
      <c r="D329" s="115"/>
      <c r="E329" s="115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7"/>
      <c r="AC329" s="108"/>
      <c r="AD329" s="108"/>
      <c r="AE329" s="108"/>
      <c r="AF329" s="108"/>
    </row>
    <row r="330" spans="2:32" x14ac:dyDescent="0.25">
      <c r="B330" s="108"/>
      <c r="C330" s="111"/>
      <c r="D330" s="115"/>
      <c r="E330" s="115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7"/>
      <c r="AC330" s="108"/>
      <c r="AD330" s="108"/>
      <c r="AE330" s="108"/>
      <c r="AF330" s="108"/>
    </row>
    <row r="331" spans="2:32" x14ac:dyDescent="0.25">
      <c r="B331" s="108"/>
      <c r="C331" s="111"/>
      <c r="D331" s="115"/>
      <c r="E331" s="115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7"/>
      <c r="AC331" s="108"/>
      <c r="AD331" s="108"/>
      <c r="AE331" s="108"/>
      <c r="AF331" s="108"/>
    </row>
    <row r="332" spans="2:32" x14ac:dyDescent="0.25">
      <c r="B332" s="108"/>
      <c r="C332" s="111"/>
      <c r="D332" s="115"/>
      <c r="E332" s="115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7"/>
      <c r="AC332" s="108"/>
      <c r="AD332" s="108"/>
      <c r="AE332" s="108"/>
      <c r="AF332" s="108"/>
    </row>
    <row r="333" spans="2:32" x14ac:dyDescent="0.25">
      <c r="B333" s="108"/>
      <c r="C333" s="111"/>
      <c r="D333" s="115"/>
      <c r="E333" s="115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7"/>
      <c r="AC333" s="108"/>
      <c r="AD333" s="108"/>
      <c r="AE333" s="108"/>
      <c r="AF333" s="108"/>
    </row>
    <row r="334" spans="2:32" x14ac:dyDescent="0.25">
      <c r="B334" s="108"/>
      <c r="C334" s="111"/>
      <c r="D334" s="115"/>
      <c r="E334" s="115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7"/>
      <c r="AC334" s="108"/>
      <c r="AD334" s="108"/>
      <c r="AE334" s="108"/>
      <c r="AF334" s="108"/>
    </row>
    <row r="335" spans="2:32" x14ac:dyDescent="0.25">
      <c r="B335" s="108"/>
      <c r="C335" s="111"/>
      <c r="D335" s="115"/>
      <c r="E335" s="115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7"/>
      <c r="AC335" s="108"/>
      <c r="AD335" s="108"/>
      <c r="AE335" s="108"/>
      <c r="AF335" s="108"/>
    </row>
    <row r="336" spans="2:32" x14ac:dyDescent="0.25">
      <c r="B336" s="108"/>
      <c r="C336" s="111"/>
      <c r="D336" s="115"/>
      <c r="E336" s="115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7"/>
      <c r="AC336" s="108"/>
      <c r="AD336" s="108"/>
      <c r="AE336" s="108"/>
      <c r="AF336" s="108"/>
    </row>
    <row r="337" spans="2:32" x14ac:dyDescent="0.25">
      <c r="B337" s="108"/>
      <c r="C337" s="111"/>
      <c r="D337" s="115"/>
      <c r="E337" s="115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7"/>
      <c r="AC337" s="108"/>
      <c r="AD337" s="108"/>
      <c r="AE337" s="108"/>
      <c r="AF337" s="108"/>
    </row>
    <row r="338" spans="2:32" x14ac:dyDescent="0.25">
      <c r="B338" s="108"/>
      <c r="C338" s="111"/>
      <c r="D338" s="115"/>
      <c r="E338" s="115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7"/>
      <c r="AC338" s="108"/>
      <c r="AD338" s="108"/>
      <c r="AE338" s="108"/>
      <c r="AF338" s="108"/>
    </row>
    <row r="339" spans="2:32" x14ac:dyDescent="0.25">
      <c r="B339" s="108"/>
      <c r="C339" s="111"/>
      <c r="D339" s="115"/>
      <c r="E339" s="115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7"/>
      <c r="AC339" s="108"/>
      <c r="AD339" s="108"/>
      <c r="AE339" s="108"/>
      <c r="AF339" s="108"/>
    </row>
    <row r="340" spans="2:32" x14ac:dyDescent="0.25">
      <c r="B340" s="108"/>
      <c r="C340" s="111"/>
      <c r="D340" s="115"/>
      <c r="E340" s="115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7"/>
      <c r="AC340" s="108"/>
      <c r="AD340" s="108"/>
      <c r="AE340" s="108"/>
      <c r="AF340" s="108"/>
    </row>
    <row r="341" spans="2:32" x14ac:dyDescent="0.25">
      <c r="B341" s="108"/>
      <c r="C341" s="111"/>
      <c r="D341" s="115"/>
      <c r="E341" s="115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7"/>
      <c r="AC341" s="108"/>
      <c r="AD341" s="108"/>
      <c r="AE341" s="108"/>
      <c r="AF341" s="108"/>
    </row>
    <row r="342" spans="2:32" x14ac:dyDescent="0.25">
      <c r="B342" s="108"/>
      <c r="C342" s="111"/>
      <c r="D342" s="115"/>
      <c r="E342" s="115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7"/>
      <c r="AC342" s="108"/>
      <c r="AD342" s="108"/>
      <c r="AE342" s="108"/>
      <c r="AF342" s="108"/>
    </row>
    <row r="343" spans="2:32" x14ac:dyDescent="0.25">
      <c r="B343" s="108"/>
      <c r="C343" s="111"/>
      <c r="D343" s="115"/>
      <c r="E343" s="115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7"/>
      <c r="AC343" s="108"/>
      <c r="AD343" s="108"/>
      <c r="AE343" s="108"/>
      <c r="AF343" s="108"/>
    </row>
    <row r="344" spans="2:32" x14ac:dyDescent="0.25">
      <c r="B344" s="108"/>
      <c r="C344" s="111"/>
      <c r="D344" s="115"/>
      <c r="E344" s="115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7"/>
      <c r="AC344" s="108"/>
      <c r="AD344" s="108"/>
      <c r="AE344" s="108"/>
      <c r="AF344" s="108"/>
    </row>
    <row r="345" spans="2:32" x14ac:dyDescent="0.25">
      <c r="B345" s="108"/>
      <c r="C345" s="111"/>
      <c r="D345" s="115"/>
      <c r="E345" s="115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7"/>
      <c r="AC345" s="108"/>
      <c r="AD345" s="108"/>
      <c r="AE345" s="108"/>
      <c r="AF345" s="108"/>
    </row>
    <row r="346" spans="2:32" x14ac:dyDescent="0.25">
      <c r="B346" s="108"/>
      <c r="C346" s="111"/>
      <c r="D346" s="115"/>
      <c r="E346" s="115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7"/>
      <c r="AC346" s="108"/>
      <c r="AD346" s="108"/>
      <c r="AE346" s="108"/>
      <c r="AF346" s="108"/>
    </row>
    <row r="347" spans="2:32" x14ac:dyDescent="0.25">
      <c r="B347" s="108"/>
      <c r="C347" s="111"/>
      <c r="D347" s="115"/>
      <c r="E347" s="115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7"/>
      <c r="AC347" s="108"/>
      <c r="AD347" s="108"/>
      <c r="AE347" s="108"/>
      <c r="AF347" s="108"/>
    </row>
    <row r="348" spans="2:32" x14ac:dyDescent="0.25">
      <c r="B348" s="108"/>
      <c r="C348" s="111"/>
      <c r="D348" s="115"/>
      <c r="E348" s="115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7"/>
      <c r="AC348" s="108"/>
      <c r="AD348" s="108"/>
      <c r="AE348" s="108"/>
      <c r="AF348" s="108"/>
    </row>
    <row r="349" spans="2:32" x14ac:dyDescent="0.25">
      <c r="B349" s="108"/>
      <c r="C349" s="111"/>
      <c r="D349" s="115"/>
      <c r="E349" s="115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7"/>
      <c r="AC349" s="108"/>
      <c r="AD349" s="108"/>
      <c r="AE349" s="108"/>
      <c r="AF349" s="108"/>
    </row>
    <row r="350" spans="2:32" x14ac:dyDescent="0.25">
      <c r="B350" s="108"/>
      <c r="C350" s="111"/>
      <c r="D350" s="115"/>
      <c r="E350" s="115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7"/>
      <c r="AC350" s="108"/>
      <c r="AD350" s="108"/>
      <c r="AE350" s="108"/>
      <c r="AF350" s="108"/>
    </row>
    <row r="351" spans="2:32" x14ac:dyDescent="0.25">
      <c r="B351" s="108"/>
      <c r="C351" s="111"/>
      <c r="D351" s="115"/>
      <c r="E351" s="115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7"/>
      <c r="AC351" s="108"/>
      <c r="AD351" s="108"/>
      <c r="AE351" s="108"/>
      <c r="AF351" s="108"/>
    </row>
    <row r="352" spans="2:32" x14ac:dyDescent="0.25">
      <c r="B352" s="108"/>
      <c r="C352" s="111"/>
      <c r="D352" s="115"/>
      <c r="E352" s="115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7"/>
      <c r="AC352" s="108"/>
      <c r="AD352" s="108"/>
      <c r="AE352" s="108"/>
      <c r="AF352" s="108"/>
    </row>
    <row r="353" spans="2:32" x14ac:dyDescent="0.25">
      <c r="B353" s="108"/>
      <c r="C353" s="111"/>
      <c r="D353" s="115"/>
      <c r="E353" s="115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7"/>
      <c r="AC353" s="108"/>
      <c r="AD353" s="108"/>
      <c r="AE353" s="108"/>
      <c r="AF353" s="108"/>
    </row>
    <row r="354" spans="2:32" x14ac:dyDescent="0.25">
      <c r="B354" s="108"/>
      <c r="C354" s="111"/>
      <c r="D354" s="115"/>
      <c r="E354" s="115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7"/>
      <c r="AC354" s="108"/>
      <c r="AD354" s="108"/>
      <c r="AE354" s="108"/>
      <c r="AF354" s="108"/>
    </row>
    <row r="355" spans="2:32" x14ac:dyDescent="0.25">
      <c r="B355" s="108"/>
      <c r="C355" s="111"/>
      <c r="D355" s="115"/>
      <c r="E355" s="115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7"/>
      <c r="AC355" s="108"/>
      <c r="AD355" s="108"/>
      <c r="AE355" s="108"/>
      <c r="AF355" s="108"/>
    </row>
    <row r="356" spans="2:32" x14ac:dyDescent="0.25">
      <c r="B356" s="108"/>
      <c r="C356" s="111"/>
      <c r="D356" s="115"/>
      <c r="E356" s="115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7"/>
      <c r="AC356" s="108"/>
      <c r="AD356" s="108"/>
      <c r="AE356" s="108"/>
      <c r="AF356" s="108"/>
    </row>
    <row r="357" spans="2:32" x14ac:dyDescent="0.25">
      <c r="B357" s="108"/>
      <c r="C357" s="111"/>
      <c r="D357" s="115"/>
      <c r="E357" s="115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7"/>
      <c r="AC357" s="108"/>
      <c r="AD357" s="108"/>
      <c r="AE357" s="108"/>
      <c r="AF357" s="108"/>
    </row>
    <row r="358" spans="2:32" x14ac:dyDescent="0.25">
      <c r="B358" s="108"/>
      <c r="C358" s="111"/>
      <c r="D358" s="115"/>
      <c r="E358" s="115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7"/>
      <c r="AC358" s="108"/>
      <c r="AD358" s="108"/>
      <c r="AE358" s="108"/>
      <c r="AF358" s="108"/>
    </row>
    <row r="359" spans="2:32" x14ac:dyDescent="0.25">
      <c r="B359" s="108"/>
      <c r="C359" s="111"/>
      <c r="D359" s="115"/>
      <c r="E359" s="115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7"/>
      <c r="AC359" s="108"/>
      <c r="AD359" s="108"/>
      <c r="AE359" s="108"/>
      <c r="AF359" s="108"/>
    </row>
    <row r="360" spans="2:32" x14ac:dyDescent="0.25">
      <c r="B360" s="108"/>
      <c r="C360" s="111"/>
      <c r="D360" s="115"/>
      <c r="E360" s="115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7"/>
      <c r="AC360" s="108"/>
      <c r="AD360" s="108"/>
      <c r="AE360" s="108"/>
      <c r="AF360" s="108"/>
    </row>
    <row r="361" spans="2:32" x14ac:dyDescent="0.25">
      <c r="B361" s="108"/>
      <c r="C361" s="111"/>
      <c r="D361" s="115"/>
      <c r="E361" s="115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7"/>
      <c r="AC361" s="108"/>
      <c r="AD361" s="108"/>
      <c r="AE361" s="108"/>
      <c r="AF361" s="108"/>
    </row>
    <row r="362" spans="2:32" x14ac:dyDescent="0.25">
      <c r="B362" s="108"/>
      <c r="C362" s="111"/>
      <c r="D362" s="115"/>
      <c r="E362" s="115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7"/>
      <c r="AC362" s="108"/>
      <c r="AD362" s="108"/>
      <c r="AE362" s="108"/>
      <c r="AF362" s="108"/>
    </row>
    <row r="363" spans="2:32" x14ac:dyDescent="0.25">
      <c r="B363" s="108"/>
      <c r="C363" s="111"/>
      <c r="D363" s="115"/>
      <c r="E363" s="115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7"/>
      <c r="AC363" s="108"/>
      <c r="AD363" s="108"/>
      <c r="AE363" s="108"/>
      <c r="AF363" s="108"/>
    </row>
    <row r="364" spans="2:32" x14ac:dyDescent="0.25">
      <c r="B364" s="108"/>
      <c r="C364" s="111"/>
      <c r="D364" s="115"/>
      <c r="E364" s="115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7"/>
      <c r="AC364" s="108"/>
      <c r="AD364" s="108"/>
      <c r="AE364" s="108"/>
      <c r="AF364" s="108"/>
    </row>
    <row r="365" spans="2:32" x14ac:dyDescent="0.25">
      <c r="B365" s="108"/>
      <c r="C365" s="111"/>
      <c r="D365" s="115"/>
      <c r="E365" s="115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7"/>
      <c r="AC365" s="108"/>
      <c r="AD365" s="108"/>
      <c r="AE365" s="108"/>
      <c r="AF365" s="108"/>
    </row>
    <row r="366" spans="2:32" x14ac:dyDescent="0.25">
      <c r="B366" s="108"/>
      <c r="C366" s="111"/>
      <c r="D366" s="115"/>
      <c r="E366" s="115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7"/>
      <c r="AC366" s="108"/>
      <c r="AD366" s="108"/>
      <c r="AE366" s="108"/>
      <c r="AF366" s="108"/>
    </row>
    <row r="367" spans="2:32" x14ac:dyDescent="0.25">
      <c r="B367" s="108"/>
      <c r="C367" s="111"/>
      <c r="D367" s="115"/>
      <c r="E367" s="115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7"/>
      <c r="AC367" s="108"/>
      <c r="AD367" s="108"/>
      <c r="AE367" s="108"/>
      <c r="AF367" s="108"/>
    </row>
    <row r="368" spans="2:32" x14ac:dyDescent="0.25">
      <c r="B368" s="108"/>
      <c r="C368" s="111"/>
      <c r="D368" s="115"/>
      <c r="E368" s="115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7"/>
      <c r="AC368" s="108"/>
      <c r="AD368" s="108"/>
      <c r="AE368" s="108"/>
      <c r="AF368" s="108"/>
    </row>
    <row r="369" spans="2:32" x14ac:dyDescent="0.25">
      <c r="B369" s="108"/>
      <c r="C369" s="111"/>
      <c r="D369" s="115"/>
      <c r="E369" s="115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7"/>
      <c r="AC369" s="108"/>
      <c r="AD369" s="108"/>
      <c r="AE369" s="108"/>
      <c r="AF369" s="108"/>
    </row>
    <row r="370" spans="2:32" x14ac:dyDescent="0.25">
      <c r="B370" s="108"/>
      <c r="C370" s="111"/>
      <c r="D370" s="115"/>
      <c r="E370" s="115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7"/>
      <c r="AC370" s="108"/>
      <c r="AD370" s="108"/>
      <c r="AE370" s="108"/>
      <c r="AF370" s="108"/>
    </row>
    <row r="371" spans="2:32" x14ac:dyDescent="0.25">
      <c r="B371" s="108"/>
      <c r="C371" s="111"/>
      <c r="D371" s="115"/>
      <c r="E371" s="115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7"/>
      <c r="AC371" s="108"/>
      <c r="AD371" s="108"/>
      <c r="AE371" s="108"/>
      <c r="AF371" s="108"/>
    </row>
    <row r="372" spans="2:32" x14ac:dyDescent="0.25">
      <c r="B372" s="108"/>
      <c r="C372" s="111"/>
      <c r="D372" s="115"/>
      <c r="E372" s="115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7"/>
      <c r="AC372" s="108"/>
      <c r="AD372" s="108"/>
      <c r="AE372" s="108"/>
      <c r="AF372" s="108"/>
    </row>
    <row r="373" spans="2:32" x14ac:dyDescent="0.25">
      <c r="B373" s="108"/>
      <c r="C373" s="111"/>
      <c r="D373" s="115"/>
      <c r="E373" s="115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7"/>
      <c r="AC373" s="108"/>
      <c r="AD373" s="108"/>
      <c r="AE373" s="108"/>
      <c r="AF373" s="108"/>
    </row>
    <row r="374" spans="2:32" x14ac:dyDescent="0.25">
      <c r="B374" s="108"/>
      <c r="C374" s="111"/>
      <c r="D374" s="115"/>
      <c r="E374" s="115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7"/>
      <c r="AC374" s="108"/>
      <c r="AD374" s="108"/>
      <c r="AE374" s="108"/>
      <c r="AF374" s="108"/>
    </row>
    <row r="375" spans="2:32" x14ac:dyDescent="0.25">
      <c r="B375" s="108"/>
      <c r="C375" s="111"/>
      <c r="D375" s="115"/>
      <c r="E375" s="115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7"/>
      <c r="AC375" s="108"/>
      <c r="AD375" s="108"/>
      <c r="AE375" s="108"/>
      <c r="AF375" s="108"/>
    </row>
    <row r="376" spans="2:32" x14ac:dyDescent="0.25">
      <c r="B376" s="108"/>
      <c r="C376" s="111"/>
      <c r="D376" s="115"/>
      <c r="E376" s="115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7"/>
      <c r="AC376" s="108"/>
      <c r="AD376" s="108"/>
      <c r="AE376" s="108"/>
      <c r="AF376" s="108"/>
    </row>
    <row r="377" spans="2:32" x14ac:dyDescent="0.25">
      <c r="B377" s="108"/>
      <c r="C377" s="111"/>
      <c r="D377" s="115"/>
      <c r="E377" s="115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7"/>
      <c r="AC377" s="108"/>
      <c r="AD377" s="108"/>
      <c r="AE377" s="108"/>
      <c r="AF377" s="108"/>
    </row>
    <row r="378" spans="2:32" x14ac:dyDescent="0.25">
      <c r="B378" s="108"/>
      <c r="C378" s="111"/>
      <c r="D378" s="115"/>
      <c r="E378" s="115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7"/>
      <c r="AC378" s="108"/>
      <c r="AD378" s="108"/>
      <c r="AE378" s="108"/>
      <c r="AF378" s="108"/>
    </row>
    <row r="379" spans="2:32" x14ac:dyDescent="0.25">
      <c r="B379" s="108"/>
      <c r="C379" s="111"/>
      <c r="D379" s="115"/>
      <c r="E379" s="115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7"/>
      <c r="AC379" s="108"/>
      <c r="AD379" s="108"/>
      <c r="AE379" s="108"/>
      <c r="AF379" s="108"/>
    </row>
    <row r="380" spans="2:32" x14ac:dyDescent="0.25">
      <c r="B380" s="108"/>
      <c r="C380" s="111"/>
      <c r="D380" s="115"/>
      <c r="E380" s="115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7"/>
      <c r="AC380" s="108"/>
      <c r="AD380" s="108"/>
      <c r="AE380" s="108"/>
      <c r="AF380" s="108"/>
    </row>
    <row r="381" spans="2:32" x14ac:dyDescent="0.25">
      <c r="B381" s="108"/>
      <c r="C381" s="111"/>
      <c r="D381" s="115"/>
      <c r="E381" s="115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7"/>
      <c r="AC381" s="108"/>
      <c r="AD381" s="108"/>
      <c r="AE381" s="108"/>
      <c r="AF381" s="108"/>
    </row>
    <row r="382" spans="2:32" x14ac:dyDescent="0.25">
      <c r="B382" s="108"/>
      <c r="C382" s="111"/>
      <c r="D382" s="115"/>
      <c r="E382" s="115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7"/>
      <c r="AC382" s="108"/>
      <c r="AD382" s="108"/>
      <c r="AE382" s="108"/>
      <c r="AF382" s="108"/>
    </row>
    <row r="383" spans="2:32" x14ac:dyDescent="0.25">
      <c r="B383" s="108"/>
      <c r="C383" s="111"/>
      <c r="D383" s="115"/>
      <c r="E383" s="115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7"/>
      <c r="AC383" s="108"/>
      <c r="AD383" s="108"/>
      <c r="AE383" s="108"/>
      <c r="AF383" s="108"/>
    </row>
    <row r="384" spans="2:32" x14ac:dyDescent="0.25">
      <c r="B384" s="108"/>
      <c r="C384" s="111"/>
      <c r="D384" s="115"/>
      <c r="E384" s="115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7"/>
      <c r="AC384" s="108"/>
      <c r="AD384" s="108"/>
      <c r="AE384" s="108"/>
      <c r="AF384" s="108"/>
    </row>
    <row r="385" spans="2:32" x14ac:dyDescent="0.25">
      <c r="B385" s="108"/>
      <c r="C385" s="111"/>
      <c r="D385" s="115"/>
      <c r="E385" s="115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7"/>
      <c r="AC385" s="108"/>
      <c r="AD385" s="108"/>
      <c r="AE385" s="108"/>
      <c r="AF385" s="108"/>
    </row>
    <row r="386" spans="2:32" x14ac:dyDescent="0.25">
      <c r="B386" s="108"/>
      <c r="C386" s="111"/>
      <c r="D386" s="115"/>
      <c r="E386" s="115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7"/>
      <c r="AC386" s="108"/>
      <c r="AD386" s="108"/>
      <c r="AE386" s="108"/>
      <c r="AF386" s="108"/>
    </row>
    <row r="387" spans="2:32" x14ac:dyDescent="0.25">
      <c r="B387" s="108"/>
      <c r="C387" s="111"/>
      <c r="D387" s="115"/>
      <c r="E387" s="115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7"/>
      <c r="AC387" s="108"/>
      <c r="AD387" s="108"/>
      <c r="AE387" s="108"/>
      <c r="AF387" s="108"/>
    </row>
    <row r="388" spans="2:32" x14ac:dyDescent="0.25">
      <c r="B388" s="108"/>
      <c r="C388" s="111"/>
      <c r="D388" s="115"/>
      <c r="E388" s="115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7"/>
      <c r="AC388" s="108"/>
      <c r="AD388" s="108"/>
      <c r="AE388" s="108"/>
      <c r="AF388" s="108"/>
    </row>
    <row r="389" spans="2:32" x14ac:dyDescent="0.25">
      <c r="B389" s="108"/>
      <c r="C389" s="111"/>
      <c r="D389" s="115"/>
      <c r="E389" s="115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7"/>
      <c r="AC389" s="108"/>
      <c r="AD389" s="108"/>
      <c r="AE389" s="108"/>
      <c r="AF389" s="108"/>
    </row>
    <row r="390" spans="2:32" x14ac:dyDescent="0.25">
      <c r="B390" s="108"/>
      <c r="C390" s="111"/>
      <c r="D390" s="115"/>
      <c r="E390" s="115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7"/>
      <c r="AC390" s="108"/>
      <c r="AD390" s="108"/>
      <c r="AE390" s="108"/>
      <c r="AF390" s="108"/>
    </row>
    <row r="391" spans="2:32" x14ac:dyDescent="0.25">
      <c r="B391" s="108"/>
      <c r="C391" s="111"/>
      <c r="D391" s="115"/>
      <c r="E391" s="115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7"/>
      <c r="AC391" s="108"/>
      <c r="AD391" s="108"/>
      <c r="AE391" s="108"/>
      <c r="AF391" s="108"/>
    </row>
    <row r="392" spans="2:32" x14ac:dyDescent="0.25">
      <c r="B392" s="108"/>
      <c r="C392" s="111"/>
      <c r="D392" s="115"/>
      <c r="E392" s="115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7"/>
      <c r="AC392" s="108"/>
      <c r="AD392" s="108"/>
      <c r="AE392" s="108"/>
      <c r="AF392" s="108"/>
    </row>
    <row r="393" spans="2:32" x14ac:dyDescent="0.25">
      <c r="B393" s="108"/>
      <c r="C393" s="111"/>
      <c r="D393" s="115"/>
      <c r="E393" s="115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7"/>
      <c r="AC393" s="108"/>
      <c r="AD393" s="108"/>
      <c r="AE393" s="108"/>
      <c r="AF393" s="108"/>
    </row>
    <row r="394" spans="2:32" x14ac:dyDescent="0.25">
      <c r="B394" s="108"/>
      <c r="C394" s="111"/>
      <c r="D394" s="115"/>
      <c r="E394" s="115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7"/>
      <c r="AC394" s="108"/>
      <c r="AD394" s="108"/>
      <c r="AE394" s="108"/>
      <c r="AF394" s="108"/>
    </row>
    <row r="395" spans="2:32" x14ac:dyDescent="0.25">
      <c r="B395" s="108"/>
      <c r="C395" s="111"/>
      <c r="D395" s="115"/>
      <c r="E395" s="115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7"/>
      <c r="AC395" s="108"/>
      <c r="AD395" s="108"/>
      <c r="AE395" s="108"/>
      <c r="AF395" s="108"/>
    </row>
    <row r="396" spans="2:32" x14ac:dyDescent="0.25">
      <c r="B396" s="108"/>
      <c r="C396" s="111"/>
      <c r="D396" s="115"/>
      <c r="E396" s="115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7"/>
      <c r="AC396" s="108"/>
      <c r="AD396" s="108"/>
      <c r="AE396" s="108"/>
      <c r="AF396" s="108"/>
    </row>
    <row r="397" spans="2:32" x14ac:dyDescent="0.25">
      <c r="B397" s="108"/>
      <c r="C397" s="111"/>
      <c r="D397" s="115"/>
      <c r="E397" s="115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7"/>
      <c r="AC397" s="108"/>
      <c r="AD397" s="108"/>
      <c r="AE397" s="108"/>
      <c r="AF397" s="108"/>
    </row>
    <row r="398" spans="2:32" x14ac:dyDescent="0.25">
      <c r="B398" s="108"/>
      <c r="C398" s="111"/>
      <c r="D398" s="115"/>
      <c r="E398" s="115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7"/>
      <c r="AC398" s="108"/>
      <c r="AD398" s="108"/>
      <c r="AE398" s="108"/>
      <c r="AF398" s="108"/>
    </row>
    <row r="399" spans="2:32" x14ac:dyDescent="0.25">
      <c r="B399" s="108"/>
      <c r="C399" s="111"/>
      <c r="D399" s="115"/>
      <c r="E399" s="115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7"/>
      <c r="AC399" s="108"/>
      <c r="AD399" s="108"/>
      <c r="AE399" s="108"/>
      <c r="AF399" s="108"/>
    </row>
    <row r="400" spans="2:32" x14ac:dyDescent="0.25">
      <c r="B400" s="108"/>
      <c r="C400" s="111"/>
      <c r="D400" s="115"/>
      <c r="E400" s="115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7"/>
      <c r="AC400" s="108"/>
      <c r="AD400" s="108"/>
      <c r="AE400" s="108"/>
      <c r="AF400" s="108"/>
    </row>
    <row r="401" spans="2:32" x14ac:dyDescent="0.25">
      <c r="B401" s="108"/>
      <c r="C401" s="111"/>
      <c r="D401" s="115"/>
      <c r="E401" s="115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7"/>
      <c r="AC401" s="108"/>
      <c r="AD401" s="108"/>
      <c r="AE401" s="108"/>
      <c r="AF401" s="108"/>
    </row>
    <row r="402" spans="2:32" x14ac:dyDescent="0.25">
      <c r="B402" s="108"/>
      <c r="C402" s="111"/>
      <c r="D402" s="115"/>
      <c r="E402" s="115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7"/>
      <c r="AC402" s="108"/>
      <c r="AD402" s="108"/>
      <c r="AE402" s="108"/>
      <c r="AF402" s="108"/>
    </row>
    <row r="403" spans="2:32" x14ac:dyDescent="0.25">
      <c r="B403" s="108"/>
      <c r="C403" s="111"/>
      <c r="D403" s="115"/>
      <c r="E403" s="115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7"/>
      <c r="AC403" s="108"/>
      <c r="AD403" s="108"/>
      <c r="AE403" s="108"/>
      <c r="AF403" s="108"/>
    </row>
    <row r="404" spans="2:32" x14ac:dyDescent="0.25">
      <c r="B404" s="108"/>
      <c r="C404" s="111"/>
      <c r="D404" s="115"/>
      <c r="E404" s="115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7"/>
      <c r="AC404" s="108"/>
      <c r="AD404" s="108"/>
      <c r="AE404" s="108"/>
      <c r="AF404" s="108"/>
    </row>
    <row r="405" spans="2:32" x14ac:dyDescent="0.25">
      <c r="B405" s="108"/>
      <c r="C405" s="111"/>
      <c r="D405" s="115"/>
      <c r="E405" s="115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7"/>
      <c r="AC405" s="108"/>
      <c r="AD405" s="108"/>
      <c r="AE405" s="108"/>
      <c r="AF405" s="108"/>
    </row>
    <row r="406" spans="2:32" x14ac:dyDescent="0.25">
      <c r="B406" s="108"/>
      <c r="C406" s="111"/>
      <c r="D406" s="115"/>
      <c r="E406" s="115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7"/>
      <c r="AC406" s="108"/>
      <c r="AD406" s="108"/>
      <c r="AE406" s="108"/>
      <c r="AF406" s="108"/>
    </row>
    <row r="407" spans="2:32" x14ac:dyDescent="0.25">
      <c r="B407" s="108"/>
      <c r="C407" s="111"/>
      <c r="D407" s="115"/>
      <c r="E407" s="115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7"/>
      <c r="AC407" s="108"/>
      <c r="AD407" s="108"/>
      <c r="AE407" s="108"/>
      <c r="AF407" s="108"/>
    </row>
    <row r="408" spans="2:32" x14ac:dyDescent="0.25">
      <c r="B408" s="108"/>
      <c r="C408" s="111"/>
      <c r="D408" s="115"/>
      <c r="E408" s="115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7"/>
      <c r="AC408" s="108"/>
      <c r="AD408" s="108"/>
      <c r="AE408" s="108"/>
      <c r="AF408" s="108"/>
    </row>
    <row r="409" spans="2:32" x14ac:dyDescent="0.25">
      <c r="B409" s="108"/>
      <c r="C409" s="111"/>
      <c r="D409" s="115"/>
      <c r="E409" s="115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7"/>
      <c r="AC409" s="108"/>
      <c r="AD409" s="108"/>
      <c r="AE409" s="108"/>
      <c r="AF409" s="108"/>
    </row>
    <row r="410" spans="2:32" x14ac:dyDescent="0.25">
      <c r="B410" s="108"/>
      <c r="C410" s="111"/>
      <c r="D410" s="115"/>
      <c r="E410" s="115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7"/>
      <c r="AC410" s="108"/>
      <c r="AD410" s="108"/>
      <c r="AE410" s="108"/>
      <c r="AF410" s="108"/>
    </row>
    <row r="411" spans="2:32" x14ac:dyDescent="0.25">
      <c r="B411" s="108"/>
      <c r="C411" s="111"/>
      <c r="D411" s="115"/>
      <c r="E411" s="115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7"/>
      <c r="AC411" s="108"/>
      <c r="AD411" s="108"/>
      <c r="AE411" s="108"/>
      <c r="AF411" s="108"/>
    </row>
    <row r="412" spans="2:32" x14ac:dyDescent="0.25">
      <c r="B412" s="108"/>
      <c r="C412" s="111"/>
      <c r="D412" s="115"/>
      <c r="E412" s="115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7"/>
      <c r="AC412" s="108"/>
      <c r="AD412" s="108"/>
      <c r="AE412" s="108"/>
      <c r="AF412" s="108"/>
    </row>
    <row r="413" spans="2:32" x14ac:dyDescent="0.25">
      <c r="B413" s="108"/>
      <c r="C413" s="111"/>
      <c r="D413" s="115"/>
      <c r="E413" s="115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7"/>
      <c r="AC413" s="108"/>
      <c r="AD413" s="108"/>
      <c r="AE413" s="108"/>
      <c r="AF413" s="108"/>
    </row>
    <row r="414" spans="2:32" x14ac:dyDescent="0.25">
      <c r="B414" s="108"/>
      <c r="C414" s="111"/>
      <c r="D414" s="115"/>
      <c r="E414" s="115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7"/>
      <c r="AC414" s="108"/>
      <c r="AD414" s="108"/>
      <c r="AE414" s="108"/>
      <c r="AF414" s="108"/>
    </row>
    <row r="415" spans="2:32" x14ac:dyDescent="0.25">
      <c r="B415" s="108"/>
      <c r="C415" s="111"/>
      <c r="D415" s="115"/>
      <c r="E415" s="115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7"/>
      <c r="AC415" s="108"/>
      <c r="AD415" s="108"/>
      <c r="AE415" s="108"/>
      <c r="AF415" s="108"/>
    </row>
    <row r="416" spans="2:32" x14ac:dyDescent="0.25">
      <c r="B416" s="108"/>
      <c r="C416" s="111"/>
      <c r="D416" s="115"/>
      <c r="E416" s="115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7"/>
      <c r="AC416" s="108"/>
      <c r="AD416" s="108"/>
      <c r="AE416" s="108"/>
      <c r="AF416" s="108"/>
    </row>
    <row r="417" spans="2:32" x14ac:dyDescent="0.25">
      <c r="B417" s="108"/>
      <c r="C417" s="111"/>
      <c r="D417" s="115"/>
      <c r="E417" s="115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7"/>
      <c r="AC417" s="108"/>
      <c r="AD417" s="108"/>
      <c r="AE417" s="108"/>
      <c r="AF417" s="108"/>
    </row>
    <row r="418" spans="2:32" x14ac:dyDescent="0.25">
      <c r="B418" s="108"/>
      <c r="C418" s="111"/>
      <c r="D418" s="115"/>
      <c r="E418" s="115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7"/>
      <c r="AC418" s="108"/>
      <c r="AD418" s="108"/>
      <c r="AE418" s="108"/>
      <c r="AF418" s="108"/>
    </row>
    <row r="419" spans="2:32" x14ac:dyDescent="0.25">
      <c r="B419" s="108"/>
      <c r="C419" s="111"/>
      <c r="D419" s="115"/>
      <c r="E419" s="115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7"/>
      <c r="AC419" s="108"/>
      <c r="AD419" s="108"/>
      <c r="AE419" s="108"/>
      <c r="AF419" s="108"/>
    </row>
    <row r="420" spans="2:32" x14ac:dyDescent="0.25">
      <c r="B420" s="108"/>
      <c r="C420" s="111"/>
      <c r="D420" s="115"/>
      <c r="E420" s="115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7"/>
      <c r="AC420" s="108"/>
      <c r="AD420" s="108"/>
      <c r="AE420" s="108"/>
      <c r="AF420" s="108"/>
    </row>
    <row r="421" spans="2:32" x14ac:dyDescent="0.25">
      <c r="B421" s="108"/>
      <c r="C421" s="111"/>
      <c r="D421" s="115"/>
      <c r="E421" s="115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7"/>
      <c r="AC421" s="108"/>
      <c r="AD421" s="108"/>
      <c r="AE421" s="108"/>
      <c r="AF421" s="108"/>
    </row>
    <row r="422" spans="2:32" x14ac:dyDescent="0.25">
      <c r="B422" s="108"/>
      <c r="C422" s="111"/>
      <c r="D422" s="115"/>
      <c r="E422" s="115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7"/>
      <c r="AC422" s="108"/>
      <c r="AD422" s="108"/>
      <c r="AE422" s="108"/>
      <c r="AF422" s="108"/>
    </row>
    <row r="423" spans="2:32" x14ac:dyDescent="0.25">
      <c r="B423" s="108"/>
      <c r="C423" s="111"/>
      <c r="D423" s="115"/>
      <c r="E423" s="115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7"/>
      <c r="AC423" s="108"/>
      <c r="AD423" s="108"/>
      <c r="AE423" s="108"/>
      <c r="AF423" s="108"/>
    </row>
    <row r="424" spans="2:32" x14ac:dyDescent="0.25">
      <c r="B424" s="108"/>
      <c r="C424" s="111"/>
      <c r="D424" s="115"/>
      <c r="E424" s="115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7"/>
      <c r="AC424" s="108"/>
      <c r="AD424" s="108"/>
      <c r="AE424" s="108"/>
      <c r="AF424" s="108"/>
    </row>
    <row r="425" spans="2:32" x14ac:dyDescent="0.25">
      <c r="B425" s="108"/>
      <c r="C425" s="111"/>
      <c r="D425" s="115"/>
      <c r="E425" s="115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7"/>
      <c r="AC425" s="108"/>
      <c r="AD425" s="108"/>
      <c r="AE425" s="108"/>
      <c r="AF425" s="108"/>
    </row>
    <row r="426" spans="2:32" x14ac:dyDescent="0.25">
      <c r="B426" s="108"/>
      <c r="C426" s="111"/>
      <c r="D426" s="115"/>
      <c r="E426" s="115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7"/>
      <c r="AC426" s="108"/>
      <c r="AD426" s="108"/>
      <c r="AE426" s="108"/>
      <c r="AF426" s="108"/>
    </row>
    <row r="427" spans="2:32" x14ac:dyDescent="0.25">
      <c r="B427" s="108"/>
      <c r="C427" s="111"/>
      <c r="D427" s="115"/>
      <c r="E427" s="115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7"/>
      <c r="AC427" s="108"/>
      <c r="AD427" s="108"/>
      <c r="AE427" s="108"/>
      <c r="AF427" s="108"/>
    </row>
    <row r="428" spans="2:32" x14ac:dyDescent="0.25">
      <c r="B428" s="108"/>
      <c r="C428" s="111"/>
      <c r="D428" s="115"/>
      <c r="E428" s="115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7"/>
      <c r="AC428" s="108"/>
      <c r="AD428" s="108"/>
      <c r="AE428" s="108"/>
      <c r="AF428" s="108"/>
    </row>
    <row r="429" spans="2:32" x14ac:dyDescent="0.25">
      <c r="B429" s="108"/>
      <c r="C429" s="111"/>
      <c r="D429" s="115"/>
      <c r="E429" s="115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7"/>
      <c r="AC429" s="108"/>
      <c r="AD429" s="108"/>
      <c r="AE429" s="108"/>
      <c r="AF429" s="108"/>
    </row>
    <row r="430" spans="2:32" x14ac:dyDescent="0.25">
      <c r="B430" s="108"/>
      <c r="C430" s="111"/>
      <c r="D430" s="115"/>
      <c r="E430" s="115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7"/>
      <c r="AC430" s="108"/>
      <c r="AD430" s="108"/>
      <c r="AE430" s="108"/>
      <c r="AF430" s="108"/>
    </row>
    <row r="431" spans="2:32" x14ac:dyDescent="0.25">
      <c r="B431" s="108"/>
      <c r="C431" s="111"/>
      <c r="D431" s="115"/>
      <c r="E431" s="115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7"/>
      <c r="AC431" s="108"/>
      <c r="AD431" s="108"/>
      <c r="AE431" s="108"/>
      <c r="AF431" s="108"/>
    </row>
    <row r="432" spans="2:32" x14ac:dyDescent="0.25">
      <c r="B432" s="108"/>
      <c r="C432" s="111"/>
      <c r="D432" s="115"/>
      <c r="E432" s="115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7"/>
      <c r="AC432" s="108"/>
      <c r="AD432" s="108"/>
      <c r="AE432" s="108"/>
      <c r="AF432" s="108"/>
    </row>
    <row r="433" spans="2:32" x14ac:dyDescent="0.25">
      <c r="B433" s="108"/>
      <c r="C433" s="111"/>
      <c r="D433" s="115"/>
      <c r="E433" s="115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7"/>
      <c r="AC433" s="108"/>
      <c r="AD433" s="108"/>
      <c r="AE433" s="108"/>
      <c r="AF433" s="108"/>
    </row>
    <row r="434" spans="2:32" x14ac:dyDescent="0.25">
      <c r="B434" s="108"/>
      <c r="C434" s="111"/>
      <c r="D434" s="115"/>
      <c r="E434" s="115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7"/>
      <c r="AC434" s="108"/>
      <c r="AD434" s="108"/>
      <c r="AE434" s="108"/>
      <c r="AF434" s="108"/>
    </row>
    <row r="435" spans="2:32" x14ac:dyDescent="0.25">
      <c r="B435" s="108"/>
      <c r="C435" s="111"/>
      <c r="D435" s="115"/>
      <c r="E435" s="115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7"/>
      <c r="AC435" s="108"/>
      <c r="AD435" s="108"/>
      <c r="AE435" s="108"/>
      <c r="AF435" s="108"/>
    </row>
    <row r="436" spans="2:32" x14ac:dyDescent="0.25">
      <c r="B436" s="108"/>
      <c r="C436" s="111"/>
      <c r="D436" s="115"/>
      <c r="E436" s="115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7"/>
      <c r="AC436" s="108"/>
      <c r="AD436" s="108"/>
      <c r="AE436" s="108"/>
      <c r="AF436" s="108"/>
    </row>
    <row r="437" spans="2:32" x14ac:dyDescent="0.25">
      <c r="B437" s="108"/>
      <c r="C437" s="111"/>
      <c r="D437" s="115"/>
      <c r="E437" s="115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7"/>
      <c r="AC437" s="108"/>
      <c r="AD437" s="108"/>
      <c r="AE437" s="108"/>
      <c r="AF437" s="108"/>
    </row>
    <row r="438" spans="2:32" x14ac:dyDescent="0.25">
      <c r="B438" s="108"/>
      <c r="C438" s="111"/>
      <c r="D438" s="115"/>
      <c r="E438" s="115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7"/>
      <c r="AC438" s="108"/>
      <c r="AD438" s="108"/>
      <c r="AE438" s="108"/>
      <c r="AF438" s="108"/>
    </row>
    <row r="439" spans="2:32" x14ac:dyDescent="0.25">
      <c r="B439" s="108"/>
      <c r="C439" s="111"/>
      <c r="D439" s="115"/>
      <c r="E439" s="115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7"/>
      <c r="AC439" s="108"/>
      <c r="AD439" s="108"/>
      <c r="AE439" s="108"/>
      <c r="AF439" s="108"/>
    </row>
    <row r="440" spans="2:32" x14ac:dyDescent="0.25">
      <c r="B440" s="108"/>
      <c r="C440" s="111"/>
      <c r="D440" s="115"/>
      <c r="E440" s="115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7"/>
      <c r="AC440" s="108"/>
      <c r="AD440" s="108"/>
      <c r="AE440" s="108"/>
      <c r="AF440" s="108"/>
    </row>
    <row r="441" spans="2:32" x14ac:dyDescent="0.25">
      <c r="B441" s="108"/>
      <c r="C441" s="111"/>
      <c r="D441" s="115"/>
      <c r="E441" s="115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7"/>
      <c r="AC441" s="108"/>
      <c r="AD441" s="108"/>
      <c r="AE441" s="108"/>
      <c r="AF441" s="108"/>
    </row>
    <row r="442" spans="2:32" x14ac:dyDescent="0.25">
      <c r="B442" s="108"/>
      <c r="C442" s="111"/>
      <c r="D442" s="115"/>
      <c r="E442" s="115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7"/>
      <c r="AC442" s="108"/>
      <c r="AD442" s="108"/>
      <c r="AE442" s="108"/>
      <c r="AF442" s="108"/>
    </row>
    <row r="443" spans="2:32" x14ac:dyDescent="0.25">
      <c r="B443" s="108"/>
      <c r="C443" s="111"/>
      <c r="D443" s="115"/>
      <c r="E443" s="115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7"/>
      <c r="AC443" s="108"/>
      <c r="AD443" s="108"/>
      <c r="AE443" s="108"/>
      <c r="AF443" s="108"/>
    </row>
    <row r="444" spans="2:32" x14ac:dyDescent="0.25">
      <c r="B444" s="108"/>
      <c r="C444" s="111"/>
      <c r="D444" s="115"/>
      <c r="E444" s="115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7"/>
      <c r="AC444" s="108"/>
      <c r="AD444" s="108"/>
      <c r="AE444" s="108"/>
      <c r="AF444" s="108"/>
    </row>
    <row r="445" spans="2:32" x14ac:dyDescent="0.25">
      <c r="B445" s="108"/>
      <c r="C445" s="111"/>
      <c r="D445" s="115"/>
      <c r="E445" s="115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7"/>
      <c r="AC445" s="108"/>
      <c r="AD445" s="108"/>
      <c r="AE445" s="108"/>
      <c r="AF445" s="108"/>
    </row>
    <row r="446" spans="2:32" x14ac:dyDescent="0.25">
      <c r="B446" s="108"/>
      <c r="C446" s="111"/>
      <c r="D446" s="115"/>
      <c r="E446" s="115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7"/>
      <c r="AC446" s="108"/>
      <c r="AD446" s="108"/>
      <c r="AE446" s="108"/>
      <c r="AF446" s="108"/>
    </row>
    <row r="447" spans="2:32" x14ac:dyDescent="0.25">
      <c r="B447" s="108"/>
      <c r="C447" s="111"/>
      <c r="D447" s="115"/>
      <c r="E447" s="115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7"/>
      <c r="AC447" s="108"/>
      <c r="AD447" s="108"/>
      <c r="AE447" s="108"/>
      <c r="AF447" s="108"/>
    </row>
    <row r="448" spans="2:32" x14ac:dyDescent="0.25">
      <c r="B448" s="108"/>
      <c r="C448" s="111"/>
      <c r="D448" s="115"/>
      <c r="E448" s="115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7"/>
      <c r="AC448" s="108"/>
      <c r="AD448" s="108"/>
      <c r="AE448" s="108"/>
      <c r="AF448" s="108"/>
    </row>
    <row r="449" spans="2:32" x14ac:dyDescent="0.25">
      <c r="B449" s="108"/>
      <c r="C449" s="111"/>
      <c r="D449" s="115"/>
      <c r="E449" s="115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7"/>
      <c r="AC449" s="108"/>
      <c r="AD449" s="108"/>
      <c r="AE449" s="108"/>
      <c r="AF449" s="108"/>
    </row>
    <row r="450" spans="2:32" x14ac:dyDescent="0.25">
      <c r="B450" s="108"/>
      <c r="C450" s="111"/>
      <c r="D450" s="115"/>
      <c r="E450" s="115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7"/>
      <c r="AC450" s="108"/>
      <c r="AD450" s="108"/>
      <c r="AE450" s="108"/>
      <c r="AF450" s="108"/>
    </row>
    <row r="451" spans="2:32" x14ac:dyDescent="0.25">
      <c r="B451" s="108"/>
      <c r="C451" s="111"/>
      <c r="D451" s="115"/>
      <c r="E451" s="115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7"/>
      <c r="AC451" s="108"/>
      <c r="AD451" s="108"/>
      <c r="AE451" s="108"/>
      <c r="AF451" s="108"/>
    </row>
    <row r="452" spans="2:32" x14ac:dyDescent="0.25">
      <c r="B452" s="108"/>
      <c r="C452" s="111"/>
      <c r="D452" s="115"/>
      <c r="E452" s="115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7"/>
      <c r="AC452" s="108"/>
      <c r="AD452" s="108"/>
      <c r="AE452" s="108"/>
      <c r="AF452" s="108"/>
    </row>
    <row r="453" spans="2:32" x14ac:dyDescent="0.25">
      <c r="B453" s="108"/>
      <c r="C453" s="111"/>
      <c r="D453" s="115"/>
      <c r="E453" s="115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7"/>
      <c r="AC453" s="108"/>
      <c r="AD453" s="108"/>
      <c r="AE453" s="108"/>
      <c r="AF453" s="108"/>
    </row>
    <row r="454" spans="2:32" x14ac:dyDescent="0.25">
      <c r="B454" s="108"/>
      <c r="C454" s="111"/>
      <c r="D454" s="115"/>
      <c r="E454" s="115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7"/>
      <c r="AC454" s="108"/>
      <c r="AD454" s="108"/>
      <c r="AE454" s="108"/>
      <c r="AF454" s="108"/>
    </row>
    <row r="455" spans="2:32" x14ac:dyDescent="0.25">
      <c r="B455" s="108"/>
      <c r="C455" s="111"/>
      <c r="D455" s="115"/>
      <c r="E455" s="115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7"/>
      <c r="AC455" s="108"/>
      <c r="AD455" s="108"/>
      <c r="AE455" s="108"/>
      <c r="AF455" s="108"/>
    </row>
    <row r="456" spans="2:32" x14ac:dyDescent="0.25">
      <c r="B456" s="108"/>
      <c r="C456" s="111"/>
      <c r="D456" s="115"/>
      <c r="E456" s="115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7"/>
      <c r="AC456" s="108"/>
      <c r="AD456" s="108"/>
      <c r="AE456" s="108"/>
      <c r="AF456" s="108"/>
    </row>
    <row r="457" spans="2:32" x14ac:dyDescent="0.25">
      <c r="B457" s="108"/>
      <c r="C457" s="111"/>
      <c r="D457" s="115"/>
      <c r="E457" s="115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7"/>
      <c r="AC457" s="108"/>
      <c r="AD457" s="108"/>
      <c r="AE457" s="108"/>
      <c r="AF457" s="108"/>
    </row>
    <row r="458" spans="2:32" x14ac:dyDescent="0.25">
      <c r="B458" s="108"/>
      <c r="C458" s="111"/>
      <c r="D458" s="115"/>
      <c r="E458" s="115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7"/>
      <c r="AC458" s="108"/>
      <c r="AD458" s="108"/>
      <c r="AE458" s="108"/>
      <c r="AF458" s="108"/>
    </row>
    <row r="459" spans="2:32" x14ac:dyDescent="0.25">
      <c r="B459" s="108"/>
      <c r="C459" s="111"/>
      <c r="D459" s="115"/>
      <c r="E459" s="115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7"/>
      <c r="AC459" s="108"/>
      <c r="AD459" s="108"/>
      <c r="AE459" s="108"/>
      <c r="AF459" s="108"/>
    </row>
    <row r="460" spans="2:32" x14ac:dyDescent="0.25">
      <c r="B460" s="108"/>
      <c r="C460" s="111"/>
      <c r="D460" s="115"/>
      <c r="E460" s="115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7"/>
      <c r="AC460" s="108"/>
      <c r="AD460" s="108"/>
      <c r="AE460" s="108"/>
      <c r="AF460" s="108"/>
    </row>
    <row r="461" spans="2:32" x14ac:dyDescent="0.25">
      <c r="B461" s="108"/>
      <c r="C461" s="111"/>
      <c r="D461" s="115"/>
      <c r="E461" s="115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7"/>
      <c r="AC461" s="108"/>
      <c r="AD461" s="108"/>
      <c r="AE461" s="108"/>
      <c r="AF461" s="108"/>
    </row>
    <row r="462" spans="2:32" x14ac:dyDescent="0.25">
      <c r="B462" s="108"/>
      <c r="C462" s="111"/>
      <c r="D462" s="115"/>
      <c r="E462" s="115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7"/>
      <c r="AC462" s="108"/>
      <c r="AD462" s="108"/>
      <c r="AE462" s="108"/>
      <c r="AF462" s="108"/>
    </row>
    <row r="463" spans="2:32" x14ac:dyDescent="0.25">
      <c r="B463" s="108"/>
      <c r="C463" s="111"/>
      <c r="D463" s="115"/>
      <c r="E463" s="115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7"/>
      <c r="AC463" s="108"/>
      <c r="AD463" s="108"/>
      <c r="AE463" s="108"/>
      <c r="AF463" s="108"/>
    </row>
    <row r="464" spans="2:32" x14ac:dyDescent="0.25">
      <c r="B464" s="108"/>
      <c r="C464" s="111"/>
      <c r="D464" s="115"/>
      <c r="E464" s="115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7"/>
      <c r="AC464" s="108"/>
      <c r="AD464" s="108"/>
      <c r="AE464" s="108"/>
      <c r="AF464" s="108"/>
    </row>
    <row r="465" spans="2:32" x14ac:dyDescent="0.25">
      <c r="B465" s="108"/>
      <c r="C465" s="111"/>
      <c r="D465" s="115"/>
      <c r="E465" s="115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7"/>
      <c r="AC465" s="108"/>
      <c r="AD465" s="108"/>
      <c r="AE465" s="108"/>
      <c r="AF465" s="108"/>
    </row>
    <row r="466" spans="2:32" x14ac:dyDescent="0.25">
      <c r="B466" s="108"/>
      <c r="C466" s="111"/>
      <c r="D466" s="115"/>
      <c r="E466" s="115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7"/>
      <c r="AC466" s="108"/>
      <c r="AD466" s="108"/>
      <c r="AE466" s="108"/>
      <c r="AF466" s="108"/>
    </row>
    <row r="467" spans="2:32" x14ac:dyDescent="0.25">
      <c r="B467" s="108"/>
      <c r="C467" s="111"/>
      <c r="D467" s="115"/>
      <c r="E467" s="115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7"/>
      <c r="AC467" s="108"/>
      <c r="AD467" s="108"/>
      <c r="AE467" s="108"/>
      <c r="AF467" s="108"/>
    </row>
    <row r="468" spans="2:32" x14ac:dyDescent="0.25">
      <c r="B468" s="108"/>
      <c r="C468" s="111"/>
      <c r="D468" s="115"/>
      <c r="E468" s="115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7"/>
      <c r="AC468" s="108"/>
      <c r="AD468" s="108"/>
      <c r="AE468" s="108"/>
      <c r="AF468" s="108"/>
    </row>
    <row r="469" spans="2:32" x14ac:dyDescent="0.25">
      <c r="B469" s="108"/>
      <c r="C469" s="111"/>
      <c r="D469" s="115"/>
      <c r="E469" s="115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7"/>
      <c r="AC469" s="108"/>
      <c r="AD469" s="108"/>
      <c r="AE469" s="108"/>
      <c r="AF469" s="108"/>
    </row>
    <row r="470" spans="2:32" x14ac:dyDescent="0.25">
      <c r="B470" s="108"/>
      <c r="C470" s="111"/>
      <c r="D470" s="115"/>
      <c r="E470" s="115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7"/>
      <c r="AC470" s="108"/>
      <c r="AD470" s="108"/>
      <c r="AE470" s="108"/>
      <c r="AF470" s="108"/>
    </row>
    <row r="471" spans="2:32" x14ac:dyDescent="0.25">
      <c r="B471" s="108"/>
      <c r="C471" s="111"/>
      <c r="D471" s="115"/>
      <c r="E471" s="115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7"/>
      <c r="AC471" s="108"/>
      <c r="AD471" s="108"/>
      <c r="AE471" s="108"/>
      <c r="AF471" s="108"/>
    </row>
    <row r="472" spans="2:32" x14ac:dyDescent="0.25">
      <c r="B472" s="108"/>
      <c r="C472" s="111"/>
      <c r="D472" s="115"/>
      <c r="E472" s="115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7"/>
      <c r="AC472" s="108"/>
      <c r="AD472" s="108"/>
      <c r="AE472" s="108"/>
      <c r="AF472" s="108"/>
    </row>
    <row r="473" spans="2:32" x14ac:dyDescent="0.25">
      <c r="B473" s="108"/>
      <c r="C473" s="111"/>
      <c r="D473" s="115"/>
      <c r="E473" s="115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7"/>
      <c r="AC473" s="108"/>
      <c r="AD473" s="108"/>
      <c r="AE473" s="108"/>
      <c r="AF473" s="108"/>
    </row>
    <row r="474" spans="2:32" x14ac:dyDescent="0.25">
      <c r="B474" s="108"/>
      <c r="C474" s="111"/>
      <c r="D474" s="115"/>
      <c r="E474" s="115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7"/>
      <c r="AC474" s="108"/>
      <c r="AD474" s="108"/>
      <c r="AE474" s="108"/>
      <c r="AF474" s="108"/>
    </row>
    <row r="475" spans="2:32" x14ac:dyDescent="0.25">
      <c r="B475" s="108"/>
      <c r="C475" s="111"/>
      <c r="D475" s="115"/>
      <c r="E475" s="115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7"/>
      <c r="AC475" s="108"/>
      <c r="AD475" s="108"/>
      <c r="AE475" s="108"/>
      <c r="AF475" s="108"/>
    </row>
    <row r="476" spans="2:32" x14ac:dyDescent="0.25">
      <c r="B476" s="108"/>
      <c r="C476" s="111"/>
      <c r="D476" s="115"/>
      <c r="E476" s="115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7"/>
      <c r="AC476" s="108"/>
      <c r="AD476" s="108"/>
      <c r="AE476" s="108"/>
      <c r="AF476" s="108"/>
    </row>
    <row r="477" spans="2:32" x14ac:dyDescent="0.25">
      <c r="B477" s="108"/>
      <c r="C477" s="111"/>
      <c r="D477" s="115"/>
      <c r="E477" s="115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7"/>
      <c r="AC477" s="108"/>
      <c r="AD477" s="108"/>
      <c r="AE477" s="108"/>
      <c r="AF477" s="108"/>
    </row>
    <row r="478" spans="2:32" x14ac:dyDescent="0.25">
      <c r="B478" s="108"/>
      <c r="C478" s="111"/>
      <c r="D478" s="115"/>
      <c r="E478" s="115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7"/>
      <c r="AC478" s="108"/>
      <c r="AD478" s="108"/>
      <c r="AE478" s="108"/>
      <c r="AF478" s="108"/>
    </row>
    <row r="479" spans="2:32" x14ac:dyDescent="0.25">
      <c r="B479" s="108"/>
      <c r="C479" s="111"/>
      <c r="D479" s="115"/>
      <c r="E479" s="115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7"/>
      <c r="AC479" s="108"/>
      <c r="AD479" s="108"/>
      <c r="AE479" s="108"/>
      <c r="AF479" s="108"/>
    </row>
    <row r="480" spans="2:32" x14ac:dyDescent="0.25">
      <c r="B480" s="108"/>
      <c r="C480" s="111"/>
      <c r="D480" s="115"/>
      <c r="E480" s="115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7"/>
      <c r="AC480" s="108"/>
      <c r="AD480" s="108"/>
      <c r="AE480" s="108"/>
      <c r="AF480" s="108"/>
    </row>
    <row r="481" spans="2:32" x14ac:dyDescent="0.25">
      <c r="B481" s="108"/>
      <c r="C481" s="111"/>
      <c r="D481" s="115"/>
      <c r="E481" s="115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7"/>
      <c r="AC481" s="108"/>
      <c r="AD481" s="108"/>
      <c r="AE481" s="108"/>
      <c r="AF481" s="108"/>
    </row>
    <row r="482" spans="2:32" x14ac:dyDescent="0.25">
      <c r="B482" s="108"/>
      <c r="C482" s="111"/>
      <c r="D482" s="115"/>
      <c r="E482" s="115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7"/>
      <c r="AC482" s="108"/>
      <c r="AD482" s="108"/>
      <c r="AE482" s="108"/>
      <c r="AF482" s="108"/>
    </row>
    <row r="483" spans="2:32" x14ac:dyDescent="0.25">
      <c r="B483" s="108"/>
      <c r="C483" s="111"/>
      <c r="D483" s="115"/>
      <c r="E483" s="115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7"/>
      <c r="AC483" s="108"/>
      <c r="AD483" s="108"/>
      <c r="AE483" s="108"/>
      <c r="AF483" s="108"/>
    </row>
    <row r="484" spans="2:32" x14ac:dyDescent="0.25">
      <c r="B484" s="108"/>
      <c r="C484" s="111"/>
      <c r="D484" s="115"/>
      <c r="E484" s="115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7"/>
      <c r="AC484" s="108"/>
      <c r="AD484" s="108"/>
      <c r="AE484" s="108"/>
      <c r="AF484" s="108"/>
    </row>
    <row r="485" spans="2:32" x14ac:dyDescent="0.25">
      <c r="B485" s="108"/>
      <c r="C485" s="111"/>
      <c r="D485" s="115"/>
      <c r="E485" s="115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7"/>
      <c r="AC485" s="108"/>
      <c r="AD485" s="108"/>
      <c r="AE485" s="108"/>
      <c r="AF485" s="108"/>
    </row>
    <row r="486" spans="2:32" x14ac:dyDescent="0.25">
      <c r="B486" s="108"/>
      <c r="C486" s="111"/>
      <c r="D486" s="115"/>
      <c r="E486" s="115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7"/>
      <c r="AC486" s="108"/>
      <c r="AD486" s="108"/>
      <c r="AE486" s="108"/>
      <c r="AF486" s="108"/>
    </row>
    <row r="487" spans="2:32" x14ac:dyDescent="0.25">
      <c r="B487" s="108"/>
      <c r="C487" s="111"/>
      <c r="D487" s="115"/>
      <c r="E487" s="115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7"/>
      <c r="AC487" s="108"/>
      <c r="AD487" s="108"/>
      <c r="AE487" s="108"/>
      <c r="AF487" s="108"/>
    </row>
    <row r="488" spans="2:32" x14ac:dyDescent="0.25">
      <c r="B488" s="108"/>
      <c r="C488" s="111"/>
      <c r="D488" s="115"/>
      <c r="E488" s="115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7"/>
      <c r="AC488" s="108"/>
      <c r="AD488" s="108"/>
      <c r="AE488" s="108"/>
      <c r="AF488" s="108"/>
    </row>
    <row r="489" spans="2:32" x14ac:dyDescent="0.25">
      <c r="B489" s="108"/>
      <c r="C489" s="111"/>
      <c r="D489" s="115"/>
      <c r="E489" s="115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7"/>
      <c r="AC489" s="108"/>
      <c r="AD489" s="108"/>
      <c r="AE489" s="108"/>
      <c r="AF489" s="108"/>
    </row>
    <row r="490" spans="2:32" x14ac:dyDescent="0.25">
      <c r="B490" s="108"/>
      <c r="C490" s="111"/>
      <c r="D490" s="115"/>
      <c r="E490" s="115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7"/>
      <c r="AC490" s="108"/>
      <c r="AD490" s="108"/>
      <c r="AE490" s="108"/>
      <c r="AF490" s="108"/>
    </row>
    <row r="491" spans="2:32" x14ac:dyDescent="0.25">
      <c r="B491" s="108"/>
      <c r="C491" s="111"/>
      <c r="D491" s="115"/>
      <c r="E491" s="115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7"/>
      <c r="AC491" s="108"/>
      <c r="AD491" s="108"/>
      <c r="AE491" s="108"/>
      <c r="AF491" s="108"/>
    </row>
    <row r="492" spans="2:32" x14ac:dyDescent="0.25">
      <c r="B492" s="108"/>
      <c r="C492" s="111"/>
      <c r="D492" s="115"/>
      <c r="E492" s="115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7"/>
      <c r="AC492" s="108"/>
      <c r="AD492" s="108"/>
      <c r="AE492" s="108"/>
      <c r="AF492" s="108"/>
    </row>
    <row r="493" spans="2:32" x14ac:dyDescent="0.25">
      <c r="B493" s="108"/>
      <c r="C493" s="111"/>
      <c r="D493" s="115"/>
      <c r="E493" s="115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7"/>
      <c r="AC493" s="108"/>
      <c r="AD493" s="108"/>
      <c r="AE493" s="108"/>
      <c r="AF493" s="108"/>
    </row>
    <row r="494" spans="2:32" x14ac:dyDescent="0.25">
      <c r="B494" s="108"/>
      <c r="C494" s="111"/>
      <c r="D494" s="115"/>
      <c r="E494" s="115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7"/>
      <c r="AC494" s="108"/>
      <c r="AD494" s="108"/>
      <c r="AE494" s="108"/>
      <c r="AF494" s="108"/>
    </row>
    <row r="495" spans="2:32" x14ac:dyDescent="0.25">
      <c r="B495" s="108"/>
      <c r="C495" s="111"/>
      <c r="D495" s="115"/>
      <c r="E495" s="115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7"/>
      <c r="AC495" s="108"/>
      <c r="AD495" s="108"/>
      <c r="AE495" s="108"/>
      <c r="AF495" s="108"/>
    </row>
    <row r="496" spans="2:32" x14ac:dyDescent="0.25">
      <c r="B496" s="108"/>
      <c r="C496" s="111"/>
      <c r="D496" s="115"/>
      <c r="E496" s="115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7"/>
      <c r="AC496" s="108"/>
      <c r="AD496" s="108"/>
      <c r="AE496" s="108"/>
      <c r="AF496" s="108"/>
    </row>
    <row r="497" spans="2:32" x14ac:dyDescent="0.25">
      <c r="B497" s="108"/>
      <c r="C497" s="111"/>
      <c r="D497" s="115"/>
      <c r="E497" s="115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7"/>
      <c r="AC497" s="108"/>
      <c r="AD497" s="108"/>
      <c r="AE497" s="108"/>
      <c r="AF497" s="108"/>
    </row>
    <row r="498" spans="2:32" x14ac:dyDescent="0.25">
      <c r="B498" s="108"/>
      <c r="C498" s="111"/>
      <c r="D498" s="115"/>
      <c r="E498" s="115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7"/>
      <c r="AC498" s="108"/>
      <c r="AD498" s="108"/>
      <c r="AE498" s="108"/>
      <c r="AF498" s="108"/>
    </row>
    <row r="499" spans="2:32" x14ac:dyDescent="0.25">
      <c r="B499" s="108"/>
      <c r="C499" s="111"/>
      <c r="D499" s="115"/>
      <c r="E499" s="115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7"/>
      <c r="AC499" s="108"/>
      <c r="AD499" s="108"/>
      <c r="AE499" s="108"/>
      <c r="AF499" s="108"/>
    </row>
    <row r="500" spans="2:32" x14ac:dyDescent="0.25">
      <c r="B500" s="108"/>
      <c r="C500" s="111"/>
      <c r="D500" s="115"/>
      <c r="E500" s="115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7"/>
      <c r="AC500" s="108"/>
      <c r="AD500" s="108"/>
      <c r="AE500" s="108"/>
      <c r="AF500" s="108"/>
    </row>
    <row r="501" spans="2:32" x14ac:dyDescent="0.25">
      <c r="B501" s="108"/>
      <c r="C501" s="111"/>
      <c r="D501" s="115"/>
      <c r="E501" s="115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7"/>
      <c r="AC501" s="108"/>
      <c r="AD501" s="108"/>
      <c r="AE501" s="108"/>
      <c r="AF501" s="108"/>
    </row>
    <row r="502" spans="2:32" x14ac:dyDescent="0.25">
      <c r="B502" s="108"/>
      <c r="C502" s="111"/>
      <c r="D502" s="115"/>
      <c r="E502" s="115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7"/>
      <c r="AC502" s="108"/>
      <c r="AD502" s="108"/>
      <c r="AE502" s="108"/>
      <c r="AF502" s="108"/>
    </row>
    <row r="503" spans="2:32" x14ac:dyDescent="0.25">
      <c r="B503" s="108"/>
      <c r="C503" s="111"/>
      <c r="D503" s="115"/>
      <c r="E503" s="115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7"/>
      <c r="AC503" s="108"/>
      <c r="AD503" s="108"/>
      <c r="AE503" s="108"/>
      <c r="AF503" s="108"/>
    </row>
    <row r="504" spans="2:32" x14ac:dyDescent="0.25">
      <c r="B504" s="108"/>
      <c r="C504" s="111"/>
      <c r="D504" s="115"/>
      <c r="E504" s="115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7"/>
      <c r="AC504" s="108"/>
      <c r="AD504" s="108"/>
      <c r="AE504" s="108"/>
      <c r="AF504" s="108"/>
    </row>
    <row r="505" spans="2:32" x14ac:dyDescent="0.25">
      <c r="B505" s="108"/>
      <c r="C505" s="111"/>
      <c r="D505" s="115"/>
      <c r="E505" s="115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7"/>
      <c r="AC505" s="108"/>
      <c r="AD505" s="108"/>
      <c r="AE505" s="108"/>
      <c r="AF505" s="108"/>
    </row>
    <row r="506" spans="2:32" x14ac:dyDescent="0.25">
      <c r="B506" s="108"/>
      <c r="C506" s="111"/>
      <c r="D506" s="115"/>
      <c r="E506" s="115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7"/>
      <c r="AC506" s="108"/>
      <c r="AD506" s="108"/>
      <c r="AE506" s="108"/>
      <c r="AF506" s="108"/>
    </row>
    <row r="507" spans="2:32" x14ac:dyDescent="0.25">
      <c r="B507" s="108"/>
      <c r="C507" s="111"/>
      <c r="D507" s="115"/>
      <c r="E507" s="115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7"/>
      <c r="AC507" s="108"/>
      <c r="AD507" s="108"/>
      <c r="AE507" s="108"/>
      <c r="AF507" s="108"/>
    </row>
    <row r="508" spans="2:32" x14ac:dyDescent="0.25">
      <c r="B508" s="108"/>
      <c r="C508" s="111"/>
      <c r="D508" s="115"/>
      <c r="E508" s="115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7"/>
      <c r="AC508" s="108"/>
      <c r="AD508" s="108"/>
      <c r="AE508" s="108"/>
      <c r="AF508" s="108"/>
    </row>
    <row r="509" spans="2:32" x14ac:dyDescent="0.25">
      <c r="B509" s="108"/>
      <c r="C509" s="111"/>
      <c r="D509" s="115"/>
      <c r="E509" s="115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7"/>
      <c r="AC509" s="108"/>
      <c r="AD509" s="108"/>
      <c r="AE509" s="108"/>
      <c r="AF509" s="108"/>
    </row>
    <row r="510" spans="2:32" x14ac:dyDescent="0.25">
      <c r="B510" s="108"/>
      <c r="C510" s="111"/>
      <c r="D510" s="115"/>
      <c r="E510" s="115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7"/>
      <c r="AC510" s="108"/>
      <c r="AD510" s="108"/>
      <c r="AE510" s="108"/>
      <c r="AF510" s="108"/>
    </row>
    <row r="511" spans="2:32" x14ac:dyDescent="0.25">
      <c r="B511" s="108"/>
      <c r="C511" s="111"/>
      <c r="D511" s="115"/>
      <c r="E511" s="115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7"/>
      <c r="AC511" s="108"/>
      <c r="AD511" s="108"/>
      <c r="AE511" s="108"/>
      <c r="AF511" s="108"/>
    </row>
    <row r="512" spans="2:32" x14ac:dyDescent="0.25">
      <c r="B512" s="108"/>
      <c r="C512" s="111"/>
      <c r="D512" s="115"/>
      <c r="E512" s="115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7"/>
      <c r="AC512" s="108"/>
      <c r="AD512" s="108"/>
      <c r="AE512" s="108"/>
      <c r="AF512" s="108"/>
    </row>
    <row r="513" spans="2:32" x14ac:dyDescent="0.25">
      <c r="B513" s="108"/>
      <c r="C513" s="111"/>
      <c r="D513" s="115"/>
      <c r="E513" s="115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7"/>
      <c r="AC513" s="108"/>
      <c r="AD513" s="108"/>
      <c r="AE513" s="108"/>
      <c r="AF513" s="108"/>
    </row>
    <row r="514" spans="2:32" x14ac:dyDescent="0.25">
      <c r="B514" s="108"/>
      <c r="C514" s="111"/>
      <c r="D514" s="115"/>
      <c r="E514" s="115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7"/>
      <c r="AC514" s="108"/>
      <c r="AD514" s="108"/>
      <c r="AE514" s="108"/>
      <c r="AF514" s="108"/>
    </row>
    <row r="515" spans="2:32" x14ac:dyDescent="0.25">
      <c r="B515" s="108"/>
      <c r="C515" s="111"/>
      <c r="D515" s="115"/>
      <c r="E515" s="115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7"/>
      <c r="AC515" s="108"/>
      <c r="AD515" s="108"/>
      <c r="AE515" s="108"/>
      <c r="AF515" s="108"/>
    </row>
    <row r="516" spans="2:32" x14ac:dyDescent="0.25">
      <c r="B516" s="108"/>
      <c r="C516" s="111"/>
      <c r="D516" s="115"/>
      <c r="E516" s="115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7"/>
      <c r="AC516" s="108"/>
      <c r="AD516" s="108"/>
      <c r="AE516" s="108"/>
      <c r="AF516" s="108"/>
    </row>
    <row r="517" spans="2:32" x14ac:dyDescent="0.25">
      <c r="B517" s="108"/>
      <c r="C517" s="111"/>
      <c r="D517" s="115"/>
      <c r="E517" s="115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7"/>
      <c r="AC517" s="108"/>
      <c r="AD517" s="108"/>
      <c r="AE517" s="108"/>
      <c r="AF517" s="108"/>
    </row>
    <row r="518" spans="2:32" x14ac:dyDescent="0.25">
      <c r="B518" s="108"/>
      <c r="C518" s="111"/>
      <c r="D518" s="115"/>
      <c r="E518" s="115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7"/>
      <c r="AC518" s="108"/>
      <c r="AD518" s="108"/>
      <c r="AE518" s="108"/>
      <c r="AF518" s="108"/>
    </row>
    <row r="519" spans="2:32" x14ac:dyDescent="0.25">
      <c r="B519" s="108"/>
      <c r="C519" s="111"/>
      <c r="D519" s="115"/>
      <c r="E519" s="115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7"/>
      <c r="AC519" s="108"/>
      <c r="AD519" s="108"/>
      <c r="AE519" s="108"/>
      <c r="AF519" s="108"/>
    </row>
    <row r="520" spans="2:32" x14ac:dyDescent="0.25">
      <c r="B520" s="108"/>
      <c r="C520" s="111"/>
      <c r="D520" s="115"/>
      <c r="E520" s="115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7"/>
      <c r="AC520" s="108"/>
      <c r="AD520" s="108"/>
      <c r="AE520" s="108"/>
      <c r="AF520" s="108"/>
    </row>
    <row r="521" spans="2:32" x14ac:dyDescent="0.25">
      <c r="B521" s="108"/>
      <c r="C521" s="111"/>
      <c r="D521" s="115"/>
      <c r="E521" s="115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7"/>
      <c r="AC521" s="108"/>
      <c r="AD521" s="108"/>
      <c r="AE521" s="108"/>
      <c r="AF521" s="108"/>
    </row>
    <row r="522" spans="2:32" x14ac:dyDescent="0.25">
      <c r="B522" s="108"/>
      <c r="C522" s="111"/>
      <c r="D522" s="115"/>
      <c r="E522" s="115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7"/>
      <c r="AC522" s="108"/>
      <c r="AD522" s="108"/>
      <c r="AE522" s="108"/>
      <c r="AF522" s="108"/>
    </row>
    <row r="523" spans="2:32" x14ac:dyDescent="0.25">
      <c r="B523" s="108"/>
      <c r="C523" s="111"/>
      <c r="D523" s="115"/>
      <c r="E523" s="115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7"/>
      <c r="AC523" s="108"/>
      <c r="AD523" s="108"/>
      <c r="AE523" s="108"/>
      <c r="AF523" s="108"/>
    </row>
    <row r="524" spans="2:32" x14ac:dyDescent="0.25">
      <c r="B524" s="108"/>
      <c r="C524" s="111"/>
      <c r="D524" s="115"/>
      <c r="E524" s="115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7"/>
      <c r="AC524" s="108"/>
      <c r="AD524" s="108"/>
      <c r="AE524" s="108"/>
      <c r="AF524" s="108"/>
    </row>
    <row r="525" spans="2:32" x14ac:dyDescent="0.25">
      <c r="B525" s="108"/>
      <c r="C525" s="111"/>
      <c r="D525" s="115"/>
      <c r="E525" s="115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7"/>
      <c r="AC525" s="108"/>
      <c r="AD525" s="108"/>
      <c r="AE525" s="108"/>
      <c r="AF525" s="108"/>
    </row>
    <row r="526" spans="2:32" x14ac:dyDescent="0.25">
      <c r="B526" s="108"/>
      <c r="C526" s="111"/>
      <c r="D526" s="115"/>
      <c r="E526" s="115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7"/>
      <c r="AC526" s="108"/>
      <c r="AD526" s="108"/>
      <c r="AE526" s="108"/>
      <c r="AF526" s="108"/>
    </row>
    <row r="527" spans="2:32" x14ac:dyDescent="0.25">
      <c r="B527" s="108"/>
      <c r="C527" s="111"/>
      <c r="D527" s="115"/>
      <c r="E527" s="115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7"/>
      <c r="AC527" s="108"/>
      <c r="AD527" s="108"/>
      <c r="AE527" s="108"/>
      <c r="AF527" s="108"/>
    </row>
    <row r="528" spans="2:32" x14ac:dyDescent="0.25">
      <c r="B528" s="108"/>
      <c r="C528" s="111"/>
      <c r="D528" s="115"/>
      <c r="E528" s="115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7"/>
      <c r="AC528" s="108"/>
      <c r="AD528" s="108"/>
      <c r="AE528" s="108"/>
      <c r="AF528" s="108"/>
    </row>
    <row r="529" spans="2:32" x14ac:dyDescent="0.25">
      <c r="B529" s="108"/>
      <c r="C529" s="111"/>
      <c r="D529" s="115"/>
      <c r="E529" s="115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7"/>
      <c r="AC529" s="108"/>
      <c r="AD529" s="108"/>
      <c r="AE529" s="108"/>
      <c r="AF529" s="108"/>
    </row>
    <row r="530" spans="2:32" x14ac:dyDescent="0.25">
      <c r="B530" s="108"/>
      <c r="C530" s="111"/>
      <c r="D530" s="115"/>
      <c r="E530" s="115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7"/>
      <c r="AC530" s="108"/>
      <c r="AD530" s="108"/>
      <c r="AE530" s="108"/>
      <c r="AF530" s="108"/>
    </row>
    <row r="531" spans="2:32" x14ac:dyDescent="0.25">
      <c r="B531" s="108"/>
      <c r="C531" s="111"/>
      <c r="D531" s="115"/>
      <c r="E531" s="115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7"/>
      <c r="AC531" s="108"/>
      <c r="AD531" s="108"/>
      <c r="AE531" s="108"/>
      <c r="AF531" s="108"/>
    </row>
    <row r="532" spans="2:32" x14ac:dyDescent="0.25">
      <c r="B532" s="108"/>
      <c r="C532" s="111"/>
      <c r="D532" s="115"/>
      <c r="E532" s="115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7"/>
      <c r="AC532" s="108"/>
      <c r="AD532" s="108"/>
      <c r="AE532" s="108"/>
      <c r="AF532" s="108"/>
    </row>
    <row r="533" spans="2:32" x14ac:dyDescent="0.25">
      <c r="B533" s="108"/>
      <c r="C533" s="111"/>
      <c r="D533" s="115"/>
      <c r="E533" s="115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7"/>
      <c r="AC533" s="108"/>
      <c r="AD533" s="108"/>
      <c r="AE533" s="108"/>
      <c r="AF533" s="108"/>
    </row>
    <row r="534" spans="2:32" x14ac:dyDescent="0.25">
      <c r="B534" s="108"/>
      <c r="C534" s="111"/>
      <c r="D534" s="115"/>
      <c r="E534" s="115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7"/>
      <c r="AC534" s="108"/>
      <c r="AD534" s="108"/>
      <c r="AE534" s="108"/>
      <c r="AF534" s="108"/>
    </row>
    <row r="535" spans="2:32" x14ac:dyDescent="0.25">
      <c r="B535" s="108"/>
      <c r="C535" s="111"/>
      <c r="D535" s="115"/>
      <c r="E535" s="115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7"/>
      <c r="AC535" s="108"/>
      <c r="AD535" s="108"/>
      <c r="AE535" s="108"/>
      <c r="AF535" s="108"/>
    </row>
    <row r="536" spans="2:32" x14ac:dyDescent="0.25">
      <c r="B536" s="108"/>
      <c r="C536" s="111"/>
      <c r="D536" s="115"/>
      <c r="E536" s="115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7"/>
      <c r="AC536" s="108"/>
      <c r="AD536" s="108"/>
      <c r="AE536" s="108"/>
      <c r="AF536" s="108"/>
    </row>
    <row r="537" spans="2:32" x14ac:dyDescent="0.25">
      <c r="B537" s="108"/>
      <c r="C537" s="111"/>
      <c r="D537" s="115"/>
      <c r="E537" s="115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7"/>
      <c r="AC537" s="108"/>
      <c r="AD537" s="108"/>
      <c r="AE537" s="108"/>
      <c r="AF537" s="108"/>
    </row>
    <row r="538" spans="2:32" x14ac:dyDescent="0.25">
      <c r="B538" s="108"/>
      <c r="C538" s="111"/>
      <c r="D538" s="115"/>
      <c r="E538" s="115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7"/>
      <c r="AC538" s="108"/>
      <c r="AD538" s="108"/>
      <c r="AE538" s="108"/>
      <c r="AF538" s="108"/>
    </row>
    <row r="539" spans="2:32" x14ac:dyDescent="0.25">
      <c r="B539" s="108"/>
      <c r="C539" s="111"/>
      <c r="D539" s="115"/>
      <c r="E539" s="115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7"/>
      <c r="AC539" s="108"/>
      <c r="AD539" s="108"/>
      <c r="AE539" s="108"/>
      <c r="AF539" s="108"/>
    </row>
    <row r="540" spans="2:32" x14ac:dyDescent="0.25">
      <c r="B540" s="108"/>
      <c r="C540" s="111"/>
      <c r="D540" s="115"/>
      <c r="E540" s="115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7"/>
      <c r="AC540" s="108"/>
      <c r="AD540" s="108"/>
      <c r="AE540" s="108"/>
      <c r="AF540" s="108"/>
    </row>
    <row r="541" spans="2:32" x14ac:dyDescent="0.25">
      <c r="B541" s="108"/>
      <c r="C541" s="111"/>
      <c r="D541" s="115"/>
      <c r="E541" s="115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7"/>
      <c r="AC541" s="108"/>
      <c r="AD541" s="108"/>
      <c r="AE541" s="108"/>
      <c r="AF541" s="108"/>
    </row>
    <row r="542" spans="2:32" x14ac:dyDescent="0.25">
      <c r="B542" s="108"/>
      <c r="C542" s="111"/>
      <c r="D542" s="115"/>
      <c r="E542" s="115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7"/>
      <c r="AC542" s="108"/>
      <c r="AD542" s="108"/>
      <c r="AE542" s="108"/>
      <c r="AF542" s="108"/>
    </row>
    <row r="543" spans="2:32" x14ac:dyDescent="0.25">
      <c r="B543" s="108"/>
      <c r="C543" s="111"/>
      <c r="D543" s="115"/>
      <c r="E543" s="115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7"/>
      <c r="AC543" s="108"/>
      <c r="AD543" s="108"/>
      <c r="AE543" s="108"/>
      <c r="AF543" s="108"/>
    </row>
    <row r="544" spans="2:32" x14ac:dyDescent="0.25">
      <c r="B544" s="108"/>
      <c r="C544" s="111"/>
      <c r="D544" s="115"/>
      <c r="E544" s="115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7"/>
      <c r="AC544" s="108"/>
      <c r="AD544" s="108"/>
      <c r="AE544" s="108"/>
      <c r="AF544" s="108"/>
    </row>
    <row r="545" spans="2:32" x14ac:dyDescent="0.25">
      <c r="B545" s="108"/>
      <c r="C545" s="111"/>
      <c r="D545" s="115"/>
      <c r="E545" s="115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7"/>
      <c r="AC545" s="108"/>
      <c r="AD545" s="108"/>
      <c r="AE545" s="108"/>
      <c r="AF545" s="108"/>
    </row>
    <row r="546" spans="2:32" x14ac:dyDescent="0.25">
      <c r="B546" s="108"/>
      <c r="C546" s="111"/>
      <c r="D546" s="115"/>
      <c r="E546" s="115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7"/>
      <c r="AC546" s="108"/>
      <c r="AD546" s="108"/>
      <c r="AE546" s="108"/>
      <c r="AF546" s="108"/>
    </row>
    <row r="547" spans="2:32" x14ac:dyDescent="0.25">
      <c r="B547" s="108"/>
      <c r="C547" s="111"/>
      <c r="D547" s="115"/>
      <c r="E547" s="115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7"/>
      <c r="AC547" s="108"/>
      <c r="AD547" s="108"/>
      <c r="AE547" s="108"/>
      <c r="AF547" s="108"/>
    </row>
    <row r="548" spans="2:32" x14ac:dyDescent="0.25">
      <c r="B548" s="108"/>
      <c r="C548" s="111"/>
      <c r="D548" s="115"/>
      <c r="E548" s="115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7"/>
      <c r="AC548" s="108"/>
      <c r="AD548" s="108"/>
      <c r="AE548" s="108"/>
      <c r="AF548" s="108"/>
    </row>
    <row r="549" spans="2:32" x14ac:dyDescent="0.25">
      <c r="B549" s="108"/>
      <c r="C549" s="111"/>
      <c r="D549" s="115"/>
      <c r="E549" s="115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7"/>
      <c r="AC549" s="108"/>
      <c r="AD549" s="108"/>
      <c r="AE549" s="108"/>
      <c r="AF549" s="108"/>
    </row>
    <row r="550" spans="2:32" x14ac:dyDescent="0.25">
      <c r="B550" s="108"/>
      <c r="C550" s="111"/>
      <c r="D550" s="115"/>
      <c r="E550" s="115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7"/>
      <c r="AC550" s="108"/>
      <c r="AD550" s="108"/>
      <c r="AE550" s="108"/>
      <c r="AF550" s="108"/>
    </row>
    <row r="551" spans="2:32" x14ac:dyDescent="0.25">
      <c r="B551" s="108"/>
      <c r="C551" s="111"/>
      <c r="D551" s="115"/>
      <c r="E551" s="115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7"/>
      <c r="AC551" s="108"/>
      <c r="AD551" s="108"/>
      <c r="AE551" s="108"/>
      <c r="AF551" s="108"/>
    </row>
    <row r="552" spans="2:32" x14ac:dyDescent="0.25">
      <c r="B552" s="108"/>
      <c r="C552" s="111"/>
      <c r="D552" s="115"/>
      <c r="E552" s="115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7"/>
      <c r="AC552" s="108"/>
      <c r="AD552" s="108"/>
      <c r="AE552" s="108"/>
      <c r="AF552" s="108"/>
    </row>
    <row r="553" spans="2:32" x14ac:dyDescent="0.25">
      <c r="B553" s="108"/>
      <c r="C553" s="111"/>
      <c r="D553" s="115"/>
      <c r="E553" s="115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7"/>
      <c r="AC553" s="108"/>
      <c r="AD553" s="108"/>
      <c r="AE553" s="108"/>
      <c r="AF553" s="108"/>
    </row>
    <row r="554" spans="2:32" x14ac:dyDescent="0.25">
      <c r="B554" s="108"/>
      <c r="C554" s="111"/>
      <c r="D554" s="115"/>
      <c r="E554" s="115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7"/>
      <c r="AC554" s="108"/>
      <c r="AD554" s="108"/>
      <c r="AE554" s="108"/>
      <c r="AF554" s="108"/>
    </row>
    <row r="555" spans="2:32" x14ac:dyDescent="0.25">
      <c r="B555" s="108"/>
      <c r="C555" s="111"/>
      <c r="D555" s="115"/>
      <c r="E555" s="115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7"/>
      <c r="AC555" s="108"/>
      <c r="AD555" s="108"/>
      <c r="AE555" s="108"/>
      <c r="AF555" s="108"/>
    </row>
    <row r="556" spans="2:32" x14ac:dyDescent="0.25">
      <c r="B556" s="108"/>
      <c r="C556" s="111"/>
      <c r="D556" s="115"/>
      <c r="E556" s="115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7"/>
      <c r="AC556" s="108"/>
      <c r="AD556" s="108"/>
      <c r="AE556" s="108"/>
      <c r="AF556" s="108"/>
    </row>
    <row r="557" spans="2:32" x14ac:dyDescent="0.25">
      <c r="B557" s="108"/>
      <c r="C557" s="111"/>
      <c r="D557" s="115"/>
      <c r="E557" s="115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7"/>
      <c r="AC557" s="108"/>
      <c r="AD557" s="108"/>
      <c r="AE557" s="108"/>
      <c r="AF557" s="108"/>
    </row>
    <row r="558" spans="2:32" x14ac:dyDescent="0.25">
      <c r="B558" s="108"/>
      <c r="C558" s="111"/>
      <c r="D558" s="115"/>
      <c r="E558" s="115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7"/>
      <c r="AC558" s="108"/>
      <c r="AD558" s="108"/>
      <c r="AE558" s="108"/>
      <c r="AF558" s="108"/>
    </row>
    <row r="559" spans="2:32" x14ac:dyDescent="0.25">
      <c r="B559" s="108"/>
      <c r="C559" s="111"/>
      <c r="D559" s="115"/>
      <c r="E559" s="115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7"/>
      <c r="AC559" s="108"/>
      <c r="AD559" s="108"/>
      <c r="AE559" s="108"/>
      <c r="AF559" s="108"/>
    </row>
    <row r="560" spans="2:32" x14ac:dyDescent="0.25">
      <c r="B560" s="108"/>
      <c r="C560" s="111"/>
      <c r="D560" s="115"/>
      <c r="E560" s="115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7"/>
      <c r="AC560" s="108"/>
      <c r="AD560" s="108"/>
      <c r="AE560" s="108"/>
      <c r="AF560" s="108"/>
    </row>
    <row r="561" spans="2:32" x14ac:dyDescent="0.25">
      <c r="B561" s="108"/>
      <c r="C561" s="111"/>
      <c r="D561" s="115"/>
      <c r="E561" s="115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7"/>
      <c r="AC561" s="108"/>
      <c r="AD561" s="108"/>
      <c r="AE561" s="108"/>
      <c r="AF561" s="108"/>
    </row>
    <row r="562" spans="2:32" x14ac:dyDescent="0.25">
      <c r="B562" s="108"/>
      <c r="C562" s="111"/>
      <c r="D562" s="115"/>
      <c r="E562" s="115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7"/>
      <c r="AC562" s="108"/>
      <c r="AD562" s="108"/>
      <c r="AE562" s="108"/>
      <c r="AF562" s="108"/>
    </row>
    <row r="563" spans="2:32" x14ac:dyDescent="0.25">
      <c r="B563" s="108"/>
      <c r="C563" s="111"/>
      <c r="D563" s="115"/>
      <c r="E563" s="115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7"/>
      <c r="AC563" s="108"/>
      <c r="AD563" s="108"/>
      <c r="AE563" s="108"/>
      <c r="AF563" s="108"/>
    </row>
    <row r="564" spans="2:32" x14ac:dyDescent="0.25">
      <c r="B564" s="108"/>
      <c r="C564" s="111"/>
      <c r="D564" s="115"/>
      <c r="E564" s="115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7"/>
      <c r="AC564" s="108"/>
      <c r="AD564" s="108"/>
      <c r="AE564" s="108"/>
      <c r="AF564" s="108"/>
    </row>
    <row r="565" spans="2:32" x14ac:dyDescent="0.25">
      <c r="B565" s="108"/>
      <c r="C565" s="111"/>
      <c r="D565" s="115"/>
      <c r="E565" s="115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7"/>
      <c r="AC565" s="108"/>
      <c r="AD565" s="108"/>
      <c r="AE565" s="108"/>
      <c r="AF565" s="108"/>
    </row>
    <row r="566" spans="2:32" x14ac:dyDescent="0.25">
      <c r="B566" s="108"/>
      <c r="C566" s="111"/>
      <c r="D566" s="115"/>
      <c r="E566" s="115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7"/>
      <c r="AC566" s="108"/>
      <c r="AD566" s="108"/>
      <c r="AE566" s="108"/>
      <c r="AF566" s="108"/>
    </row>
    <row r="567" spans="2:32" x14ac:dyDescent="0.25">
      <c r="B567" s="108"/>
      <c r="C567" s="111"/>
      <c r="D567" s="115"/>
      <c r="E567" s="115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7"/>
      <c r="AC567" s="108"/>
      <c r="AD567" s="108"/>
      <c r="AE567" s="108"/>
      <c r="AF567" s="108"/>
    </row>
    <row r="568" spans="2:32" x14ac:dyDescent="0.25">
      <c r="B568" s="108"/>
      <c r="C568" s="111"/>
      <c r="D568" s="115"/>
      <c r="E568" s="115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7"/>
      <c r="AC568" s="108"/>
      <c r="AD568" s="108"/>
      <c r="AE568" s="108"/>
      <c r="AF568" s="108"/>
    </row>
    <row r="569" spans="2:32" x14ac:dyDescent="0.25">
      <c r="B569" s="108"/>
      <c r="C569" s="111"/>
      <c r="D569" s="115"/>
      <c r="E569" s="115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7"/>
      <c r="AC569" s="108"/>
      <c r="AD569" s="108"/>
      <c r="AE569" s="108"/>
      <c r="AF569" s="108"/>
    </row>
    <row r="570" spans="2:32" x14ac:dyDescent="0.25">
      <c r="B570" s="108"/>
      <c r="C570" s="111"/>
      <c r="D570" s="115"/>
      <c r="E570" s="115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7"/>
      <c r="AC570" s="108"/>
      <c r="AD570" s="108"/>
      <c r="AE570" s="108"/>
      <c r="AF570" s="108"/>
    </row>
    <row r="571" spans="2:32" x14ac:dyDescent="0.25">
      <c r="B571" s="108"/>
      <c r="C571" s="111"/>
      <c r="D571" s="115"/>
      <c r="E571" s="115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7"/>
      <c r="AC571" s="108"/>
      <c r="AD571" s="108"/>
      <c r="AE571" s="108"/>
      <c r="AF571" s="108"/>
    </row>
    <row r="572" spans="2:32" x14ac:dyDescent="0.25">
      <c r="B572" s="108"/>
      <c r="C572" s="111"/>
      <c r="D572" s="115"/>
      <c r="E572" s="115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7"/>
      <c r="AC572" s="108"/>
      <c r="AD572" s="108"/>
      <c r="AE572" s="108"/>
      <c r="AF572" s="108"/>
    </row>
    <row r="573" spans="2:32" x14ac:dyDescent="0.25">
      <c r="B573" s="108"/>
      <c r="C573" s="111"/>
      <c r="D573" s="115"/>
      <c r="E573" s="115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7"/>
      <c r="AC573" s="108"/>
      <c r="AD573" s="108"/>
      <c r="AE573" s="108"/>
      <c r="AF573" s="108"/>
    </row>
    <row r="574" spans="2:32" x14ac:dyDescent="0.25">
      <c r="B574" s="108"/>
      <c r="C574" s="111"/>
      <c r="D574" s="115"/>
      <c r="E574" s="115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7"/>
      <c r="AC574" s="108"/>
      <c r="AD574" s="108"/>
      <c r="AE574" s="108"/>
      <c r="AF574" s="108"/>
    </row>
    <row r="575" spans="2:32" x14ac:dyDescent="0.25">
      <c r="B575" s="108"/>
      <c r="C575" s="111"/>
      <c r="D575" s="115"/>
      <c r="E575" s="115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7"/>
      <c r="AC575" s="108"/>
      <c r="AD575" s="108"/>
      <c r="AE575" s="108"/>
      <c r="AF575" s="108"/>
    </row>
    <row r="576" spans="2:32" x14ac:dyDescent="0.25">
      <c r="B576" s="108"/>
      <c r="C576" s="111"/>
      <c r="D576" s="115"/>
      <c r="E576" s="115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7"/>
      <c r="AC576" s="108"/>
      <c r="AD576" s="108"/>
      <c r="AE576" s="108"/>
      <c r="AF576" s="108"/>
    </row>
    <row r="577" spans="2:32" x14ac:dyDescent="0.25">
      <c r="B577" s="108"/>
      <c r="C577" s="111"/>
      <c r="D577" s="115"/>
      <c r="E577" s="115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7"/>
      <c r="AC577" s="108"/>
      <c r="AD577" s="108"/>
      <c r="AE577" s="108"/>
      <c r="AF577" s="108"/>
    </row>
    <row r="578" spans="2:32" x14ac:dyDescent="0.25">
      <c r="B578" s="108"/>
      <c r="C578" s="111"/>
      <c r="D578" s="115"/>
      <c r="E578" s="115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7"/>
      <c r="AC578" s="108"/>
      <c r="AD578" s="108"/>
      <c r="AE578" s="108"/>
      <c r="AF578" s="108"/>
    </row>
    <row r="579" spans="2:32" x14ac:dyDescent="0.25">
      <c r="B579" s="108"/>
      <c r="C579" s="111"/>
      <c r="D579" s="115"/>
      <c r="E579" s="115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7"/>
      <c r="AC579" s="108"/>
      <c r="AD579" s="108"/>
      <c r="AE579" s="108"/>
      <c r="AF579" s="108"/>
    </row>
    <row r="580" spans="2:32" x14ac:dyDescent="0.25">
      <c r="B580" s="108"/>
      <c r="C580" s="111"/>
      <c r="D580" s="115"/>
      <c r="E580" s="115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7"/>
      <c r="AC580" s="108"/>
      <c r="AD580" s="108"/>
      <c r="AE580" s="108"/>
      <c r="AF580" s="108"/>
    </row>
    <row r="581" spans="2:32" x14ac:dyDescent="0.25">
      <c r="B581" s="108"/>
      <c r="C581" s="111"/>
      <c r="D581" s="115"/>
      <c r="E581" s="115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7"/>
      <c r="AC581" s="108"/>
      <c r="AD581" s="108"/>
      <c r="AE581" s="108"/>
      <c r="AF581" s="108"/>
    </row>
    <row r="582" spans="2:32" x14ac:dyDescent="0.25">
      <c r="B582" s="108"/>
      <c r="C582" s="111"/>
      <c r="D582" s="115"/>
      <c r="E582" s="115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7"/>
      <c r="AC582" s="108"/>
      <c r="AD582" s="108"/>
      <c r="AE582" s="108"/>
      <c r="AF582" s="108"/>
    </row>
    <row r="583" spans="2:32" x14ac:dyDescent="0.25">
      <c r="B583" s="108"/>
      <c r="C583" s="111"/>
      <c r="D583" s="115"/>
      <c r="E583" s="115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7"/>
      <c r="AC583" s="108"/>
      <c r="AD583" s="108"/>
      <c r="AE583" s="108"/>
      <c r="AF583" s="108"/>
    </row>
    <row r="584" spans="2:32" x14ac:dyDescent="0.25">
      <c r="B584" s="108"/>
      <c r="C584" s="111"/>
      <c r="D584" s="115"/>
      <c r="E584" s="115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7"/>
      <c r="AC584" s="108"/>
      <c r="AD584" s="108"/>
      <c r="AE584" s="108"/>
      <c r="AF584" s="108"/>
    </row>
    <row r="585" spans="2:32" x14ac:dyDescent="0.25">
      <c r="B585" s="108"/>
      <c r="C585" s="111"/>
      <c r="D585" s="115"/>
      <c r="E585" s="115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7"/>
      <c r="AC585" s="108"/>
      <c r="AD585" s="108"/>
      <c r="AE585" s="108"/>
      <c r="AF585" s="108"/>
    </row>
    <row r="586" spans="2:32" x14ac:dyDescent="0.25">
      <c r="B586" s="108"/>
      <c r="C586" s="111"/>
      <c r="D586" s="115"/>
      <c r="E586" s="115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7"/>
      <c r="AC586" s="108"/>
      <c r="AD586" s="108"/>
      <c r="AE586" s="108"/>
      <c r="AF586" s="108"/>
    </row>
    <row r="587" spans="2:32" x14ac:dyDescent="0.25">
      <c r="B587" s="108"/>
      <c r="C587" s="111"/>
      <c r="D587" s="115"/>
      <c r="E587" s="115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7"/>
      <c r="AC587" s="108"/>
      <c r="AD587" s="108"/>
      <c r="AE587" s="108"/>
      <c r="AF587" s="108"/>
    </row>
    <row r="588" spans="2:32" x14ac:dyDescent="0.25">
      <c r="B588" s="108"/>
      <c r="C588" s="111"/>
      <c r="D588" s="115"/>
      <c r="E588" s="115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7"/>
      <c r="AC588" s="108"/>
      <c r="AD588" s="108"/>
      <c r="AE588" s="108"/>
      <c r="AF588" s="108"/>
    </row>
    <row r="589" spans="2:32" x14ac:dyDescent="0.25">
      <c r="B589" s="108"/>
      <c r="C589" s="111"/>
      <c r="D589" s="115"/>
      <c r="E589" s="115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7"/>
      <c r="AC589" s="108"/>
      <c r="AD589" s="108"/>
      <c r="AE589" s="108"/>
      <c r="AF589" s="108"/>
    </row>
    <row r="590" spans="2:32" x14ac:dyDescent="0.25">
      <c r="B590" s="108"/>
      <c r="C590" s="111"/>
      <c r="D590" s="115"/>
      <c r="E590" s="115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7"/>
      <c r="AC590" s="108"/>
      <c r="AD590" s="108"/>
      <c r="AE590" s="108"/>
      <c r="AF590" s="108"/>
    </row>
    <row r="591" spans="2:32" x14ac:dyDescent="0.25">
      <c r="B591" s="108"/>
      <c r="C591" s="111"/>
      <c r="D591" s="115"/>
      <c r="E591" s="115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7"/>
      <c r="AC591" s="108"/>
      <c r="AD591" s="108"/>
      <c r="AE591" s="108"/>
      <c r="AF591" s="108"/>
    </row>
    <row r="592" spans="2:32" x14ac:dyDescent="0.25">
      <c r="B592" s="108"/>
      <c r="C592" s="111"/>
      <c r="D592" s="115"/>
      <c r="E592" s="115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7"/>
      <c r="AC592" s="108"/>
      <c r="AD592" s="108"/>
      <c r="AE592" s="108"/>
      <c r="AF592" s="108"/>
    </row>
    <row r="593" spans="2:32" x14ac:dyDescent="0.25">
      <c r="B593" s="108"/>
      <c r="C593" s="111"/>
      <c r="D593" s="115"/>
      <c r="E593" s="115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7"/>
      <c r="AC593" s="108"/>
      <c r="AD593" s="108"/>
      <c r="AE593" s="108"/>
      <c r="AF593" s="108"/>
    </row>
    <row r="594" spans="2:32" x14ac:dyDescent="0.25">
      <c r="B594" s="108"/>
      <c r="C594" s="111"/>
      <c r="D594" s="115"/>
      <c r="E594" s="115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7"/>
      <c r="AC594" s="108"/>
      <c r="AD594" s="108"/>
      <c r="AE594" s="108"/>
      <c r="AF594" s="108"/>
    </row>
    <row r="595" spans="2:32" x14ac:dyDescent="0.25">
      <c r="B595" s="108"/>
      <c r="C595" s="111"/>
      <c r="D595" s="115"/>
      <c r="E595" s="115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7"/>
      <c r="AC595" s="108"/>
      <c r="AD595" s="108"/>
      <c r="AE595" s="108"/>
      <c r="AF595" s="108"/>
    </row>
    <row r="596" spans="2:32" x14ac:dyDescent="0.25">
      <c r="B596" s="108"/>
      <c r="C596" s="111"/>
      <c r="D596" s="115"/>
      <c r="E596" s="115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7"/>
      <c r="AC596" s="108"/>
      <c r="AD596" s="108"/>
      <c r="AE596" s="108"/>
      <c r="AF596" s="108"/>
    </row>
    <row r="597" spans="2:32" x14ac:dyDescent="0.25">
      <c r="B597" s="108"/>
      <c r="C597" s="111"/>
      <c r="D597" s="115"/>
      <c r="E597" s="115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7"/>
      <c r="AC597" s="108"/>
      <c r="AD597" s="108"/>
      <c r="AE597" s="108"/>
      <c r="AF597" s="108"/>
    </row>
    <row r="598" spans="2:32" x14ac:dyDescent="0.25">
      <c r="B598" s="108"/>
      <c r="C598" s="111"/>
      <c r="D598" s="115"/>
      <c r="E598" s="115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7"/>
      <c r="AC598" s="108"/>
      <c r="AD598" s="108"/>
      <c r="AE598" s="108"/>
      <c r="AF598" s="108"/>
    </row>
    <row r="599" spans="2:32" x14ac:dyDescent="0.25">
      <c r="B599" s="108"/>
      <c r="C599" s="111"/>
      <c r="D599" s="115"/>
      <c r="E599" s="115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7"/>
      <c r="AC599" s="108"/>
      <c r="AD599" s="108"/>
      <c r="AE599" s="108"/>
      <c r="AF599" s="108"/>
    </row>
    <row r="600" spans="2:32" x14ac:dyDescent="0.25">
      <c r="B600" s="108"/>
      <c r="C600" s="111"/>
      <c r="D600" s="115"/>
      <c r="E600" s="115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7"/>
      <c r="AC600" s="108"/>
      <c r="AD600" s="108"/>
      <c r="AE600" s="108"/>
      <c r="AF600" s="108"/>
    </row>
    <row r="601" spans="2:32" x14ac:dyDescent="0.25">
      <c r="B601" s="108"/>
      <c r="C601" s="111"/>
      <c r="D601" s="115"/>
      <c r="E601" s="115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7"/>
      <c r="AC601" s="108"/>
      <c r="AD601" s="108"/>
      <c r="AE601" s="108"/>
      <c r="AF601" s="108"/>
    </row>
    <row r="602" spans="2:32" x14ac:dyDescent="0.25">
      <c r="B602" s="108"/>
      <c r="C602" s="111"/>
      <c r="D602" s="115"/>
      <c r="E602" s="115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7"/>
      <c r="AC602" s="108"/>
      <c r="AD602" s="108"/>
      <c r="AE602" s="108"/>
      <c r="AF602" s="108"/>
    </row>
    <row r="603" spans="2:32" x14ac:dyDescent="0.25">
      <c r="B603" s="108"/>
      <c r="C603" s="111"/>
      <c r="D603" s="115"/>
      <c r="E603" s="115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7"/>
      <c r="AC603" s="108"/>
      <c r="AD603" s="108"/>
      <c r="AE603" s="108"/>
      <c r="AF603" s="108"/>
    </row>
    <row r="604" spans="2:32" x14ac:dyDescent="0.25">
      <c r="B604" s="108"/>
      <c r="C604" s="111"/>
      <c r="D604" s="115"/>
      <c r="E604" s="115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7"/>
      <c r="AC604" s="108"/>
      <c r="AD604" s="108"/>
      <c r="AE604" s="108"/>
      <c r="AF604" s="108"/>
    </row>
    <row r="605" spans="2:32" x14ac:dyDescent="0.25">
      <c r="B605" s="108"/>
      <c r="C605" s="111"/>
      <c r="D605" s="115"/>
      <c r="E605" s="115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7"/>
      <c r="AC605" s="108"/>
      <c r="AD605" s="108"/>
      <c r="AE605" s="108"/>
      <c r="AF605" s="108"/>
    </row>
    <row r="606" spans="2:32" x14ac:dyDescent="0.25">
      <c r="B606" s="108"/>
      <c r="C606" s="111"/>
      <c r="D606" s="115"/>
      <c r="E606" s="115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7"/>
      <c r="AC606" s="108"/>
      <c r="AD606" s="108"/>
      <c r="AE606" s="108"/>
      <c r="AF606" s="108"/>
    </row>
    <row r="607" spans="2:32" x14ac:dyDescent="0.25">
      <c r="B607" s="108"/>
      <c r="C607" s="111"/>
      <c r="D607" s="115"/>
      <c r="E607" s="115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7"/>
      <c r="AC607" s="108"/>
      <c r="AD607" s="108"/>
      <c r="AE607" s="108"/>
      <c r="AF607" s="108"/>
    </row>
    <row r="608" spans="2:32" x14ac:dyDescent="0.25">
      <c r="B608" s="108"/>
      <c r="C608" s="111"/>
      <c r="D608" s="115"/>
      <c r="E608" s="115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7"/>
      <c r="AC608" s="108"/>
      <c r="AD608" s="108"/>
      <c r="AE608" s="108"/>
      <c r="AF608" s="108"/>
    </row>
    <row r="609" spans="2:32" x14ac:dyDescent="0.25">
      <c r="B609" s="108"/>
      <c r="C609" s="111"/>
      <c r="D609" s="115"/>
      <c r="E609" s="115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7"/>
      <c r="AC609" s="108"/>
      <c r="AD609" s="108"/>
      <c r="AE609" s="108"/>
      <c r="AF609" s="108"/>
    </row>
    <row r="610" spans="2:32" x14ac:dyDescent="0.25">
      <c r="B610" s="108"/>
      <c r="C610" s="111"/>
      <c r="D610" s="115"/>
      <c r="E610" s="115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7"/>
      <c r="AC610" s="108"/>
      <c r="AD610" s="108"/>
      <c r="AE610" s="108"/>
      <c r="AF610" s="108"/>
    </row>
    <row r="611" spans="2:32" x14ac:dyDescent="0.25">
      <c r="B611" s="108"/>
      <c r="C611" s="111"/>
      <c r="D611" s="115"/>
      <c r="E611" s="115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7"/>
      <c r="AC611" s="108"/>
      <c r="AD611" s="108"/>
      <c r="AE611" s="108"/>
      <c r="AF611" s="108"/>
    </row>
    <row r="612" spans="2:32" x14ac:dyDescent="0.25">
      <c r="B612" s="108"/>
      <c r="C612" s="111"/>
      <c r="D612" s="115"/>
      <c r="E612" s="115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7"/>
      <c r="AC612" s="108"/>
      <c r="AD612" s="108"/>
      <c r="AE612" s="108"/>
      <c r="AF612" s="108"/>
    </row>
    <row r="613" spans="2:32" x14ac:dyDescent="0.25">
      <c r="B613" s="108"/>
      <c r="C613" s="111"/>
      <c r="D613" s="115"/>
      <c r="E613" s="115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7"/>
      <c r="AC613" s="108"/>
      <c r="AD613" s="108"/>
      <c r="AE613" s="108"/>
      <c r="AF613" s="108"/>
    </row>
    <row r="614" spans="2:32" x14ac:dyDescent="0.25">
      <c r="B614" s="108"/>
      <c r="C614" s="111"/>
      <c r="D614" s="115"/>
      <c r="E614" s="115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7"/>
      <c r="AC614" s="108"/>
      <c r="AD614" s="108"/>
      <c r="AE614" s="108"/>
      <c r="AF614" s="108"/>
    </row>
    <row r="615" spans="2:32" x14ac:dyDescent="0.25">
      <c r="B615" s="108"/>
      <c r="C615" s="111"/>
      <c r="D615" s="115"/>
      <c r="E615" s="115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7"/>
      <c r="AC615" s="108"/>
      <c r="AD615" s="108"/>
      <c r="AE615" s="108"/>
      <c r="AF615" s="108"/>
    </row>
    <row r="616" spans="2:32" x14ac:dyDescent="0.25">
      <c r="B616" s="108"/>
      <c r="C616" s="111"/>
      <c r="D616" s="115"/>
      <c r="E616" s="115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7"/>
      <c r="AC616" s="108"/>
      <c r="AD616" s="108"/>
      <c r="AE616" s="108"/>
      <c r="AF616" s="108"/>
    </row>
    <row r="617" spans="2:32" x14ac:dyDescent="0.25">
      <c r="B617" s="108"/>
      <c r="C617" s="111"/>
      <c r="D617" s="115"/>
      <c r="E617" s="115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7"/>
      <c r="AC617" s="108"/>
      <c r="AD617" s="108"/>
      <c r="AE617" s="108"/>
      <c r="AF617" s="108"/>
    </row>
    <row r="618" spans="2:32" x14ac:dyDescent="0.25">
      <c r="B618" s="108"/>
      <c r="C618" s="111"/>
      <c r="D618" s="115"/>
      <c r="E618" s="115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7"/>
      <c r="AC618" s="108"/>
      <c r="AD618" s="108"/>
      <c r="AE618" s="108"/>
      <c r="AF618" s="108"/>
    </row>
    <row r="619" spans="2:32" x14ac:dyDescent="0.25">
      <c r="B619" s="108"/>
      <c r="C619" s="111"/>
      <c r="D619" s="115"/>
      <c r="E619" s="115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7"/>
      <c r="AC619" s="108"/>
      <c r="AD619" s="108"/>
      <c r="AE619" s="108"/>
      <c r="AF619" s="108"/>
    </row>
    <row r="620" spans="2:32" x14ac:dyDescent="0.25">
      <c r="B620" s="108"/>
      <c r="C620" s="111"/>
      <c r="D620" s="115"/>
      <c r="E620" s="115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7"/>
      <c r="AC620" s="108"/>
      <c r="AD620" s="108"/>
      <c r="AE620" s="108"/>
      <c r="AF620" s="108"/>
    </row>
    <row r="621" spans="2:32" x14ac:dyDescent="0.25">
      <c r="B621" s="108"/>
      <c r="C621" s="111"/>
      <c r="D621" s="115"/>
      <c r="E621" s="115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7"/>
      <c r="AC621" s="108"/>
      <c r="AD621" s="108"/>
      <c r="AE621" s="108"/>
      <c r="AF621" s="108"/>
    </row>
    <row r="622" spans="2:32" x14ac:dyDescent="0.25">
      <c r="B622" s="108"/>
      <c r="C622" s="111"/>
      <c r="D622" s="115"/>
      <c r="E622" s="115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7"/>
      <c r="AC622" s="108"/>
      <c r="AD622" s="108"/>
      <c r="AE622" s="108"/>
      <c r="AF622" s="108"/>
    </row>
    <row r="623" spans="2:32" x14ac:dyDescent="0.25">
      <c r="B623" s="108"/>
      <c r="C623" s="111"/>
      <c r="D623" s="115"/>
      <c r="E623" s="115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7"/>
      <c r="AC623" s="108"/>
      <c r="AD623" s="108"/>
      <c r="AE623" s="108"/>
      <c r="AF623" s="108"/>
    </row>
    <row r="624" spans="2:32" x14ac:dyDescent="0.25">
      <c r="B624" s="108"/>
      <c r="C624" s="111"/>
      <c r="D624" s="115"/>
      <c r="E624" s="115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7"/>
      <c r="AC624" s="108"/>
      <c r="AD624" s="108"/>
      <c r="AE624" s="108"/>
      <c r="AF624" s="108"/>
    </row>
    <row r="625" spans="2:32" x14ac:dyDescent="0.25">
      <c r="B625" s="108"/>
      <c r="C625" s="111"/>
      <c r="D625" s="115"/>
      <c r="E625" s="115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7"/>
      <c r="AC625" s="108"/>
      <c r="AD625" s="108"/>
      <c r="AE625" s="108"/>
      <c r="AF625" s="108"/>
    </row>
    <row r="626" spans="2:32" x14ac:dyDescent="0.25">
      <c r="B626" s="108"/>
      <c r="C626" s="111"/>
      <c r="D626" s="115"/>
      <c r="E626" s="115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7"/>
      <c r="AC626" s="108"/>
      <c r="AD626" s="108"/>
      <c r="AE626" s="108"/>
      <c r="AF626" s="108"/>
    </row>
    <row r="627" spans="2:32" x14ac:dyDescent="0.25">
      <c r="B627" s="108"/>
      <c r="C627" s="111"/>
      <c r="D627" s="115"/>
      <c r="E627" s="115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7"/>
      <c r="AC627" s="108"/>
      <c r="AD627" s="108"/>
      <c r="AE627" s="108"/>
      <c r="AF627" s="108"/>
    </row>
    <row r="628" spans="2:32" x14ac:dyDescent="0.25">
      <c r="B628" s="108"/>
      <c r="C628" s="111"/>
      <c r="D628" s="115"/>
      <c r="E628" s="115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7"/>
      <c r="AC628" s="108"/>
      <c r="AD628" s="108"/>
      <c r="AE628" s="108"/>
      <c r="AF628" s="108"/>
    </row>
    <row r="629" spans="2:32" x14ac:dyDescent="0.25">
      <c r="B629" s="108"/>
      <c r="C629" s="111"/>
      <c r="D629" s="115"/>
      <c r="E629" s="115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7"/>
      <c r="AC629" s="108"/>
      <c r="AD629" s="108"/>
      <c r="AE629" s="108"/>
      <c r="AF629" s="108"/>
    </row>
    <row r="630" spans="2:32" x14ac:dyDescent="0.25">
      <c r="B630" s="108"/>
      <c r="C630" s="111"/>
      <c r="D630" s="115"/>
      <c r="E630" s="115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7"/>
      <c r="AC630" s="108"/>
      <c r="AD630" s="108"/>
      <c r="AE630" s="108"/>
      <c r="AF630" s="108"/>
    </row>
    <row r="631" spans="2:32" x14ac:dyDescent="0.25">
      <c r="B631" s="108"/>
      <c r="C631" s="111"/>
      <c r="D631" s="115"/>
      <c r="E631" s="115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7"/>
      <c r="AC631" s="108"/>
      <c r="AD631" s="108"/>
      <c r="AE631" s="108"/>
      <c r="AF631" s="108"/>
    </row>
    <row r="632" spans="2:32" x14ac:dyDescent="0.25">
      <c r="B632" s="108"/>
      <c r="C632" s="111"/>
      <c r="D632" s="115"/>
      <c r="E632" s="115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7"/>
      <c r="AC632" s="108"/>
      <c r="AD632" s="108"/>
      <c r="AE632" s="108"/>
      <c r="AF632" s="108"/>
    </row>
    <row r="633" spans="2:32" x14ac:dyDescent="0.25">
      <c r="B633" s="108"/>
      <c r="C633" s="111"/>
      <c r="D633" s="115"/>
      <c r="E633" s="115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7"/>
      <c r="AC633" s="108"/>
      <c r="AD633" s="108"/>
      <c r="AE633" s="108"/>
      <c r="AF633" s="108"/>
    </row>
    <row r="634" spans="2:32" x14ac:dyDescent="0.25">
      <c r="B634" s="108"/>
      <c r="C634" s="111"/>
      <c r="D634" s="115"/>
      <c r="E634" s="115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7"/>
      <c r="AC634" s="108"/>
      <c r="AD634" s="108"/>
      <c r="AE634" s="108"/>
      <c r="AF634" s="108"/>
    </row>
    <row r="635" spans="2:32" x14ac:dyDescent="0.25">
      <c r="B635" s="108"/>
      <c r="C635" s="111"/>
      <c r="D635" s="115"/>
      <c r="E635" s="115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7"/>
      <c r="AC635" s="108"/>
      <c r="AD635" s="108"/>
      <c r="AE635" s="108"/>
      <c r="AF635" s="108"/>
    </row>
    <row r="636" spans="2:32" x14ac:dyDescent="0.25">
      <c r="B636" s="108"/>
      <c r="C636" s="111"/>
      <c r="D636" s="115"/>
      <c r="E636" s="115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7"/>
      <c r="AC636" s="108"/>
      <c r="AD636" s="108"/>
      <c r="AE636" s="108"/>
      <c r="AF636" s="108"/>
    </row>
    <row r="637" spans="2:32" x14ac:dyDescent="0.25">
      <c r="B637" s="108"/>
      <c r="C637" s="111"/>
      <c r="D637" s="115"/>
      <c r="E637" s="115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7"/>
      <c r="AC637" s="108"/>
      <c r="AD637" s="108"/>
      <c r="AE637" s="108"/>
      <c r="AF637" s="108"/>
    </row>
    <row r="638" spans="2:32" x14ac:dyDescent="0.25">
      <c r="B638" s="108"/>
      <c r="C638" s="111"/>
      <c r="D638" s="115"/>
      <c r="E638" s="115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7"/>
      <c r="AC638" s="108"/>
      <c r="AD638" s="108"/>
      <c r="AE638" s="108"/>
      <c r="AF638" s="108"/>
    </row>
    <row r="639" spans="2:32" x14ac:dyDescent="0.25">
      <c r="B639" s="108"/>
      <c r="C639" s="111"/>
      <c r="D639" s="115"/>
      <c r="E639" s="115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7"/>
      <c r="AC639" s="108"/>
      <c r="AD639" s="108"/>
      <c r="AE639" s="108"/>
      <c r="AF639" s="108"/>
    </row>
    <row r="640" spans="2:32" x14ac:dyDescent="0.25">
      <c r="B640" s="108"/>
      <c r="C640" s="111"/>
      <c r="D640" s="115"/>
      <c r="E640" s="115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7"/>
      <c r="AC640" s="108"/>
      <c r="AD640" s="108"/>
      <c r="AE640" s="108"/>
      <c r="AF640" s="108"/>
    </row>
    <row r="641" spans="2:32" x14ac:dyDescent="0.25">
      <c r="B641" s="108"/>
      <c r="C641" s="111"/>
      <c r="D641" s="115"/>
      <c r="E641" s="115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7"/>
      <c r="AC641" s="108"/>
      <c r="AD641" s="108"/>
      <c r="AE641" s="108"/>
      <c r="AF641" s="108"/>
    </row>
    <row r="642" spans="2:32" x14ac:dyDescent="0.25">
      <c r="B642" s="108"/>
      <c r="C642" s="111"/>
      <c r="D642" s="115"/>
      <c r="E642" s="115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7"/>
      <c r="AC642" s="108"/>
      <c r="AD642" s="108"/>
      <c r="AE642" s="108"/>
      <c r="AF642" s="108"/>
    </row>
    <row r="643" spans="2:32" x14ac:dyDescent="0.25">
      <c r="B643" s="108"/>
      <c r="C643" s="111"/>
      <c r="D643" s="115"/>
      <c r="E643" s="115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7"/>
      <c r="AC643" s="108"/>
      <c r="AD643" s="108"/>
      <c r="AE643" s="108"/>
      <c r="AF643" s="108"/>
    </row>
    <row r="644" spans="2:32" x14ac:dyDescent="0.25">
      <c r="B644" s="108"/>
      <c r="C644" s="111"/>
      <c r="D644" s="115"/>
      <c r="E644" s="115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7"/>
      <c r="AC644" s="108"/>
      <c r="AD644" s="108"/>
      <c r="AE644" s="108"/>
      <c r="AF644" s="108"/>
    </row>
    <row r="645" spans="2:32" x14ac:dyDescent="0.25">
      <c r="B645" s="108"/>
      <c r="C645" s="111"/>
      <c r="D645" s="115"/>
      <c r="E645" s="115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7"/>
      <c r="AC645" s="108"/>
      <c r="AD645" s="108"/>
      <c r="AE645" s="108"/>
      <c r="AF645" s="108"/>
    </row>
    <row r="646" spans="2:32" x14ac:dyDescent="0.25">
      <c r="B646" s="108"/>
      <c r="C646" s="111"/>
      <c r="D646" s="115"/>
      <c r="E646" s="115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7"/>
      <c r="AC646" s="108"/>
      <c r="AD646" s="108"/>
      <c r="AE646" s="108"/>
      <c r="AF646" s="108"/>
    </row>
    <row r="647" spans="2:32" x14ac:dyDescent="0.25">
      <c r="B647" s="108"/>
      <c r="C647" s="111"/>
      <c r="D647" s="115"/>
      <c r="E647" s="115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7"/>
      <c r="AC647" s="108"/>
      <c r="AD647" s="108"/>
      <c r="AE647" s="108"/>
      <c r="AF647" s="108"/>
    </row>
    <row r="648" spans="2:32" x14ac:dyDescent="0.25">
      <c r="B648" s="108"/>
      <c r="C648" s="111"/>
      <c r="D648" s="115"/>
      <c r="E648" s="115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7"/>
      <c r="AC648" s="108"/>
      <c r="AD648" s="108"/>
      <c r="AE648" s="108"/>
      <c r="AF648" s="108"/>
    </row>
    <row r="649" spans="2:32" x14ac:dyDescent="0.25">
      <c r="B649" s="108"/>
      <c r="C649" s="111"/>
      <c r="D649" s="115"/>
      <c r="E649" s="115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7"/>
      <c r="AC649" s="108"/>
      <c r="AD649" s="108"/>
      <c r="AE649" s="108"/>
      <c r="AF649" s="108"/>
    </row>
    <row r="650" spans="2:32" x14ac:dyDescent="0.25">
      <c r="B650" s="108"/>
      <c r="C650" s="111"/>
      <c r="D650" s="115"/>
      <c r="E650" s="115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7"/>
      <c r="AC650" s="108"/>
      <c r="AD650" s="108"/>
      <c r="AE650" s="108"/>
      <c r="AF650" s="108"/>
    </row>
    <row r="651" spans="2:32" x14ac:dyDescent="0.25">
      <c r="B651" s="108"/>
      <c r="C651" s="111"/>
      <c r="D651" s="115"/>
      <c r="E651" s="115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7"/>
      <c r="AC651" s="108"/>
      <c r="AD651" s="108"/>
      <c r="AE651" s="108"/>
      <c r="AF651" s="108"/>
    </row>
    <row r="652" spans="2:32" x14ac:dyDescent="0.25">
      <c r="B652" s="108"/>
      <c r="C652" s="111"/>
      <c r="D652" s="115"/>
      <c r="E652" s="115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7"/>
      <c r="AC652" s="108"/>
      <c r="AD652" s="108"/>
      <c r="AE652" s="108"/>
      <c r="AF652" s="108"/>
    </row>
    <row r="653" spans="2:32" x14ac:dyDescent="0.25">
      <c r="B653" s="108"/>
      <c r="C653" s="111"/>
      <c r="D653" s="115"/>
      <c r="E653" s="115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7"/>
      <c r="AC653" s="108"/>
      <c r="AD653" s="108"/>
      <c r="AE653" s="108"/>
      <c r="AF653" s="108"/>
    </row>
    <row r="654" spans="2:32" x14ac:dyDescent="0.25">
      <c r="B654" s="108"/>
      <c r="C654" s="111"/>
      <c r="D654" s="115"/>
      <c r="E654" s="115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7"/>
      <c r="AC654" s="108"/>
      <c r="AD654" s="108"/>
      <c r="AE654" s="108"/>
      <c r="AF654" s="108"/>
    </row>
    <row r="655" spans="2:32" x14ac:dyDescent="0.25">
      <c r="B655" s="108"/>
      <c r="C655" s="111"/>
      <c r="D655" s="115"/>
      <c r="E655" s="115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7"/>
      <c r="AC655" s="108"/>
      <c r="AD655" s="108"/>
      <c r="AE655" s="108"/>
      <c r="AF655" s="108"/>
    </row>
    <row r="656" spans="2:32" x14ac:dyDescent="0.25">
      <c r="B656" s="108"/>
      <c r="C656" s="111"/>
      <c r="D656" s="115"/>
      <c r="E656" s="115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7"/>
      <c r="AC656" s="108"/>
      <c r="AD656" s="108"/>
      <c r="AE656" s="108"/>
      <c r="AF656" s="108"/>
    </row>
    <row r="657" spans="2:32" x14ac:dyDescent="0.25">
      <c r="B657" s="108"/>
      <c r="C657" s="111"/>
      <c r="D657" s="115"/>
      <c r="E657" s="115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7"/>
      <c r="AC657" s="108"/>
      <c r="AD657" s="108"/>
      <c r="AE657" s="108"/>
      <c r="AF657" s="108"/>
    </row>
    <row r="658" spans="2:32" x14ac:dyDescent="0.25">
      <c r="B658" s="108"/>
      <c r="C658" s="111"/>
      <c r="D658" s="115"/>
      <c r="E658" s="115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7"/>
      <c r="AC658" s="108"/>
      <c r="AD658" s="108"/>
      <c r="AE658" s="108"/>
      <c r="AF658" s="108"/>
    </row>
    <row r="659" spans="2:32" x14ac:dyDescent="0.25">
      <c r="B659" s="108"/>
      <c r="C659" s="111"/>
      <c r="D659" s="115"/>
      <c r="E659" s="115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7"/>
      <c r="AC659" s="108"/>
      <c r="AD659" s="108"/>
      <c r="AE659" s="108"/>
      <c r="AF659" s="108"/>
    </row>
    <row r="660" spans="2:32" x14ac:dyDescent="0.25">
      <c r="B660" s="108"/>
      <c r="C660" s="111"/>
      <c r="D660" s="115"/>
      <c r="E660" s="115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7"/>
      <c r="AC660" s="108"/>
      <c r="AD660" s="108"/>
      <c r="AE660" s="108"/>
      <c r="AF660" s="108"/>
    </row>
    <row r="661" spans="2:32" x14ac:dyDescent="0.25">
      <c r="B661" s="108"/>
      <c r="C661" s="111"/>
      <c r="D661" s="115"/>
      <c r="E661" s="115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7"/>
      <c r="AC661" s="108"/>
      <c r="AD661" s="108"/>
      <c r="AE661" s="108"/>
      <c r="AF661" s="108"/>
    </row>
    <row r="662" spans="2:32" x14ac:dyDescent="0.25">
      <c r="B662" s="108"/>
      <c r="C662" s="111"/>
      <c r="D662" s="115"/>
      <c r="E662" s="115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7"/>
      <c r="AC662" s="108"/>
      <c r="AD662" s="108"/>
      <c r="AE662" s="108"/>
      <c r="AF662" s="108"/>
    </row>
    <row r="663" spans="2:32" x14ac:dyDescent="0.25">
      <c r="B663" s="108"/>
      <c r="C663" s="111"/>
      <c r="D663" s="115"/>
      <c r="E663" s="115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7"/>
      <c r="AC663" s="108"/>
      <c r="AD663" s="108"/>
      <c r="AE663" s="108"/>
      <c r="AF663" s="108"/>
    </row>
    <row r="664" spans="2:32" x14ac:dyDescent="0.25">
      <c r="B664" s="108"/>
      <c r="C664" s="111"/>
      <c r="D664" s="115"/>
      <c r="E664" s="115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7"/>
      <c r="AC664" s="108"/>
      <c r="AD664" s="108"/>
      <c r="AE664" s="108"/>
      <c r="AF664" s="108"/>
    </row>
    <row r="665" spans="2:32" x14ac:dyDescent="0.25">
      <c r="B665" s="108"/>
      <c r="C665" s="111"/>
      <c r="D665" s="115"/>
      <c r="E665" s="115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7"/>
      <c r="AC665" s="108"/>
      <c r="AD665" s="108"/>
      <c r="AE665" s="108"/>
      <c r="AF665" s="108"/>
    </row>
    <row r="666" spans="2:32" x14ac:dyDescent="0.25">
      <c r="B666" s="108"/>
      <c r="C666" s="111"/>
      <c r="D666" s="115"/>
      <c r="E666" s="115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7"/>
      <c r="AC666" s="108"/>
      <c r="AD666" s="108"/>
      <c r="AE666" s="108"/>
      <c r="AF666" s="108"/>
    </row>
    <row r="667" spans="2:32" x14ac:dyDescent="0.25">
      <c r="B667" s="108"/>
      <c r="C667" s="111"/>
      <c r="D667" s="115"/>
      <c r="E667" s="115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7"/>
      <c r="AC667" s="108"/>
      <c r="AD667" s="108"/>
      <c r="AE667" s="108"/>
      <c r="AF667" s="108"/>
    </row>
    <row r="668" spans="2:32" x14ac:dyDescent="0.25">
      <c r="B668" s="108"/>
      <c r="C668" s="111"/>
      <c r="D668" s="115"/>
      <c r="E668" s="115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7"/>
      <c r="AC668" s="108"/>
      <c r="AD668" s="108"/>
      <c r="AE668" s="108"/>
      <c r="AF668" s="108"/>
    </row>
    <row r="669" spans="2:32" x14ac:dyDescent="0.25">
      <c r="B669" s="108"/>
      <c r="C669" s="111"/>
      <c r="D669" s="115"/>
      <c r="E669" s="115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7"/>
      <c r="AC669" s="108"/>
      <c r="AD669" s="108"/>
      <c r="AE669" s="108"/>
      <c r="AF669" s="108"/>
    </row>
    <row r="670" spans="2:32" x14ac:dyDescent="0.25">
      <c r="B670" s="108"/>
      <c r="C670" s="111"/>
      <c r="D670" s="115"/>
      <c r="E670" s="115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7"/>
      <c r="AC670" s="108"/>
      <c r="AD670" s="108"/>
      <c r="AE670" s="108"/>
      <c r="AF670" s="108"/>
    </row>
    <row r="671" spans="2:32" x14ac:dyDescent="0.25">
      <c r="B671" s="108"/>
      <c r="C671" s="111"/>
      <c r="D671" s="115"/>
      <c r="E671" s="115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7"/>
      <c r="AC671" s="108"/>
      <c r="AD671" s="108"/>
      <c r="AE671" s="108"/>
      <c r="AF671" s="108"/>
    </row>
    <row r="672" spans="2:32" x14ac:dyDescent="0.25">
      <c r="B672" s="108"/>
      <c r="C672" s="111"/>
      <c r="D672" s="115"/>
      <c r="E672" s="115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7"/>
      <c r="AC672" s="108"/>
      <c r="AD672" s="108"/>
      <c r="AE672" s="108"/>
      <c r="AF672" s="108"/>
    </row>
    <row r="673" spans="2:32" x14ac:dyDescent="0.25">
      <c r="B673" s="108"/>
      <c r="C673" s="111"/>
      <c r="D673" s="115"/>
      <c r="E673" s="115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7"/>
      <c r="AC673" s="108"/>
      <c r="AD673" s="108"/>
      <c r="AE673" s="108"/>
      <c r="AF673" s="108"/>
    </row>
    <row r="674" spans="2:32" x14ac:dyDescent="0.25">
      <c r="B674" s="108"/>
      <c r="C674" s="111"/>
      <c r="D674" s="115"/>
      <c r="E674" s="115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7"/>
      <c r="AC674" s="108"/>
      <c r="AD674" s="108"/>
      <c r="AE674" s="108"/>
      <c r="AF674" s="108"/>
    </row>
    <row r="675" spans="2:32" x14ac:dyDescent="0.25">
      <c r="B675" s="108"/>
      <c r="C675" s="111"/>
      <c r="D675" s="115"/>
      <c r="E675" s="115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7"/>
    </row>
  </sheetData>
  <mergeCells count="6">
    <mergeCell ref="A35:AB35"/>
    <mergeCell ref="A1:AB1"/>
    <mergeCell ref="A29:AB29"/>
    <mergeCell ref="A11:AB11"/>
    <mergeCell ref="B10:D10"/>
    <mergeCell ref="A24:D24"/>
  </mergeCells>
  <printOptions horizontalCentered="1"/>
  <pageMargins left="0.23622047244094491" right="0.19685039370078741" top="0.62992125984251968" bottom="0.27559055118110237" header="0.43307086614173229" footer="0.11811023622047245"/>
  <pageSetup paperSize="9" scale="70" firstPageNumber="39" orientation="landscape" useFirstPageNumber="1" horizontalDpi="4294967293" verticalDpi="1200" r:id="rId1"/>
  <headerFooter>
    <oddHeader>&amp;Rเอกสารแนบ 1</oddHead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AV216"/>
  <sheetViews>
    <sheetView tabSelected="1" view="pageBreakPreview" zoomScaleNormal="110" zoomScaleSheetLayoutView="100" workbookViewId="0">
      <pane ySplit="4" topLeftCell="A192" activePane="bottomLeft" state="frozen"/>
      <selection activeCell="B1" sqref="B1"/>
      <selection pane="bottomLeft" activeCell="AT211" sqref="AT211"/>
    </sheetView>
  </sheetViews>
  <sheetFormatPr defaultColWidth="8" defaultRowHeight="21" x14ac:dyDescent="0.25"/>
  <cols>
    <col min="1" max="1" width="2.8984375" style="1055" customWidth="1"/>
    <col min="2" max="2" width="69.59765625" style="713" customWidth="1"/>
    <col min="3" max="3" width="7.3984375" style="1052" hidden="1" customWidth="1"/>
    <col min="4" max="5" width="16" style="713" hidden="1" customWidth="1"/>
    <col min="6" max="6" width="16.09765625" style="713" hidden="1" customWidth="1"/>
    <col min="7" max="7" width="16.296875" style="713" hidden="1" customWidth="1"/>
    <col min="8" max="8" width="16.3984375" style="713" hidden="1" customWidth="1"/>
    <col min="9" max="9" width="14.69921875" style="713" hidden="1" customWidth="1"/>
    <col min="10" max="10" width="16.3984375" style="713" hidden="1" customWidth="1"/>
    <col min="11" max="11" width="16" style="713" hidden="1" customWidth="1"/>
    <col min="12" max="13" width="14.8984375" style="713" hidden="1" customWidth="1"/>
    <col min="14" max="14" width="13.69921875" style="713" hidden="1" customWidth="1"/>
    <col min="15" max="15" width="14.59765625" style="713" hidden="1" customWidth="1"/>
    <col min="16" max="16" width="16" style="713" hidden="1" customWidth="1"/>
    <col min="17" max="17" width="16.296875" style="713" hidden="1" customWidth="1"/>
    <col min="18" max="18" width="17.59765625" style="713" hidden="1" customWidth="1"/>
    <col min="19" max="19" width="14.8984375" style="713" hidden="1" customWidth="1"/>
    <col min="20" max="20" width="15" style="713" hidden="1" customWidth="1"/>
    <col min="21" max="21" width="14.8984375" style="713" hidden="1" customWidth="1"/>
    <col min="22" max="22" width="14.59765625" style="713" hidden="1" customWidth="1"/>
    <col min="23" max="23" width="13.59765625" style="713" hidden="1" customWidth="1"/>
    <col min="24" max="24" width="16.59765625" style="713" hidden="1" customWidth="1"/>
    <col min="25" max="25" width="14.69921875" style="713" hidden="1" customWidth="1"/>
    <col min="26" max="26" width="19.3984375" style="713" hidden="1" customWidth="1"/>
    <col min="27" max="27" width="9.3984375" style="713" hidden="1" customWidth="1"/>
    <col min="28" max="28" width="7.8984375" style="1061" hidden="1" customWidth="1"/>
    <col min="29" max="29" width="19.59765625" style="713" hidden="1" customWidth="1"/>
    <col min="30" max="30" width="8.8984375" style="713" hidden="1" customWidth="1"/>
    <col min="31" max="31" width="18.3984375" style="713" hidden="1" customWidth="1"/>
    <col min="32" max="32" width="16.296875" style="713" hidden="1" customWidth="1"/>
    <col min="33" max="33" width="9.09765625" style="713" hidden="1" customWidth="1"/>
    <col min="34" max="34" width="14.8984375" style="713" hidden="1" customWidth="1"/>
    <col min="35" max="35" width="19.8984375" style="713" hidden="1" customWidth="1"/>
    <col min="36" max="36" width="18.296875" style="713" hidden="1" customWidth="1"/>
    <col min="37" max="37" width="8.69921875" style="713" hidden="1" customWidth="1"/>
    <col min="38" max="38" width="14.59765625" style="713" hidden="1" customWidth="1"/>
    <col min="39" max="39" width="19.3984375" style="713" customWidth="1"/>
    <col min="40" max="40" width="15.8984375" style="713" hidden="1" customWidth="1"/>
    <col min="41" max="41" width="8.296875" style="713" hidden="1" customWidth="1"/>
    <col min="42" max="42" width="16.59765625" style="713" hidden="1" customWidth="1"/>
    <col min="43" max="43" width="17.3984375" style="713" customWidth="1"/>
    <col min="44" max="44" width="8.8984375" style="713" customWidth="1"/>
    <col min="45" max="45" width="17.09765625" style="1417" customWidth="1"/>
    <col min="46" max="46" width="23.09765625" style="713" customWidth="1"/>
    <col min="47" max="47" width="53.59765625" style="713" customWidth="1"/>
    <col min="48" max="48" width="27.69921875" style="713" customWidth="1"/>
    <col min="49" max="16384" width="8" style="713"/>
  </cols>
  <sheetData>
    <row r="1" spans="1:48" ht="26.25" customHeight="1" x14ac:dyDescent="0.25">
      <c r="A1" s="1571" t="s">
        <v>1167</v>
      </c>
      <c r="B1" s="1571"/>
      <c r="C1" s="1571"/>
      <c r="D1" s="1571"/>
      <c r="E1" s="1571"/>
      <c r="F1" s="1571"/>
      <c r="G1" s="1571"/>
      <c r="H1" s="1571"/>
      <c r="I1" s="1571"/>
      <c r="J1" s="1571"/>
      <c r="K1" s="1571"/>
      <c r="L1" s="1571"/>
      <c r="M1" s="1571"/>
      <c r="N1" s="1571"/>
      <c r="O1" s="1571"/>
      <c r="P1" s="1571"/>
      <c r="Q1" s="1571"/>
      <c r="R1" s="1571"/>
      <c r="S1" s="1571"/>
      <c r="T1" s="1571"/>
      <c r="U1" s="1571"/>
      <c r="V1" s="1571"/>
      <c r="W1" s="1571"/>
      <c r="X1" s="1571"/>
      <c r="Y1" s="1571"/>
      <c r="Z1" s="1571"/>
      <c r="AA1" s="1571"/>
      <c r="AB1" s="1571"/>
      <c r="AC1" s="1571"/>
      <c r="AD1" s="1571"/>
      <c r="AE1" s="1571"/>
      <c r="AF1" s="1571"/>
      <c r="AG1" s="1571"/>
      <c r="AH1" s="1571"/>
      <c r="AI1" s="1571"/>
      <c r="AJ1" s="1571"/>
      <c r="AK1" s="1571"/>
      <c r="AL1" s="1571"/>
      <c r="AM1" s="1571"/>
      <c r="AN1" s="1571"/>
      <c r="AO1" s="1571"/>
      <c r="AP1" s="1571"/>
      <c r="AQ1" s="1571"/>
      <c r="AR1" s="1571"/>
      <c r="AS1" s="1571"/>
      <c r="AT1" s="1571"/>
      <c r="AU1" s="1571"/>
    </row>
    <row r="2" spans="1:48" ht="10.5" customHeight="1" x14ac:dyDescent="0.25">
      <c r="A2" s="1574"/>
      <c r="B2" s="1574"/>
      <c r="C2" s="1574"/>
      <c r="D2" s="1574"/>
      <c r="E2" s="1574"/>
      <c r="F2" s="1574"/>
      <c r="G2" s="1574"/>
      <c r="H2" s="1574"/>
      <c r="I2" s="1574"/>
      <c r="J2" s="1574"/>
      <c r="K2" s="1574"/>
      <c r="L2" s="1574"/>
      <c r="M2" s="1574"/>
      <c r="N2" s="1574"/>
      <c r="O2" s="1574"/>
      <c r="P2" s="1574"/>
      <c r="Q2" s="1574"/>
      <c r="R2" s="1574"/>
      <c r="S2" s="1574"/>
      <c r="T2" s="1574"/>
      <c r="U2" s="1574"/>
      <c r="V2" s="1574"/>
      <c r="W2" s="1574"/>
      <c r="X2" s="1574"/>
      <c r="Y2" s="1574"/>
      <c r="Z2" s="712"/>
      <c r="AA2" s="712"/>
      <c r="AB2" s="714"/>
      <c r="AC2" s="712"/>
      <c r="AD2" s="712"/>
      <c r="AE2" s="712"/>
      <c r="AF2" s="712"/>
      <c r="AG2" s="712"/>
      <c r="AH2" s="712"/>
      <c r="AI2" s="712"/>
      <c r="AJ2" s="712"/>
      <c r="AK2" s="712"/>
      <c r="AL2" s="712"/>
      <c r="AM2" s="712"/>
      <c r="AN2" s="712"/>
      <c r="AO2" s="712"/>
      <c r="AP2" s="1052"/>
      <c r="AQ2" s="712"/>
      <c r="AR2" s="712"/>
      <c r="AS2" s="1384"/>
      <c r="AT2" s="712"/>
      <c r="AU2" s="712"/>
    </row>
    <row r="3" spans="1:48" s="712" customFormat="1" ht="20.25" customHeight="1" x14ac:dyDescent="0.6">
      <c r="A3" s="1319"/>
      <c r="B3" s="1575" t="s">
        <v>148</v>
      </c>
      <c r="C3" s="1203"/>
      <c r="D3" s="1573" t="s">
        <v>149</v>
      </c>
      <c r="E3" s="1573" t="s">
        <v>150</v>
      </c>
      <c r="F3" s="1573" t="s">
        <v>151</v>
      </c>
      <c r="G3" s="1573" t="s">
        <v>152</v>
      </c>
      <c r="H3" s="1573" t="s">
        <v>153</v>
      </c>
      <c r="I3" s="1573" t="s">
        <v>154</v>
      </c>
      <c r="J3" s="1573" t="s">
        <v>155</v>
      </c>
      <c r="K3" s="1573" t="s">
        <v>535</v>
      </c>
      <c r="L3" s="1573" t="s">
        <v>600</v>
      </c>
      <c r="M3" s="1573" t="s">
        <v>156</v>
      </c>
      <c r="N3" s="1573" t="s">
        <v>157</v>
      </c>
      <c r="O3" s="1573" t="s">
        <v>588</v>
      </c>
      <c r="P3" s="1573" t="s">
        <v>418</v>
      </c>
      <c r="Q3" s="1573" t="s">
        <v>877</v>
      </c>
      <c r="R3" s="1573" t="s">
        <v>158</v>
      </c>
      <c r="S3" s="1573" t="s">
        <v>601</v>
      </c>
      <c r="T3" s="1589" t="s">
        <v>1097</v>
      </c>
      <c r="U3" s="1589"/>
      <c r="V3" s="1589"/>
      <c r="W3" s="1589"/>
      <c r="X3" s="1573" t="s">
        <v>589</v>
      </c>
      <c r="Y3" s="1573" t="s">
        <v>583</v>
      </c>
      <c r="Z3" s="1573" t="s">
        <v>475</v>
      </c>
      <c r="AA3" s="1573"/>
      <c r="AB3" s="1204"/>
      <c r="AC3" s="1573" t="s">
        <v>475</v>
      </c>
      <c r="AD3" s="1573"/>
      <c r="AE3" s="1573" t="s">
        <v>590</v>
      </c>
      <c r="AF3" s="1573" t="s">
        <v>475</v>
      </c>
      <c r="AG3" s="1573"/>
      <c r="AH3" s="1573" t="s">
        <v>926</v>
      </c>
      <c r="AI3" s="1573" t="s">
        <v>1132</v>
      </c>
      <c r="AJ3" s="1572" t="s">
        <v>1142</v>
      </c>
      <c r="AK3" s="1572"/>
      <c r="AL3" s="1573" t="s">
        <v>1133</v>
      </c>
      <c r="AM3" s="1573" t="s">
        <v>1069</v>
      </c>
      <c r="AN3" s="1573" t="s">
        <v>475</v>
      </c>
      <c r="AO3" s="1573"/>
      <c r="AP3" s="1579" t="s">
        <v>1143</v>
      </c>
      <c r="AQ3" s="1573" t="s">
        <v>475</v>
      </c>
      <c r="AR3" s="1573"/>
      <c r="AS3" s="1580" t="s">
        <v>1160</v>
      </c>
      <c r="AT3" s="1573" t="s">
        <v>1168</v>
      </c>
      <c r="AU3" s="1578" t="s">
        <v>127</v>
      </c>
    </row>
    <row r="4" spans="1:48" s="712" customFormat="1" ht="18" customHeight="1" x14ac:dyDescent="0.25">
      <c r="A4" s="1320"/>
      <c r="B4" s="1575"/>
      <c r="C4" s="1203"/>
      <c r="D4" s="1576"/>
      <c r="E4" s="1573"/>
      <c r="F4" s="1573"/>
      <c r="G4" s="1573"/>
      <c r="H4" s="1576"/>
      <c r="I4" s="1576"/>
      <c r="J4" s="1573"/>
      <c r="K4" s="1573"/>
      <c r="L4" s="1573"/>
      <c r="M4" s="1573"/>
      <c r="N4" s="1573"/>
      <c r="O4" s="1573"/>
      <c r="P4" s="1573"/>
      <c r="Q4" s="1573"/>
      <c r="R4" s="1573"/>
      <c r="S4" s="1573"/>
      <c r="T4" s="715" t="s">
        <v>393</v>
      </c>
      <c r="U4" s="715" t="s">
        <v>413</v>
      </c>
      <c r="V4" s="1577" t="s">
        <v>417</v>
      </c>
      <c r="W4" s="1577"/>
      <c r="X4" s="1573"/>
      <c r="Y4" s="1573"/>
      <c r="Z4" s="1189" t="s">
        <v>575</v>
      </c>
      <c r="AA4" s="1206" t="s">
        <v>158</v>
      </c>
      <c r="AB4" s="1204"/>
      <c r="AC4" s="1205" t="s">
        <v>582</v>
      </c>
      <c r="AD4" s="1206" t="s">
        <v>158</v>
      </c>
      <c r="AE4" s="1573"/>
      <c r="AF4" s="1190" t="e">
        <f>+ประมาณการรายรับ!#REF!</f>
        <v>#REF!</v>
      </c>
      <c r="AG4" s="1191" t="str">
        <f>+AD4</f>
        <v>คิดเป็นร้อยละของแผน</v>
      </c>
      <c r="AH4" s="1573"/>
      <c r="AI4" s="1573"/>
      <c r="AJ4" s="1189" t="s">
        <v>89</v>
      </c>
      <c r="AK4" s="1191" t="s">
        <v>924</v>
      </c>
      <c r="AL4" s="1573"/>
      <c r="AM4" s="1573"/>
      <c r="AN4" s="1189" t="s">
        <v>1159</v>
      </c>
      <c r="AO4" s="1191" t="s">
        <v>924</v>
      </c>
      <c r="AP4" s="1579"/>
      <c r="AQ4" s="1189" t="s">
        <v>1161</v>
      </c>
      <c r="AR4" s="1191" t="s">
        <v>924</v>
      </c>
      <c r="AS4" s="1581"/>
      <c r="AT4" s="1573"/>
      <c r="AU4" s="1578"/>
    </row>
    <row r="5" spans="1:48" s="723" customFormat="1" x14ac:dyDescent="0.25">
      <c r="A5" s="1077" t="s">
        <v>159</v>
      </c>
      <c r="B5" s="1119" t="s">
        <v>160</v>
      </c>
      <c r="C5" s="777" t="s">
        <v>161</v>
      </c>
      <c r="D5" s="1081">
        <v>225760041.13</v>
      </c>
      <c r="E5" s="1081">
        <v>231433774.66999999</v>
      </c>
      <c r="F5" s="1196">
        <v>180533834.22999996</v>
      </c>
      <c r="G5" s="1197">
        <v>192030320</v>
      </c>
      <c r="H5" s="1196">
        <v>188204023.53</v>
      </c>
      <c r="I5" s="1081">
        <v>0</v>
      </c>
      <c r="J5" s="1198">
        <v>207980000</v>
      </c>
      <c r="K5" s="1090">
        <v>188464884.25</v>
      </c>
      <c r="L5" s="1090">
        <v>0</v>
      </c>
      <c r="M5" s="1090"/>
      <c r="N5" s="1090"/>
      <c r="O5" s="1090"/>
      <c r="P5" s="1090">
        <v>195000000</v>
      </c>
      <c r="Q5" s="1090">
        <v>191760801.52000001</v>
      </c>
      <c r="R5" s="1090">
        <f>+(Q5/P5)*100</f>
        <v>98.338872574358987</v>
      </c>
      <c r="S5" s="1199"/>
      <c r="T5" s="1200"/>
      <c r="U5" s="1200"/>
      <c r="V5" s="1200"/>
      <c r="W5" s="1200"/>
      <c r="X5" s="1090">
        <v>205000000</v>
      </c>
      <c r="Y5" s="1199"/>
      <c r="Z5" s="1090">
        <v>50880935.869999997</v>
      </c>
      <c r="AA5" s="1090">
        <f>+Z5/X5*100</f>
        <v>24.819968717073166</v>
      </c>
      <c r="AB5" s="720">
        <f t="shared" ref="AB5:AB36" si="0">+(X5-Q5)/Q5*100</f>
        <v>6.9040170749490661</v>
      </c>
      <c r="AC5" s="1090">
        <v>100870203.28</v>
      </c>
      <c r="AD5" s="1090">
        <f>+AC5/X5*100</f>
        <v>49.204977209756095</v>
      </c>
      <c r="AE5" s="1090">
        <f>+X5</f>
        <v>205000000</v>
      </c>
      <c r="AF5" s="1090">
        <v>151325858.96000001</v>
      </c>
      <c r="AG5" s="1090">
        <f>+AF5/AE5*100</f>
        <v>73.817492175609758</v>
      </c>
      <c r="AH5" s="1090"/>
      <c r="AI5" s="1201">
        <f>+AE5</f>
        <v>205000000</v>
      </c>
      <c r="AJ5" s="1201">
        <v>206401625.15000001</v>
      </c>
      <c r="AK5" s="1201">
        <f>+AJ5/AI5*100</f>
        <v>100.68371958536586</v>
      </c>
      <c r="AL5" s="1201"/>
      <c r="AM5" s="1201"/>
      <c r="AN5" s="1201"/>
      <c r="AO5" s="1201"/>
      <c r="AP5" s="1202"/>
      <c r="AQ5" s="1201"/>
      <c r="AR5" s="1201"/>
      <c r="AS5" s="1385"/>
      <c r="AT5" s="1201"/>
      <c r="AU5" s="1202"/>
      <c r="AV5" s="722"/>
    </row>
    <row r="6" spans="1:48" s="723" customFormat="1" x14ac:dyDescent="0.25">
      <c r="A6" s="716" t="s">
        <v>162</v>
      </c>
      <c r="B6" s="724" t="s">
        <v>142</v>
      </c>
      <c r="C6" s="725" t="s">
        <v>163</v>
      </c>
      <c r="D6" s="717">
        <f>SUM(D7:D14)</f>
        <v>357935423.25999999</v>
      </c>
      <c r="E6" s="717">
        <f>SUM(E7:E14)</f>
        <v>330665387.89999998</v>
      </c>
      <c r="F6" s="717">
        <f>SUM(F7:F14)</f>
        <v>321953186.18000001</v>
      </c>
      <c r="G6" s="717">
        <v>342049500</v>
      </c>
      <c r="H6" s="717">
        <f>SUM(H7:H14)</f>
        <v>358064945.39999998</v>
      </c>
      <c r="I6" s="717">
        <v>0</v>
      </c>
      <c r="J6" s="726">
        <v>411928000</v>
      </c>
      <c r="K6" s="717">
        <f>SUM(K7:K16)</f>
        <v>378597766.77000004</v>
      </c>
      <c r="L6" s="717">
        <v>0</v>
      </c>
      <c r="M6" s="717"/>
      <c r="N6" s="717"/>
      <c r="O6" s="717"/>
      <c r="P6" s="717">
        <f>SUM(P7:P16)</f>
        <v>476200000</v>
      </c>
      <c r="Q6" s="717">
        <f>SUM(Q7:Q16)</f>
        <v>475811669.74000001</v>
      </c>
      <c r="R6" s="718">
        <f>+(Q6/P6)*100</f>
        <v>99.918452276354472</v>
      </c>
      <c r="S6" s="727"/>
      <c r="T6" s="728"/>
      <c r="U6" s="728"/>
      <c r="V6" s="729"/>
      <c r="W6" s="729"/>
      <c r="X6" s="717">
        <f>SUM(X7:X16)</f>
        <v>476200000</v>
      </c>
      <c r="Y6" s="727"/>
      <c r="Z6" s="730">
        <f>SUM(Z7:Z16)</f>
        <v>117826267.93000001</v>
      </c>
      <c r="AA6" s="730">
        <f>+Z6/X6*100</f>
        <v>24.743021404871904</v>
      </c>
      <c r="AB6" s="720">
        <f t="shared" si="0"/>
        <v>8.1614278231592674E-2</v>
      </c>
      <c r="AC6" s="730">
        <f>SUM(AC7:AC16)</f>
        <v>237819467.22999999</v>
      </c>
      <c r="AD6" s="719">
        <f>+AC6/X6*100</f>
        <v>49.941089296514072</v>
      </c>
      <c r="AE6" s="719">
        <f>+X6</f>
        <v>476200000</v>
      </c>
      <c r="AF6" s="719">
        <f>SUM(AF7:AF16)</f>
        <v>361229988.62</v>
      </c>
      <c r="AG6" s="719">
        <f>+AF6/AE6*100</f>
        <v>75.856780474590508</v>
      </c>
      <c r="AH6" s="719"/>
      <c r="AI6" s="721">
        <f>SUM(AI7:AI16)</f>
        <v>476200000</v>
      </c>
      <c r="AJ6" s="721">
        <f>SUM(AJ7:AJ16)</f>
        <v>491678972.99000001</v>
      </c>
      <c r="AK6" s="721">
        <f>+AJ6/AI6*100</f>
        <v>103.25051931751365</v>
      </c>
      <c r="AL6" s="721"/>
      <c r="AM6" s="721"/>
      <c r="AN6" s="721"/>
      <c r="AO6" s="1201"/>
      <c r="AP6" s="1274"/>
      <c r="AQ6" s="721"/>
      <c r="AR6" s="1201"/>
      <c r="AS6" s="1299"/>
      <c r="AT6" s="721"/>
      <c r="AU6" s="731"/>
    </row>
    <row r="7" spans="1:48" x14ac:dyDescent="0.25">
      <c r="A7" s="732"/>
      <c r="B7" s="733" t="s">
        <v>164</v>
      </c>
      <c r="C7" s="734" t="s">
        <v>163</v>
      </c>
      <c r="D7" s="735">
        <v>297042587</v>
      </c>
      <c r="E7" s="735">
        <v>311855606.89999998</v>
      </c>
      <c r="F7" s="735">
        <v>309794110.18000001</v>
      </c>
      <c r="G7" s="735">
        <v>320000000</v>
      </c>
      <c r="H7" s="735">
        <v>340999774.39999998</v>
      </c>
      <c r="I7" s="735">
        <v>0</v>
      </c>
      <c r="J7" s="736">
        <v>365000000</v>
      </c>
      <c r="K7" s="737">
        <v>367202135.79000002</v>
      </c>
      <c r="L7" s="737">
        <v>0</v>
      </c>
      <c r="M7" s="738"/>
      <c r="N7" s="738"/>
      <c r="O7" s="738"/>
      <c r="P7" s="737">
        <v>432000000</v>
      </c>
      <c r="Q7" s="737">
        <v>431946995.07999998</v>
      </c>
      <c r="R7" s="739">
        <f>+(Q7/P7)*100</f>
        <v>99.987730342592585</v>
      </c>
      <c r="S7" s="737"/>
      <c r="T7" s="740"/>
      <c r="U7" s="740"/>
      <c r="V7" s="740"/>
      <c r="W7" s="740"/>
      <c r="X7" s="737">
        <v>432000000</v>
      </c>
      <c r="Y7" s="737"/>
      <c r="Z7" s="737">
        <v>108499522.93000001</v>
      </c>
      <c r="AA7" s="738"/>
      <c r="AB7" s="720">
        <f t="shared" si="0"/>
        <v>1.2271163037075823E-2</v>
      </c>
      <c r="AC7" s="737">
        <v>222765508.22999999</v>
      </c>
      <c r="AD7" s="738"/>
      <c r="AE7" s="737">
        <f>+X7</f>
        <v>432000000</v>
      </c>
      <c r="AF7" s="737">
        <v>343738838.62</v>
      </c>
      <c r="AG7" s="737"/>
      <c r="AH7" s="737"/>
      <c r="AI7" s="737">
        <f>+AE7</f>
        <v>432000000</v>
      </c>
      <c r="AJ7" s="741">
        <v>463049491.99000001</v>
      </c>
      <c r="AK7" s="742"/>
      <c r="AL7" s="742"/>
      <c r="AM7" s="737"/>
      <c r="AN7" s="932"/>
      <c r="AO7" s="742"/>
      <c r="AP7" s="742"/>
      <c r="AQ7" s="742"/>
      <c r="AR7" s="742"/>
      <c r="AS7" s="1386"/>
      <c r="AT7" s="737"/>
      <c r="AU7" s="743"/>
    </row>
    <row r="8" spans="1:48" x14ac:dyDescent="0.25">
      <c r="A8" s="744"/>
      <c r="B8" s="745" t="s">
        <v>165</v>
      </c>
      <c r="C8" s="746" t="s">
        <v>163</v>
      </c>
      <c r="D8" s="747">
        <v>582100</v>
      </c>
      <c r="E8" s="747">
        <v>598456</v>
      </c>
      <c r="F8" s="747">
        <v>1167600</v>
      </c>
      <c r="G8" s="747">
        <v>300000</v>
      </c>
      <c r="H8" s="747">
        <v>868400</v>
      </c>
      <c r="I8" s="747">
        <v>0</v>
      </c>
      <c r="J8" s="748">
        <v>580000</v>
      </c>
      <c r="K8" s="747">
        <v>555000</v>
      </c>
      <c r="L8" s="747">
        <v>0</v>
      </c>
      <c r="M8" s="749"/>
      <c r="N8" s="749"/>
      <c r="O8" s="749"/>
      <c r="P8" s="747">
        <v>550000</v>
      </c>
      <c r="Q8" s="747">
        <v>470000</v>
      </c>
      <c r="R8" s="750">
        <f t="shared" ref="R8:R16" si="1">+(Q8/P8)*100</f>
        <v>85.454545454545453</v>
      </c>
      <c r="S8" s="747"/>
      <c r="T8" s="751"/>
      <c r="U8" s="751"/>
      <c r="V8" s="751"/>
      <c r="W8" s="751"/>
      <c r="X8" s="747">
        <v>550000</v>
      </c>
      <c r="Y8" s="747"/>
      <c r="Z8" s="747">
        <v>140000</v>
      </c>
      <c r="AA8" s="749"/>
      <c r="AB8" s="720">
        <f t="shared" si="0"/>
        <v>17.021276595744681</v>
      </c>
      <c r="AC8" s="747">
        <v>290000</v>
      </c>
      <c r="AD8" s="749"/>
      <c r="AE8" s="747">
        <f t="shared" ref="AE8:AE16" si="2">+X8</f>
        <v>550000</v>
      </c>
      <c r="AF8" s="747">
        <v>440000</v>
      </c>
      <c r="AG8" s="747"/>
      <c r="AH8" s="747"/>
      <c r="AI8" s="747">
        <f t="shared" ref="AI8:AI16" si="3">+AE8</f>
        <v>550000</v>
      </c>
      <c r="AJ8" s="752">
        <v>590000</v>
      </c>
      <c r="AK8" s="753"/>
      <c r="AL8" s="753"/>
      <c r="AM8" s="747"/>
      <c r="AN8" s="917"/>
      <c r="AO8" s="753"/>
      <c r="AP8" s="753"/>
      <c r="AQ8" s="753"/>
      <c r="AR8" s="753"/>
      <c r="AS8" s="1302"/>
      <c r="AT8" s="747"/>
      <c r="AU8" s="754"/>
    </row>
    <row r="9" spans="1:48" x14ac:dyDescent="0.25">
      <c r="A9" s="744"/>
      <c r="B9" s="745" t="s">
        <v>166</v>
      </c>
      <c r="C9" s="746" t="s">
        <v>163</v>
      </c>
      <c r="D9" s="747">
        <v>180000</v>
      </c>
      <c r="E9" s="747">
        <v>115500</v>
      </c>
      <c r="F9" s="747">
        <v>88500</v>
      </c>
      <c r="G9" s="747">
        <v>200000</v>
      </c>
      <c r="H9" s="747">
        <v>223200</v>
      </c>
      <c r="I9" s="747">
        <v>0</v>
      </c>
      <c r="J9" s="748">
        <v>216000</v>
      </c>
      <c r="K9" s="747">
        <f>155400+33600</f>
        <v>189000</v>
      </c>
      <c r="L9" s="747">
        <v>0</v>
      </c>
      <c r="M9" s="749"/>
      <c r="N9" s="749"/>
      <c r="O9" s="749"/>
      <c r="P9" s="747">
        <v>200000</v>
      </c>
      <c r="Q9" s="747">
        <v>147300</v>
      </c>
      <c r="R9" s="750">
        <f t="shared" si="1"/>
        <v>73.650000000000006</v>
      </c>
      <c r="S9" s="747"/>
      <c r="T9" s="751"/>
      <c r="U9" s="751"/>
      <c r="V9" s="751"/>
      <c r="W9" s="751"/>
      <c r="X9" s="747">
        <v>200000</v>
      </c>
      <c r="Y9" s="747"/>
      <c r="Z9" s="747">
        <v>51000</v>
      </c>
      <c r="AA9" s="749"/>
      <c r="AB9" s="720">
        <f t="shared" si="0"/>
        <v>35.777325186693822</v>
      </c>
      <c r="AC9" s="747">
        <v>51000</v>
      </c>
      <c r="AD9" s="749"/>
      <c r="AE9" s="747">
        <f t="shared" si="2"/>
        <v>200000</v>
      </c>
      <c r="AF9" s="747">
        <v>118192</v>
      </c>
      <c r="AG9" s="747"/>
      <c r="AH9" s="747"/>
      <c r="AI9" s="747">
        <f t="shared" si="3"/>
        <v>200000</v>
      </c>
      <c r="AJ9" s="752">
        <v>178492</v>
      </c>
      <c r="AK9" s="753"/>
      <c r="AL9" s="753"/>
      <c r="AM9" s="747"/>
      <c r="AN9" s="917"/>
      <c r="AO9" s="753"/>
      <c r="AP9" s="753"/>
      <c r="AQ9" s="753"/>
      <c r="AR9" s="753"/>
      <c r="AS9" s="1302"/>
      <c r="AT9" s="747"/>
      <c r="AU9" s="754"/>
      <c r="AV9" s="755"/>
    </row>
    <row r="10" spans="1:48" s="845" customFormat="1" ht="23.25" customHeight="1" x14ac:dyDescent="0.25">
      <c r="A10" s="841"/>
      <c r="B10" s="847" t="s">
        <v>167</v>
      </c>
      <c r="C10" s="828" t="s">
        <v>163</v>
      </c>
      <c r="D10" s="798">
        <v>58010499.259999998</v>
      </c>
      <c r="E10" s="798">
        <v>17069627</v>
      </c>
      <c r="F10" s="798">
        <v>10193251</v>
      </c>
      <c r="G10" s="798">
        <v>9000000</v>
      </c>
      <c r="H10" s="798">
        <v>5202971</v>
      </c>
      <c r="I10" s="798">
        <v>0</v>
      </c>
      <c r="J10" s="797">
        <v>43900000</v>
      </c>
      <c r="K10" s="798">
        <v>8605550.9800000004</v>
      </c>
      <c r="L10" s="798">
        <v>0</v>
      </c>
      <c r="M10" s="1175"/>
      <c r="N10" s="1175"/>
      <c r="O10" s="1175"/>
      <c r="P10" s="798">
        <f>31200000+10000000</f>
        <v>41200000</v>
      </c>
      <c r="Q10" s="798">
        <v>41374949.659999996</v>
      </c>
      <c r="R10" s="1176">
        <f t="shared" si="1"/>
        <v>100.42463509708736</v>
      </c>
      <c r="S10" s="798"/>
      <c r="T10" s="799"/>
      <c r="U10" s="799"/>
      <c r="V10" s="799"/>
      <c r="W10" s="799"/>
      <c r="X10" s="798">
        <v>41200000</v>
      </c>
      <c r="Y10" s="798"/>
      <c r="Z10" s="798">
        <v>8839345</v>
      </c>
      <c r="AA10" s="1175"/>
      <c r="AB10" s="855">
        <f t="shared" si="0"/>
        <v>-0.42283957186087473</v>
      </c>
      <c r="AC10" s="798">
        <v>13805834</v>
      </c>
      <c r="AD10" s="1175"/>
      <c r="AE10" s="798">
        <f t="shared" si="2"/>
        <v>41200000</v>
      </c>
      <c r="AF10" s="798">
        <v>15644233</v>
      </c>
      <c r="AG10" s="798"/>
      <c r="AH10" s="798"/>
      <c r="AI10" s="798">
        <f t="shared" si="3"/>
        <v>41200000</v>
      </c>
      <c r="AJ10" s="887">
        <v>25896114</v>
      </c>
      <c r="AK10" s="800"/>
      <c r="AL10" s="800"/>
      <c r="AM10" s="798"/>
      <c r="AN10" s="1207"/>
      <c r="AO10" s="800"/>
      <c r="AP10" s="800"/>
      <c r="AQ10" s="800"/>
      <c r="AR10" s="800"/>
      <c r="AS10" s="1387"/>
      <c r="AT10" s="798"/>
      <c r="AU10" s="1177" t="s">
        <v>1144</v>
      </c>
    </row>
    <row r="11" spans="1:48" s="845" customFormat="1" x14ac:dyDescent="0.25">
      <c r="A11" s="841"/>
      <c r="B11" s="1343" t="s">
        <v>399</v>
      </c>
      <c r="C11" s="828" t="s">
        <v>163</v>
      </c>
      <c r="D11" s="798">
        <v>19300</v>
      </c>
      <c r="E11" s="798">
        <v>69342</v>
      </c>
      <c r="F11" s="798">
        <v>132600</v>
      </c>
      <c r="G11" s="798">
        <v>220000</v>
      </c>
      <c r="H11" s="798">
        <v>299500</v>
      </c>
      <c r="I11" s="798">
        <v>0</v>
      </c>
      <c r="J11" s="797">
        <v>340000</v>
      </c>
      <c r="K11" s="798">
        <f>103500+126000+55680+10200</f>
        <v>295380</v>
      </c>
      <c r="L11" s="798">
        <v>0</v>
      </c>
      <c r="M11" s="1175"/>
      <c r="N11" s="1175"/>
      <c r="O11" s="1175"/>
      <c r="P11" s="798">
        <v>300000</v>
      </c>
      <c r="Q11" s="798">
        <f>2000+150300</f>
        <v>152300</v>
      </c>
      <c r="R11" s="1176">
        <f t="shared" si="1"/>
        <v>50.766666666666673</v>
      </c>
      <c r="S11" s="798"/>
      <c r="T11" s="799"/>
      <c r="U11" s="799"/>
      <c r="V11" s="799"/>
      <c r="W11" s="799"/>
      <c r="X11" s="798">
        <v>300000</v>
      </c>
      <c r="Y11" s="798"/>
      <c r="Z11" s="798">
        <v>26700</v>
      </c>
      <c r="AA11" s="1175"/>
      <c r="AB11" s="855">
        <f t="shared" si="0"/>
        <v>96.979645436638222</v>
      </c>
      <c r="AC11" s="798">
        <v>90000</v>
      </c>
      <c r="AD11" s="1175"/>
      <c r="AE11" s="798">
        <f t="shared" si="2"/>
        <v>300000</v>
      </c>
      <c r="AF11" s="798">
        <v>153000</v>
      </c>
      <c r="AG11" s="798"/>
      <c r="AH11" s="798"/>
      <c r="AI11" s="798">
        <f t="shared" si="3"/>
        <v>300000</v>
      </c>
      <c r="AJ11" s="887">
        <v>194400</v>
      </c>
      <c r="AK11" s="800"/>
      <c r="AL11" s="800"/>
      <c r="AM11" s="798"/>
      <c r="AN11" s="1207"/>
      <c r="AO11" s="800"/>
      <c r="AP11" s="800"/>
      <c r="AQ11" s="800"/>
      <c r="AR11" s="800"/>
      <c r="AS11" s="1387"/>
      <c r="AT11" s="798"/>
      <c r="AU11" s="1344"/>
    </row>
    <row r="12" spans="1:48" x14ac:dyDescent="0.25">
      <c r="A12" s="744"/>
      <c r="B12" s="745" t="s">
        <v>168</v>
      </c>
      <c r="C12" s="746" t="s">
        <v>163</v>
      </c>
      <c r="D12" s="747">
        <v>220600</v>
      </c>
      <c r="E12" s="747">
        <v>231450</v>
      </c>
      <c r="F12" s="747">
        <v>577125</v>
      </c>
      <c r="G12" s="747">
        <v>550000</v>
      </c>
      <c r="H12" s="747">
        <v>618600</v>
      </c>
      <c r="I12" s="747">
        <v>0</v>
      </c>
      <c r="J12" s="748">
        <v>750000</v>
      </c>
      <c r="K12" s="747">
        <v>1278500</v>
      </c>
      <c r="L12" s="747">
        <v>0</v>
      </c>
      <c r="M12" s="749"/>
      <c r="N12" s="749"/>
      <c r="O12" s="749"/>
      <c r="P12" s="747">
        <f>1000000+250000</f>
        <v>1250000</v>
      </c>
      <c r="Q12" s="747">
        <v>1720125</v>
      </c>
      <c r="R12" s="750">
        <f t="shared" si="1"/>
        <v>137.61000000000001</v>
      </c>
      <c r="S12" s="747"/>
      <c r="T12" s="751"/>
      <c r="U12" s="751"/>
      <c r="V12" s="751"/>
      <c r="W12" s="751"/>
      <c r="X12" s="747">
        <v>1250000</v>
      </c>
      <c r="Y12" s="747"/>
      <c r="Z12" s="747">
        <v>267300</v>
      </c>
      <c r="AA12" s="749"/>
      <c r="AB12" s="720">
        <f t="shared" si="0"/>
        <v>-27.33086258266114</v>
      </c>
      <c r="AC12" s="747">
        <v>814725</v>
      </c>
      <c r="AD12" s="749"/>
      <c r="AE12" s="747">
        <f>+X12</f>
        <v>1250000</v>
      </c>
      <c r="AF12" s="747">
        <v>1133325</v>
      </c>
      <c r="AG12" s="747"/>
      <c r="AH12" s="747"/>
      <c r="AI12" s="747">
        <f t="shared" si="3"/>
        <v>1250000</v>
      </c>
      <c r="AJ12" s="752">
        <v>1698075</v>
      </c>
      <c r="AK12" s="753"/>
      <c r="AL12" s="753"/>
      <c r="AM12" s="747"/>
      <c r="AN12" s="917"/>
      <c r="AO12" s="753"/>
      <c r="AP12" s="753"/>
      <c r="AQ12" s="753"/>
      <c r="AR12" s="753"/>
      <c r="AS12" s="1302"/>
      <c r="AT12" s="747"/>
      <c r="AU12" s="754"/>
    </row>
    <row r="13" spans="1:48" x14ac:dyDescent="0.25">
      <c r="A13" s="744"/>
      <c r="B13" s="745" t="s">
        <v>169</v>
      </c>
      <c r="C13" s="746" t="s">
        <v>163</v>
      </c>
      <c r="D13" s="747">
        <v>1880337</v>
      </c>
      <c r="E13" s="747">
        <v>725406</v>
      </c>
      <c r="F13" s="747">
        <v>0</v>
      </c>
      <c r="G13" s="747">
        <v>1500000</v>
      </c>
      <c r="H13" s="747">
        <v>0</v>
      </c>
      <c r="I13" s="747">
        <v>0</v>
      </c>
      <c r="J13" s="748">
        <v>642000</v>
      </c>
      <c r="K13" s="747">
        <v>225000</v>
      </c>
      <c r="L13" s="747">
        <v>0</v>
      </c>
      <c r="M13" s="749"/>
      <c r="N13" s="749"/>
      <c r="O13" s="749"/>
      <c r="P13" s="747">
        <v>300000</v>
      </c>
      <c r="Q13" s="747">
        <v>0</v>
      </c>
      <c r="R13" s="750">
        <f t="shared" si="1"/>
        <v>0</v>
      </c>
      <c r="S13" s="747"/>
      <c r="T13" s="751"/>
      <c r="U13" s="751"/>
      <c r="V13" s="751"/>
      <c r="W13" s="751"/>
      <c r="X13" s="747">
        <v>300000</v>
      </c>
      <c r="Y13" s="747"/>
      <c r="Z13" s="757">
        <v>0</v>
      </c>
      <c r="AA13" s="749"/>
      <c r="AB13" s="720" t="e">
        <f t="shared" si="0"/>
        <v>#DIV/0!</v>
      </c>
      <c r="AC13" s="757"/>
      <c r="AD13" s="749"/>
      <c r="AE13" s="747">
        <f t="shared" si="2"/>
        <v>300000</v>
      </c>
      <c r="AF13" s="757">
        <v>0</v>
      </c>
      <c r="AG13" s="757"/>
      <c r="AH13" s="757"/>
      <c r="AI13" s="747">
        <f t="shared" si="3"/>
        <v>300000</v>
      </c>
      <c r="AJ13" s="752">
        <v>70000</v>
      </c>
      <c r="AK13" s="753"/>
      <c r="AL13" s="753"/>
      <c r="AM13" s="747"/>
      <c r="AN13" s="917"/>
      <c r="AO13" s="753"/>
      <c r="AP13" s="753"/>
      <c r="AQ13" s="753"/>
      <c r="AR13" s="753"/>
      <c r="AS13" s="1302"/>
      <c r="AT13" s="747"/>
      <c r="AU13" s="758"/>
    </row>
    <row r="14" spans="1:48" hidden="1" x14ac:dyDescent="0.25">
      <c r="A14" s="744"/>
      <c r="B14" s="745" t="s">
        <v>170</v>
      </c>
      <c r="C14" s="746" t="s">
        <v>171</v>
      </c>
      <c r="D14" s="747">
        <v>0</v>
      </c>
      <c r="E14" s="747">
        <v>0</v>
      </c>
      <c r="F14" s="759">
        <v>0</v>
      </c>
      <c r="G14" s="747">
        <v>9879500</v>
      </c>
      <c r="H14" s="759">
        <v>9852500</v>
      </c>
      <c r="I14" s="747">
        <v>0</v>
      </c>
      <c r="J14" s="748">
        <v>0</v>
      </c>
      <c r="K14" s="747">
        <v>0</v>
      </c>
      <c r="L14" s="747">
        <v>0</v>
      </c>
      <c r="M14" s="749"/>
      <c r="N14" s="749"/>
      <c r="O14" s="749"/>
      <c r="P14" s="747">
        <v>0</v>
      </c>
      <c r="Q14" s="747">
        <v>0</v>
      </c>
      <c r="R14" s="750">
        <v>0</v>
      </c>
      <c r="S14" s="747"/>
      <c r="T14" s="751"/>
      <c r="U14" s="751"/>
      <c r="V14" s="751"/>
      <c r="W14" s="751"/>
      <c r="X14" s="747">
        <v>0</v>
      </c>
      <c r="Y14" s="747"/>
      <c r="Z14" s="757">
        <v>0</v>
      </c>
      <c r="AA14" s="749"/>
      <c r="AB14" s="720" t="e">
        <f t="shared" si="0"/>
        <v>#DIV/0!</v>
      </c>
      <c r="AC14" s="757"/>
      <c r="AD14" s="749"/>
      <c r="AE14" s="747">
        <f t="shared" si="2"/>
        <v>0</v>
      </c>
      <c r="AF14" s="757">
        <v>0</v>
      </c>
      <c r="AG14" s="757"/>
      <c r="AH14" s="757"/>
      <c r="AI14" s="760">
        <f t="shared" si="3"/>
        <v>0</v>
      </c>
      <c r="AJ14" s="752">
        <v>0</v>
      </c>
      <c r="AK14" s="753"/>
      <c r="AL14" s="753"/>
      <c r="AM14" s="760"/>
      <c r="AN14" s="752"/>
      <c r="AO14" s="1192"/>
      <c r="AP14" s="1192"/>
      <c r="AQ14" s="1192"/>
      <c r="AR14" s="1192"/>
      <c r="AS14" s="1388"/>
      <c r="AT14" s="760"/>
      <c r="AU14" s="754"/>
    </row>
    <row r="15" spans="1:48" x14ac:dyDescent="0.25">
      <c r="A15" s="761"/>
      <c r="B15" s="745" t="s">
        <v>172</v>
      </c>
      <c r="C15" s="746"/>
      <c r="D15" s="747"/>
      <c r="E15" s="747"/>
      <c r="F15" s="759"/>
      <c r="G15" s="747">
        <v>0</v>
      </c>
      <c r="H15" s="759">
        <v>0</v>
      </c>
      <c r="I15" s="747">
        <v>0</v>
      </c>
      <c r="J15" s="748">
        <v>100000</v>
      </c>
      <c r="K15" s="747">
        <v>0</v>
      </c>
      <c r="L15" s="747">
        <v>0</v>
      </c>
      <c r="M15" s="749"/>
      <c r="N15" s="749"/>
      <c r="O15" s="749"/>
      <c r="P15" s="747">
        <v>100000</v>
      </c>
      <c r="Q15" s="747">
        <v>0</v>
      </c>
      <c r="R15" s="750">
        <f t="shared" si="1"/>
        <v>0</v>
      </c>
      <c r="S15" s="747"/>
      <c r="T15" s="751"/>
      <c r="U15" s="751"/>
      <c r="V15" s="751"/>
      <c r="W15" s="751"/>
      <c r="X15" s="747">
        <v>100000</v>
      </c>
      <c r="Y15" s="747"/>
      <c r="Z15" s="757">
        <v>0</v>
      </c>
      <c r="AA15" s="749"/>
      <c r="AB15" s="720" t="e">
        <f t="shared" si="0"/>
        <v>#DIV/0!</v>
      </c>
      <c r="AC15" s="757"/>
      <c r="AD15" s="749"/>
      <c r="AE15" s="747">
        <f t="shared" si="2"/>
        <v>100000</v>
      </c>
      <c r="AF15" s="757">
        <v>0</v>
      </c>
      <c r="AG15" s="757"/>
      <c r="AH15" s="757"/>
      <c r="AI15" s="747">
        <f t="shared" si="3"/>
        <v>100000</v>
      </c>
      <c r="AJ15" s="752">
        <v>0</v>
      </c>
      <c r="AK15" s="753"/>
      <c r="AL15" s="753"/>
      <c r="AM15" s="747"/>
      <c r="AN15" s="752"/>
      <c r="AO15" s="753"/>
      <c r="AP15" s="753"/>
      <c r="AQ15" s="752"/>
      <c r="AR15" s="753"/>
      <c r="AS15" s="1302"/>
      <c r="AT15" s="747"/>
      <c r="AU15" s="754"/>
    </row>
    <row r="16" spans="1:48" x14ac:dyDescent="0.25">
      <c r="A16" s="761"/>
      <c r="B16" s="762" t="s">
        <v>173</v>
      </c>
      <c r="C16" s="763"/>
      <c r="D16" s="764"/>
      <c r="E16" s="764"/>
      <c r="F16" s="765"/>
      <c r="G16" s="764">
        <v>0</v>
      </c>
      <c r="H16" s="765">
        <v>0</v>
      </c>
      <c r="I16" s="764">
        <v>0</v>
      </c>
      <c r="J16" s="766">
        <v>400000</v>
      </c>
      <c r="K16" s="764">
        <f>208800+38400</f>
        <v>247200</v>
      </c>
      <c r="L16" s="764">
        <v>0</v>
      </c>
      <c r="M16" s="767"/>
      <c r="N16" s="767"/>
      <c r="O16" s="767"/>
      <c r="P16" s="764">
        <v>300000</v>
      </c>
      <c r="Q16" s="764">
        <v>0</v>
      </c>
      <c r="R16" s="768">
        <f t="shared" si="1"/>
        <v>0</v>
      </c>
      <c r="S16" s="764"/>
      <c r="T16" s="769"/>
      <c r="U16" s="769"/>
      <c r="V16" s="769"/>
      <c r="W16" s="769"/>
      <c r="X16" s="764">
        <v>300000</v>
      </c>
      <c r="Y16" s="764"/>
      <c r="Z16" s="764">
        <v>2400</v>
      </c>
      <c r="AA16" s="767"/>
      <c r="AB16" s="720" t="e">
        <f t="shared" si="0"/>
        <v>#DIV/0!</v>
      </c>
      <c r="AC16" s="764">
        <v>2400</v>
      </c>
      <c r="AD16" s="767"/>
      <c r="AE16" s="764">
        <f t="shared" si="2"/>
        <v>300000</v>
      </c>
      <c r="AF16" s="764">
        <v>2400</v>
      </c>
      <c r="AG16" s="764"/>
      <c r="AH16" s="764"/>
      <c r="AI16" s="764">
        <f t="shared" si="3"/>
        <v>300000</v>
      </c>
      <c r="AJ16" s="770">
        <v>2400</v>
      </c>
      <c r="AK16" s="771"/>
      <c r="AL16" s="771"/>
      <c r="AM16" s="764"/>
      <c r="AN16" s="1208"/>
      <c r="AO16" s="771"/>
      <c r="AP16" s="771"/>
      <c r="AQ16" s="752"/>
      <c r="AR16" s="771"/>
      <c r="AS16" s="1389"/>
      <c r="AT16" s="764"/>
      <c r="AU16" s="772"/>
    </row>
    <row r="17" spans="1:48" s="723" customFormat="1" x14ac:dyDescent="0.25">
      <c r="A17" s="716" t="s">
        <v>174</v>
      </c>
      <c r="B17" s="724" t="s">
        <v>43</v>
      </c>
      <c r="C17" s="725"/>
      <c r="D17" s="717">
        <f>SUM(D18:D52)</f>
        <v>112735577.66999999</v>
      </c>
      <c r="E17" s="717">
        <f>SUM(E18:E52)</f>
        <v>105283582.23</v>
      </c>
      <c r="F17" s="717">
        <f>SUM(F18:F52)</f>
        <v>140421569.49000004</v>
      </c>
      <c r="G17" s="717">
        <v>270000000</v>
      </c>
      <c r="H17" s="717">
        <f>+H18+H19+H20+H26+H31+H32+H33+H34+H35+H36+H37+H38+H39+H40+H41+H42+H43+H44+H47+H48+H49+H50+H51+H52+H53</f>
        <v>193716698.40000001</v>
      </c>
      <c r="I17" s="717">
        <f>SUM(I18:I54)+317940.91</f>
        <v>34083972.68</v>
      </c>
      <c r="J17" s="726">
        <v>184177860</v>
      </c>
      <c r="K17" s="717">
        <f>+K18+K19+K20+K26+K31+K32+K33+K34+K35+K36+K37+K38+K39+K40+K41+K42+K43+K44+K47+K48+K49+K50+K51+K52+K53</f>
        <v>170224752.50999999</v>
      </c>
      <c r="L17" s="717"/>
      <c r="M17" s="717">
        <f>SUM(M18:M56)</f>
        <v>0</v>
      </c>
      <c r="N17" s="717">
        <f>SUM(N18:N56)</f>
        <v>0</v>
      </c>
      <c r="O17" s="717"/>
      <c r="P17" s="717">
        <f>SUM(P18:P58)-P20-P26</f>
        <v>191000000</v>
      </c>
      <c r="Q17" s="717">
        <f>SUM(Q18:Q58)-Q20-Q26</f>
        <v>219379411.42000005</v>
      </c>
      <c r="R17" s="717">
        <f>+Q17/P17*100</f>
        <v>114.85833058638745</v>
      </c>
      <c r="S17" s="717">
        <f>SUM(S18:S56)</f>
        <v>11958264.689999999</v>
      </c>
      <c r="T17" s="728"/>
      <c r="U17" s="728"/>
      <c r="V17" s="729"/>
      <c r="W17" s="729"/>
      <c r="X17" s="773">
        <f>SUM(X18:X72)-X20-X26</f>
        <v>210017100</v>
      </c>
      <c r="Y17" s="717">
        <f>SUM(Y18:Y56)</f>
        <v>10568878.5</v>
      </c>
      <c r="Z17" s="730">
        <f>SUM(Z18:Z72)-Z20-Z26</f>
        <v>53560336.310000017</v>
      </c>
      <c r="AA17" s="730">
        <f>+Z17/X17*100</f>
        <v>25.502845392113315</v>
      </c>
      <c r="AB17" s="720">
        <f t="shared" si="0"/>
        <v>-4.2676344873931589</v>
      </c>
      <c r="AC17" s="730">
        <f>SUM(AC18:AC72)-AC20-AC26</f>
        <v>92750469.38000001</v>
      </c>
      <c r="AD17" s="719">
        <f>+AC17/X17*100</f>
        <v>44.163294027010188</v>
      </c>
      <c r="AE17" s="719">
        <f>SUM(AE18:AE87)</f>
        <v>210589190</v>
      </c>
      <c r="AF17" s="719">
        <f>SUM(AF18:AF87)-AF20-AF26</f>
        <v>144511498.38999999</v>
      </c>
      <c r="AG17" s="719">
        <f>+AF17/AE17*100</f>
        <v>68.622467463785767</v>
      </c>
      <c r="AH17" s="719"/>
      <c r="AI17" s="721">
        <f>SUM(AI18:AI87)</f>
        <v>210589190</v>
      </c>
      <c r="AJ17" s="721">
        <f>SUM(AJ18:AJ101)-AJ20-AJ26</f>
        <v>200092441.31999996</v>
      </c>
      <c r="AK17" s="721">
        <f>+AJ17/AI17*100</f>
        <v>95.015533000530539</v>
      </c>
      <c r="AL17" s="721"/>
      <c r="AM17" s="721"/>
      <c r="AN17" s="721"/>
      <c r="AO17" s="1201"/>
      <c r="AP17" s="721"/>
      <c r="AQ17" s="721"/>
      <c r="AR17" s="721"/>
      <c r="AS17" s="1299"/>
      <c r="AT17" s="721"/>
      <c r="AU17" s="774"/>
      <c r="AV17" s="945"/>
    </row>
    <row r="18" spans="1:48" s="723" customFormat="1" x14ac:dyDescent="0.25">
      <c r="A18" s="775"/>
      <c r="B18" s="776" t="s">
        <v>175</v>
      </c>
      <c r="C18" s="777" t="s">
        <v>176</v>
      </c>
      <c r="D18" s="735">
        <v>1925877.8</v>
      </c>
      <c r="E18" s="735">
        <v>1813011.2</v>
      </c>
      <c r="F18" s="735">
        <v>2678763.2000000002</v>
      </c>
      <c r="G18" s="735">
        <v>4000000</v>
      </c>
      <c r="H18" s="735">
        <v>4466088.4000000004</v>
      </c>
      <c r="I18" s="778">
        <v>0</v>
      </c>
      <c r="J18" s="736">
        <v>4000000</v>
      </c>
      <c r="K18" s="737">
        <v>4053044.4</v>
      </c>
      <c r="L18" s="737">
        <v>0</v>
      </c>
      <c r="M18" s="737"/>
      <c r="N18" s="737"/>
      <c r="O18" s="737"/>
      <c r="P18" s="737">
        <v>3000000</v>
      </c>
      <c r="Q18" s="737">
        <v>5097977.2</v>
      </c>
      <c r="R18" s="737">
        <f>+Q18/P18*100</f>
        <v>169.93257333333332</v>
      </c>
      <c r="S18" s="737"/>
      <c r="T18" s="740"/>
      <c r="U18" s="740"/>
      <c r="V18" s="740"/>
      <c r="W18" s="740"/>
      <c r="X18" s="737">
        <v>4600000</v>
      </c>
      <c r="Y18" s="737"/>
      <c r="Z18" s="737">
        <v>1737674</v>
      </c>
      <c r="AA18" s="737"/>
      <c r="AB18" s="720">
        <f t="shared" si="0"/>
        <v>-9.7681331332749028</v>
      </c>
      <c r="AC18" s="737">
        <v>2825471.2</v>
      </c>
      <c r="AD18" s="737"/>
      <c r="AE18" s="737">
        <f>+X18</f>
        <v>4600000</v>
      </c>
      <c r="AF18" s="737">
        <v>4351351.2</v>
      </c>
      <c r="AG18" s="737"/>
      <c r="AH18" s="737"/>
      <c r="AI18" s="742">
        <f>+AE18</f>
        <v>4600000</v>
      </c>
      <c r="AJ18" s="742">
        <v>6564191.2000000002</v>
      </c>
      <c r="AK18" s="742"/>
      <c r="AL18" s="742"/>
      <c r="AM18" s="1141"/>
      <c r="AN18" s="1141"/>
      <c r="AO18" s="1141"/>
      <c r="AP18" s="1141"/>
      <c r="AQ18" s="1141"/>
      <c r="AR18" s="1141"/>
      <c r="AS18" s="1390"/>
      <c r="AT18" s="1141"/>
      <c r="AU18" s="779"/>
      <c r="AV18" s="1120"/>
    </row>
    <row r="19" spans="1:48" s="723" customFormat="1" x14ac:dyDescent="0.25">
      <c r="A19" s="775"/>
      <c r="B19" s="780" t="s">
        <v>177</v>
      </c>
      <c r="C19" s="781" t="s">
        <v>176</v>
      </c>
      <c r="D19" s="735">
        <v>701942.75</v>
      </c>
      <c r="E19" s="735">
        <v>641269.55000000005</v>
      </c>
      <c r="F19" s="735">
        <v>601626.51</v>
      </c>
      <c r="G19" s="735">
        <v>750000</v>
      </c>
      <c r="H19" s="735">
        <v>690202.45</v>
      </c>
      <c r="I19" s="778">
        <v>0</v>
      </c>
      <c r="J19" s="748">
        <v>1000000</v>
      </c>
      <c r="K19" s="747">
        <v>934349.01</v>
      </c>
      <c r="L19" s="747">
        <v>0</v>
      </c>
      <c r="M19" s="747"/>
      <c r="N19" s="747"/>
      <c r="O19" s="747"/>
      <c r="P19" s="747">
        <v>600000</v>
      </c>
      <c r="Q19" s="747">
        <v>467149.67</v>
      </c>
      <c r="R19" s="747">
        <f>+Q19/P19*100</f>
        <v>77.858278333333331</v>
      </c>
      <c r="S19" s="747"/>
      <c r="T19" s="751"/>
      <c r="U19" s="751"/>
      <c r="V19" s="751"/>
      <c r="W19" s="751"/>
      <c r="X19" s="747">
        <v>400000</v>
      </c>
      <c r="Y19" s="747"/>
      <c r="Z19" s="747">
        <v>130614.96</v>
      </c>
      <c r="AA19" s="747"/>
      <c r="AB19" s="720">
        <f t="shared" si="0"/>
        <v>-14.374337458057068</v>
      </c>
      <c r="AC19" s="747">
        <v>323589.03999999998</v>
      </c>
      <c r="AD19" s="747"/>
      <c r="AE19" s="747">
        <f>+X19</f>
        <v>400000</v>
      </c>
      <c r="AF19" s="747">
        <v>430380.09</v>
      </c>
      <c r="AG19" s="747"/>
      <c r="AH19" s="747"/>
      <c r="AI19" s="753">
        <f>+AE19</f>
        <v>400000</v>
      </c>
      <c r="AJ19" s="753">
        <v>593583.71</v>
      </c>
      <c r="AK19" s="753"/>
      <c r="AL19" s="753"/>
      <c r="AM19" s="1128"/>
      <c r="AN19" s="1128"/>
      <c r="AO19" s="1128"/>
      <c r="AP19" s="1128"/>
      <c r="AQ19" s="1128"/>
      <c r="AR19" s="1128"/>
      <c r="AS19" s="1391"/>
      <c r="AT19" s="1128"/>
      <c r="AU19" s="782"/>
      <c r="AV19" s="1121"/>
    </row>
    <row r="20" spans="1:48" s="723" customFormat="1" x14ac:dyDescent="0.25">
      <c r="A20" s="783"/>
      <c r="B20" s="784" t="s">
        <v>178</v>
      </c>
      <c r="C20" s="785" t="s">
        <v>176</v>
      </c>
      <c r="D20" s="786">
        <v>5938577.4400000004</v>
      </c>
      <c r="E20" s="786">
        <v>9023205.5999999996</v>
      </c>
      <c r="F20" s="786">
        <v>10892591.34</v>
      </c>
      <c r="G20" s="786">
        <v>24500000</v>
      </c>
      <c r="H20" s="786">
        <v>17040292.82</v>
      </c>
      <c r="I20" s="786">
        <v>3115714.09</v>
      </c>
      <c r="J20" s="787">
        <v>27500000</v>
      </c>
      <c r="K20" s="788">
        <f>SUM(K21:K25)</f>
        <v>17045701.68</v>
      </c>
      <c r="L20" s="789">
        <v>0</v>
      </c>
      <c r="M20" s="788"/>
      <c r="N20" s="788"/>
      <c r="O20" s="788"/>
      <c r="P20" s="788">
        <f>SUM(P21:P25)</f>
        <v>33700000</v>
      </c>
      <c r="Q20" s="788">
        <f>SUM(Q21:Q25)</f>
        <v>36441615.68</v>
      </c>
      <c r="R20" s="788"/>
      <c r="S20" s="789"/>
      <c r="T20" s="788"/>
      <c r="U20" s="788"/>
      <c r="V20" s="788"/>
      <c r="W20" s="788"/>
      <c r="X20" s="788">
        <f>SUM(X21:X25)</f>
        <v>22200000</v>
      </c>
      <c r="Y20" s="789"/>
      <c r="Z20" s="788">
        <f>SUM(Z21:Z25)</f>
        <v>11193838.58</v>
      </c>
      <c r="AA20" s="788"/>
      <c r="AB20" s="790">
        <f t="shared" si="0"/>
        <v>-39.080637381882404</v>
      </c>
      <c r="AC20" s="788">
        <f>SUM(AC21:AC25)</f>
        <v>18561733.459999997</v>
      </c>
      <c r="AD20" s="788"/>
      <c r="AE20" s="788"/>
      <c r="AF20" s="788">
        <f>SUM(AF21:AF25)</f>
        <v>22959561.489999998</v>
      </c>
      <c r="AG20" s="788"/>
      <c r="AH20" s="788"/>
      <c r="AI20" s="791"/>
      <c r="AJ20" s="791">
        <f>SUM(AJ21:AJ25)</f>
        <v>27331573.720000003</v>
      </c>
      <c r="AK20" s="791"/>
      <c r="AL20" s="791">
        <f>SUM(AL21:AL25)</f>
        <v>1991587.5</v>
      </c>
      <c r="AM20" s="791"/>
      <c r="AN20" s="791"/>
      <c r="AO20" s="791"/>
      <c r="AP20" s="791"/>
      <c r="AQ20" s="791"/>
      <c r="AR20" s="791"/>
      <c r="AS20" s="1301"/>
      <c r="AT20" s="791"/>
      <c r="AU20" s="792"/>
      <c r="AV20" s="791"/>
    </row>
    <row r="21" spans="1:48" s="802" customFormat="1" ht="20.25" customHeight="1" x14ac:dyDescent="0.25">
      <c r="A21" s="793"/>
      <c r="B21" s="794" t="s">
        <v>179</v>
      </c>
      <c r="C21" s="795"/>
      <c r="D21" s="796">
        <v>0</v>
      </c>
      <c r="E21" s="796">
        <v>0</v>
      </c>
      <c r="F21" s="796">
        <v>0</v>
      </c>
      <c r="G21" s="796">
        <v>0</v>
      </c>
      <c r="H21" s="796">
        <v>0</v>
      </c>
      <c r="I21" s="796">
        <v>0</v>
      </c>
      <c r="J21" s="797">
        <v>7000000</v>
      </c>
      <c r="K21" s="798">
        <v>3030895</v>
      </c>
      <c r="L21" s="747">
        <v>0</v>
      </c>
      <c r="M21" s="798"/>
      <c r="N21" s="798"/>
      <c r="O21" s="798"/>
      <c r="P21" s="798">
        <v>5000000</v>
      </c>
      <c r="Q21" s="798">
        <v>6531583.75</v>
      </c>
      <c r="R21" s="747">
        <f>+Q21/P21*100</f>
        <v>130.631675</v>
      </c>
      <c r="S21" s="798"/>
      <c r="T21" s="799"/>
      <c r="U21" s="799"/>
      <c r="V21" s="799"/>
      <c r="W21" s="799"/>
      <c r="X21" s="798">
        <v>5000000</v>
      </c>
      <c r="Y21" s="798"/>
      <c r="Z21" s="798">
        <v>5716412.4100000001</v>
      </c>
      <c r="AA21" s="798"/>
      <c r="AB21" s="720">
        <f t="shared" si="0"/>
        <v>-23.448887875011938</v>
      </c>
      <c r="AC21" s="798">
        <v>7013963.9699999997</v>
      </c>
      <c r="AD21" s="798"/>
      <c r="AE21" s="798">
        <f>+X21</f>
        <v>5000000</v>
      </c>
      <c r="AF21" s="798">
        <v>7939963.9699999997</v>
      </c>
      <c r="AG21" s="798"/>
      <c r="AH21" s="798"/>
      <c r="AI21" s="800">
        <f>+AE21</f>
        <v>5000000</v>
      </c>
      <c r="AJ21" s="800">
        <v>8087963.9699999997</v>
      </c>
      <c r="AK21" s="800"/>
      <c r="AL21" s="800"/>
      <c r="AM21" s="1127"/>
      <c r="AN21" s="1136"/>
      <c r="AO21" s="1127"/>
      <c r="AP21" s="1127"/>
      <c r="AQ21" s="1284"/>
      <c r="AR21" s="1127"/>
      <c r="AS21" s="1284"/>
      <c r="AT21" s="1127"/>
      <c r="AU21" s="801"/>
      <c r="AV21" s="1122"/>
    </row>
    <row r="22" spans="1:48" s="802" customFormat="1" ht="20.25" customHeight="1" x14ac:dyDescent="0.25">
      <c r="A22" s="793"/>
      <c r="B22" s="794" t="s">
        <v>180</v>
      </c>
      <c r="C22" s="795"/>
      <c r="D22" s="796">
        <v>0</v>
      </c>
      <c r="E22" s="796">
        <v>0</v>
      </c>
      <c r="F22" s="796">
        <v>0</v>
      </c>
      <c r="G22" s="796">
        <v>0</v>
      </c>
      <c r="H22" s="796">
        <v>0</v>
      </c>
      <c r="I22" s="796">
        <v>0</v>
      </c>
      <c r="J22" s="797">
        <v>1500000</v>
      </c>
      <c r="K22" s="798">
        <f>1156778.51+46547.1+9683.5</f>
        <v>1213009.1100000001</v>
      </c>
      <c r="L22" s="747">
        <v>0</v>
      </c>
      <c r="M22" s="798"/>
      <c r="N22" s="798"/>
      <c r="O22" s="798"/>
      <c r="P22" s="798">
        <v>1200000</v>
      </c>
      <c r="Q22" s="798">
        <v>1409077.46</v>
      </c>
      <c r="R22" s="747">
        <f>+Q22/P22*100</f>
        <v>117.42312166666666</v>
      </c>
      <c r="S22" s="798">
        <v>200600.14</v>
      </c>
      <c r="T22" s="799"/>
      <c r="U22" s="799"/>
      <c r="V22" s="799"/>
      <c r="W22" s="799"/>
      <c r="X22" s="798">
        <v>1200000</v>
      </c>
      <c r="Y22" s="798">
        <v>320369.53000000003</v>
      </c>
      <c r="Z22" s="798">
        <v>350315.72</v>
      </c>
      <c r="AA22" s="798"/>
      <c r="AB22" s="720">
        <f t="shared" si="0"/>
        <v>-14.837896846352219</v>
      </c>
      <c r="AC22" s="798">
        <v>514094.08000000002</v>
      </c>
      <c r="AD22" s="798"/>
      <c r="AE22" s="798">
        <f t="shared" ref="AE22:AE25" si="4">+X22</f>
        <v>1200000</v>
      </c>
      <c r="AF22" s="798">
        <v>949146.43</v>
      </c>
      <c r="AG22" s="798"/>
      <c r="AH22" s="798"/>
      <c r="AI22" s="800">
        <f t="shared" ref="AI22:AI25" si="5">+AE22</f>
        <v>1200000</v>
      </c>
      <c r="AJ22" s="800">
        <v>1267387.6200000001</v>
      </c>
      <c r="AK22" s="800"/>
      <c r="AL22" s="800">
        <v>403588.1</v>
      </c>
      <c r="AM22" s="1127"/>
      <c r="AN22" s="1136"/>
      <c r="AO22" s="1127"/>
      <c r="AP22" s="1270"/>
      <c r="AQ22" s="1285"/>
      <c r="AR22" s="1255"/>
      <c r="AS22" s="1285"/>
      <c r="AT22" s="1127"/>
      <c r="AU22" s="801"/>
      <c r="AV22" s="1122"/>
    </row>
    <row r="23" spans="1:48" s="802" customFormat="1" ht="20.25" customHeight="1" x14ac:dyDescent="0.25">
      <c r="A23" s="793"/>
      <c r="B23" s="794" t="s">
        <v>181</v>
      </c>
      <c r="C23" s="795"/>
      <c r="D23" s="796">
        <v>0</v>
      </c>
      <c r="E23" s="796">
        <v>0</v>
      </c>
      <c r="F23" s="796">
        <v>0</v>
      </c>
      <c r="G23" s="796">
        <v>0</v>
      </c>
      <c r="H23" s="796">
        <v>0</v>
      </c>
      <c r="I23" s="796">
        <v>0</v>
      </c>
      <c r="J23" s="797">
        <v>5000000</v>
      </c>
      <c r="K23" s="798">
        <f>2109553.17+43435.44+220960.18</f>
        <v>2373948.79</v>
      </c>
      <c r="L23" s="747">
        <v>0</v>
      </c>
      <c r="M23" s="798"/>
      <c r="N23" s="798"/>
      <c r="O23" s="798"/>
      <c r="P23" s="798">
        <v>3500000</v>
      </c>
      <c r="Q23" s="798">
        <v>3582671.63</v>
      </c>
      <c r="R23" s="747">
        <f>+Q23/P23*100</f>
        <v>102.36204657142858</v>
      </c>
      <c r="S23" s="798">
        <v>2054002.7</v>
      </c>
      <c r="T23" s="799"/>
      <c r="U23" s="799"/>
      <c r="V23" s="799"/>
      <c r="W23" s="799"/>
      <c r="X23" s="798">
        <v>3000000</v>
      </c>
      <c r="Y23" s="798">
        <v>114984.9</v>
      </c>
      <c r="Z23" s="798">
        <v>2216544.2000000002</v>
      </c>
      <c r="AA23" s="798"/>
      <c r="AB23" s="720">
        <f t="shared" si="0"/>
        <v>-16.263606888248365</v>
      </c>
      <c r="AC23" s="798">
        <v>2816301.07</v>
      </c>
      <c r="AD23" s="798"/>
      <c r="AE23" s="798">
        <f t="shared" si="4"/>
        <v>3000000</v>
      </c>
      <c r="AF23" s="798">
        <v>2935112.47</v>
      </c>
      <c r="AG23" s="798"/>
      <c r="AH23" s="798"/>
      <c r="AI23" s="800">
        <f t="shared" si="5"/>
        <v>3000000</v>
      </c>
      <c r="AJ23" s="800">
        <v>3565991.7</v>
      </c>
      <c r="AK23" s="800"/>
      <c r="AL23" s="800">
        <v>296401.5</v>
      </c>
      <c r="AM23" s="1127"/>
      <c r="AN23" s="1136"/>
      <c r="AO23" s="1127"/>
      <c r="AP23" s="1270"/>
      <c r="AQ23" s="1285"/>
      <c r="AR23" s="1255"/>
      <c r="AS23" s="1285"/>
      <c r="AT23" s="1127"/>
      <c r="AU23" s="801"/>
      <c r="AV23" s="1122"/>
    </row>
    <row r="24" spans="1:48" s="802" customFormat="1" ht="20.25" customHeight="1" x14ac:dyDescent="0.25">
      <c r="A24" s="803"/>
      <c r="B24" s="794" t="s">
        <v>182</v>
      </c>
      <c r="C24" s="804"/>
      <c r="D24" s="796">
        <v>0</v>
      </c>
      <c r="E24" s="796">
        <v>0</v>
      </c>
      <c r="F24" s="796">
        <v>0</v>
      </c>
      <c r="G24" s="796">
        <v>0</v>
      </c>
      <c r="H24" s="796">
        <v>0</v>
      </c>
      <c r="I24" s="796">
        <v>0</v>
      </c>
      <c r="J24" s="797">
        <v>7500000</v>
      </c>
      <c r="K24" s="798">
        <f>7725545.35+947251.94+821984.49</f>
        <v>9494781.7799999993</v>
      </c>
      <c r="L24" s="798">
        <v>4204302.2300000004</v>
      </c>
      <c r="M24" s="798"/>
      <c r="N24" s="798"/>
      <c r="O24" s="798"/>
      <c r="P24" s="798">
        <v>21000000</v>
      </c>
      <c r="Q24" s="798">
        <v>21743663.469999999</v>
      </c>
      <c r="R24" s="747">
        <f>+Q24/P24*100</f>
        <v>103.54125461904762</v>
      </c>
      <c r="S24" s="798">
        <v>1543543.89</v>
      </c>
      <c r="T24" s="799"/>
      <c r="U24" s="799"/>
      <c r="V24" s="799"/>
      <c r="W24" s="799"/>
      <c r="X24" s="798">
        <v>10000000</v>
      </c>
      <c r="Y24" s="798">
        <v>1512560.54</v>
      </c>
      <c r="Z24" s="798">
        <v>2828866.25</v>
      </c>
      <c r="AA24" s="798"/>
      <c r="AB24" s="720">
        <f t="shared" si="0"/>
        <v>-54.009589902837106</v>
      </c>
      <c r="AC24" s="798">
        <v>6989634.3899999997</v>
      </c>
      <c r="AD24" s="798"/>
      <c r="AE24" s="798">
        <f t="shared" si="4"/>
        <v>10000000</v>
      </c>
      <c r="AF24" s="798">
        <v>9644812.1699999999</v>
      </c>
      <c r="AG24" s="798"/>
      <c r="AH24" s="798"/>
      <c r="AI24" s="800">
        <f t="shared" si="5"/>
        <v>10000000</v>
      </c>
      <c r="AJ24" s="800">
        <v>12572781.380000001</v>
      </c>
      <c r="AK24" s="800"/>
      <c r="AL24" s="800">
        <v>1291597.8999999999</v>
      </c>
      <c r="AM24" s="1127"/>
      <c r="AN24" s="1136"/>
      <c r="AO24" s="1127"/>
      <c r="AP24" s="1270"/>
      <c r="AQ24" s="1285"/>
      <c r="AR24" s="1255"/>
      <c r="AS24" s="1285"/>
      <c r="AT24" s="1127"/>
      <c r="AU24" s="801"/>
      <c r="AV24" s="1122"/>
    </row>
    <row r="25" spans="1:48" s="802" customFormat="1" x14ac:dyDescent="0.25">
      <c r="A25" s="803"/>
      <c r="B25" s="805" t="s">
        <v>183</v>
      </c>
      <c r="C25" s="804"/>
      <c r="D25" s="796">
        <v>0</v>
      </c>
      <c r="E25" s="796">
        <v>0</v>
      </c>
      <c r="F25" s="796">
        <v>0</v>
      </c>
      <c r="G25" s="796">
        <v>0</v>
      </c>
      <c r="H25" s="796">
        <v>0</v>
      </c>
      <c r="I25" s="796">
        <v>0</v>
      </c>
      <c r="J25" s="797">
        <v>6500000</v>
      </c>
      <c r="K25" s="798">
        <f>123175.85+731383.05+78508.1</f>
        <v>933067</v>
      </c>
      <c r="L25" s="798">
        <v>0</v>
      </c>
      <c r="M25" s="798"/>
      <c r="N25" s="798"/>
      <c r="O25" s="798"/>
      <c r="P25" s="798">
        <v>3000000</v>
      </c>
      <c r="Q25" s="798">
        <v>3174619.37</v>
      </c>
      <c r="R25" s="747">
        <f>+Q25/P25*100</f>
        <v>105.82064566666666</v>
      </c>
      <c r="S25" s="798"/>
      <c r="T25" s="799"/>
      <c r="U25" s="799"/>
      <c r="V25" s="799"/>
      <c r="W25" s="799"/>
      <c r="X25" s="798">
        <v>3000000</v>
      </c>
      <c r="Y25" s="798"/>
      <c r="Z25" s="798">
        <v>81700</v>
      </c>
      <c r="AA25" s="798"/>
      <c r="AB25" s="720">
        <f t="shared" si="0"/>
        <v>-5.5004820940155765</v>
      </c>
      <c r="AC25" s="798">
        <v>1227739.95</v>
      </c>
      <c r="AD25" s="798"/>
      <c r="AE25" s="798">
        <f t="shared" si="4"/>
        <v>3000000</v>
      </c>
      <c r="AF25" s="798">
        <v>1490526.45</v>
      </c>
      <c r="AG25" s="798"/>
      <c r="AH25" s="798"/>
      <c r="AI25" s="800">
        <f t="shared" si="5"/>
        <v>3000000</v>
      </c>
      <c r="AJ25" s="800">
        <v>1837449.05</v>
      </c>
      <c r="AK25" s="800"/>
      <c r="AL25" s="800"/>
      <c r="AM25" s="1127"/>
      <c r="AN25" s="1136"/>
      <c r="AO25" s="1127"/>
      <c r="AP25" s="1127"/>
      <c r="AQ25" s="1284"/>
      <c r="AR25" s="1127"/>
      <c r="AS25" s="1284"/>
      <c r="AT25" s="1127"/>
      <c r="AU25" s="801"/>
      <c r="AV25" s="1122"/>
    </row>
    <row r="26" spans="1:48" s="723" customFormat="1" ht="24.6" x14ac:dyDescent="0.25">
      <c r="A26" s="806"/>
      <c r="B26" s="807" t="s">
        <v>184</v>
      </c>
      <c r="C26" s="808" t="s">
        <v>176</v>
      </c>
      <c r="D26" s="788">
        <v>22969803.850000001</v>
      </c>
      <c r="E26" s="788">
        <v>16755707.59</v>
      </c>
      <c r="F26" s="788">
        <v>13522083.609999999</v>
      </c>
      <c r="G26" s="788">
        <v>15450000</v>
      </c>
      <c r="H26" s="788">
        <v>13341107.039999999</v>
      </c>
      <c r="I26" s="788">
        <v>3111578.16</v>
      </c>
      <c r="J26" s="787">
        <v>18000000</v>
      </c>
      <c r="K26" s="788">
        <f>SUM(K27:K30)</f>
        <v>20141604.240000002</v>
      </c>
      <c r="L26" s="788">
        <v>2941584.3</v>
      </c>
      <c r="M26" s="788"/>
      <c r="N26" s="788"/>
      <c r="O26" s="788"/>
      <c r="P26" s="788">
        <f>SUM(P27:P30)</f>
        <v>16044000</v>
      </c>
      <c r="Q26" s="788">
        <f>SUM(Q27:Q30)</f>
        <v>34859193.210000001</v>
      </c>
      <c r="R26" s="788"/>
      <c r="S26" s="789">
        <v>3023034.03</v>
      </c>
      <c r="T26" s="788"/>
      <c r="U26" s="788"/>
      <c r="V26" s="788"/>
      <c r="W26" s="788"/>
      <c r="X26" s="788">
        <f>SUM(X27:X30)</f>
        <v>19550000</v>
      </c>
      <c r="Y26" s="789">
        <v>2616734.2000000002</v>
      </c>
      <c r="Z26" s="788">
        <f>SUM(Z27:Z30)</f>
        <v>8121691.0499999998</v>
      </c>
      <c r="AA26" s="788"/>
      <c r="AB26" s="790">
        <f t="shared" si="0"/>
        <v>-43.917233304207045</v>
      </c>
      <c r="AC26" s="788">
        <f>SUM(AC27:AC30)</f>
        <v>13225585.469999999</v>
      </c>
      <c r="AD26" s="788"/>
      <c r="AE26" s="788"/>
      <c r="AF26" s="788">
        <f>SUM(AF27:AF30)</f>
        <v>18688712.619999997</v>
      </c>
      <c r="AG26" s="788"/>
      <c r="AH26" s="788">
        <v>1837911.2</v>
      </c>
      <c r="AI26" s="791"/>
      <c r="AJ26" s="791">
        <f>SUM(AJ27:AJ30)</f>
        <v>27275584.659999996</v>
      </c>
      <c r="AK26" s="791"/>
      <c r="AL26" s="791">
        <v>2271761.98</v>
      </c>
      <c r="AM26" s="791"/>
      <c r="AN26" s="791"/>
      <c r="AO26" s="791"/>
      <c r="AP26" s="1293"/>
      <c r="AQ26" s="1286"/>
      <c r="AR26" s="1283"/>
      <c r="AS26" s="1286"/>
      <c r="AT26" s="1286"/>
      <c r="AU26" s="792"/>
      <c r="AV26" s="791"/>
    </row>
    <row r="27" spans="1:48" s="723" customFormat="1" x14ac:dyDescent="0.25">
      <c r="A27" s="809"/>
      <c r="B27" s="780" t="s">
        <v>185</v>
      </c>
      <c r="C27" s="746"/>
      <c r="D27" s="747">
        <v>0</v>
      </c>
      <c r="E27" s="747">
        <v>0</v>
      </c>
      <c r="F27" s="747">
        <v>0</v>
      </c>
      <c r="G27" s="747">
        <v>0</v>
      </c>
      <c r="H27" s="760">
        <v>0</v>
      </c>
      <c r="I27" s="760">
        <v>0</v>
      </c>
      <c r="J27" s="810">
        <v>1000000</v>
      </c>
      <c r="K27" s="811">
        <f>1584367.77+133641+119276</f>
        <v>1837284.77</v>
      </c>
      <c r="L27" s="812">
        <v>0</v>
      </c>
      <c r="M27" s="811"/>
      <c r="N27" s="811"/>
      <c r="O27" s="811"/>
      <c r="P27" s="811">
        <v>700000</v>
      </c>
      <c r="Q27" s="811">
        <v>1222176.48</v>
      </c>
      <c r="R27" s="747">
        <f t="shared" ref="R27:R44" si="6">+Q27/P27*100</f>
        <v>174.59663999999998</v>
      </c>
      <c r="S27" s="813">
        <v>0</v>
      </c>
      <c r="T27" s="814"/>
      <c r="U27" s="814"/>
      <c r="V27" s="814"/>
      <c r="W27" s="814"/>
      <c r="X27" s="811">
        <v>700000</v>
      </c>
      <c r="Y27" s="811"/>
      <c r="Z27" s="811">
        <v>490076.51</v>
      </c>
      <c r="AA27" s="811"/>
      <c r="AB27" s="720">
        <f t="shared" si="0"/>
        <v>-42.725129189198604</v>
      </c>
      <c r="AC27" s="811">
        <v>590311.68999999994</v>
      </c>
      <c r="AD27" s="811"/>
      <c r="AE27" s="811">
        <f>+X27</f>
        <v>700000</v>
      </c>
      <c r="AF27" s="811">
        <v>840348.34</v>
      </c>
      <c r="AG27" s="811"/>
      <c r="AH27" s="811"/>
      <c r="AI27" s="815">
        <f>+AE27</f>
        <v>700000</v>
      </c>
      <c r="AJ27" s="815">
        <v>1080036.8500000001</v>
      </c>
      <c r="AK27" s="815"/>
      <c r="AL27" s="815"/>
      <c r="AM27" s="1128"/>
      <c r="AN27" s="1214"/>
      <c r="AO27" s="1128"/>
      <c r="AP27" s="1128"/>
      <c r="AQ27" s="1128"/>
      <c r="AR27" s="1128"/>
      <c r="AS27" s="1391"/>
      <c r="AT27" s="1128"/>
      <c r="AU27" s="782"/>
      <c r="AV27" s="1121"/>
    </row>
    <row r="28" spans="1:48" s="723" customFormat="1" x14ac:dyDescent="0.25">
      <c r="A28" s="809"/>
      <c r="B28" s="816" t="s">
        <v>536</v>
      </c>
      <c r="C28" s="746"/>
      <c r="D28" s="747">
        <v>0</v>
      </c>
      <c r="E28" s="747">
        <v>0</v>
      </c>
      <c r="F28" s="747">
        <v>0</v>
      </c>
      <c r="G28" s="747">
        <v>0</v>
      </c>
      <c r="H28" s="760">
        <v>0</v>
      </c>
      <c r="I28" s="760">
        <v>0</v>
      </c>
      <c r="J28" s="748">
        <v>11000000</v>
      </c>
      <c r="K28" s="747">
        <f>4222419.23+796875+1579346</f>
        <v>6598640.2300000004</v>
      </c>
      <c r="L28" s="760">
        <v>0</v>
      </c>
      <c r="M28" s="747"/>
      <c r="N28" s="747"/>
      <c r="O28" s="747"/>
      <c r="P28" s="747">
        <v>6844000</v>
      </c>
      <c r="Q28" s="747">
        <v>13031869.74</v>
      </c>
      <c r="R28" s="747">
        <f t="shared" si="6"/>
        <v>190.41305873758037</v>
      </c>
      <c r="S28" s="813">
        <v>0</v>
      </c>
      <c r="T28" s="751"/>
      <c r="U28" s="751"/>
      <c r="V28" s="751"/>
      <c r="W28" s="751"/>
      <c r="X28" s="735">
        <v>15000000</v>
      </c>
      <c r="Y28" s="747"/>
      <c r="Z28" s="747">
        <v>4507104.54</v>
      </c>
      <c r="AA28" s="747"/>
      <c r="AB28" s="720">
        <f t="shared" si="0"/>
        <v>15.102439628897024</v>
      </c>
      <c r="AC28" s="747">
        <v>7227963.54</v>
      </c>
      <c r="AD28" s="747"/>
      <c r="AE28" s="811">
        <f t="shared" ref="AE28:AE39" si="7">+X28</f>
        <v>15000000</v>
      </c>
      <c r="AF28" s="811">
        <v>10078549.539999999</v>
      </c>
      <c r="AG28" s="811"/>
      <c r="AH28" s="811"/>
      <c r="AI28" s="815">
        <f t="shared" ref="AI28:AI77" si="8">+AE28</f>
        <v>15000000</v>
      </c>
      <c r="AJ28" s="815">
        <v>13545718.539999999</v>
      </c>
      <c r="AK28" s="815"/>
      <c r="AL28" s="815"/>
      <c r="AM28" s="1128"/>
      <c r="AN28" s="1214"/>
      <c r="AO28" s="1128"/>
      <c r="AP28" s="1128"/>
      <c r="AQ28" s="1128"/>
      <c r="AR28" s="1128"/>
      <c r="AS28" s="1391"/>
      <c r="AT28" s="1128"/>
      <c r="AU28" s="782"/>
      <c r="AV28" s="1121"/>
    </row>
    <row r="29" spans="1:48" s="723" customFormat="1" x14ac:dyDescent="0.25">
      <c r="A29" s="809"/>
      <c r="B29" s="780" t="s">
        <v>186</v>
      </c>
      <c r="C29" s="746"/>
      <c r="D29" s="747">
        <v>0</v>
      </c>
      <c r="E29" s="747">
        <v>0</v>
      </c>
      <c r="F29" s="747">
        <v>0</v>
      </c>
      <c r="G29" s="747">
        <v>0</v>
      </c>
      <c r="H29" s="760">
        <v>0</v>
      </c>
      <c r="I29" s="760">
        <v>0</v>
      </c>
      <c r="J29" s="748">
        <v>2000000</v>
      </c>
      <c r="K29" s="747">
        <f>2154789.9+96305+126904</f>
        <v>2377998.9</v>
      </c>
      <c r="L29" s="760">
        <v>0</v>
      </c>
      <c r="M29" s="747"/>
      <c r="N29" s="747"/>
      <c r="O29" s="747"/>
      <c r="P29" s="747">
        <v>2500000</v>
      </c>
      <c r="Q29" s="747">
        <v>1374610.06</v>
      </c>
      <c r="R29" s="747">
        <f t="shared" si="6"/>
        <v>54.9844024</v>
      </c>
      <c r="S29" s="813">
        <v>0</v>
      </c>
      <c r="T29" s="751"/>
      <c r="U29" s="751"/>
      <c r="V29" s="751"/>
      <c r="W29" s="751"/>
      <c r="X29" s="747">
        <v>2500000</v>
      </c>
      <c r="Y29" s="747"/>
      <c r="Z29" s="747">
        <v>439352.45</v>
      </c>
      <c r="AA29" s="747"/>
      <c r="AB29" s="720">
        <f t="shared" si="0"/>
        <v>81.869758759076731</v>
      </c>
      <c r="AC29" s="747">
        <v>615554.69999999995</v>
      </c>
      <c r="AD29" s="747"/>
      <c r="AE29" s="811">
        <f t="shared" si="7"/>
        <v>2500000</v>
      </c>
      <c r="AF29" s="811">
        <v>1209939.7</v>
      </c>
      <c r="AG29" s="811"/>
      <c r="AH29" s="811"/>
      <c r="AI29" s="815">
        <f t="shared" si="8"/>
        <v>2500000</v>
      </c>
      <c r="AJ29" s="815">
        <v>1317046.7</v>
      </c>
      <c r="AK29" s="815"/>
      <c r="AL29" s="815"/>
      <c r="AM29" s="1128"/>
      <c r="AN29" s="1214"/>
      <c r="AO29" s="1128"/>
      <c r="AP29" s="1128"/>
      <c r="AQ29" s="1128"/>
      <c r="AR29" s="1128"/>
      <c r="AS29" s="1391"/>
      <c r="AT29" s="1128"/>
      <c r="AU29" s="782"/>
      <c r="AV29" s="1121"/>
    </row>
    <row r="30" spans="1:48" s="723" customFormat="1" x14ac:dyDescent="0.25">
      <c r="A30" s="809"/>
      <c r="B30" s="780" t="s">
        <v>576</v>
      </c>
      <c r="C30" s="746"/>
      <c r="D30" s="747">
        <v>0</v>
      </c>
      <c r="E30" s="747">
        <v>0</v>
      </c>
      <c r="F30" s="747">
        <v>0</v>
      </c>
      <c r="G30" s="747">
        <v>0</v>
      </c>
      <c r="H30" s="760">
        <v>0</v>
      </c>
      <c r="I30" s="760">
        <v>0</v>
      </c>
      <c r="J30" s="748">
        <v>3000000</v>
      </c>
      <c r="K30" s="747">
        <f>7753459.52+1125328.32+448892.5</f>
        <v>9327680.3399999999</v>
      </c>
      <c r="L30" s="760">
        <v>0</v>
      </c>
      <c r="M30" s="747"/>
      <c r="N30" s="747"/>
      <c r="O30" s="747"/>
      <c r="P30" s="747">
        <v>6000000</v>
      </c>
      <c r="Q30" s="818">
        <v>19230536.93</v>
      </c>
      <c r="R30" s="747">
        <f t="shared" si="6"/>
        <v>320.50894883333336</v>
      </c>
      <c r="S30" s="813">
        <v>0</v>
      </c>
      <c r="T30" s="751"/>
      <c r="U30" s="751"/>
      <c r="V30" s="751"/>
      <c r="W30" s="751"/>
      <c r="X30" s="747">
        <v>1350000</v>
      </c>
      <c r="Y30" s="747"/>
      <c r="Z30" s="747">
        <v>2685157.55</v>
      </c>
      <c r="AA30" s="747"/>
      <c r="AB30" s="894">
        <f t="shared" si="0"/>
        <v>-92.979915199902834</v>
      </c>
      <c r="AC30" s="747">
        <v>4791755.54</v>
      </c>
      <c r="AD30" s="747"/>
      <c r="AE30" s="811">
        <f t="shared" si="7"/>
        <v>1350000</v>
      </c>
      <c r="AF30" s="811">
        <v>6559875.04</v>
      </c>
      <c r="AG30" s="811"/>
      <c r="AH30" s="811"/>
      <c r="AI30" s="811">
        <f t="shared" si="8"/>
        <v>1350000</v>
      </c>
      <c r="AJ30" s="811">
        <v>11332782.57</v>
      </c>
      <c r="AK30" s="811"/>
      <c r="AL30" s="811"/>
      <c r="AM30" s="859"/>
      <c r="AN30" s="833"/>
      <c r="AO30" s="859"/>
      <c r="AP30" s="859"/>
      <c r="AQ30" s="1128"/>
      <c r="AR30" s="1128"/>
      <c r="AS30" s="1391"/>
      <c r="AT30" s="859"/>
      <c r="AU30" s="782"/>
      <c r="AV30" s="1123"/>
    </row>
    <row r="31" spans="1:48" s="723" customFormat="1" ht="24" customHeight="1" x14ac:dyDescent="0.25">
      <c r="A31" s="809"/>
      <c r="B31" s="780" t="s">
        <v>187</v>
      </c>
      <c r="C31" s="781" t="s">
        <v>188</v>
      </c>
      <c r="D31" s="747">
        <v>5889128.96</v>
      </c>
      <c r="E31" s="747">
        <v>5465724.7699999996</v>
      </c>
      <c r="F31" s="747">
        <v>13956014.68</v>
      </c>
      <c r="G31" s="747">
        <v>4500000</v>
      </c>
      <c r="H31" s="747">
        <f>1732840.98+132400</f>
        <v>1865240.98</v>
      </c>
      <c r="I31" s="760">
        <v>0</v>
      </c>
      <c r="J31" s="748">
        <v>5000000</v>
      </c>
      <c r="K31" s="747">
        <f>3393075.1+59592</f>
        <v>3452667.1</v>
      </c>
      <c r="L31" s="760">
        <v>0</v>
      </c>
      <c r="M31" s="747"/>
      <c r="N31" s="747"/>
      <c r="O31" s="747"/>
      <c r="P31" s="747">
        <v>5000000</v>
      </c>
      <c r="Q31" s="747">
        <f>7365987.08+24000</f>
        <v>7389987.0800000001</v>
      </c>
      <c r="R31" s="747">
        <f t="shared" si="6"/>
        <v>147.7997416</v>
      </c>
      <c r="S31" s="813">
        <v>0</v>
      </c>
      <c r="T31" s="751"/>
      <c r="U31" s="751"/>
      <c r="V31" s="751"/>
      <c r="W31" s="751"/>
      <c r="X31" s="747">
        <v>5000000</v>
      </c>
      <c r="Y31" s="747"/>
      <c r="Z31" s="747">
        <v>3831219</v>
      </c>
      <c r="AA31" s="747"/>
      <c r="AB31" s="902">
        <f t="shared" si="0"/>
        <v>-32.340883064169041</v>
      </c>
      <c r="AC31" s="747">
        <v>5446485.6200000001</v>
      </c>
      <c r="AD31" s="747"/>
      <c r="AE31" s="811">
        <f t="shared" si="7"/>
        <v>5000000</v>
      </c>
      <c r="AF31" s="811">
        <v>6255992.6299999999</v>
      </c>
      <c r="AG31" s="811"/>
      <c r="AH31" s="811"/>
      <c r="AI31" s="811">
        <f t="shared" si="8"/>
        <v>5000000</v>
      </c>
      <c r="AJ31" s="811">
        <v>8156027.4299999997</v>
      </c>
      <c r="AK31" s="811"/>
      <c r="AL31" s="811"/>
      <c r="AM31" s="859"/>
      <c r="AN31" s="859"/>
      <c r="AO31" s="859"/>
      <c r="AP31" s="859"/>
      <c r="AQ31" s="1128"/>
      <c r="AR31" s="1128"/>
      <c r="AS31" s="1391"/>
      <c r="AT31" s="1128"/>
      <c r="AU31" s="782"/>
      <c r="AV31" s="1124"/>
    </row>
    <row r="32" spans="1:48" s="723" customFormat="1" ht="24" customHeight="1" x14ac:dyDescent="0.25">
      <c r="A32" s="809"/>
      <c r="B32" s="780" t="s">
        <v>189</v>
      </c>
      <c r="C32" s="746" t="s">
        <v>190</v>
      </c>
      <c r="D32" s="747">
        <v>6253665.25</v>
      </c>
      <c r="E32" s="747">
        <v>3543262.04</v>
      </c>
      <c r="F32" s="747">
        <v>2016754.17</v>
      </c>
      <c r="G32" s="747">
        <v>5000000</v>
      </c>
      <c r="H32" s="747">
        <f>1341108.9+1700788</f>
        <v>3041896.9</v>
      </c>
      <c r="I32" s="760">
        <v>0</v>
      </c>
      <c r="J32" s="1586">
        <v>5000000</v>
      </c>
      <c r="K32" s="747">
        <f>2565341.51+2880550</f>
        <v>5445891.5099999998</v>
      </c>
      <c r="L32" s="760">
        <v>0</v>
      </c>
      <c r="M32" s="747"/>
      <c r="N32" s="747"/>
      <c r="O32" s="747"/>
      <c r="P32" s="818">
        <v>5000000</v>
      </c>
      <c r="Q32" s="818">
        <f>4111517.56+3721670</f>
        <v>7833187.5600000005</v>
      </c>
      <c r="R32" s="747">
        <f t="shared" si="6"/>
        <v>156.66375120000001</v>
      </c>
      <c r="S32" s="813">
        <v>0</v>
      </c>
      <c r="T32" s="819"/>
      <c r="U32" s="819"/>
      <c r="V32" s="819"/>
      <c r="W32" s="819"/>
      <c r="X32" s="747">
        <v>5000000</v>
      </c>
      <c r="Y32" s="818"/>
      <c r="Z32" s="747">
        <v>1453545</v>
      </c>
      <c r="AA32" s="747"/>
      <c r="AB32" s="894">
        <f t="shared" si="0"/>
        <v>-36.169024912254244</v>
      </c>
      <c r="AC32" s="747">
        <v>3466626</v>
      </c>
      <c r="AD32" s="747"/>
      <c r="AE32" s="811">
        <f t="shared" si="7"/>
        <v>5000000</v>
      </c>
      <c r="AF32" s="811">
        <v>5003709.5</v>
      </c>
      <c r="AG32" s="811"/>
      <c r="AH32" s="811"/>
      <c r="AI32" s="811">
        <f t="shared" si="8"/>
        <v>5000000</v>
      </c>
      <c r="AJ32" s="811">
        <v>7179964.5</v>
      </c>
      <c r="AK32" s="811"/>
      <c r="AL32" s="811"/>
      <c r="AM32" s="859"/>
      <c r="AN32" s="859"/>
      <c r="AO32" s="859"/>
      <c r="AP32" s="859"/>
      <c r="AQ32" s="1128"/>
      <c r="AR32" s="1128"/>
      <c r="AS32" s="1391"/>
      <c r="AT32" s="1128"/>
      <c r="AU32" s="782"/>
      <c r="AV32" s="1125"/>
    </row>
    <row r="33" spans="1:48" s="723" customFormat="1" ht="24" customHeight="1" x14ac:dyDescent="0.25">
      <c r="A33" s="809"/>
      <c r="B33" s="780" t="s">
        <v>191</v>
      </c>
      <c r="C33" s="781" t="s">
        <v>176</v>
      </c>
      <c r="D33" s="747">
        <v>4484263.3600000003</v>
      </c>
      <c r="E33" s="747">
        <v>2090256.76</v>
      </c>
      <c r="F33" s="747">
        <v>1333386.4099999999</v>
      </c>
      <c r="G33" s="747">
        <v>0</v>
      </c>
      <c r="H33" s="747">
        <f>691574+1416089.28</f>
        <v>2107663.2800000003</v>
      </c>
      <c r="I33" s="760">
        <v>0</v>
      </c>
      <c r="J33" s="1586"/>
      <c r="K33" s="747">
        <f>1508694.98+2397260.83</f>
        <v>3905955.81</v>
      </c>
      <c r="L33" s="760">
        <v>0</v>
      </c>
      <c r="M33" s="747"/>
      <c r="N33" s="747"/>
      <c r="O33" s="747"/>
      <c r="P33" s="818">
        <v>4000000</v>
      </c>
      <c r="Q33" s="818">
        <f>1665614+3043021</f>
        <v>4708635</v>
      </c>
      <c r="R33" s="747">
        <f t="shared" si="6"/>
        <v>117.715875</v>
      </c>
      <c r="S33" s="813">
        <v>0</v>
      </c>
      <c r="T33" s="819"/>
      <c r="U33" s="819"/>
      <c r="V33" s="819"/>
      <c r="W33" s="819"/>
      <c r="X33" s="747">
        <v>4000000</v>
      </c>
      <c r="Y33" s="818"/>
      <c r="Z33" s="747">
        <v>1711204</v>
      </c>
      <c r="AA33" s="747"/>
      <c r="AB33" s="835">
        <f t="shared" si="0"/>
        <v>-15.049690621592033</v>
      </c>
      <c r="AC33" s="747">
        <v>2678115</v>
      </c>
      <c r="AD33" s="747"/>
      <c r="AE33" s="811">
        <f t="shared" si="7"/>
        <v>4000000</v>
      </c>
      <c r="AF33" s="811">
        <v>3593371</v>
      </c>
      <c r="AG33" s="811"/>
      <c r="AH33" s="811"/>
      <c r="AI33" s="811">
        <f t="shared" si="8"/>
        <v>4000000</v>
      </c>
      <c r="AJ33" s="811">
        <v>5016789</v>
      </c>
      <c r="AK33" s="811"/>
      <c r="AL33" s="811"/>
      <c r="AM33" s="859"/>
      <c r="AN33" s="859"/>
      <c r="AO33" s="859"/>
      <c r="AP33" s="859"/>
      <c r="AQ33" s="1128"/>
      <c r="AR33" s="1128"/>
      <c r="AS33" s="1391"/>
      <c r="AT33" s="1128"/>
      <c r="AU33" s="782"/>
      <c r="AV33" s="1125"/>
    </row>
    <row r="34" spans="1:48" s="827" customFormat="1" ht="24" customHeight="1" x14ac:dyDescent="0.25">
      <c r="A34" s="809"/>
      <c r="B34" s="780" t="s">
        <v>414</v>
      </c>
      <c r="C34" s="746" t="s">
        <v>176</v>
      </c>
      <c r="D34" s="747">
        <v>30320</v>
      </c>
      <c r="E34" s="747">
        <v>0</v>
      </c>
      <c r="F34" s="747">
        <v>366663</v>
      </c>
      <c r="G34" s="747">
        <v>200000</v>
      </c>
      <c r="H34" s="747">
        <v>286665</v>
      </c>
      <c r="I34" s="760">
        <v>0</v>
      </c>
      <c r="J34" s="748">
        <v>400000</v>
      </c>
      <c r="K34" s="747">
        <v>321672</v>
      </c>
      <c r="L34" s="760">
        <v>0</v>
      </c>
      <c r="M34" s="747"/>
      <c r="N34" s="747"/>
      <c r="O34" s="747"/>
      <c r="P34" s="747">
        <v>300000</v>
      </c>
      <c r="Q34" s="747">
        <v>455000</v>
      </c>
      <c r="R34" s="747">
        <f t="shared" si="6"/>
        <v>151.66666666666666</v>
      </c>
      <c r="S34" s="813">
        <v>0</v>
      </c>
      <c r="T34" s="751"/>
      <c r="U34" s="751"/>
      <c r="V34" s="751"/>
      <c r="W34" s="751"/>
      <c r="X34" s="747">
        <v>390000</v>
      </c>
      <c r="Y34" s="747"/>
      <c r="Z34" s="747">
        <v>65000</v>
      </c>
      <c r="AA34" s="747"/>
      <c r="AB34" s="835">
        <f t="shared" si="0"/>
        <v>-14.285714285714285</v>
      </c>
      <c r="AC34" s="747">
        <v>97500</v>
      </c>
      <c r="AD34" s="747"/>
      <c r="AE34" s="811">
        <f t="shared" si="7"/>
        <v>390000</v>
      </c>
      <c r="AF34" s="811">
        <v>130000</v>
      </c>
      <c r="AG34" s="811"/>
      <c r="AH34" s="811"/>
      <c r="AI34" s="811">
        <f t="shared" si="8"/>
        <v>390000</v>
      </c>
      <c r="AJ34" s="811">
        <v>281940</v>
      </c>
      <c r="AK34" s="811"/>
      <c r="AL34" s="811"/>
      <c r="AM34" s="859"/>
      <c r="AN34" s="859"/>
      <c r="AO34" s="859"/>
      <c r="AP34" s="859"/>
      <c r="AQ34" s="859"/>
      <c r="AR34" s="859"/>
      <c r="AS34" s="1392"/>
      <c r="AT34" s="1259"/>
      <c r="AU34" s="782"/>
      <c r="AV34" s="1125"/>
    </row>
    <row r="35" spans="1:48" s="830" customFormat="1" ht="24" customHeight="1" x14ac:dyDescent="0.25">
      <c r="A35" s="803"/>
      <c r="B35" s="794" t="s">
        <v>540</v>
      </c>
      <c r="C35" s="828" t="s">
        <v>176</v>
      </c>
      <c r="D35" s="798">
        <v>4954264</v>
      </c>
      <c r="E35" s="798">
        <v>3059112.85</v>
      </c>
      <c r="F35" s="798">
        <v>12777582.48</v>
      </c>
      <c r="G35" s="798">
        <v>4500000</v>
      </c>
      <c r="H35" s="798">
        <f>277015+2086720</f>
        <v>2363735</v>
      </c>
      <c r="I35" s="798">
        <v>504675</v>
      </c>
      <c r="J35" s="797">
        <v>3800000</v>
      </c>
      <c r="K35" s="798">
        <f>1210750+3127057.75</f>
        <v>4337807.75</v>
      </c>
      <c r="L35" s="760">
        <v>0</v>
      </c>
      <c r="M35" s="798"/>
      <c r="N35" s="798"/>
      <c r="O35" s="798"/>
      <c r="P35" s="798">
        <v>4500000</v>
      </c>
      <c r="Q35" s="798">
        <f>386885+4959402.4</f>
        <v>5346287.4000000004</v>
      </c>
      <c r="R35" s="798">
        <f t="shared" si="6"/>
        <v>118.80638666666667</v>
      </c>
      <c r="S35" s="813">
        <v>0</v>
      </c>
      <c r="T35" s="799"/>
      <c r="U35" s="799"/>
      <c r="V35" s="799"/>
      <c r="W35" s="799"/>
      <c r="X35" s="798">
        <v>5000000</v>
      </c>
      <c r="Y35" s="798"/>
      <c r="Z35" s="798">
        <v>2851989.56</v>
      </c>
      <c r="AA35" s="798"/>
      <c r="AB35" s="835">
        <f t="shared" si="0"/>
        <v>-6.4771564656251055</v>
      </c>
      <c r="AC35" s="798">
        <f>211855+3511889.56</f>
        <v>3723744.56</v>
      </c>
      <c r="AD35" s="798"/>
      <c r="AE35" s="811">
        <f t="shared" si="7"/>
        <v>5000000</v>
      </c>
      <c r="AF35" s="811">
        <v>5395404.0999999996</v>
      </c>
      <c r="AG35" s="811"/>
      <c r="AH35" s="811"/>
      <c r="AI35" s="811">
        <f t="shared" si="8"/>
        <v>5000000</v>
      </c>
      <c r="AJ35" s="811">
        <v>7197989.0999999996</v>
      </c>
      <c r="AK35" s="811"/>
      <c r="AL35" s="811"/>
      <c r="AM35" s="856"/>
      <c r="AN35" s="856"/>
      <c r="AO35" s="856"/>
      <c r="AP35" s="856"/>
      <c r="AQ35" s="856"/>
      <c r="AR35" s="856"/>
      <c r="AS35" s="1393"/>
      <c r="AT35" s="1131"/>
      <c r="AU35" s="801"/>
      <c r="AV35" s="1122"/>
    </row>
    <row r="36" spans="1:48" s="830" customFormat="1" ht="24" customHeight="1" x14ac:dyDescent="0.25">
      <c r="A36" s="803"/>
      <c r="B36" s="794" t="s">
        <v>541</v>
      </c>
      <c r="C36" s="828" t="s">
        <v>176</v>
      </c>
      <c r="D36" s="798">
        <v>4900365</v>
      </c>
      <c r="E36" s="798">
        <v>5619625</v>
      </c>
      <c r="F36" s="798">
        <v>6636524</v>
      </c>
      <c r="G36" s="1587">
        <v>8000000</v>
      </c>
      <c r="H36" s="798">
        <v>8849600</v>
      </c>
      <c r="I36" s="831">
        <v>0</v>
      </c>
      <c r="J36" s="832">
        <v>6800000</v>
      </c>
      <c r="K36" s="798">
        <v>10042250</v>
      </c>
      <c r="L36" s="798">
        <v>1921540</v>
      </c>
      <c r="M36" s="798"/>
      <c r="N36" s="798"/>
      <c r="O36" s="798"/>
      <c r="P36" s="833">
        <v>11000000</v>
      </c>
      <c r="Q36" s="833">
        <v>11773017</v>
      </c>
      <c r="R36" s="798">
        <f t="shared" si="6"/>
        <v>107.02742727272727</v>
      </c>
      <c r="S36" s="813">
        <v>0</v>
      </c>
      <c r="T36" s="834"/>
      <c r="U36" s="834"/>
      <c r="V36" s="834"/>
      <c r="W36" s="834"/>
      <c r="X36" s="798">
        <v>11600000</v>
      </c>
      <c r="Y36" s="833"/>
      <c r="Z36" s="798">
        <v>2307630</v>
      </c>
      <c r="AA36" s="798"/>
      <c r="AB36" s="835">
        <f t="shared" si="0"/>
        <v>-1.4696063039745886</v>
      </c>
      <c r="AC36" s="798">
        <v>3399085</v>
      </c>
      <c r="AD36" s="798"/>
      <c r="AE36" s="811">
        <f t="shared" si="7"/>
        <v>11600000</v>
      </c>
      <c r="AF36" s="811">
        <v>9241622</v>
      </c>
      <c r="AG36" s="811"/>
      <c r="AH36" s="811"/>
      <c r="AI36" s="811">
        <f t="shared" si="8"/>
        <v>11600000</v>
      </c>
      <c r="AJ36" s="811">
        <v>11550934</v>
      </c>
      <c r="AK36" s="811"/>
      <c r="AL36" s="811"/>
      <c r="AM36" s="856"/>
      <c r="AN36" s="856"/>
      <c r="AO36" s="856"/>
      <c r="AP36" s="856"/>
      <c r="AQ36" s="1127"/>
      <c r="AR36" s="1127"/>
      <c r="AS36" s="1284"/>
      <c r="AT36" s="1127"/>
      <c r="AU36" s="801"/>
      <c r="AV36" s="1126"/>
    </row>
    <row r="37" spans="1:48" s="830" customFormat="1" ht="24" customHeight="1" x14ac:dyDescent="0.25">
      <c r="A37" s="803"/>
      <c r="B37" s="794" t="s">
        <v>542</v>
      </c>
      <c r="C37" s="828" t="s">
        <v>176</v>
      </c>
      <c r="D37" s="798">
        <v>0</v>
      </c>
      <c r="E37" s="798">
        <v>0</v>
      </c>
      <c r="F37" s="798">
        <v>564845.6</v>
      </c>
      <c r="G37" s="1587"/>
      <c r="H37" s="798">
        <v>688270</v>
      </c>
      <c r="I37" s="831">
        <v>0</v>
      </c>
      <c r="J37" s="832">
        <v>400000</v>
      </c>
      <c r="K37" s="798">
        <v>335675</v>
      </c>
      <c r="L37" s="831">
        <v>0</v>
      </c>
      <c r="M37" s="798"/>
      <c r="N37" s="798"/>
      <c r="O37" s="798"/>
      <c r="P37" s="833">
        <v>400000</v>
      </c>
      <c r="Q37" s="833">
        <v>473400</v>
      </c>
      <c r="R37" s="798">
        <f t="shared" si="6"/>
        <v>118.35</v>
      </c>
      <c r="S37" s="813">
        <v>0</v>
      </c>
      <c r="T37" s="834"/>
      <c r="U37" s="834"/>
      <c r="V37" s="834"/>
      <c r="W37" s="834"/>
      <c r="X37" s="798">
        <v>400000</v>
      </c>
      <c r="Y37" s="833"/>
      <c r="Z37" s="798">
        <v>75200</v>
      </c>
      <c r="AA37" s="798"/>
      <c r="AB37" s="835">
        <f t="shared" ref="AB37:AB65" si="9">+(X37-Q37)/Q37*100</f>
        <v>-15.504858470637938</v>
      </c>
      <c r="AC37" s="798">
        <v>175100</v>
      </c>
      <c r="AD37" s="798"/>
      <c r="AE37" s="811">
        <f t="shared" si="7"/>
        <v>400000</v>
      </c>
      <c r="AF37" s="811">
        <v>229000</v>
      </c>
      <c r="AG37" s="811"/>
      <c r="AH37" s="811"/>
      <c r="AI37" s="811">
        <f t="shared" si="8"/>
        <v>400000</v>
      </c>
      <c r="AJ37" s="811">
        <v>245100</v>
      </c>
      <c r="AK37" s="811"/>
      <c r="AL37" s="811"/>
      <c r="AM37" s="856"/>
      <c r="AN37" s="856"/>
      <c r="AO37" s="856"/>
      <c r="AP37" s="856"/>
      <c r="AQ37" s="1127"/>
      <c r="AR37" s="1127"/>
      <c r="AS37" s="1284"/>
      <c r="AT37" s="1127"/>
      <c r="AU37" s="801"/>
      <c r="AV37" s="1126"/>
    </row>
    <row r="38" spans="1:48" s="837" customFormat="1" ht="24" customHeight="1" x14ac:dyDescent="0.25">
      <c r="A38" s="809"/>
      <c r="B38" s="780" t="s">
        <v>192</v>
      </c>
      <c r="C38" s="746" t="s">
        <v>176</v>
      </c>
      <c r="D38" s="747">
        <v>2415550</v>
      </c>
      <c r="E38" s="747">
        <v>1345950</v>
      </c>
      <c r="F38" s="747">
        <v>1649340</v>
      </c>
      <c r="G38" s="747">
        <v>2150000</v>
      </c>
      <c r="H38" s="747">
        <v>1346500</v>
      </c>
      <c r="I38" s="831">
        <v>0</v>
      </c>
      <c r="J38" s="748">
        <v>2100000</v>
      </c>
      <c r="K38" s="747">
        <v>2143900</v>
      </c>
      <c r="L38" s="760">
        <v>0</v>
      </c>
      <c r="M38" s="747"/>
      <c r="N38" s="747"/>
      <c r="O38" s="747"/>
      <c r="P38" s="747">
        <v>1500000</v>
      </c>
      <c r="Q38" s="747">
        <v>1234705</v>
      </c>
      <c r="R38" s="747">
        <f t="shared" si="6"/>
        <v>82.313666666666663</v>
      </c>
      <c r="S38" s="813">
        <v>0</v>
      </c>
      <c r="T38" s="751"/>
      <c r="U38" s="751"/>
      <c r="V38" s="751"/>
      <c r="W38" s="751"/>
      <c r="X38" s="747">
        <v>1500000</v>
      </c>
      <c r="Y38" s="747"/>
      <c r="Z38" s="757">
        <v>0</v>
      </c>
      <c r="AA38" s="747"/>
      <c r="AB38" s="835">
        <f t="shared" si="9"/>
        <v>21.486508923184079</v>
      </c>
      <c r="AC38" s="757">
        <v>760330</v>
      </c>
      <c r="AD38" s="747"/>
      <c r="AE38" s="811">
        <f t="shared" si="7"/>
        <v>1500000</v>
      </c>
      <c r="AF38" s="811">
        <v>760330</v>
      </c>
      <c r="AG38" s="811"/>
      <c r="AH38" s="811"/>
      <c r="AI38" s="811">
        <f t="shared" si="8"/>
        <v>1500000</v>
      </c>
      <c r="AJ38" s="811">
        <v>1460575</v>
      </c>
      <c r="AK38" s="811"/>
      <c r="AL38" s="811"/>
      <c r="AM38" s="859"/>
      <c r="AN38" s="859"/>
      <c r="AO38" s="859"/>
      <c r="AP38" s="859"/>
      <c r="AQ38" s="1128"/>
      <c r="AR38" s="1128"/>
      <c r="AS38" s="1391"/>
      <c r="AT38" s="1128"/>
      <c r="AU38" s="782"/>
      <c r="AV38" s="1125"/>
    </row>
    <row r="39" spans="1:48" s="839" customFormat="1" ht="24" customHeight="1" x14ac:dyDescent="0.25">
      <c r="A39" s="809"/>
      <c r="B39" s="780" t="s">
        <v>193</v>
      </c>
      <c r="C39" s="746" t="s">
        <v>176</v>
      </c>
      <c r="D39" s="747">
        <v>10165474</v>
      </c>
      <c r="E39" s="747">
        <v>9670725.4199999999</v>
      </c>
      <c r="F39" s="747">
        <v>8521675.3699999992</v>
      </c>
      <c r="G39" s="747">
        <v>7000000</v>
      </c>
      <c r="H39" s="747">
        <v>6961139.6799999997</v>
      </c>
      <c r="I39" s="747">
        <v>1272130.1599999999</v>
      </c>
      <c r="J39" s="748">
        <v>8000000</v>
      </c>
      <c r="K39" s="747">
        <v>8229700.8200000003</v>
      </c>
      <c r="L39" s="747">
        <v>1387234.3</v>
      </c>
      <c r="M39" s="747"/>
      <c r="N39" s="747"/>
      <c r="O39" s="747"/>
      <c r="P39" s="747">
        <v>9000000</v>
      </c>
      <c r="Q39" s="747">
        <v>10724232</v>
      </c>
      <c r="R39" s="747">
        <f t="shared" si="6"/>
        <v>119.15813333333334</v>
      </c>
      <c r="S39" s="747">
        <v>704117.3</v>
      </c>
      <c r="T39" s="751"/>
      <c r="U39" s="751"/>
      <c r="V39" s="751"/>
      <c r="W39" s="751"/>
      <c r="X39" s="747">
        <v>10000000</v>
      </c>
      <c r="Y39" s="747">
        <v>636065.30000000005</v>
      </c>
      <c r="Z39" s="747">
        <v>1603440</v>
      </c>
      <c r="AA39" s="747"/>
      <c r="AB39" s="838">
        <f t="shared" si="9"/>
        <v>-6.7532295086491976</v>
      </c>
      <c r="AC39" s="747">
        <v>5312032</v>
      </c>
      <c r="AD39" s="747"/>
      <c r="AE39" s="811">
        <f t="shared" si="7"/>
        <v>10000000</v>
      </c>
      <c r="AF39" s="811">
        <v>6882808</v>
      </c>
      <c r="AG39" s="811"/>
      <c r="AH39" s="811">
        <v>1421453.3</v>
      </c>
      <c r="AI39" s="815">
        <f t="shared" si="8"/>
        <v>10000000</v>
      </c>
      <c r="AJ39" s="815">
        <v>9238972</v>
      </c>
      <c r="AK39" s="815"/>
      <c r="AL39" s="815">
        <v>671453.3</v>
      </c>
      <c r="AM39" s="1128"/>
      <c r="AN39" s="1128"/>
      <c r="AO39" s="1128"/>
      <c r="AP39" s="1268"/>
      <c r="AQ39" s="1287"/>
      <c r="AR39" s="1260"/>
      <c r="AS39" s="1394"/>
      <c r="AT39" s="1287"/>
      <c r="AU39" s="782"/>
      <c r="AV39" s="1121"/>
    </row>
    <row r="40" spans="1:48" ht="18.75" hidden="1" customHeight="1" x14ac:dyDescent="0.25">
      <c r="A40" s="744"/>
      <c r="B40" s="780" t="s">
        <v>194</v>
      </c>
      <c r="C40" s="746" t="s">
        <v>176</v>
      </c>
      <c r="D40" s="747">
        <v>3012400</v>
      </c>
      <c r="E40" s="747">
        <v>1106968.5</v>
      </c>
      <c r="F40" s="747">
        <v>1955443.2</v>
      </c>
      <c r="G40" s="747">
        <v>2000000</v>
      </c>
      <c r="H40" s="747">
        <v>814156.76</v>
      </c>
      <c r="I40" s="760">
        <v>0</v>
      </c>
      <c r="J40" s="748">
        <v>1800000</v>
      </c>
      <c r="K40" s="747">
        <v>1502150</v>
      </c>
      <c r="L40" s="760">
        <v>0</v>
      </c>
      <c r="M40" s="747"/>
      <c r="N40" s="747"/>
      <c r="O40" s="747"/>
      <c r="P40" s="747">
        <v>0</v>
      </c>
      <c r="Q40" s="840">
        <v>1086760</v>
      </c>
      <c r="R40" s="747">
        <v>0</v>
      </c>
      <c r="S40" s="760">
        <v>0</v>
      </c>
      <c r="T40" s="751">
        <v>0</v>
      </c>
      <c r="U40" s="751">
        <v>0</v>
      </c>
      <c r="V40" s="751"/>
      <c r="W40" s="751"/>
      <c r="X40" s="760">
        <v>0</v>
      </c>
      <c r="Y40" s="760">
        <v>0</v>
      </c>
      <c r="Z40" s="757">
        <v>0</v>
      </c>
      <c r="AA40" s="747"/>
      <c r="AB40" s="720">
        <f t="shared" si="9"/>
        <v>-100</v>
      </c>
      <c r="AC40" s="757">
        <v>0</v>
      </c>
      <c r="AD40" s="747"/>
      <c r="AE40" s="747"/>
      <c r="AF40" s="747"/>
      <c r="AG40" s="747"/>
      <c r="AH40" s="747"/>
      <c r="AI40" s="815">
        <f t="shared" si="8"/>
        <v>0</v>
      </c>
      <c r="AJ40" s="815"/>
      <c r="AK40" s="815"/>
      <c r="AL40" s="815"/>
      <c r="AM40" s="753"/>
      <c r="AN40" s="753"/>
      <c r="AO40" s="753"/>
      <c r="AP40" s="747"/>
      <c r="AQ40" s="753"/>
      <c r="AR40" s="753"/>
      <c r="AS40" s="1302"/>
      <c r="AT40" s="753"/>
      <c r="AU40" s="753"/>
      <c r="AV40" s="753"/>
    </row>
    <row r="41" spans="1:48" s="845" customFormat="1" ht="42" x14ac:dyDescent="0.25">
      <c r="A41" s="841"/>
      <c r="B41" s="794" t="s">
        <v>873</v>
      </c>
      <c r="C41" s="828" t="s">
        <v>176</v>
      </c>
      <c r="D41" s="798">
        <v>1119578.3</v>
      </c>
      <c r="E41" s="798">
        <v>1267769.98</v>
      </c>
      <c r="F41" s="798">
        <v>2435370.52</v>
      </c>
      <c r="G41" s="798">
        <v>2330000</v>
      </c>
      <c r="H41" s="798">
        <v>2062304</v>
      </c>
      <c r="I41" s="831">
        <v>0</v>
      </c>
      <c r="J41" s="797">
        <v>2300000</v>
      </c>
      <c r="K41" s="798">
        <v>2579759</v>
      </c>
      <c r="L41" s="831">
        <v>0</v>
      </c>
      <c r="M41" s="798"/>
      <c r="N41" s="798"/>
      <c r="O41" s="798"/>
      <c r="P41" s="798">
        <v>2600000</v>
      </c>
      <c r="Q41" s="798">
        <v>2610384.5</v>
      </c>
      <c r="R41" s="798">
        <f t="shared" si="6"/>
        <v>100.39940384615385</v>
      </c>
      <c r="S41" s="831">
        <v>0</v>
      </c>
      <c r="T41" s="798"/>
      <c r="U41" s="798"/>
      <c r="V41" s="798"/>
      <c r="W41" s="798"/>
      <c r="X41" s="842">
        <v>2800000</v>
      </c>
      <c r="Y41" s="831">
        <v>0</v>
      </c>
      <c r="Z41" s="842">
        <v>696030</v>
      </c>
      <c r="AA41" s="843"/>
      <c r="AB41" s="720">
        <f t="shared" si="9"/>
        <v>7.2638915837877533</v>
      </c>
      <c r="AC41" s="842">
        <v>1416670</v>
      </c>
      <c r="AD41" s="843"/>
      <c r="AE41" s="842">
        <f>+X41</f>
        <v>2800000</v>
      </c>
      <c r="AF41" s="842">
        <v>2088090</v>
      </c>
      <c r="AG41" s="842"/>
      <c r="AH41" s="842"/>
      <c r="AI41" s="815">
        <f t="shared" si="8"/>
        <v>2800000</v>
      </c>
      <c r="AJ41" s="815">
        <v>2799920</v>
      </c>
      <c r="AK41" s="815"/>
      <c r="AL41" s="815"/>
      <c r="AM41" s="1135"/>
      <c r="AN41" s="1135"/>
      <c r="AO41" s="1135"/>
      <c r="AP41" s="842"/>
      <c r="AQ41" s="1135"/>
      <c r="AR41" s="1135"/>
      <c r="AS41" s="1395"/>
      <c r="AT41" s="1135"/>
      <c r="AU41" s="844"/>
      <c r="AV41" s="1135"/>
    </row>
    <row r="42" spans="1:48" s="845" customFormat="1" ht="25.5" customHeight="1" x14ac:dyDescent="0.25">
      <c r="A42" s="841" t="s">
        <v>195</v>
      </c>
      <c r="B42" s="846" t="s">
        <v>537</v>
      </c>
      <c r="C42" s="828" t="s">
        <v>188</v>
      </c>
      <c r="D42" s="798">
        <v>380985.3</v>
      </c>
      <c r="E42" s="798">
        <v>406041.74</v>
      </c>
      <c r="F42" s="798">
        <v>2707875.83</v>
      </c>
      <c r="G42" s="798">
        <v>3000000</v>
      </c>
      <c r="H42" s="798">
        <f>119100+3839741.33</f>
        <v>3958841.33</v>
      </c>
      <c r="I42" s="831">
        <v>0</v>
      </c>
      <c r="J42" s="797">
        <v>700000</v>
      </c>
      <c r="K42" s="798">
        <f>53700+3701543.44</f>
        <v>3755243.44</v>
      </c>
      <c r="L42" s="798">
        <v>229794.08</v>
      </c>
      <c r="M42" s="798"/>
      <c r="N42" s="798"/>
      <c r="O42" s="798"/>
      <c r="P42" s="798">
        <v>3000000</v>
      </c>
      <c r="Q42" s="798">
        <f>179700+5719299.24</f>
        <v>5898999.2400000002</v>
      </c>
      <c r="R42" s="798">
        <f t="shared" si="6"/>
        <v>196.633308</v>
      </c>
      <c r="S42" s="760">
        <v>0</v>
      </c>
      <c r="T42" s="799"/>
      <c r="U42" s="799"/>
      <c r="V42" s="799"/>
      <c r="W42" s="799"/>
      <c r="X42" s="798">
        <v>3000000</v>
      </c>
      <c r="Y42" s="760">
        <v>0</v>
      </c>
      <c r="Z42" s="798">
        <v>958963.37</v>
      </c>
      <c r="AA42" s="798"/>
      <c r="AB42" s="826">
        <f t="shared" si="9"/>
        <v>-49.143916146698814</v>
      </c>
      <c r="AC42" s="798">
        <v>4853650.24</v>
      </c>
      <c r="AD42" s="798"/>
      <c r="AE42" s="798">
        <f>+X42</f>
        <v>3000000</v>
      </c>
      <c r="AF42" s="798">
        <v>6886638.29</v>
      </c>
      <c r="AG42" s="798"/>
      <c r="AH42" s="798"/>
      <c r="AI42" s="815">
        <f t="shared" si="8"/>
        <v>3000000</v>
      </c>
      <c r="AJ42" s="856">
        <v>12598865.73</v>
      </c>
      <c r="AK42" s="847"/>
      <c r="AL42" s="811">
        <f>1819+599249.05</f>
        <v>601068.05000000005</v>
      </c>
      <c r="AM42" s="1127"/>
      <c r="AN42" s="1127"/>
      <c r="AO42" s="1127"/>
      <c r="AP42" s="1269"/>
      <c r="AQ42" s="1270"/>
      <c r="AR42" s="1261"/>
      <c r="AS42" s="1396"/>
      <c r="AT42" s="1289"/>
      <c r="AU42" s="848"/>
      <c r="AV42" s="1127"/>
    </row>
    <row r="43" spans="1:48" ht="25.5" customHeight="1" x14ac:dyDescent="0.25">
      <c r="A43" s="744" t="s">
        <v>195</v>
      </c>
      <c r="B43" s="780" t="s">
        <v>196</v>
      </c>
      <c r="C43" s="746" t="s">
        <v>176</v>
      </c>
      <c r="D43" s="747">
        <v>19818370</v>
      </c>
      <c r="E43" s="747">
        <v>26295360</v>
      </c>
      <c r="F43" s="747">
        <v>35782420</v>
      </c>
      <c r="G43" s="747">
        <v>39000000</v>
      </c>
      <c r="H43" s="747">
        <v>33076650</v>
      </c>
      <c r="I43" s="747">
        <v>15153560</v>
      </c>
      <c r="J43" s="748">
        <v>42000000</v>
      </c>
      <c r="K43" s="747">
        <v>41379460</v>
      </c>
      <c r="L43" s="849">
        <v>0</v>
      </c>
      <c r="M43" s="747"/>
      <c r="N43" s="747"/>
      <c r="O43" s="747"/>
      <c r="P43" s="747">
        <v>40000000</v>
      </c>
      <c r="Q43" s="747">
        <v>45458470</v>
      </c>
      <c r="R43" s="747">
        <f t="shared" si="6"/>
        <v>113.646175</v>
      </c>
      <c r="S43" s="760">
        <v>0</v>
      </c>
      <c r="T43" s="751"/>
      <c r="U43" s="751"/>
      <c r="V43" s="751"/>
      <c r="W43" s="751"/>
      <c r="X43" s="747">
        <v>40000000</v>
      </c>
      <c r="Y43" s="760">
        <v>0</v>
      </c>
      <c r="Z43" s="747">
        <v>7588920</v>
      </c>
      <c r="AA43" s="747"/>
      <c r="AB43" s="838">
        <f t="shared" si="9"/>
        <v>-12.007597264052222</v>
      </c>
      <c r="AC43" s="747">
        <v>11354460</v>
      </c>
      <c r="AD43" s="747"/>
      <c r="AE43" s="798">
        <f t="shared" ref="AE43:AE59" si="10">+X43</f>
        <v>40000000</v>
      </c>
      <c r="AF43" s="798">
        <v>28319540</v>
      </c>
      <c r="AG43" s="798"/>
      <c r="AH43" s="798"/>
      <c r="AI43" s="815">
        <f t="shared" si="8"/>
        <v>40000000</v>
      </c>
      <c r="AJ43" s="815">
        <v>44711240</v>
      </c>
      <c r="AK43" s="815"/>
      <c r="AL43" s="815"/>
      <c r="AM43" s="1128"/>
      <c r="AN43" s="1128"/>
      <c r="AO43" s="1128"/>
      <c r="AP43" s="859"/>
      <c r="AQ43" s="1128"/>
      <c r="AR43" s="1128"/>
      <c r="AS43" s="1391"/>
      <c r="AT43" s="1356"/>
      <c r="AU43" s="850"/>
      <c r="AV43" s="1128"/>
    </row>
    <row r="44" spans="1:48" ht="25.5" customHeight="1" x14ac:dyDescent="0.25">
      <c r="A44" s="744" t="s">
        <v>195</v>
      </c>
      <c r="B44" s="780" t="s">
        <v>197</v>
      </c>
      <c r="C44" s="746" t="s">
        <v>176</v>
      </c>
      <c r="D44" s="747">
        <v>12936825.199999999</v>
      </c>
      <c r="E44" s="747">
        <v>12397153</v>
      </c>
      <c r="F44" s="747">
        <v>13275065</v>
      </c>
      <c r="G44" s="747">
        <v>20000000</v>
      </c>
      <c r="H44" s="747">
        <v>15287275</v>
      </c>
      <c r="I44" s="747">
        <v>9605650</v>
      </c>
      <c r="J44" s="748">
        <v>30000000</v>
      </c>
      <c r="K44" s="747">
        <v>23475800</v>
      </c>
      <c r="L44" s="849">
        <v>0</v>
      </c>
      <c r="M44" s="747"/>
      <c r="N44" s="747"/>
      <c r="O44" s="747"/>
      <c r="P44" s="747">
        <v>37000000</v>
      </c>
      <c r="Q44" s="747">
        <v>28917250</v>
      </c>
      <c r="R44" s="747">
        <f t="shared" si="6"/>
        <v>78.154729729729738</v>
      </c>
      <c r="S44" s="760">
        <v>0</v>
      </c>
      <c r="T44" s="751"/>
      <c r="U44" s="751"/>
      <c r="V44" s="751"/>
      <c r="W44" s="751"/>
      <c r="X44" s="747">
        <v>30000000</v>
      </c>
      <c r="Y44" s="760">
        <v>0</v>
      </c>
      <c r="Z44" s="747">
        <v>7286900</v>
      </c>
      <c r="AA44" s="747"/>
      <c r="AB44" s="720">
        <f t="shared" si="9"/>
        <v>3.7443048699305779</v>
      </c>
      <c r="AC44" s="747">
        <v>10783050</v>
      </c>
      <c r="AD44" s="747"/>
      <c r="AE44" s="798">
        <f t="shared" si="10"/>
        <v>30000000</v>
      </c>
      <c r="AF44" s="798">
        <v>16425300</v>
      </c>
      <c r="AG44" s="798"/>
      <c r="AH44" s="798"/>
      <c r="AI44" s="815">
        <f t="shared" si="8"/>
        <v>30000000</v>
      </c>
      <c r="AJ44" s="815">
        <v>18630900</v>
      </c>
      <c r="AK44" s="815"/>
      <c r="AL44" s="815"/>
      <c r="AM44" s="1128"/>
      <c r="AN44" s="1128"/>
      <c r="AO44" s="1128"/>
      <c r="AP44" s="859"/>
      <c r="AQ44" s="1128"/>
      <c r="AR44" s="1128"/>
      <c r="AS44" s="1391"/>
      <c r="AT44" s="1356"/>
      <c r="AU44" s="850"/>
      <c r="AV44" s="1128"/>
    </row>
    <row r="45" spans="1:48" ht="25.5" customHeight="1" x14ac:dyDescent="0.25">
      <c r="A45" s="744"/>
      <c r="B45" s="780" t="s">
        <v>198</v>
      </c>
      <c r="C45" s="746"/>
      <c r="D45" s="747">
        <v>0</v>
      </c>
      <c r="E45" s="747">
        <v>0</v>
      </c>
      <c r="F45" s="747">
        <v>0</v>
      </c>
      <c r="G45" s="747">
        <v>0</v>
      </c>
      <c r="H45" s="760">
        <v>0</v>
      </c>
      <c r="I45" s="760">
        <v>0</v>
      </c>
      <c r="J45" s="851">
        <v>500000</v>
      </c>
      <c r="K45" s="760">
        <v>0</v>
      </c>
      <c r="L45" s="849">
        <v>0</v>
      </c>
      <c r="M45" s="760"/>
      <c r="N45" s="760"/>
      <c r="O45" s="760"/>
      <c r="P45" s="760">
        <v>1000000</v>
      </c>
      <c r="Q45" s="760">
        <v>0</v>
      </c>
      <c r="R45" s="760">
        <v>0</v>
      </c>
      <c r="S45" s="760">
        <v>0</v>
      </c>
      <c r="T45" s="751"/>
      <c r="U45" s="751"/>
      <c r="V45" s="751"/>
      <c r="W45" s="751"/>
      <c r="X45" s="747">
        <v>1000000</v>
      </c>
      <c r="Y45" s="760">
        <v>0</v>
      </c>
      <c r="Z45" s="747">
        <v>517500</v>
      </c>
      <c r="AA45" s="747"/>
      <c r="AB45" s="720" t="e">
        <f t="shared" si="9"/>
        <v>#DIV/0!</v>
      </c>
      <c r="AC45" s="747">
        <v>517500</v>
      </c>
      <c r="AD45" s="747"/>
      <c r="AE45" s="798">
        <f t="shared" si="10"/>
        <v>1000000</v>
      </c>
      <c r="AF45" s="798">
        <v>517500</v>
      </c>
      <c r="AG45" s="798"/>
      <c r="AH45" s="798"/>
      <c r="AI45" s="815">
        <f t="shared" si="8"/>
        <v>1000000</v>
      </c>
      <c r="AJ45" s="815">
        <v>773750</v>
      </c>
      <c r="AK45" s="815"/>
      <c r="AL45" s="815"/>
      <c r="AM45" s="1128"/>
      <c r="AN45" s="1128"/>
      <c r="AO45" s="1128"/>
      <c r="AP45" s="859"/>
      <c r="AQ45" s="1128"/>
      <c r="AR45" s="1128"/>
      <c r="AS45" s="1391"/>
      <c r="AT45" s="1356"/>
      <c r="AU45" s="850"/>
      <c r="AV45" s="1128"/>
    </row>
    <row r="46" spans="1:48" ht="42" hidden="1" x14ac:dyDescent="0.25">
      <c r="A46" s="744"/>
      <c r="B46" s="852" t="s">
        <v>199</v>
      </c>
      <c r="C46" s="746" t="s">
        <v>176</v>
      </c>
      <c r="D46" s="747">
        <v>1600000</v>
      </c>
      <c r="E46" s="747">
        <v>20900</v>
      </c>
      <c r="F46" s="747">
        <v>0</v>
      </c>
      <c r="G46" s="747">
        <v>0</v>
      </c>
      <c r="H46" s="747">
        <v>0</v>
      </c>
      <c r="I46" s="760">
        <v>0</v>
      </c>
      <c r="J46" s="748">
        <v>490000</v>
      </c>
      <c r="K46" s="747">
        <v>0</v>
      </c>
      <c r="L46" s="849">
        <v>0</v>
      </c>
      <c r="M46" s="747"/>
      <c r="N46" s="747"/>
      <c r="O46" s="747"/>
      <c r="P46" s="798">
        <v>0</v>
      </c>
      <c r="Q46" s="798">
        <v>0</v>
      </c>
      <c r="R46" s="798"/>
      <c r="S46" s="760">
        <v>0</v>
      </c>
      <c r="T46" s="799"/>
      <c r="U46" s="799"/>
      <c r="V46" s="799"/>
      <c r="W46" s="799"/>
      <c r="X46" s="747"/>
      <c r="Y46" s="760">
        <v>0</v>
      </c>
      <c r="Z46" s="747"/>
      <c r="AA46" s="747"/>
      <c r="AB46" s="720" t="e">
        <f t="shared" si="9"/>
        <v>#DIV/0!</v>
      </c>
      <c r="AC46" s="747"/>
      <c r="AD46" s="747"/>
      <c r="AE46" s="798">
        <f t="shared" si="10"/>
        <v>0</v>
      </c>
      <c r="AF46" s="798"/>
      <c r="AG46" s="798"/>
      <c r="AH46" s="798"/>
      <c r="AI46" s="815">
        <f t="shared" si="8"/>
        <v>0</v>
      </c>
      <c r="AJ46" s="815"/>
      <c r="AK46" s="815"/>
      <c r="AL46" s="815"/>
      <c r="AM46" s="1128"/>
      <c r="AN46" s="1128"/>
      <c r="AO46" s="1128"/>
      <c r="AP46" s="1128"/>
      <c r="AQ46" s="1128"/>
      <c r="AR46" s="1128"/>
      <c r="AS46" s="1391"/>
      <c r="AT46" s="1356"/>
      <c r="AU46" s="850"/>
      <c r="AV46" s="1128"/>
    </row>
    <row r="47" spans="1:48" ht="25.5" customHeight="1" x14ac:dyDescent="0.25">
      <c r="A47" s="744"/>
      <c r="B47" s="780" t="s">
        <v>200</v>
      </c>
      <c r="C47" s="746" t="s">
        <v>176</v>
      </c>
      <c r="D47" s="747">
        <v>1061000</v>
      </c>
      <c r="E47" s="747">
        <v>1076000</v>
      </c>
      <c r="F47" s="747">
        <v>825000</v>
      </c>
      <c r="G47" s="747">
        <v>900000</v>
      </c>
      <c r="H47" s="747">
        <v>1150000</v>
      </c>
      <c r="I47" s="760">
        <v>0</v>
      </c>
      <c r="J47" s="748">
        <v>930000</v>
      </c>
      <c r="K47" s="747">
        <v>825000</v>
      </c>
      <c r="L47" s="849">
        <v>0</v>
      </c>
      <c r="M47" s="747"/>
      <c r="N47" s="747"/>
      <c r="O47" s="747"/>
      <c r="P47" s="747">
        <v>900000</v>
      </c>
      <c r="Q47" s="747">
        <v>1050000</v>
      </c>
      <c r="R47" s="747">
        <f t="shared" ref="R47:R52" si="11">+Q47/P47*100</f>
        <v>116.66666666666667</v>
      </c>
      <c r="S47" s="760">
        <v>0</v>
      </c>
      <c r="T47" s="751"/>
      <c r="U47" s="751"/>
      <c r="V47" s="751"/>
      <c r="W47" s="751"/>
      <c r="X47" s="747">
        <v>925000</v>
      </c>
      <c r="Y47" s="760">
        <v>0</v>
      </c>
      <c r="Z47" s="747">
        <v>75000</v>
      </c>
      <c r="AA47" s="747"/>
      <c r="AB47" s="720">
        <f t="shared" si="9"/>
        <v>-11.904761904761903</v>
      </c>
      <c r="AC47" s="747">
        <v>337500</v>
      </c>
      <c r="AD47" s="747"/>
      <c r="AE47" s="798">
        <f t="shared" si="10"/>
        <v>925000</v>
      </c>
      <c r="AF47" s="798">
        <v>626250</v>
      </c>
      <c r="AG47" s="798"/>
      <c r="AH47" s="798"/>
      <c r="AI47" s="815">
        <f t="shared" si="8"/>
        <v>925000</v>
      </c>
      <c r="AJ47" s="815">
        <v>862500</v>
      </c>
      <c r="AK47" s="815"/>
      <c r="AL47" s="815"/>
      <c r="AM47" s="1128"/>
      <c r="AN47" s="1128"/>
      <c r="AO47" s="1128"/>
      <c r="AP47" s="1128"/>
      <c r="AQ47" s="1128"/>
      <c r="AR47" s="1128"/>
      <c r="AS47" s="1391"/>
      <c r="AT47" s="1356"/>
      <c r="AU47" s="850"/>
      <c r="AV47" s="1128"/>
    </row>
    <row r="48" spans="1:48" ht="25.5" customHeight="1" x14ac:dyDescent="0.25">
      <c r="A48" s="744"/>
      <c r="B48" s="853" t="s">
        <v>415</v>
      </c>
      <c r="C48" s="746" t="s">
        <v>176</v>
      </c>
      <c r="D48" s="747">
        <v>0</v>
      </c>
      <c r="E48" s="747">
        <v>22500</v>
      </c>
      <c r="F48" s="747">
        <v>48500</v>
      </c>
      <c r="G48" s="747">
        <v>456000</v>
      </c>
      <c r="H48" s="747">
        <v>418000</v>
      </c>
      <c r="I48" s="760">
        <v>0</v>
      </c>
      <c r="J48" s="748">
        <v>456000</v>
      </c>
      <c r="K48" s="747">
        <v>456000</v>
      </c>
      <c r="L48" s="849">
        <v>0</v>
      </c>
      <c r="M48" s="747"/>
      <c r="N48" s="747"/>
      <c r="O48" s="747"/>
      <c r="P48" s="747">
        <v>456000</v>
      </c>
      <c r="Q48" s="747">
        <v>494000</v>
      </c>
      <c r="R48" s="747">
        <f t="shared" si="11"/>
        <v>108.33333333333333</v>
      </c>
      <c r="S48" s="760">
        <v>0</v>
      </c>
      <c r="T48" s="751"/>
      <c r="U48" s="751"/>
      <c r="V48" s="751"/>
      <c r="W48" s="751"/>
      <c r="X48" s="747">
        <v>456000</v>
      </c>
      <c r="Y48" s="760">
        <v>0</v>
      </c>
      <c r="Z48" s="747">
        <v>114000</v>
      </c>
      <c r="AA48" s="747"/>
      <c r="AB48" s="720">
        <f t="shared" si="9"/>
        <v>-7.6923076923076925</v>
      </c>
      <c r="AC48" s="747">
        <v>266000</v>
      </c>
      <c r="AD48" s="747"/>
      <c r="AE48" s="798">
        <f t="shared" si="10"/>
        <v>456000</v>
      </c>
      <c r="AF48" s="798">
        <v>342000</v>
      </c>
      <c r="AG48" s="798"/>
      <c r="AH48" s="798"/>
      <c r="AI48" s="815">
        <f t="shared" si="8"/>
        <v>456000</v>
      </c>
      <c r="AJ48" s="815">
        <v>456000</v>
      </c>
      <c r="AK48" s="815"/>
      <c r="AL48" s="815"/>
      <c r="AM48" s="1128"/>
      <c r="AN48" s="1128"/>
      <c r="AO48" s="1128"/>
      <c r="AP48" s="1128"/>
      <c r="AQ48" s="1128"/>
      <c r="AR48" s="1128"/>
      <c r="AS48" s="1391"/>
      <c r="AT48" s="1356"/>
      <c r="AU48" s="850"/>
      <c r="AV48" s="1128"/>
    </row>
    <row r="49" spans="1:48" hidden="1" x14ac:dyDescent="0.25">
      <c r="A49" s="744"/>
      <c r="B49" s="853" t="s">
        <v>201</v>
      </c>
      <c r="C49" s="746"/>
      <c r="D49" s="747"/>
      <c r="E49" s="747"/>
      <c r="F49" s="747"/>
      <c r="G49" s="747"/>
      <c r="H49" s="747">
        <v>25680</v>
      </c>
      <c r="I49" s="760">
        <v>0</v>
      </c>
      <c r="J49" s="748">
        <v>0</v>
      </c>
      <c r="K49" s="747">
        <v>6420</v>
      </c>
      <c r="L49" s="849">
        <v>0</v>
      </c>
      <c r="M49" s="849">
        <v>0</v>
      </c>
      <c r="N49" s="849">
        <v>0</v>
      </c>
      <c r="O49" s="849">
        <v>0</v>
      </c>
      <c r="P49" s="849">
        <v>0</v>
      </c>
      <c r="Q49" s="849">
        <v>0</v>
      </c>
      <c r="R49" s="747"/>
      <c r="S49" s="760">
        <v>0</v>
      </c>
      <c r="T49" s="751"/>
      <c r="U49" s="751"/>
      <c r="V49" s="751"/>
      <c r="W49" s="751"/>
      <c r="X49" s="760">
        <v>0</v>
      </c>
      <c r="Y49" s="760">
        <v>0</v>
      </c>
      <c r="Z49" s="757">
        <v>0</v>
      </c>
      <c r="AA49" s="747"/>
      <c r="AB49" s="720" t="e">
        <f t="shared" si="9"/>
        <v>#DIV/0!</v>
      </c>
      <c r="AC49" s="757">
        <v>0</v>
      </c>
      <c r="AD49" s="747"/>
      <c r="AE49" s="798">
        <f t="shared" si="10"/>
        <v>0</v>
      </c>
      <c r="AF49" s="798"/>
      <c r="AG49" s="798"/>
      <c r="AH49" s="798"/>
      <c r="AI49" s="815">
        <f t="shared" si="8"/>
        <v>0</v>
      </c>
      <c r="AJ49" s="815"/>
      <c r="AK49" s="815"/>
      <c r="AL49" s="815"/>
      <c r="AM49" s="1128"/>
      <c r="AN49" s="1128"/>
      <c r="AO49" s="1128"/>
      <c r="AP49" s="1128"/>
      <c r="AQ49" s="1128"/>
      <c r="AR49" s="1128"/>
      <c r="AS49" s="1391"/>
      <c r="AT49" s="1356"/>
      <c r="AU49" s="850"/>
      <c r="AV49" s="1128"/>
    </row>
    <row r="50" spans="1:48" s="845" customFormat="1" x14ac:dyDescent="0.25">
      <c r="A50" s="841"/>
      <c r="B50" s="846" t="s">
        <v>1171</v>
      </c>
      <c r="C50" s="828" t="s">
        <v>176</v>
      </c>
      <c r="D50" s="798">
        <v>1960000</v>
      </c>
      <c r="E50" s="798">
        <v>3430000</v>
      </c>
      <c r="F50" s="798">
        <v>7350000</v>
      </c>
      <c r="G50" s="798">
        <v>5880000</v>
      </c>
      <c r="H50" s="798">
        <v>5390000</v>
      </c>
      <c r="I50" s="760">
        <v>0</v>
      </c>
      <c r="J50" s="797">
        <v>5880000</v>
      </c>
      <c r="K50" s="798">
        <v>7333500</v>
      </c>
      <c r="L50" s="849">
        <v>0</v>
      </c>
      <c r="M50" s="798"/>
      <c r="N50" s="798"/>
      <c r="O50" s="798"/>
      <c r="P50" s="798">
        <v>3600000</v>
      </c>
      <c r="Q50" s="798">
        <v>3619500</v>
      </c>
      <c r="R50" s="798">
        <f t="shared" si="11"/>
        <v>100.54166666666666</v>
      </c>
      <c r="S50" s="760">
        <v>0</v>
      </c>
      <c r="T50" s="799"/>
      <c r="U50" s="799"/>
      <c r="V50" s="799"/>
      <c r="W50" s="799"/>
      <c r="X50" s="798">
        <v>3600000</v>
      </c>
      <c r="Y50" s="760">
        <v>0</v>
      </c>
      <c r="Z50" s="854">
        <v>0</v>
      </c>
      <c r="AA50" s="798"/>
      <c r="AB50" s="855">
        <f t="shared" si="9"/>
        <v>-0.53874844591794446</v>
      </c>
      <c r="AC50" s="854">
        <v>719958</v>
      </c>
      <c r="AD50" s="798"/>
      <c r="AE50" s="798">
        <f t="shared" si="10"/>
        <v>3600000</v>
      </c>
      <c r="AF50" s="798">
        <v>1439916</v>
      </c>
      <c r="AG50" s="798"/>
      <c r="AH50" s="798"/>
      <c r="AI50" s="815">
        <f t="shared" si="8"/>
        <v>3600000</v>
      </c>
      <c r="AJ50" s="815">
        <v>2159874</v>
      </c>
      <c r="AK50" s="815"/>
      <c r="AL50" s="815"/>
      <c r="AM50" s="1127"/>
      <c r="AN50" s="1127"/>
      <c r="AO50" s="1127"/>
      <c r="AP50" s="1127"/>
      <c r="AQ50" s="1127"/>
      <c r="AR50" s="1127"/>
      <c r="AS50" s="1284"/>
      <c r="AT50" s="1357"/>
      <c r="AU50" s="848"/>
      <c r="AV50" s="1127"/>
    </row>
    <row r="51" spans="1:48" ht="24" customHeight="1" x14ac:dyDescent="0.25">
      <c r="A51" s="744"/>
      <c r="B51" s="853" t="s">
        <v>202</v>
      </c>
      <c r="C51" s="746" t="s">
        <v>176</v>
      </c>
      <c r="D51" s="747">
        <v>0</v>
      </c>
      <c r="E51" s="747">
        <v>0</v>
      </c>
      <c r="F51" s="747">
        <v>133803.79999999999</v>
      </c>
      <c r="G51" s="747">
        <v>2000000</v>
      </c>
      <c r="H51" s="747">
        <v>1757720.22</v>
      </c>
      <c r="I51" s="760">
        <v>0</v>
      </c>
      <c r="J51" s="748">
        <v>2600000</v>
      </c>
      <c r="K51" s="747">
        <v>2371868.7999999998</v>
      </c>
      <c r="L51" s="849">
        <v>0</v>
      </c>
      <c r="M51" s="747"/>
      <c r="N51" s="747"/>
      <c r="O51" s="747"/>
      <c r="P51" s="747">
        <v>2300000</v>
      </c>
      <c r="Q51" s="747">
        <v>3050239.73</v>
      </c>
      <c r="R51" s="798">
        <f t="shared" si="11"/>
        <v>132.61911869565216</v>
      </c>
      <c r="S51" s="760">
        <v>0</v>
      </c>
      <c r="T51" s="751"/>
      <c r="U51" s="751"/>
      <c r="V51" s="751"/>
      <c r="W51" s="751"/>
      <c r="X51" s="747">
        <v>5000000</v>
      </c>
      <c r="Y51" s="760">
        <v>0</v>
      </c>
      <c r="Z51" s="747">
        <v>967166.79</v>
      </c>
      <c r="AA51" s="747"/>
      <c r="AB51" s="720">
        <f t="shared" si="9"/>
        <v>63.921541996307283</v>
      </c>
      <c r="AC51" s="747">
        <v>1713106.92</v>
      </c>
      <c r="AD51" s="747"/>
      <c r="AE51" s="798">
        <f t="shared" si="10"/>
        <v>5000000</v>
      </c>
      <c r="AF51" s="798">
        <v>2405650.62</v>
      </c>
      <c r="AG51" s="798"/>
      <c r="AH51" s="798"/>
      <c r="AI51" s="815">
        <f t="shared" si="8"/>
        <v>5000000</v>
      </c>
      <c r="AJ51" s="815">
        <v>2892246.42</v>
      </c>
      <c r="AK51" s="815"/>
      <c r="AL51" s="815"/>
      <c r="AM51" s="1128"/>
      <c r="AN51" s="1128"/>
      <c r="AO51" s="1128"/>
      <c r="AP51" s="1128"/>
      <c r="AQ51" s="1128"/>
      <c r="AR51" s="1128"/>
      <c r="AS51" s="1391"/>
      <c r="AT51" s="1356"/>
      <c r="AU51" s="850"/>
      <c r="AV51" s="1128"/>
    </row>
    <row r="52" spans="1:48" ht="24" customHeight="1" x14ac:dyDescent="0.25">
      <c r="A52" s="744"/>
      <c r="B52" s="853" t="s">
        <v>203</v>
      </c>
      <c r="C52" s="746" t="s">
        <v>176</v>
      </c>
      <c r="D52" s="747">
        <v>217186.46</v>
      </c>
      <c r="E52" s="747">
        <v>233038.23</v>
      </c>
      <c r="F52" s="747">
        <v>390240.77</v>
      </c>
      <c r="G52" s="747">
        <v>200000</v>
      </c>
      <c r="H52" s="747">
        <v>263029.53999999998</v>
      </c>
      <c r="I52" s="760">
        <v>0</v>
      </c>
      <c r="J52" s="748">
        <v>250000</v>
      </c>
      <c r="K52" s="747">
        <v>392031.95</v>
      </c>
      <c r="L52" s="849">
        <v>0</v>
      </c>
      <c r="M52" s="747"/>
      <c r="N52" s="747"/>
      <c r="O52" s="747"/>
      <c r="P52" s="747">
        <v>400000</v>
      </c>
      <c r="Q52" s="747">
        <v>389421.15</v>
      </c>
      <c r="R52" s="798">
        <f t="shared" si="11"/>
        <v>97.355287500000003</v>
      </c>
      <c r="S52" s="760">
        <v>0</v>
      </c>
      <c r="T52" s="751"/>
      <c r="U52" s="751"/>
      <c r="V52" s="751"/>
      <c r="W52" s="751"/>
      <c r="X52" s="747">
        <v>400000</v>
      </c>
      <c r="Y52" s="760">
        <v>0</v>
      </c>
      <c r="Z52" s="757">
        <v>0</v>
      </c>
      <c r="AA52" s="747"/>
      <c r="AB52" s="720">
        <f t="shared" si="9"/>
        <v>2.7165576394605111</v>
      </c>
      <c r="AC52" s="757">
        <v>102656.87</v>
      </c>
      <c r="AD52" s="747"/>
      <c r="AE52" s="798">
        <f t="shared" si="10"/>
        <v>400000</v>
      </c>
      <c r="AF52" s="798">
        <v>619160.85</v>
      </c>
      <c r="AG52" s="798"/>
      <c r="AH52" s="798"/>
      <c r="AI52" s="815">
        <f t="shared" si="8"/>
        <v>400000</v>
      </c>
      <c r="AJ52" s="815">
        <v>619160.85</v>
      </c>
      <c r="AK52" s="815"/>
      <c r="AL52" s="815"/>
      <c r="AM52" s="1128"/>
      <c r="AN52" s="1128"/>
      <c r="AO52" s="1128"/>
      <c r="AP52" s="1128"/>
      <c r="AQ52" s="1128"/>
      <c r="AR52" s="1128"/>
      <c r="AS52" s="1391"/>
      <c r="AT52" s="1356"/>
      <c r="AU52" s="850"/>
      <c r="AV52" s="1128"/>
    </row>
    <row r="53" spans="1:48" hidden="1" x14ac:dyDescent="0.25">
      <c r="A53" s="744"/>
      <c r="B53" s="853" t="s">
        <v>204</v>
      </c>
      <c r="C53" s="746"/>
      <c r="D53" s="747"/>
      <c r="E53" s="747"/>
      <c r="F53" s="747">
        <v>2069890</v>
      </c>
      <c r="G53" s="747">
        <v>59000000</v>
      </c>
      <c r="H53" s="747">
        <v>66464640</v>
      </c>
      <c r="I53" s="747">
        <v>1002724.36</v>
      </c>
      <c r="J53" s="748">
        <v>0</v>
      </c>
      <c r="K53" s="747">
        <v>5757300</v>
      </c>
      <c r="L53" s="849">
        <v>0</v>
      </c>
      <c r="M53" s="747"/>
      <c r="N53" s="747"/>
      <c r="O53" s="747"/>
      <c r="P53" s="747">
        <v>0</v>
      </c>
      <c r="Q53" s="747"/>
      <c r="R53" s="747">
        <v>0</v>
      </c>
      <c r="S53" s="760">
        <v>0</v>
      </c>
      <c r="T53" s="751">
        <v>0</v>
      </c>
      <c r="U53" s="751">
        <v>0</v>
      </c>
      <c r="V53" s="751"/>
      <c r="W53" s="751"/>
      <c r="X53" s="817">
        <v>0</v>
      </c>
      <c r="Y53" s="760">
        <v>0</v>
      </c>
      <c r="Z53" s="757">
        <v>0</v>
      </c>
      <c r="AA53" s="747"/>
      <c r="AB53" s="720" t="e">
        <f t="shared" si="9"/>
        <v>#DIV/0!</v>
      </c>
      <c r="AC53" s="757">
        <v>0</v>
      </c>
      <c r="AD53" s="747"/>
      <c r="AE53" s="798">
        <f t="shared" si="10"/>
        <v>0</v>
      </c>
      <c r="AF53" s="798"/>
      <c r="AG53" s="798"/>
      <c r="AH53" s="798"/>
      <c r="AI53" s="815">
        <f t="shared" si="8"/>
        <v>0</v>
      </c>
      <c r="AJ53" s="815"/>
      <c r="AK53" s="815"/>
      <c r="AL53" s="815"/>
      <c r="AM53" s="1128"/>
      <c r="AN53" s="1128"/>
      <c r="AO53" s="1128"/>
      <c r="AP53" s="1128"/>
      <c r="AQ53" s="1128"/>
      <c r="AR53" s="1128"/>
      <c r="AS53" s="1391"/>
      <c r="AT53" s="1356"/>
      <c r="AU53" s="850"/>
      <c r="AV53" s="1128"/>
    </row>
    <row r="54" spans="1:48" s="858" customFormat="1" ht="23.25" hidden="1" customHeight="1" x14ac:dyDescent="0.25">
      <c r="A54" s="841"/>
      <c r="B54" s="846" t="s">
        <v>538</v>
      </c>
      <c r="C54" s="828"/>
      <c r="D54" s="798">
        <v>0</v>
      </c>
      <c r="E54" s="798">
        <v>0</v>
      </c>
      <c r="F54" s="798">
        <v>0</v>
      </c>
      <c r="G54" s="798">
        <v>0</v>
      </c>
      <c r="H54" s="798">
        <v>0</v>
      </c>
      <c r="I54" s="798">
        <v>0</v>
      </c>
      <c r="J54" s="797">
        <v>0</v>
      </c>
      <c r="K54" s="798">
        <v>0</v>
      </c>
      <c r="L54" s="849">
        <v>0</v>
      </c>
      <c r="M54" s="798"/>
      <c r="N54" s="798"/>
      <c r="O54" s="798"/>
      <c r="P54" s="798">
        <v>170000</v>
      </c>
      <c r="Q54" s="798"/>
      <c r="R54" s="798"/>
      <c r="S54" s="760">
        <v>0</v>
      </c>
      <c r="T54" s="799"/>
      <c r="U54" s="799"/>
      <c r="V54" s="799"/>
      <c r="W54" s="799"/>
      <c r="X54" s="856">
        <v>170000</v>
      </c>
      <c r="Y54" s="760">
        <v>0</v>
      </c>
      <c r="Z54" s="757">
        <v>0</v>
      </c>
      <c r="AA54" s="847"/>
      <c r="AB54" s="720" t="e">
        <f t="shared" si="9"/>
        <v>#DIV/0!</v>
      </c>
      <c r="AC54" s="757">
        <v>0</v>
      </c>
      <c r="AD54" s="847"/>
      <c r="AE54" s="798">
        <f t="shared" si="10"/>
        <v>170000</v>
      </c>
      <c r="AF54" s="854">
        <v>0</v>
      </c>
      <c r="AG54" s="854"/>
      <c r="AH54" s="854"/>
      <c r="AI54" s="815">
        <f t="shared" si="8"/>
        <v>170000</v>
      </c>
      <c r="AJ54" s="857">
        <v>0</v>
      </c>
      <c r="AK54" s="815"/>
      <c r="AL54" s="815"/>
      <c r="AM54" s="1136"/>
      <c r="AN54" s="1136"/>
      <c r="AO54" s="1136"/>
      <c r="AP54" s="1136"/>
      <c r="AQ54" s="1136"/>
      <c r="AR54" s="1136"/>
      <c r="AS54" s="1397"/>
      <c r="AT54" s="1358"/>
      <c r="AU54" s="848"/>
      <c r="AV54" s="1129"/>
    </row>
    <row r="55" spans="1:48" s="860" customFormat="1" ht="23.25" customHeight="1" x14ac:dyDescent="0.25">
      <c r="A55" s="744"/>
      <c r="B55" s="852" t="s">
        <v>205</v>
      </c>
      <c r="C55" s="746"/>
      <c r="D55" s="747"/>
      <c r="E55" s="747"/>
      <c r="F55" s="747"/>
      <c r="G55" s="747">
        <v>0</v>
      </c>
      <c r="H55" s="747">
        <v>0</v>
      </c>
      <c r="I55" s="747">
        <v>0</v>
      </c>
      <c r="J55" s="748">
        <v>6000000</v>
      </c>
      <c r="K55" s="747">
        <v>0</v>
      </c>
      <c r="L55" s="747">
        <v>1664888.12</v>
      </c>
      <c r="M55" s="747"/>
      <c r="N55" s="747"/>
      <c r="O55" s="747"/>
      <c r="P55" s="747">
        <v>3000000</v>
      </c>
      <c r="Q55" s="747"/>
      <c r="R55" s="747"/>
      <c r="S55" s="747">
        <f>367930+4065036.63</f>
        <v>4432966.63</v>
      </c>
      <c r="T55" s="751"/>
      <c r="U55" s="751"/>
      <c r="V55" s="751"/>
      <c r="W55" s="751"/>
      <c r="X55" s="859">
        <v>5000000</v>
      </c>
      <c r="Y55" s="747">
        <f>59920+5308244.03</f>
        <v>5368164.03</v>
      </c>
      <c r="Z55" s="757">
        <v>0</v>
      </c>
      <c r="AA55" s="745"/>
      <c r="AB55" s="894" t="e">
        <f t="shared" si="9"/>
        <v>#DIV/0!</v>
      </c>
      <c r="AC55" s="757"/>
      <c r="AD55" s="745"/>
      <c r="AE55" s="798">
        <f t="shared" si="10"/>
        <v>5000000</v>
      </c>
      <c r="AF55" s="854">
        <v>0</v>
      </c>
      <c r="AG55" s="854"/>
      <c r="AH55" s="854">
        <v>4276537.55</v>
      </c>
      <c r="AI55" s="811">
        <f t="shared" si="8"/>
        <v>5000000</v>
      </c>
      <c r="AJ55" s="875">
        <v>0</v>
      </c>
      <c r="AK55" s="811"/>
      <c r="AL55" s="811">
        <f>290610+5428480.29</f>
        <v>5719090.29</v>
      </c>
      <c r="AM55" s="859"/>
      <c r="AN55" s="859"/>
      <c r="AO55" s="859"/>
      <c r="AP55" s="1270"/>
      <c r="AQ55" s="1289"/>
      <c r="AR55" s="1255"/>
      <c r="AS55" s="1285"/>
      <c r="AT55" s="1289"/>
      <c r="AU55" s="850"/>
      <c r="AV55" s="1128"/>
    </row>
    <row r="56" spans="1:48" ht="21" customHeight="1" x14ac:dyDescent="0.25">
      <c r="A56" s="744"/>
      <c r="B56" s="852" t="s">
        <v>206</v>
      </c>
      <c r="C56" s="746"/>
      <c r="D56" s="747"/>
      <c r="E56" s="747"/>
      <c r="F56" s="747"/>
      <c r="G56" s="747">
        <v>0</v>
      </c>
      <c r="H56" s="747">
        <v>0</v>
      </c>
      <c r="I56" s="747">
        <v>0</v>
      </c>
      <c r="J56" s="748">
        <v>560000</v>
      </c>
      <c r="K56" s="747">
        <v>0</v>
      </c>
      <c r="L56" s="747">
        <v>0</v>
      </c>
      <c r="M56" s="747">
        <v>0</v>
      </c>
      <c r="N56" s="747">
        <v>0</v>
      </c>
      <c r="O56" s="747"/>
      <c r="P56" s="747">
        <v>530000</v>
      </c>
      <c r="Q56" s="747"/>
      <c r="R56" s="798" t="e">
        <f>+#REF!/P56*100</f>
        <v>#REF!</v>
      </c>
      <c r="S56" s="747"/>
      <c r="T56" s="747"/>
      <c r="U56" s="747"/>
      <c r="V56" s="747"/>
      <c r="W56" s="747"/>
      <c r="X56" s="747">
        <v>900000</v>
      </c>
      <c r="Y56" s="747"/>
      <c r="Z56" s="747">
        <v>272810</v>
      </c>
      <c r="AA56" s="747"/>
      <c r="AB56" s="902" t="e">
        <f t="shared" si="9"/>
        <v>#DIV/0!</v>
      </c>
      <c r="AC56" s="747">
        <v>570680</v>
      </c>
      <c r="AD56" s="747"/>
      <c r="AE56" s="798">
        <f t="shared" si="10"/>
        <v>900000</v>
      </c>
      <c r="AF56" s="798">
        <v>619610</v>
      </c>
      <c r="AG56" s="798"/>
      <c r="AH56" s="798"/>
      <c r="AI56" s="811">
        <f t="shared" si="8"/>
        <v>900000</v>
      </c>
      <c r="AJ56" s="811">
        <v>1095550</v>
      </c>
      <c r="AK56" s="811"/>
      <c r="AL56" s="811"/>
      <c r="AM56" s="818"/>
      <c r="AN56" s="818"/>
      <c r="AO56" s="818"/>
      <c r="AP56" s="818"/>
      <c r="AQ56" s="1215"/>
      <c r="AR56" s="1215"/>
      <c r="AS56" s="1398"/>
      <c r="AT56" s="1359"/>
      <c r="AU56" s="850"/>
      <c r="AV56" s="1215"/>
    </row>
    <row r="57" spans="1:48" x14ac:dyDescent="0.25">
      <c r="A57" s="861"/>
      <c r="B57" s="1219" t="s">
        <v>409</v>
      </c>
      <c r="C57" s="862"/>
      <c r="D57" s="747"/>
      <c r="E57" s="747"/>
      <c r="F57" s="747"/>
      <c r="G57" s="747"/>
      <c r="H57" s="747"/>
      <c r="I57" s="747"/>
      <c r="J57" s="748"/>
      <c r="K57" s="747"/>
      <c r="L57" s="747"/>
      <c r="M57" s="747"/>
      <c r="N57" s="747"/>
      <c r="O57" s="747"/>
      <c r="P57" s="747">
        <v>1000000</v>
      </c>
      <c r="Q57" s="747"/>
      <c r="R57" s="747"/>
      <c r="S57" s="747"/>
      <c r="T57" s="751"/>
      <c r="U57" s="751"/>
      <c r="V57" s="751"/>
      <c r="W57" s="751"/>
      <c r="X57" s="747">
        <v>1000000</v>
      </c>
      <c r="Y57" s="747"/>
      <c r="Z57" s="757">
        <v>0</v>
      </c>
      <c r="AA57" s="747"/>
      <c r="AB57" s="826" t="e">
        <f t="shared" si="9"/>
        <v>#DIV/0!</v>
      </c>
      <c r="AC57" s="757"/>
      <c r="AD57" s="747"/>
      <c r="AE57" s="798">
        <f>+X57</f>
        <v>1000000</v>
      </c>
      <c r="AF57" s="854">
        <v>0</v>
      </c>
      <c r="AG57" s="854"/>
      <c r="AH57" s="854"/>
      <c r="AI57" s="815">
        <f t="shared" si="8"/>
        <v>1000000</v>
      </c>
      <c r="AJ57" s="857">
        <v>0</v>
      </c>
      <c r="AK57" s="815"/>
      <c r="AL57" s="815"/>
      <c r="AM57" s="1128"/>
      <c r="AN57" s="1220"/>
      <c r="AO57" s="1128"/>
      <c r="AP57" s="1128"/>
      <c r="AQ57" s="1220"/>
      <c r="AR57" s="1128"/>
      <c r="AS57" s="1391"/>
      <c r="AT57" s="1356"/>
      <c r="AU57" s="850"/>
      <c r="AV57" s="1128"/>
    </row>
    <row r="58" spans="1:48" x14ac:dyDescent="0.25">
      <c r="A58" s="861"/>
      <c r="B58" s="1219" t="s">
        <v>410</v>
      </c>
      <c r="C58" s="862"/>
      <c r="D58" s="747"/>
      <c r="E58" s="747"/>
      <c r="F58" s="747"/>
      <c r="G58" s="747"/>
      <c r="H58" s="747"/>
      <c r="I58" s="747"/>
      <c r="J58" s="748"/>
      <c r="K58" s="747"/>
      <c r="L58" s="747"/>
      <c r="M58" s="747"/>
      <c r="N58" s="747"/>
      <c r="O58" s="747"/>
      <c r="P58" s="747">
        <v>1000000</v>
      </c>
      <c r="Q58" s="747"/>
      <c r="R58" s="747"/>
      <c r="S58" s="747"/>
      <c r="T58" s="751"/>
      <c r="U58" s="751"/>
      <c r="V58" s="751"/>
      <c r="W58" s="751"/>
      <c r="X58" s="760">
        <v>1000000</v>
      </c>
      <c r="Y58" s="747"/>
      <c r="Z58" s="757">
        <v>0</v>
      </c>
      <c r="AA58" s="747"/>
      <c r="AB58" s="835" t="e">
        <f t="shared" si="9"/>
        <v>#DIV/0!</v>
      </c>
      <c r="AC58" s="757"/>
      <c r="AD58" s="747"/>
      <c r="AE58" s="798">
        <f t="shared" si="10"/>
        <v>1000000</v>
      </c>
      <c r="AF58" s="854">
        <v>0</v>
      </c>
      <c r="AG58" s="854"/>
      <c r="AH58" s="854"/>
      <c r="AI58" s="811">
        <f t="shared" si="8"/>
        <v>1000000</v>
      </c>
      <c r="AJ58" s="875">
        <v>0</v>
      </c>
      <c r="AK58" s="811"/>
      <c r="AL58" s="811"/>
      <c r="AM58" s="859"/>
      <c r="AN58" s="1218"/>
      <c r="AO58" s="859"/>
      <c r="AP58" s="859"/>
      <c r="AQ58" s="1220"/>
      <c r="AR58" s="1128"/>
      <c r="AS58" s="1391"/>
      <c r="AT58" s="1356"/>
      <c r="AU58" s="850"/>
      <c r="AV58" s="1130"/>
    </row>
    <row r="59" spans="1:48" s="845" customFormat="1" x14ac:dyDescent="0.25">
      <c r="A59" s="863"/>
      <c r="B59" s="1181" t="s">
        <v>1140</v>
      </c>
      <c r="C59" s="864"/>
      <c r="D59" s="798"/>
      <c r="E59" s="798"/>
      <c r="F59" s="798"/>
      <c r="G59" s="798"/>
      <c r="H59" s="798"/>
      <c r="I59" s="798"/>
      <c r="J59" s="797"/>
      <c r="K59" s="798"/>
      <c r="L59" s="798"/>
      <c r="M59" s="798"/>
      <c r="N59" s="798"/>
      <c r="O59" s="798"/>
      <c r="P59" s="798"/>
      <c r="Q59" s="798"/>
      <c r="R59" s="798"/>
      <c r="S59" s="798"/>
      <c r="T59" s="799"/>
      <c r="U59" s="799"/>
      <c r="V59" s="799"/>
      <c r="W59" s="799"/>
      <c r="X59" s="798">
        <v>695500</v>
      </c>
      <c r="Y59" s="798"/>
      <c r="Z59" s="757">
        <v>0</v>
      </c>
      <c r="AA59" s="798"/>
      <c r="AB59" s="902" t="e">
        <f t="shared" si="9"/>
        <v>#DIV/0!</v>
      </c>
      <c r="AC59" s="757"/>
      <c r="AD59" s="798"/>
      <c r="AE59" s="798">
        <f t="shared" si="10"/>
        <v>695500</v>
      </c>
      <c r="AF59" s="854">
        <v>0</v>
      </c>
      <c r="AG59" s="854"/>
      <c r="AH59" s="854"/>
      <c r="AI59" s="811">
        <f t="shared" si="8"/>
        <v>695500</v>
      </c>
      <c r="AJ59" s="875">
        <v>0</v>
      </c>
      <c r="AK59" s="811"/>
      <c r="AL59" s="811"/>
      <c r="AM59" s="856"/>
      <c r="AN59" s="1216"/>
      <c r="AO59" s="856"/>
      <c r="AP59" s="856"/>
      <c r="AQ59" s="1220"/>
      <c r="AR59" s="1127"/>
      <c r="AS59" s="1284"/>
      <c r="AT59" s="1360"/>
      <c r="AU59" s="848"/>
      <c r="AV59" s="1131"/>
    </row>
    <row r="60" spans="1:48" s="845" customFormat="1" x14ac:dyDescent="0.25">
      <c r="A60" s="863"/>
      <c r="B60" s="1213" t="s">
        <v>1156</v>
      </c>
      <c r="C60" s="864"/>
      <c r="D60" s="798"/>
      <c r="E60" s="798"/>
      <c r="F60" s="798"/>
      <c r="G60" s="798"/>
      <c r="H60" s="798"/>
      <c r="I60" s="798"/>
      <c r="J60" s="797"/>
      <c r="K60" s="798"/>
      <c r="L60" s="798"/>
      <c r="M60" s="798"/>
      <c r="N60" s="798"/>
      <c r="O60" s="798"/>
      <c r="P60" s="798"/>
      <c r="Q60" s="798"/>
      <c r="R60" s="798"/>
      <c r="S60" s="798"/>
      <c r="T60" s="798"/>
      <c r="U60" s="798"/>
      <c r="V60" s="798"/>
      <c r="W60" s="798"/>
      <c r="X60" s="798">
        <v>4230600</v>
      </c>
      <c r="Y60" s="798"/>
      <c r="Z60" s="757">
        <v>0</v>
      </c>
      <c r="AA60" s="798"/>
      <c r="AB60" s="720" t="e">
        <f t="shared" si="9"/>
        <v>#DIV/0!</v>
      </c>
      <c r="AC60" s="757"/>
      <c r="AD60" s="798"/>
      <c r="AE60" s="854">
        <v>0</v>
      </c>
      <c r="AF60" s="854">
        <v>0</v>
      </c>
      <c r="AG60" s="854"/>
      <c r="AH60" s="854"/>
      <c r="AI60" s="866">
        <f t="shared" si="8"/>
        <v>0</v>
      </c>
      <c r="AJ60" s="857">
        <v>0</v>
      </c>
      <c r="AK60" s="866"/>
      <c r="AL60" s="866"/>
      <c r="AM60" s="1214"/>
      <c r="AN60" s="1216"/>
      <c r="AO60" s="1214"/>
      <c r="AP60" s="1214"/>
      <c r="AQ60" s="1220"/>
      <c r="AR60" s="1214"/>
      <c r="AS60" s="1399"/>
      <c r="AT60" s="1328"/>
      <c r="AU60" s="848"/>
      <c r="AV60" s="1214"/>
    </row>
    <row r="61" spans="1:48" s="845" customFormat="1" ht="63" hidden="1" x14ac:dyDescent="0.25">
      <c r="A61" s="863"/>
      <c r="B61" s="867" t="s">
        <v>572</v>
      </c>
      <c r="C61" s="864"/>
      <c r="D61" s="798"/>
      <c r="E61" s="798"/>
      <c r="F61" s="798"/>
      <c r="G61" s="798"/>
      <c r="H61" s="798"/>
      <c r="I61" s="798"/>
      <c r="J61" s="797"/>
      <c r="K61" s="798"/>
      <c r="L61" s="798"/>
      <c r="M61" s="798"/>
      <c r="N61" s="798"/>
      <c r="O61" s="798"/>
      <c r="P61" s="798"/>
      <c r="Q61" s="798"/>
      <c r="R61" s="798"/>
      <c r="S61" s="798"/>
      <c r="T61" s="798"/>
      <c r="U61" s="798"/>
      <c r="V61" s="798"/>
      <c r="W61" s="798"/>
      <c r="X61" s="798">
        <v>1800000</v>
      </c>
      <c r="Y61" s="798"/>
      <c r="Z61" s="757">
        <v>0</v>
      </c>
      <c r="AA61" s="798"/>
      <c r="AB61" s="720" t="e">
        <f t="shared" si="9"/>
        <v>#DIV/0!</v>
      </c>
      <c r="AC61" s="757"/>
      <c r="AD61" s="798"/>
      <c r="AE61" s="798">
        <f>+X61</f>
        <v>1800000</v>
      </c>
      <c r="AF61" s="854">
        <v>0</v>
      </c>
      <c r="AG61" s="854"/>
      <c r="AH61" s="854"/>
      <c r="AI61" s="815">
        <f t="shared" si="8"/>
        <v>1800000</v>
      </c>
      <c r="AJ61" s="857">
        <v>0</v>
      </c>
      <c r="AK61" s="815"/>
      <c r="AL61" s="815"/>
      <c r="AM61" s="1127"/>
      <c r="AN61" s="1216"/>
      <c r="AO61" s="1127"/>
      <c r="AP61" s="1127"/>
      <c r="AQ61" s="1220"/>
      <c r="AR61" s="1127"/>
      <c r="AS61" s="1284"/>
      <c r="AT61" s="856"/>
      <c r="AU61" s="848"/>
      <c r="AV61" s="1127"/>
    </row>
    <row r="62" spans="1:48" x14ac:dyDescent="0.25">
      <c r="A62" s="861"/>
      <c r="B62" s="870" t="s">
        <v>437</v>
      </c>
      <c r="C62" s="862"/>
      <c r="D62" s="747"/>
      <c r="E62" s="747"/>
      <c r="F62" s="747"/>
      <c r="G62" s="747"/>
      <c r="H62" s="747"/>
      <c r="I62" s="747"/>
      <c r="J62" s="748"/>
      <c r="K62" s="747"/>
      <c r="L62" s="747"/>
      <c r="M62" s="747"/>
      <c r="N62" s="747"/>
      <c r="O62" s="747"/>
      <c r="P62" s="747"/>
      <c r="Q62" s="747"/>
      <c r="R62" s="747"/>
      <c r="S62" s="747"/>
      <c r="T62" s="747"/>
      <c r="U62" s="747"/>
      <c r="V62" s="747"/>
      <c r="W62" s="747"/>
      <c r="X62" s="747">
        <v>8500000</v>
      </c>
      <c r="Y62" s="747"/>
      <c r="Z62" s="757">
        <v>0</v>
      </c>
      <c r="AA62" s="747"/>
      <c r="AB62" s="894" t="e">
        <f t="shared" si="9"/>
        <v>#DIV/0!</v>
      </c>
      <c r="AC62" s="757"/>
      <c r="AD62" s="747"/>
      <c r="AE62" s="747">
        <f>+X62</f>
        <v>8500000</v>
      </c>
      <c r="AF62" s="854">
        <v>0</v>
      </c>
      <c r="AG62" s="854"/>
      <c r="AH62" s="854"/>
      <c r="AI62" s="811">
        <f t="shared" si="8"/>
        <v>8500000</v>
      </c>
      <c r="AJ62" s="875">
        <v>0</v>
      </c>
      <c r="AK62" s="811"/>
      <c r="AL62" s="811"/>
      <c r="AM62" s="859"/>
      <c r="AN62" s="1216"/>
      <c r="AO62" s="859"/>
      <c r="AP62" s="859"/>
      <c r="AQ62" s="1220"/>
      <c r="AR62" s="1128"/>
      <c r="AS62" s="1391"/>
      <c r="AT62" s="1361"/>
      <c r="AU62" s="850" t="s">
        <v>393</v>
      </c>
      <c r="AV62" s="859"/>
    </row>
    <row r="63" spans="1:48" s="869" customFormat="1" ht="42" x14ac:dyDescent="0.25">
      <c r="A63" s="1096"/>
      <c r="B63" s="1097" t="s">
        <v>1128</v>
      </c>
      <c r="C63" s="1098"/>
      <c r="D63" s="1099"/>
      <c r="E63" s="1099"/>
      <c r="F63" s="1099"/>
      <c r="G63" s="1099"/>
      <c r="H63" s="1099"/>
      <c r="I63" s="1099"/>
      <c r="J63" s="1100"/>
      <c r="K63" s="1099"/>
      <c r="L63" s="1099"/>
      <c r="M63" s="1099"/>
      <c r="N63" s="1099"/>
      <c r="O63" s="1099"/>
      <c r="P63" s="1099"/>
      <c r="Q63" s="1099"/>
      <c r="R63" s="1099"/>
      <c r="S63" s="1099"/>
      <c r="T63" s="1099"/>
      <c r="U63" s="1099"/>
      <c r="V63" s="1099"/>
      <c r="W63" s="1099"/>
      <c r="X63" s="1099">
        <v>4920000</v>
      </c>
      <c r="Y63" s="1101"/>
      <c r="Z63" s="903">
        <v>0</v>
      </c>
      <c r="AA63" s="1102"/>
      <c r="AB63" s="904" t="e">
        <f t="shared" si="9"/>
        <v>#DIV/0!</v>
      </c>
      <c r="AC63" s="903"/>
      <c r="AD63" s="1102"/>
      <c r="AE63" s="1103">
        <v>4968000</v>
      </c>
      <c r="AF63" s="854">
        <v>0</v>
      </c>
      <c r="AG63" s="854"/>
      <c r="AH63" s="854"/>
      <c r="AI63" s="842">
        <f t="shared" si="8"/>
        <v>4968000</v>
      </c>
      <c r="AJ63" s="1104">
        <v>0</v>
      </c>
      <c r="AK63" s="842"/>
      <c r="AL63" s="842"/>
      <c r="AM63" s="842"/>
      <c r="AN63" s="1227"/>
      <c r="AO63" s="842"/>
      <c r="AP63" s="842"/>
      <c r="AQ63" s="1364"/>
      <c r="AR63" s="1135"/>
      <c r="AS63" s="1395"/>
      <c r="AT63" s="1135"/>
      <c r="AU63" s="844"/>
      <c r="AV63" s="843"/>
    </row>
    <row r="64" spans="1:48" s="871" customFormat="1" ht="23.25" customHeight="1" x14ac:dyDescent="0.25">
      <c r="A64" s="861"/>
      <c r="B64" s="870" t="s">
        <v>436</v>
      </c>
      <c r="C64" s="862"/>
      <c r="D64" s="747"/>
      <c r="E64" s="747"/>
      <c r="F64" s="747"/>
      <c r="G64" s="747"/>
      <c r="H64" s="747"/>
      <c r="I64" s="747"/>
      <c r="J64" s="748"/>
      <c r="K64" s="747"/>
      <c r="L64" s="747"/>
      <c r="M64" s="747"/>
      <c r="N64" s="747"/>
      <c r="O64" s="747"/>
      <c r="P64" s="747"/>
      <c r="Q64" s="747"/>
      <c r="R64" s="747"/>
      <c r="S64" s="747"/>
      <c r="T64" s="747"/>
      <c r="U64" s="747"/>
      <c r="V64" s="747"/>
      <c r="W64" s="747"/>
      <c r="X64" s="747">
        <v>720000</v>
      </c>
      <c r="Y64" s="747"/>
      <c r="Z64" s="757">
        <v>0</v>
      </c>
      <c r="AA64" s="747"/>
      <c r="AB64" s="835" t="e">
        <f t="shared" si="9"/>
        <v>#DIV/0!</v>
      </c>
      <c r="AC64" s="757">
        <v>119840</v>
      </c>
      <c r="AD64" s="747"/>
      <c r="AE64" s="747">
        <f t="shared" ref="AE64:AE68" si="12">+X64</f>
        <v>720000</v>
      </c>
      <c r="AF64" s="747">
        <v>299600</v>
      </c>
      <c r="AG64" s="747"/>
      <c r="AH64" s="747"/>
      <c r="AI64" s="815">
        <f t="shared" si="8"/>
        <v>720000</v>
      </c>
      <c r="AJ64" s="815">
        <v>359520</v>
      </c>
      <c r="AK64" s="815"/>
      <c r="AL64" s="815"/>
      <c r="AM64" s="753"/>
      <c r="AN64" s="753"/>
      <c r="AO64" s="753"/>
      <c r="AP64" s="753"/>
      <c r="AQ64" s="753"/>
      <c r="AR64" s="753"/>
      <c r="AS64" s="1302"/>
      <c r="AT64" s="753"/>
      <c r="AU64" s="753"/>
      <c r="AV64" s="753"/>
    </row>
    <row r="65" spans="1:48" s="872" customFormat="1" ht="23.25" customHeight="1" x14ac:dyDescent="0.25">
      <c r="A65" s="863"/>
      <c r="B65" s="1271" t="s">
        <v>539</v>
      </c>
      <c r="C65" s="864"/>
      <c r="D65" s="798"/>
      <c r="E65" s="798"/>
      <c r="F65" s="798"/>
      <c r="G65" s="798"/>
      <c r="H65" s="798"/>
      <c r="I65" s="798"/>
      <c r="J65" s="797"/>
      <c r="K65" s="798"/>
      <c r="L65" s="798"/>
      <c r="M65" s="798"/>
      <c r="N65" s="798"/>
      <c r="O65" s="798"/>
      <c r="P65" s="798"/>
      <c r="Q65" s="798"/>
      <c r="R65" s="798"/>
      <c r="S65" s="798"/>
      <c r="T65" s="798"/>
      <c r="U65" s="798"/>
      <c r="V65" s="798"/>
      <c r="W65" s="798"/>
      <c r="X65" s="798">
        <v>300000</v>
      </c>
      <c r="Y65" s="798"/>
      <c r="Z65" s="757">
        <v>0</v>
      </c>
      <c r="AA65" s="798"/>
      <c r="AB65" s="835" t="e">
        <f t="shared" si="9"/>
        <v>#DIV/0!</v>
      </c>
      <c r="AC65" s="757"/>
      <c r="AD65" s="798"/>
      <c r="AE65" s="798">
        <f t="shared" si="12"/>
        <v>300000</v>
      </c>
      <c r="AF65" s="854">
        <v>0</v>
      </c>
      <c r="AG65" s="854"/>
      <c r="AH65" s="854"/>
      <c r="AI65" s="811">
        <f t="shared" si="8"/>
        <v>300000</v>
      </c>
      <c r="AJ65" s="875">
        <v>0</v>
      </c>
      <c r="AK65" s="811"/>
      <c r="AL65" s="811"/>
      <c r="AM65" s="747"/>
      <c r="AN65" s="1218"/>
      <c r="AO65" s="747"/>
      <c r="AP65" s="747"/>
      <c r="AQ65" s="1220"/>
      <c r="AR65" s="1262"/>
      <c r="AS65" s="1400"/>
      <c r="AT65" s="1262"/>
      <c r="AU65" s="753"/>
      <c r="AV65" s="753"/>
    </row>
    <row r="66" spans="1:48" s="873" customFormat="1" ht="23.25" customHeight="1" x14ac:dyDescent="0.25">
      <c r="A66" s="863"/>
      <c r="B66" s="1271" t="s">
        <v>1169</v>
      </c>
      <c r="C66" s="864"/>
      <c r="D66" s="798"/>
      <c r="E66" s="798"/>
      <c r="F66" s="798"/>
      <c r="G66" s="798"/>
      <c r="H66" s="798"/>
      <c r="I66" s="798"/>
      <c r="J66" s="797"/>
      <c r="K66" s="798"/>
      <c r="L66" s="798"/>
      <c r="M66" s="798"/>
      <c r="N66" s="798"/>
      <c r="O66" s="798"/>
      <c r="P66" s="798"/>
      <c r="Q66" s="798"/>
      <c r="R66" s="798"/>
      <c r="S66" s="798"/>
      <c r="T66" s="798"/>
      <c r="U66" s="798"/>
      <c r="V66" s="798"/>
      <c r="W66" s="798"/>
      <c r="X66" s="798">
        <v>200000</v>
      </c>
      <c r="Y66" s="798"/>
      <c r="Z66" s="757">
        <v>0</v>
      </c>
      <c r="AA66" s="798"/>
      <c r="AB66" s="835" t="e">
        <f t="shared" ref="AB66:AB72" si="13">+(X66-Q66)/Q66*100</f>
        <v>#DIV/0!</v>
      </c>
      <c r="AC66" s="757"/>
      <c r="AD66" s="798"/>
      <c r="AE66" s="798">
        <f t="shared" si="12"/>
        <v>200000</v>
      </c>
      <c r="AF66" s="854">
        <v>0</v>
      </c>
      <c r="AG66" s="854"/>
      <c r="AH66" s="854"/>
      <c r="AI66" s="811">
        <f t="shared" si="8"/>
        <v>200000</v>
      </c>
      <c r="AJ66" s="875">
        <v>0</v>
      </c>
      <c r="AK66" s="811"/>
      <c r="AL66" s="811"/>
      <c r="AM66" s="747"/>
      <c r="AN66" s="1218"/>
      <c r="AO66" s="747"/>
      <c r="AP66" s="747"/>
      <c r="AQ66" s="1220"/>
      <c r="AR66" s="895"/>
      <c r="AS66" s="1401"/>
      <c r="AT66" s="1362"/>
      <c r="AU66" s="753" t="s">
        <v>393</v>
      </c>
      <c r="AV66" s="753"/>
    </row>
    <row r="67" spans="1:48" s="845" customFormat="1" ht="23.25" customHeight="1" x14ac:dyDescent="0.25">
      <c r="A67" s="863"/>
      <c r="B67" s="1182" t="s">
        <v>477</v>
      </c>
      <c r="C67" s="864"/>
      <c r="D67" s="798"/>
      <c r="E67" s="798"/>
      <c r="F67" s="798"/>
      <c r="G67" s="798"/>
      <c r="H67" s="798"/>
      <c r="I67" s="798"/>
      <c r="J67" s="797"/>
      <c r="K67" s="798"/>
      <c r="L67" s="798"/>
      <c r="M67" s="798"/>
      <c r="N67" s="798"/>
      <c r="O67" s="798"/>
      <c r="P67" s="798"/>
      <c r="Q67" s="798"/>
      <c r="R67" s="798"/>
      <c r="S67" s="798"/>
      <c r="T67" s="798"/>
      <c r="U67" s="798"/>
      <c r="V67" s="798"/>
      <c r="W67" s="798"/>
      <c r="X67" s="798">
        <v>500000</v>
      </c>
      <c r="Y67" s="798"/>
      <c r="Z67" s="757">
        <v>0</v>
      </c>
      <c r="AA67" s="798"/>
      <c r="AB67" s="835" t="e">
        <f t="shared" si="13"/>
        <v>#DIV/0!</v>
      </c>
      <c r="AC67" s="757"/>
      <c r="AD67" s="798"/>
      <c r="AE67" s="798">
        <f t="shared" si="12"/>
        <v>500000</v>
      </c>
      <c r="AF67" s="854">
        <v>0</v>
      </c>
      <c r="AG67" s="854"/>
      <c r="AH67" s="854"/>
      <c r="AI67" s="811">
        <f t="shared" si="8"/>
        <v>500000</v>
      </c>
      <c r="AJ67" s="875">
        <v>0</v>
      </c>
      <c r="AK67" s="811"/>
      <c r="AL67" s="811"/>
      <c r="AM67" s="747"/>
      <c r="AN67" s="1216"/>
      <c r="AO67" s="747"/>
      <c r="AP67" s="747"/>
      <c r="AQ67" s="1220"/>
      <c r="AR67" s="753"/>
      <c r="AS67" s="1302"/>
      <c r="AT67" s="753"/>
      <c r="AU67" s="753"/>
      <c r="AV67" s="753"/>
    </row>
    <row r="68" spans="1:48" s="845" customFormat="1" ht="21.75" hidden="1" customHeight="1" x14ac:dyDescent="0.25">
      <c r="A68" s="863"/>
      <c r="B68" s="874" t="s">
        <v>1162</v>
      </c>
      <c r="C68" s="864"/>
      <c r="D68" s="798"/>
      <c r="E68" s="798"/>
      <c r="F68" s="798"/>
      <c r="G68" s="798"/>
      <c r="H68" s="798"/>
      <c r="I68" s="798"/>
      <c r="J68" s="797"/>
      <c r="K68" s="798"/>
      <c r="L68" s="798"/>
      <c r="M68" s="798"/>
      <c r="N68" s="798"/>
      <c r="O68" s="798"/>
      <c r="P68" s="798"/>
      <c r="Q68" s="798"/>
      <c r="R68" s="798"/>
      <c r="S68" s="798"/>
      <c r="T68" s="798"/>
      <c r="U68" s="798"/>
      <c r="V68" s="798"/>
      <c r="W68" s="798"/>
      <c r="X68" s="798">
        <v>50000</v>
      </c>
      <c r="Y68" s="798"/>
      <c r="Z68" s="757">
        <v>0</v>
      </c>
      <c r="AA68" s="798"/>
      <c r="AB68" s="835" t="e">
        <f t="shared" si="13"/>
        <v>#DIV/0!</v>
      </c>
      <c r="AC68" s="757"/>
      <c r="AD68" s="798"/>
      <c r="AE68" s="798">
        <f t="shared" si="12"/>
        <v>50000</v>
      </c>
      <c r="AF68" s="854">
        <v>0</v>
      </c>
      <c r="AG68" s="854"/>
      <c r="AH68" s="854"/>
      <c r="AI68" s="815">
        <f t="shared" si="8"/>
        <v>50000</v>
      </c>
      <c r="AJ68" s="1228">
        <v>0</v>
      </c>
      <c r="AK68" s="1135"/>
      <c r="AL68" s="1135"/>
      <c r="AM68" s="1229"/>
      <c r="AN68" s="1227"/>
      <c r="AO68" s="1229"/>
      <c r="AP68" s="1229"/>
      <c r="AQ68" s="1220"/>
      <c r="AR68" s="1229"/>
      <c r="AS68" s="1402"/>
      <c r="AT68" s="1229"/>
      <c r="AU68" s="800"/>
      <c r="AV68" s="1132"/>
    </row>
    <row r="69" spans="1:48" s="845" customFormat="1" ht="23.25" customHeight="1" x14ac:dyDescent="0.25">
      <c r="A69" s="863"/>
      <c r="B69" s="874" t="s">
        <v>527</v>
      </c>
      <c r="C69" s="864"/>
      <c r="D69" s="798"/>
      <c r="E69" s="798"/>
      <c r="F69" s="798"/>
      <c r="G69" s="798"/>
      <c r="H69" s="798"/>
      <c r="I69" s="798"/>
      <c r="J69" s="797"/>
      <c r="K69" s="798"/>
      <c r="L69" s="798"/>
      <c r="M69" s="798"/>
      <c r="N69" s="798"/>
      <c r="O69" s="798"/>
      <c r="P69" s="798"/>
      <c r="Q69" s="798"/>
      <c r="R69" s="798"/>
      <c r="S69" s="798"/>
      <c r="T69" s="798"/>
      <c r="U69" s="798"/>
      <c r="V69" s="798"/>
      <c r="W69" s="798"/>
      <c r="X69" s="798">
        <v>300000</v>
      </c>
      <c r="Y69" s="798"/>
      <c r="Z69" s="757">
        <v>0</v>
      </c>
      <c r="AA69" s="798"/>
      <c r="AB69" s="835" t="e">
        <f t="shared" si="13"/>
        <v>#DIV/0!</v>
      </c>
      <c r="AC69" s="757"/>
      <c r="AD69" s="798"/>
      <c r="AE69" s="798">
        <f>+X69</f>
        <v>300000</v>
      </c>
      <c r="AF69" s="854">
        <v>0</v>
      </c>
      <c r="AG69" s="854"/>
      <c r="AH69" s="854"/>
      <c r="AI69" s="811">
        <f t="shared" si="8"/>
        <v>300000</v>
      </c>
      <c r="AJ69" s="875">
        <v>0</v>
      </c>
      <c r="AK69" s="811"/>
      <c r="AL69" s="811"/>
      <c r="AM69" s="747"/>
      <c r="AN69" s="1216"/>
      <c r="AO69" s="747"/>
      <c r="AP69" s="747"/>
      <c r="AQ69" s="1220"/>
      <c r="AR69" s="753"/>
      <c r="AS69" s="1302"/>
      <c r="AT69" s="753"/>
      <c r="AU69" s="753"/>
      <c r="AV69" s="747"/>
    </row>
    <row r="70" spans="1:48" s="845" customFormat="1" ht="23.25" customHeight="1" x14ac:dyDescent="0.25">
      <c r="A70" s="863"/>
      <c r="B70" s="874" t="s">
        <v>571</v>
      </c>
      <c r="C70" s="864"/>
      <c r="D70" s="798"/>
      <c r="E70" s="798"/>
      <c r="F70" s="798"/>
      <c r="G70" s="798"/>
      <c r="H70" s="798"/>
      <c r="I70" s="798"/>
      <c r="J70" s="797"/>
      <c r="K70" s="798"/>
      <c r="L70" s="798"/>
      <c r="M70" s="798"/>
      <c r="N70" s="798"/>
      <c r="O70" s="798"/>
      <c r="P70" s="798"/>
      <c r="Q70" s="798"/>
      <c r="R70" s="798"/>
      <c r="S70" s="798"/>
      <c r="T70" s="798"/>
      <c r="U70" s="798"/>
      <c r="V70" s="798"/>
      <c r="W70" s="798"/>
      <c r="X70" s="798">
        <v>600000</v>
      </c>
      <c r="Y70" s="798"/>
      <c r="Z70" s="757">
        <v>0</v>
      </c>
      <c r="AA70" s="798"/>
      <c r="AB70" s="835" t="e">
        <f t="shared" si="13"/>
        <v>#DIV/0!</v>
      </c>
      <c r="AC70" s="757"/>
      <c r="AD70" s="798"/>
      <c r="AE70" s="798">
        <f t="shared" ref="AE70:AE72" si="14">+X70</f>
        <v>600000</v>
      </c>
      <c r="AF70" s="854">
        <v>0</v>
      </c>
      <c r="AG70" s="854"/>
      <c r="AH70" s="854"/>
      <c r="AI70" s="811">
        <f t="shared" si="8"/>
        <v>600000</v>
      </c>
      <c r="AJ70" s="875">
        <v>0</v>
      </c>
      <c r="AK70" s="811"/>
      <c r="AL70" s="811"/>
      <c r="AM70" s="747"/>
      <c r="AN70" s="1216"/>
      <c r="AO70" s="747"/>
      <c r="AP70" s="747"/>
      <c r="AQ70" s="1220"/>
      <c r="AR70" s="753"/>
      <c r="AS70" s="1302"/>
      <c r="AT70" s="753"/>
      <c r="AU70" s="753"/>
      <c r="AV70" s="747"/>
    </row>
    <row r="71" spans="1:48" ht="23.25" customHeight="1" x14ac:dyDescent="0.25">
      <c r="A71" s="861"/>
      <c r="B71" s="874" t="s">
        <v>476</v>
      </c>
      <c r="C71" s="862"/>
      <c r="D71" s="747"/>
      <c r="E71" s="747"/>
      <c r="F71" s="747"/>
      <c r="G71" s="747"/>
      <c r="H71" s="747"/>
      <c r="I71" s="747"/>
      <c r="J71" s="748"/>
      <c r="K71" s="747"/>
      <c r="L71" s="747"/>
      <c r="M71" s="747"/>
      <c r="N71" s="747"/>
      <c r="O71" s="747"/>
      <c r="P71" s="747"/>
      <c r="Q71" s="747"/>
      <c r="R71" s="747"/>
      <c r="S71" s="747"/>
      <c r="T71" s="747"/>
      <c r="U71" s="747"/>
      <c r="V71" s="747"/>
      <c r="W71" s="747"/>
      <c r="X71" s="747">
        <v>310000</v>
      </c>
      <c r="Y71" s="747"/>
      <c r="Z71" s="757">
        <v>0</v>
      </c>
      <c r="AA71" s="747"/>
      <c r="AB71" s="835" t="e">
        <f t="shared" si="13"/>
        <v>#DIV/0!</v>
      </c>
      <c r="AC71" s="757"/>
      <c r="AD71" s="747"/>
      <c r="AE71" s="798">
        <f t="shared" si="14"/>
        <v>310000</v>
      </c>
      <c r="AF71" s="854">
        <v>0</v>
      </c>
      <c r="AG71" s="854"/>
      <c r="AH71" s="854"/>
      <c r="AI71" s="815">
        <f t="shared" si="8"/>
        <v>310000</v>
      </c>
      <c r="AJ71" s="857">
        <v>0</v>
      </c>
      <c r="AK71" s="815"/>
      <c r="AL71" s="815"/>
      <c r="AM71" s="753"/>
      <c r="AN71" s="1216"/>
      <c r="AO71" s="753"/>
      <c r="AP71" s="753"/>
      <c r="AQ71" s="1220"/>
      <c r="AR71" s="753"/>
      <c r="AS71" s="1302"/>
      <c r="AT71" s="753"/>
      <c r="AU71" s="753"/>
      <c r="AV71" s="753"/>
    </row>
    <row r="72" spans="1:48" ht="23.25" customHeight="1" x14ac:dyDescent="0.25">
      <c r="A72" s="861"/>
      <c r="B72" s="874" t="s">
        <v>529</v>
      </c>
      <c r="C72" s="862"/>
      <c r="D72" s="747"/>
      <c r="E72" s="747"/>
      <c r="F72" s="747"/>
      <c r="G72" s="747"/>
      <c r="H72" s="747"/>
      <c r="I72" s="747"/>
      <c r="J72" s="748"/>
      <c r="K72" s="747"/>
      <c r="L72" s="747"/>
      <c r="M72" s="747"/>
      <c r="N72" s="747"/>
      <c r="O72" s="747"/>
      <c r="P72" s="747"/>
      <c r="Q72" s="747"/>
      <c r="R72" s="747"/>
      <c r="S72" s="747"/>
      <c r="T72" s="747"/>
      <c r="U72" s="747"/>
      <c r="V72" s="747"/>
      <c r="W72" s="747"/>
      <c r="X72" s="747">
        <v>2000000</v>
      </c>
      <c r="Y72" s="747"/>
      <c r="Z72" s="757">
        <v>0</v>
      </c>
      <c r="AA72" s="747"/>
      <c r="AB72" s="835" t="e">
        <f t="shared" si="13"/>
        <v>#DIV/0!</v>
      </c>
      <c r="AC72" s="757"/>
      <c r="AD72" s="747"/>
      <c r="AE72" s="798">
        <f t="shared" si="14"/>
        <v>2000000</v>
      </c>
      <c r="AF72" s="854">
        <v>0</v>
      </c>
      <c r="AG72" s="854"/>
      <c r="AH72" s="854"/>
      <c r="AI72" s="815">
        <f t="shared" si="8"/>
        <v>2000000</v>
      </c>
      <c r="AJ72" s="857">
        <v>0</v>
      </c>
      <c r="AK72" s="815"/>
      <c r="AL72" s="815"/>
      <c r="AM72" s="753"/>
      <c r="AN72" s="1216"/>
      <c r="AO72" s="753"/>
      <c r="AP72" s="753"/>
      <c r="AQ72" s="1220"/>
      <c r="AR72" s="753"/>
      <c r="AS72" s="1302"/>
      <c r="AT72" s="753"/>
      <c r="AU72" s="753"/>
      <c r="AV72" s="753"/>
    </row>
    <row r="73" spans="1:48" s="885" customFormat="1" ht="23.25" hidden="1" customHeight="1" x14ac:dyDescent="0.25">
      <c r="A73" s="876"/>
      <c r="B73" s="877" t="s">
        <v>581</v>
      </c>
      <c r="C73" s="878"/>
      <c r="D73" s="879"/>
      <c r="E73" s="879"/>
      <c r="F73" s="879"/>
      <c r="G73" s="879"/>
      <c r="H73" s="879"/>
      <c r="I73" s="879"/>
      <c r="J73" s="880"/>
      <c r="K73" s="879"/>
      <c r="L73" s="879"/>
      <c r="M73" s="879"/>
      <c r="N73" s="879"/>
      <c r="O73" s="879"/>
      <c r="P73" s="879"/>
      <c r="Q73" s="879"/>
      <c r="R73" s="879"/>
      <c r="S73" s="879"/>
      <c r="T73" s="879"/>
      <c r="U73" s="879"/>
      <c r="V73" s="879"/>
      <c r="W73" s="879"/>
      <c r="X73" s="881"/>
      <c r="Y73" s="879"/>
      <c r="Z73" s="882"/>
      <c r="AA73" s="879"/>
      <c r="AB73" s="883" t="e">
        <f>+(AE73-Q73)/Q73*100</f>
        <v>#DIV/0!</v>
      </c>
      <c r="AC73" s="882"/>
      <c r="AD73" s="879"/>
      <c r="AE73" s="747">
        <v>39690</v>
      </c>
      <c r="AF73" s="854">
        <v>0</v>
      </c>
      <c r="AG73" s="854"/>
      <c r="AH73" s="854"/>
      <c r="AI73" s="815">
        <f t="shared" si="8"/>
        <v>39690</v>
      </c>
      <c r="AJ73" s="815">
        <v>39690</v>
      </c>
      <c r="AK73" s="815"/>
      <c r="AL73" s="815"/>
      <c r="AM73" s="866"/>
      <c r="AN73" s="1216"/>
      <c r="AO73" s="866"/>
      <c r="AP73" s="866"/>
      <c r="AQ73" s="1220"/>
      <c r="AR73" s="866"/>
      <c r="AS73" s="1403"/>
      <c r="AT73" s="866"/>
      <c r="AU73" s="884"/>
      <c r="AV73" s="1133"/>
    </row>
    <row r="74" spans="1:48" s="885" customFormat="1" ht="23.25" customHeight="1" x14ac:dyDescent="0.25">
      <c r="A74" s="876"/>
      <c r="B74" s="877" t="s">
        <v>1154</v>
      </c>
      <c r="C74" s="878"/>
      <c r="D74" s="879"/>
      <c r="E74" s="879"/>
      <c r="F74" s="879"/>
      <c r="G74" s="879"/>
      <c r="H74" s="879"/>
      <c r="I74" s="879"/>
      <c r="J74" s="880"/>
      <c r="K74" s="879"/>
      <c r="L74" s="879"/>
      <c r="M74" s="879"/>
      <c r="N74" s="879"/>
      <c r="O74" s="879"/>
      <c r="P74" s="879"/>
      <c r="Q74" s="879"/>
      <c r="R74" s="879"/>
      <c r="S74" s="879"/>
      <c r="T74" s="886"/>
      <c r="U74" s="886"/>
      <c r="V74" s="886"/>
      <c r="W74" s="886"/>
      <c r="X74" s="881"/>
      <c r="Y74" s="879"/>
      <c r="Z74" s="882"/>
      <c r="AA74" s="879"/>
      <c r="AB74" s="883" t="e">
        <f>+(AE74-Q74)/Q74*100</f>
        <v>#DIV/0!</v>
      </c>
      <c r="AC74" s="882"/>
      <c r="AD74" s="879"/>
      <c r="AE74" s="747">
        <v>450000</v>
      </c>
      <c r="AF74" s="854">
        <v>0</v>
      </c>
      <c r="AG74" s="854"/>
      <c r="AH74" s="854"/>
      <c r="AI74" s="815">
        <f t="shared" si="8"/>
        <v>450000</v>
      </c>
      <c r="AJ74" s="857">
        <v>0</v>
      </c>
      <c r="AK74" s="815"/>
      <c r="AL74" s="815"/>
      <c r="AM74" s="753"/>
      <c r="AN74" s="1216"/>
      <c r="AO74" s="753"/>
      <c r="AP74" s="753"/>
      <c r="AQ74" s="1220"/>
      <c r="AR74" s="753"/>
      <c r="AS74" s="1302"/>
      <c r="AT74" s="753"/>
      <c r="AU74" s="884"/>
      <c r="AV74" s="884"/>
    </row>
    <row r="75" spans="1:48" s="885" customFormat="1" ht="23.25" customHeight="1" x14ac:dyDescent="0.25">
      <c r="A75" s="876"/>
      <c r="B75" s="877" t="s">
        <v>592</v>
      </c>
      <c r="C75" s="878"/>
      <c r="D75" s="879"/>
      <c r="E75" s="879"/>
      <c r="F75" s="879"/>
      <c r="G75" s="879"/>
      <c r="H75" s="879"/>
      <c r="I75" s="879"/>
      <c r="J75" s="880"/>
      <c r="K75" s="879"/>
      <c r="L75" s="879"/>
      <c r="M75" s="879"/>
      <c r="N75" s="879"/>
      <c r="O75" s="879"/>
      <c r="P75" s="879"/>
      <c r="Q75" s="879"/>
      <c r="R75" s="879"/>
      <c r="S75" s="879"/>
      <c r="T75" s="886"/>
      <c r="U75" s="886"/>
      <c r="V75" s="886"/>
      <c r="W75" s="886"/>
      <c r="X75" s="881"/>
      <c r="Y75" s="879"/>
      <c r="Z75" s="882"/>
      <c r="AA75" s="879"/>
      <c r="AB75" s="883"/>
      <c r="AC75" s="882"/>
      <c r="AD75" s="879"/>
      <c r="AE75" s="747">
        <v>490000</v>
      </c>
      <c r="AF75" s="854">
        <v>0</v>
      </c>
      <c r="AG75" s="854"/>
      <c r="AH75" s="854"/>
      <c r="AI75" s="815">
        <f t="shared" si="8"/>
        <v>490000</v>
      </c>
      <c r="AJ75" s="857">
        <v>0</v>
      </c>
      <c r="AK75" s="815"/>
      <c r="AL75" s="815"/>
      <c r="AM75" s="753"/>
      <c r="AN75" s="1216"/>
      <c r="AO75" s="753"/>
      <c r="AP75" s="753"/>
      <c r="AQ75" s="1220"/>
      <c r="AR75" s="753"/>
      <c r="AS75" s="1302"/>
      <c r="AT75" s="753"/>
      <c r="AU75" s="884"/>
      <c r="AV75" s="884"/>
    </row>
    <row r="76" spans="1:48" s="885" customFormat="1" ht="23.25" customHeight="1" x14ac:dyDescent="0.25">
      <c r="A76" s="876"/>
      <c r="B76" s="877" t="s">
        <v>868</v>
      </c>
      <c r="C76" s="878"/>
      <c r="D76" s="879"/>
      <c r="E76" s="879"/>
      <c r="F76" s="879"/>
      <c r="G76" s="879"/>
      <c r="H76" s="879"/>
      <c r="I76" s="879"/>
      <c r="J76" s="880"/>
      <c r="K76" s="879"/>
      <c r="L76" s="879"/>
      <c r="M76" s="879"/>
      <c r="N76" s="879"/>
      <c r="O76" s="879"/>
      <c r="P76" s="879"/>
      <c r="Q76" s="879"/>
      <c r="R76" s="879"/>
      <c r="S76" s="879"/>
      <c r="T76" s="886"/>
      <c r="U76" s="886"/>
      <c r="V76" s="886"/>
      <c r="W76" s="886"/>
      <c r="X76" s="881"/>
      <c r="Y76" s="879"/>
      <c r="Z76" s="882"/>
      <c r="AA76" s="879"/>
      <c r="AB76" s="883"/>
      <c r="AC76" s="882"/>
      <c r="AD76" s="879"/>
      <c r="AE76" s="747">
        <v>100000</v>
      </c>
      <c r="AF76" s="854">
        <v>0</v>
      </c>
      <c r="AG76" s="854"/>
      <c r="AH76" s="854"/>
      <c r="AI76" s="815">
        <f t="shared" si="8"/>
        <v>100000</v>
      </c>
      <c r="AJ76" s="857">
        <v>0</v>
      </c>
      <c r="AK76" s="815"/>
      <c r="AL76" s="815"/>
      <c r="AM76" s="753"/>
      <c r="AN76" s="1216"/>
      <c r="AO76" s="753"/>
      <c r="AP76" s="753"/>
      <c r="AQ76" s="1220"/>
      <c r="AR76" s="753"/>
      <c r="AS76" s="1302"/>
      <c r="AT76" s="753"/>
      <c r="AU76" s="884"/>
      <c r="AV76" s="884"/>
    </row>
    <row r="77" spans="1:48" s="885" customFormat="1" ht="23.25" customHeight="1" x14ac:dyDescent="0.25">
      <c r="A77" s="876"/>
      <c r="B77" s="877" t="s">
        <v>594</v>
      </c>
      <c r="C77" s="878"/>
      <c r="D77" s="879"/>
      <c r="E77" s="879"/>
      <c r="F77" s="879"/>
      <c r="G77" s="879"/>
      <c r="H77" s="879"/>
      <c r="I77" s="879"/>
      <c r="J77" s="880"/>
      <c r="K77" s="879"/>
      <c r="L77" s="879"/>
      <c r="M77" s="879"/>
      <c r="N77" s="879"/>
      <c r="O77" s="879"/>
      <c r="P77" s="879"/>
      <c r="Q77" s="879"/>
      <c r="R77" s="879"/>
      <c r="S77" s="879"/>
      <c r="T77" s="886"/>
      <c r="U77" s="886"/>
      <c r="V77" s="886"/>
      <c r="W77" s="886"/>
      <c r="X77" s="881"/>
      <c r="Y77" s="879"/>
      <c r="Z77" s="882"/>
      <c r="AA77" s="879"/>
      <c r="AB77" s="883"/>
      <c r="AC77" s="882"/>
      <c r="AD77" s="879"/>
      <c r="AE77" s="747">
        <v>140000</v>
      </c>
      <c r="AF77" s="854">
        <v>0</v>
      </c>
      <c r="AG77" s="854"/>
      <c r="AH77" s="854"/>
      <c r="AI77" s="811">
        <f t="shared" si="8"/>
        <v>140000</v>
      </c>
      <c r="AJ77" s="875">
        <v>0</v>
      </c>
      <c r="AK77" s="811"/>
      <c r="AL77" s="811"/>
      <c r="AM77" s="747"/>
      <c r="AN77" s="1216"/>
      <c r="AO77" s="747"/>
      <c r="AP77" s="747"/>
      <c r="AQ77" s="1220"/>
      <c r="AR77" s="753"/>
      <c r="AS77" s="1302"/>
      <c r="AT77" s="747"/>
      <c r="AU77" s="884"/>
      <c r="AV77" s="884"/>
    </row>
    <row r="78" spans="1:48" s="885" customFormat="1" ht="42" x14ac:dyDescent="0.25">
      <c r="A78" s="876"/>
      <c r="B78" s="877" t="s">
        <v>1172</v>
      </c>
      <c r="C78" s="878"/>
      <c r="D78" s="879"/>
      <c r="E78" s="879"/>
      <c r="F78" s="879"/>
      <c r="G78" s="879"/>
      <c r="H78" s="879"/>
      <c r="I78" s="879"/>
      <c r="J78" s="880"/>
      <c r="K78" s="879"/>
      <c r="L78" s="879"/>
      <c r="M78" s="879"/>
      <c r="N78" s="879"/>
      <c r="O78" s="879"/>
      <c r="P78" s="879"/>
      <c r="Q78" s="879"/>
      <c r="R78" s="879"/>
      <c r="S78" s="879"/>
      <c r="T78" s="886"/>
      <c r="U78" s="886"/>
      <c r="V78" s="886"/>
      <c r="W78" s="886"/>
      <c r="X78" s="881"/>
      <c r="Y78" s="879"/>
      <c r="Z78" s="882"/>
      <c r="AA78" s="879"/>
      <c r="AB78" s="883"/>
      <c r="AC78" s="882"/>
      <c r="AD78" s="879"/>
      <c r="AE78" s="747" t="s">
        <v>869</v>
      </c>
      <c r="AF78" s="854">
        <v>0</v>
      </c>
      <c r="AG78" s="854"/>
      <c r="AH78" s="854"/>
      <c r="AI78" s="854" t="str">
        <f>+AE78</f>
        <v>รวมในงบ 25 ล้านบาท</v>
      </c>
      <c r="AJ78" s="1105">
        <v>0</v>
      </c>
      <c r="AK78" s="854"/>
      <c r="AL78" s="854"/>
      <c r="AM78" s="847"/>
      <c r="AN78" s="1227"/>
      <c r="AO78" s="847"/>
      <c r="AP78" s="847"/>
      <c r="AQ78" s="1364"/>
      <c r="AR78" s="848"/>
      <c r="AS78" s="1404"/>
      <c r="AT78" s="847"/>
      <c r="AU78" s="1342" t="s">
        <v>1129</v>
      </c>
      <c r="AV78" s="1107"/>
    </row>
    <row r="79" spans="1:48" s="885" customFormat="1" ht="22.5" customHeight="1" x14ac:dyDescent="0.25">
      <c r="A79" s="876"/>
      <c r="B79" s="877" t="s">
        <v>870</v>
      </c>
      <c r="C79" s="878"/>
      <c r="D79" s="879"/>
      <c r="E79" s="879"/>
      <c r="F79" s="879"/>
      <c r="G79" s="879"/>
      <c r="H79" s="879"/>
      <c r="I79" s="879"/>
      <c r="J79" s="880"/>
      <c r="K79" s="879"/>
      <c r="L79" s="879"/>
      <c r="M79" s="879"/>
      <c r="N79" s="879"/>
      <c r="O79" s="879"/>
      <c r="P79" s="879"/>
      <c r="Q79" s="879"/>
      <c r="R79" s="879"/>
      <c r="S79" s="879"/>
      <c r="T79" s="886"/>
      <c r="U79" s="886"/>
      <c r="V79" s="886"/>
      <c r="W79" s="886"/>
      <c r="X79" s="881"/>
      <c r="Y79" s="879"/>
      <c r="Z79" s="882"/>
      <c r="AA79" s="879"/>
      <c r="AB79" s="883"/>
      <c r="AC79" s="882"/>
      <c r="AD79" s="879"/>
      <c r="AE79" s="747">
        <v>445000</v>
      </c>
      <c r="AF79" s="854">
        <v>0</v>
      </c>
      <c r="AG79" s="854"/>
      <c r="AH79" s="854"/>
      <c r="AI79" s="854">
        <f>+AE79</f>
        <v>445000</v>
      </c>
      <c r="AJ79" s="1105">
        <v>0</v>
      </c>
      <c r="AK79" s="854"/>
      <c r="AL79" s="854"/>
      <c r="AM79" s="957"/>
      <c r="AN79" s="957"/>
      <c r="AO79" s="957"/>
      <c r="AP79" s="957"/>
      <c r="AQ79" s="1251"/>
      <c r="AR79" s="1251"/>
      <c r="AS79" s="1405"/>
      <c r="AT79" s="957"/>
      <c r="AU79" s="1242"/>
      <c r="AV79" s="1107"/>
    </row>
    <row r="80" spans="1:48" ht="22.5" customHeight="1" x14ac:dyDescent="0.25">
      <c r="A80" s="1157"/>
      <c r="B80" s="1158" t="s">
        <v>867</v>
      </c>
      <c r="C80" s="1159"/>
      <c r="D80" s="1160"/>
      <c r="E80" s="1160"/>
      <c r="F80" s="1160"/>
      <c r="G80" s="1160"/>
      <c r="H80" s="1160"/>
      <c r="I80" s="1160"/>
      <c r="J80" s="1161"/>
      <c r="K80" s="1160"/>
      <c r="L80" s="1160"/>
      <c r="M80" s="1160"/>
      <c r="N80" s="1160"/>
      <c r="O80" s="1160"/>
      <c r="P80" s="1160"/>
      <c r="Q80" s="1160"/>
      <c r="R80" s="1160"/>
      <c r="S80" s="1160"/>
      <c r="T80" s="1162"/>
      <c r="U80" s="1162"/>
      <c r="V80" s="1162"/>
      <c r="W80" s="1162"/>
      <c r="X80" s="1163"/>
      <c r="Y80" s="1160"/>
      <c r="Z80" s="1164"/>
      <c r="AA80" s="1160"/>
      <c r="AB80" s="835"/>
      <c r="AC80" s="1164"/>
      <c r="AD80" s="1160"/>
      <c r="AE80" s="890">
        <v>200000</v>
      </c>
      <c r="AF80" s="1165">
        <v>0</v>
      </c>
      <c r="AG80" s="1165"/>
      <c r="AH80" s="1165"/>
      <c r="AI80" s="1165">
        <f t="shared" ref="AI80:AI86" si="15">+AE80</f>
        <v>200000</v>
      </c>
      <c r="AJ80" s="1166">
        <v>0</v>
      </c>
      <c r="AK80" s="1165"/>
      <c r="AL80" s="1165"/>
      <c r="AM80" s="1160"/>
      <c r="AN80" s="1216"/>
      <c r="AO80" s="1160"/>
      <c r="AP80" s="1160"/>
      <c r="AQ80" s="1220"/>
      <c r="AR80" s="1243"/>
      <c r="AS80" s="1406"/>
      <c r="AT80" s="1160"/>
      <c r="AU80" s="1243"/>
      <c r="AV80" s="764"/>
    </row>
    <row r="81" spans="1:48" ht="22.5" customHeight="1" x14ac:dyDescent="0.25">
      <c r="A81" s="1157"/>
      <c r="B81" s="1158" t="s">
        <v>597</v>
      </c>
      <c r="C81" s="1159"/>
      <c r="D81" s="1160"/>
      <c r="E81" s="1160"/>
      <c r="F81" s="1160"/>
      <c r="G81" s="1160"/>
      <c r="H81" s="1160"/>
      <c r="I81" s="1160"/>
      <c r="J81" s="1161"/>
      <c r="K81" s="1160"/>
      <c r="L81" s="1160"/>
      <c r="M81" s="1160"/>
      <c r="N81" s="1160"/>
      <c r="O81" s="1160"/>
      <c r="P81" s="1160"/>
      <c r="Q81" s="1160"/>
      <c r="R81" s="1160"/>
      <c r="S81" s="1160"/>
      <c r="T81" s="1162"/>
      <c r="U81" s="1162"/>
      <c r="V81" s="1162"/>
      <c r="W81" s="1162"/>
      <c r="X81" s="1163"/>
      <c r="Y81" s="1160"/>
      <c r="Z81" s="1164"/>
      <c r="AA81" s="1160"/>
      <c r="AB81" s="835"/>
      <c r="AC81" s="1164"/>
      <c r="AD81" s="1160"/>
      <c r="AE81" s="1160">
        <v>490000</v>
      </c>
      <c r="AF81" s="1165">
        <v>0</v>
      </c>
      <c r="AG81" s="1165"/>
      <c r="AH81" s="1165"/>
      <c r="AI81" s="1165">
        <f t="shared" si="15"/>
        <v>490000</v>
      </c>
      <c r="AJ81" s="1166">
        <v>0</v>
      </c>
      <c r="AK81" s="1165"/>
      <c r="AL81" s="1165"/>
      <c r="AM81" s="1160"/>
      <c r="AN81" s="1216"/>
      <c r="AO81" s="1160"/>
      <c r="AP81" s="1160"/>
      <c r="AQ81" s="1220"/>
      <c r="AR81" s="1243"/>
      <c r="AS81" s="1406"/>
      <c r="AT81" s="1160"/>
      <c r="AU81" s="1243"/>
      <c r="AV81" s="895"/>
    </row>
    <row r="82" spans="1:48" s="845" customFormat="1" ht="22.5" customHeight="1" x14ac:dyDescent="0.25">
      <c r="A82" s="1221"/>
      <c r="B82" s="1158" t="s">
        <v>598</v>
      </c>
      <c r="C82" s="1222"/>
      <c r="D82" s="1223"/>
      <c r="E82" s="1223"/>
      <c r="F82" s="1223"/>
      <c r="G82" s="1223"/>
      <c r="H82" s="1223"/>
      <c r="I82" s="1223"/>
      <c r="J82" s="1224"/>
      <c r="K82" s="1223"/>
      <c r="L82" s="1223"/>
      <c r="M82" s="1223"/>
      <c r="N82" s="1223"/>
      <c r="O82" s="1223"/>
      <c r="P82" s="1223"/>
      <c r="Q82" s="1223"/>
      <c r="R82" s="1223"/>
      <c r="S82" s="1223"/>
      <c r="T82" s="1225"/>
      <c r="U82" s="1225"/>
      <c r="V82" s="1225"/>
      <c r="W82" s="1225"/>
      <c r="X82" s="1226"/>
      <c r="Y82" s="1223"/>
      <c r="Z82" s="1165"/>
      <c r="AA82" s="1223"/>
      <c r="AB82" s="891"/>
      <c r="AC82" s="1165"/>
      <c r="AD82" s="1223"/>
      <c r="AE82" s="1223">
        <v>150000</v>
      </c>
      <c r="AF82" s="1165">
        <v>0</v>
      </c>
      <c r="AG82" s="1165"/>
      <c r="AH82" s="1165"/>
      <c r="AI82" s="1165">
        <f t="shared" si="15"/>
        <v>150000</v>
      </c>
      <c r="AJ82" s="1166">
        <v>0</v>
      </c>
      <c r="AK82" s="1165"/>
      <c r="AL82" s="1165"/>
      <c r="AM82" s="1223"/>
      <c r="AN82" s="1218"/>
      <c r="AO82" s="1223"/>
      <c r="AP82" s="1223"/>
      <c r="AQ82" s="1220"/>
      <c r="AR82" s="1244"/>
      <c r="AS82" s="1407"/>
      <c r="AT82" s="1223"/>
      <c r="AU82" s="1244"/>
      <c r="AV82" s="800"/>
    </row>
    <row r="83" spans="1:48" s="845" customFormat="1" ht="42" x14ac:dyDescent="0.25">
      <c r="A83" s="863"/>
      <c r="B83" s="889" t="s">
        <v>942</v>
      </c>
      <c r="C83" s="864"/>
      <c r="D83" s="798"/>
      <c r="E83" s="798"/>
      <c r="F83" s="798"/>
      <c r="G83" s="798"/>
      <c r="H83" s="798"/>
      <c r="I83" s="798"/>
      <c r="J83" s="797"/>
      <c r="K83" s="798"/>
      <c r="L83" s="798"/>
      <c r="M83" s="798"/>
      <c r="N83" s="798"/>
      <c r="O83" s="798"/>
      <c r="P83" s="798"/>
      <c r="Q83" s="798"/>
      <c r="R83" s="798"/>
      <c r="S83" s="798"/>
      <c r="T83" s="799"/>
      <c r="U83" s="799"/>
      <c r="V83" s="799"/>
      <c r="W83" s="799"/>
      <c r="X83" s="847"/>
      <c r="Y83" s="798"/>
      <c r="Z83" s="854"/>
      <c r="AA83" s="798"/>
      <c r="AB83" s="891"/>
      <c r="AC83" s="854"/>
      <c r="AD83" s="798"/>
      <c r="AE83" s="890">
        <v>500000</v>
      </c>
      <c r="AF83" s="854">
        <v>0</v>
      </c>
      <c r="AG83" s="854"/>
      <c r="AH83" s="854"/>
      <c r="AI83" s="854">
        <f t="shared" si="15"/>
        <v>500000</v>
      </c>
      <c r="AJ83" s="1105">
        <v>0</v>
      </c>
      <c r="AK83" s="854"/>
      <c r="AL83" s="854"/>
      <c r="AM83" s="798"/>
      <c r="AN83" s="1217"/>
      <c r="AO83" s="798"/>
      <c r="AP83" s="798"/>
      <c r="AQ83" s="1220"/>
      <c r="AR83" s="800"/>
      <c r="AS83" s="1387"/>
      <c r="AT83" s="798"/>
      <c r="AU83" s="800"/>
      <c r="AV83" s="800"/>
    </row>
    <row r="84" spans="1:48" s="845" customFormat="1" ht="42" x14ac:dyDescent="0.25">
      <c r="A84" s="863"/>
      <c r="B84" s="889" t="s">
        <v>943</v>
      </c>
      <c r="C84" s="864"/>
      <c r="D84" s="798"/>
      <c r="E84" s="798"/>
      <c r="F84" s="798"/>
      <c r="G84" s="798"/>
      <c r="H84" s="798"/>
      <c r="I84" s="798"/>
      <c r="J84" s="797"/>
      <c r="K84" s="798"/>
      <c r="L84" s="798"/>
      <c r="M84" s="798"/>
      <c r="N84" s="798"/>
      <c r="O84" s="798"/>
      <c r="P84" s="798"/>
      <c r="Q84" s="798"/>
      <c r="R84" s="798"/>
      <c r="S84" s="798"/>
      <c r="T84" s="799"/>
      <c r="U84" s="799"/>
      <c r="V84" s="799"/>
      <c r="W84" s="799"/>
      <c r="X84" s="847"/>
      <c r="Y84" s="798"/>
      <c r="Z84" s="854"/>
      <c r="AA84" s="798"/>
      <c r="AB84" s="891"/>
      <c r="AC84" s="854"/>
      <c r="AD84" s="798"/>
      <c r="AE84" s="890">
        <v>300000</v>
      </c>
      <c r="AF84" s="854">
        <v>0</v>
      </c>
      <c r="AG84" s="854"/>
      <c r="AH84" s="854"/>
      <c r="AI84" s="887">
        <f t="shared" si="15"/>
        <v>300000</v>
      </c>
      <c r="AJ84" s="888">
        <v>0</v>
      </c>
      <c r="AK84" s="887"/>
      <c r="AL84" s="887"/>
      <c r="AM84" s="800"/>
      <c r="AN84" s="1227"/>
      <c r="AO84" s="800"/>
      <c r="AP84" s="800"/>
      <c r="AQ84" s="1220"/>
      <c r="AR84" s="800"/>
      <c r="AS84" s="1387"/>
      <c r="AT84" s="800"/>
      <c r="AU84" s="800"/>
      <c r="AV84" s="800"/>
    </row>
    <row r="85" spans="1:48" s="845" customFormat="1" ht="42" x14ac:dyDescent="0.25">
      <c r="A85" s="863"/>
      <c r="B85" s="889" t="s">
        <v>1113</v>
      </c>
      <c r="C85" s="864"/>
      <c r="D85" s="798"/>
      <c r="E85" s="798"/>
      <c r="F85" s="798"/>
      <c r="G85" s="798"/>
      <c r="H85" s="798"/>
      <c r="I85" s="798"/>
      <c r="J85" s="797"/>
      <c r="K85" s="798"/>
      <c r="L85" s="798"/>
      <c r="M85" s="798"/>
      <c r="N85" s="798"/>
      <c r="O85" s="798"/>
      <c r="P85" s="798"/>
      <c r="Q85" s="798"/>
      <c r="R85" s="798"/>
      <c r="S85" s="798"/>
      <c r="T85" s="799"/>
      <c r="U85" s="799"/>
      <c r="V85" s="799"/>
      <c r="W85" s="799"/>
      <c r="X85" s="847"/>
      <c r="Y85" s="798"/>
      <c r="Z85" s="854"/>
      <c r="AA85" s="798"/>
      <c r="AB85" s="891"/>
      <c r="AC85" s="854"/>
      <c r="AD85" s="798"/>
      <c r="AE85" s="890">
        <v>500000</v>
      </c>
      <c r="AF85" s="854">
        <v>0</v>
      </c>
      <c r="AG85" s="854"/>
      <c r="AH85" s="854"/>
      <c r="AI85" s="854">
        <f t="shared" si="15"/>
        <v>500000</v>
      </c>
      <c r="AJ85" s="1105">
        <v>0</v>
      </c>
      <c r="AK85" s="854"/>
      <c r="AL85" s="854"/>
      <c r="AM85" s="798"/>
      <c r="AN85" s="1227"/>
      <c r="AO85" s="798"/>
      <c r="AP85" s="798"/>
      <c r="AQ85" s="1220"/>
      <c r="AR85" s="800"/>
      <c r="AS85" s="1387"/>
      <c r="AT85" s="798"/>
      <c r="AU85" s="800"/>
      <c r="AV85" s="800"/>
    </row>
    <row r="86" spans="1:48" ht="23.25" hidden="1" customHeight="1" x14ac:dyDescent="0.25">
      <c r="A86" s="861"/>
      <c r="B86" s="889" t="s">
        <v>651</v>
      </c>
      <c r="C86" s="862"/>
      <c r="D86" s="747"/>
      <c r="E86" s="747"/>
      <c r="F86" s="747"/>
      <c r="G86" s="747"/>
      <c r="H86" s="747"/>
      <c r="I86" s="747"/>
      <c r="J86" s="748"/>
      <c r="K86" s="747"/>
      <c r="L86" s="747"/>
      <c r="M86" s="747"/>
      <c r="N86" s="747"/>
      <c r="O86" s="747"/>
      <c r="P86" s="747"/>
      <c r="Q86" s="747"/>
      <c r="R86" s="747"/>
      <c r="S86" s="747"/>
      <c r="T86" s="751"/>
      <c r="U86" s="751"/>
      <c r="V86" s="751"/>
      <c r="W86" s="751"/>
      <c r="X86" s="745"/>
      <c r="Y86" s="747"/>
      <c r="Z86" s="757"/>
      <c r="AA86" s="747"/>
      <c r="AB86" s="835"/>
      <c r="AC86" s="757"/>
      <c r="AD86" s="747"/>
      <c r="AE86" s="890">
        <v>950000</v>
      </c>
      <c r="AF86" s="854">
        <v>0</v>
      </c>
      <c r="AG86" s="854"/>
      <c r="AH86" s="854"/>
      <c r="AI86" s="854">
        <f t="shared" si="15"/>
        <v>950000</v>
      </c>
      <c r="AJ86" s="1105">
        <v>0</v>
      </c>
      <c r="AK86" s="854"/>
      <c r="AL86" s="854"/>
      <c r="AM86" s="854"/>
      <c r="AN86" s="1216"/>
      <c r="AO86" s="854"/>
      <c r="AP86" s="854"/>
      <c r="AQ86" s="1220"/>
      <c r="AR86" s="887"/>
      <c r="AS86" s="1408"/>
      <c r="AT86" s="854"/>
      <c r="AU86" s="753"/>
      <c r="AV86" s="1132"/>
    </row>
    <row r="87" spans="1:48" ht="42" x14ac:dyDescent="0.25">
      <c r="A87" s="861"/>
      <c r="B87" s="896" t="s">
        <v>1130</v>
      </c>
      <c r="C87" s="897"/>
      <c r="D87" s="898"/>
      <c r="E87" s="898"/>
      <c r="F87" s="898"/>
      <c r="G87" s="898"/>
      <c r="H87" s="898"/>
      <c r="I87" s="898"/>
      <c r="J87" s="899"/>
      <c r="K87" s="898"/>
      <c r="L87" s="898"/>
      <c r="M87" s="898"/>
      <c r="N87" s="898"/>
      <c r="O87" s="898"/>
      <c r="P87" s="898"/>
      <c r="Q87" s="898"/>
      <c r="R87" s="898"/>
      <c r="S87" s="898"/>
      <c r="T87" s="898"/>
      <c r="U87" s="898"/>
      <c r="V87" s="898"/>
      <c r="W87" s="898"/>
      <c r="X87" s="745"/>
      <c r="Y87" s="898"/>
      <c r="Z87" s="757"/>
      <c r="AA87" s="747"/>
      <c r="AB87" s="835"/>
      <c r="AC87" s="757"/>
      <c r="AD87" s="747"/>
      <c r="AE87" s="890"/>
      <c r="AF87" s="854"/>
      <c r="AG87" s="854"/>
      <c r="AH87" s="854"/>
      <c r="AI87" s="854">
        <v>0</v>
      </c>
      <c r="AJ87" s="854"/>
      <c r="AK87" s="854"/>
      <c r="AL87" s="854"/>
      <c r="AM87" s="854"/>
      <c r="AN87" s="1217"/>
      <c r="AO87" s="854"/>
      <c r="AP87" s="854"/>
      <c r="AQ87" s="1220"/>
      <c r="AR87" s="854"/>
      <c r="AS87" s="1409"/>
      <c r="AT87" s="854"/>
      <c r="AU87" s="845"/>
      <c r="AV87" s="1053"/>
    </row>
    <row r="88" spans="1:48" ht="23.25" customHeight="1" x14ac:dyDescent="0.25">
      <c r="A88" s="861"/>
      <c r="B88" s="1272" t="s">
        <v>941</v>
      </c>
      <c r="C88" s="862"/>
      <c r="D88" s="747"/>
      <c r="E88" s="747"/>
      <c r="F88" s="747"/>
      <c r="G88" s="747"/>
      <c r="H88" s="747"/>
      <c r="I88" s="747"/>
      <c r="J88" s="748"/>
      <c r="K88" s="747"/>
      <c r="L88" s="747"/>
      <c r="M88" s="747"/>
      <c r="N88" s="747"/>
      <c r="O88" s="747"/>
      <c r="P88" s="747"/>
      <c r="Q88" s="747"/>
      <c r="R88" s="747"/>
      <c r="S88" s="747"/>
      <c r="T88" s="751"/>
      <c r="U88" s="751"/>
      <c r="V88" s="751"/>
      <c r="W88" s="751"/>
      <c r="X88" s="745"/>
      <c r="Y88" s="747"/>
      <c r="Z88" s="757"/>
      <c r="AA88" s="747"/>
      <c r="AB88" s="835"/>
      <c r="AC88" s="757"/>
      <c r="AD88" s="747"/>
      <c r="AE88" s="890"/>
      <c r="AF88" s="854"/>
      <c r="AG88" s="854"/>
      <c r="AH88" s="854"/>
      <c r="AI88" s="854"/>
      <c r="AJ88" s="854"/>
      <c r="AK88" s="854"/>
      <c r="AL88" s="854"/>
      <c r="AM88" s="1273"/>
      <c r="AN88" s="1217"/>
      <c r="AO88" s="1273"/>
      <c r="AP88" s="1273"/>
      <c r="AQ88" s="1220"/>
      <c r="AR88" s="1273"/>
      <c r="AS88" s="1410"/>
      <c r="AT88" s="1273"/>
      <c r="AU88" s="1245"/>
      <c r="AV88" s="1137"/>
    </row>
    <row r="89" spans="1:48" ht="23.25" customHeight="1" x14ac:dyDescent="0.25">
      <c r="A89" s="861"/>
      <c r="B89" s="1272" t="s">
        <v>1037</v>
      </c>
      <c r="C89" s="862"/>
      <c r="D89" s="747"/>
      <c r="E89" s="747"/>
      <c r="F89" s="747"/>
      <c r="G89" s="747"/>
      <c r="H89" s="747"/>
      <c r="I89" s="747"/>
      <c r="J89" s="748"/>
      <c r="K89" s="747"/>
      <c r="L89" s="747"/>
      <c r="M89" s="747"/>
      <c r="N89" s="747"/>
      <c r="O89" s="747"/>
      <c r="P89" s="747"/>
      <c r="Q89" s="747"/>
      <c r="R89" s="747"/>
      <c r="S89" s="747"/>
      <c r="T89" s="751"/>
      <c r="U89" s="751"/>
      <c r="V89" s="751"/>
      <c r="W89" s="751"/>
      <c r="X89" s="745"/>
      <c r="Y89" s="747"/>
      <c r="Z89" s="757"/>
      <c r="AA89" s="747"/>
      <c r="AB89" s="835"/>
      <c r="AC89" s="757"/>
      <c r="AD89" s="747"/>
      <c r="AE89" s="890"/>
      <c r="AF89" s="854"/>
      <c r="AG89" s="854"/>
      <c r="AH89" s="854"/>
      <c r="AI89" s="854"/>
      <c r="AJ89" s="854"/>
      <c r="AK89" s="854"/>
      <c r="AL89" s="854"/>
      <c r="AM89" s="854"/>
      <c r="AN89" s="1217"/>
      <c r="AO89" s="854"/>
      <c r="AP89" s="854"/>
      <c r="AQ89" s="1220"/>
      <c r="AR89" s="854"/>
      <c r="AS89" s="1409"/>
      <c r="AT89" s="854"/>
      <c r="AU89" s="1245"/>
      <c r="AV89" s="1137"/>
    </row>
    <row r="90" spans="1:48" s="885" customFormat="1" ht="23.25" customHeight="1" x14ac:dyDescent="0.6">
      <c r="A90" s="876"/>
      <c r="B90" s="1117" t="s">
        <v>1065</v>
      </c>
      <c r="C90" s="878"/>
      <c r="D90" s="879"/>
      <c r="E90" s="879"/>
      <c r="F90" s="879"/>
      <c r="G90" s="879"/>
      <c r="H90" s="879"/>
      <c r="I90" s="879"/>
      <c r="J90" s="880"/>
      <c r="K90" s="879"/>
      <c r="L90" s="879"/>
      <c r="M90" s="879"/>
      <c r="N90" s="879"/>
      <c r="O90" s="879"/>
      <c r="P90" s="879"/>
      <c r="Q90" s="879"/>
      <c r="R90" s="879"/>
      <c r="S90" s="879"/>
      <c r="T90" s="886"/>
      <c r="U90" s="886"/>
      <c r="V90" s="886"/>
      <c r="W90" s="886"/>
      <c r="X90" s="881"/>
      <c r="Y90" s="879"/>
      <c r="Z90" s="882"/>
      <c r="AA90" s="879"/>
      <c r="AB90" s="883"/>
      <c r="AC90" s="882"/>
      <c r="AD90" s="879"/>
      <c r="AE90" s="1114"/>
      <c r="AF90" s="1115"/>
      <c r="AG90" s="1115"/>
      <c r="AH90" s="1115"/>
      <c r="AI90" s="881"/>
      <c r="AJ90" s="1118"/>
      <c r="AK90" s="1118"/>
      <c r="AL90" s="1118"/>
      <c r="AM90" s="1186"/>
      <c r="AN90" s="1217"/>
      <c r="AO90" s="1230"/>
      <c r="AP90" s="1230"/>
      <c r="AQ90" s="1220"/>
      <c r="AR90" s="1230"/>
      <c r="AS90" s="1411"/>
      <c r="AT90" s="1186"/>
      <c r="AU90" s="1246"/>
      <c r="AV90" s="1138"/>
    </row>
    <row r="91" spans="1:48" ht="23.25" customHeight="1" x14ac:dyDescent="0.6">
      <c r="A91" s="861"/>
      <c r="B91" s="1183" t="s">
        <v>1066</v>
      </c>
      <c r="C91" s="862"/>
      <c r="D91" s="747"/>
      <c r="E91" s="747"/>
      <c r="F91" s="747"/>
      <c r="G91" s="747"/>
      <c r="H91" s="747"/>
      <c r="I91" s="747"/>
      <c r="J91" s="748"/>
      <c r="K91" s="747"/>
      <c r="L91" s="747"/>
      <c r="M91" s="747"/>
      <c r="N91" s="747"/>
      <c r="O91" s="747"/>
      <c r="P91" s="747"/>
      <c r="Q91" s="747"/>
      <c r="R91" s="747"/>
      <c r="S91" s="747"/>
      <c r="T91" s="751"/>
      <c r="U91" s="751"/>
      <c r="V91" s="751"/>
      <c r="W91" s="751"/>
      <c r="X91" s="745"/>
      <c r="Y91" s="747"/>
      <c r="Z91" s="757"/>
      <c r="AA91" s="747"/>
      <c r="AB91" s="835"/>
      <c r="AC91" s="757"/>
      <c r="AD91" s="747"/>
      <c r="AE91" s="890"/>
      <c r="AF91" s="854"/>
      <c r="AG91" s="854"/>
      <c r="AH91" s="854"/>
      <c r="AI91" s="745"/>
      <c r="AJ91" s="1184"/>
      <c r="AK91" s="1184"/>
      <c r="AL91" s="1184"/>
      <c r="AM91" s="1185"/>
      <c r="AN91" s="1227"/>
      <c r="AO91" s="1230"/>
      <c r="AP91" s="1230"/>
      <c r="AQ91" s="1220"/>
      <c r="AR91" s="1263"/>
      <c r="AS91" s="1412"/>
      <c r="AT91" s="1185"/>
      <c r="AU91" s="848"/>
      <c r="AV91" s="1128"/>
    </row>
    <row r="92" spans="1:48" s="885" customFormat="1" ht="42" x14ac:dyDescent="0.25">
      <c r="A92" s="876"/>
      <c r="B92" s="896" t="s">
        <v>1067</v>
      </c>
      <c r="C92" s="878"/>
      <c r="D92" s="879"/>
      <c r="E92" s="879"/>
      <c r="F92" s="879"/>
      <c r="G92" s="879"/>
      <c r="H92" s="879"/>
      <c r="I92" s="879"/>
      <c r="J92" s="880"/>
      <c r="K92" s="879"/>
      <c r="L92" s="879"/>
      <c r="M92" s="879"/>
      <c r="N92" s="879"/>
      <c r="O92" s="879"/>
      <c r="P92" s="879"/>
      <c r="Q92" s="879"/>
      <c r="R92" s="879"/>
      <c r="S92" s="879"/>
      <c r="T92" s="886"/>
      <c r="U92" s="886"/>
      <c r="V92" s="886"/>
      <c r="W92" s="886"/>
      <c r="X92" s="881"/>
      <c r="Y92" s="879"/>
      <c r="Z92" s="882"/>
      <c r="AA92" s="879"/>
      <c r="AB92" s="883"/>
      <c r="AC92" s="882"/>
      <c r="AD92" s="879"/>
      <c r="AE92" s="1114"/>
      <c r="AF92" s="1115"/>
      <c r="AG92" s="1115"/>
      <c r="AH92" s="1115"/>
      <c r="AI92" s="881"/>
      <c r="AJ92" s="1115"/>
      <c r="AK92" s="1115"/>
      <c r="AL92" s="1115"/>
      <c r="AM92" s="854"/>
      <c r="AN92" s="1227"/>
      <c r="AO92" s="854"/>
      <c r="AP92" s="854"/>
      <c r="AQ92" s="1220"/>
      <c r="AR92" s="887"/>
      <c r="AS92" s="1408"/>
      <c r="AT92" s="854"/>
      <c r="AU92" s="1246"/>
      <c r="AV92" s="1138"/>
    </row>
    <row r="93" spans="1:48" ht="24" customHeight="1" x14ac:dyDescent="0.6">
      <c r="A93" s="861"/>
      <c r="B93" s="1113" t="s">
        <v>1068</v>
      </c>
      <c r="C93" s="878"/>
      <c r="D93" s="879"/>
      <c r="E93" s="879"/>
      <c r="F93" s="879"/>
      <c r="G93" s="879"/>
      <c r="H93" s="879"/>
      <c r="I93" s="879"/>
      <c r="J93" s="880"/>
      <c r="K93" s="879"/>
      <c r="L93" s="879"/>
      <c r="M93" s="879"/>
      <c r="N93" s="879"/>
      <c r="O93" s="879"/>
      <c r="P93" s="879"/>
      <c r="Q93" s="879"/>
      <c r="R93" s="879"/>
      <c r="S93" s="879"/>
      <c r="T93" s="886"/>
      <c r="U93" s="886"/>
      <c r="V93" s="886"/>
      <c r="W93" s="886"/>
      <c r="X93" s="881"/>
      <c r="Y93" s="879"/>
      <c r="Z93" s="882"/>
      <c r="AA93" s="879"/>
      <c r="AB93" s="883"/>
      <c r="AC93" s="882"/>
      <c r="AD93" s="879"/>
      <c r="AE93" s="1114"/>
      <c r="AF93" s="1115"/>
      <c r="AG93" s="1115"/>
      <c r="AH93" s="1115"/>
      <c r="AI93" s="881"/>
      <c r="AJ93" s="1116"/>
      <c r="AK93" s="1116"/>
      <c r="AL93" s="1116"/>
      <c r="AM93" s="1065"/>
      <c r="AN93" s="1216"/>
      <c r="AO93" s="1065"/>
      <c r="AP93" s="1065"/>
      <c r="AQ93" s="1220"/>
      <c r="AR93" s="1264"/>
      <c r="AS93" s="1413"/>
      <c r="AT93" s="1065"/>
      <c r="AU93" s="1247"/>
      <c r="AV93" s="1139"/>
    </row>
    <row r="94" spans="1:48" ht="23.25" customHeight="1" x14ac:dyDescent="0.6">
      <c r="A94" s="861"/>
      <c r="B94" s="896" t="s">
        <v>1118</v>
      </c>
      <c r="C94" s="897"/>
      <c r="D94" s="898"/>
      <c r="E94" s="898"/>
      <c r="F94" s="898"/>
      <c r="G94" s="898"/>
      <c r="H94" s="898"/>
      <c r="I94" s="898"/>
      <c r="J94" s="899"/>
      <c r="K94" s="898"/>
      <c r="L94" s="898"/>
      <c r="M94" s="898"/>
      <c r="N94" s="898"/>
      <c r="O94" s="898"/>
      <c r="P94" s="898"/>
      <c r="Q94" s="898"/>
      <c r="R94" s="898"/>
      <c r="S94" s="898"/>
      <c r="T94" s="898"/>
      <c r="U94" s="898"/>
      <c r="V94" s="898"/>
      <c r="W94" s="898"/>
      <c r="X94" s="745"/>
      <c r="Y94" s="898"/>
      <c r="Z94" s="757"/>
      <c r="AA94" s="747"/>
      <c r="AB94" s="835"/>
      <c r="AC94" s="757"/>
      <c r="AD94" s="747"/>
      <c r="AE94" s="890"/>
      <c r="AF94" s="854"/>
      <c r="AG94" s="854"/>
      <c r="AH94" s="854"/>
      <c r="AI94" s="854"/>
      <c r="AJ94" s="854"/>
      <c r="AK94" s="854"/>
      <c r="AL94" s="854"/>
      <c r="AM94" s="1115"/>
      <c r="AN94" s="1011"/>
      <c r="AO94" s="854"/>
      <c r="AP94" s="745"/>
      <c r="AQ94" s="1018"/>
      <c r="AR94" s="1291"/>
      <c r="AS94" s="1414"/>
      <c r="AT94" s="1292"/>
      <c r="AU94" s="1248"/>
      <c r="AV94" s="1167"/>
    </row>
    <row r="95" spans="1:48" ht="24" customHeight="1" x14ac:dyDescent="0.25">
      <c r="A95" s="861"/>
      <c r="B95" s="896" t="s">
        <v>1119</v>
      </c>
      <c r="C95" s="897"/>
      <c r="D95" s="898"/>
      <c r="E95" s="898"/>
      <c r="F95" s="898"/>
      <c r="G95" s="898"/>
      <c r="H95" s="898"/>
      <c r="I95" s="898"/>
      <c r="J95" s="899"/>
      <c r="K95" s="898"/>
      <c r="L95" s="898"/>
      <c r="M95" s="898"/>
      <c r="N95" s="898"/>
      <c r="O95" s="898"/>
      <c r="P95" s="898"/>
      <c r="Q95" s="898"/>
      <c r="R95" s="898"/>
      <c r="S95" s="898"/>
      <c r="T95" s="900"/>
      <c r="U95" s="900"/>
      <c r="V95" s="900"/>
      <c r="W95" s="900"/>
      <c r="X95" s="745"/>
      <c r="Y95" s="898"/>
      <c r="Z95" s="757"/>
      <c r="AA95" s="747"/>
      <c r="AB95" s="835"/>
      <c r="AC95" s="757"/>
      <c r="AD95" s="747"/>
      <c r="AE95" s="890"/>
      <c r="AF95" s="854"/>
      <c r="AG95" s="854"/>
      <c r="AH95" s="854"/>
      <c r="AI95" s="854"/>
      <c r="AJ95" s="854"/>
      <c r="AK95" s="854"/>
      <c r="AL95" s="854"/>
      <c r="AM95" s="854"/>
      <c r="AN95" s="1216"/>
      <c r="AO95" s="854"/>
      <c r="AP95" s="854"/>
      <c r="AQ95" s="1220"/>
      <c r="AR95" s="887"/>
      <c r="AS95" s="1408"/>
      <c r="AT95" s="854"/>
      <c r="AU95" s="1248"/>
      <c r="AV95" s="1140"/>
    </row>
    <row r="96" spans="1:48" ht="24" customHeight="1" x14ac:dyDescent="0.25">
      <c r="A96" s="861"/>
      <c r="B96" s="896" t="s">
        <v>1120</v>
      </c>
      <c r="C96" s="897"/>
      <c r="D96" s="898"/>
      <c r="E96" s="898"/>
      <c r="F96" s="898"/>
      <c r="G96" s="898"/>
      <c r="H96" s="898"/>
      <c r="I96" s="898"/>
      <c r="J96" s="899"/>
      <c r="K96" s="898"/>
      <c r="L96" s="898"/>
      <c r="M96" s="898"/>
      <c r="N96" s="898"/>
      <c r="O96" s="898"/>
      <c r="P96" s="898"/>
      <c r="Q96" s="898"/>
      <c r="R96" s="898"/>
      <c r="S96" s="898"/>
      <c r="T96" s="900"/>
      <c r="U96" s="900"/>
      <c r="V96" s="900"/>
      <c r="W96" s="900"/>
      <c r="X96" s="745"/>
      <c r="Y96" s="898"/>
      <c r="Z96" s="757"/>
      <c r="AA96" s="747"/>
      <c r="AB96" s="835"/>
      <c r="AC96" s="757"/>
      <c r="AD96" s="747"/>
      <c r="AE96" s="890"/>
      <c r="AF96" s="854"/>
      <c r="AG96" s="854"/>
      <c r="AH96" s="854"/>
      <c r="AI96" s="854"/>
      <c r="AJ96" s="854"/>
      <c r="AK96" s="854"/>
      <c r="AL96" s="854"/>
      <c r="AM96" s="854"/>
      <c r="AN96" s="1216"/>
      <c r="AO96" s="854"/>
      <c r="AP96" s="854"/>
      <c r="AQ96" s="1220"/>
      <c r="AR96" s="887"/>
      <c r="AS96" s="1408"/>
      <c r="AT96" s="854"/>
      <c r="AU96" s="1248"/>
      <c r="AV96" s="1140"/>
    </row>
    <row r="97" spans="1:48" s="1452" customFormat="1" ht="24" hidden="1" customHeight="1" x14ac:dyDescent="0.25">
      <c r="A97" s="1435"/>
      <c r="B97" s="1445" t="s">
        <v>1131</v>
      </c>
      <c r="C97" s="1436"/>
      <c r="D97" s="1437"/>
      <c r="E97" s="1437"/>
      <c r="F97" s="1437"/>
      <c r="G97" s="1437"/>
      <c r="H97" s="1437"/>
      <c r="I97" s="1437"/>
      <c r="J97" s="1438"/>
      <c r="K97" s="1437"/>
      <c r="L97" s="1437"/>
      <c r="M97" s="1437"/>
      <c r="N97" s="1437"/>
      <c r="O97" s="1437"/>
      <c r="P97" s="1437"/>
      <c r="Q97" s="1437"/>
      <c r="R97" s="1437"/>
      <c r="S97" s="1437"/>
      <c r="T97" s="1437"/>
      <c r="U97" s="1437"/>
      <c r="V97" s="1437"/>
      <c r="W97" s="1437"/>
      <c r="X97" s="1439"/>
      <c r="Y97" s="1437"/>
      <c r="Z97" s="1440"/>
      <c r="AA97" s="964"/>
      <c r="AB97" s="1441"/>
      <c r="AC97" s="1440"/>
      <c r="AD97" s="964"/>
      <c r="AE97" s="1442"/>
      <c r="AF97" s="1443"/>
      <c r="AG97" s="1443"/>
      <c r="AH97" s="1443"/>
      <c r="AI97" s="1443"/>
      <c r="AJ97" s="1443"/>
      <c r="AK97" s="1443"/>
      <c r="AL97" s="1443"/>
      <c r="AM97" s="1443"/>
      <c r="AN97" s="1446"/>
      <c r="AO97" s="1443"/>
      <c r="AP97" s="1444"/>
      <c r="AQ97" s="1447"/>
      <c r="AR97" s="1448"/>
      <c r="AS97" s="1449"/>
      <c r="AT97" s="1448"/>
      <c r="AU97" s="1450"/>
      <c r="AV97" s="1451"/>
    </row>
    <row r="98" spans="1:48" s="969" customFormat="1" ht="24" customHeight="1" x14ac:dyDescent="0.25">
      <c r="A98" s="861"/>
      <c r="B98" s="896" t="s">
        <v>1121</v>
      </c>
      <c r="C98" s="897"/>
      <c r="D98" s="898"/>
      <c r="E98" s="898"/>
      <c r="F98" s="898"/>
      <c r="G98" s="898"/>
      <c r="H98" s="898"/>
      <c r="I98" s="898"/>
      <c r="J98" s="899"/>
      <c r="K98" s="898"/>
      <c r="L98" s="898"/>
      <c r="M98" s="898"/>
      <c r="N98" s="898"/>
      <c r="O98" s="898"/>
      <c r="P98" s="898"/>
      <c r="Q98" s="898"/>
      <c r="R98" s="898"/>
      <c r="S98" s="898"/>
      <c r="T98" s="898"/>
      <c r="U98" s="898"/>
      <c r="V98" s="898"/>
      <c r="W98" s="898"/>
      <c r="X98" s="745"/>
      <c r="Y98" s="898"/>
      <c r="Z98" s="757"/>
      <c r="AA98" s="747"/>
      <c r="AB98" s="835"/>
      <c r="AC98" s="757"/>
      <c r="AD98" s="747"/>
      <c r="AE98" s="890"/>
      <c r="AF98" s="854"/>
      <c r="AG98" s="854"/>
      <c r="AH98" s="854"/>
      <c r="AI98" s="854"/>
      <c r="AJ98" s="854"/>
      <c r="AK98" s="854"/>
      <c r="AL98" s="854"/>
      <c r="AM98" s="854"/>
      <c r="AN98" s="1216"/>
      <c r="AO98" s="854"/>
      <c r="AP98" s="854"/>
      <c r="AQ98" s="1220"/>
      <c r="AR98" s="887"/>
      <c r="AS98" s="1408"/>
      <c r="AT98" s="854"/>
      <c r="AU98" s="1248"/>
      <c r="AV98" s="1167"/>
    </row>
    <row r="99" spans="1:48" s="969" customFormat="1" ht="24" customHeight="1" x14ac:dyDescent="0.25">
      <c r="A99" s="861"/>
      <c r="B99" s="896" t="s">
        <v>1122</v>
      </c>
      <c r="C99" s="897"/>
      <c r="D99" s="898"/>
      <c r="E99" s="898"/>
      <c r="F99" s="898"/>
      <c r="G99" s="898"/>
      <c r="H99" s="898"/>
      <c r="I99" s="898"/>
      <c r="J99" s="899"/>
      <c r="K99" s="898"/>
      <c r="L99" s="898"/>
      <c r="M99" s="898"/>
      <c r="N99" s="898"/>
      <c r="O99" s="898"/>
      <c r="P99" s="898"/>
      <c r="Q99" s="898"/>
      <c r="R99" s="898"/>
      <c r="S99" s="898"/>
      <c r="T99" s="898"/>
      <c r="U99" s="898"/>
      <c r="V99" s="898"/>
      <c r="W99" s="898"/>
      <c r="X99" s="745"/>
      <c r="Y99" s="898"/>
      <c r="Z99" s="757"/>
      <c r="AA99" s="747"/>
      <c r="AB99" s="835"/>
      <c r="AC99" s="757"/>
      <c r="AD99" s="747"/>
      <c r="AE99" s="890"/>
      <c r="AF99" s="854"/>
      <c r="AG99" s="854"/>
      <c r="AH99" s="854"/>
      <c r="AI99" s="854"/>
      <c r="AJ99" s="854"/>
      <c r="AK99" s="854"/>
      <c r="AL99" s="854"/>
      <c r="AM99" s="854"/>
      <c r="AN99" s="1216"/>
      <c r="AO99" s="854"/>
      <c r="AP99" s="854"/>
      <c r="AQ99" s="1220"/>
      <c r="AR99" s="887"/>
      <c r="AS99" s="1408"/>
      <c r="AT99" s="854"/>
      <c r="AU99" s="1248"/>
      <c r="AV99" s="1167"/>
    </row>
    <row r="100" spans="1:48" s="969" customFormat="1" ht="24" customHeight="1" x14ac:dyDescent="0.25">
      <c r="A100" s="861"/>
      <c r="B100" s="896" t="s">
        <v>1123</v>
      </c>
      <c r="C100" s="897"/>
      <c r="D100" s="898"/>
      <c r="E100" s="898"/>
      <c r="F100" s="898"/>
      <c r="G100" s="898"/>
      <c r="H100" s="898"/>
      <c r="I100" s="898"/>
      <c r="J100" s="899"/>
      <c r="K100" s="898"/>
      <c r="L100" s="898"/>
      <c r="M100" s="898"/>
      <c r="N100" s="898"/>
      <c r="O100" s="898"/>
      <c r="P100" s="898"/>
      <c r="Q100" s="898"/>
      <c r="R100" s="898"/>
      <c r="S100" s="898"/>
      <c r="T100" s="900"/>
      <c r="U100" s="900"/>
      <c r="V100" s="900"/>
      <c r="W100" s="900"/>
      <c r="X100" s="745"/>
      <c r="Y100" s="898"/>
      <c r="Z100" s="757"/>
      <c r="AA100" s="747"/>
      <c r="AB100" s="835"/>
      <c r="AC100" s="757"/>
      <c r="AD100" s="747"/>
      <c r="AE100" s="890"/>
      <c r="AF100" s="854"/>
      <c r="AG100" s="854"/>
      <c r="AH100" s="854"/>
      <c r="AI100" s="854"/>
      <c r="AJ100" s="854"/>
      <c r="AK100" s="854"/>
      <c r="AL100" s="854"/>
      <c r="AM100" s="854"/>
      <c r="AN100" s="1216"/>
      <c r="AO100" s="854"/>
      <c r="AP100" s="854"/>
      <c r="AQ100" s="1220"/>
      <c r="AR100" s="887"/>
      <c r="AS100" s="1408"/>
      <c r="AT100" s="854"/>
      <c r="AU100" s="1248"/>
      <c r="AV100" s="1134"/>
    </row>
    <row r="101" spans="1:48" s="969" customFormat="1" ht="24" hidden="1" customHeight="1" x14ac:dyDescent="0.25">
      <c r="A101" s="861"/>
      <c r="B101" s="896" t="s">
        <v>1124</v>
      </c>
      <c r="C101" s="897"/>
      <c r="D101" s="898"/>
      <c r="E101" s="898"/>
      <c r="F101" s="898"/>
      <c r="G101" s="898"/>
      <c r="H101" s="898"/>
      <c r="I101" s="898"/>
      <c r="J101" s="899"/>
      <c r="K101" s="898"/>
      <c r="L101" s="898"/>
      <c r="M101" s="898"/>
      <c r="N101" s="898"/>
      <c r="O101" s="898"/>
      <c r="P101" s="898"/>
      <c r="Q101" s="898"/>
      <c r="R101" s="898"/>
      <c r="S101" s="898"/>
      <c r="T101" s="900"/>
      <c r="U101" s="900"/>
      <c r="V101" s="900"/>
      <c r="W101" s="900"/>
      <c r="X101" s="745"/>
      <c r="Y101" s="898"/>
      <c r="Z101" s="757"/>
      <c r="AA101" s="747"/>
      <c r="AB101" s="835"/>
      <c r="AC101" s="757"/>
      <c r="AD101" s="747"/>
      <c r="AE101" s="890"/>
      <c r="AF101" s="854"/>
      <c r="AG101" s="854"/>
      <c r="AH101" s="854"/>
      <c r="AI101" s="854"/>
      <c r="AJ101" s="854"/>
      <c r="AK101" s="854"/>
      <c r="AL101" s="854"/>
      <c r="AM101" s="854"/>
      <c r="AN101" s="1216"/>
      <c r="AO101" s="1241"/>
      <c r="AP101" s="854"/>
      <c r="AQ101" s="1220"/>
      <c r="AR101" s="887"/>
      <c r="AS101" s="1408"/>
      <c r="AT101" s="887"/>
      <c r="AU101" s="1248"/>
      <c r="AV101" s="1134"/>
    </row>
    <row r="102" spans="1:48" s="745" customFormat="1" x14ac:dyDescent="0.25">
      <c r="A102" s="861"/>
      <c r="B102" s="896" t="s">
        <v>1155</v>
      </c>
      <c r="C102" s="897"/>
      <c r="D102" s="898"/>
      <c r="E102" s="898"/>
      <c r="F102" s="898"/>
      <c r="G102" s="898"/>
      <c r="H102" s="898"/>
      <c r="I102" s="898"/>
      <c r="J102" s="899"/>
      <c r="K102" s="898"/>
      <c r="L102" s="898"/>
      <c r="M102" s="898"/>
      <c r="N102" s="898"/>
      <c r="O102" s="898"/>
      <c r="P102" s="898"/>
      <c r="Q102" s="898"/>
      <c r="R102" s="898"/>
      <c r="S102" s="898"/>
      <c r="T102" s="900"/>
      <c r="U102" s="900"/>
      <c r="V102" s="900"/>
      <c r="W102" s="900"/>
      <c r="Y102" s="898"/>
      <c r="Z102" s="757"/>
      <c r="AA102" s="747"/>
      <c r="AB102" s="835"/>
      <c r="AC102" s="757"/>
      <c r="AD102" s="747"/>
      <c r="AE102" s="890"/>
      <c r="AF102" s="854"/>
      <c r="AG102" s="854"/>
      <c r="AH102" s="854"/>
      <c r="AI102" s="854"/>
      <c r="AJ102" s="854"/>
      <c r="AK102" s="854"/>
      <c r="AL102" s="854"/>
      <c r="AM102" s="854"/>
      <c r="AN102" s="1218"/>
      <c r="AO102" s="854"/>
      <c r="AP102" s="1290"/>
      <c r="AQ102" s="1218"/>
      <c r="AR102" s="1290"/>
      <c r="AS102" s="1415"/>
      <c r="AT102" s="1325"/>
      <c r="AU102" s="1326"/>
      <c r="AV102" s="1327"/>
    </row>
    <row r="103" spans="1:48" s="745" customFormat="1" ht="24" customHeight="1" x14ac:dyDescent="0.6">
      <c r="A103" s="861"/>
      <c r="B103" s="1365" t="s">
        <v>1163</v>
      </c>
      <c r="C103" s="897"/>
      <c r="D103" s="898"/>
      <c r="E103" s="898"/>
      <c r="F103" s="898"/>
      <c r="G103" s="898"/>
      <c r="H103" s="898"/>
      <c r="I103" s="898"/>
      <c r="J103" s="899"/>
      <c r="K103" s="898"/>
      <c r="L103" s="898"/>
      <c r="M103" s="898"/>
      <c r="N103" s="898"/>
      <c r="O103" s="898"/>
      <c r="P103" s="898"/>
      <c r="Q103" s="898"/>
      <c r="R103" s="898"/>
      <c r="S103" s="898"/>
      <c r="T103" s="898"/>
      <c r="U103" s="898"/>
      <c r="V103" s="898"/>
      <c r="W103" s="898"/>
      <c r="Y103" s="898"/>
      <c r="Z103" s="757"/>
      <c r="AA103" s="747"/>
      <c r="AB103" s="835"/>
      <c r="AC103" s="757"/>
      <c r="AD103" s="747"/>
      <c r="AE103" s="890"/>
      <c r="AF103" s="854"/>
      <c r="AG103" s="854"/>
      <c r="AH103" s="854"/>
      <c r="AI103" s="854"/>
      <c r="AJ103" s="854"/>
      <c r="AK103" s="854"/>
      <c r="AL103" s="854"/>
      <c r="AM103" s="854"/>
      <c r="AN103" s="849"/>
      <c r="AO103" s="854"/>
      <c r="AP103" s="1290"/>
      <c r="AQ103" s="849"/>
      <c r="AR103" s="1290"/>
      <c r="AS103" s="1415"/>
      <c r="AT103" s="1366"/>
      <c r="AU103" s="1326"/>
      <c r="AV103" s="1455"/>
    </row>
    <row r="104" spans="1:48" s="745" customFormat="1" ht="24" customHeight="1" x14ac:dyDescent="0.6">
      <c r="A104" s="861"/>
      <c r="B104" s="1365" t="s">
        <v>1157</v>
      </c>
      <c r="C104" s="897"/>
      <c r="D104" s="898"/>
      <c r="E104" s="898"/>
      <c r="F104" s="898"/>
      <c r="G104" s="898"/>
      <c r="H104" s="898"/>
      <c r="I104" s="898"/>
      <c r="J104" s="899"/>
      <c r="K104" s="898"/>
      <c r="L104" s="898"/>
      <c r="M104" s="898"/>
      <c r="N104" s="898"/>
      <c r="O104" s="898"/>
      <c r="P104" s="898"/>
      <c r="Q104" s="898"/>
      <c r="R104" s="898"/>
      <c r="S104" s="898"/>
      <c r="T104" s="900"/>
      <c r="U104" s="900"/>
      <c r="V104" s="900"/>
      <c r="W104" s="900"/>
      <c r="Y104" s="898"/>
      <c r="Z104" s="757"/>
      <c r="AA104" s="747"/>
      <c r="AB104" s="835"/>
      <c r="AC104" s="757"/>
      <c r="AD104" s="747"/>
      <c r="AE104" s="890"/>
      <c r="AF104" s="854"/>
      <c r="AG104" s="854"/>
      <c r="AH104" s="854"/>
      <c r="AI104" s="854"/>
      <c r="AJ104" s="854"/>
      <c r="AK104" s="854"/>
      <c r="AL104" s="854"/>
      <c r="AM104" s="854"/>
      <c r="AN104" s="1218"/>
      <c r="AO104" s="854"/>
      <c r="AP104" s="1290"/>
      <c r="AQ104" s="1218"/>
      <c r="AR104" s="1290"/>
      <c r="AS104" s="1415"/>
      <c r="AT104" s="1367"/>
      <c r="AU104" s="1326"/>
      <c r="AV104" s="1327"/>
    </row>
    <row r="105" spans="1:48" s="745" customFormat="1" ht="24" customHeight="1" x14ac:dyDescent="0.6">
      <c r="A105" s="861"/>
      <c r="B105" s="1368" t="s">
        <v>1158</v>
      </c>
      <c r="C105" s="897"/>
      <c r="D105" s="898"/>
      <c r="E105" s="898"/>
      <c r="F105" s="898"/>
      <c r="G105" s="898"/>
      <c r="H105" s="898"/>
      <c r="I105" s="898"/>
      <c r="J105" s="899"/>
      <c r="K105" s="898"/>
      <c r="L105" s="898"/>
      <c r="M105" s="898"/>
      <c r="N105" s="898"/>
      <c r="O105" s="898"/>
      <c r="P105" s="898"/>
      <c r="Q105" s="898"/>
      <c r="R105" s="898"/>
      <c r="S105" s="898"/>
      <c r="T105" s="900"/>
      <c r="U105" s="900"/>
      <c r="V105" s="900"/>
      <c r="W105" s="900"/>
      <c r="Y105" s="898"/>
      <c r="Z105" s="757"/>
      <c r="AA105" s="747"/>
      <c r="AB105" s="835"/>
      <c r="AC105" s="757"/>
      <c r="AD105" s="747"/>
      <c r="AE105" s="890"/>
      <c r="AF105" s="854"/>
      <c r="AG105" s="854"/>
      <c r="AH105" s="854"/>
      <c r="AI105" s="854"/>
      <c r="AJ105" s="854"/>
      <c r="AK105" s="854"/>
      <c r="AL105" s="854"/>
      <c r="AM105" s="854"/>
      <c r="AN105" s="1218"/>
      <c r="AO105" s="854"/>
      <c r="AP105" s="1290"/>
      <c r="AQ105" s="1218"/>
      <c r="AR105" s="1290"/>
      <c r="AS105" s="1415"/>
      <c r="AT105" s="1290"/>
      <c r="AU105" s="1326"/>
      <c r="AV105" s="1327"/>
    </row>
    <row r="106" spans="1:48" s="723" customFormat="1" ht="24" customHeight="1" x14ac:dyDescent="0.25">
      <c r="A106" s="905" t="s">
        <v>207</v>
      </c>
      <c r="B106" s="906" t="s">
        <v>42</v>
      </c>
      <c r="C106" s="907" t="s">
        <v>208</v>
      </c>
      <c r="D106" s="730">
        <f>SUM(D107:D110)</f>
        <v>43921101.859999999</v>
      </c>
      <c r="E106" s="730">
        <f>SUM(E107:E110)</f>
        <v>37230122.969999999</v>
      </c>
      <c r="F106" s="730">
        <f>SUM(F107:F110)</f>
        <v>46273598.900000006</v>
      </c>
      <c r="G106" s="730">
        <v>60000000</v>
      </c>
      <c r="H106" s="730">
        <f>SUM(H107:H110)</f>
        <v>57251974.939999998</v>
      </c>
      <c r="I106" s="908">
        <v>0</v>
      </c>
      <c r="J106" s="909">
        <v>64500000</v>
      </c>
      <c r="K106" s="730">
        <f>SUM(K107:K110)</f>
        <v>64033302.310000002</v>
      </c>
      <c r="L106" s="908">
        <f>SUM(L107:L110)</f>
        <v>0</v>
      </c>
      <c r="M106" s="730"/>
      <c r="N106" s="730"/>
      <c r="O106" s="730"/>
      <c r="P106" s="730">
        <f>SUM(P107:P110)</f>
        <v>63200000</v>
      </c>
      <c r="Q106" s="730">
        <f>SUM(Q107:Q110)</f>
        <v>59796624.25</v>
      </c>
      <c r="R106" s="910">
        <f>+Q106/P106*100</f>
        <v>94.614911787974691</v>
      </c>
      <c r="S106" s="911">
        <v>0</v>
      </c>
      <c r="T106" s="729"/>
      <c r="U106" s="729"/>
      <c r="V106" s="729"/>
      <c r="W106" s="729"/>
      <c r="X106" s="730">
        <v>70000000</v>
      </c>
      <c r="Y106" s="908">
        <v>0</v>
      </c>
      <c r="Z106" s="730">
        <f>SUM(Z107:Z110)</f>
        <v>14050028.329999998</v>
      </c>
      <c r="AA106" s="730">
        <f>+Z106/X106*100</f>
        <v>20.071469042857139</v>
      </c>
      <c r="AB106" s="912">
        <f t="shared" ref="AB106:AB138" si="16">+(X106-Q106)/Q106*100</f>
        <v>17.063464498165214</v>
      </c>
      <c r="AC106" s="730">
        <f>SUM(AC107:AC110)</f>
        <v>29100809.289999999</v>
      </c>
      <c r="AD106" s="719">
        <f>+AC106/X106*100</f>
        <v>41.5725847</v>
      </c>
      <c r="AE106" s="719">
        <f>+X106</f>
        <v>70000000</v>
      </c>
      <c r="AF106" s="719">
        <f>SUM(AF107:AF110)</f>
        <v>44400793.759999998</v>
      </c>
      <c r="AG106" s="719">
        <f>+AF106/AE106*100</f>
        <v>63.429705371428568</v>
      </c>
      <c r="AH106" s="719"/>
      <c r="AI106" s="721">
        <f>SUM(AI107:AI110)</f>
        <v>70000000</v>
      </c>
      <c r="AJ106" s="721">
        <f>SUM(AJ107:AJ110)</f>
        <v>59560213.590000004</v>
      </c>
      <c r="AK106" s="721">
        <f>+AJ106/AI106*100</f>
        <v>85.086019414285715</v>
      </c>
      <c r="AL106" s="721">
        <f>SUM(AL107:AL110)</f>
        <v>0</v>
      </c>
      <c r="AM106" s="721"/>
      <c r="AN106" s="721"/>
      <c r="AO106" s="719"/>
      <c r="AP106" s="1274"/>
      <c r="AQ106" s="721"/>
      <c r="AR106" s="721"/>
      <c r="AS106" s="1299"/>
      <c r="AT106" s="721"/>
      <c r="AU106" s="731"/>
    </row>
    <row r="107" spans="1:48" ht="24" customHeight="1" x14ac:dyDescent="0.25">
      <c r="A107" s="980"/>
      <c r="B107" s="733" t="s">
        <v>209</v>
      </c>
      <c r="C107" s="734" t="s">
        <v>208</v>
      </c>
      <c r="D107" s="737">
        <v>35405372.43</v>
      </c>
      <c r="E107" s="737">
        <v>29192677.260000002</v>
      </c>
      <c r="F107" s="737">
        <v>39764581.07</v>
      </c>
      <c r="G107" s="737">
        <v>52600000</v>
      </c>
      <c r="H107" s="737">
        <v>47024196.229999997</v>
      </c>
      <c r="I107" s="928">
        <v>0</v>
      </c>
      <c r="J107" s="736">
        <v>56000000</v>
      </c>
      <c r="K107" s="737">
        <v>56181584.869999997</v>
      </c>
      <c r="L107" s="928">
        <v>0</v>
      </c>
      <c r="M107" s="737"/>
      <c r="N107" s="737"/>
      <c r="O107" s="737"/>
      <c r="P107" s="737">
        <v>56000000</v>
      </c>
      <c r="Q107" s="737">
        <v>51286742.840000004</v>
      </c>
      <c r="R107" s="865">
        <f t="shared" ref="R107:R122" si="17">+Q107/P107*100</f>
        <v>91.58346935714286</v>
      </c>
      <c r="S107" s="928">
        <v>0</v>
      </c>
      <c r="T107" s="740"/>
      <c r="U107" s="740"/>
      <c r="V107" s="740"/>
      <c r="W107" s="740"/>
      <c r="X107" s="737">
        <v>60000000</v>
      </c>
      <c r="Y107" s="928">
        <v>0</v>
      </c>
      <c r="Z107" s="737">
        <v>12640470.619999999</v>
      </c>
      <c r="AA107" s="737"/>
      <c r="AB107" s="1069">
        <f t="shared" si="16"/>
        <v>16.98929718969066</v>
      </c>
      <c r="AC107" s="737">
        <v>25185434.309999999</v>
      </c>
      <c r="AD107" s="737"/>
      <c r="AE107" s="737">
        <f>+X107</f>
        <v>60000000</v>
      </c>
      <c r="AF107" s="737">
        <v>38514614.799999997</v>
      </c>
      <c r="AG107" s="737"/>
      <c r="AH107" s="737"/>
      <c r="AI107" s="737">
        <f>+AE107</f>
        <v>60000000</v>
      </c>
      <c r="AJ107" s="737">
        <v>51797540.090000004</v>
      </c>
      <c r="AK107" s="737"/>
      <c r="AL107" s="737"/>
      <c r="AM107" s="737"/>
      <c r="AN107" s="737"/>
      <c r="AO107" s="737"/>
      <c r="AP107" s="737"/>
      <c r="AQ107" s="742"/>
      <c r="AR107" s="742"/>
      <c r="AS107" s="1386"/>
      <c r="AT107" s="737"/>
      <c r="AU107" s="742"/>
    </row>
    <row r="108" spans="1:48" ht="24" customHeight="1" x14ac:dyDescent="0.25">
      <c r="A108" s="744"/>
      <c r="B108" s="745" t="s">
        <v>210</v>
      </c>
      <c r="C108" s="746" t="s">
        <v>208</v>
      </c>
      <c r="D108" s="747">
        <v>5203355.8099999996</v>
      </c>
      <c r="E108" s="747">
        <v>5406173.71</v>
      </c>
      <c r="F108" s="914">
        <v>4573454.5599999996</v>
      </c>
      <c r="G108" s="914">
        <v>5000000</v>
      </c>
      <c r="H108" s="914">
        <v>6131053.9199999999</v>
      </c>
      <c r="I108" s="760">
        <v>0</v>
      </c>
      <c r="J108" s="915">
        <v>6600000</v>
      </c>
      <c r="K108" s="914">
        <v>6178370.0300000003</v>
      </c>
      <c r="L108" s="760">
        <v>0</v>
      </c>
      <c r="M108" s="914"/>
      <c r="N108" s="914"/>
      <c r="O108" s="914"/>
      <c r="P108" s="914">
        <v>6000000</v>
      </c>
      <c r="Q108" s="914">
        <v>6079902.2999999998</v>
      </c>
      <c r="R108" s="798">
        <f t="shared" si="17"/>
        <v>101.331705</v>
      </c>
      <c r="S108" s="760">
        <v>0</v>
      </c>
      <c r="T108" s="916"/>
      <c r="U108" s="916"/>
      <c r="V108" s="916"/>
      <c r="W108" s="916"/>
      <c r="X108" s="914">
        <v>7100000</v>
      </c>
      <c r="Y108" s="760">
        <v>0</v>
      </c>
      <c r="Z108" s="914">
        <v>781147.42</v>
      </c>
      <c r="AA108" s="914"/>
      <c r="AB108" s="835">
        <f t="shared" si="16"/>
        <v>16.778192307465208</v>
      </c>
      <c r="AC108" s="914">
        <v>2661684.21</v>
      </c>
      <c r="AD108" s="914"/>
      <c r="AE108" s="747">
        <f t="shared" ref="AE108:AE110" si="18">+X108</f>
        <v>7100000</v>
      </c>
      <c r="AF108" s="747">
        <v>4010852.16</v>
      </c>
      <c r="AG108" s="747"/>
      <c r="AH108" s="747"/>
      <c r="AI108" s="747">
        <f t="shared" ref="AI108:AI110" si="19">+AE108</f>
        <v>7100000</v>
      </c>
      <c r="AJ108" s="747">
        <v>5290631.57</v>
      </c>
      <c r="AK108" s="747"/>
      <c r="AL108" s="747"/>
      <c r="AM108" s="747"/>
      <c r="AN108" s="747"/>
      <c r="AO108" s="747"/>
      <c r="AP108" s="747"/>
      <c r="AQ108" s="753"/>
      <c r="AR108" s="753"/>
      <c r="AS108" s="1302"/>
      <c r="AT108" s="747"/>
      <c r="AU108" s="917"/>
    </row>
    <row r="109" spans="1:48" ht="24" customHeight="1" x14ac:dyDescent="0.25">
      <c r="A109" s="744"/>
      <c r="B109" s="745" t="s">
        <v>211</v>
      </c>
      <c r="C109" s="746" t="s">
        <v>208</v>
      </c>
      <c r="D109" s="747">
        <v>2976109.62</v>
      </c>
      <c r="E109" s="747">
        <v>2071037.4</v>
      </c>
      <c r="F109" s="914">
        <v>1566756.27</v>
      </c>
      <c r="G109" s="914">
        <v>1800000</v>
      </c>
      <c r="H109" s="914">
        <v>3693681.79</v>
      </c>
      <c r="I109" s="760">
        <v>0</v>
      </c>
      <c r="J109" s="915">
        <v>1500000</v>
      </c>
      <c r="K109" s="914">
        <f>831021.41+501664</f>
        <v>1332685.4100000001</v>
      </c>
      <c r="L109" s="760">
        <v>0</v>
      </c>
      <c r="M109" s="914"/>
      <c r="N109" s="914"/>
      <c r="O109" s="914"/>
      <c r="P109" s="914">
        <v>850000</v>
      </c>
      <c r="Q109" s="914">
        <f>960054.61+1159426.5</f>
        <v>2119481.11</v>
      </c>
      <c r="R109" s="798">
        <f t="shared" si="17"/>
        <v>249.35071882352941</v>
      </c>
      <c r="S109" s="760">
        <v>0</v>
      </c>
      <c r="T109" s="916"/>
      <c r="U109" s="916"/>
      <c r="V109" s="916"/>
      <c r="W109" s="916"/>
      <c r="X109" s="914">
        <v>2500000</v>
      </c>
      <c r="Y109" s="760">
        <v>0</v>
      </c>
      <c r="Z109" s="914">
        <v>551014.29</v>
      </c>
      <c r="AA109" s="914"/>
      <c r="AB109" s="835">
        <f t="shared" si="16"/>
        <v>17.95339850893977</v>
      </c>
      <c r="AC109" s="914">
        <f>362978.27+721782.5</f>
        <v>1084760.77</v>
      </c>
      <c r="AD109" s="914"/>
      <c r="AE109" s="747">
        <f t="shared" si="18"/>
        <v>2500000</v>
      </c>
      <c r="AF109" s="747">
        <v>1625309.24</v>
      </c>
      <c r="AG109" s="747"/>
      <c r="AH109" s="747"/>
      <c r="AI109" s="747">
        <f t="shared" si="19"/>
        <v>2500000</v>
      </c>
      <c r="AJ109" s="747">
        <v>2167744.37</v>
      </c>
      <c r="AK109" s="747"/>
      <c r="AL109" s="747"/>
      <c r="AM109" s="747"/>
      <c r="AN109" s="747"/>
      <c r="AO109" s="747"/>
      <c r="AP109" s="747"/>
      <c r="AQ109" s="753"/>
      <c r="AR109" s="753"/>
      <c r="AS109" s="1302"/>
      <c r="AT109" s="747"/>
      <c r="AU109" s="917"/>
    </row>
    <row r="110" spans="1:48" ht="24" customHeight="1" x14ac:dyDescent="0.25">
      <c r="A110" s="918"/>
      <c r="B110" s="762" t="s">
        <v>212</v>
      </c>
      <c r="C110" s="763" t="s">
        <v>208</v>
      </c>
      <c r="D110" s="764">
        <v>336264</v>
      </c>
      <c r="E110" s="764">
        <v>560234.6</v>
      </c>
      <c r="F110" s="919">
        <v>368807</v>
      </c>
      <c r="G110" s="919">
        <v>600000</v>
      </c>
      <c r="H110" s="919">
        <v>403043</v>
      </c>
      <c r="I110" s="821">
        <v>0</v>
      </c>
      <c r="J110" s="920">
        <v>400000</v>
      </c>
      <c r="K110" s="919">
        <v>340662</v>
      </c>
      <c r="L110" s="821">
        <v>0</v>
      </c>
      <c r="M110" s="919"/>
      <c r="N110" s="919"/>
      <c r="O110" s="919"/>
      <c r="P110" s="919">
        <v>350000</v>
      </c>
      <c r="Q110" s="919">
        <v>310498</v>
      </c>
      <c r="R110" s="921">
        <f t="shared" si="17"/>
        <v>88.713714285714289</v>
      </c>
      <c r="S110" s="821">
        <v>0</v>
      </c>
      <c r="T110" s="922"/>
      <c r="U110" s="922"/>
      <c r="V110" s="922"/>
      <c r="W110" s="922"/>
      <c r="X110" s="919">
        <v>400000</v>
      </c>
      <c r="Y110" s="821">
        <v>0</v>
      </c>
      <c r="Z110" s="919">
        <v>77396</v>
      </c>
      <c r="AA110" s="919"/>
      <c r="AB110" s="892">
        <f t="shared" si="16"/>
        <v>28.8253064431977</v>
      </c>
      <c r="AC110" s="919">
        <v>168930</v>
      </c>
      <c r="AD110" s="919"/>
      <c r="AE110" s="764">
        <f t="shared" si="18"/>
        <v>400000</v>
      </c>
      <c r="AF110" s="764">
        <v>250017.56</v>
      </c>
      <c r="AG110" s="764"/>
      <c r="AH110" s="764"/>
      <c r="AI110" s="764">
        <f t="shared" si="19"/>
        <v>400000</v>
      </c>
      <c r="AJ110" s="764">
        <v>304297.56</v>
      </c>
      <c r="AK110" s="764"/>
      <c r="AL110" s="764"/>
      <c r="AM110" s="764"/>
      <c r="AN110" s="764"/>
      <c r="AO110" s="764"/>
      <c r="AP110" s="764"/>
      <c r="AQ110" s="771"/>
      <c r="AR110" s="771"/>
      <c r="AS110" s="1389"/>
      <c r="AT110" s="764"/>
      <c r="AU110" s="770"/>
    </row>
    <row r="111" spans="1:48" s="723" customFormat="1" ht="23.25" customHeight="1" x14ac:dyDescent="0.25">
      <c r="A111" s="1077" t="s">
        <v>213</v>
      </c>
      <c r="B111" s="1082" t="s">
        <v>214</v>
      </c>
      <c r="C111" s="1078"/>
      <c r="D111" s="1081">
        <f>SUM(D112:D115)</f>
        <v>7616280</v>
      </c>
      <c r="E111" s="1081">
        <f>SUM(E112:E115)</f>
        <v>10056450</v>
      </c>
      <c r="F111" s="1081">
        <f>SUM(F112:F115)</f>
        <v>10584700</v>
      </c>
      <c r="G111" s="1081">
        <v>14490000</v>
      </c>
      <c r="H111" s="1081">
        <f>SUM(H112:H115)</f>
        <v>10427900</v>
      </c>
      <c r="I111" s="1086">
        <v>0</v>
      </c>
      <c r="J111" s="1209">
        <v>11990000</v>
      </c>
      <c r="K111" s="1081">
        <f>SUM(K112:K115)</f>
        <v>10495200</v>
      </c>
      <c r="L111" s="1086">
        <f>SUM(L112:L115)</f>
        <v>0</v>
      </c>
      <c r="M111" s="1081"/>
      <c r="N111" s="1081"/>
      <c r="O111" s="1081"/>
      <c r="P111" s="1081">
        <f>SUM(P112:P115)</f>
        <v>11136000</v>
      </c>
      <c r="Q111" s="1081">
        <f>SUM(Q112:Q115)</f>
        <v>10899200</v>
      </c>
      <c r="R111" s="924">
        <f t="shared" si="17"/>
        <v>97.8735632183908</v>
      </c>
      <c r="S111" s="1210">
        <v>0</v>
      </c>
      <c r="T111" s="1211"/>
      <c r="U111" s="1211"/>
      <c r="V111" s="1211"/>
      <c r="W111" s="1211"/>
      <c r="X111" s="1081">
        <f>SUM(X112:X115)</f>
        <v>11136000</v>
      </c>
      <c r="Y111" s="1081">
        <f>SUM(Y112:Y115)</f>
        <v>322828.02</v>
      </c>
      <c r="Z111" s="1081">
        <f>SUM(Z112:Z115)</f>
        <v>2791400</v>
      </c>
      <c r="AA111" s="1081">
        <f>+Z111/X111*100</f>
        <v>25.066451149425291</v>
      </c>
      <c r="AB111" s="720">
        <f t="shared" si="16"/>
        <v>2.1726365237815619</v>
      </c>
      <c r="AC111" s="1081">
        <f>SUM(AC112:AC115)</f>
        <v>5470050</v>
      </c>
      <c r="AD111" s="1090">
        <f>+AC111/X111*100</f>
        <v>49.12042025862069</v>
      </c>
      <c r="AE111" s="1090">
        <f>+X111</f>
        <v>11136000</v>
      </c>
      <c r="AF111" s="1090">
        <f>SUM(AF112:AF115)</f>
        <v>8139600</v>
      </c>
      <c r="AG111" s="1090">
        <f>+AF111/AE111*100</f>
        <v>73.092672413793096</v>
      </c>
      <c r="AH111" s="1090"/>
      <c r="AI111" s="1201">
        <f>SUM(AI112:AI115)</f>
        <v>11136000</v>
      </c>
      <c r="AJ111" s="1201">
        <f>SUM(AJ112:AJ115)</f>
        <v>10963600</v>
      </c>
      <c r="AK111" s="1201">
        <f>+AJ111/AI111*100</f>
        <v>98.451867816091948</v>
      </c>
      <c r="AL111" s="1201">
        <f>SUM(AL112:AL115)</f>
        <v>0</v>
      </c>
      <c r="AM111" s="1201"/>
      <c r="AN111" s="1201"/>
      <c r="AO111" s="1201"/>
      <c r="AP111" s="1202"/>
      <c r="AQ111" s="1201"/>
      <c r="AR111" s="721"/>
      <c r="AS111" s="1385"/>
      <c r="AT111" s="1201"/>
      <c r="AU111" s="1212"/>
    </row>
    <row r="112" spans="1:48" ht="23.25" customHeight="1" x14ac:dyDescent="0.25">
      <c r="A112" s="732"/>
      <c r="B112" s="893" t="s">
        <v>215</v>
      </c>
      <c r="C112" s="824" t="s">
        <v>163</v>
      </c>
      <c r="D112" s="925">
        <v>7560000</v>
      </c>
      <c r="E112" s="925">
        <v>9990000</v>
      </c>
      <c r="F112" s="735">
        <v>10525000</v>
      </c>
      <c r="G112" s="926">
        <v>10800000</v>
      </c>
      <c r="H112" s="735">
        <v>8180000</v>
      </c>
      <c r="I112" s="760">
        <v>0</v>
      </c>
      <c r="J112" s="927">
        <v>8400000</v>
      </c>
      <c r="K112" s="1582">
        <v>10455000</v>
      </c>
      <c r="L112" s="928">
        <v>0</v>
      </c>
      <c r="M112" s="929"/>
      <c r="N112" s="929"/>
      <c r="O112" s="929"/>
      <c r="P112" s="929">
        <v>8520000</v>
      </c>
      <c r="Q112" s="929">
        <v>8580000</v>
      </c>
      <c r="R112" s="913">
        <f t="shared" si="17"/>
        <v>100.70422535211267</v>
      </c>
      <c r="S112" s="928">
        <v>0</v>
      </c>
      <c r="T112" s="930"/>
      <c r="U112" s="930"/>
      <c r="V112" s="930"/>
      <c r="W112" s="930"/>
      <c r="X112" s="929">
        <v>8520000</v>
      </c>
      <c r="Y112" s="931">
        <v>0</v>
      </c>
      <c r="Z112" s="929">
        <v>2130000</v>
      </c>
      <c r="AA112" s="929"/>
      <c r="AB112" s="720">
        <f t="shared" si="16"/>
        <v>-0.69930069930069927</v>
      </c>
      <c r="AC112" s="929">
        <v>4140000</v>
      </c>
      <c r="AD112" s="929"/>
      <c r="AE112" s="929">
        <f>+X112</f>
        <v>8520000</v>
      </c>
      <c r="AF112" s="929">
        <v>6140000</v>
      </c>
      <c r="AG112" s="929"/>
      <c r="AH112" s="929"/>
      <c r="AI112" s="929">
        <f>+AE112</f>
        <v>8520000</v>
      </c>
      <c r="AJ112" s="932">
        <v>8290000</v>
      </c>
      <c r="AK112" s="932"/>
      <c r="AL112" s="932"/>
      <c r="AM112" s="929"/>
      <c r="AN112" s="932"/>
      <c r="AO112" s="932"/>
      <c r="AP112" s="932"/>
      <c r="AQ112" s="932"/>
      <c r="AR112" s="932"/>
      <c r="AS112" s="1416"/>
      <c r="AT112" s="929"/>
      <c r="AU112" s="932"/>
    </row>
    <row r="113" spans="1:48" ht="23.25" customHeight="1" x14ac:dyDescent="0.25">
      <c r="A113" s="744"/>
      <c r="B113" s="745" t="s">
        <v>216</v>
      </c>
      <c r="C113" s="746" t="s">
        <v>163</v>
      </c>
      <c r="D113" s="747">
        <v>0</v>
      </c>
      <c r="E113" s="747">
        <v>0</v>
      </c>
      <c r="F113" s="747">
        <v>0</v>
      </c>
      <c r="G113" s="914">
        <v>1440000</v>
      </c>
      <c r="H113" s="747">
        <v>640000</v>
      </c>
      <c r="I113" s="760">
        <v>0</v>
      </c>
      <c r="J113" s="915">
        <v>1440000</v>
      </c>
      <c r="K113" s="1583"/>
      <c r="L113" s="760">
        <v>0</v>
      </c>
      <c r="M113" s="914"/>
      <c r="N113" s="914"/>
      <c r="O113" s="914"/>
      <c r="P113" s="914">
        <v>360000</v>
      </c>
      <c r="Q113" s="914">
        <v>345000</v>
      </c>
      <c r="R113" s="798">
        <f t="shared" si="17"/>
        <v>95.833333333333343</v>
      </c>
      <c r="S113" s="760">
        <v>0</v>
      </c>
      <c r="T113" s="916"/>
      <c r="U113" s="916"/>
      <c r="V113" s="916"/>
      <c r="W113" s="916"/>
      <c r="X113" s="914">
        <v>360000</v>
      </c>
      <c r="Y113" s="757">
        <v>0</v>
      </c>
      <c r="Z113" s="914">
        <v>90000</v>
      </c>
      <c r="AA113" s="914"/>
      <c r="AB113" s="720">
        <f t="shared" si="16"/>
        <v>4.3478260869565215</v>
      </c>
      <c r="AC113" s="914">
        <v>170000</v>
      </c>
      <c r="AD113" s="914"/>
      <c r="AE113" s="914">
        <f t="shared" ref="AE113:AE115" si="20">+X113</f>
        <v>360000</v>
      </c>
      <c r="AF113" s="914">
        <v>260000</v>
      </c>
      <c r="AG113" s="914"/>
      <c r="AH113" s="914"/>
      <c r="AI113" s="914">
        <f t="shared" ref="AI113:AI115" si="21">+AE113</f>
        <v>360000</v>
      </c>
      <c r="AJ113" s="917">
        <v>340000</v>
      </c>
      <c r="AK113" s="917"/>
      <c r="AL113" s="917"/>
      <c r="AM113" s="914"/>
      <c r="AN113" s="917"/>
      <c r="AO113" s="917"/>
      <c r="AP113" s="917"/>
      <c r="AQ113" s="917"/>
      <c r="AR113" s="917"/>
      <c r="AS113" s="1340"/>
      <c r="AT113" s="914"/>
      <c r="AU113" s="917"/>
    </row>
    <row r="114" spans="1:48" ht="23.25" customHeight="1" x14ac:dyDescent="0.25">
      <c r="A114" s="744"/>
      <c r="B114" s="745" t="s">
        <v>217</v>
      </c>
      <c r="C114" s="746" t="s">
        <v>163</v>
      </c>
      <c r="D114" s="747">
        <v>0</v>
      </c>
      <c r="E114" s="747">
        <v>0</v>
      </c>
      <c r="F114" s="747">
        <v>0</v>
      </c>
      <c r="G114" s="914">
        <v>2100000</v>
      </c>
      <c r="H114" s="747">
        <v>1565000</v>
      </c>
      <c r="I114" s="760">
        <v>0</v>
      </c>
      <c r="J114" s="915">
        <v>2100000</v>
      </c>
      <c r="K114" s="1584"/>
      <c r="L114" s="760">
        <v>0</v>
      </c>
      <c r="M114" s="914"/>
      <c r="N114" s="914"/>
      <c r="O114" s="914"/>
      <c r="P114" s="914">
        <v>2160000</v>
      </c>
      <c r="Q114" s="914">
        <v>1925000</v>
      </c>
      <c r="R114" s="798">
        <f t="shared" si="17"/>
        <v>89.120370370370367</v>
      </c>
      <c r="S114" s="760">
        <v>0</v>
      </c>
      <c r="T114" s="916"/>
      <c r="U114" s="916"/>
      <c r="V114" s="916"/>
      <c r="W114" s="916"/>
      <c r="X114" s="914">
        <v>2160000</v>
      </c>
      <c r="Y114" s="757">
        <v>0</v>
      </c>
      <c r="Z114" s="914">
        <v>560000</v>
      </c>
      <c r="AA114" s="914"/>
      <c r="AB114" s="720">
        <f t="shared" si="16"/>
        <v>12.207792207792208</v>
      </c>
      <c r="AC114" s="914">
        <v>1135000</v>
      </c>
      <c r="AD114" s="914"/>
      <c r="AE114" s="914">
        <f t="shared" si="20"/>
        <v>2160000</v>
      </c>
      <c r="AF114" s="914">
        <v>1700000</v>
      </c>
      <c r="AG114" s="914"/>
      <c r="AH114" s="914"/>
      <c r="AI114" s="914">
        <f t="shared" si="21"/>
        <v>2160000</v>
      </c>
      <c r="AJ114" s="917">
        <v>2285000</v>
      </c>
      <c r="AK114" s="917"/>
      <c r="AL114" s="917"/>
      <c r="AM114" s="914"/>
      <c r="AN114" s="917"/>
      <c r="AO114" s="917"/>
      <c r="AP114" s="917"/>
      <c r="AQ114" s="917"/>
      <c r="AR114" s="917"/>
      <c r="AS114" s="1340"/>
      <c r="AT114" s="914"/>
      <c r="AU114" s="917"/>
    </row>
    <row r="115" spans="1:48" ht="23.25" customHeight="1" x14ac:dyDescent="0.25">
      <c r="A115" s="918"/>
      <c r="B115" s="901" t="s">
        <v>218</v>
      </c>
      <c r="C115" s="933" t="s">
        <v>188</v>
      </c>
      <c r="D115" s="796">
        <v>56280</v>
      </c>
      <c r="E115" s="796">
        <v>66450</v>
      </c>
      <c r="F115" s="796">
        <v>59700</v>
      </c>
      <c r="G115" s="934">
        <v>150000</v>
      </c>
      <c r="H115" s="796">
        <v>42900</v>
      </c>
      <c r="I115" s="817">
        <v>0</v>
      </c>
      <c r="J115" s="935">
        <v>50000</v>
      </c>
      <c r="K115" s="934">
        <v>40200</v>
      </c>
      <c r="L115" s="817">
        <v>0</v>
      </c>
      <c r="M115" s="934"/>
      <c r="N115" s="934"/>
      <c r="O115" s="934"/>
      <c r="P115" s="934">
        <v>96000</v>
      </c>
      <c r="Q115" s="934">
        <v>49200</v>
      </c>
      <c r="R115" s="936">
        <f t="shared" si="17"/>
        <v>51.249999999999993</v>
      </c>
      <c r="S115" s="817">
        <v>0</v>
      </c>
      <c r="T115" s="937"/>
      <c r="U115" s="937"/>
      <c r="V115" s="937"/>
      <c r="W115" s="937"/>
      <c r="X115" s="934">
        <v>96000</v>
      </c>
      <c r="Y115" s="934">
        <f>1819+321009.02</f>
        <v>322828.02</v>
      </c>
      <c r="Z115" s="934">
        <v>11400</v>
      </c>
      <c r="AA115" s="934"/>
      <c r="AB115" s="720">
        <f t="shared" si="16"/>
        <v>95.121951219512198</v>
      </c>
      <c r="AC115" s="934">
        <v>25050</v>
      </c>
      <c r="AD115" s="934"/>
      <c r="AE115" s="934">
        <f t="shared" si="20"/>
        <v>96000</v>
      </c>
      <c r="AF115" s="934">
        <v>39600</v>
      </c>
      <c r="AG115" s="934"/>
      <c r="AH115" s="934"/>
      <c r="AI115" s="934">
        <f t="shared" si="21"/>
        <v>96000</v>
      </c>
      <c r="AJ115" s="938">
        <v>48600</v>
      </c>
      <c r="AK115" s="938"/>
      <c r="AL115" s="938"/>
      <c r="AM115" s="934"/>
      <c r="AN115" s="938"/>
      <c r="AO115" s="938"/>
      <c r="AP115" s="938"/>
      <c r="AQ115" s="938"/>
      <c r="AR115" s="938"/>
      <c r="AT115" s="919"/>
      <c r="AU115" s="770"/>
    </row>
    <row r="116" spans="1:48" s="723" customFormat="1" ht="21.75" customHeight="1" x14ac:dyDescent="0.6">
      <c r="A116" s="716" t="s">
        <v>219</v>
      </c>
      <c r="B116" s="939" t="s">
        <v>86</v>
      </c>
      <c r="C116" s="907"/>
      <c r="D116" s="730">
        <f>SUM(D117+D118+D119+D120+D121+D122+D126+D127+D128+D136+D137+D141+D142+D143+D144+D156+D157+D158)</f>
        <v>789430042.36000001</v>
      </c>
      <c r="E116" s="730">
        <f>SUM(E117+E118+E119+E120+E121+E122+E126+E127+E128+E136+E137+E141+E142+E143+E144+E156+E157+E158)</f>
        <v>783251837.49000001</v>
      </c>
      <c r="F116" s="730">
        <f>SUM(F117+F118+F119+F120+F121+F122+F126+F127+F128+F136+F137+F141+F142+F143+F144+F156+F157+F158)</f>
        <v>844334234.51999998</v>
      </c>
      <c r="G116" s="940">
        <v>836150000</v>
      </c>
      <c r="H116" s="730">
        <f>SUM(H117+H118+H119+H120+H121+H122+H126+H127+H128+H136+H137+H141+H142+H143+H144+H156+H157+H158)</f>
        <v>912235784.20999992</v>
      </c>
      <c r="I116" s="730">
        <f>I117+I118+I119+I120+I121+I122+I126+I127+I128+I136+I137+I141+I142+I143+I144+I156+I157+I158</f>
        <v>253577859.16000003</v>
      </c>
      <c r="J116" s="941">
        <v>847930000</v>
      </c>
      <c r="K116" s="942">
        <f>SUM(K117:K158)</f>
        <v>904032336.96999991</v>
      </c>
      <c r="L116" s="942"/>
      <c r="M116" s="943">
        <f>SUM(M117:M158)</f>
        <v>391409034.93000001</v>
      </c>
      <c r="N116" s="943">
        <f>SUM(N117:N158)</f>
        <v>46312759.259999998</v>
      </c>
      <c r="O116" s="943">
        <f>SUM(O117:O158)</f>
        <v>510750000</v>
      </c>
      <c r="P116" s="943">
        <f>SUM(P117:P158)-P122-P128-P137-P144</f>
        <v>652120000</v>
      </c>
      <c r="Q116" s="943">
        <f>SUM(Q117:Q158)</f>
        <v>1112817148.3900001</v>
      </c>
      <c r="R116" s="910">
        <f t="shared" si="17"/>
        <v>170.64606949487825</v>
      </c>
      <c r="S116" s="942">
        <f>SUM(S117:S158)</f>
        <v>255043186.53999993</v>
      </c>
      <c r="T116" s="944">
        <f>+T117+T118+T119+T120+T121+T123+T124+T125+T126+T129+T130+T131+T132+T133+T134+T136+T138+T139+T140+T141+T143+T145+T146+T147+T148+T149+T150+T151+T152+T153+T154+T155+T156+T157+T158</f>
        <v>498700038.86999995</v>
      </c>
      <c r="U116" s="944">
        <f>+U117+U118+U119+U120+U121+U123+U124+U125+U126+U128+U136+U137+U141+U143+U144+U156+U157+U158</f>
        <v>146169382.32999998</v>
      </c>
      <c r="V116" s="944"/>
      <c r="W116" s="944"/>
      <c r="X116" s="943">
        <f>+X117+X118+X119+X120+X121+X123+X124+X125+X126+X128+X136+X137+X141+X143+X144+X156+X157+X158</f>
        <v>1049980000</v>
      </c>
      <c r="Y116" s="942">
        <f>SUM(Y117:Y158)</f>
        <v>246017905.32999995</v>
      </c>
      <c r="Z116" s="942">
        <f>SUM(Z117:Z158)-Z137-Z144</f>
        <v>270618132.63999999</v>
      </c>
      <c r="AA116" s="730">
        <f>+Z116/X116*100</f>
        <v>25.773646416122208</v>
      </c>
      <c r="AB116" s="912">
        <f t="shared" si="16"/>
        <v>-5.6466732635196664</v>
      </c>
      <c r="AC116" s="942">
        <f>SUM(AC117:AC122,AC126,AC128,AC136,AC137,AC141,AC143,AC144,AC156,AC157,AC158)</f>
        <v>533003844.96999997</v>
      </c>
      <c r="AD116" s="719">
        <f>+AC116/X116*100</f>
        <v>50.763237868340347</v>
      </c>
      <c r="AE116" s="719">
        <f>SUM(AE117:AE158)-AE122-AE128</f>
        <v>1097740000</v>
      </c>
      <c r="AF116" s="719">
        <f>SUM(AF117:AF158)-AF144</f>
        <v>811288763.12000012</v>
      </c>
      <c r="AG116" s="719">
        <f>+AF116/AE116*100</f>
        <v>73.905365853480802</v>
      </c>
      <c r="AH116" s="719"/>
      <c r="AI116" s="719">
        <f>SUM(AI117:AI158)-AI122-AI128</f>
        <v>1131980000</v>
      </c>
      <c r="AJ116" s="719">
        <f>SUM(AJ117:AJ158)-AJ137-AJ144</f>
        <v>1142823121.5400002</v>
      </c>
      <c r="AK116" s="721">
        <f>+AJ116/AI116*100</f>
        <v>100.95788985141081</v>
      </c>
      <c r="AL116" s="719">
        <f>SUM(AL117:AL158)-AL137-AL144</f>
        <v>280425750.89999998</v>
      </c>
      <c r="AM116" s="719"/>
      <c r="AN116" s="719"/>
      <c r="AO116" s="719"/>
      <c r="AP116" s="719"/>
      <c r="AQ116" s="1299"/>
      <c r="AR116" s="721"/>
      <c r="AS116" s="1299"/>
      <c r="AT116" s="719"/>
      <c r="AU116" s="1249"/>
      <c r="AV116" s="945"/>
    </row>
    <row r="117" spans="1:48" ht="21.75" customHeight="1" x14ac:dyDescent="0.25">
      <c r="A117" s="980"/>
      <c r="B117" s="733" t="s">
        <v>220</v>
      </c>
      <c r="C117" s="734" t="s">
        <v>221</v>
      </c>
      <c r="D117" s="737">
        <v>9987065.3800000008</v>
      </c>
      <c r="E117" s="737">
        <v>8106802.9100000001</v>
      </c>
      <c r="F117" s="737">
        <v>7445383.4900000002</v>
      </c>
      <c r="G117" s="737">
        <v>7000000</v>
      </c>
      <c r="H117" s="737">
        <v>9121616.75</v>
      </c>
      <c r="I117" s="737">
        <v>2815961.74</v>
      </c>
      <c r="J117" s="1067">
        <v>9500000</v>
      </c>
      <c r="K117" s="738">
        <v>8247001.4199999999</v>
      </c>
      <c r="L117" s="738">
        <v>4524450.6100000003</v>
      </c>
      <c r="M117" s="738">
        <v>8452293.3499999996</v>
      </c>
      <c r="N117" s="738">
        <v>0</v>
      </c>
      <c r="O117" s="738">
        <v>10000000</v>
      </c>
      <c r="P117" s="738">
        <v>12000000</v>
      </c>
      <c r="Q117" s="738">
        <v>11003401.390000001</v>
      </c>
      <c r="R117" s="865">
        <f t="shared" si="17"/>
        <v>91.69501158333334</v>
      </c>
      <c r="S117" s="737">
        <v>4091771.45</v>
      </c>
      <c r="T117" s="1068">
        <v>7291024.0499999998</v>
      </c>
      <c r="U117" s="1068"/>
      <c r="V117" s="1068">
        <v>1986408.23</v>
      </c>
      <c r="W117" s="1068"/>
      <c r="X117" s="738">
        <v>12000000</v>
      </c>
      <c r="Y117" s="737">
        <v>4086992.5</v>
      </c>
      <c r="Z117" s="737">
        <v>2830383.55</v>
      </c>
      <c r="AA117" s="737"/>
      <c r="AB117" s="1069">
        <f t="shared" si="16"/>
        <v>9.0571867250586546</v>
      </c>
      <c r="AC117" s="737">
        <v>6792013.4500000002</v>
      </c>
      <c r="AD117" s="737"/>
      <c r="AE117" s="737">
        <f>+X117</f>
        <v>12000000</v>
      </c>
      <c r="AF117" s="737">
        <v>8017181.1200000001</v>
      </c>
      <c r="AG117" s="737"/>
      <c r="AH117" s="737">
        <v>6388369.9000000004</v>
      </c>
      <c r="AI117" s="737">
        <f>+AE117</f>
        <v>12000000</v>
      </c>
      <c r="AJ117" s="737">
        <v>10880919.02</v>
      </c>
      <c r="AK117" s="737"/>
      <c r="AL117" s="737">
        <v>4740004.68</v>
      </c>
      <c r="AM117" s="737"/>
      <c r="AN117" s="737"/>
      <c r="AO117" s="737"/>
      <c r="AP117" s="1294"/>
      <c r="AQ117" s="1315"/>
      <c r="AR117" s="1295"/>
      <c r="AS117" s="1315"/>
      <c r="AT117" s="1315"/>
      <c r="AU117" s="733"/>
      <c r="AV117" s="1331">
        <v>15000000</v>
      </c>
    </row>
    <row r="118" spans="1:48" ht="21.75" customHeight="1" x14ac:dyDescent="0.25">
      <c r="A118" s="744"/>
      <c r="B118" s="745" t="s">
        <v>222</v>
      </c>
      <c r="C118" s="746" t="s">
        <v>221</v>
      </c>
      <c r="D118" s="747">
        <v>5279334.3099999996</v>
      </c>
      <c r="E118" s="747">
        <v>4333646.88</v>
      </c>
      <c r="F118" s="747">
        <v>2743563.11</v>
      </c>
      <c r="G118" s="747">
        <v>2500000</v>
      </c>
      <c r="H118" s="747">
        <v>2259018.12</v>
      </c>
      <c r="I118" s="747">
        <v>1246918.6499999999</v>
      </c>
      <c r="J118" s="946">
        <v>3000000</v>
      </c>
      <c r="K118" s="749">
        <v>3843530.08</v>
      </c>
      <c r="L118" s="749">
        <v>1228283.5</v>
      </c>
      <c r="M118" s="749">
        <v>2890775.99</v>
      </c>
      <c r="N118" s="749">
        <v>222828.67</v>
      </c>
      <c r="O118" s="749">
        <v>3500000</v>
      </c>
      <c r="P118" s="749">
        <f>+[1]รวม!$L$36</f>
        <v>4500000</v>
      </c>
      <c r="Q118" s="749">
        <v>4994698.74</v>
      </c>
      <c r="R118" s="798">
        <f t="shared" si="17"/>
        <v>110.99330533333334</v>
      </c>
      <c r="S118" s="747">
        <v>403846.51</v>
      </c>
      <c r="T118" s="947">
        <v>3602020.91</v>
      </c>
      <c r="U118" s="947">
        <v>775582.87</v>
      </c>
      <c r="V118" s="947">
        <v>93523.6</v>
      </c>
      <c r="W118" s="947"/>
      <c r="X118" s="749">
        <v>4500000</v>
      </c>
      <c r="Y118" s="747">
        <v>352463.42</v>
      </c>
      <c r="Z118" s="747">
        <v>723329.07</v>
      </c>
      <c r="AA118" s="747"/>
      <c r="AB118" s="835">
        <f t="shared" si="16"/>
        <v>-9.9044760405309304</v>
      </c>
      <c r="AC118" s="747">
        <v>1713752.11</v>
      </c>
      <c r="AD118" s="747"/>
      <c r="AE118" s="747">
        <f>+X118</f>
        <v>4500000</v>
      </c>
      <c r="AF118" s="747">
        <v>2368781.46</v>
      </c>
      <c r="AG118" s="747"/>
      <c r="AH118" s="747">
        <v>430588.11</v>
      </c>
      <c r="AI118" s="747">
        <f t="shared" ref="AI118:AI121" si="22">+AE118</f>
        <v>4500000</v>
      </c>
      <c r="AJ118" s="747">
        <v>3092142.69</v>
      </c>
      <c r="AK118" s="747"/>
      <c r="AL118" s="747">
        <v>1001761.42</v>
      </c>
      <c r="AM118" s="747"/>
      <c r="AN118" s="747"/>
      <c r="AO118" s="747"/>
      <c r="AP118" s="1296"/>
      <c r="AQ118" s="1316"/>
      <c r="AR118" s="1297"/>
      <c r="AS118" s="1316"/>
      <c r="AT118" s="1316"/>
      <c r="AU118" s="745"/>
      <c r="AV118" s="1297">
        <v>3500000</v>
      </c>
    </row>
    <row r="119" spans="1:48" ht="21.75" customHeight="1" x14ac:dyDescent="0.25">
      <c r="A119" s="744"/>
      <c r="B119" s="745" t="s">
        <v>223</v>
      </c>
      <c r="C119" s="746" t="s">
        <v>221</v>
      </c>
      <c r="D119" s="747">
        <v>8737851.0999999996</v>
      </c>
      <c r="E119" s="747">
        <v>8939515.6099999994</v>
      </c>
      <c r="F119" s="747">
        <v>9999428.4499999993</v>
      </c>
      <c r="G119" s="747">
        <v>8000000</v>
      </c>
      <c r="H119" s="747">
        <v>10066770.92</v>
      </c>
      <c r="I119" s="747">
        <v>2366813.77</v>
      </c>
      <c r="J119" s="946">
        <v>10000000</v>
      </c>
      <c r="K119" s="749">
        <v>10148764.800000001</v>
      </c>
      <c r="L119" s="749">
        <v>2504336.92</v>
      </c>
      <c r="M119" s="749">
        <v>9248027</v>
      </c>
      <c r="N119" s="749">
        <v>0</v>
      </c>
      <c r="O119" s="749">
        <v>11000000</v>
      </c>
      <c r="P119" s="749">
        <v>12000000</v>
      </c>
      <c r="Q119" s="749">
        <v>10774629.68</v>
      </c>
      <c r="R119" s="798">
        <f t="shared" si="17"/>
        <v>89.788580666666661</v>
      </c>
      <c r="S119" s="747">
        <v>3333091.54</v>
      </c>
      <c r="T119" s="947">
        <v>8174515.6600000001</v>
      </c>
      <c r="U119" s="947">
        <v>3559972.08</v>
      </c>
      <c r="V119" s="947">
        <v>1306772.3999999999</v>
      </c>
      <c r="W119" s="947"/>
      <c r="X119" s="749">
        <v>12000000</v>
      </c>
      <c r="Y119" s="747">
        <v>5028020.42</v>
      </c>
      <c r="Z119" s="747">
        <v>1559625.4</v>
      </c>
      <c r="AA119" s="747"/>
      <c r="AB119" s="835">
        <f t="shared" si="16"/>
        <v>11.372737220607663</v>
      </c>
      <c r="AC119" s="747">
        <v>5061829.37</v>
      </c>
      <c r="AD119" s="747"/>
      <c r="AE119" s="747">
        <f>+X119</f>
        <v>12000000</v>
      </c>
      <c r="AF119" s="747">
        <v>7904507.6299999999</v>
      </c>
      <c r="AG119" s="747"/>
      <c r="AH119" s="747">
        <v>4829485.03</v>
      </c>
      <c r="AI119" s="747">
        <f t="shared" si="22"/>
        <v>12000000</v>
      </c>
      <c r="AJ119" s="747">
        <v>13211952.699999999</v>
      </c>
      <c r="AK119" s="747"/>
      <c r="AL119" s="747">
        <v>2198294.63</v>
      </c>
      <c r="AM119" s="747"/>
      <c r="AN119" s="747"/>
      <c r="AO119" s="747"/>
      <c r="AP119" s="1296"/>
      <c r="AQ119" s="1316"/>
      <c r="AR119" s="1297"/>
      <c r="AS119" s="1316"/>
      <c r="AT119" s="1316"/>
      <c r="AU119" s="745"/>
      <c r="AV119" s="1297">
        <v>15000000</v>
      </c>
    </row>
    <row r="120" spans="1:48" ht="21.75" customHeight="1" x14ac:dyDescent="0.25">
      <c r="A120" s="744"/>
      <c r="B120" s="745" t="s">
        <v>224</v>
      </c>
      <c r="C120" s="746" t="s">
        <v>221</v>
      </c>
      <c r="D120" s="747">
        <v>3517897.27</v>
      </c>
      <c r="E120" s="747">
        <v>3890244.4</v>
      </c>
      <c r="F120" s="747">
        <v>3320666.75</v>
      </c>
      <c r="G120" s="747">
        <v>3000000</v>
      </c>
      <c r="H120" s="747">
        <v>3472551.73</v>
      </c>
      <c r="I120" s="747">
        <v>1336620.3999999999</v>
      </c>
      <c r="J120" s="946">
        <v>3000000</v>
      </c>
      <c r="K120" s="749">
        <v>4254730.75</v>
      </c>
      <c r="L120" s="749">
        <v>1058623.6100000001</v>
      </c>
      <c r="M120" s="749">
        <v>3686196.85</v>
      </c>
      <c r="N120" s="749">
        <v>312635.15999999997</v>
      </c>
      <c r="O120" s="749">
        <v>3500000</v>
      </c>
      <c r="P120" s="749">
        <v>5000000</v>
      </c>
      <c r="Q120" s="749">
        <v>4835460.88</v>
      </c>
      <c r="R120" s="798">
        <f t="shared" si="17"/>
        <v>96.709217600000002</v>
      </c>
      <c r="S120" s="747">
        <v>577781.89</v>
      </c>
      <c r="T120" s="947">
        <v>3188196.6</v>
      </c>
      <c r="U120" s="947">
        <v>1089645.3899999999</v>
      </c>
      <c r="V120" s="947">
        <v>24273</v>
      </c>
      <c r="W120" s="947"/>
      <c r="X120" s="749">
        <v>5000000</v>
      </c>
      <c r="Y120" s="747">
        <v>589066.41</v>
      </c>
      <c r="Z120" s="747">
        <v>740579.07</v>
      </c>
      <c r="AA120" s="747"/>
      <c r="AB120" s="835">
        <f t="shared" si="16"/>
        <v>3.4027598213140777</v>
      </c>
      <c r="AC120" s="747">
        <v>1389064.27</v>
      </c>
      <c r="AD120" s="747"/>
      <c r="AE120" s="747">
        <f>+X120</f>
        <v>5000000</v>
      </c>
      <c r="AF120" s="747">
        <v>2153418.87</v>
      </c>
      <c r="AG120" s="747"/>
      <c r="AH120" s="747">
        <v>508550.74</v>
      </c>
      <c r="AI120" s="747">
        <f t="shared" si="22"/>
        <v>5000000</v>
      </c>
      <c r="AJ120" s="747">
        <v>3597100.58</v>
      </c>
      <c r="AK120" s="747"/>
      <c r="AL120" s="747">
        <v>1432089.87</v>
      </c>
      <c r="AM120" s="747"/>
      <c r="AN120" s="747"/>
      <c r="AO120" s="747"/>
      <c r="AP120" s="747"/>
      <c r="AQ120" s="1317"/>
      <c r="AR120" s="1298"/>
      <c r="AS120" s="1317"/>
      <c r="AT120" s="1317"/>
      <c r="AU120" s="745"/>
      <c r="AV120" s="1332">
        <v>3500000</v>
      </c>
    </row>
    <row r="121" spans="1:48" ht="21.75" customHeight="1" x14ac:dyDescent="0.25">
      <c r="A121" s="744"/>
      <c r="B121" s="745" t="s">
        <v>524</v>
      </c>
      <c r="C121" s="746" t="s">
        <v>221</v>
      </c>
      <c r="D121" s="747">
        <v>444347.29</v>
      </c>
      <c r="E121" s="747">
        <v>337365.22</v>
      </c>
      <c r="F121" s="747">
        <v>368998.74</v>
      </c>
      <c r="G121" s="747">
        <v>250000</v>
      </c>
      <c r="H121" s="747">
        <v>213663.72</v>
      </c>
      <c r="I121" s="747">
        <v>179823.02</v>
      </c>
      <c r="J121" s="946">
        <v>1000000</v>
      </c>
      <c r="K121" s="749">
        <v>561266.22</v>
      </c>
      <c r="L121" s="749">
        <v>190032</v>
      </c>
      <c r="M121" s="749">
        <v>342190.29</v>
      </c>
      <c r="N121" s="749">
        <v>57673</v>
      </c>
      <c r="O121" s="749">
        <v>1000000</v>
      </c>
      <c r="P121" s="749">
        <f>+[1]รวม!$L$38</f>
        <v>1500000</v>
      </c>
      <c r="Q121" s="749">
        <v>782152</v>
      </c>
      <c r="R121" s="798">
        <f t="shared" si="17"/>
        <v>52.143466666666669</v>
      </c>
      <c r="S121" s="747">
        <v>139929</v>
      </c>
      <c r="T121" s="947">
        <v>611735.28</v>
      </c>
      <c r="U121" s="947">
        <v>115485</v>
      </c>
      <c r="V121" s="947">
        <v>89755</v>
      </c>
      <c r="W121" s="947"/>
      <c r="X121" s="749">
        <v>1000000</v>
      </c>
      <c r="Y121" s="747">
        <v>37095</v>
      </c>
      <c r="Z121" s="747">
        <v>168177</v>
      </c>
      <c r="AA121" s="747"/>
      <c r="AB121" s="902">
        <f t="shared" si="16"/>
        <v>27.852386748355819</v>
      </c>
      <c r="AC121" s="747">
        <v>224262</v>
      </c>
      <c r="AD121" s="747"/>
      <c r="AE121" s="747">
        <f>+X121</f>
        <v>1000000</v>
      </c>
      <c r="AF121" s="747">
        <v>297003.59999999998</v>
      </c>
      <c r="AG121" s="747"/>
      <c r="AH121" s="747">
        <v>30923</v>
      </c>
      <c r="AI121" s="747">
        <f t="shared" si="22"/>
        <v>1000000</v>
      </c>
      <c r="AJ121" s="747">
        <v>458520.04</v>
      </c>
      <c r="AK121" s="747"/>
      <c r="AL121" s="747">
        <v>141569</v>
      </c>
      <c r="AM121" s="747"/>
      <c r="AN121" s="747"/>
      <c r="AO121" s="747"/>
      <c r="AP121" s="1268"/>
      <c r="AQ121" s="1318"/>
      <c r="AR121" s="1239"/>
      <c r="AS121" s="1318"/>
      <c r="AT121" s="1318"/>
      <c r="AU121" s="745"/>
      <c r="AV121" s="1239">
        <v>500000</v>
      </c>
    </row>
    <row r="122" spans="1:48" s="953" customFormat="1" ht="21.75" customHeight="1" x14ac:dyDescent="0.25">
      <c r="A122" s="948"/>
      <c r="B122" s="949" t="s">
        <v>225</v>
      </c>
      <c r="C122" s="808" t="s">
        <v>221</v>
      </c>
      <c r="D122" s="788">
        <f>SUM(D123:D125)</f>
        <v>5920245.5300000003</v>
      </c>
      <c r="E122" s="788">
        <f>SUM(E123:E125)</f>
        <v>6293881.96</v>
      </c>
      <c r="F122" s="788">
        <f>SUM(F123:F125)</f>
        <v>6509269.4000000004</v>
      </c>
      <c r="G122" s="788">
        <v>6100000</v>
      </c>
      <c r="H122" s="788">
        <v>5970757.75</v>
      </c>
      <c r="I122" s="788">
        <v>1391036.88</v>
      </c>
      <c r="J122" s="787">
        <v>7100000</v>
      </c>
      <c r="K122" s="788">
        <v>7450171.7000000002</v>
      </c>
      <c r="L122" s="788">
        <v>1504551.28</v>
      </c>
      <c r="M122" s="788"/>
      <c r="N122" s="788"/>
      <c r="O122" s="788"/>
      <c r="P122" s="788">
        <f>SUM(P123:P125)</f>
        <v>0</v>
      </c>
      <c r="Q122" s="788">
        <v>8937429.4700000007</v>
      </c>
      <c r="R122" s="950" t="e">
        <f t="shared" si="17"/>
        <v>#DIV/0!</v>
      </c>
      <c r="S122" s="951">
        <v>0</v>
      </c>
      <c r="T122" s="788">
        <f>SUM(T123:T125)</f>
        <v>6136148.6699999999</v>
      </c>
      <c r="U122" s="788"/>
      <c r="V122" s="788"/>
      <c r="W122" s="788"/>
      <c r="X122" s="788">
        <f>SUM(X123:X125)</f>
        <v>8550000</v>
      </c>
      <c r="Y122" s="952">
        <v>0</v>
      </c>
      <c r="Z122" s="788">
        <v>1553314</v>
      </c>
      <c r="AA122" s="788"/>
      <c r="AB122" s="790">
        <f t="shared" si="16"/>
        <v>-4.3349093976122939</v>
      </c>
      <c r="AC122" s="788">
        <f>SUM(AC123:AC125)</f>
        <v>4706857.0999999996</v>
      </c>
      <c r="AD122" s="788"/>
      <c r="AE122" s="788">
        <f>SUM(AE123:AE125)</f>
        <v>8270000</v>
      </c>
      <c r="AF122" s="788">
        <v>6241096.0999999996</v>
      </c>
      <c r="AG122" s="788"/>
      <c r="AH122" s="788">
        <v>1220719.2</v>
      </c>
      <c r="AI122" s="788">
        <f>+AE122</f>
        <v>8270000</v>
      </c>
      <c r="AJ122" s="788">
        <v>9126081.1999999993</v>
      </c>
      <c r="AK122" s="788"/>
      <c r="AL122" s="788">
        <f>SUM(AL123:AL125)</f>
        <v>1419779.2</v>
      </c>
      <c r="AM122" s="788"/>
      <c r="AN122" s="788"/>
      <c r="AO122" s="788"/>
      <c r="AP122" s="788"/>
      <c r="AQ122" s="1301"/>
      <c r="AR122" s="791"/>
      <c r="AS122" s="1418"/>
      <c r="AT122" s="791"/>
      <c r="AU122" s="1250"/>
      <c r="AV122" s="791"/>
    </row>
    <row r="123" spans="1:48" ht="21.75" customHeight="1" x14ac:dyDescent="0.25">
      <c r="A123" s="744"/>
      <c r="B123" s="745" t="s">
        <v>226</v>
      </c>
      <c r="C123" s="746" t="s">
        <v>221</v>
      </c>
      <c r="D123" s="747">
        <v>1369662.53</v>
      </c>
      <c r="E123" s="747">
        <v>1156249.96</v>
      </c>
      <c r="F123" s="747">
        <v>984993.4</v>
      </c>
      <c r="G123" s="747">
        <v>1400000</v>
      </c>
      <c r="H123" s="760">
        <v>0</v>
      </c>
      <c r="I123" s="760">
        <v>0</v>
      </c>
      <c r="J123" s="760">
        <v>0</v>
      </c>
      <c r="K123" s="760">
        <v>0</v>
      </c>
      <c r="L123" s="760">
        <v>0</v>
      </c>
      <c r="M123" s="760">
        <v>0</v>
      </c>
      <c r="N123" s="760">
        <v>0</v>
      </c>
      <c r="O123" s="760">
        <v>0</v>
      </c>
      <c r="P123" s="760">
        <v>0</v>
      </c>
      <c r="Q123" s="760">
        <v>0</v>
      </c>
      <c r="R123" s="747"/>
      <c r="S123" s="760">
        <v>0</v>
      </c>
      <c r="T123" s="1588">
        <v>6136148.6699999999</v>
      </c>
      <c r="U123" s="1588">
        <v>1672140</v>
      </c>
      <c r="V123" s="751">
        <v>1140112.1000000001</v>
      </c>
      <c r="W123" s="751"/>
      <c r="X123" s="747">
        <v>1400000</v>
      </c>
      <c r="Y123" s="747">
        <v>2555.3000000000002</v>
      </c>
      <c r="Z123" s="747"/>
      <c r="AA123" s="747"/>
      <c r="AB123" s="894" t="e">
        <f t="shared" si="16"/>
        <v>#DIV/0!</v>
      </c>
      <c r="AC123" s="747">
        <f>5200+549093.1</f>
        <v>554293.1</v>
      </c>
      <c r="AD123" s="747"/>
      <c r="AE123" s="747">
        <v>1000000</v>
      </c>
      <c r="AF123" s="747"/>
      <c r="AG123" s="747"/>
      <c r="AH123" s="747"/>
      <c r="AI123" s="747">
        <f>+AE123</f>
        <v>1000000</v>
      </c>
      <c r="AJ123" s="747"/>
      <c r="AK123" s="747"/>
      <c r="AL123" s="747">
        <v>2555.3000000000002</v>
      </c>
      <c r="AM123" s="747"/>
      <c r="AN123" s="964"/>
      <c r="AO123" s="747"/>
      <c r="AP123" s="1270"/>
      <c r="AQ123" s="1288"/>
      <c r="AR123" s="1255"/>
      <c r="AS123" s="1285"/>
      <c r="AT123" s="1285"/>
      <c r="AU123" s="753"/>
      <c r="AV123" s="1255">
        <v>1000000</v>
      </c>
    </row>
    <row r="124" spans="1:48" s="954" customFormat="1" ht="21.75" customHeight="1" x14ac:dyDescent="0.25">
      <c r="A124" s="744"/>
      <c r="B124" s="745" t="s">
        <v>227</v>
      </c>
      <c r="C124" s="746" t="s">
        <v>221</v>
      </c>
      <c r="D124" s="747">
        <v>184640</v>
      </c>
      <c r="E124" s="747">
        <v>143952</v>
      </c>
      <c r="F124" s="747">
        <v>117236</v>
      </c>
      <c r="G124" s="747">
        <v>200000</v>
      </c>
      <c r="H124" s="760">
        <v>0</v>
      </c>
      <c r="I124" s="760">
        <v>0</v>
      </c>
      <c r="J124" s="760">
        <v>0</v>
      </c>
      <c r="K124" s="760">
        <v>0</v>
      </c>
      <c r="L124" s="760">
        <v>0</v>
      </c>
      <c r="M124" s="760">
        <v>0</v>
      </c>
      <c r="N124" s="760">
        <v>0</v>
      </c>
      <c r="O124" s="760">
        <v>0</v>
      </c>
      <c r="P124" s="760">
        <v>0</v>
      </c>
      <c r="Q124" s="760">
        <v>0</v>
      </c>
      <c r="R124" s="747"/>
      <c r="S124" s="760">
        <v>0</v>
      </c>
      <c r="T124" s="1588"/>
      <c r="U124" s="1588"/>
      <c r="V124" s="751">
        <v>153264.20000000001</v>
      </c>
      <c r="W124" s="751"/>
      <c r="X124" s="747">
        <v>150000</v>
      </c>
      <c r="Y124" s="757">
        <v>0</v>
      </c>
      <c r="Z124" s="747"/>
      <c r="AA124" s="747"/>
      <c r="AB124" s="835" t="e">
        <f t="shared" si="16"/>
        <v>#DIV/0!</v>
      </c>
      <c r="AC124" s="747">
        <v>160464</v>
      </c>
      <c r="AD124" s="747"/>
      <c r="AE124" s="747">
        <v>270000</v>
      </c>
      <c r="AF124" s="747"/>
      <c r="AG124" s="747"/>
      <c r="AH124" s="747"/>
      <c r="AI124" s="747">
        <f t="shared" ref="AI124:AI126" si="23">+AE124</f>
        <v>270000</v>
      </c>
      <c r="AJ124" s="747"/>
      <c r="AK124" s="747"/>
      <c r="AL124" s="747">
        <v>0</v>
      </c>
      <c r="AM124" s="747"/>
      <c r="AN124" s="964"/>
      <c r="AO124" s="747"/>
      <c r="AP124" s="747"/>
      <c r="AQ124" s="1302"/>
      <c r="AR124" s="753"/>
      <c r="AS124" s="1302"/>
      <c r="AT124" s="1302"/>
      <c r="AU124" s="753"/>
      <c r="AV124" s="753">
        <v>270000</v>
      </c>
    </row>
    <row r="125" spans="1:48" ht="21.75" customHeight="1" x14ac:dyDescent="0.25">
      <c r="A125" s="744"/>
      <c r="B125" s="745" t="s">
        <v>228</v>
      </c>
      <c r="C125" s="746" t="s">
        <v>221</v>
      </c>
      <c r="D125" s="747">
        <v>4365943</v>
      </c>
      <c r="E125" s="747">
        <v>4993680</v>
      </c>
      <c r="F125" s="747">
        <v>5407040</v>
      </c>
      <c r="G125" s="747">
        <v>4500000</v>
      </c>
      <c r="H125" s="760">
        <v>0</v>
      </c>
      <c r="I125" s="760">
        <v>0</v>
      </c>
      <c r="J125" s="760">
        <v>0</v>
      </c>
      <c r="K125" s="760">
        <v>0</v>
      </c>
      <c r="L125" s="760">
        <v>0</v>
      </c>
      <c r="M125" s="760">
        <v>0</v>
      </c>
      <c r="N125" s="760">
        <v>0</v>
      </c>
      <c r="O125" s="760">
        <v>0</v>
      </c>
      <c r="P125" s="760">
        <v>0</v>
      </c>
      <c r="Q125" s="760">
        <v>0</v>
      </c>
      <c r="R125" s="747"/>
      <c r="S125" s="747">
        <v>596853.9</v>
      </c>
      <c r="T125" s="1588"/>
      <c r="U125" s="1588"/>
      <c r="V125" s="751">
        <v>596411.1</v>
      </c>
      <c r="W125" s="751"/>
      <c r="X125" s="747">
        <v>7000000</v>
      </c>
      <c r="Y125" s="747">
        <v>565883.9</v>
      </c>
      <c r="Z125" s="747"/>
      <c r="AA125" s="747"/>
      <c r="AB125" s="835" t="e">
        <f t="shared" si="16"/>
        <v>#DIV/0!</v>
      </c>
      <c r="AC125" s="747">
        <v>3992100</v>
      </c>
      <c r="AD125" s="747"/>
      <c r="AE125" s="747">
        <f>+X125</f>
        <v>7000000</v>
      </c>
      <c r="AF125" s="747"/>
      <c r="AG125" s="747"/>
      <c r="AH125" s="747"/>
      <c r="AI125" s="747">
        <f t="shared" si="23"/>
        <v>7000000</v>
      </c>
      <c r="AJ125" s="747"/>
      <c r="AK125" s="747"/>
      <c r="AL125" s="747">
        <v>1417223.9</v>
      </c>
      <c r="AM125" s="747"/>
      <c r="AN125" s="964"/>
      <c r="AO125" s="747"/>
      <c r="AP125" s="1270"/>
      <c r="AQ125" s="1288"/>
      <c r="AR125" s="1255"/>
      <c r="AS125" s="1285"/>
      <c r="AT125" s="1285"/>
      <c r="AU125" s="753"/>
      <c r="AV125" s="1255">
        <v>7000000</v>
      </c>
    </row>
    <row r="126" spans="1:48" ht="24" customHeight="1" x14ac:dyDescent="0.25">
      <c r="A126" s="744"/>
      <c r="B126" s="745" t="s">
        <v>229</v>
      </c>
      <c r="C126" s="746" t="s">
        <v>221</v>
      </c>
      <c r="D126" s="747">
        <v>5772142.7699999996</v>
      </c>
      <c r="E126" s="747">
        <v>1409456.36</v>
      </c>
      <c r="F126" s="747">
        <v>1169050</v>
      </c>
      <c r="G126" s="747">
        <v>4000000</v>
      </c>
      <c r="H126" s="747">
        <v>3380000</v>
      </c>
      <c r="I126" s="747">
        <v>99400</v>
      </c>
      <c r="J126" s="946">
        <v>3500000</v>
      </c>
      <c r="K126" s="749">
        <v>3517700</v>
      </c>
      <c r="L126" s="749">
        <v>201200</v>
      </c>
      <c r="M126" s="747">
        <v>0</v>
      </c>
      <c r="N126" s="747">
        <v>0</v>
      </c>
      <c r="O126" s="747">
        <v>4500000</v>
      </c>
      <c r="P126" s="749">
        <f>+[1]รวม!$L$40</f>
        <v>7000000</v>
      </c>
      <c r="Q126" s="749">
        <v>3049250</v>
      </c>
      <c r="R126" s="798">
        <f>+Q126/P126*100</f>
        <v>43.560714285714283</v>
      </c>
      <c r="S126" s="747">
        <v>197600</v>
      </c>
      <c r="T126" s="947">
        <f>+Q126</f>
        <v>3049250</v>
      </c>
      <c r="U126" s="947">
        <f>+S126</f>
        <v>197600</v>
      </c>
      <c r="V126" s="947">
        <v>3699000</v>
      </c>
      <c r="W126" s="947"/>
      <c r="X126" s="749">
        <v>7000000</v>
      </c>
      <c r="Y126" s="747">
        <v>51000</v>
      </c>
      <c r="Z126" s="747">
        <v>3759600</v>
      </c>
      <c r="AA126" s="747"/>
      <c r="AB126" s="835">
        <f t="shared" si="16"/>
        <v>129.56464704435518</v>
      </c>
      <c r="AC126" s="747">
        <v>3759600</v>
      </c>
      <c r="AD126" s="747"/>
      <c r="AE126" s="747">
        <f>+X126</f>
        <v>7000000</v>
      </c>
      <c r="AF126" s="747">
        <v>3810600</v>
      </c>
      <c r="AG126" s="747"/>
      <c r="AH126" s="747"/>
      <c r="AI126" s="747">
        <f t="shared" si="23"/>
        <v>7000000</v>
      </c>
      <c r="AJ126" s="747">
        <v>3829945.6</v>
      </c>
      <c r="AK126" s="747"/>
      <c r="AL126" s="747"/>
      <c r="AM126" s="747"/>
      <c r="AN126" s="747"/>
      <c r="AO126" s="747"/>
      <c r="AP126" s="747"/>
      <c r="AQ126" s="1302"/>
      <c r="AR126" s="753"/>
      <c r="AS126" s="1302"/>
      <c r="AT126" s="753"/>
      <c r="AU126" s="753"/>
      <c r="AV126" s="753">
        <v>6000000</v>
      </c>
    </row>
    <row r="127" spans="1:48" ht="24" hidden="1" customHeight="1" x14ac:dyDescent="0.25">
      <c r="A127" s="744"/>
      <c r="B127" s="745" t="s">
        <v>230</v>
      </c>
      <c r="C127" s="746"/>
      <c r="D127" s="747">
        <v>0</v>
      </c>
      <c r="E127" s="747">
        <v>0</v>
      </c>
      <c r="F127" s="747">
        <v>0</v>
      </c>
      <c r="G127" s="747">
        <v>100000</v>
      </c>
      <c r="H127" s="747">
        <v>0</v>
      </c>
      <c r="I127" s="747">
        <v>0</v>
      </c>
      <c r="J127" s="748">
        <v>0</v>
      </c>
      <c r="K127" s="955">
        <v>0</v>
      </c>
      <c r="L127" s="749">
        <v>0</v>
      </c>
      <c r="M127" s="747">
        <v>0</v>
      </c>
      <c r="N127" s="747">
        <v>0</v>
      </c>
      <c r="O127" s="747">
        <v>100000</v>
      </c>
      <c r="P127" s="747"/>
      <c r="Q127" s="747"/>
      <c r="R127" s="798" t="e">
        <f>+Q127/P127*100</f>
        <v>#DIV/0!</v>
      </c>
      <c r="S127" s="747"/>
      <c r="T127" s="751"/>
      <c r="U127" s="751"/>
      <c r="V127" s="751"/>
      <c r="W127" s="751"/>
      <c r="X127" s="747"/>
      <c r="Y127" s="747"/>
      <c r="Z127" s="749"/>
      <c r="AA127" s="749"/>
      <c r="AB127" s="829" t="e">
        <f t="shared" si="16"/>
        <v>#DIV/0!</v>
      </c>
      <c r="AC127" s="749"/>
      <c r="AD127" s="749"/>
      <c r="AE127" s="749"/>
      <c r="AF127" s="749"/>
      <c r="AG127" s="749"/>
      <c r="AH127" s="749"/>
      <c r="AI127" s="749"/>
      <c r="AJ127" s="749"/>
      <c r="AK127" s="749"/>
      <c r="AL127" s="749"/>
      <c r="AM127" s="749"/>
      <c r="AN127" s="749"/>
      <c r="AO127" s="749"/>
      <c r="AP127" s="747"/>
      <c r="AQ127" s="1303"/>
      <c r="AR127" s="754"/>
      <c r="AS127" s="1303"/>
      <c r="AT127" s="754"/>
      <c r="AU127" s="754"/>
      <c r="AV127" s="754"/>
    </row>
    <row r="128" spans="1:48" s="953" customFormat="1" ht="24" customHeight="1" x14ac:dyDescent="0.25">
      <c r="A128" s="948"/>
      <c r="B128" s="949" t="s">
        <v>231</v>
      </c>
      <c r="C128" s="808" t="s">
        <v>232</v>
      </c>
      <c r="D128" s="788">
        <v>95672081.310000002</v>
      </c>
      <c r="E128" s="788">
        <v>90568652.379999995</v>
      </c>
      <c r="F128" s="788">
        <v>113598032.58</v>
      </c>
      <c r="G128" s="788">
        <v>141700000</v>
      </c>
      <c r="H128" s="788">
        <v>173517852.77000001</v>
      </c>
      <c r="I128" s="788">
        <v>32151667.879999999</v>
      </c>
      <c r="J128" s="787">
        <v>98200000</v>
      </c>
      <c r="K128" s="788">
        <v>108302691.62</v>
      </c>
      <c r="L128" s="788">
        <v>21232000.82</v>
      </c>
      <c r="M128" s="788"/>
      <c r="N128" s="788"/>
      <c r="O128" s="788"/>
      <c r="P128" s="788">
        <f>SUM(P129:P134)</f>
        <v>0</v>
      </c>
      <c r="Q128" s="788">
        <v>115724946</v>
      </c>
      <c r="R128" s="950" t="e">
        <f>+Q128/P128*100</f>
        <v>#DIV/0!</v>
      </c>
      <c r="S128" s="789"/>
      <c r="T128" s="788">
        <f>SUM(T129:T134)</f>
        <v>69453637.540000007</v>
      </c>
      <c r="U128" s="788">
        <f>SUM(U129:U134)</f>
        <v>3756804.6799999997</v>
      </c>
      <c r="V128" s="788"/>
      <c r="W128" s="788"/>
      <c r="X128" s="788">
        <f>SUM(X129:X134)</f>
        <v>115000000</v>
      </c>
      <c r="Y128" s="789"/>
      <c r="Z128" s="788">
        <v>18202621.969999999</v>
      </c>
      <c r="AA128" s="788"/>
      <c r="AB128" s="956">
        <f t="shared" si="16"/>
        <v>-0.62643883195244698</v>
      </c>
      <c r="AC128" s="788">
        <f>SUM(AC129:AC134)</f>
        <v>45126506.460000001</v>
      </c>
      <c r="AD128" s="788"/>
      <c r="AE128" s="788">
        <f>SUM(AE129:AE133)</f>
        <v>114000000</v>
      </c>
      <c r="AF128" s="788">
        <v>77604034.519999996</v>
      </c>
      <c r="AG128" s="788"/>
      <c r="AH128" s="788">
        <v>19438001.329999998</v>
      </c>
      <c r="AI128" s="788">
        <f>+AE128</f>
        <v>114000000</v>
      </c>
      <c r="AJ128" s="788">
        <v>121717388.38</v>
      </c>
      <c r="AK128" s="788"/>
      <c r="AL128" s="788">
        <f>SUM(AL129:AL134)</f>
        <v>11090125.190000001</v>
      </c>
      <c r="AM128" s="788"/>
      <c r="AN128" s="788"/>
      <c r="AO128" s="788"/>
      <c r="AP128" s="789"/>
      <c r="AQ128" s="1301"/>
      <c r="AR128" s="791"/>
      <c r="AS128" s="1418"/>
      <c r="AT128" s="791"/>
      <c r="AU128" s="791"/>
      <c r="AV128" s="791"/>
    </row>
    <row r="129" spans="1:48" s="893" customFormat="1" ht="24" customHeight="1" x14ac:dyDescent="0.25">
      <c r="A129" s="744"/>
      <c r="B129" s="745" t="s">
        <v>233</v>
      </c>
      <c r="C129" s="746" t="s">
        <v>232</v>
      </c>
      <c r="D129" s="747">
        <v>2393335.21</v>
      </c>
      <c r="E129" s="747">
        <v>2607874.63</v>
      </c>
      <c r="F129" s="747">
        <v>3106594.4</v>
      </c>
      <c r="G129" s="747">
        <v>3200000</v>
      </c>
      <c r="H129" s="760">
        <v>0</v>
      </c>
      <c r="I129" s="760">
        <v>0</v>
      </c>
      <c r="J129" s="851">
        <v>3200000</v>
      </c>
      <c r="K129" s="760">
        <v>0</v>
      </c>
      <c r="L129" s="760">
        <v>0</v>
      </c>
      <c r="M129" s="760">
        <v>0</v>
      </c>
      <c r="N129" s="760">
        <v>0</v>
      </c>
      <c r="O129" s="760">
        <v>0</v>
      </c>
      <c r="P129" s="760">
        <v>0</v>
      </c>
      <c r="Q129" s="760">
        <v>0</v>
      </c>
      <c r="R129" s="747"/>
      <c r="S129" s="747">
        <v>752315.89</v>
      </c>
      <c r="T129" s="751"/>
      <c r="U129" s="751"/>
      <c r="V129" s="751">
        <v>3341037.52</v>
      </c>
      <c r="W129" s="751"/>
      <c r="X129" s="747">
        <v>5000000</v>
      </c>
      <c r="Y129" s="747">
        <f>77700+204566.03</f>
        <v>282266.03000000003</v>
      </c>
      <c r="Z129" s="747"/>
      <c r="AA129" s="747"/>
      <c r="AB129" s="835" t="e">
        <f t="shared" si="16"/>
        <v>#DIV/0!</v>
      </c>
      <c r="AC129" s="747">
        <f>2368872.16+471632.95+577724.86</f>
        <v>3418229.97</v>
      </c>
      <c r="AD129" s="747"/>
      <c r="AE129" s="747">
        <f t="shared" ref="AE129:AE134" si="24">+X129</f>
        <v>5000000</v>
      </c>
      <c r="AF129" s="747"/>
      <c r="AG129" s="747"/>
      <c r="AH129" s="747"/>
      <c r="AI129" s="747">
        <f>+AE129</f>
        <v>5000000</v>
      </c>
      <c r="AJ129" s="747"/>
      <c r="AK129" s="747"/>
      <c r="AL129" s="747">
        <f>1127625+204566.03</f>
        <v>1332191.03</v>
      </c>
      <c r="AM129" s="747"/>
      <c r="AN129" s="964"/>
      <c r="AO129" s="747"/>
      <c r="AP129" s="1281"/>
      <c r="AQ129" s="1304"/>
      <c r="AR129" s="1282"/>
      <c r="AS129" s="1336"/>
      <c r="AT129" s="1336"/>
      <c r="AU129" s="747"/>
      <c r="AV129" s="1282">
        <v>5000000</v>
      </c>
    </row>
    <row r="130" spans="1:48" s="745" customFormat="1" ht="24" customHeight="1" x14ac:dyDescent="0.25">
      <c r="A130" s="744"/>
      <c r="B130" s="745" t="s">
        <v>234</v>
      </c>
      <c r="C130" s="746"/>
      <c r="D130" s="747">
        <v>56122447.439999998</v>
      </c>
      <c r="E130" s="747">
        <v>61446133.25</v>
      </c>
      <c r="F130" s="747">
        <v>58342338.149999999</v>
      </c>
      <c r="G130" s="747">
        <v>60000000</v>
      </c>
      <c r="H130" s="760">
        <v>0</v>
      </c>
      <c r="I130" s="760">
        <v>0</v>
      </c>
      <c r="J130" s="851">
        <v>61000000</v>
      </c>
      <c r="K130" s="760">
        <v>0</v>
      </c>
      <c r="L130" s="760">
        <v>0</v>
      </c>
      <c r="M130" s="760">
        <v>0</v>
      </c>
      <c r="N130" s="760">
        <v>0</v>
      </c>
      <c r="O130" s="760">
        <v>0</v>
      </c>
      <c r="P130" s="760">
        <v>0</v>
      </c>
      <c r="Q130" s="760">
        <v>0</v>
      </c>
      <c r="R130" s="747"/>
      <c r="S130" s="747">
        <v>15527968.5</v>
      </c>
      <c r="T130" s="751">
        <v>50418175.020000003</v>
      </c>
      <c r="U130" s="751">
        <v>2147833</v>
      </c>
      <c r="V130" s="751">
        <v>17435655.399999999</v>
      </c>
      <c r="W130" s="751"/>
      <c r="X130" s="747">
        <v>72000000</v>
      </c>
      <c r="Y130" s="747">
        <v>15688475.9</v>
      </c>
      <c r="Z130" s="747"/>
      <c r="AA130" s="747"/>
      <c r="AB130" s="835" t="e">
        <f t="shared" si="16"/>
        <v>#DIV/0!</v>
      </c>
      <c r="AC130" s="747">
        <f>38192365.99+125100</f>
        <v>38317465.990000002</v>
      </c>
      <c r="AD130" s="747"/>
      <c r="AE130" s="747">
        <f t="shared" si="24"/>
        <v>72000000</v>
      </c>
      <c r="AF130" s="747"/>
      <c r="AG130" s="747"/>
      <c r="AH130" s="747"/>
      <c r="AI130" s="747">
        <f t="shared" ref="AI130:AI134" si="25">+AE130</f>
        <v>72000000</v>
      </c>
      <c r="AJ130" s="747"/>
      <c r="AK130" s="747"/>
      <c r="AL130" s="747">
        <v>4977482</v>
      </c>
      <c r="AM130" s="747"/>
      <c r="AN130" s="964"/>
      <c r="AO130" s="747"/>
      <c r="AP130" s="1296"/>
      <c r="AQ130" s="1300"/>
      <c r="AR130" s="1297"/>
      <c r="AS130" s="1316"/>
      <c r="AT130" s="1317"/>
      <c r="AU130" s="747"/>
      <c r="AV130" s="1297"/>
    </row>
    <row r="131" spans="1:48" s="745" customFormat="1" ht="24" customHeight="1" x14ac:dyDescent="0.25">
      <c r="A131" s="744"/>
      <c r="B131" s="745" t="s">
        <v>1098</v>
      </c>
      <c r="C131" s="746"/>
      <c r="D131" s="747">
        <v>0</v>
      </c>
      <c r="E131" s="747">
        <v>0</v>
      </c>
      <c r="F131" s="747">
        <v>46383890</v>
      </c>
      <c r="G131" s="747">
        <v>53000000</v>
      </c>
      <c r="H131" s="747">
        <v>52306587</v>
      </c>
      <c r="I131" s="760">
        <v>0</v>
      </c>
      <c r="J131" s="851">
        <v>3000000</v>
      </c>
      <c r="K131" s="760">
        <v>0</v>
      </c>
      <c r="L131" s="760">
        <v>0</v>
      </c>
      <c r="M131" s="760">
        <v>0</v>
      </c>
      <c r="N131" s="760">
        <v>0</v>
      </c>
      <c r="O131" s="760">
        <v>0</v>
      </c>
      <c r="P131" s="760">
        <v>0</v>
      </c>
      <c r="Q131" s="760">
        <v>0</v>
      </c>
      <c r="R131" s="760">
        <v>0</v>
      </c>
      <c r="S131" s="760">
        <v>0</v>
      </c>
      <c r="T131" s="751">
        <v>2422500</v>
      </c>
      <c r="U131" s="751">
        <v>96000</v>
      </c>
      <c r="V131" s="751">
        <v>745700</v>
      </c>
      <c r="W131" s="751"/>
      <c r="X131" s="747">
        <v>4000000</v>
      </c>
      <c r="Y131" s="747">
        <v>487600</v>
      </c>
      <c r="Z131" s="957"/>
      <c r="AA131" s="957"/>
      <c r="AB131" s="835" t="e">
        <f t="shared" si="16"/>
        <v>#DIV/0!</v>
      </c>
      <c r="AC131" s="957">
        <v>356000</v>
      </c>
      <c r="AD131" s="957"/>
      <c r="AE131" s="957">
        <f t="shared" si="24"/>
        <v>4000000</v>
      </c>
      <c r="AF131" s="957"/>
      <c r="AG131" s="957"/>
      <c r="AH131" s="957"/>
      <c r="AI131" s="747">
        <f t="shared" si="25"/>
        <v>4000000</v>
      </c>
      <c r="AJ131" s="747"/>
      <c r="AK131" s="747"/>
      <c r="AL131" s="747">
        <v>284000</v>
      </c>
      <c r="AM131" s="747"/>
      <c r="AN131" s="964"/>
      <c r="AO131" s="747"/>
      <c r="AP131" s="747"/>
      <c r="AQ131" s="1317"/>
      <c r="AR131" s="747"/>
      <c r="AS131" s="1317"/>
      <c r="AT131" s="1317"/>
      <c r="AU131" s="957"/>
      <c r="AV131" s="747"/>
    </row>
    <row r="132" spans="1:48" s="745" customFormat="1" ht="24" customHeight="1" x14ac:dyDescent="0.25">
      <c r="A132" s="744"/>
      <c r="B132" s="745" t="s">
        <v>235</v>
      </c>
      <c r="C132" s="746" t="s">
        <v>232</v>
      </c>
      <c r="D132" s="958">
        <v>659675</v>
      </c>
      <c r="E132" s="958">
        <v>219560</v>
      </c>
      <c r="F132" s="958">
        <v>420340</v>
      </c>
      <c r="G132" s="747">
        <v>4300000</v>
      </c>
      <c r="H132" s="747">
        <v>585540</v>
      </c>
      <c r="I132" s="760">
        <v>0</v>
      </c>
      <c r="J132" s="851">
        <v>2200000</v>
      </c>
      <c r="K132" s="760">
        <v>0</v>
      </c>
      <c r="L132" s="760">
        <v>0</v>
      </c>
      <c r="M132" s="760">
        <v>0</v>
      </c>
      <c r="N132" s="760">
        <v>0</v>
      </c>
      <c r="O132" s="760">
        <v>0</v>
      </c>
      <c r="P132" s="760">
        <v>0</v>
      </c>
      <c r="Q132" s="760">
        <v>0</v>
      </c>
      <c r="R132" s="760">
        <v>0</v>
      </c>
      <c r="S132" s="760">
        <v>0</v>
      </c>
      <c r="T132" s="751">
        <v>1083880</v>
      </c>
      <c r="U132" s="751">
        <v>4000</v>
      </c>
      <c r="V132" s="751">
        <v>1594380</v>
      </c>
      <c r="W132" s="751"/>
      <c r="X132" s="747">
        <v>3000000</v>
      </c>
      <c r="Y132" s="747">
        <v>52700</v>
      </c>
      <c r="Z132" s="747"/>
      <c r="AA132" s="747"/>
      <c r="AB132" s="835" t="e">
        <f t="shared" si="16"/>
        <v>#DIV/0!</v>
      </c>
      <c r="AC132" s="747">
        <v>518910</v>
      </c>
      <c r="AD132" s="747"/>
      <c r="AE132" s="747">
        <f t="shared" si="24"/>
        <v>3000000</v>
      </c>
      <c r="AF132" s="747"/>
      <c r="AG132" s="747"/>
      <c r="AH132" s="747"/>
      <c r="AI132" s="747">
        <f t="shared" si="25"/>
        <v>3000000</v>
      </c>
      <c r="AJ132" s="747"/>
      <c r="AK132" s="747"/>
      <c r="AL132" s="747">
        <v>266230</v>
      </c>
      <c r="AM132" s="747"/>
      <c r="AN132" s="964"/>
      <c r="AO132" s="747"/>
      <c r="AP132" s="1296"/>
      <c r="AQ132" s="1300"/>
      <c r="AR132" s="1297"/>
      <c r="AS132" s="1316"/>
      <c r="AT132" s="1317"/>
      <c r="AU132" s="747"/>
      <c r="AV132" s="1297"/>
    </row>
    <row r="133" spans="1:48" s="745" customFormat="1" ht="24" customHeight="1" x14ac:dyDescent="0.25">
      <c r="A133" s="744"/>
      <c r="B133" s="745" t="s">
        <v>236</v>
      </c>
      <c r="C133" s="746" t="s">
        <v>232</v>
      </c>
      <c r="D133" s="747">
        <v>24486285.379999999</v>
      </c>
      <c r="E133" s="747">
        <v>46047532.960000001</v>
      </c>
      <c r="F133" s="747">
        <v>19719987.800000001</v>
      </c>
      <c r="G133" s="747">
        <v>20000000</v>
      </c>
      <c r="H133" s="760">
        <v>0</v>
      </c>
      <c r="I133" s="760">
        <v>0</v>
      </c>
      <c r="J133" s="851">
        <v>27500000</v>
      </c>
      <c r="K133" s="760">
        <v>0</v>
      </c>
      <c r="L133" s="760">
        <v>0</v>
      </c>
      <c r="M133" s="760">
        <v>0</v>
      </c>
      <c r="N133" s="760">
        <v>0</v>
      </c>
      <c r="O133" s="760">
        <v>0</v>
      </c>
      <c r="P133" s="760">
        <v>0</v>
      </c>
      <c r="Q133" s="760">
        <v>0</v>
      </c>
      <c r="R133" s="760">
        <v>0</v>
      </c>
      <c r="S133" s="760">
        <v>0</v>
      </c>
      <c r="T133" s="751">
        <v>15529082.52</v>
      </c>
      <c r="U133" s="751">
        <v>1508971.68</v>
      </c>
      <c r="V133" s="751">
        <v>11245557.16</v>
      </c>
      <c r="W133" s="751"/>
      <c r="X133" s="747">
        <v>30000000</v>
      </c>
      <c r="Y133" s="747">
        <v>6892191.2599999998</v>
      </c>
      <c r="Z133" s="747"/>
      <c r="AA133" s="747"/>
      <c r="AB133" s="835" t="e">
        <f t="shared" si="16"/>
        <v>#DIV/0!</v>
      </c>
      <c r="AC133" s="747">
        <v>2240884</v>
      </c>
      <c r="AD133" s="747"/>
      <c r="AE133" s="747">
        <f t="shared" si="24"/>
        <v>30000000</v>
      </c>
      <c r="AF133" s="747"/>
      <c r="AG133" s="747"/>
      <c r="AH133" s="747"/>
      <c r="AI133" s="747">
        <f t="shared" si="25"/>
        <v>30000000</v>
      </c>
      <c r="AJ133" s="747"/>
      <c r="AK133" s="747"/>
      <c r="AL133" s="747">
        <v>4150309.16</v>
      </c>
      <c r="AM133" s="747"/>
      <c r="AN133" s="964"/>
      <c r="AO133" s="747"/>
      <c r="AP133" s="1296"/>
      <c r="AQ133" s="1300"/>
      <c r="AR133" s="1297"/>
      <c r="AS133" s="1316"/>
      <c r="AT133" s="1317"/>
      <c r="AU133" s="747"/>
      <c r="AV133" s="1297"/>
    </row>
    <row r="134" spans="1:48" s="745" customFormat="1" ht="24" customHeight="1" x14ac:dyDescent="0.25">
      <c r="A134" s="744"/>
      <c r="B134" s="745" t="s">
        <v>237</v>
      </c>
      <c r="C134" s="746" t="s">
        <v>232</v>
      </c>
      <c r="D134" s="747">
        <v>1243359.26</v>
      </c>
      <c r="E134" s="747">
        <v>1459691.86</v>
      </c>
      <c r="F134" s="747">
        <v>1108656.47</v>
      </c>
      <c r="G134" s="747">
        <v>1200000</v>
      </c>
      <c r="H134" s="760">
        <v>0</v>
      </c>
      <c r="I134" s="760">
        <v>0</v>
      </c>
      <c r="J134" s="851">
        <v>1300000</v>
      </c>
      <c r="K134" s="760">
        <v>0</v>
      </c>
      <c r="L134" s="760">
        <v>0</v>
      </c>
      <c r="M134" s="760">
        <v>0</v>
      </c>
      <c r="N134" s="760">
        <v>0</v>
      </c>
      <c r="O134" s="760">
        <v>0</v>
      </c>
      <c r="P134" s="760">
        <v>0</v>
      </c>
      <c r="Q134" s="760">
        <v>0</v>
      </c>
      <c r="R134" s="760">
        <v>0</v>
      </c>
      <c r="S134" s="760">
        <v>0</v>
      </c>
      <c r="T134" s="751"/>
      <c r="U134" s="751"/>
      <c r="V134" s="751">
        <v>618664.51</v>
      </c>
      <c r="W134" s="751"/>
      <c r="X134" s="747">
        <v>1000000</v>
      </c>
      <c r="Y134" s="747">
        <v>61942.8</v>
      </c>
      <c r="Z134" s="747"/>
      <c r="AA134" s="747"/>
      <c r="AB134" s="835" t="e">
        <f t="shared" si="16"/>
        <v>#DIV/0!</v>
      </c>
      <c r="AC134" s="747">
        <v>275016.5</v>
      </c>
      <c r="AD134" s="747"/>
      <c r="AE134" s="747">
        <f t="shared" si="24"/>
        <v>1000000</v>
      </c>
      <c r="AF134" s="747"/>
      <c r="AG134" s="747"/>
      <c r="AH134" s="747"/>
      <c r="AI134" s="747">
        <f t="shared" si="25"/>
        <v>1000000</v>
      </c>
      <c r="AJ134" s="747"/>
      <c r="AK134" s="747"/>
      <c r="AL134" s="747">
        <v>79913</v>
      </c>
      <c r="AM134" s="747"/>
      <c r="AN134" s="964"/>
      <c r="AO134" s="747"/>
      <c r="AP134" s="1296"/>
      <c r="AQ134" s="1300"/>
      <c r="AR134" s="1297"/>
      <c r="AS134" s="1316"/>
      <c r="AT134" s="1316"/>
      <c r="AU134" s="747"/>
      <c r="AV134" s="1297">
        <v>1000000</v>
      </c>
    </row>
    <row r="135" spans="1:48" s="901" customFormat="1" ht="24" customHeight="1" x14ac:dyDescent="0.25">
      <c r="A135" s="744"/>
      <c r="B135" s="745" t="s">
        <v>1174</v>
      </c>
      <c r="C135" s="746"/>
      <c r="D135" s="747"/>
      <c r="E135" s="747"/>
      <c r="F135" s="747"/>
      <c r="G135" s="747"/>
      <c r="H135" s="760"/>
      <c r="I135" s="760"/>
      <c r="J135" s="851"/>
      <c r="K135" s="760"/>
      <c r="L135" s="760"/>
      <c r="M135" s="760"/>
      <c r="N135" s="760"/>
      <c r="O135" s="760"/>
      <c r="P135" s="760"/>
      <c r="Q135" s="760"/>
      <c r="R135" s="760"/>
      <c r="S135" s="760"/>
      <c r="T135" s="751"/>
      <c r="U135" s="751"/>
      <c r="V135" s="751"/>
      <c r="W135" s="751"/>
      <c r="X135" s="747"/>
      <c r="Y135" s="747"/>
      <c r="Z135" s="747"/>
      <c r="AA135" s="747"/>
      <c r="AB135" s="835"/>
      <c r="AC135" s="747"/>
      <c r="AD135" s="747"/>
      <c r="AE135" s="747"/>
      <c r="AF135" s="747"/>
      <c r="AG135" s="747"/>
      <c r="AH135" s="747"/>
      <c r="AI135" s="747"/>
      <c r="AJ135" s="747"/>
      <c r="AK135" s="747"/>
      <c r="AL135" s="747"/>
      <c r="AM135" s="747"/>
      <c r="AN135" s="964"/>
      <c r="AO135" s="747"/>
      <c r="AP135" s="1268"/>
      <c r="AQ135" s="1370"/>
      <c r="AR135" s="1239"/>
      <c r="AS135" s="1318"/>
      <c r="AT135" s="1371"/>
      <c r="AU135" s="747"/>
      <c r="AV135" s="1239"/>
    </row>
    <row r="136" spans="1:48" s="901" customFormat="1" ht="24" customHeight="1" x14ac:dyDescent="0.25">
      <c r="A136" s="744"/>
      <c r="B136" s="745" t="s">
        <v>238</v>
      </c>
      <c r="C136" s="746" t="s">
        <v>239</v>
      </c>
      <c r="D136" s="747">
        <v>352763899.93000001</v>
      </c>
      <c r="E136" s="747">
        <v>352524109.57999998</v>
      </c>
      <c r="F136" s="747">
        <v>381568335.67000002</v>
      </c>
      <c r="G136" s="747">
        <v>360000000</v>
      </c>
      <c r="H136" s="1168">
        <v>402783945.05000001</v>
      </c>
      <c r="I136" s="747">
        <v>89346930.670000002</v>
      </c>
      <c r="J136" s="946">
        <v>400000000</v>
      </c>
      <c r="K136" s="749">
        <v>423646772.83999997</v>
      </c>
      <c r="L136" s="749">
        <v>109527385.2</v>
      </c>
      <c r="M136" s="749">
        <v>333088729.54000002</v>
      </c>
      <c r="N136" s="749">
        <v>38459644.259999998</v>
      </c>
      <c r="O136" s="749">
        <v>425000000</v>
      </c>
      <c r="P136" s="749">
        <v>550000000</v>
      </c>
      <c r="Q136" s="749">
        <v>506852465.06</v>
      </c>
      <c r="R136" s="747">
        <f>+Q136/P136*100</f>
        <v>92.154993647272732</v>
      </c>
      <c r="S136" s="749">
        <v>103859970.48</v>
      </c>
      <c r="T136" s="947">
        <v>379347700.48000002</v>
      </c>
      <c r="U136" s="947">
        <v>111075930.98</v>
      </c>
      <c r="V136" s="947"/>
      <c r="W136" s="947"/>
      <c r="X136" s="749">
        <v>480000000</v>
      </c>
      <c r="Y136" s="747">
        <v>120512792.27</v>
      </c>
      <c r="Z136" s="747">
        <v>121182386.29000001</v>
      </c>
      <c r="AA136" s="747"/>
      <c r="AB136" s="835">
        <f t="shared" si="16"/>
        <v>-5.2978858565522158</v>
      </c>
      <c r="AC136" s="747">
        <v>249860112.15000001</v>
      </c>
      <c r="AD136" s="747"/>
      <c r="AE136" s="747">
        <v>500000000</v>
      </c>
      <c r="AF136" s="747">
        <v>381117846.63</v>
      </c>
      <c r="AG136" s="747"/>
      <c r="AH136" s="747">
        <v>125635876.69</v>
      </c>
      <c r="AI136" s="747">
        <f>+AE136+30000000</f>
        <v>530000000</v>
      </c>
      <c r="AJ136" s="747">
        <v>543287245.50999999</v>
      </c>
      <c r="AK136" s="747"/>
      <c r="AL136" s="747">
        <v>110146910.06</v>
      </c>
      <c r="AM136" s="747"/>
      <c r="AN136" s="747"/>
      <c r="AO136" s="747"/>
      <c r="AP136" s="1268"/>
      <c r="AQ136" s="1323"/>
      <c r="AR136" s="1239"/>
      <c r="AS136" s="1318"/>
      <c r="AT136" s="1323"/>
      <c r="AU136" s="747"/>
      <c r="AV136" s="1239"/>
    </row>
    <row r="137" spans="1:48" s="953" customFormat="1" ht="24" customHeight="1" x14ac:dyDescent="0.25">
      <c r="A137" s="948"/>
      <c r="B137" s="949" t="s">
        <v>240</v>
      </c>
      <c r="C137" s="808" t="s">
        <v>241</v>
      </c>
      <c r="D137" s="788">
        <f>SUM(D138:D139)</f>
        <v>12801269.599999998</v>
      </c>
      <c r="E137" s="788">
        <f>SUM(E138:E139)</f>
        <v>13439529.259999998</v>
      </c>
      <c r="F137" s="788">
        <f>SUM(F138:F139)</f>
        <v>13544757.620000001</v>
      </c>
      <c r="G137" s="788">
        <v>26800000</v>
      </c>
      <c r="H137" s="788">
        <f>SUM(H138:H140)</f>
        <v>14619733.800000001</v>
      </c>
      <c r="I137" s="788">
        <v>33500000</v>
      </c>
      <c r="J137" s="787">
        <v>33500000</v>
      </c>
      <c r="K137" s="959">
        <v>0</v>
      </c>
      <c r="L137" s="959">
        <v>0</v>
      </c>
      <c r="M137" s="959">
        <v>0</v>
      </c>
      <c r="N137" s="959">
        <v>0</v>
      </c>
      <c r="O137" s="959">
        <v>0</v>
      </c>
      <c r="P137" s="959">
        <v>0</v>
      </c>
      <c r="Q137" s="959">
        <v>0</v>
      </c>
      <c r="R137" s="959">
        <v>0</v>
      </c>
      <c r="S137" s="959">
        <v>0</v>
      </c>
      <c r="T137" s="788">
        <f>+T138+T139+T140</f>
        <v>0</v>
      </c>
      <c r="U137" s="788">
        <f>+U138+U139+U140</f>
        <v>18313239.449999999</v>
      </c>
      <c r="V137" s="788"/>
      <c r="W137" s="788"/>
      <c r="X137" s="788">
        <f>SUM(X138:X140)</f>
        <v>48000000</v>
      </c>
      <c r="Y137" s="789"/>
      <c r="Z137" s="788">
        <f>SUM(Z138:Z140)</f>
        <v>13167203.300000001</v>
      </c>
      <c r="AA137" s="788"/>
      <c r="AB137" s="960" t="e">
        <f t="shared" si="16"/>
        <v>#DIV/0!</v>
      </c>
      <c r="AC137" s="788">
        <f>SUM(AC138:AC140)</f>
        <v>19151982.43</v>
      </c>
      <c r="AD137" s="788"/>
      <c r="AE137" s="788"/>
      <c r="AF137" s="788"/>
      <c r="AG137" s="788"/>
      <c r="AH137" s="788"/>
      <c r="AI137" s="788"/>
      <c r="AJ137" s="788">
        <f>SUM(AJ138:AJ140)</f>
        <v>41135924.409999996</v>
      </c>
      <c r="AK137" s="788"/>
      <c r="AL137" s="788">
        <f>SUM(AL138:AL140)</f>
        <v>13782583.66</v>
      </c>
      <c r="AM137" s="788"/>
      <c r="AN137" s="788"/>
      <c r="AO137" s="788"/>
      <c r="AP137" s="789"/>
      <c r="AQ137" s="1301"/>
      <c r="AR137" s="791"/>
      <c r="AS137" s="1418"/>
      <c r="AT137" s="791"/>
      <c r="AU137" s="791"/>
      <c r="AV137" s="791"/>
    </row>
    <row r="138" spans="1:48" ht="24" customHeight="1" x14ac:dyDescent="0.25">
      <c r="A138" s="744"/>
      <c r="B138" s="745" t="s">
        <v>242</v>
      </c>
      <c r="C138" s="746" t="s">
        <v>241</v>
      </c>
      <c r="D138" s="747">
        <v>4271456.5599999996</v>
      </c>
      <c r="E138" s="747">
        <v>4373685.1399999997</v>
      </c>
      <c r="F138" s="747">
        <v>4624692.5599999996</v>
      </c>
      <c r="G138" s="747">
        <v>4800000</v>
      </c>
      <c r="H138" s="747">
        <v>5063862.54</v>
      </c>
      <c r="I138" s="747">
        <v>1857416.66</v>
      </c>
      <c r="J138" s="748">
        <v>5500000</v>
      </c>
      <c r="K138" s="747">
        <v>4860582.3600000003</v>
      </c>
      <c r="L138" s="747">
        <f>278760+2035427.24</f>
        <v>2314187.2400000002</v>
      </c>
      <c r="M138" s="747">
        <v>3625596.21</v>
      </c>
      <c r="N138" s="747">
        <v>856162.1</v>
      </c>
      <c r="O138" s="747">
        <v>5500000</v>
      </c>
      <c r="P138" s="747">
        <v>8000000</v>
      </c>
      <c r="Q138" s="747">
        <v>7758767.6799999997</v>
      </c>
      <c r="R138" s="747"/>
      <c r="S138" s="747">
        <v>2504675.16</v>
      </c>
      <c r="T138" s="751"/>
      <c r="U138" s="751">
        <v>2293332.6800000002</v>
      </c>
      <c r="V138" s="751">
        <v>5932282.2999999998</v>
      </c>
      <c r="W138" s="751">
        <v>842231.28</v>
      </c>
      <c r="X138" s="747">
        <v>8000000</v>
      </c>
      <c r="Y138" s="747">
        <v>992414.66</v>
      </c>
      <c r="Z138" s="747">
        <v>2441519.96</v>
      </c>
      <c r="AA138" s="747"/>
      <c r="AB138" s="835">
        <f t="shared" si="16"/>
        <v>3.1091576645841816</v>
      </c>
      <c r="AC138" s="747">
        <v>3932785.09</v>
      </c>
      <c r="AD138" s="747"/>
      <c r="AE138" s="747">
        <f>+X138</f>
        <v>8000000</v>
      </c>
      <c r="AF138" s="747">
        <v>4822656.6500000004</v>
      </c>
      <c r="AG138" s="747"/>
      <c r="AH138" s="747">
        <v>1185247.1000000001</v>
      </c>
      <c r="AI138" s="747">
        <f>+AE138</f>
        <v>8000000</v>
      </c>
      <c r="AJ138" s="747">
        <v>7196561.5499999998</v>
      </c>
      <c r="AK138" s="747"/>
      <c r="AL138" s="747">
        <v>1850823.98</v>
      </c>
      <c r="AM138" s="961"/>
      <c r="AN138" s="961"/>
      <c r="AO138" s="961"/>
      <c r="AP138" s="1296"/>
      <c r="AQ138" s="1321"/>
      <c r="AR138" s="1297"/>
      <c r="AS138" s="1316"/>
      <c r="AT138" s="1321"/>
      <c r="AU138" s="747"/>
      <c r="AV138" s="1297">
        <v>8000000</v>
      </c>
    </row>
    <row r="139" spans="1:48" s="871" customFormat="1" ht="24" customHeight="1" x14ac:dyDescent="0.25">
      <c r="A139" s="744"/>
      <c r="B139" s="745" t="s">
        <v>243</v>
      </c>
      <c r="C139" s="746" t="s">
        <v>244</v>
      </c>
      <c r="D139" s="747">
        <v>8529813.0399999991</v>
      </c>
      <c r="E139" s="747">
        <v>9065844.1199999992</v>
      </c>
      <c r="F139" s="747">
        <v>8920065.0600000005</v>
      </c>
      <c r="G139" s="747">
        <v>9000000</v>
      </c>
      <c r="H139" s="747">
        <v>7202711.8600000003</v>
      </c>
      <c r="I139" s="747">
        <v>4576054.78</v>
      </c>
      <c r="J139" s="748">
        <v>10000000</v>
      </c>
      <c r="K139" s="747">
        <v>10163306.949999999</v>
      </c>
      <c r="L139" s="747">
        <v>4762707.2</v>
      </c>
      <c r="M139" s="747">
        <v>7177505.1799999997</v>
      </c>
      <c r="N139" s="747">
        <v>396027.29</v>
      </c>
      <c r="O139" s="747">
        <v>10000000</v>
      </c>
      <c r="P139" s="747">
        <f>+[1]รวม!$L$20</f>
        <v>10000000</v>
      </c>
      <c r="Q139" s="747">
        <v>12136643.4</v>
      </c>
      <c r="R139" s="747"/>
      <c r="S139" s="747">
        <v>3401658.89</v>
      </c>
      <c r="T139" s="751"/>
      <c r="U139" s="751">
        <v>2790137.17</v>
      </c>
      <c r="V139" s="751">
        <v>7805296.2999999998</v>
      </c>
      <c r="W139" s="751">
        <v>1842943.39</v>
      </c>
      <c r="X139" s="747">
        <v>10000000</v>
      </c>
      <c r="Y139" s="747">
        <v>2929046.25</v>
      </c>
      <c r="Z139" s="747">
        <v>3104363.14</v>
      </c>
      <c r="AA139" s="747"/>
      <c r="AB139" s="835">
        <f t="shared" ref="AB139:AB170" si="26">+(X139-Q139)/Q139*100</f>
        <v>-17.604895600706207</v>
      </c>
      <c r="AC139" s="747">
        <v>4292423.54</v>
      </c>
      <c r="AD139" s="747"/>
      <c r="AE139" s="747">
        <v>13000000</v>
      </c>
      <c r="AF139" s="747">
        <v>7656813.04</v>
      </c>
      <c r="AG139" s="747"/>
      <c r="AH139" s="747">
        <v>2287465.19</v>
      </c>
      <c r="AI139" s="747">
        <f t="shared" ref="AI139:AI141" si="27">+AE139</f>
        <v>13000000</v>
      </c>
      <c r="AJ139" s="747">
        <v>10784868.16</v>
      </c>
      <c r="AK139" s="747"/>
      <c r="AL139" s="747">
        <v>6058733.5300000003</v>
      </c>
      <c r="AM139" s="747"/>
      <c r="AN139" s="747"/>
      <c r="AO139" s="747"/>
      <c r="AP139" s="1296"/>
      <c r="AQ139" s="1321"/>
      <c r="AR139" s="1297"/>
      <c r="AS139" s="1316"/>
      <c r="AT139" s="1321"/>
      <c r="AU139" s="747"/>
      <c r="AV139" s="1297">
        <v>10000000</v>
      </c>
    </row>
    <row r="140" spans="1:48" ht="24" customHeight="1" x14ac:dyDescent="0.25">
      <c r="A140" s="744"/>
      <c r="B140" s="745" t="s">
        <v>245</v>
      </c>
      <c r="C140" s="746"/>
      <c r="D140" s="747">
        <v>0</v>
      </c>
      <c r="E140" s="747">
        <v>0</v>
      </c>
      <c r="F140" s="760">
        <v>0</v>
      </c>
      <c r="G140" s="760">
        <v>0</v>
      </c>
      <c r="H140" s="760">
        <v>2353159.4</v>
      </c>
      <c r="I140" s="760">
        <v>0</v>
      </c>
      <c r="J140" s="748">
        <v>8000000</v>
      </c>
      <c r="K140" s="747">
        <v>4427235.5</v>
      </c>
      <c r="L140" s="747">
        <v>5739225</v>
      </c>
      <c r="M140" s="747">
        <v>5248703.5</v>
      </c>
      <c r="N140" s="747">
        <v>4650914.4000000004</v>
      </c>
      <c r="O140" s="747">
        <v>14000000</v>
      </c>
      <c r="P140" s="747">
        <f>+[1]รวม!$L$19</f>
        <v>20000000</v>
      </c>
      <c r="Q140" s="747">
        <v>22896823.600000001</v>
      </c>
      <c r="R140" s="747"/>
      <c r="S140" s="747">
        <v>6441835.2000000002</v>
      </c>
      <c r="T140" s="751"/>
      <c r="U140" s="751">
        <v>13229769.6</v>
      </c>
      <c r="V140" s="751">
        <v>17907860.600000001</v>
      </c>
      <c r="W140" s="751">
        <v>8350800</v>
      </c>
      <c r="X140" s="747">
        <v>30000000</v>
      </c>
      <c r="Y140" s="747">
        <v>4635880.25</v>
      </c>
      <c r="Z140" s="747">
        <v>7621320.2000000002</v>
      </c>
      <c r="AA140" s="747"/>
      <c r="AB140" s="835">
        <f t="shared" si="26"/>
        <v>31.022540611266265</v>
      </c>
      <c r="AC140" s="747">
        <v>10926773.800000001</v>
      </c>
      <c r="AD140" s="747"/>
      <c r="AE140" s="747">
        <f>+X140</f>
        <v>30000000</v>
      </c>
      <c r="AF140" s="747">
        <v>17196706.800000001</v>
      </c>
      <c r="AG140" s="747"/>
      <c r="AH140" s="747">
        <v>3680330.85</v>
      </c>
      <c r="AI140" s="747">
        <f t="shared" si="27"/>
        <v>30000000</v>
      </c>
      <c r="AJ140" s="747">
        <v>23154494.699999999</v>
      </c>
      <c r="AK140" s="747"/>
      <c r="AL140" s="747">
        <v>5873026.1500000004</v>
      </c>
      <c r="AM140" s="747"/>
      <c r="AN140" s="747"/>
      <c r="AO140" s="747"/>
      <c r="AP140" s="1296"/>
      <c r="AQ140" s="1321"/>
      <c r="AR140" s="1297"/>
      <c r="AS140" s="1316"/>
      <c r="AT140" s="1321"/>
      <c r="AU140" s="747"/>
      <c r="AV140" s="1297">
        <v>30000000</v>
      </c>
    </row>
    <row r="141" spans="1:48" ht="24" customHeight="1" x14ac:dyDescent="0.25">
      <c r="A141" s="744"/>
      <c r="B141" s="745" t="s">
        <v>246</v>
      </c>
      <c r="C141" s="746" t="s">
        <v>221</v>
      </c>
      <c r="D141" s="747">
        <v>19273470.98</v>
      </c>
      <c r="E141" s="747">
        <v>20195133.02</v>
      </c>
      <c r="F141" s="747">
        <v>18613829.82</v>
      </c>
      <c r="G141" s="747">
        <v>18000000</v>
      </c>
      <c r="H141" s="747">
        <v>14711088.199999999</v>
      </c>
      <c r="I141" s="747">
        <v>2729749.99</v>
      </c>
      <c r="J141" s="946">
        <v>15000000</v>
      </c>
      <c r="K141" s="749">
        <v>17428712.559999999</v>
      </c>
      <c r="L141" s="749">
        <v>2061114.36</v>
      </c>
      <c r="M141" s="749">
        <v>14652920.02</v>
      </c>
      <c r="N141" s="749">
        <v>468231.38</v>
      </c>
      <c r="O141" s="749">
        <v>18000000</v>
      </c>
      <c r="P141" s="749">
        <f>+[1]รวม!$L$39</f>
        <v>18000000</v>
      </c>
      <c r="Q141" s="749">
        <v>17551422.960000001</v>
      </c>
      <c r="R141" s="798">
        <f>+Q141/P141*100</f>
        <v>97.507905333333326</v>
      </c>
      <c r="S141" s="747">
        <v>3490475.23</v>
      </c>
      <c r="T141" s="947">
        <v>14041459.279999999</v>
      </c>
      <c r="U141" s="947">
        <v>392534.82</v>
      </c>
      <c r="V141" s="947">
        <v>2040757.63</v>
      </c>
      <c r="W141" s="947"/>
      <c r="X141" s="749">
        <v>18000000</v>
      </c>
      <c r="Y141" s="747">
        <v>1769081.5</v>
      </c>
      <c r="Z141" s="747">
        <v>4546580.41</v>
      </c>
      <c r="AA141" s="747"/>
      <c r="AB141" s="835">
        <f t="shared" si="26"/>
        <v>2.5557873058059966</v>
      </c>
      <c r="AC141" s="747">
        <v>9933135.3100000005</v>
      </c>
      <c r="AD141" s="747"/>
      <c r="AE141" s="747">
        <f>+X141</f>
        <v>18000000</v>
      </c>
      <c r="AF141" s="747">
        <v>15380356.41</v>
      </c>
      <c r="AG141" s="747"/>
      <c r="AH141" s="747">
        <v>1420644.94</v>
      </c>
      <c r="AI141" s="747">
        <f t="shared" si="27"/>
        <v>18000000</v>
      </c>
      <c r="AJ141" s="747">
        <v>21136840.68</v>
      </c>
      <c r="AK141" s="747"/>
      <c r="AL141" s="747">
        <v>2181906.12</v>
      </c>
      <c r="AM141" s="747"/>
      <c r="AN141" s="747"/>
      <c r="AO141" s="747"/>
      <c r="AP141" s="1296"/>
      <c r="AQ141" s="1321"/>
      <c r="AR141" s="1297"/>
      <c r="AS141" s="1316"/>
      <c r="AT141" s="1321"/>
      <c r="AU141" s="747"/>
      <c r="AV141" s="1297">
        <v>20000000</v>
      </c>
    </row>
    <row r="142" spans="1:48" ht="24" hidden="1" customHeight="1" x14ac:dyDescent="0.25">
      <c r="A142" s="744"/>
      <c r="B142" s="745" t="s">
        <v>247</v>
      </c>
      <c r="C142" s="746" t="s">
        <v>221</v>
      </c>
      <c r="D142" s="747">
        <v>6300</v>
      </c>
      <c r="E142" s="747">
        <v>0</v>
      </c>
      <c r="F142" s="747">
        <v>0</v>
      </c>
      <c r="G142" s="747">
        <v>0</v>
      </c>
      <c r="H142" s="747">
        <v>0</v>
      </c>
      <c r="I142" s="747">
        <v>0</v>
      </c>
      <c r="J142" s="748">
        <v>0</v>
      </c>
      <c r="K142" s="747">
        <v>0</v>
      </c>
      <c r="L142" s="747">
        <v>0</v>
      </c>
      <c r="M142" s="747">
        <v>0</v>
      </c>
      <c r="N142" s="747">
        <v>0</v>
      </c>
      <c r="O142" s="747"/>
      <c r="P142" s="747"/>
      <c r="Q142" s="747"/>
      <c r="R142" s="798" t="e">
        <f>+Q142/P142*100</f>
        <v>#DIV/0!</v>
      </c>
      <c r="S142" s="747"/>
      <c r="T142" s="751"/>
      <c r="U142" s="751"/>
      <c r="V142" s="751"/>
      <c r="W142" s="751"/>
      <c r="X142" s="747"/>
      <c r="Y142" s="747"/>
      <c r="Z142" s="747"/>
      <c r="AA142" s="747"/>
      <c r="AB142" s="835" t="e">
        <f t="shared" si="26"/>
        <v>#DIV/0!</v>
      </c>
      <c r="AC142" s="747"/>
      <c r="AD142" s="747"/>
      <c r="AE142" s="747"/>
      <c r="AF142" s="747"/>
      <c r="AG142" s="747"/>
      <c r="AH142" s="747"/>
      <c r="AI142" s="747"/>
      <c r="AJ142" s="747"/>
      <c r="AK142" s="747"/>
      <c r="AL142" s="747"/>
      <c r="AM142" s="747"/>
      <c r="AN142" s="747"/>
      <c r="AO142" s="747"/>
      <c r="AP142" s="747"/>
      <c r="AQ142" s="1302"/>
      <c r="AR142" s="753"/>
      <c r="AS142" s="1302"/>
      <c r="AT142" s="753"/>
      <c r="AU142" s="753"/>
      <c r="AV142" s="753"/>
    </row>
    <row r="143" spans="1:48" ht="24" customHeight="1" x14ac:dyDescent="0.25">
      <c r="A143" s="744"/>
      <c r="B143" s="745" t="s">
        <v>248</v>
      </c>
      <c r="C143" s="746" t="s">
        <v>221</v>
      </c>
      <c r="D143" s="747">
        <v>2590862.9</v>
      </c>
      <c r="E143" s="747">
        <v>2028787.85</v>
      </c>
      <c r="F143" s="747">
        <v>1207760.1000000001</v>
      </c>
      <c r="G143" s="747">
        <v>1000000</v>
      </c>
      <c r="H143" s="747">
        <v>1243639.5</v>
      </c>
      <c r="I143" s="747">
        <v>435981</v>
      </c>
      <c r="J143" s="946">
        <v>1000000</v>
      </c>
      <c r="K143" s="749">
        <v>1927286.1</v>
      </c>
      <c r="L143" s="962">
        <v>0</v>
      </c>
      <c r="M143" s="749">
        <v>1754045</v>
      </c>
      <c r="N143" s="749">
        <v>402834</v>
      </c>
      <c r="O143" s="749">
        <v>1500000</v>
      </c>
      <c r="P143" s="749">
        <f>+[1]รวม!$L$28</f>
        <v>1900000</v>
      </c>
      <c r="Q143" s="749">
        <v>2579819</v>
      </c>
      <c r="R143" s="798">
        <f>+Q143/P143*100</f>
        <v>135.77994736842106</v>
      </c>
      <c r="S143" s="747">
        <v>345848.32000000001</v>
      </c>
      <c r="T143" s="947">
        <v>1891470.5</v>
      </c>
      <c r="U143" s="947">
        <v>4865677.0599999996</v>
      </c>
      <c r="V143" s="947">
        <v>484761</v>
      </c>
      <c r="W143" s="947"/>
      <c r="X143" s="749">
        <v>1900000</v>
      </c>
      <c r="Y143" s="747">
        <v>938952</v>
      </c>
      <c r="Z143" s="747">
        <v>260997.32</v>
      </c>
      <c r="AA143" s="747"/>
      <c r="AB143" s="835">
        <f t="shared" si="26"/>
        <v>-26.351422328465681</v>
      </c>
      <c r="AC143" s="747">
        <v>1167237.82</v>
      </c>
      <c r="AD143" s="747"/>
      <c r="AE143" s="747">
        <f>+X143</f>
        <v>1900000</v>
      </c>
      <c r="AF143" s="747">
        <v>1759287.82</v>
      </c>
      <c r="AG143" s="747"/>
      <c r="AH143" s="747"/>
      <c r="AI143" s="747">
        <f>+AE143</f>
        <v>1900000</v>
      </c>
      <c r="AJ143" s="747">
        <v>2653788.8199999998</v>
      </c>
      <c r="AK143" s="747"/>
      <c r="AL143" s="747">
        <v>1065627</v>
      </c>
      <c r="AM143" s="747"/>
      <c r="AN143" s="747"/>
      <c r="AO143" s="747"/>
      <c r="AP143" s="747"/>
      <c r="AQ143" s="1302"/>
      <c r="AR143" s="753"/>
      <c r="AS143" s="1302"/>
      <c r="AT143" s="753"/>
      <c r="AU143" s="753"/>
      <c r="AV143" s="1333">
        <v>2500000</v>
      </c>
    </row>
    <row r="144" spans="1:48" s="953" customFormat="1" ht="24" customHeight="1" x14ac:dyDescent="0.25">
      <c r="A144" s="948"/>
      <c r="B144" s="949" t="s">
        <v>249</v>
      </c>
      <c r="C144" s="808" t="s">
        <v>241</v>
      </c>
      <c r="D144" s="788">
        <f>SUM(D145:D155)</f>
        <v>265152568.06</v>
      </c>
      <c r="E144" s="788">
        <f>SUM(E145:E155)</f>
        <v>269596034.88999999</v>
      </c>
      <c r="F144" s="788">
        <f>SUM(F145:F155)</f>
        <v>283383304.84999996</v>
      </c>
      <c r="G144" s="788">
        <v>256600000</v>
      </c>
      <c r="H144" s="788">
        <f>SUM(H145:H155)</f>
        <v>269171871.07999998</v>
      </c>
      <c r="I144" s="788">
        <v>85959555.859999999</v>
      </c>
      <c r="J144" s="787">
        <v>256000000</v>
      </c>
      <c r="K144" s="788">
        <v>294582710.36000001</v>
      </c>
      <c r="L144" s="788">
        <v>104568445.34999999</v>
      </c>
      <c r="M144" s="788"/>
      <c r="N144" s="788"/>
      <c r="O144" s="788"/>
      <c r="P144" s="788">
        <f>SUM(P145:P155)</f>
        <v>0</v>
      </c>
      <c r="Q144" s="788">
        <v>380811985.63</v>
      </c>
      <c r="R144" s="950" t="e">
        <f>+Q144/P144*100</f>
        <v>#DIV/0!</v>
      </c>
      <c r="S144" s="789"/>
      <c r="T144" s="788">
        <f>SUM(T145:T155)</f>
        <v>0</v>
      </c>
      <c r="U144" s="788">
        <f>SUM(U145:U155)</f>
        <v>0</v>
      </c>
      <c r="V144" s="788"/>
      <c r="W144" s="788"/>
      <c r="X144" s="788">
        <f>SUM(X145:X155)</f>
        <v>332850000</v>
      </c>
      <c r="Y144" s="789"/>
      <c r="Z144" s="788">
        <f>SUM(Z145:Z155)</f>
        <v>101783887.25999999</v>
      </c>
      <c r="AA144" s="788"/>
      <c r="AB144" s="960">
        <f t="shared" si="26"/>
        <v>-12.594662836216569</v>
      </c>
      <c r="AC144" s="788">
        <f>SUM(AC145:AC155)</f>
        <v>183826925.05000001</v>
      </c>
      <c r="AD144" s="788"/>
      <c r="AE144" s="788"/>
      <c r="AF144" s="788">
        <f>SUM(AF145:AF155)</f>
        <v>274477791.02000004</v>
      </c>
      <c r="AG144" s="788"/>
      <c r="AH144" s="788">
        <v>80864205.670000002</v>
      </c>
      <c r="AI144" s="788"/>
      <c r="AJ144" s="788">
        <f>SUM(AJ145:AJ155)</f>
        <v>367023217.1099999</v>
      </c>
      <c r="AK144" s="788"/>
      <c r="AL144" s="788">
        <f>SUM(AL145:AL155)</f>
        <v>118566842.88000001</v>
      </c>
      <c r="AM144" s="788"/>
      <c r="AN144" s="788"/>
      <c r="AO144" s="788"/>
      <c r="AP144" s="788"/>
      <c r="AQ144" s="1301"/>
      <c r="AR144" s="791"/>
      <c r="AS144" s="1418"/>
      <c r="AT144" s="791"/>
      <c r="AU144" s="791"/>
      <c r="AV144" s="791"/>
    </row>
    <row r="145" spans="1:48" s="893" customFormat="1" ht="24" customHeight="1" x14ac:dyDescent="0.6">
      <c r="A145" s="744"/>
      <c r="B145" s="745" t="s">
        <v>250</v>
      </c>
      <c r="C145" s="746" t="s">
        <v>241</v>
      </c>
      <c r="D145" s="747">
        <v>7743552.2999999998</v>
      </c>
      <c r="E145" s="747">
        <v>9070618.3000000007</v>
      </c>
      <c r="F145" s="747">
        <v>10905081.109999999</v>
      </c>
      <c r="G145" s="747">
        <v>8000000</v>
      </c>
      <c r="H145" s="747">
        <v>11494282.76</v>
      </c>
      <c r="I145" s="760">
        <v>0</v>
      </c>
      <c r="J145" s="851">
        <v>10000000</v>
      </c>
      <c r="K145" s="963">
        <v>0</v>
      </c>
      <c r="L145" s="760">
        <v>0</v>
      </c>
      <c r="M145" s="760">
        <v>0</v>
      </c>
      <c r="N145" s="760">
        <v>0</v>
      </c>
      <c r="O145" s="760">
        <v>0</v>
      </c>
      <c r="P145" s="760">
        <v>0</v>
      </c>
      <c r="Q145" s="760">
        <v>0</v>
      </c>
      <c r="R145" s="747"/>
      <c r="S145" s="747">
        <v>1977638.68</v>
      </c>
      <c r="T145" s="751"/>
      <c r="U145" s="751"/>
      <c r="V145" s="751">
        <v>12341259.57</v>
      </c>
      <c r="W145" s="751">
        <v>1784078.49</v>
      </c>
      <c r="X145" s="747">
        <v>17000000</v>
      </c>
      <c r="Y145" s="747">
        <v>2113121.1800000002</v>
      </c>
      <c r="Z145" s="747">
        <v>12288029.5</v>
      </c>
      <c r="AA145" s="747"/>
      <c r="AB145" s="835" t="e">
        <f t="shared" si="26"/>
        <v>#DIV/0!</v>
      </c>
      <c r="AC145" s="747">
        <v>20818407.329999998</v>
      </c>
      <c r="AD145" s="747"/>
      <c r="AE145" s="747">
        <v>25000000</v>
      </c>
      <c r="AF145" s="964">
        <v>24389393.02</v>
      </c>
      <c r="AG145" s="964"/>
      <c r="AH145" s="747">
        <v>2357622.8199999998</v>
      </c>
      <c r="AI145" s="747">
        <f>+AE145</f>
        <v>25000000</v>
      </c>
      <c r="AJ145" s="879">
        <v>28791029.030000001</v>
      </c>
      <c r="AK145" s="747"/>
      <c r="AL145" s="747">
        <v>2424154.63</v>
      </c>
      <c r="AM145" s="914"/>
      <c r="AN145" s="914"/>
      <c r="AO145" s="914"/>
      <c r="AP145" s="1281"/>
      <c r="AQ145" s="1322"/>
      <c r="AR145" s="1282"/>
      <c r="AS145" s="1336"/>
      <c r="AT145" s="1336"/>
      <c r="AU145" s="745"/>
      <c r="AV145" s="1282">
        <v>25000000</v>
      </c>
    </row>
    <row r="146" spans="1:48" s="745" customFormat="1" ht="24" customHeight="1" x14ac:dyDescent="0.6">
      <c r="A146" s="744"/>
      <c r="B146" s="745" t="s">
        <v>251</v>
      </c>
      <c r="C146" s="746" t="s">
        <v>241</v>
      </c>
      <c r="D146" s="747">
        <v>101870214.15000001</v>
      </c>
      <c r="E146" s="747">
        <v>123511842.34999999</v>
      </c>
      <c r="F146" s="747">
        <v>137402831.02000001</v>
      </c>
      <c r="G146" s="747">
        <v>110000000</v>
      </c>
      <c r="H146" s="747">
        <f>69278348.71+51049392.11</f>
        <v>120327740.81999999</v>
      </c>
      <c r="I146" s="760">
        <v>0</v>
      </c>
      <c r="J146" s="851">
        <v>111000000</v>
      </c>
      <c r="K146" s="963">
        <v>0</v>
      </c>
      <c r="L146" s="760">
        <v>0</v>
      </c>
      <c r="M146" s="760">
        <v>0</v>
      </c>
      <c r="N146" s="760">
        <v>0</v>
      </c>
      <c r="O146" s="760">
        <v>0</v>
      </c>
      <c r="P146" s="760">
        <v>0</v>
      </c>
      <c r="Q146" s="760">
        <v>0</v>
      </c>
      <c r="R146" s="747"/>
      <c r="S146" s="747">
        <f>42147413.8+19874620</f>
        <v>62022033.799999997</v>
      </c>
      <c r="T146" s="751"/>
      <c r="U146" s="751"/>
      <c r="V146" s="751">
        <v>144573284.05000001</v>
      </c>
      <c r="W146" s="751">
        <v>10338403</v>
      </c>
      <c r="X146" s="747">
        <v>150000000</v>
      </c>
      <c r="Y146" s="747">
        <f>18772943.6+21048281</f>
        <v>39821224.600000001</v>
      </c>
      <c r="Z146" s="747">
        <v>53236046.060000002</v>
      </c>
      <c r="AA146" s="747"/>
      <c r="AB146" s="835" t="e">
        <f t="shared" si="26"/>
        <v>#DIV/0!</v>
      </c>
      <c r="AC146" s="747">
        <v>96823967.170000002</v>
      </c>
      <c r="AD146" s="747"/>
      <c r="AE146" s="747">
        <v>170000000</v>
      </c>
      <c r="AF146" s="747">
        <v>142607065.97</v>
      </c>
      <c r="AG146" s="747"/>
      <c r="AH146" s="747"/>
      <c r="AI146" s="747">
        <f>+AE146+รายการครุภัณฑ์ปรับ!E274</f>
        <v>174240000</v>
      </c>
      <c r="AJ146" s="879">
        <v>189409112.44999999</v>
      </c>
      <c r="AK146" s="747"/>
      <c r="AL146" s="747">
        <f>29347095.37+28912098</f>
        <v>58259193.370000005</v>
      </c>
      <c r="AM146" s="914"/>
      <c r="AN146" s="914"/>
      <c r="AO146" s="914"/>
      <c r="AP146" s="914"/>
      <c r="AQ146" s="1324"/>
      <c r="AR146" s="914"/>
      <c r="AS146" s="1324"/>
      <c r="AT146" s="1324"/>
      <c r="AV146" s="914">
        <v>174240000</v>
      </c>
    </row>
    <row r="147" spans="1:48" s="745" customFormat="1" ht="24" customHeight="1" x14ac:dyDescent="0.6">
      <c r="A147" s="744"/>
      <c r="B147" s="745" t="s">
        <v>252</v>
      </c>
      <c r="C147" s="746" t="s">
        <v>241</v>
      </c>
      <c r="D147" s="747">
        <v>54447476.369999997</v>
      </c>
      <c r="E147" s="747">
        <v>48498140.590000004</v>
      </c>
      <c r="F147" s="747">
        <v>43165953.390000001</v>
      </c>
      <c r="G147" s="747">
        <v>50000000</v>
      </c>
      <c r="H147" s="747">
        <v>51624199.530000001</v>
      </c>
      <c r="I147" s="760">
        <v>0</v>
      </c>
      <c r="J147" s="851">
        <v>50000000</v>
      </c>
      <c r="K147" s="963">
        <v>0</v>
      </c>
      <c r="L147" s="760">
        <v>0</v>
      </c>
      <c r="M147" s="760">
        <v>0</v>
      </c>
      <c r="N147" s="760">
        <v>0</v>
      </c>
      <c r="O147" s="760">
        <v>0</v>
      </c>
      <c r="P147" s="760">
        <v>0</v>
      </c>
      <c r="Q147" s="760">
        <v>0</v>
      </c>
      <c r="R147" s="747"/>
      <c r="S147" s="747">
        <v>45105591.100000001</v>
      </c>
      <c r="T147" s="751"/>
      <c r="U147" s="751"/>
      <c r="V147" s="751">
        <v>41919217.299999997</v>
      </c>
      <c r="W147" s="751">
        <v>755093.7</v>
      </c>
      <c r="X147" s="747">
        <v>50000000</v>
      </c>
      <c r="Y147" s="747">
        <v>11580810.199999999</v>
      </c>
      <c r="Z147" s="747">
        <v>10236841.1</v>
      </c>
      <c r="AA147" s="747"/>
      <c r="AB147" s="835" t="e">
        <f t="shared" si="26"/>
        <v>#DIV/0!</v>
      </c>
      <c r="AC147" s="747">
        <v>19919111.5</v>
      </c>
      <c r="AD147" s="747"/>
      <c r="AE147" s="747">
        <v>47500000</v>
      </c>
      <c r="AF147" s="747">
        <v>31776018.300000001</v>
      </c>
      <c r="AG147" s="747"/>
      <c r="AH147" s="747"/>
      <c r="AI147" s="747">
        <f t="shared" ref="AI147:AI158" si="28">+AE147</f>
        <v>47500000</v>
      </c>
      <c r="AJ147" s="879">
        <v>47869762.899999999</v>
      </c>
      <c r="AK147" s="747"/>
      <c r="AL147" s="747">
        <v>21464071.899999999</v>
      </c>
      <c r="AM147" s="914"/>
      <c r="AN147" s="914"/>
      <c r="AO147" s="914"/>
      <c r="AP147" s="1296"/>
      <c r="AQ147" s="1321"/>
      <c r="AR147" s="1297"/>
      <c r="AS147" s="1337"/>
      <c r="AT147" s="1316"/>
      <c r="AV147" s="1334">
        <v>55000000</v>
      </c>
    </row>
    <row r="148" spans="1:48" s="745" customFormat="1" ht="24" customHeight="1" x14ac:dyDescent="0.6">
      <c r="A148" s="744"/>
      <c r="B148" s="745" t="s">
        <v>253</v>
      </c>
      <c r="C148" s="746" t="s">
        <v>241</v>
      </c>
      <c r="D148" s="747">
        <v>2606045.34</v>
      </c>
      <c r="E148" s="747">
        <v>2442365.6</v>
      </c>
      <c r="F148" s="747">
        <v>2157410.65</v>
      </c>
      <c r="G148" s="747">
        <v>2000000</v>
      </c>
      <c r="H148" s="747">
        <f>415450+187093.08+43656+337987.2+58154.64+13800+92555+223881.57+213479.4</f>
        <v>1586056.89</v>
      </c>
      <c r="I148" s="760">
        <v>0</v>
      </c>
      <c r="J148" s="851">
        <v>2000000</v>
      </c>
      <c r="K148" s="963">
        <v>0</v>
      </c>
      <c r="L148" s="760">
        <v>0</v>
      </c>
      <c r="M148" s="760">
        <v>0</v>
      </c>
      <c r="N148" s="760">
        <v>0</v>
      </c>
      <c r="O148" s="760">
        <v>0</v>
      </c>
      <c r="P148" s="760">
        <v>0</v>
      </c>
      <c r="Q148" s="760">
        <v>0</v>
      </c>
      <c r="R148" s="760">
        <v>0</v>
      </c>
      <c r="S148" s="760">
        <v>0</v>
      </c>
      <c r="T148" s="751"/>
      <c r="U148" s="751"/>
      <c r="V148" s="751">
        <v>1822319.9</v>
      </c>
      <c r="W148" s="751">
        <v>5563.2</v>
      </c>
      <c r="X148" s="747">
        <v>2000000</v>
      </c>
      <c r="Y148" s="747">
        <v>600357.88</v>
      </c>
      <c r="Z148" s="747">
        <v>247140</v>
      </c>
      <c r="AA148" s="747"/>
      <c r="AB148" s="835" t="e">
        <f t="shared" si="26"/>
        <v>#DIV/0!</v>
      </c>
      <c r="AC148" s="747">
        <v>1518160.65</v>
      </c>
      <c r="AD148" s="747"/>
      <c r="AE148" s="747">
        <v>2000000</v>
      </c>
      <c r="AF148" s="964">
        <v>2201018.5299999998</v>
      </c>
      <c r="AG148" s="964"/>
      <c r="AH148" s="747"/>
      <c r="AI148" s="747">
        <f t="shared" si="28"/>
        <v>2000000</v>
      </c>
      <c r="AJ148" s="879">
        <v>2270618.5299999998</v>
      </c>
      <c r="AK148" s="747"/>
      <c r="AL148" s="747">
        <v>767006.9</v>
      </c>
      <c r="AM148" s="961"/>
      <c r="AN148" s="961"/>
      <c r="AO148" s="961"/>
      <c r="AP148" s="1296"/>
      <c r="AQ148" s="1321"/>
      <c r="AR148" s="1297"/>
      <c r="AS148" s="1316"/>
      <c r="AT148" s="1337"/>
      <c r="AV148" s="1334">
        <v>2500000</v>
      </c>
    </row>
    <row r="149" spans="1:48" s="745" customFormat="1" ht="24" customHeight="1" x14ac:dyDescent="0.6">
      <c r="A149" s="744"/>
      <c r="B149" s="745" t="s">
        <v>254</v>
      </c>
      <c r="C149" s="746" t="s">
        <v>241</v>
      </c>
      <c r="D149" s="747">
        <v>1345634.6</v>
      </c>
      <c r="E149" s="747">
        <v>1372151.75</v>
      </c>
      <c r="F149" s="747">
        <v>2017099.78</v>
      </c>
      <c r="G149" s="747">
        <v>1500000</v>
      </c>
      <c r="H149" s="747">
        <v>1521100.27</v>
      </c>
      <c r="I149" s="760">
        <v>0</v>
      </c>
      <c r="J149" s="851">
        <v>2500000</v>
      </c>
      <c r="K149" s="963">
        <v>0</v>
      </c>
      <c r="L149" s="760">
        <v>0</v>
      </c>
      <c r="M149" s="760">
        <v>0</v>
      </c>
      <c r="N149" s="760">
        <v>0</v>
      </c>
      <c r="O149" s="760">
        <v>0</v>
      </c>
      <c r="P149" s="760">
        <v>0</v>
      </c>
      <c r="Q149" s="760">
        <v>0</v>
      </c>
      <c r="R149" s="760">
        <v>0</v>
      </c>
      <c r="S149" s="760">
        <v>0</v>
      </c>
      <c r="T149" s="751"/>
      <c r="U149" s="751"/>
      <c r="V149" s="751">
        <v>1804301</v>
      </c>
      <c r="W149" s="751">
        <v>458353</v>
      </c>
      <c r="X149" s="747">
        <v>2500000</v>
      </c>
      <c r="Y149" s="747">
        <v>796350</v>
      </c>
      <c r="Z149" s="747">
        <v>104800</v>
      </c>
      <c r="AA149" s="747"/>
      <c r="AB149" s="835" t="e">
        <f t="shared" si="26"/>
        <v>#DIV/0!</v>
      </c>
      <c r="AC149" s="747">
        <v>697275</v>
      </c>
      <c r="AD149" s="747"/>
      <c r="AE149" s="747">
        <v>2000000</v>
      </c>
      <c r="AF149" s="747">
        <v>1686445</v>
      </c>
      <c r="AG149" s="747"/>
      <c r="AH149" s="747"/>
      <c r="AI149" s="747">
        <f t="shared" si="28"/>
        <v>2000000</v>
      </c>
      <c r="AJ149" s="879">
        <v>2252165</v>
      </c>
      <c r="AK149" s="747"/>
      <c r="AL149" s="747">
        <v>1194930.72</v>
      </c>
      <c r="AM149" s="1280"/>
      <c r="AN149" s="1280"/>
      <c r="AO149" s="1280"/>
      <c r="AP149" s="1296"/>
      <c r="AQ149" s="1321"/>
      <c r="AR149" s="1297"/>
      <c r="AS149" s="1419"/>
      <c r="AT149" s="1338"/>
      <c r="AV149" s="1334">
        <v>3000000</v>
      </c>
    </row>
    <row r="150" spans="1:48" s="745" customFormat="1" ht="24" customHeight="1" x14ac:dyDescent="0.6">
      <c r="A150" s="744"/>
      <c r="B150" s="745" t="s">
        <v>255</v>
      </c>
      <c r="C150" s="746" t="s">
        <v>241</v>
      </c>
      <c r="D150" s="747">
        <v>7603973.4000000004</v>
      </c>
      <c r="E150" s="747">
        <v>7421043.7999999998</v>
      </c>
      <c r="F150" s="747">
        <v>6484538.2000000002</v>
      </c>
      <c r="G150" s="747">
        <v>5500000</v>
      </c>
      <c r="H150" s="747">
        <f>258590+747128.4+79200+117480+257888.4+678060+712468.4+453300+1734103.5+1060640.4+685680+618080</f>
        <v>7402619.0999999996</v>
      </c>
      <c r="I150" s="760">
        <v>0</v>
      </c>
      <c r="J150" s="851">
        <v>6000000</v>
      </c>
      <c r="K150" s="963">
        <v>0</v>
      </c>
      <c r="L150" s="760">
        <v>0</v>
      </c>
      <c r="M150" s="760">
        <v>0</v>
      </c>
      <c r="N150" s="760">
        <v>0</v>
      </c>
      <c r="O150" s="760">
        <v>0</v>
      </c>
      <c r="P150" s="760">
        <v>0</v>
      </c>
      <c r="Q150" s="760">
        <v>0</v>
      </c>
      <c r="R150" s="760">
        <v>0</v>
      </c>
      <c r="S150" s="760">
        <v>0</v>
      </c>
      <c r="T150" s="747"/>
      <c r="U150" s="747"/>
      <c r="V150" s="747">
        <v>4456572.8</v>
      </c>
      <c r="W150" s="747">
        <v>1174257.3999999999</v>
      </c>
      <c r="X150" s="747">
        <v>6800000</v>
      </c>
      <c r="Y150" s="747">
        <v>3250242.6</v>
      </c>
      <c r="Z150" s="747">
        <v>1612806.8</v>
      </c>
      <c r="AA150" s="747"/>
      <c r="AB150" s="835" t="e">
        <f t="shared" si="26"/>
        <v>#DIV/0!</v>
      </c>
      <c r="AC150" s="747">
        <v>2731396.8</v>
      </c>
      <c r="AD150" s="747"/>
      <c r="AE150" s="747">
        <f t="shared" ref="AE150:AE157" si="29">+X150</f>
        <v>6800000</v>
      </c>
      <c r="AF150" s="964">
        <v>6725515.4000000004</v>
      </c>
      <c r="AG150" s="964"/>
      <c r="AH150" s="747"/>
      <c r="AI150" s="747">
        <f t="shared" si="28"/>
        <v>6800000</v>
      </c>
      <c r="AJ150" s="879">
        <v>8719945.4000000004</v>
      </c>
      <c r="AK150" s="747"/>
      <c r="AL150" s="747">
        <v>1792806.16</v>
      </c>
      <c r="AM150" s="961"/>
      <c r="AN150" s="961"/>
      <c r="AO150" s="961"/>
      <c r="AP150" s="1296"/>
      <c r="AQ150" s="1321"/>
      <c r="AR150" s="1297"/>
      <c r="AS150" s="1316"/>
      <c r="AT150" s="1338"/>
      <c r="AV150" s="1334">
        <v>6000000</v>
      </c>
    </row>
    <row r="151" spans="1:48" s="745" customFormat="1" ht="24" customHeight="1" x14ac:dyDescent="0.6">
      <c r="A151" s="744"/>
      <c r="B151" s="745" t="s">
        <v>256</v>
      </c>
      <c r="C151" s="746" t="s">
        <v>241</v>
      </c>
      <c r="D151" s="747">
        <v>1030000</v>
      </c>
      <c r="E151" s="747">
        <v>803000</v>
      </c>
      <c r="F151" s="747">
        <v>1070000</v>
      </c>
      <c r="G151" s="747">
        <v>1000000</v>
      </c>
      <c r="H151" s="747">
        <f>308000+152500+139000+307000</f>
        <v>906500</v>
      </c>
      <c r="I151" s="760">
        <v>0</v>
      </c>
      <c r="J151" s="851">
        <v>1500000</v>
      </c>
      <c r="K151" s="963">
        <v>0</v>
      </c>
      <c r="L151" s="760">
        <v>0</v>
      </c>
      <c r="M151" s="760">
        <v>0</v>
      </c>
      <c r="N151" s="760">
        <v>0</v>
      </c>
      <c r="O151" s="760">
        <v>0</v>
      </c>
      <c r="P151" s="760">
        <v>0</v>
      </c>
      <c r="Q151" s="760">
        <v>0</v>
      </c>
      <c r="R151" s="760">
        <v>0</v>
      </c>
      <c r="S151" s="760">
        <v>0</v>
      </c>
      <c r="T151" s="751"/>
      <c r="U151" s="751"/>
      <c r="V151" s="751">
        <v>1461000</v>
      </c>
      <c r="W151" s="751"/>
      <c r="X151" s="747">
        <v>1800000</v>
      </c>
      <c r="Y151" s="747">
        <v>706700</v>
      </c>
      <c r="Z151" s="747">
        <v>659500</v>
      </c>
      <c r="AA151" s="747"/>
      <c r="AB151" s="835" t="e">
        <f t="shared" si="26"/>
        <v>#DIV/0!</v>
      </c>
      <c r="AC151" s="747">
        <v>1052500</v>
      </c>
      <c r="AD151" s="747"/>
      <c r="AE151" s="747">
        <f t="shared" si="29"/>
        <v>1800000</v>
      </c>
      <c r="AF151" s="747">
        <v>1685700</v>
      </c>
      <c r="AG151" s="747"/>
      <c r="AH151" s="747"/>
      <c r="AI151" s="747">
        <f t="shared" si="28"/>
        <v>1800000</v>
      </c>
      <c r="AJ151" s="747">
        <v>2088900</v>
      </c>
      <c r="AK151" s="747"/>
      <c r="AL151" s="747">
        <v>306750</v>
      </c>
      <c r="AM151" s="961"/>
      <c r="AN151" s="961"/>
      <c r="AO151" s="961"/>
      <c r="AP151" s="1296"/>
      <c r="AQ151" s="1321"/>
      <c r="AR151" s="1297"/>
      <c r="AS151" s="1316"/>
      <c r="AT151" s="1338"/>
      <c r="AV151" s="1297">
        <v>1800000</v>
      </c>
    </row>
    <row r="152" spans="1:48" s="745" customFormat="1" ht="24" customHeight="1" x14ac:dyDescent="0.6">
      <c r="A152" s="744"/>
      <c r="B152" s="745" t="s">
        <v>257</v>
      </c>
      <c r="C152" s="746" t="s">
        <v>241</v>
      </c>
      <c r="D152" s="747">
        <v>8960940</v>
      </c>
      <c r="E152" s="747">
        <v>6265160</v>
      </c>
      <c r="F152" s="747">
        <v>3928760</v>
      </c>
      <c r="G152" s="747">
        <v>2000000</v>
      </c>
      <c r="H152" s="747">
        <f>3500+56000+56000+596500+111900+965000+53500+158950+692500</f>
        <v>2693850</v>
      </c>
      <c r="I152" s="760">
        <v>0</v>
      </c>
      <c r="J152" s="851">
        <v>4000000</v>
      </c>
      <c r="K152" s="963">
        <v>0</v>
      </c>
      <c r="L152" s="760">
        <v>0</v>
      </c>
      <c r="M152" s="760">
        <v>0</v>
      </c>
      <c r="N152" s="760">
        <v>0</v>
      </c>
      <c r="O152" s="760">
        <v>0</v>
      </c>
      <c r="P152" s="760">
        <v>0</v>
      </c>
      <c r="Q152" s="760">
        <v>0</v>
      </c>
      <c r="R152" s="760">
        <v>0</v>
      </c>
      <c r="S152" s="760">
        <v>0</v>
      </c>
      <c r="T152" s="751"/>
      <c r="U152" s="751"/>
      <c r="V152" s="751">
        <v>3517440</v>
      </c>
      <c r="W152" s="751">
        <v>1112620</v>
      </c>
      <c r="X152" s="747">
        <v>5000000</v>
      </c>
      <c r="Y152" s="747">
        <v>1124700</v>
      </c>
      <c r="Z152" s="811">
        <v>1444000</v>
      </c>
      <c r="AA152" s="965"/>
      <c r="AB152" s="835" t="e">
        <f t="shared" si="26"/>
        <v>#DIV/0!</v>
      </c>
      <c r="AC152" s="811">
        <v>2260200</v>
      </c>
      <c r="AD152" s="965"/>
      <c r="AE152" s="747">
        <f t="shared" si="29"/>
        <v>5000000</v>
      </c>
      <c r="AF152" s="747">
        <v>3011900</v>
      </c>
      <c r="AG152" s="747"/>
      <c r="AH152" s="747"/>
      <c r="AI152" s="747">
        <f t="shared" si="28"/>
        <v>5000000</v>
      </c>
      <c r="AJ152" s="747">
        <v>4143900</v>
      </c>
      <c r="AK152" s="747"/>
      <c r="AL152" s="747">
        <v>2337860</v>
      </c>
      <c r="AM152" s="961"/>
      <c r="AN152" s="961"/>
      <c r="AO152" s="961"/>
      <c r="AP152" s="1296"/>
      <c r="AQ152" s="1321"/>
      <c r="AR152" s="1297"/>
      <c r="AS152" s="1316"/>
      <c r="AT152" s="1338"/>
      <c r="AV152" s="1334">
        <v>8000000</v>
      </c>
    </row>
    <row r="153" spans="1:48" s="859" customFormat="1" ht="24" customHeight="1" x14ac:dyDescent="0.6">
      <c r="A153" s="1063"/>
      <c r="B153" s="859" t="s">
        <v>258</v>
      </c>
      <c r="C153" s="1064" t="s">
        <v>241</v>
      </c>
      <c r="D153" s="747">
        <v>44595200</v>
      </c>
      <c r="E153" s="747">
        <v>34757669</v>
      </c>
      <c r="F153" s="747">
        <v>43505314</v>
      </c>
      <c r="G153" s="747">
        <v>45000000</v>
      </c>
      <c r="H153" s="747">
        <v>40702093.899999999</v>
      </c>
      <c r="I153" s="747">
        <v>0</v>
      </c>
      <c r="J153" s="747">
        <v>40000000</v>
      </c>
      <c r="K153" s="1065">
        <v>0</v>
      </c>
      <c r="L153" s="747">
        <v>0</v>
      </c>
      <c r="M153" s="747">
        <v>0</v>
      </c>
      <c r="N153" s="747">
        <v>0</v>
      </c>
      <c r="O153" s="747">
        <v>0</v>
      </c>
      <c r="P153" s="747">
        <v>0</v>
      </c>
      <c r="Q153" s="747">
        <v>0</v>
      </c>
      <c r="R153" s="747">
        <v>0</v>
      </c>
      <c r="S153" s="747">
        <v>0</v>
      </c>
      <c r="T153" s="751"/>
      <c r="U153" s="751"/>
      <c r="V153" s="751">
        <v>51401071.969999999</v>
      </c>
      <c r="W153" s="751">
        <v>11508251</v>
      </c>
      <c r="X153" s="747">
        <v>60000000</v>
      </c>
      <c r="Y153" s="747">
        <v>14013556</v>
      </c>
      <c r="Z153" s="747">
        <v>11792835</v>
      </c>
      <c r="AA153" s="747"/>
      <c r="AB153" s="835" t="e">
        <f t="shared" si="26"/>
        <v>#DIV/0!</v>
      </c>
      <c r="AC153" s="747">
        <v>16228440</v>
      </c>
      <c r="AD153" s="747"/>
      <c r="AE153" s="747">
        <f t="shared" si="29"/>
        <v>60000000</v>
      </c>
      <c r="AF153" s="747">
        <v>30908446</v>
      </c>
      <c r="AG153" s="747"/>
      <c r="AH153" s="747"/>
      <c r="AI153" s="747">
        <f t="shared" si="28"/>
        <v>60000000</v>
      </c>
      <c r="AJ153" s="747">
        <v>39544366</v>
      </c>
      <c r="AK153" s="747"/>
      <c r="AL153" s="747">
        <v>15233175</v>
      </c>
      <c r="AM153" s="1066"/>
      <c r="AN153" s="1066"/>
      <c r="AO153" s="1066"/>
      <c r="AP153" s="1296"/>
      <c r="AQ153" s="1321"/>
      <c r="AR153" s="1297"/>
      <c r="AS153" s="1316"/>
      <c r="AT153" s="1338"/>
      <c r="AV153" s="1297">
        <v>50000000</v>
      </c>
    </row>
    <row r="154" spans="1:48" s="745" customFormat="1" ht="24" customHeight="1" x14ac:dyDescent="0.6">
      <c r="A154" s="744"/>
      <c r="B154" s="745" t="s">
        <v>259</v>
      </c>
      <c r="C154" s="746" t="s">
        <v>241</v>
      </c>
      <c r="D154" s="747">
        <v>32524056.300000001</v>
      </c>
      <c r="E154" s="747">
        <v>33294443</v>
      </c>
      <c r="F154" s="747">
        <v>31031086</v>
      </c>
      <c r="G154" s="747">
        <v>30000000</v>
      </c>
      <c r="H154" s="747">
        <f>3105290.6+1606630+1575634.84+2037343.6+2089430+4180487.5+2528405+1459362+2223447+1244168.39+3251304+4358727.68</f>
        <v>29660230.609999999</v>
      </c>
      <c r="I154" s="760">
        <v>0</v>
      </c>
      <c r="J154" s="851">
        <v>27000000</v>
      </c>
      <c r="K154" s="963">
        <v>0</v>
      </c>
      <c r="L154" s="760">
        <v>0</v>
      </c>
      <c r="M154" s="760">
        <v>0</v>
      </c>
      <c r="N154" s="760">
        <v>0</v>
      </c>
      <c r="O154" s="760">
        <v>0</v>
      </c>
      <c r="P154" s="760">
        <v>0</v>
      </c>
      <c r="Q154" s="760">
        <v>0</v>
      </c>
      <c r="R154" s="760">
        <v>0</v>
      </c>
      <c r="S154" s="760">
        <v>0</v>
      </c>
      <c r="T154" s="751"/>
      <c r="U154" s="751"/>
      <c r="V154" s="751">
        <v>29571688.399999999</v>
      </c>
      <c r="W154" s="751">
        <v>3603841</v>
      </c>
      <c r="X154" s="747">
        <v>35000000</v>
      </c>
      <c r="Y154" s="747">
        <v>5524599</v>
      </c>
      <c r="Z154" s="747">
        <v>9509528.8000000007</v>
      </c>
      <c r="AA154" s="747"/>
      <c r="AB154" s="835" t="e">
        <f t="shared" si="26"/>
        <v>#DIV/0!</v>
      </c>
      <c r="AC154" s="747">
        <v>20335147.600000001</v>
      </c>
      <c r="AD154" s="747"/>
      <c r="AE154" s="747">
        <f t="shared" si="29"/>
        <v>35000000</v>
      </c>
      <c r="AF154" s="747">
        <v>27805029.800000001</v>
      </c>
      <c r="AG154" s="747"/>
      <c r="AH154" s="747"/>
      <c r="AI154" s="747">
        <f t="shared" si="28"/>
        <v>35000000</v>
      </c>
      <c r="AJ154" s="747">
        <v>39220535.899999999</v>
      </c>
      <c r="AK154" s="747"/>
      <c r="AL154" s="747">
        <v>14051868.199999999</v>
      </c>
      <c r="AM154" s="914"/>
      <c r="AN154" s="914"/>
      <c r="AO154" s="914"/>
      <c r="AP154" s="1296"/>
      <c r="AQ154" s="1321"/>
      <c r="AR154" s="1297"/>
      <c r="AS154" s="1316"/>
      <c r="AT154" s="1338"/>
      <c r="AV154" s="1334">
        <v>45000000</v>
      </c>
    </row>
    <row r="155" spans="1:48" s="901" customFormat="1" ht="24" customHeight="1" x14ac:dyDescent="0.6">
      <c r="A155" s="744"/>
      <c r="B155" s="745" t="s">
        <v>260</v>
      </c>
      <c r="C155" s="746" t="s">
        <v>241</v>
      </c>
      <c r="D155" s="1187">
        <v>2425475.6</v>
      </c>
      <c r="E155" s="1187">
        <v>2159600.5</v>
      </c>
      <c r="F155" s="1187">
        <v>1715230.7</v>
      </c>
      <c r="G155" s="747">
        <v>1600000</v>
      </c>
      <c r="H155" s="747">
        <f>137178.5+137965+62595+207713+4000+86702.1+292222.8+122030+159990.8+42800</f>
        <v>1253197.2</v>
      </c>
      <c r="I155" s="760">
        <v>0</v>
      </c>
      <c r="J155" s="851">
        <v>2000000</v>
      </c>
      <c r="K155" s="963">
        <v>0</v>
      </c>
      <c r="L155" s="760">
        <v>0</v>
      </c>
      <c r="M155" s="760">
        <v>0</v>
      </c>
      <c r="N155" s="760">
        <v>0</v>
      </c>
      <c r="O155" s="760">
        <v>0</v>
      </c>
      <c r="P155" s="760">
        <v>0</v>
      </c>
      <c r="Q155" s="760">
        <v>0</v>
      </c>
      <c r="R155" s="760">
        <v>0</v>
      </c>
      <c r="S155" s="760">
        <v>0</v>
      </c>
      <c r="T155" s="751"/>
      <c r="U155" s="751"/>
      <c r="V155" s="751">
        <v>1964796.2</v>
      </c>
      <c r="W155" s="751">
        <v>472386.5</v>
      </c>
      <c r="X155" s="747">
        <v>2750000</v>
      </c>
      <c r="Y155" s="747">
        <v>238940</v>
      </c>
      <c r="Z155" s="747">
        <v>652360</v>
      </c>
      <c r="AA155" s="747"/>
      <c r="AB155" s="835" t="e">
        <f t="shared" si="26"/>
        <v>#DIV/0!</v>
      </c>
      <c r="AC155" s="747">
        <v>1442319</v>
      </c>
      <c r="AD155" s="747"/>
      <c r="AE155" s="747">
        <f t="shared" si="29"/>
        <v>2750000</v>
      </c>
      <c r="AF155" s="747">
        <v>1681259</v>
      </c>
      <c r="AG155" s="747"/>
      <c r="AH155" s="747"/>
      <c r="AI155" s="747">
        <f t="shared" si="28"/>
        <v>2750000</v>
      </c>
      <c r="AJ155" s="747">
        <v>2712881.9</v>
      </c>
      <c r="AK155" s="747"/>
      <c r="AL155" s="747">
        <v>735026</v>
      </c>
      <c r="AM155" s="914"/>
      <c r="AN155" s="914"/>
      <c r="AO155" s="914"/>
      <c r="AP155" s="1268"/>
      <c r="AQ155" s="1323"/>
      <c r="AR155" s="1239"/>
      <c r="AS155" s="1318"/>
      <c r="AT155" s="1339"/>
      <c r="AU155" s="745"/>
      <c r="AV155" s="1239">
        <v>3000000</v>
      </c>
    </row>
    <row r="156" spans="1:48" s="871" customFormat="1" ht="24" customHeight="1" x14ac:dyDescent="0.25">
      <c r="A156" s="744"/>
      <c r="B156" s="745" t="s">
        <v>261</v>
      </c>
      <c r="C156" s="746" t="s">
        <v>221</v>
      </c>
      <c r="D156" s="747">
        <v>511004.1</v>
      </c>
      <c r="E156" s="747">
        <v>108200</v>
      </c>
      <c r="F156" s="747">
        <v>18179</v>
      </c>
      <c r="G156" s="747">
        <v>100000</v>
      </c>
      <c r="H156" s="747">
        <v>15812.5</v>
      </c>
      <c r="I156" s="760">
        <v>0</v>
      </c>
      <c r="J156" s="1188">
        <v>150000</v>
      </c>
      <c r="K156" s="818">
        <v>5900</v>
      </c>
      <c r="L156" s="818">
        <v>16818.5</v>
      </c>
      <c r="M156" s="818">
        <v>33394</v>
      </c>
      <c r="N156" s="818">
        <v>27494</v>
      </c>
      <c r="O156" s="818">
        <v>150000</v>
      </c>
      <c r="P156" s="966">
        <f>+[1]รวม!$L$29</f>
        <v>100000</v>
      </c>
      <c r="Q156" s="818">
        <v>33346.5</v>
      </c>
      <c r="R156" s="798">
        <f t="shared" ref="R156:R171" si="30">+Q156/P156*100</f>
        <v>33.346499999999999</v>
      </c>
      <c r="S156" s="818">
        <f>5500+1819</f>
        <v>7319</v>
      </c>
      <c r="T156" s="967">
        <v>30778.5</v>
      </c>
      <c r="U156" s="819">
        <v>5500</v>
      </c>
      <c r="V156" s="819">
        <v>8068</v>
      </c>
      <c r="W156" s="819"/>
      <c r="X156" s="966">
        <v>100000</v>
      </c>
      <c r="Y156" s="818">
        <v>31800</v>
      </c>
      <c r="Z156" s="849">
        <v>0</v>
      </c>
      <c r="AA156" s="966"/>
      <c r="AB156" s="835">
        <f t="shared" si="26"/>
        <v>199.88154678901833</v>
      </c>
      <c r="AC156" s="849">
        <v>13795.45</v>
      </c>
      <c r="AD156" s="966"/>
      <c r="AE156" s="818">
        <f t="shared" si="29"/>
        <v>100000</v>
      </c>
      <c r="AF156" s="818">
        <v>45595.45</v>
      </c>
      <c r="AG156" s="818"/>
      <c r="AH156" s="818"/>
      <c r="AI156" s="747">
        <f t="shared" si="28"/>
        <v>100000</v>
      </c>
      <c r="AJ156" s="747">
        <v>45595.45</v>
      </c>
      <c r="AK156" s="747"/>
      <c r="AL156" s="760">
        <v>0</v>
      </c>
      <c r="AM156" s="757"/>
      <c r="AN156" s="757"/>
      <c r="AO156" s="914"/>
      <c r="AP156" s="914"/>
      <c r="AQ156" s="1313"/>
      <c r="AR156" s="917"/>
      <c r="AS156" s="1340"/>
      <c r="AT156" s="1340"/>
      <c r="AU156" s="1215"/>
      <c r="AV156" s="917">
        <v>100000</v>
      </c>
    </row>
    <row r="157" spans="1:48" s="969" customFormat="1" ht="24" customHeight="1" x14ac:dyDescent="0.25">
      <c r="A157" s="744"/>
      <c r="B157" s="745" t="s">
        <v>262</v>
      </c>
      <c r="C157" s="746" t="s">
        <v>221</v>
      </c>
      <c r="D157" s="747">
        <v>60956.41</v>
      </c>
      <c r="E157" s="747">
        <v>95486.98</v>
      </c>
      <c r="F157" s="747">
        <v>110708.94</v>
      </c>
      <c r="G157" s="747">
        <v>0</v>
      </c>
      <c r="H157" s="747">
        <v>74795.570000000007</v>
      </c>
      <c r="I157" s="760">
        <v>0</v>
      </c>
      <c r="J157" s="968">
        <v>0</v>
      </c>
      <c r="K157" s="818">
        <v>32616.560000000001</v>
      </c>
      <c r="L157" s="818">
        <v>92940.4</v>
      </c>
      <c r="M157" s="818">
        <v>0</v>
      </c>
      <c r="N157" s="818">
        <v>0</v>
      </c>
      <c r="O157" s="818"/>
      <c r="P157" s="966">
        <v>120000</v>
      </c>
      <c r="Q157" s="818">
        <v>81491.399999999994</v>
      </c>
      <c r="R157" s="798">
        <f t="shared" si="30"/>
        <v>67.909499999999994</v>
      </c>
      <c r="S157" s="818">
        <v>90119</v>
      </c>
      <c r="T157" s="967">
        <v>59106.400000000001</v>
      </c>
      <c r="U157" s="967">
        <v>70428</v>
      </c>
      <c r="V157" s="967">
        <v>19454</v>
      </c>
      <c r="W157" s="819"/>
      <c r="X157" s="966">
        <v>120000</v>
      </c>
      <c r="Y157" s="818">
        <v>65144</v>
      </c>
      <c r="Z157" s="818">
        <v>24975</v>
      </c>
      <c r="AA157" s="818"/>
      <c r="AB157" s="835">
        <f t="shared" si="26"/>
        <v>47.254802347241558</v>
      </c>
      <c r="AC157" s="818">
        <v>45519</v>
      </c>
      <c r="AD157" s="818"/>
      <c r="AE157" s="818">
        <f t="shared" si="29"/>
        <v>120000</v>
      </c>
      <c r="AF157" s="818">
        <v>74343</v>
      </c>
      <c r="AG157" s="818"/>
      <c r="AH157" s="818">
        <v>148510</v>
      </c>
      <c r="AI157" s="747">
        <f>+AE157</f>
        <v>120000</v>
      </c>
      <c r="AJ157" s="747">
        <v>204882.35</v>
      </c>
      <c r="AK157" s="747"/>
      <c r="AL157" s="747">
        <v>83302.8</v>
      </c>
      <c r="AM157" s="914"/>
      <c r="AN157" s="914"/>
      <c r="AO157" s="914"/>
      <c r="AP157" s="1270"/>
      <c r="AQ157" s="1289"/>
      <c r="AR157" s="1255"/>
      <c r="AS157" s="1285"/>
      <c r="AT157" s="1341"/>
      <c r="AU157" s="1215"/>
      <c r="AV157" s="1335">
        <v>200000</v>
      </c>
    </row>
    <row r="158" spans="1:48" ht="24" customHeight="1" x14ac:dyDescent="0.25">
      <c r="A158" s="918"/>
      <c r="B158" s="762" t="s">
        <v>263</v>
      </c>
      <c r="C158" s="763" t="s">
        <v>221</v>
      </c>
      <c r="D158" s="764">
        <v>938745.42</v>
      </c>
      <c r="E158" s="764">
        <v>1384990.19</v>
      </c>
      <c r="F158" s="764">
        <v>732966</v>
      </c>
      <c r="G158" s="764">
        <v>100000</v>
      </c>
      <c r="H158" s="764">
        <v>1612666.75</v>
      </c>
      <c r="I158" s="764">
        <v>17399.3</v>
      </c>
      <c r="J158" s="970">
        <v>6980000</v>
      </c>
      <c r="K158" s="767">
        <v>631357.15</v>
      </c>
      <c r="L158" s="767">
        <v>526685</v>
      </c>
      <c r="M158" s="767">
        <v>1208658</v>
      </c>
      <c r="N158" s="767">
        <v>458315</v>
      </c>
      <c r="O158" s="767">
        <v>3000000</v>
      </c>
      <c r="P158" s="767">
        <f>+[1]รวม!$L$30</f>
        <v>2000000</v>
      </c>
      <c r="Q158" s="767">
        <v>2012415</v>
      </c>
      <c r="R158" s="921">
        <f t="shared" si="30"/>
        <v>100.62074999999999</v>
      </c>
      <c r="S158" s="764">
        <v>174863</v>
      </c>
      <c r="T158" s="971">
        <v>1822995</v>
      </c>
      <c r="U158" s="971">
        <v>278842</v>
      </c>
      <c r="V158" s="971">
        <v>212993</v>
      </c>
      <c r="W158" s="971"/>
      <c r="X158" s="767">
        <v>3960000</v>
      </c>
      <c r="Y158" s="764">
        <v>193940</v>
      </c>
      <c r="Z158" s="972">
        <v>114473</v>
      </c>
      <c r="AA158" s="972"/>
      <c r="AB158" s="902">
        <f t="shared" si="26"/>
        <v>96.778497476912079</v>
      </c>
      <c r="AC158" s="972">
        <v>231253</v>
      </c>
      <c r="AD158" s="972"/>
      <c r="AE158" s="972">
        <v>4000000</v>
      </c>
      <c r="AF158" s="972">
        <v>360743</v>
      </c>
      <c r="AG158" s="972"/>
      <c r="AH158" s="972">
        <v>374580</v>
      </c>
      <c r="AI158" s="747">
        <f t="shared" si="28"/>
        <v>4000000</v>
      </c>
      <c r="AJ158" s="796">
        <v>1421577</v>
      </c>
      <c r="AK158" s="796"/>
      <c r="AL158" s="796">
        <v>65050</v>
      </c>
      <c r="AM158" s="919"/>
      <c r="AN158" s="919"/>
      <c r="AO158" s="919"/>
      <c r="AP158" s="1270"/>
      <c r="AQ158" s="1289"/>
      <c r="AR158" s="1255"/>
      <c r="AS158" s="1285"/>
      <c r="AT158" s="1341"/>
      <c r="AU158" s="1252"/>
      <c r="AV158" s="1335">
        <v>2000000</v>
      </c>
    </row>
    <row r="159" spans="1:48" s="723" customFormat="1" ht="24" customHeight="1" x14ac:dyDescent="0.25">
      <c r="A159" s="716" t="s">
        <v>264</v>
      </c>
      <c r="B159" s="724" t="s">
        <v>4</v>
      </c>
      <c r="C159" s="725"/>
      <c r="D159" s="717">
        <f>SUM(D160:D174)</f>
        <v>52923244.689999998</v>
      </c>
      <c r="E159" s="717">
        <f>SUM(E160:E174)</f>
        <v>43393687.409999996</v>
      </c>
      <c r="F159" s="717">
        <f>SUM(F160:F174)</f>
        <v>31693585.300000001</v>
      </c>
      <c r="G159" s="973">
        <v>46970000</v>
      </c>
      <c r="H159" s="717">
        <f>SUM(H160:H174)</f>
        <v>50941596.510000005</v>
      </c>
      <c r="I159" s="717">
        <f>SUM(I160:I174)</f>
        <v>4694662.8599999994</v>
      </c>
      <c r="J159" s="974">
        <v>87108535.609999999</v>
      </c>
      <c r="K159" s="975">
        <f>K160+K161+K162+K166+K167+K168+K169+K170+K171+K172+K174</f>
        <v>62031461.739999995</v>
      </c>
      <c r="L159" s="975">
        <f>+L160+L161+L162+L167+L169+L172</f>
        <v>10000479.98</v>
      </c>
      <c r="M159" s="975">
        <f>SUM(M160:M174)</f>
        <v>0</v>
      </c>
      <c r="N159" s="975">
        <f>SUM(N160:N174)</f>
        <v>0</v>
      </c>
      <c r="O159" s="975"/>
      <c r="P159" s="975">
        <f>+P160+P161+P162+P166+P167+P168+P169+P170+P171+P172+P174+P175</f>
        <v>128176698.95</v>
      </c>
      <c r="Q159" s="975">
        <f>SUM(Q160:Q174)</f>
        <v>89194195.700000003</v>
      </c>
      <c r="R159" s="921">
        <f t="shared" si="30"/>
        <v>69.586903415880172</v>
      </c>
      <c r="S159" s="975">
        <f>SUM(S160:S174)</f>
        <v>21313225.16</v>
      </c>
      <c r="T159" s="976" t="e">
        <f>SUM(T160:T174)</f>
        <v>#REF!</v>
      </c>
      <c r="U159" s="976">
        <f>SUM(U160:U174)</f>
        <v>3315437.9</v>
      </c>
      <c r="V159" s="977"/>
      <c r="W159" s="977"/>
      <c r="X159" s="975">
        <f>SUM(X160:X175)-X162</f>
        <v>97879111</v>
      </c>
      <c r="Y159" s="975">
        <f>SUM(Y160:Y174)</f>
        <v>32341024.260000002</v>
      </c>
      <c r="Z159" s="978">
        <f>SUM(Z160:Z175)</f>
        <v>5563073.5999999996</v>
      </c>
      <c r="AA159" s="978">
        <f>+Z159/X159*100</f>
        <v>5.683616803589481</v>
      </c>
      <c r="AB159" s="720">
        <f t="shared" si="26"/>
        <v>9.73708572832615</v>
      </c>
      <c r="AC159" s="978">
        <f>SUM(AC160:AC175)</f>
        <v>39114995.789999999</v>
      </c>
      <c r="AD159" s="719">
        <f>+AC159/X159*100</f>
        <v>39.962557271285391</v>
      </c>
      <c r="AE159" s="719" t="e">
        <f>+AE160+AE161+AE162+AE166+AE167+AE168+AE169+AE170+AE171+AE172+AE173+AE174+AE175</f>
        <v>#REF!</v>
      </c>
      <c r="AF159" s="719">
        <f>SUM(AF160:AF175)</f>
        <v>44725394.780000001</v>
      </c>
      <c r="AG159" s="719" t="e">
        <f>+AF159/AE159*100</f>
        <v>#REF!</v>
      </c>
      <c r="AH159" s="719"/>
      <c r="AI159" s="721" t="e">
        <f>SUM(AI160:AI175)-AI163-AI164</f>
        <v>#REF!</v>
      </c>
      <c r="AJ159" s="721">
        <f>SUM(AJ160:AJ175)</f>
        <v>113603678.73</v>
      </c>
      <c r="AK159" s="721" t="e">
        <f>+AJ159/AI159*100</f>
        <v>#REF!</v>
      </c>
      <c r="AL159" s="721">
        <f>SUM(AL160:AL175)</f>
        <v>13449450.789999999</v>
      </c>
      <c r="AM159" s="721"/>
      <c r="AN159" s="721"/>
      <c r="AO159" s="719"/>
      <c r="AP159" s="721"/>
      <c r="AQ159" s="1299"/>
      <c r="AR159" s="721"/>
      <c r="AS159" s="1299"/>
      <c r="AT159" s="1355"/>
      <c r="AU159" s="979"/>
    </row>
    <row r="160" spans="1:48" ht="24.6" x14ac:dyDescent="0.25">
      <c r="A160" s="980"/>
      <c r="B160" s="733" t="s">
        <v>114</v>
      </c>
      <c r="C160" s="734"/>
      <c r="D160" s="737">
        <v>8160271.29</v>
      </c>
      <c r="E160" s="737">
        <v>766372.56</v>
      </c>
      <c r="F160" s="1231">
        <v>425407.85</v>
      </c>
      <c r="G160" s="1231">
        <v>500000</v>
      </c>
      <c r="H160" s="1231">
        <v>230874.06</v>
      </c>
      <c r="I160" s="737">
        <v>24556.5</v>
      </c>
      <c r="J160" s="1232">
        <v>1525000</v>
      </c>
      <c r="K160" s="1231">
        <v>212436.5</v>
      </c>
      <c r="L160" s="981">
        <v>153000</v>
      </c>
      <c r="M160" s="1231"/>
      <c r="N160" s="1231"/>
      <c r="O160" s="1231"/>
      <c r="P160" s="1231">
        <v>700000</v>
      </c>
      <c r="Q160" s="1231">
        <v>933335</v>
      </c>
      <c r="R160" s="865">
        <f t="shared" si="30"/>
        <v>133.33357142857142</v>
      </c>
      <c r="S160" s="1231">
        <v>1700000</v>
      </c>
      <c r="T160" s="1233">
        <v>504285</v>
      </c>
      <c r="U160" s="1233">
        <v>26300</v>
      </c>
      <c r="V160" s="1233"/>
      <c r="W160" s="1233"/>
      <c r="X160" s="1231">
        <f>2000000+'ครุภัณฑ์ แผน 68'!E111</f>
        <v>2720000</v>
      </c>
      <c r="Y160" s="1231">
        <v>79260</v>
      </c>
      <c r="Z160" s="1231">
        <v>2613775</v>
      </c>
      <c r="AA160" s="1231"/>
      <c r="AB160" s="894">
        <f t="shared" si="26"/>
        <v>191.42805102133747</v>
      </c>
      <c r="AC160" s="1231">
        <v>2613775</v>
      </c>
      <c r="AD160" s="1231"/>
      <c r="AE160" s="1231">
        <v>3000000</v>
      </c>
      <c r="AF160" s="1231">
        <v>2613775</v>
      </c>
      <c r="AG160" s="1231"/>
      <c r="AH160" s="1231">
        <v>725280</v>
      </c>
      <c r="AI160" s="1231">
        <f>+AE160</f>
        <v>3000000</v>
      </c>
      <c r="AJ160" s="1231">
        <v>4771500</v>
      </c>
      <c r="AK160" s="1231"/>
      <c r="AL160" s="1231">
        <v>170460</v>
      </c>
      <c r="AM160" s="1231"/>
      <c r="AN160" s="1231"/>
      <c r="AO160" s="1231"/>
      <c r="AP160" s="1281"/>
      <c r="AQ160" s="1336"/>
      <c r="AR160" s="1282"/>
      <c r="AS160" s="1336"/>
      <c r="AT160" s="1304"/>
      <c r="AU160" s="1231"/>
      <c r="AV160" s="840" t="s">
        <v>1127</v>
      </c>
    </row>
    <row r="161" spans="1:48" ht="24.6" x14ac:dyDescent="0.25">
      <c r="A161" s="744"/>
      <c r="B161" s="745" t="s">
        <v>115</v>
      </c>
      <c r="C161" s="746"/>
      <c r="D161" s="747">
        <v>6321544.5</v>
      </c>
      <c r="E161" s="747">
        <v>6068588.4299999997</v>
      </c>
      <c r="F161" s="982">
        <v>3816844.03</v>
      </c>
      <c r="G161" s="982">
        <v>2500000</v>
      </c>
      <c r="H161" s="982">
        <v>2819716.45</v>
      </c>
      <c r="I161" s="747">
        <v>643160</v>
      </c>
      <c r="J161" s="983">
        <v>2595000</v>
      </c>
      <c r="K161" s="982">
        <v>3301651.78</v>
      </c>
      <c r="L161" s="982">
        <v>740527</v>
      </c>
      <c r="M161" s="982"/>
      <c r="N161" s="982"/>
      <c r="O161" s="982"/>
      <c r="P161" s="982">
        <v>4000000</v>
      </c>
      <c r="Q161" s="982">
        <v>5238525.66</v>
      </c>
      <c r="R161" s="798">
        <f t="shared" si="30"/>
        <v>130.96314150000001</v>
      </c>
      <c r="S161" s="982">
        <v>1056394.76</v>
      </c>
      <c r="T161" s="984">
        <v>2353974.96</v>
      </c>
      <c r="U161" s="984">
        <v>886727</v>
      </c>
      <c r="V161" s="984"/>
      <c r="W161" s="984"/>
      <c r="X161" s="982">
        <v>5000000</v>
      </c>
      <c r="Y161" s="982">
        <v>405728.76</v>
      </c>
      <c r="Z161" s="982">
        <v>300497</v>
      </c>
      <c r="AA161" s="982"/>
      <c r="AB161" s="835">
        <f t="shared" si="26"/>
        <v>-4.5532975398272679</v>
      </c>
      <c r="AC161" s="982">
        <v>2059103</v>
      </c>
      <c r="AD161" s="982"/>
      <c r="AE161" s="982">
        <f>+X161</f>
        <v>5000000</v>
      </c>
      <c r="AF161" s="982">
        <v>2319583</v>
      </c>
      <c r="AG161" s="982"/>
      <c r="AH161" s="982">
        <v>655653.76</v>
      </c>
      <c r="AI161" s="982">
        <f>+AE161</f>
        <v>5000000</v>
      </c>
      <c r="AJ161" s="982">
        <v>3586851.76</v>
      </c>
      <c r="AK161" s="982"/>
      <c r="AL161" s="982">
        <v>839982.6</v>
      </c>
      <c r="AM161" s="982"/>
      <c r="AN161" s="982"/>
      <c r="AO161" s="982"/>
      <c r="AP161" s="1296"/>
      <c r="AQ161" s="1316"/>
      <c r="AR161" s="1297"/>
      <c r="AS161" s="1316"/>
      <c r="AT161" s="1300"/>
      <c r="AU161" s="982"/>
      <c r="AV161" s="840" t="s">
        <v>1114</v>
      </c>
    </row>
    <row r="162" spans="1:48" ht="24.6" x14ac:dyDescent="0.25">
      <c r="A162" s="744"/>
      <c r="B162" s="745" t="s">
        <v>265</v>
      </c>
      <c r="C162" s="746"/>
      <c r="D162" s="747">
        <v>31925367.100000001</v>
      </c>
      <c r="E162" s="747">
        <v>30343832.100000001</v>
      </c>
      <c r="F162" s="982">
        <v>24547266.109999999</v>
      </c>
      <c r="G162" s="982">
        <v>9900000</v>
      </c>
      <c r="H162" s="982">
        <v>20462901.199999999</v>
      </c>
      <c r="I162" s="747">
        <v>2043850</v>
      </c>
      <c r="J162" s="985">
        <v>50648247.200000003</v>
      </c>
      <c r="K162" s="986">
        <v>37229185</v>
      </c>
      <c r="L162" s="986">
        <v>7571375</v>
      </c>
      <c r="M162" s="986"/>
      <c r="N162" s="986"/>
      <c r="O162" s="986"/>
      <c r="P162" s="986">
        <v>109523408.95</v>
      </c>
      <c r="Q162" s="986">
        <v>71583440</v>
      </c>
      <c r="R162" s="798">
        <f t="shared" si="30"/>
        <v>65.359032088454725</v>
      </c>
      <c r="S162" s="982">
        <v>16811415</v>
      </c>
      <c r="T162" s="987">
        <v>33501089</v>
      </c>
      <c r="U162" s="987">
        <v>1627460</v>
      </c>
      <c r="V162" s="987"/>
      <c r="W162" s="987"/>
      <c r="X162" s="986">
        <f>+X163+X165</f>
        <v>42622611</v>
      </c>
      <c r="Y162" s="982"/>
      <c r="Z162" s="982"/>
      <c r="AA162" s="982"/>
      <c r="AB162" s="982"/>
      <c r="AC162" s="982"/>
      <c r="AD162" s="986"/>
      <c r="AE162" s="986">
        <f>+AE163+AE164+AE165</f>
        <v>89977600.629999995</v>
      </c>
      <c r="AF162" s="986">
        <v>28221553.5</v>
      </c>
      <c r="AG162" s="986"/>
      <c r="AH162" s="986">
        <v>68175927</v>
      </c>
      <c r="AI162" s="986">
        <f>SUM(AI163:AI164)</f>
        <v>38637518.129999995</v>
      </c>
      <c r="AJ162" s="986"/>
      <c r="AK162" s="986"/>
      <c r="AL162" s="986">
        <v>10813698</v>
      </c>
      <c r="AM162" s="986"/>
      <c r="AN162" s="986"/>
      <c r="AO162" s="986"/>
      <c r="AP162" s="1296"/>
      <c r="AQ162" s="1454"/>
      <c r="AR162" s="1297"/>
      <c r="AS162" s="1316"/>
      <c r="AT162" s="1300"/>
      <c r="AU162" s="745" t="s">
        <v>1179</v>
      </c>
      <c r="AV162" s="986"/>
    </row>
    <row r="163" spans="1:48" x14ac:dyDescent="0.25">
      <c r="A163" s="744"/>
      <c r="B163" s="745" t="s">
        <v>468</v>
      </c>
      <c r="C163" s="746"/>
      <c r="D163" s="747"/>
      <c r="E163" s="747"/>
      <c r="F163" s="982">
        <v>0</v>
      </c>
      <c r="G163" s="982">
        <v>0</v>
      </c>
      <c r="H163" s="982">
        <v>0</v>
      </c>
      <c r="I163" s="982">
        <v>0</v>
      </c>
      <c r="J163" s="982">
        <v>0</v>
      </c>
      <c r="K163" s="982">
        <v>0</v>
      </c>
      <c r="L163" s="982">
        <v>0</v>
      </c>
      <c r="M163" s="982">
        <v>0</v>
      </c>
      <c r="N163" s="982">
        <v>0</v>
      </c>
      <c r="O163" s="982">
        <v>0</v>
      </c>
      <c r="P163" s="982">
        <v>0</v>
      </c>
      <c r="Q163" s="982">
        <v>0</v>
      </c>
      <c r="R163" s="982">
        <v>0</v>
      </c>
      <c r="S163" s="982">
        <v>0</v>
      </c>
      <c r="T163" s="987"/>
      <c r="U163" s="987"/>
      <c r="V163" s="987"/>
      <c r="W163" s="987"/>
      <c r="X163" s="982">
        <v>25582611</v>
      </c>
      <c r="Y163" s="982">
        <v>29453753</v>
      </c>
      <c r="Z163" s="988"/>
      <c r="AA163" s="988"/>
      <c r="AB163" s="835" t="e">
        <f t="shared" si="26"/>
        <v>#DIV/0!</v>
      </c>
      <c r="AC163" s="989">
        <v>24869753.5</v>
      </c>
      <c r="AD163" s="988"/>
      <c r="AE163" s="990">
        <f>+'ครุภัณฑ์ แผน 68'!E108+AC163</f>
        <v>69947000.629999995</v>
      </c>
      <c r="AF163" s="990"/>
      <c r="AG163" s="990"/>
      <c r="AH163" s="990"/>
      <c r="AI163" s="990">
        <f>+รายการครุภัณฑ์ปรับ!E87</f>
        <v>38637518.129999995</v>
      </c>
      <c r="AJ163" s="990">
        <v>73878863.5</v>
      </c>
      <c r="AK163" s="990"/>
      <c r="AL163" s="990"/>
      <c r="AM163" s="990"/>
      <c r="AN163" s="1345"/>
      <c r="AO163" s="990"/>
      <c r="AP163" s="990"/>
      <c r="AQ163" s="1346"/>
      <c r="AR163" s="990"/>
      <c r="AS163" s="1346"/>
      <c r="AT163" s="990"/>
      <c r="AU163" s="988"/>
      <c r="AV163" s="840" t="s">
        <v>1106</v>
      </c>
    </row>
    <row r="164" spans="1:48" hidden="1" x14ac:dyDescent="0.25">
      <c r="A164" s="744"/>
      <c r="B164" s="745" t="s">
        <v>267</v>
      </c>
      <c r="C164" s="746"/>
      <c r="D164" s="747"/>
      <c r="E164" s="747"/>
      <c r="F164" s="982">
        <v>0</v>
      </c>
      <c r="G164" s="982">
        <v>0</v>
      </c>
      <c r="H164" s="982">
        <v>0</v>
      </c>
      <c r="I164" s="982">
        <v>0</v>
      </c>
      <c r="J164" s="982">
        <v>0</v>
      </c>
      <c r="K164" s="982">
        <v>0</v>
      </c>
      <c r="L164" s="982">
        <v>0</v>
      </c>
      <c r="M164" s="982">
        <v>0</v>
      </c>
      <c r="N164" s="982">
        <v>0</v>
      </c>
      <c r="O164" s="982">
        <v>0</v>
      </c>
      <c r="P164" s="982">
        <v>0</v>
      </c>
      <c r="Q164" s="982">
        <v>0</v>
      </c>
      <c r="R164" s="982">
        <v>0</v>
      </c>
      <c r="S164" s="982">
        <v>0</v>
      </c>
      <c r="T164" s="987"/>
      <c r="U164" s="987"/>
      <c r="V164" s="987"/>
      <c r="W164" s="987"/>
      <c r="X164" s="982">
        <v>0</v>
      </c>
      <c r="Y164" s="982">
        <v>0</v>
      </c>
      <c r="Z164" s="982">
        <v>0</v>
      </c>
      <c r="AA164" s="982">
        <v>0</v>
      </c>
      <c r="AB164" s="982">
        <v>0</v>
      </c>
      <c r="AC164" s="982">
        <v>0</v>
      </c>
      <c r="AD164" s="986"/>
      <c r="AE164" s="982">
        <v>0</v>
      </c>
      <c r="AF164" s="982"/>
      <c r="AG164" s="982"/>
      <c r="AH164" s="982"/>
      <c r="AI164" s="982">
        <v>0</v>
      </c>
      <c r="AJ164" s="982"/>
      <c r="AK164" s="982"/>
      <c r="AL164" s="982"/>
      <c r="AM164" s="982"/>
      <c r="AN164" s="1347"/>
      <c r="AO164" s="982"/>
      <c r="AP164" s="982"/>
      <c r="AQ164" s="1348"/>
      <c r="AR164" s="982"/>
      <c r="AS164" s="1348"/>
      <c r="AT164" s="982"/>
      <c r="AU164" s="986"/>
      <c r="AV164" s="840"/>
    </row>
    <row r="165" spans="1:48" x14ac:dyDescent="0.25">
      <c r="A165" s="744"/>
      <c r="B165" s="745" t="s">
        <v>469</v>
      </c>
      <c r="C165" s="746"/>
      <c r="D165" s="747"/>
      <c r="E165" s="747"/>
      <c r="F165" s="982">
        <v>0</v>
      </c>
      <c r="G165" s="982">
        <v>0</v>
      </c>
      <c r="H165" s="982">
        <v>0</v>
      </c>
      <c r="I165" s="982">
        <v>0</v>
      </c>
      <c r="J165" s="982">
        <v>0</v>
      </c>
      <c r="K165" s="982">
        <v>0</v>
      </c>
      <c r="L165" s="982">
        <v>0</v>
      </c>
      <c r="M165" s="982">
        <v>0</v>
      </c>
      <c r="N165" s="982">
        <v>0</v>
      </c>
      <c r="O165" s="982">
        <v>0</v>
      </c>
      <c r="P165" s="982">
        <v>0</v>
      </c>
      <c r="Q165" s="982">
        <v>0</v>
      </c>
      <c r="R165" s="982">
        <v>0</v>
      </c>
      <c r="S165" s="982">
        <v>0</v>
      </c>
      <c r="T165" s="987"/>
      <c r="U165" s="987"/>
      <c r="V165" s="987"/>
      <c r="W165" s="987"/>
      <c r="X165" s="982">
        <v>17040000</v>
      </c>
      <c r="Y165" s="982">
        <v>0</v>
      </c>
      <c r="Z165" s="982">
        <v>0</v>
      </c>
      <c r="AA165" s="982">
        <v>0</v>
      </c>
      <c r="AB165" s="982">
        <v>0</v>
      </c>
      <c r="AC165" s="982">
        <v>0</v>
      </c>
      <c r="AD165" s="986"/>
      <c r="AE165" s="982">
        <f>+'ครุภัณฑ์ แผน 68'!E442</f>
        <v>20030600</v>
      </c>
      <c r="AF165" s="982"/>
      <c r="AG165" s="982"/>
      <c r="AH165" s="982"/>
      <c r="AI165" s="982">
        <f>+รายการครุภัณฑ์ปรับ!E267</f>
        <v>20030600</v>
      </c>
      <c r="AJ165" s="982"/>
      <c r="AK165" s="982"/>
      <c r="AL165" s="982"/>
      <c r="AM165" s="982"/>
      <c r="AN165" s="1347"/>
      <c r="AO165" s="982"/>
      <c r="AP165" s="982"/>
      <c r="AQ165" s="1348"/>
      <c r="AR165" s="982"/>
      <c r="AS165" s="1348"/>
      <c r="AT165" s="982"/>
      <c r="AU165" s="986"/>
      <c r="AV165" s="840"/>
    </row>
    <row r="166" spans="1:48" x14ac:dyDescent="0.25">
      <c r="A166" s="744"/>
      <c r="B166" s="745" t="s">
        <v>117</v>
      </c>
      <c r="C166" s="746"/>
      <c r="D166" s="747">
        <v>658462.36</v>
      </c>
      <c r="E166" s="747">
        <v>812500</v>
      </c>
      <c r="F166" s="982">
        <v>0</v>
      </c>
      <c r="G166" s="818">
        <v>300000</v>
      </c>
      <c r="H166" s="982">
        <v>178945</v>
      </c>
      <c r="I166" s="982">
        <v>0</v>
      </c>
      <c r="J166" s="982">
        <v>0</v>
      </c>
      <c r="K166" s="982">
        <v>0</v>
      </c>
      <c r="L166" s="982">
        <v>0</v>
      </c>
      <c r="M166" s="818"/>
      <c r="N166" s="818"/>
      <c r="O166" s="818"/>
      <c r="P166" s="818">
        <v>50000</v>
      </c>
      <c r="Q166" s="818">
        <v>3748980</v>
      </c>
      <c r="R166" s="798">
        <f t="shared" si="30"/>
        <v>7497.9600000000009</v>
      </c>
      <c r="S166" s="849">
        <v>0</v>
      </c>
      <c r="T166" s="916"/>
      <c r="U166" s="916"/>
      <c r="V166" s="916"/>
      <c r="W166" s="916"/>
      <c r="X166" s="818">
        <v>100000</v>
      </c>
      <c r="Y166" s="991">
        <v>0</v>
      </c>
      <c r="Z166" s="992">
        <v>0</v>
      </c>
      <c r="AA166" s="745"/>
      <c r="AB166" s="835">
        <f t="shared" si="26"/>
        <v>-97.332607802655659</v>
      </c>
      <c r="AC166" s="992">
        <v>0</v>
      </c>
      <c r="AD166" s="745"/>
      <c r="AE166" s="993">
        <f>+X166</f>
        <v>100000</v>
      </c>
      <c r="AF166" s="962">
        <v>0</v>
      </c>
      <c r="AG166" s="962"/>
      <c r="AH166" s="962"/>
      <c r="AI166" s="962">
        <f>+AE166</f>
        <v>100000</v>
      </c>
      <c r="AJ166" s="962">
        <v>22470</v>
      </c>
      <c r="AK166" s="962"/>
      <c r="AL166" s="962"/>
      <c r="AM166" s="962"/>
      <c r="AN166" s="962"/>
      <c r="AO166" s="962"/>
      <c r="AP166" s="962"/>
      <c r="AQ166" s="1349"/>
      <c r="AR166" s="962"/>
      <c r="AS166" s="1349"/>
      <c r="AT166" s="962"/>
      <c r="AU166" s="745"/>
      <c r="AV166" s="840"/>
    </row>
    <row r="167" spans="1:48" ht="21.75" customHeight="1" x14ac:dyDescent="0.25">
      <c r="A167" s="744"/>
      <c r="B167" s="745" t="s">
        <v>116</v>
      </c>
      <c r="C167" s="746"/>
      <c r="D167" s="747">
        <v>5600630</v>
      </c>
      <c r="E167" s="747">
        <v>4863794.5199999996</v>
      </c>
      <c r="F167" s="982">
        <v>2605754.5</v>
      </c>
      <c r="G167" s="982">
        <v>4647059.7699999996</v>
      </c>
      <c r="H167" s="982">
        <v>6929805</v>
      </c>
      <c r="I167" s="747">
        <v>152650</v>
      </c>
      <c r="J167" s="983">
        <v>8930000</v>
      </c>
      <c r="K167" s="982">
        <v>1912290</v>
      </c>
      <c r="L167" s="982">
        <v>745003</v>
      </c>
      <c r="M167" s="982"/>
      <c r="N167" s="982"/>
      <c r="O167" s="982"/>
      <c r="P167" s="982">
        <v>9000000</v>
      </c>
      <c r="Q167" s="982">
        <v>4065913</v>
      </c>
      <c r="R167" s="798">
        <f t="shared" si="30"/>
        <v>45.176811111111107</v>
      </c>
      <c r="S167" s="982">
        <v>487318</v>
      </c>
      <c r="T167" s="984">
        <v>2681175</v>
      </c>
      <c r="U167" s="984">
        <v>156710</v>
      </c>
      <c r="V167" s="984"/>
      <c r="W167" s="984"/>
      <c r="X167" s="859">
        <v>21426500</v>
      </c>
      <c r="Y167" s="982">
        <v>1233693</v>
      </c>
      <c r="Z167" s="982">
        <v>1026660</v>
      </c>
      <c r="AA167" s="982"/>
      <c r="AB167" s="835">
        <f t="shared" si="26"/>
        <v>426.97881140103095</v>
      </c>
      <c r="AC167" s="818">
        <v>3913445</v>
      </c>
      <c r="AD167" s="982"/>
      <c r="AE167" s="982">
        <f>+'ครุภัณฑ์ แผน 68'!E316</f>
        <v>31463271.050000001</v>
      </c>
      <c r="AF167" s="982">
        <v>5012318</v>
      </c>
      <c r="AG167" s="982"/>
      <c r="AH167" s="982">
        <v>992879.99</v>
      </c>
      <c r="AI167" s="982">
        <f>+รายการครุภัณฑ์ปรับ!E254</f>
        <v>18561271.050000001</v>
      </c>
      <c r="AJ167" s="982">
        <v>6609925.2000000002</v>
      </c>
      <c r="AK167" s="982"/>
      <c r="AL167" s="982">
        <v>727338.99</v>
      </c>
      <c r="AM167" s="982"/>
      <c r="AN167" s="982"/>
      <c r="AO167" s="982"/>
      <c r="AP167" s="982"/>
      <c r="AQ167" s="1348"/>
      <c r="AR167" s="982"/>
      <c r="AS167" s="1348"/>
      <c r="AT167" s="982"/>
      <c r="AU167" s="1453"/>
      <c r="AV167" s="840" t="s">
        <v>1115</v>
      </c>
    </row>
    <row r="168" spans="1:48" ht="23.25" customHeight="1" x14ac:dyDescent="0.25">
      <c r="A168" s="744"/>
      <c r="B168" s="745" t="s">
        <v>1104</v>
      </c>
      <c r="C168" s="746"/>
      <c r="D168" s="747">
        <v>0</v>
      </c>
      <c r="E168" s="747">
        <v>145000</v>
      </c>
      <c r="F168" s="982">
        <v>27285</v>
      </c>
      <c r="G168" s="818">
        <v>1570000</v>
      </c>
      <c r="H168" s="760">
        <v>0</v>
      </c>
      <c r="I168" s="760">
        <v>0</v>
      </c>
      <c r="J168" s="748">
        <v>1630000</v>
      </c>
      <c r="K168" s="747">
        <v>1625800</v>
      </c>
      <c r="L168" s="760">
        <v>0</v>
      </c>
      <c r="M168" s="747">
        <v>0</v>
      </c>
      <c r="N168" s="747"/>
      <c r="O168" s="747"/>
      <c r="P168" s="995">
        <v>0</v>
      </c>
      <c r="Q168" s="996">
        <v>1837580</v>
      </c>
      <c r="R168" s="995"/>
      <c r="S168" s="995">
        <v>0</v>
      </c>
      <c r="T168" s="997"/>
      <c r="U168" s="997"/>
      <c r="V168" s="997"/>
      <c r="W168" s="997"/>
      <c r="X168" s="747">
        <v>2500000</v>
      </c>
      <c r="Y168" s="995">
        <v>0</v>
      </c>
      <c r="Z168" s="992">
        <v>0</v>
      </c>
      <c r="AA168" s="745"/>
      <c r="AB168" s="835">
        <f t="shared" si="26"/>
        <v>36.048498568769794</v>
      </c>
      <c r="AC168" s="859">
        <v>3640000</v>
      </c>
      <c r="AD168" s="745"/>
      <c r="AE168" s="993">
        <f>+AC168+X168</f>
        <v>6140000</v>
      </c>
      <c r="AF168" s="993">
        <v>3640000</v>
      </c>
      <c r="AG168" s="993"/>
      <c r="AH168" s="993"/>
      <c r="AI168" s="993">
        <f>+AE168</f>
        <v>6140000</v>
      </c>
      <c r="AJ168" s="993">
        <v>3640000</v>
      </c>
      <c r="AK168" s="993"/>
      <c r="AL168" s="993"/>
      <c r="AM168" s="993"/>
      <c r="AN168" s="992"/>
      <c r="AO168" s="993"/>
      <c r="AP168" s="993"/>
      <c r="AQ168" s="1350"/>
      <c r="AR168" s="993"/>
      <c r="AS168" s="1350"/>
      <c r="AT168" s="993"/>
      <c r="AU168" s="745"/>
      <c r="AV168" s="713" t="s">
        <v>1105</v>
      </c>
    </row>
    <row r="169" spans="1:48" s="871" customFormat="1" ht="23.25" customHeight="1" x14ac:dyDescent="0.25">
      <c r="A169" s="744"/>
      <c r="B169" s="745" t="s">
        <v>268</v>
      </c>
      <c r="C169" s="746"/>
      <c r="D169" s="747">
        <v>256969.44</v>
      </c>
      <c r="E169" s="747">
        <v>240239.8</v>
      </c>
      <c r="F169" s="982">
        <v>43113.8</v>
      </c>
      <c r="G169" s="982">
        <v>2000000</v>
      </c>
      <c r="H169" s="982">
        <v>815109.5</v>
      </c>
      <c r="I169" s="747">
        <v>1434528.51</v>
      </c>
      <c r="J169" s="983">
        <v>2000000</v>
      </c>
      <c r="K169" s="982">
        <f>280680+84119.3</f>
        <v>364799.3</v>
      </c>
      <c r="L169" s="982">
        <v>467699.5</v>
      </c>
      <c r="M169" s="982"/>
      <c r="N169" s="982"/>
      <c r="O169" s="982"/>
      <c r="P169" s="982">
        <v>1000000</v>
      </c>
      <c r="Q169" s="982">
        <v>1009592</v>
      </c>
      <c r="R169" s="798">
        <f t="shared" si="30"/>
        <v>100.95920000000001</v>
      </c>
      <c r="S169" s="982">
        <v>605448.30000000005</v>
      </c>
      <c r="T169" s="984" t="e">
        <f>4218605-#REF!</f>
        <v>#REF!</v>
      </c>
      <c r="U169" s="984">
        <v>67196</v>
      </c>
      <c r="V169" s="984"/>
      <c r="W169" s="984"/>
      <c r="X169" s="982">
        <v>2000000</v>
      </c>
      <c r="Y169" s="982">
        <v>361071.5</v>
      </c>
      <c r="Z169" s="859">
        <v>402683.8</v>
      </c>
      <c r="AA169" s="745"/>
      <c r="AB169" s="835">
        <f t="shared" si="26"/>
        <v>98.099826464552024</v>
      </c>
      <c r="AC169" s="859">
        <v>402683.8</v>
      </c>
      <c r="AD169" s="745"/>
      <c r="AE169" s="998">
        <f>+X169</f>
        <v>2000000</v>
      </c>
      <c r="AF169" s="998">
        <v>488604.8</v>
      </c>
      <c r="AG169" s="998"/>
      <c r="AH169" s="998">
        <v>1017140.5</v>
      </c>
      <c r="AI169" s="993">
        <f t="shared" ref="AI169:AI175" si="31">+AE169</f>
        <v>2000000</v>
      </c>
      <c r="AJ169" s="993">
        <v>516624.8</v>
      </c>
      <c r="AK169" s="993"/>
      <c r="AL169" s="993">
        <v>275150.5</v>
      </c>
      <c r="AM169" s="993"/>
      <c r="AN169" s="859"/>
      <c r="AO169" s="993"/>
      <c r="AP169" s="1296"/>
      <c r="AQ169" s="1316"/>
      <c r="AR169" s="1297"/>
      <c r="AS169" s="1316"/>
      <c r="AT169" s="1300"/>
      <c r="AU169" s="745"/>
      <c r="AV169" s="999" t="s">
        <v>1107</v>
      </c>
    </row>
    <row r="170" spans="1:48" ht="23.25" customHeight="1" x14ac:dyDescent="0.25">
      <c r="A170" s="744"/>
      <c r="B170" s="745" t="s">
        <v>269</v>
      </c>
      <c r="C170" s="746"/>
      <c r="D170" s="747">
        <v>0</v>
      </c>
      <c r="E170" s="747">
        <v>145360</v>
      </c>
      <c r="F170" s="982">
        <v>227914.01</v>
      </c>
      <c r="G170" s="982">
        <v>500000</v>
      </c>
      <c r="H170" s="982">
        <v>165100.29999999999</v>
      </c>
      <c r="I170" s="760">
        <v>0</v>
      </c>
      <c r="J170" s="983">
        <v>300000</v>
      </c>
      <c r="K170" s="982">
        <v>729549.16</v>
      </c>
      <c r="L170" s="760">
        <v>0</v>
      </c>
      <c r="M170" s="982"/>
      <c r="N170" s="982"/>
      <c r="O170" s="982"/>
      <c r="P170" s="1000">
        <v>900000</v>
      </c>
      <c r="Q170" s="1000">
        <v>768640.04</v>
      </c>
      <c r="R170" s="798"/>
      <c r="S170" s="1001">
        <v>0</v>
      </c>
      <c r="T170" s="984">
        <v>762526.92</v>
      </c>
      <c r="U170" s="984">
        <v>38500</v>
      </c>
      <c r="V170" s="984"/>
      <c r="W170" s="984"/>
      <c r="X170" s="982">
        <v>900000</v>
      </c>
      <c r="Y170" s="1001">
        <v>0</v>
      </c>
      <c r="Z170" s="859">
        <v>47905</v>
      </c>
      <c r="AA170" s="745"/>
      <c r="AB170" s="835">
        <f t="shared" si="26"/>
        <v>17.089918969092473</v>
      </c>
      <c r="AC170" s="859">
        <v>58895</v>
      </c>
      <c r="AD170" s="745"/>
      <c r="AE170" s="818">
        <v>300000</v>
      </c>
      <c r="AF170" s="818">
        <v>103984.99</v>
      </c>
      <c r="AG170" s="818"/>
      <c r="AH170" s="818"/>
      <c r="AI170" s="993">
        <f t="shared" si="31"/>
        <v>300000</v>
      </c>
      <c r="AJ170" s="993">
        <v>103984.99</v>
      </c>
      <c r="AK170" s="993"/>
      <c r="AL170" s="993"/>
      <c r="AM170" s="993"/>
      <c r="AN170" s="992"/>
      <c r="AO170" s="993"/>
      <c r="AP170" s="993"/>
      <c r="AQ170" s="1350"/>
      <c r="AR170" s="993"/>
      <c r="AS170" s="1350"/>
      <c r="AT170" s="993"/>
      <c r="AU170" s="745"/>
      <c r="AV170" s="999" t="s">
        <v>1108</v>
      </c>
    </row>
    <row r="171" spans="1:48" ht="23.25" customHeight="1" x14ac:dyDescent="0.25">
      <c r="A171" s="744"/>
      <c r="B171" s="745" t="s">
        <v>270</v>
      </c>
      <c r="C171" s="746"/>
      <c r="D171" s="747">
        <v>0</v>
      </c>
      <c r="E171" s="747">
        <v>8000</v>
      </c>
      <c r="F171" s="760">
        <v>0</v>
      </c>
      <c r="G171" s="760">
        <v>0</v>
      </c>
      <c r="H171" s="760">
        <v>0</v>
      </c>
      <c r="I171" s="760">
        <v>0</v>
      </c>
      <c r="J171" s="760">
        <v>0</v>
      </c>
      <c r="K171" s="760">
        <v>0</v>
      </c>
      <c r="L171" s="760">
        <v>0</v>
      </c>
      <c r="M171" s="747"/>
      <c r="N171" s="747"/>
      <c r="O171" s="747"/>
      <c r="P171" s="747">
        <v>3290</v>
      </c>
      <c r="Q171" s="747">
        <v>3290</v>
      </c>
      <c r="R171" s="798">
        <f t="shared" si="30"/>
        <v>100</v>
      </c>
      <c r="S171" s="747">
        <v>0</v>
      </c>
      <c r="T171" s="916"/>
      <c r="U171" s="916"/>
      <c r="V171" s="916"/>
      <c r="W171" s="916"/>
      <c r="X171" s="747">
        <v>100000</v>
      </c>
      <c r="Y171" s="1002">
        <v>0</v>
      </c>
      <c r="Z171" s="1002">
        <v>0</v>
      </c>
      <c r="AA171" s="1002">
        <v>0</v>
      </c>
      <c r="AB171" s="1002">
        <v>0</v>
      </c>
      <c r="AC171" s="1002">
        <v>0</v>
      </c>
      <c r="AD171" s="745"/>
      <c r="AE171" s="993">
        <f>+X171</f>
        <v>100000</v>
      </c>
      <c r="AF171" s="992">
        <v>0</v>
      </c>
      <c r="AG171" s="992"/>
      <c r="AH171" s="992"/>
      <c r="AI171" s="993">
        <f t="shared" si="31"/>
        <v>100000</v>
      </c>
      <c r="AJ171" s="962">
        <v>0</v>
      </c>
      <c r="AK171" s="993"/>
      <c r="AL171" s="993"/>
      <c r="AM171" s="962"/>
      <c r="AN171" s="992"/>
      <c r="AO171" s="962"/>
      <c r="AP171" s="962"/>
      <c r="AQ171" s="1349"/>
      <c r="AR171" s="962"/>
      <c r="AS171" s="1349"/>
      <c r="AT171" s="962"/>
      <c r="AU171" s="745"/>
    </row>
    <row r="172" spans="1:48" ht="23.25" customHeight="1" x14ac:dyDescent="0.25">
      <c r="A172" s="744"/>
      <c r="B172" s="745" t="s">
        <v>591</v>
      </c>
      <c r="C172" s="746" t="s">
        <v>221</v>
      </c>
      <c r="D172" s="747">
        <v>0</v>
      </c>
      <c r="E172" s="747">
        <v>0</v>
      </c>
      <c r="F172" s="760">
        <v>0</v>
      </c>
      <c r="G172" s="760">
        <v>0</v>
      </c>
      <c r="H172" s="760">
        <v>0</v>
      </c>
      <c r="I172" s="747">
        <v>395917.85</v>
      </c>
      <c r="J172" s="983">
        <v>2000000</v>
      </c>
      <c r="K172" s="982">
        <v>0</v>
      </c>
      <c r="L172" s="982">
        <v>322875.48</v>
      </c>
      <c r="M172" s="982"/>
      <c r="N172" s="982"/>
      <c r="O172" s="982"/>
      <c r="P172" s="982">
        <v>3000000</v>
      </c>
      <c r="Q172" s="818"/>
      <c r="R172" s="982"/>
      <c r="S172" s="982">
        <v>652649.1</v>
      </c>
      <c r="T172" s="984">
        <v>1359605.84</v>
      </c>
      <c r="U172" s="984">
        <v>512544.9</v>
      </c>
      <c r="V172" s="984"/>
      <c r="W172" s="984"/>
      <c r="X172" s="982">
        <v>2000000</v>
      </c>
      <c r="Y172" s="982">
        <v>807518</v>
      </c>
      <c r="Z172" s="859">
        <v>1171552.8</v>
      </c>
      <c r="AA172" s="745"/>
      <c r="AB172" s="835" t="e">
        <f t="shared" ref="AB172:AB206" si="32">+(X172-Q172)/Q172*100</f>
        <v>#DIV/0!</v>
      </c>
      <c r="AC172" s="859">
        <v>1557340.49</v>
      </c>
      <c r="AD172" s="745"/>
      <c r="AE172" s="818">
        <v>3000000</v>
      </c>
      <c r="AF172" s="818">
        <v>2325575.4900000002</v>
      </c>
      <c r="AG172" s="818"/>
      <c r="AH172" s="818">
        <v>934425.48</v>
      </c>
      <c r="AI172" s="993">
        <f t="shared" si="31"/>
        <v>3000000</v>
      </c>
      <c r="AJ172" s="962">
        <v>3808458.48</v>
      </c>
      <c r="AK172" s="993"/>
      <c r="AL172" s="993">
        <v>622820.69999999995</v>
      </c>
      <c r="AM172" s="962"/>
      <c r="AN172" s="859"/>
      <c r="AO172" s="962"/>
      <c r="AP172" s="962"/>
      <c r="AQ172" s="1349"/>
      <c r="AR172" s="962"/>
      <c r="AS172" s="1349"/>
      <c r="AT172" s="962"/>
      <c r="AU172" s="745"/>
    </row>
    <row r="173" spans="1:48" ht="23.25" customHeight="1" x14ac:dyDescent="0.25">
      <c r="A173" s="744"/>
      <c r="B173" s="745" t="s">
        <v>416</v>
      </c>
      <c r="C173" s="746"/>
      <c r="D173" s="747"/>
      <c r="E173" s="747"/>
      <c r="F173" s="760">
        <v>0</v>
      </c>
      <c r="G173" s="760">
        <v>0</v>
      </c>
      <c r="H173" s="760">
        <v>0</v>
      </c>
      <c r="I173" s="760">
        <v>0</v>
      </c>
      <c r="J173" s="747">
        <v>0</v>
      </c>
      <c r="K173" s="760">
        <v>0</v>
      </c>
      <c r="L173" s="760">
        <v>0</v>
      </c>
      <c r="M173" s="747">
        <v>0</v>
      </c>
      <c r="N173" s="747">
        <v>0</v>
      </c>
      <c r="O173" s="747">
        <v>0</v>
      </c>
      <c r="P173" s="747">
        <v>0</v>
      </c>
      <c r="Q173" s="818">
        <v>4900</v>
      </c>
      <c r="R173" s="982"/>
      <c r="S173" s="982"/>
      <c r="T173" s="984"/>
      <c r="U173" s="984"/>
      <c r="V173" s="984"/>
      <c r="W173" s="984"/>
      <c r="X173" s="982">
        <v>10000</v>
      </c>
      <c r="Y173" s="991">
        <v>0</v>
      </c>
      <c r="Z173" s="992">
        <v>0</v>
      </c>
      <c r="AA173" s="745"/>
      <c r="AB173" s="835">
        <f t="shared" si="32"/>
        <v>104.08163265306123</v>
      </c>
      <c r="AC173" s="992">
        <v>0</v>
      </c>
      <c r="AD173" s="745"/>
      <c r="AE173" s="998">
        <f>+X173</f>
        <v>10000</v>
      </c>
      <c r="AF173" s="992">
        <v>0</v>
      </c>
      <c r="AG173" s="992"/>
      <c r="AH173" s="992"/>
      <c r="AI173" s="993">
        <f t="shared" si="31"/>
        <v>10000</v>
      </c>
      <c r="AJ173" s="962">
        <v>0</v>
      </c>
      <c r="AK173" s="993"/>
      <c r="AL173" s="993"/>
      <c r="AM173" s="962"/>
      <c r="AN173" s="992"/>
      <c r="AO173" s="992"/>
      <c r="AP173" s="992"/>
      <c r="AQ173" s="992"/>
      <c r="AR173" s="992"/>
      <c r="AS173" s="1349"/>
      <c r="AT173" s="962"/>
      <c r="AU173" s="745"/>
    </row>
    <row r="174" spans="1:48" ht="23.25" customHeight="1" x14ac:dyDescent="0.25">
      <c r="A174" s="744"/>
      <c r="B174" s="745" t="s">
        <v>271</v>
      </c>
      <c r="C174" s="746"/>
      <c r="D174" s="747">
        <v>0</v>
      </c>
      <c r="E174" s="747">
        <v>0</v>
      </c>
      <c r="F174" s="760">
        <v>0</v>
      </c>
      <c r="G174" s="982">
        <v>19448683.25</v>
      </c>
      <c r="H174" s="747">
        <f>18239400+1099745</f>
        <v>19339145</v>
      </c>
      <c r="I174" s="760">
        <v>0</v>
      </c>
      <c r="J174" s="983">
        <v>17480288.41</v>
      </c>
      <c r="K174" s="982">
        <v>16655750</v>
      </c>
      <c r="L174" s="760">
        <v>0</v>
      </c>
      <c r="M174" s="760">
        <v>0</v>
      </c>
      <c r="N174" s="760">
        <v>0</v>
      </c>
      <c r="O174" s="760">
        <v>0</v>
      </c>
      <c r="P174" s="760">
        <v>0</v>
      </c>
      <c r="Q174" s="760">
        <v>0</v>
      </c>
      <c r="R174" s="760">
        <v>0</v>
      </c>
      <c r="S174" s="760">
        <v>0</v>
      </c>
      <c r="T174" s="819"/>
      <c r="U174" s="819"/>
      <c r="V174" s="819"/>
      <c r="W174" s="819"/>
      <c r="X174" s="818">
        <v>16000000</v>
      </c>
      <c r="Y174" s="991">
        <v>0</v>
      </c>
      <c r="Z174" s="992">
        <v>0</v>
      </c>
      <c r="AA174" s="1003"/>
      <c r="AB174" s="835" t="e">
        <f t="shared" si="32"/>
        <v>#DIV/0!</v>
      </c>
      <c r="AC174" s="992">
        <v>0</v>
      </c>
      <c r="AD174" s="1003"/>
      <c r="AE174" s="982" t="e">
        <f>+ประมาณการรายรับ!#REF!</f>
        <v>#REF!</v>
      </c>
      <c r="AF174" s="991">
        <v>0</v>
      </c>
      <c r="AG174" s="991"/>
      <c r="AH174" s="991"/>
      <c r="AI174" s="993" t="e">
        <f t="shared" si="31"/>
        <v>#REF!</v>
      </c>
      <c r="AJ174" s="859">
        <v>16665000</v>
      </c>
      <c r="AK174" s="993"/>
      <c r="AL174" s="993"/>
      <c r="AM174" s="993"/>
      <c r="AN174" s="1351"/>
      <c r="AO174" s="993"/>
      <c r="AP174" s="993"/>
      <c r="AQ174" s="1350"/>
      <c r="AR174" s="993"/>
      <c r="AS174" s="1350"/>
      <c r="AT174" s="1330"/>
      <c r="AU174" s="1003"/>
      <c r="AV174" s="994">
        <v>16665000</v>
      </c>
    </row>
    <row r="175" spans="1:48" ht="23.25" customHeight="1" x14ac:dyDescent="0.25">
      <c r="A175" s="918"/>
      <c r="B175" s="762" t="s">
        <v>470</v>
      </c>
      <c r="C175" s="763"/>
      <c r="D175" s="764"/>
      <c r="E175" s="764"/>
      <c r="F175" s="821">
        <v>0</v>
      </c>
      <c r="G175" s="821">
        <v>0</v>
      </c>
      <c r="H175" s="821">
        <v>0</v>
      </c>
      <c r="I175" s="821">
        <v>0</v>
      </c>
      <c r="J175" s="821">
        <v>0</v>
      </c>
      <c r="K175" s="821">
        <v>0</v>
      </c>
      <c r="L175" s="821">
        <v>0</v>
      </c>
      <c r="M175" s="821">
        <v>0</v>
      </c>
      <c r="N175" s="821">
        <v>0</v>
      </c>
      <c r="O175" s="821">
        <v>0</v>
      </c>
      <c r="P175" s="821">
        <v>0</v>
      </c>
      <c r="Q175" s="821">
        <v>0</v>
      </c>
      <c r="R175" s="821">
        <v>0</v>
      </c>
      <c r="S175" s="821">
        <v>0</v>
      </c>
      <c r="T175" s="823"/>
      <c r="U175" s="823"/>
      <c r="V175" s="823"/>
      <c r="W175" s="823"/>
      <c r="X175" s="822">
        <v>2500000</v>
      </c>
      <c r="Y175" s="1004">
        <v>0</v>
      </c>
      <c r="Z175" s="1004">
        <v>0</v>
      </c>
      <c r="AA175" s="1004">
        <v>0</v>
      </c>
      <c r="AB175" s="1004">
        <v>0</v>
      </c>
      <c r="AC175" s="1004">
        <v>0</v>
      </c>
      <c r="AD175" s="1005"/>
      <c r="AE175" s="1005">
        <v>1877615.58</v>
      </c>
      <c r="AF175" s="1004">
        <v>0</v>
      </c>
      <c r="AG175" s="1004"/>
      <c r="AH175" s="1004"/>
      <c r="AI175" s="1142">
        <f t="shared" si="31"/>
        <v>1877615.58</v>
      </c>
      <c r="AJ175" s="1352">
        <v>0</v>
      </c>
      <c r="AK175" s="1142"/>
      <c r="AL175" s="1142"/>
      <c r="AM175" s="1142"/>
      <c r="AN175" s="1353"/>
      <c r="AO175" s="1142"/>
      <c r="AP175" s="1142"/>
      <c r="AQ175" s="1354"/>
      <c r="AR175" s="1142"/>
      <c r="AS175" s="1354"/>
      <c r="AT175" s="1142"/>
      <c r="AU175" s="1005"/>
    </row>
    <row r="176" spans="1:48" s="723" customFormat="1" ht="23.25" customHeight="1" x14ac:dyDescent="0.25">
      <c r="A176" s="716" t="s">
        <v>272</v>
      </c>
      <c r="B176" s="724" t="s">
        <v>273</v>
      </c>
      <c r="C176" s="725"/>
      <c r="D176" s="717">
        <v>0</v>
      </c>
      <c r="E176" s="717">
        <v>0</v>
      </c>
      <c r="F176" s="1006">
        <v>0</v>
      </c>
      <c r="G176" s="1006">
        <v>0</v>
      </c>
      <c r="H176" s="1006">
        <v>0</v>
      </c>
      <c r="I176" s="1006">
        <v>0</v>
      </c>
      <c r="J176" s="1006">
        <v>0</v>
      </c>
      <c r="K176" s="1006">
        <v>0</v>
      </c>
      <c r="L176" s="1006">
        <v>0</v>
      </c>
      <c r="M176" s="1006">
        <v>0</v>
      </c>
      <c r="N176" s="1006">
        <v>0</v>
      </c>
      <c r="O176" s="1006">
        <v>0</v>
      </c>
      <c r="P176" s="1006">
        <v>0</v>
      </c>
      <c r="Q176" s="1006">
        <v>0</v>
      </c>
      <c r="R176" s="1006">
        <v>0</v>
      </c>
      <c r="S176" s="1006">
        <v>0</v>
      </c>
      <c r="T176" s="1007"/>
      <c r="U176" s="1007"/>
      <c r="V176" s="1007"/>
      <c r="W176" s="1007"/>
      <c r="X176" s="1008">
        <f>SUM(X177:X178)</f>
        <v>250026911.13999999</v>
      </c>
      <c r="Y176" s="1006">
        <v>0</v>
      </c>
      <c r="Z176" s="1008">
        <v>1237363</v>
      </c>
      <c r="AA176" s="1008">
        <f>+Z176/X176*100</f>
        <v>0.49489192757620853</v>
      </c>
      <c r="AB176" s="1009" t="e">
        <f t="shared" si="32"/>
        <v>#DIV/0!</v>
      </c>
      <c r="AC176" s="1008">
        <f>SUM(AC177:AC178)</f>
        <v>1237363</v>
      </c>
      <c r="AD176" s="718">
        <f>+AC176/X176*100</f>
        <v>0.49489192757620853</v>
      </c>
      <c r="AE176" s="718">
        <f>SUM(AE177:AE178)</f>
        <v>373640511.13999999</v>
      </c>
      <c r="AF176" s="719">
        <f>SUM(AF177:AF178)</f>
        <v>6270963</v>
      </c>
      <c r="AG176" s="719">
        <f>+AF176/AE176*100</f>
        <v>1.6783412967900375</v>
      </c>
      <c r="AH176" s="719"/>
      <c r="AI176" s="721">
        <f>SUM(AI177:AI178)</f>
        <v>42815511.140000001</v>
      </c>
      <c r="AJ176" s="721">
        <f>SUM(AJ177:AJ178)</f>
        <v>20311325.890000001</v>
      </c>
      <c r="AK176" s="721">
        <f>+AJ176/AI176*100</f>
        <v>47.439176478788617</v>
      </c>
      <c r="AL176" s="721"/>
      <c r="AM176" s="721"/>
      <c r="AN176" s="721"/>
      <c r="AO176" s="719"/>
      <c r="AP176" s="1274"/>
      <c r="AQ176" s="1299"/>
      <c r="AR176" s="721"/>
      <c r="AS176" s="1299"/>
      <c r="AT176" s="1355"/>
      <c r="AU176" s="1010"/>
    </row>
    <row r="177" spans="1:48" s="723" customFormat="1" ht="23.25" customHeight="1" x14ac:dyDescent="0.25">
      <c r="A177" s="1013"/>
      <c r="B177" s="733" t="s">
        <v>266</v>
      </c>
      <c r="C177" s="734"/>
      <c r="D177" s="737">
        <v>0</v>
      </c>
      <c r="E177" s="737">
        <v>0</v>
      </c>
      <c r="F177" s="928">
        <v>0</v>
      </c>
      <c r="G177" s="928">
        <v>0</v>
      </c>
      <c r="H177" s="928">
        <v>0</v>
      </c>
      <c r="I177" s="928">
        <v>0</v>
      </c>
      <c r="J177" s="928">
        <v>0</v>
      </c>
      <c r="K177" s="928">
        <v>0</v>
      </c>
      <c r="L177" s="928">
        <v>0</v>
      </c>
      <c r="M177" s="928">
        <v>0</v>
      </c>
      <c r="N177" s="928">
        <v>0</v>
      </c>
      <c r="O177" s="928">
        <v>0</v>
      </c>
      <c r="P177" s="928">
        <v>0</v>
      </c>
      <c r="Q177" s="928">
        <v>0</v>
      </c>
      <c r="R177" s="928">
        <v>0</v>
      </c>
      <c r="S177" s="928">
        <v>0</v>
      </c>
      <c r="T177" s="1079"/>
      <c r="U177" s="1079"/>
      <c r="V177" s="1079"/>
      <c r="W177" s="1079"/>
      <c r="X177" s="981">
        <v>226026911.13999999</v>
      </c>
      <c r="Y177" s="1016">
        <v>0</v>
      </c>
      <c r="Z177" s="981"/>
      <c r="AA177" s="981"/>
      <c r="AB177" s="1069" t="e">
        <f t="shared" si="32"/>
        <v>#DIV/0!</v>
      </c>
      <c r="AC177" s="981">
        <v>1237363</v>
      </c>
      <c r="AD177" s="981"/>
      <c r="AE177" s="981">
        <v>173640511.13999999</v>
      </c>
      <c r="AF177" s="981">
        <v>6270963</v>
      </c>
      <c r="AG177" s="981"/>
      <c r="AH177" s="981"/>
      <c r="AI177" s="981">
        <f>+'สิ่งก่อสร้าง (25.10.67)'!E10</f>
        <v>28350511.140000001</v>
      </c>
      <c r="AJ177" s="981">
        <v>20311325.890000001</v>
      </c>
      <c r="AK177" s="981"/>
      <c r="AL177" s="981"/>
      <c r="AM177" s="981"/>
      <c r="AN177" s="981"/>
      <c r="AO177" s="981"/>
      <c r="AP177" s="981"/>
      <c r="AQ177" s="1305"/>
      <c r="AR177" s="1265"/>
      <c r="AS177" s="1305"/>
      <c r="AT177" s="1265"/>
      <c r="AU177" s="1047" t="s">
        <v>1178</v>
      </c>
    </row>
    <row r="178" spans="1:48" s="723" customFormat="1" ht="23.25" customHeight="1" x14ac:dyDescent="0.25">
      <c r="A178" s="809"/>
      <c r="B178" s="745" t="s">
        <v>1126</v>
      </c>
      <c r="C178" s="746"/>
      <c r="D178" s="747"/>
      <c r="E178" s="747"/>
      <c r="F178" s="760">
        <v>0</v>
      </c>
      <c r="G178" s="760">
        <v>0</v>
      </c>
      <c r="H178" s="760">
        <v>0</v>
      </c>
      <c r="I178" s="760">
        <v>0</v>
      </c>
      <c r="J178" s="760">
        <v>0</v>
      </c>
      <c r="K178" s="760">
        <v>0</v>
      </c>
      <c r="L178" s="760">
        <v>0</v>
      </c>
      <c r="M178" s="760">
        <v>0</v>
      </c>
      <c r="N178" s="760">
        <v>0</v>
      </c>
      <c r="O178" s="760">
        <v>0</v>
      </c>
      <c r="P178" s="760">
        <v>0</v>
      </c>
      <c r="Q178" s="760">
        <v>0</v>
      </c>
      <c r="R178" s="760">
        <v>0</v>
      </c>
      <c r="S178" s="760">
        <v>0</v>
      </c>
      <c r="T178" s="819"/>
      <c r="U178" s="819"/>
      <c r="V178" s="819"/>
      <c r="W178" s="819"/>
      <c r="X178" s="818">
        <v>24000000</v>
      </c>
      <c r="Y178" s="849">
        <v>0</v>
      </c>
      <c r="Z178" s="849">
        <v>0</v>
      </c>
      <c r="AA178" s="849">
        <v>0</v>
      </c>
      <c r="AB178" s="849">
        <v>0</v>
      </c>
      <c r="AC178" s="849">
        <v>0</v>
      </c>
      <c r="AD178" s="818"/>
      <c r="AE178" s="818">
        <v>200000000</v>
      </c>
      <c r="AF178" s="818"/>
      <c r="AG178" s="818"/>
      <c r="AH178" s="818"/>
      <c r="AI178" s="818">
        <f>+'สิ่งก่อสร้าง (25.10.67)'!E33</f>
        <v>14465000</v>
      </c>
      <c r="AJ178" s="818"/>
      <c r="AK178" s="818"/>
      <c r="AL178" s="818"/>
      <c r="AM178" s="818"/>
      <c r="AN178" s="1193"/>
      <c r="AO178" s="1193"/>
      <c r="AP178" s="1193"/>
      <c r="AQ178" s="1306"/>
      <c r="AR178" s="1266"/>
      <c r="AS178" s="1306"/>
      <c r="AT178" s="1266"/>
      <c r="AU178" s="1253"/>
    </row>
    <row r="179" spans="1:48" s="723" customFormat="1" ht="23.25" customHeight="1" x14ac:dyDescent="0.25">
      <c r="A179" s="820"/>
      <c r="B179" s="762" t="s">
        <v>1109</v>
      </c>
      <c r="C179" s="763"/>
      <c r="D179" s="764"/>
      <c r="E179" s="764"/>
      <c r="F179" s="821"/>
      <c r="G179" s="821"/>
      <c r="H179" s="821"/>
      <c r="I179" s="821"/>
      <c r="J179" s="821"/>
      <c r="K179" s="821"/>
      <c r="L179" s="821"/>
      <c r="M179" s="821"/>
      <c r="N179" s="821"/>
      <c r="O179" s="821"/>
      <c r="P179" s="821"/>
      <c r="Q179" s="821"/>
      <c r="R179" s="821"/>
      <c r="S179" s="821"/>
      <c r="T179" s="823"/>
      <c r="U179" s="823"/>
      <c r="V179" s="823"/>
      <c r="W179" s="823"/>
      <c r="X179" s="822"/>
      <c r="Y179" s="1012"/>
      <c r="Z179" s="1012"/>
      <c r="AA179" s="1012"/>
      <c r="AB179" s="1080"/>
      <c r="AC179" s="1012"/>
      <c r="AD179" s="822"/>
      <c r="AE179" s="822"/>
      <c r="AF179" s="822"/>
      <c r="AG179" s="822"/>
      <c r="AH179" s="822"/>
      <c r="AI179" s="822"/>
      <c r="AJ179" s="822"/>
      <c r="AK179" s="822"/>
      <c r="AL179" s="822"/>
      <c r="AM179" s="822"/>
      <c r="AN179" s="1240"/>
      <c r="AO179" s="1194"/>
      <c r="AP179" s="1194"/>
      <c r="AQ179" s="1307"/>
      <c r="AR179" s="1267"/>
      <c r="AS179" s="1307"/>
      <c r="AT179" s="1267"/>
      <c r="AU179" s="1254"/>
    </row>
    <row r="180" spans="1:48" s="723" customFormat="1" ht="23.25" customHeight="1" x14ac:dyDescent="0.25">
      <c r="A180" s="716" t="s">
        <v>274</v>
      </c>
      <c r="B180" s="724" t="s">
        <v>275</v>
      </c>
      <c r="C180" s="725" t="s">
        <v>188</v>
      </c>
      <c r="D180" s="717">
        <f>SUM(D181:D194)</f>
        <v>30192900.050000001</v>
      </c>
      <c r="E180" s="717">
        <f>SUM(E181:E194)</f>
        <v>21456904.539999999</v>
      </c>
      <c r="F180" s="717">
        <f>SUM(F181:F194)</f>
        <v>18494540.709999997</v>
      </c>
      <c r="G180" s="717">
        <v>13567272.48</v>
      </c>
      <c r="H180" s="717">
        <f>SUM(H181:H195)</f>
        <v>18113505.209999997</v>
      </c>
      <c r="I180" s="923">
        <v>0</v>
      </c>
      <c r="J180" s="726">
        <v>13978607.67</v>
      </c>
      <c r="K180" s="717">
        <f>SUM(K181:K197)</f>
        <v>12278414.879999999</v>
      </c>
      <c r="L180" s="923">
        <f>SUM(L181:L195)</f>
        <v>0</v>
      </c>
      <c r="M180" s="717"/>
      <c r="N180" s="717"/>
      <c r="O180" s="717"/>
      <c r="P180" s="717">
        <f>SUM(P181:P197)</f>
        <v>13893664.469999999</v>
      </c>
      <c r="Q180" s="717">
        <f>SUM(Q181:Q197)</f>
        <v>28042293.940000001</v>
      </c>
      <c r="R180" s="717">
        <f>+Q180/P180*100</f>
        <v>201.83511700999071</v>
      </c>
      <c r="S180" s="821">
        <v>0</v>
      </c>
      <c r="T180" s="728"/>
      <c r="U180" s="728"/>
      <c r="V180" s="729"/>
      <c r="W180" s="729"/>
      <c r="X180" s="717">
        <f>SUM(X181:X198)</f>
        <v>22452939.98</v>
      </c>
      <c r="Y180" s="923">
        <v>0</v>
      </c>
      <c r="Z180" s="730">
        <f>SUM(Z181:Z198)</f>
        <v>1972744.43</v>
      </c>
      <c r="AA180" s="730">
        <f>+Z180/X180*100</f>
        <v>8.7861297084356256</v>
      </c>
      <c r="AB180" s="720">
        <f t="shared" si="32"/>
        <v>-19.931871379563752</v>
      </c>
      <c r="AC180" s="730">
        <f>SUM(AC181:AC198)</f>
        <v>7760974.3300000001</v>
      </c>
      <c r="AD180" s="719">
        <f>+AC180/X180*100</f>
        <v>34.565514970035558</v>
      </c>
      <c r="AE180" s="719">
        <f>SUM(AE181:AE198)</f>
        <v>22452939.98</v>
      </c>
      <c r="AF180" s="719">
        <v>10621099.23</v>
      </c>
      <c r="AG180" s="719">
        <f>+AF180/AE180*100</f>
        <v>47.30382408477805</v>
      </c>
      <c r="AH180" s="719"/>
      <c r="AI180" s="721">
        <f>SUM(AI181:AI198)</f>
        <v>22464939.98</v>
      </c>
      <c r="AJ180" s="721">
        <f>SUM(AJ181:AJ198)</f>
        <v>24790281.41</v>
      </c>
      <c r="AK180" s="721">
        <f>+AJ180/AI180*100</f>
        <v>110.35097993615916</v>
      </c>
      <c r="AL180" s="721"/>
      <c r="AM180" s="721"/>
      <c r="AN180" s="721"/>
      <c r="AO180" s="1234"/>
      <c r="AP180" s="1274"/>
      <c r="AQ180" s="1299"/>
      <c r="AR180" s="721"/>
      <c r="AS180" s="1299"/>
      <c r="AT180" s="721"/>
      <c r="AU180" s="774"/>
    </row>
    <row r="181" spans="1:48" s="723" customFormat="1" ht="23.25" customHeight="1" x14ac:dyDescent="0.25">
      <c r="A181" s="1013"/>
      <c r="B181" s="733" t="s">
        <v>276</v>
      </c>
      <c r="C181" s="734"/>
      <c r="D181" s="737">
        <v>1661633.37</v>
      </c>
      <c r="E181" s="737">
        <v>1504741.66</v>
      </c>
      <c r="F181" s="737">
        <f>1579972.5+2089801.8</f>
        <v>3669774.3</v>
      </c>
      <c r="G181" s="737">
        <v>0</v>
      </c>
      <c r="H181" s="737">
        <f>1799019.15+509811.98</f>
        <v>2308831.13</v>
      </c>
      <c r="I181" s="760">
        <v>0</v>
      </c>
      <c r="J181" s="736">
        <v>1600000</v>
      </c>
      <c r="K181" s="737">
        <f>1917395.1+127350</f>
        <v>2044745.1</v>
      </c>
      <c r="L181" s="928">
        <v>0</v>
      </c>
      <c r="M181" s="928">
        <v>0</v>
      </c>
      <c r="N181" s="928">
        <v>0</v>
      </c>
      <c r="O181" s="928">
        <v>0</v>
      </c>
      <c r="P181" s="928">
        <v>0</v>
      </c>
      <c r="Q181" s="928">
        <v>0</v>
      </c>
      <c r="R181" s="928">
        <v>0</v>
      </c>
      <c r="S181" s="928">
        <v>0</v>
      </c>
      <c r="T181" s="740"/>
      <c r="U181" s="740"/>
      <c r="V181" s="740"/>
      <c r="W181" s="740"/>
      <c r="X181" s="737">
        <v>500000</v>
      </c>
      <c r="Y181" s="928">
        <v>0</v>
      </c>
      <c r="Z181" s="1014">
        <v>604777.19999999995</v>
      </c>
      <c r="AA181" s="1015"/>
      <c r="AB181" s="720" t="e">
        <f t="shared" si="32"/>
        <v>#DIV/0!</v>
      </c>
      <c r="AC181" s="1014">
        <v>1956287.1</v>
      </c>
      <c r="AD181" s="1015"/>
      <c r="AE181" s="981">
        <v>2500000</v>
      </c>
      <c r="AF181" s="981"/>
      <c r="AG181" s="981"/>
      <c r="AH181" s="981"/>
      <c r="AI181" s="1016">
        <f>+AE181</f>
        <v>2500000</v>
      </c>
      <c r="AJ181" s="1017">
        <v>4658134.88</v>
      </c>
      <c r="AK181" s="1017"/>
      <c r="AL181" s="1017"/>
      <c r="AM181" s="1017"/>
      <c r="AN181" s="1017"/>
      <c r="AO181" s="1017"/>
      <c r="AP181" s="1017"/>
      <c r="AQ181" s="1308"/>
      <c r="AR181" s="1017"/>
      <c r="AS181" s="1308"/>
      <c r="AT181" s="1017"/>
      <c r="AU181" s="779"/>
      <c r="AV181" s="1369"/>
    </row>
    <row r="182" spans="1:48" s="723" customFormat="1" ht="23.25" customHeight="1" x14ac:dyDescent="0.25">
      <c r="A182" s="809"/>
      <c r="B182" s="745" t="s">
        <v>277</v>
      </c>
      <c r="C182" s="746"/>
      <c r="D182" s="747">
        <v>7393203.6299999999</v>
      </c>
      <c r="E182" s="747">
        <v>4717831.6900000004</v>
      </c>
      <c r="F182" s="747">
        <v>1793770</v>
      </c>
      <c r="G182" s="747">
        <v>1149624</v>
      </c>
      <c r="H182" s="747">
        <v>1898745</v>
      </c>
      <c r="I182" s="760">
        <v>0</v>
      </c>
      <c r="J182" s="748">
        <v>127930</v>
      </c>
      <c r="K182" s="747">
        <v>127930</v>
      </c>
      <c r="L182" s="760">
        <v>0</v>
      </c>
      <c r="M182" s="760">
        <v>0</v>
      </c>
      <c r="N182" s="760">
        <v>0</v>
      </c>
      <c r="O182" s="760">
        <v>0</v>
      </c>
      <c r="P182" s="760">
        <v>0</v>
      </c>
      <c r="Q182" s="760">
        <v>0</v>
      </c>
      <c r="R182" s="760">
        <v>0</v>
      </c>
      <c r="S182" s="760">
        <v>0</v>
      </c>
      <c r="T182" s="751"/>
      <c r="U182" s="751"/>
      <c r="V182" s="751"/>
      <c r="W182" s="751"/>
      <c r="X182" s="760">
        <v>0</v>
      </c>
      <c r="Y182" s="760">
        <v>0</v>
      </c>
      <c r="Z182" s="760">
        <v>0</v>
      </c>
      <c r="AA182" s="760">
        <v>0</v>
      </c>
      <c r="AB182" s="760">
        <v>0</v>
      </c>
      <c r="AC182" s="760">
        <v>0</v>
      </c>
      <c r="AD182" s="747"/>
      <c r="AE182" s="760">
        <v>0</v>
      </c>
      <c r="AF182" s="747"/>
      <c r="AG182" s="747"/>
      <c r="AH182" s="747"/>
      <c r="AI182" s="849">
        <f t="shared" ref="AI182:AI198" si="33">+AE182</f>
        <v>0</v>
      </c>
      <c r="AJ182" s="849"/>
      <c r="AK182" s="849"/>
      <c r="AL182" s="849"/>
      <c r="AM182" s="849"/>
      <c r="AN182" s="849"/>
      <c r="AO182" s="849"/>
      <c r="AP182" s="849"/>
      <c r="AQ182" s="1309"/>
      <c r="AR182" s="1018"/>
      <c r="AS182" s="1309"/>
      <c r="AT182" s="1018"/>
      <c r="AU182" s="753"/>
      <c r="AV182" s="1369"/>
    </row>
    <row r="183" spans="1:48" s="723" customFormat="1" ht="23.25" customHeight="1" x14ac:dyDescent="0.25">
      <c r="A183" s="809"/>
      <c r="B183" s="745" t="s">
        <v>1071</v>
      </c>
      <c r="C183" s="746"/>
      <c r="D183" s="747"/>
      <c r="E183" s="747"/>
      <c r="F183" s="747"/>
      <c r="G183" s="747"/>
      <c r="H183" s="760">
        <v>0</v>
      </c>
      <c r="I183" s="760">
        <v>0</v>
      </c>
      <c r="J183" s="760">
        <v>0</v>
      </c>
      <c r="K183" s="760">
        <v>0</v>
      </c>
      <c r="L183" s="760">
        <v>0</v>
      </c>
      <c r="M183" s="747"/>
      <c r="N183" s="747"/>
      <c r="O183" s="747"/>
      <c r="P183" s="747">
        <v>3000000</v>
      </c>
      <c r="Q183" s="747">
        <v>6600748.3799999999</v>
      </c>
      <c r="R183" s="747"/>
      <c r="S183" s="760">
        <v>0</v>
      </c>
      <c r="T183" s="751"/>
      <c r="U183" s="751"/>
      <c r="V183" s="751"/>
      <c r="W183" s="751"/>
      <c r="X183" s="747">
        <v>3000000</v>
      </c>
      <c r="Y183" s="760">
        <v>0</v>
      </c>
      <c r="Z183" s="760">
        <v>0</v>
      </c>
      <c r="AA183" s="760">
        <v>0</v>
      </c>
      <c r="AB183" s="760">
        <v>0</v>
      </c>
      <c r="AC183" s="760">
        <v>0</v>
      </c>
      <c r="AD183" s="836"/>
      <c r="AE183" s="818">
        <v>1000000</v>
      </c>
      <c r="AF183" s="818"/>
      <c r="AG183" s="818"/>
      <c r="AH183" s="818"/>
      <c r="AI183" s="849">
        <f t="shared" si="33"/>
        <v>1000000</v>
      </c>
      <c r="AJ183" s="849">
        <v>1055780.3</v>
      </c>
      <c r="AK183" s="849"/>
      <c r="AL183" s="849"/>
      <c r="AM183" s="849"/>
      <c r="AN183" s="849"/>
      <c r="AO183" s="849"/>
      <c r="AP183" s="849"/>
      <c r="AQ183" s="1309"/>
      <c r="AR183" s="1018"/>
      <c r="AS183" s="1309"/>
      <c r="AT183" s="1018"/>
      <c r="AU183" s="782"/>
      <c r="AV183" s="1369"/>
    </row>
    <row r="184" spans="1:48" s="723" customFormat="1" ht="23.25" customHeight="1" x14ac:dyDescent="0.25">
      <c r="A184" s="809"/>
      <c r="B184" s="745" t="s">
        <v>278</v>
      </c>
      <c r="C184" s="746" t="s">
        <v>188</v>
      </c>
      <c r="D184" s="747">
        <v>7037182.4500000002</v>
      </c>
      <c r="E184" s="747">
        <v>6047088.3300000001</v>
      </c>
      <c r="F184" s="747">
        <v>8164178.0099999998</v>
      </c>
      <c r="G184" s="747">
        <v>5300000</v>
      </c>
      <c r="H184" s="747">
        <v>8208166.7699999996</v>
      </c>
      <c r="I184" s="760">
        <v>0</v>
      </c>
      <c r="J184" s="748">
        <v>1102457.67</v>
      </c>
      <c r="K184" s="747">
        <v>1102457.67</v>
      </c>
      <c r="L184" s="760">
        <v>0</v>
      </c>
      <c r="M184" s="747"/>
      <c r="N184" s="747"/>
      <c r="O184" s="747"/>
      <c r="P184" s="747">
        <v>916664.47</v>
      </c>
      <c r="Q184" s="747">
        <v>11900</v>
      </c>
      <c r="R184" s="747"/>
      <c r="S184" s="760">
        <v>0</v>
      </c>
      <c r="T184" s="751"/>
      <c r="U184" s="751"/>
      <c r="V184" s="751"/>
      <c r="W184" s="751"/>
      <c r="X184" s="760">
        <v>0</v>
      </c>
      <c r="Y184" s="760">
        <v>0</v>
      </c>
      <c r="Z184" s="760">
        <v>0</v>
      </c>
      <c r="AA184" s="760">
        <v>0</v>
      </c>
      <c r="AB184" s="760">
        <v>0</v>
      </c>
      <c r="AC184" s="760">
        <v>0</v>
      </c>
      <c r="AD184" s="747"/>
      <c r="AE184" s="760">
        <v>0</v>
      </c>
      <c r="AF184" s="747"/>
      <c r="AG184" s="747"/>
      <c r="AH184" s="747"/>
      <c r="AI184" s="849">
        <f t="shared" si="33"/>
        <v>0</v>
      </c>
      <c r="AJ184" s="849"/>
      <c r="AK184" s="849"/>
      <c r="AL184" s="849"/>
      <c r="AM184" s="849"/>
      <c r="AN184" s="849"/>
      <c r="AO184" s="849"/>
      <c r="AP184" s="849"/>
      <c r="AQ184" s="1309"/>
      <c r="AR184" s="1018"/>
      <c r="AS184" s="1309"/>
      <c r="AT184" s="1018"/>
      <c r="AU184" s="753"/>
      <c r="AV184" s="1369"/>
    </row>
    <row r="185" spans="1:48" s="723" customFormat="1" ht="23.25" customHeight="1" x14ac:dyDescent="0.25">
      <c r="A185" s="809"/>
      <c r="B185" s="745" t="s">
        <v>279</v>
      </c>
      <c r="C185" s="746" t="s">
        <v>188</v>
      </c>
      <c r="D185" s="747">
        <v>100600</v>
      </c>
      <c r="E185" s="747">
        <v>307200</v>
      </c>
      <c r="F185" s="747">
        <v>63222.34</v>
      </c>
      <c r="G185" s="747">
        <v>100000</v>
      </c>
      <c r="H185" s="747">
        <v>721463.08</v>
      </c>
      <c r="I185" s="760">
        <v>0</v>
      </c>
      <c r="J185" s="748">
        <v>0</v>
      </c>
      <c r="K185" s="760">
        <v>0</v>
      </c>
      <c r="L185" s="760">
        <v>0</v>
      </c>
      <c r="M185" s="760">
        <v>0</v>
      </c>
      <c r="N185" s="760">
        <v>0</v>
      </c>
      <c r="O185" s="760">
        <v>0</v>
      </c>
      <c r="P185" s="760">
        <v>0</v>
      </c>
      <c r="Q185" s="760">
        <v>0</v>
      </c>
      <c r="R185" s="747"/>
      <c r="S185" s="760">
        <v>0</v>
      </c>
      <c r="T185" s="751"/>
      <c r="U185" s="751"/>
      <c r="V185" s="751"/>
      <c r="W185" s="751"/>
      <c r="X185" s="760">
        <v>0</v>
      </c>
      <c r="Y185" s="760">
        <v>0</v>
      </c>
      <c r="Z185" s="760">
        <v>0</v>
      </c>
      <c r="AA185" s="760">
        <v>0</v>
      </c>
      <c r="AB185" s="760">
        <v>0</v>
      </c>
      <c r="AC185" s="760">
        <v>0</v>
      </c>
      <c r="AD185" s="747"/>
      <c r="AE185" s="760">
        <v>0</v>
      </c>
      <c r="AF185" s="747"/>
      <c r="AG185" s="747"/>
      <c r="AH185" s="747"/>
      <c r="AI185" s="849">
        <f t="shared" si="33"/>
        <v>0</v>
      </c>
      <c r="AJ185" s="849"/>
      <c r="AK185" s="849"/>
      <c r="AL185" s="849"/>
      <c r="AM185" s="849"/>
      <c r="AN185" s="849"/>
      <c r="AO185" s="849"/>
      <c r="AP185" s="849"/>
      <c r="AQ185" s="1309"/>
      <c r="AR185" s="1018"/>
      <c r="AS185" s="1309"/>
      <c r="AT185" s="1018"/>
      <c r="AU185" s="753"/>
      <c r="AV185" s="1369"/>
    </row>
    <row r="186" spans="1:48" s="723" customFormat="1" ht="23.25" customHeight="1" x14ac:dyDescent="0.25">
      <c r="A186" s="809"/>
      <c r="B186" s="745" t="s">
        <v>1125</v>
      </c>
      <c r="C186" s="746" t="s">
        <v>188</v>
      </c>
      <c r="D186" s="747">
        <v>673800</v>
      </c>
      <c r="E186" s="747">
        <v>735142.46</v>
      </c>
      <c r="F186" s="747">
        <v>680706.43</v>
      </c>
      <c r="G186" s="747">
        <v>610000</v>
      </c>
      <c r="H186" s="747">
        <v>2096196.77</v>
      </c>
      <c r="I186" s="760">
        <v>0</v>
      </c>
      <c r="J186" s="968">
        <v>716000</v>
      </c>
      <c r="K186" s="818">
        <f>801991.77+297814.74</f>
        <v>1099806.51</v>
      </c>
      <c r="L186" s="760">
        <v>0</v>
      </c>
      <c r="M186" s="818"/>
      <c r="N186" s="818"/>
      <c r="O186" s="818"/>
      <c r="P186" s="818"/>
      <c r="Q186" s="818">
        <f>936956.52+63100.74</f>
        <v>1000057.26</v>
      </c>
      <c r="R186" s="818"/>
      <c r="S186" s="760">
        <v>0</v>
      </c>
      <c r="T186" s="819"/>
      <c r="U186" s="819"/>
      <c r="V186" s="819"/>
      <c r="W186" s="819"/>
      <c r="X186" s="818">
        <v>2852939.98</v>
      </c>
      <c r="Y186" s="760">
        <v>0</v>
      </c>
      <c r="Z186" s="859">
        <v>181920</v>
      </c>
      <c r="AA186" s="836"/>
      <c r="AB186" s="835">
        <f t="shared" si="32"/>
        <v>185.27766300101655</v>
      </c>
      <c r="AC186" s="859">
        <v>427440</v>
      </c>
      <c r="AD186" s="836"/>
      <c r="AE186" s="818">
        <f>+X186</f>
        <v>2852939.98</v>
      </c>
      <c r="AF186" s="818"/>
      <c r="AG186" s="818"/>
      <c r="AH186" s="818"/>
      <c r="AI186" s="849">
        <f>+AE186+12000</f>
        <v>2864939.98</v>
      </c>
      <c r="AJ186" s="849">
        <v>577920</v>
      </c>
      <c r="AK186" s="849"/>
      <c r="AL186" s="849"/>
      <c r="AM186" s="849"/>
      <c r="AN186" s="849"/>
      <c r="AO186" s="849"/>
      <c r="AP186" s="849"/>
      <c r="AQ186" s="1309"/>
      <c r="AR186" s="1018"/>
      <c r="AS186" s="1309"/>
      <c r="AT186" s="1018"/>
      <c r="AU186" s="782"/>
      <c r="AV186" s="1369"/>
    </row>
    <row r="187" spans="1:48" s="723" customFormat="1" ht="23.25" customHeight="1" x14ac:dyDescent="0.25">
      <c r="A187" s="809"/>
      <c r="B187" s="745" t="s">
        <v>280</v>
      </c>
      <c r="C187" s="746" t="s">
        <v>188</v>
      </c>
      <c r="D187" s="747">
        <v>3930000</v>
      </c>
      <c r="E187" s="747">
        <v>7160000</v>
      </c>
      <c r="F187" s="747">
        <v>150000</v>
      </c>
      <c r="G187" s="747">
        <v>1300000</v>
      </c>
      <c r="H187" s="760">
        <v>0</v>
      </c>
      <c r="I187" s="760">
        <v>0</v>
      </c>
      <c r="J187" s="748">
        <v>5000000</v>
      </c>
      <c r="K187" s="747">
        <v>1500000</v>
      </c>
      <c r="L187" s="760">
        <v>0</v>
      </c>
      <c r="M187" s="747"/>
      <c r="N187" s="747"/>
      <c r="O187" s="747"/>
      <c r="P187" s="747">
        <v>7790000</v>
      </c>
      <c r="Q187" s="747">
        <v>9950000</v>
      </c>
      <c r="R187" s="747"/>
      <c r="S187" s="760">
        <v>0</v>
      </c>
      <c r="T187" s="751"/>
      <c r="U187" s="751"/>
      <c r="V187" s="751"/>
      <c r="W187" s="751"/>
      <c r="X187" s="747">
        <v>10000000</v>
      </c>
      <c r="Y187" s="760">
        <v>0</v>
      </c>
      <c r="Z187" s="859">
        <v>1150000</v>
      </c>
      <c r="AA187" s="836"/>
      <c r="AB187" s="835">
        <f t="shared" si="32"/>
        <v>0.50251256281407031</v>
      </c>
      <c r="AC187" s="859">
        <v>5310000</v>
      </c>
      <c r="AD187" s="836"/>
      <c r="AE187" s="818">
        <f>+X187</f>
        <v>10000000</v>
      </c>
      <c r="AF187" s="818"/>
      <c r="AG187" s="818"/>
      <c r="AH187" s="818"/>
      <c r="AI187" s="849">
        <f t="shared" si="33"/>
        <v>10000000</v>
      </c>
      <c r="AJ187" s="849">
        <v>7360000</v>
      </c>
      <c r="AK187" s="849"/>
      <c r="AL187" s="849"/>
      <c r="AM187" s="849"/>
      <c r="AN187" s="849"/>
      <c r="AO187" s="849"/>
      <c r="AP187" s="849"/>
      <c r="AQ187" s="1309"/>
      <c r="AR187" s="1018"/>
      <c r="AS187" s="1309"/>
      <c r="AT187" s="1363"/>
      <c r="AU187" s="1247" t="s">
        <v>1170</v>
      </c>
      <c r="AV187" s="1369"/>
    </row>
    <row r="188" spans="1:48" s="723" customFormat="1" ht="23.25" customHeight="1" x14ac:dyDescent="0.25">
      <c r="A188" s="809"/>
      <c r="B188" s="745" t="s">
        <v>281</v>
      </c>
      <c r="C188" s="746"/>
      <c r="D188" s="747">
        <v>823062.98</v>
      </c>
      <c r="E188" s="747">
        <v>840660.4</v>
      </c>
      <c r="F188" s="747">
        <v>487947</v>
      </c>
      <c r="G188" s="747">
        <v>882730</v>
      </c>
      <c r="H188" s="747">
        <v>975626.9</v>
      </c>
      <c r="I188" s="760">
        <v>0</v>
      </c>
      <c r="J188" s="748">
        <v>200000</v>
      </c>
      <c r="K188" s="747">
        <v>369255.6</v>
      </c>
      <c r="L188" s="760">
        <v>0</v>
      </c>
      <c r="M188" s="747"/>
      <c r="N188" s="747"/>
      <c r="O188" s="747"/>
      <c r="P188" s="747">
        <v>100000</v>
      </c>
      <c r="Q188" s="747">
        <v>392588.3</v>
      </c>
      <c r="R188" s="747"/>
      <c r="S188" s="760">
        <v>0</v>
      </c>
      <c r="T188" s="751"/>
      <c r="U188" s="751"/>
      <c r="V188" s="751"/>
      <c r="W188" s="751"/>
      <c r="X188" s="747">
        <v>400000</v>
      </c>
      <c r="Y188" s="760">
        <v>0</v>
      </c>
      <c r="Z188" s="760">
        <v>0</v>
      </c>
      <c r="AA188" s="760">
        <v>0</v>
      </c>
      <c r="AB188" s="760">
        <v>0</v>
      </c>
      <c r="AC188" s="760">
        <v>0</v>
      </c>
      <c r="AD188" s="836"/>
      <c r="AE188" s="818">
        <v>350000</v>
      </c>
      <c r="AF188" s="818"/>
      <c r="AG188" s="818"/>
      <c r="AH188" s="818"/>
      <c r="AI188" s="849">
        <f t="shared" si="33"/>
        <v>350000</v>
      </c>
      <c r="AJ188" s="849">
        <v>6999</v>
      </c>
      <c r="AK188" s="849"/>
      <c r="AL188" s="849"/>
      <c r="AM188" s="849"/>
      <c r="AN188" s="849"/>
      <c r="AO188" s="849"/>
      <c r="AP188" s="849"/>
      <c r="AQ188" s="1309"/>
      <c r="AR188" s="1018"/>
      <c r="AS188" s="1309"/>
      <c r="AT188" s="1018"/>
      <c r="AU188" s="782"/>
      <c r="AV188" s="1369"/>
    </row>
    <row r="189" spans="1:48" s="723" customFormat="1" ht="23.25" customHeight="1" x14ac:dyDescent="0.25">
      <c r="A189" s="809"/>
      <c r="B189" s="745" t="s">
        <v>282</v>
      </c>
      <c r="C189" s="746"/>
      <c r="D189" s="747">
        <v>573417.62</v>
      </c>
      <c r="E189" s="747">
        <v>0</v>
      </c>
      <c r="F189" s="747">
        <v>1065262.6299999999</v>
      </c>
      <c r="G189" s="747">
        <v>1621866.5</v>
      </c>
      <c r="H189" s="747">
        <v>811617.36</v>
      </c>
      <c r="I189" s="760">
        <v>0</v>
      </c>
      <c r="J189" s="748">
        <v>0</v>
      </c>
      <c r="K189" s="760">
        <v>0</v>
      </c>
      <c r="L189" s="760">
        <v>0</v>
      </c>
      <c r="M189" s="760">
        <v>0</v>
      </c>
      <c r="N189" s="760">
        <v>0</v>
      </c>
      <c r="O189" s="760">
        <v>0</v>
      </c>
      <c r="P189" s="760">
        <v>0</v>
      </c>
      <c r="Q189" s="760">
        <v>0</v>
      </c>
      <c r="R189" s="747"/>
      <c r="S189" s="760">
        <v>0</v>
      </c>
      <c r="T189" s="751"/>
      <c r="U189" s="751"/>
      <c r="V189" s="751"/>
      <c r="W189" s="751"/>
      <c r="X189" s="760">
        <v>0</v>
      </c>
      <c r="Y189" s="760">
        <v>0</v>
      </c>
      <c r="Z189" s="760">
        <v>0</v>
      </c>
      <c r="AA189" s="760">
        <v>0</v>
      </c>
      <c r="AB189" s="760">
        <v>0</v>
      </c>
      <c r="AC189" s="760">
        <v>0</v>
      </c>
      <c r="AD189" s="747"/>
      <c r="AE189" s="760">
        <v>0</v>
      </c>
      <c r="AF189" s="747"/>
      <c r="AG189" s="747"/>
      <c r="AH189" s="747"/>
      <c r="AI189" s="849">
        <f t="shared" si="33"/>
        <v>0</v>
      </c>
      <c r="AJ189" s="1018"/>
      <c r="AK189" s="1018"/>
      <c r="AL189" s="1018"/>
      <c r="AM189" s="1018"/>
      <c r="AN189" s="1018"/>
      <c r="AO189" s="1018"/>
      <c r="AP189" s="1018"/>
      <c r="AQ189" s="1309"/>
      <c r="AR189" s="1018"/>
      <c r="AS189" s="1309"/>
      <c r="AT189" s="1018"/>
      <c r="AU189" s="753"/>
      <c r="AV189" s="1369"/>
    </row>
    <row r="190" spans="1:48" s="723" customFormat="1" ht="23.25" customHeight="1" x14ac:dyDescent="0.25">
      <c r="A190" s="809"/>
      <c r="B190" s="756" t="s">
        <v>1145</v>
      </c>
      <c r="C190" s="746" t="s">
        <v>188</v>
      </c>
      <c r="D190" s="747">
        <v>0</v>
      </c>
      <c r="E190" s="747">
        <v>134240</v>
      </c>
      <c r="F190" s="747">
        <v>290680</v>
      </c>
      <c r="G190" s="747">
        <v>28740</v>
      </c>
      <c r="H190" s="747">
        <v>1028358.2</v>
      </c>
      <c r="I190" s="760">
        <v>0</v>
      </c>
      <c r="J190" s="748">
        <v>0</v>
      </c>
      <c r="K190" s="760">
        <v>0</v>
      </c>
      <c r="L190" s="760">
        <v>0</v>
      </c>
      <c r="M190" s="760">
        <v>0</v>
      </c>
      <c r="N190" s="760">
        <v>0</v>
      </c>
      <c r="O190" s="760">
        <v>0</v>
      </c>
      <c r="P190" s="760">
        <v>0</v>
      </c>
      <c r="Q190" s="760">
        <v>0</v>
      </c>
      <c r="R190" s="747"/>
      <c r="S190" s="760">
        <v>0</v>
      </c>
      <c r="T190" s="751"/>
      <c r="U190" s="751"/>
      <c r="V190" s="751"/>
      <c r="W190" s="751"/>
      <c r="X190" s="760">
        <v>0</v>
      </c>
      <c r="Y190" s="760">
        <v>0</v>
      </c>
      <c r="Z190" s="760">
        <v>0</v>
      </c>
      <c r="AA190" s="760">
        <v>0</v>
      </c>
      <c r="AB190" s="760">
        <v>0</v>
      </c>
      <c r="AC190" s="760">
        <v>0</v>
      </c>
      <c r="AD190" s="747"/>
      <c r="AE190" s="760">
        <v>0</v>
      </c>
      <c r="AF190" s="747"/>
      <c r="AG190" s="747"/>
      <c r="AH190" s="747"/>
      <c r="AI190" s="849">
        <f t="shared" si="33"/>
        <v>0</v>
      </c>
      <c r="AJ190" s="1018"/>
      <c r="AK190" s="1018"/>
      <c r="AL190" s="1018"/>
      <c r="AM190" s="1018"/>
      <c r="AN190" s="1018"/>
      <c r="AO190" s="1018"/>
      <c r="AP190" s="1018"/>
      <c r="AQ190" s="1309"/>
      <c r="AR190" s="1018"/>
      <c r="AS190" s="1309"/>
      <c r="AT190" s="1018"/>
      <c r="AU190" s="753"/>
      <c r="AV190" s="1369"/>
    </row>
    <row r="191" spans="1:48" s="723" customFormat="1" ht="23.25" customHeight="1" x14ac:dyDescent="0.25">
      <c r="A191" s="809"/>
      <c r="B191" s="745" t="s">
        <v>1146</v>
      </c>
      <c r="C191" s="746"/>
      <c r="D191" s="747">
        <v>8000000</v>
      </c>
      <c r="E191" s="747">
        <v>10000</v>
      </c>
      <c r="F191" s="747">
        <v>2129000</v>
      </c>
      <c r="G191" s="747">
        <v>64500</v>
      </c>
      <c r="H191" s="747">
        <v>64500</v>
      </c>
      <c r="I191" s="760">
        <v>0</v>
      </c>
      <c r="J191" s="748">
        <v>4230700</v>
      </c>
      <c r="K191" s="747">
        <v>4230700</v>
      </c>
      <c r="L191" s="760">
        <v>0</v>
      </c>
      <c r="M191" s="747"/>
      <c r="N191" s="747"/>
      <c r="O191" s="747"/>
      <c r="P191" s="747">
        <v>2087000</v>
      </c>
      <c r="Q191" s="747">
        <f>87000+10000000</f>
        <v>10087000</v>
      </c>
      <c r="R191" s="747"/>
      <c r="S191" s="760">
        <v>0</v>
      </c>
      <c r="T191" s="751"/>
      <c r="U191" s="751"/>
      <c r="V191" s="751"/>
      <c r="W191" s="751"/>
      <c r="X191" s="747">
        <v>2000000</v>
      </c>
      <c r="Y191" s="760">
        <v>0</v>
      </c>
      <c r="Z191" s="836"/>
      <c r="AA191" s="836"/>
      <c r="AB191" s="720">
        <f t="shared" si="32"/>
        <v>-80.172499256468726</v>
      </c>
      <c r="AC191" s="859">
        <v>31200</v>
      </c>
      <c r="AD191" s="836"/>
      <c r="AE191" s="818">
        <f>+X191</f>
        <v>2000000</v>
      </c>
      <c r="AF191" s="818"/>
      <c r="AG191" s="818"/>
      <c r="AH191" s="818"/>
      <c r="AI191" s="849">
        <f t="shared" si="33"/>
        <v>2000000</v>
      </c>
      <c r="AJ191" s="1018">
        <f>2874000+4221400+4000000</f>
        <v>11095400</v>
      </c>
      <c r="AK191" s="1018"/>
      <c r="AL191" s="1018"/>
      <c r="AM191" s="1018"/>
      <c r="AN191" s="1018"/>
      <c r="AO191" s="1018"/>
      <c r="AP191" s="1018"/>
      <c r="AQ191" s="1309"/>
      <c r="AR191" s="1018"/>
      <c r="AS191" s="1309"/>
      <c r="AT191" s="1018"/>
      <c r="AU191" s="782"/>
      <c r="AV191" s="1369"/>
    </row>
    <row r="192" spans="1:48" s="723" customFormat="1" ht="23.25" customHeight="1" x14ac:dyDescent="0.25">
      <c r="A192" s="809"/>
      <c r="B192" s="745" t="s">
        <v>283</v>
      </c>
      <c r="C192" s="746"/>
      <c r="D192" s="747">
        <v>0</v>
      </c>
      <c r="E192" s="747">
        <v>0</v>
      </c>
      <c r="F192" s="747"/>
      <c r="G192" s="747">
        <v>509811.98</v>
      </c>
      <c r="H192" s="760">
        <v>0</v>
      </c>
      <c r="I192" s="760">
        <v>0</v>
      </c>
      <c r="J192" s="748">
        <v>500000</v>
      </c>
      <c r="K192" s="760">
        <v>0</v>
      </c>
      <c r="L192" s="760">
        <v>0</v>
      </c>
      <c r="M192" s="760">
        <v>0</v>
      </c>
      <c r="N192" s="760">
        <v>0</v>
      </c>
      <c r="O192" s="760">
        <v>0</v>
      </c>
      <c r="P192" s="760">
        <v>0</v>
      </c>
      <c r="Q192" s="760">
        <v>0</v>
      </c>
      <c r="R192" s="747"/>
      <c r="S192" s="760">
        <v>0</v>
      </c>
      <c r="T192" s="760">
        <v>0</v>
      </c>
      <c r="U192" s="760">
        <v>0</v>
      </c>
      <c r="V192" s="760">
        <v>0</v>
      </c>
      <c r="W192" s="760">
        <v>0</v>
      </c>
      <c r="X192" s="760">
        <v>0</v>
      </c>
      <c r="Y192" s="760">
        <v>0</v>
      </c>
      <c r="Z192" s="760">
        <v>0</v>
      </c>
      <c r="AA192" s="760">
        <v>0</v>
      </c>
      <c r="AB192" s="760">
        <v>0</v>
      </c>
      <c r="AC192" s="760">
        <v>0</v>
      </c>
      <c r="AD192" s="747"/>
      <c r="AE192" s="760">
        <v>0</v>
      </c>
      <c r="AF192" s="747"/>
      <c r="AG192" s="747"/>
      <c r="AH192" s="747"/>
      <c r="AI192" s="849">
        <f t="shared" si="33"/>
        <v>0</v>
      </c>
      <c r="AJ192" s="1018"/>
      <c r="AK192" s="1018"/>
      <c r="AL192" s="1018"/>
      <c r="AM192" s="1018"/>
      <c r="AN192" s="1018"/>
      <c r="AO192" s="1018"/>
      <c r="AP192" s="1018"/>
      <c r="AQ192" s="1309"/>
      <c r="AR192" s="1018"/>
      <c r="AS192" s="1309"/>
      <c r="AT192" s="1018"/>
      <c r="AU192" s="753"/>
      <c r="AV192" s="1369"/>
    </row>
    <row r="193" spans="1:48" s="723" customFormat="1" ht="23.25" customHeight="1" x14ac:dyDescent="0.25">
      <c r="A193" s="809"/>
      <c r="B193" s="745" t="s">
        <v>284</v>
      </c>
      <c r="C193" s="746"/>
      <c r="D193" s="747">
        <v>0</v>
      </c>
      <c r="E193" s="747">
        <v>0</v>
      </c>
      <c r="F193" s="747">
        <v>0</v>
      </c>
      <c r="G193" s="747">
        <v>0</v>
      </c>
      <c r="H193" s="760">
        <v>0</v>
      </c>
      <c r="I193" s="760">
        <v>0</v>
      </c>
      <c r="J193" s="748">
        <v>0</v>
      </c>
      <c r="K193" s="747">
        <v>22000</v>
      </c>
      <c r="L193" s="760">
        <v>0</v>
      </c>
      <c r="M193" s="760">
        <v>0</v>
      </c>
      <c r="N193" s="760">
        <v>0</v>
      </c>
      <c r="O193" s="760">
        <v>0</v>
      </c>
      <c r="P193" s="760">
        <v>0</v>
      </c>
      <c r="Q193" s="760">
        <v>0</v>
      </c>
      <c r="R193" s="747"/>
      <c r="S193" s="760">
        <v>0</v>
      </c>
      <c r="T193" s="751"/>
      <c r="U193" s="751"/>
      <c r="V193" s="751"/>
      <c r="W193" s="751"/>
      <c r="X193" s="760">
        <v>0</v>
      </c>
      <c r="Y193" s="760">
        <v>0</v>
      </c>
      <c r="Z193" s="760">
        <v>0</v>
      </c>
      <c r="AA193" s="760">
        <v>0</v>
      </c>
      <c r="AB193" s="760">
        <v>0</v>
      </c>
      <c r="AC193" s="760">
        <v>0</v>
      </c>
      <c r="AD193" s="747"/>
      <c r="AE193" s="760">
        <v>0</v>
      </c>
      <c r="AF193" s="747"/>
      <c r="AG193" s="747"/>
      <c r="AH193" s="747"/>
      <c r="AI193" s="849">
        <f t="shared" si="33"/>
        <v>0</v>
      </c>
      <c r="AJ193" s="849"/>
      <c r="AK193" s="849"/>
      <c r="AL193" s="849"/>
      <c r="AM193" s="849"/>
      <c r="AN193" s="849"/>
      <c r="AO193" s="849"/>
      <c r="AP193" s="849"/>
      <c r="AQ193" s="1309"/>
      <c r="AR193" s="1018"/>
      <c r="AS193" s="1309"/>
      <c r="AT193" s="1018"/>
      <c r="AU193" s="753"/>
      <c r="AV193" s="1369"/>
    </row>
    <row r="194" spans="1:48" s="723" customFormat="1" ht="23.25" customHeight="1" x14ac:dyDescent="0.6">
      <c r="A194" s="775"/>
      <c r="B194" s="893" t="s">
        <v>285</v>
      </c>
      <c r="C194" s="824"/>
      <c r="D194" s="735">
        <v>0</v>
      </c>
      <c r="E194" s="735">
        <v>0</v>
      </c>
      <c r="F194" s="735">
        <v>0</v>
      </c>
      <c r="G194" s="735">
        <v>2000000</v>
      </c>
      <c r="H194" s="825">
        <v>0</v>
      </c>
      <c r="I194" s="825">
        <v>0</v>
      </c>
      <c r="J194" s="1108">
        <v>500000</v>
      </c>
      <c r="K194" s="1109">
        <v>0</v>
      </c>
      <c r="L194" s="1110">
        <v>0</v>
      </c>
      <c r="M194" s="1110">
        <v>0</v>
      </c>
      <c r="N194" s="1110">
        <v>0</v>
      </c>
      <c r="O194" s="1110">
        <v>0</v>
      </c>
      <c r="P194" s="1110">
        <v>0</v>
      </c>
      <c r="Q194" s="1110">
        <v>0</v>
      </c>
      <c r="R194" s="1111"/>
      <c r="S194" s="825">
        <v>0</v>
      </c>
      <c r="T194" s="825">
        <v>0</v>
      </c>
      <c r="U194" s="825">
        <v>0</v>
      </c>
      <c r="V194" s="825">
        <v>0</v>
      </c>
      <c r="W194" s="825">
        <v>0</v>
      </c>
      <c r="X194" s="825">
        <v>0</v>
      </c>
      <c r="Y194" s="825">
        <v>0</v>
      </c>
      <c r="Z194" s="825">
        <v>0</v>
      </c>
      <c r="AA194" s="825">
        <v>0</v>
      </c>
      <c r="AB194" s="825">
        <v>0</v>
      </c>
      <c r="AC194" s="825">
        <v>0</v>
      </c>
      <c r="AD194" s="1111"/>
      <c r="AE194" s="1110">
        <v>0</v>
      </c>
      <c r="AF194" s="1111"/>
      <c r="AG194" s="1111"/>
      <c r="AH194" s="1111"/>
      <c r="AI194" s="1011">
        <f t="shared" si="33"/>
        <v>0</v>
      </c>
      <c r="AJ194" s="1106"/>
      <c r="AK194" s="1106"/>
      <c r="AL194" s="1106"/>
      <c r="AM194" s="1106"/>
      <c r="AN194" s="1106"/>
      <c r="AO194" s="1106"/>
      <c r="AP194" s="1106"/>
      <c r="AQ194" s="1310"/>
      <c r="AR194" s="1106"/>
      <c r="AS194" s="1310"/>
      <c r="AT194" s="1106"/>
      <c r="AU194" s="1112"/>
      <c r="AV194" s="1369"/>
    </row>
    <row r="195" spans="1:48" s="723" customFormat="1" ht="23.25" customHeight="1" x14ac:dyDescent="0.6">
      <c r="A195" s="809"/>
      <c r="B195" s="745" t="s">
        <v>286</v>
      </c>
      <c r="C195" s="746"/>
      <c r="D195" s="747">
        <v>0</v>
      </c>
      <c r="E195" s="747">
        <v>0</v>
      </c>
      <c r="F195" s="747">
        <v>0</v>
      </c>
      <c r="G195" s="747">
        <v>0</v>
      </c>
      <c r="H195" s="760">
        <v>0</v>
      </c>
      <c r="I195" s="760">
        <v>0</v>
      </c>
      <c r="J195" s="1019">
        <v>0</v>
      </c>
      <c r="K195" s="1020">
        <v>0</v>
      </c>
      <c r="L195" s="1021">
        <v>0</v>
      </c>
      <c r="M195" s="1021">
        <v>0</v>
      </c>
      <c r="N195" s="1021">
        <v>0</v>
      </c>
      <c r="O195" s="1021">
        <v>0</v>
      </c>
      <c r="P195" s="1021">
        <v>0</v>
      </c>
      <c r="Q195" s="1021">
        <v>0</v>
      </c>
      <c r="R195" s="1022"/>
      <c r="S195" s="760">
        <v>0</v>
      </c>
      <c r="T195" s="1024"/>
      <c r="U195" s="1024"/>
      <c r="V195" s="1024"/>
      <c r="W195" s="1024"/>
      <c r="X195" s="760">
        <v>0</v>
      </c>
      <c r="Y195" s="760">
        <v>0</v>
      </c>
      <c r="Z195" s="760">
        <v>0</v>
      </c>
      <c r="AA195" s="760">
        <v>0</v>
      </c>
      <c r="AB195" s="760">
        <v>0</v>
      </c>
      <c r="AC195" s="760">
        <v>0</v>
      </c>
      <c r="AD195" s="1022"/>
      <c r="AE195" s="1021">
        <v>0</v>
      </c>
      <c r="AF195" s="1022"/>
      <c r="AG195" s="1022"/>
      <c r="AH195" s="1022"/>
      <c r="AI195" s="849">
        <f t="shared" si="33"/>
        <v>0</v>
      </c>
      <c r="AJ195" s="849"/>
      <c r="AK195" s="849"/>
      <c r="AL195" s="849"/>
      <c r="AM195" s="849"/>
      <c r="AN195" s="849"/>
      <c r="AO195" s="849"/>
      <c r="AP195" s="849"/>
      <c r="AQ195" s="1309"/>
      <c r="AR195" s="1018"/>
      <c r="AS195" s="1309"/>
      <c r="AT195" s="1018"/>
      <c r="AU195" s="1023"/>
      <c r="AV195" s="1369"/>
    </row>
    <row r="196" spans="1:48" s="723" customFormat="1" ht="23.25" customHeight="1" x14ac:dyDescent="0.6">
      <c r="A196" s="809"/>
      <c r="B196" s="745" t="s">
        <v>578</v>
      </c>
      <c r="C196" s="746"/>
      <c r="D196" s="747">
        <v>0</v>
      </c>
      <c r="E196" s="747">
        <v>0</v>
      </c>
      <c r="F196" s="747">
        <v>0</v>
      </c>
      <c r="G196" s="747"/>
      <c r="H196" s="760">
        <v>0</v>
      </c>
      <c r="I196" s="760">
        <v>0</v>
      </c>
      <c r="J196" s="1019">
        <v>1520</v>
      </c>
      <c r="K196" s="1022">
        <v>1520</v>
      </c>
      <c r="L196" s="1021">
        <v>0</v>
      </c>
      <c r="M196" s="1021">
        <v>0</v>
      </c>
      <c r="N196" s="1021">
        <v>0</v>
      </c>
      <c r="O196" s="1021">
        <v>0</v>
      </c>
      <c r="P196" s="1021">
        <v>0</v>
      </c>
      <c r="Q196" s="1021">
        <v>0</v>
      </c>
      <c r="R196" s="1022"/>
      <c r="S196" s="760">
        <v>0</v>
      </c>
      <c r="T196" s="1024"/>
      <c r="U196" s="1024"/>
      <c r="V196" s="1024"/>
      <c r="W196" s="1024"/>
      <c r="X196" s="760">
        <v>0</v>
      </c>
      <c r="Y196" s="760">
        <v>0</v>
      </c>
      <c r="Z196" s="1022">
        <v>36047.230000000003</v>
      </c>
      <c r="AA196" s="1022"/>
      <c r="AB196" s="835" t="e">
        <f t="shared" si="32"/>
        <v>#DIV/0!</v>
      </c>
      <c r="AC196" s="1022">
        <v>36047.230000000003</v>
      </c>
      <c r="AD196" s="1022"/>
      <c r="AE196" s="1022">
        <v>50000</v>
      </c>
      <c r="AF196" s="1022"/>
      <c r="AG196" s="1022"/>
      <c r="AH196" s="1022">
        <v>1819</v>
      </c>
      <c r="AI196" s="849">
        <f t="shared" si="33"/>
        <v>50000</v>
      </c>
      <c r="AJ196" s="849">
        <v>36047.230000000003</v>
      </c>
      <c r="AK196" s="849"/>
      <c r="AL196" s="849"/>
      <c r="AM196" s="849"/>
      <c r="AN196" s="849"/>
      <c r="AO196" s="849"/>
      <c r="AP196" s="849"/>
      <c r="AQ196" s="1309"/>
      <c r="AR196" s="1018"/>
      <c r="AS196" s="1309"/>
      <c r="AT196" s="1018"/>
      <c r="AU196" s="1023"/>
      <c r="AV196" s="1369"/>
    </row>
    <row r="197" spans="1:48" s="723" customFormat="1" ht="23.25" customHeight="1" x14ac:dyDescent="0.6">
      <c r="A197" s="809"/>
      <c r="B197" s="745" t="s">
        <v>287</v>
      </c>
      <c r="C197" s="746"/>
      <c r="D197" s="747"/>
      <c r="E197" s="747"/>
      <c r="F197" s="747"/>
      <c r="G197" s="747"/>
      <c r="H197" s="760">
        <v>0</v>
      </c>
      <c r="I197" s="760">
        <v>0</v>
      </c>
      <c r="J197" s="1019"/>
      <c r="K197" s="1022">
        <v>1780000</v>
      </c>
      <c r="L197" s="1021">
        <v>0</v>
      </c>
      <c r="M197" s="1021">
        <v>0</v>
      </c>
      <c r="N197" s="1021">
        <v>0</v>
      </c>
      <c r="O197" s="1021">
        <v>0</v>
      </c>
      <c r="P197" s="1021">
        <v>0</v>
      </c>
      <c r="Q197" s="1021">
        <v>0</v>
      </c>
      <c r="R197" s="1022"/>
      <c r="S197" s="760">
        <v>0</v>
      </c>
      <c r="T197" s="1024"/>
      <c r="U197" s="1024"/>
      <c r="V197" s="1024"/>
      <c r="W197" s="1024"/>
      <c r="X197" s="760">
        <v>0</v>
      </c>
      <c r="Y197" s="760">
        <v>0</v>
      </c>
      <c r="Z197" s="760">
        <v>0</v>
      </c>
      <c r="AA197" s="760">
        <v>0</v>
      </c>
      <c r="AB197" s="760">
        <v>0</v>
      </c>
      <c r="AC197" s="760">
        <v>0</v>
      </c>
      <c r="AD197" s="1022"/>
      <c r="AE197" s="1021">
        <v>0</v>
      </c>
      <c r="AF197" s="1022"/>
      <c r="AG197" s="1022"/>
      <c r="AH197" s="1022"/>
      <c r="AI197" s="849">
        <f t="shared" si="33"/>
        <v>0</v>
      </c>
      <c r="AJ197" s="1018"/>
      <c r="AK197" s="1018"/>
      <c r="AL197" s="1018"/>
      <c r="AM197" s="1018"/>
      <c r="AN197" s="1018"/>
      <c r="AO197" s="1018"/>
      <c r="AP197" s="1018"/>
      <c r="AQ197" s="1309"/>
      <c r="AR197" s="1018"/>
      <c r="AS197" s="1309"/>
      <c r="AT197" s="1018"/>
      <c r="AU197" s="1023"/>
    </row>
    <row r="198" spans="1:48" s="802" customFormat="1" ht="23.25" customHeight="1" x14ac:dyDescent="0.6">
      <c r="A198" s="1025"/>
      <c r="B198" s="1026" t="s">
        <v>425</v>
      </c>
      <c r="C198" s="1027"/>
      <c r="D198" s="921"/>
      <c r="E198" s="921"/>
      <c r="F198" s="921"/>
      <c r="G198" s="921"/>
      <c r="H198" s="821">
        <v>0</v>
      </c>
      <c r="I198" s="821">
        <v>0</v>
      </c>
      <c r="J198" s="1028"/>
      <c r="K198" s="1029"/>
      <c r="L198" s="1030">
        <v>0</v>
      </c>
      <c r="M198" s="1030">
        <v>0</v>
      </c>
      <c r="N198" s="1030">
        <v>0</v>
      </c>
      <c r="O198" s="1030">
        <v>0</v>
      </c>
      <c r="P198" s="1030">
        <v>0</v>
      </c>
      <c r="Q198" s="1030">
        <v>0</v>
      </c>
      <c r="R198" s="1029"/>
      <c r="S198" s="821">
        <v>0</v>
      </c>
      <c r="T198" s="1031"/>
      <c r="U198" s="1031"/>
      <c r="V198" s="1031"/>
      <c r="W198" s="1031"/>
      <c r="X198" s="1029">
        <v>3700000</v>
      </c>
      <c r="Y198" s="821">
        <v>0</v>
      </c>
      <c r="Z198" s="821">
        <v>0</v>
      </c>
      <c r="AA198" s="821">
        <v>0</v>
      </c>
      <c r="AB198" s="821">
        <v>0</v>
      </c>
      <c r="AC198" s="821">
        <v>0</v>
      </c>
      <c r="AD198" s="1029"/>
      <c r="AE198" s="1029">
        <f>+X198</f>
        <v>3700000</v>
      </c>
      <c r="AF198" s="1029"/>
      <c r="AG198" s="1029"/>
      <c r="AH198" s="1029"/>
      <c r="AI198" s="1012">
        <f t="shared" si="33"/>
        <v>3700000</v>
      </c>
      <c r="AJ198" s="1032"/>
      <c r="AK198" s="1032"/>
      <c r="AL198" s="1032"/>
      <c r="AM198" s="1032"/>
      <c r="AN198" s="1032"/>
      <c r="AO198" s="1032"/>
      <c r="AP198" s="1032"/>
      <c r="AQ198" s="1311"/>
      <c r="AR198" s="1032"/>
      <c r="AS198" s="1311"/>
      <c r="AT198" s="1032"/>
      <c r="AU198" s="1033"/>
    </row>
    <row r="199" spans="1:48" s="723" customFormat="1" ht="23.25" customHeight="1" x14ac:dyDescent="0.25">
      <c r="A199" s="716" t="s">
        <v>288</v>
      </c>
      <c r="B199" s="724" t="s">
        <v>521</v>
      </c>
      <c r="C199" s="725"/>
      <c r="D199" s="717">
        <v>0</v>
      </c>
      <c r="E199" s="717">
        <v>0</v>
      </c>
      <c r="F199" s="717">
        <v>0</v>
      </c>
      <c r="G199" s="717">
        <v>19125843.02</v>
      </c>
      <c r="H199" s="717">
        <v>19125843.02</v>
      </c>
      <c r="I199" s="923">
        <v>0</v>
      </c>
      <c r="J199" s="1034">
        <v>0</v>
      </c>
      <c r="K199" s="923">
        <v>4357500</v>
      </c>
      <c r="L199" s="923">
        <v>0</v>
      </c>
      <c r="M199" s="923"/>
      <c r="N199" s="923"/>
      <c r="O199" s="923"/>
      <c r="P199" s="923">
        <f>SUM(P200:P200)</f>
        <v>0</v>
      </c>
      <c r="Q199" s="923">
        <v>0</v>
      </c>
      <c r="R199" s="717"/>
      <c r="S199" s="1035">
        <v>0</v>
      </c>
      <c r="T199" s="728"/>
      <c r="U199" s="728"/>
      <c r="V199" s="729"/>
      <c r="W199" s="729"/>
      <c r="X199" s="717">
        <f>+'ครุภัณฑ์ แผน 68'!E554</f>
        <v>1582997.38</v>
      </c>
      <c r="Y199" s="923">
        <v>0</v>
      </c>
      <c r="Z199" s="1036">
        <v>0</v>
      </c>
      <c r="AA199" s="1037"/>
      <c r="AB199" s="720" t="e">
        <f t="shared" si="32"/>
        <v>#DIV/0!</v>
      </c>
      <c r="AC199" s="1038">
        <v>0</v>
      </c>
      <c r="AD199" s="1039">
        <f>+AC199/X199*100</f>
        <v>0</v>
      </c>
      <c r="AE199" s="719">
        <v>820997.38</v>
      </c>
      <c r="AF199" s="1040">
        <v>232250</v>
      </c>
      <c r="AG199" s="719">
        <f>+AF199/AE199*100</f>
        <v>28.288762626745534</v>
      </c>
      <c r="AH199" s="1039"/>
      <c r="AI199" s="1041">
        <f>+AE199</f>
        <v>820997.38</v>
      </c>
      <c r="AJ199" s="1174">
        <v>325000</v>
      </c>
      <c r="AK199" s="1039">
        <f>+AV199/AI199*100</f>
        <v>39.585997217189657</v>
      </c>
      <c r="AL199" s="1041"/>
      <c r="AM199" s="1041"/>
      <c r="AN199" s="1041"/>
      <c r="AO199" s="1235"/>
      <c r="AP199" s="1275"/>
      <c r="AQ199" s="1041"/>
      <c r="AR199" s="1041"/>
      <c r="AS199" s="1420"/>
      <c r="AT199" s="1041"/>
      <c r="AU199" s="1042"/>
      <c r="AV199" s="1169">
        <v>325000</v>
      </c>
    </row>
    <row r="200" spans="1:48" s="723" customFormat="1" ht="23.25" customHeight="1" x14ac:dyDescent="0.25">
      <c r="A200" s="1043" t="s">
        <v>289</v>
      </c>
      <c r="B200" s="1015" t="s">
        <v>522</v>
      </c>
      <c r="C200" s="734"/>
      <c r="D200" s="737"/>
      <c r="E200" s="737"/>
      <c r="F200" s="717">
        <v>0</v>
      </c>
      <c r="G200" s="717">
        <v>0</v>
      </c>
      <c r="H200" s="923">
        <v>0</v>
      </c>
      <c r="I200" s="923">
        <v>0</v>
      </c>
      <c r="J200" s="923">
        <v>0</v>
      </c>
      <c r="K200" s="923">
        <v>0</v>
      </c>
      <c r="L200" s="923">
        <v>0</v>
      </c>
      <c r="M200" s="923">
        <v>0</v>
      </c>
      <c r="N200" s="923">
        <v>0</v>
      </c>
      <c r="O200" s="923">
        <v>0</v>
      </c>
      <c r="P200" s="923">
        <v>0</v>
      </c>
      <c r="Q200" s="923">
        <v>0</v>
      </c>
      <c r="R200" s="717">
        <v>0</v>
      </c>
      <c r="S200" s="908">
        <v>0</v>
      </c>
      <c r="T200" s="740"/>
      <c r="U200" s="740"/>
      <c r="V200" s="740"/>
      <c r="W200" s="740"/>
      <c r="X200" s="738">
        <f>SUM(X201:X202)</f>
        <v>4584828.4400000004</v>
      </c>
      <c r="Y200" s="923">
        <v>0</v>
      </c>
      <c r="Z200" s="1036">
        <v>0</v>
      </c>
      <c r="AA200" s="1037"/>
      <c r="AB200" s="720" t="e">
        <f t="shared" si="32"/>
        <v>#DIV/0!</v>
      </c>
      <c r="AC200" s="1038">
        <v>0</v>
      </c>
      <c r="AD200" s="1039">
        <f>+AC200/X200*100</f>
        <v>0</v>
      </c>
      <c r="AE200" s="1044">
        <f>SUM(AE201:AE202)</f>
        <v>4584828.4400000004</v>
      </c>
      <c r="AF200" s="1045">
        <v>0</v>
      </c>
      <c r="AG200" s="1039">
        <f>+AF200/AE200*100</f>
        <v>0</v>
      </c>
      <c r="AH200" s="1039"/>
      <c r="AI200" s="1046">
        <f>SUM(AI201:AI202)</f>
        <v>4584828.4400000004</v>
      </c>
      <c r="AJ200" s="1039">
        <f>SUM(AJ201:AJ202)</f>
        <v>1910941.2</v>
      </c>
      <c r="AK200" s="1046">
        <f>+AJ200/AI200*100</f>
        <v>41.67966642607896</v>
      </c>
      <c r="AL200" s="1046"/>
      <c r="AM200" s="1046"/>
      <c r="AN200" s="1195"/>
      <c r="AO200" s="1235"/>
      <c r="AP200" s="1276"/>
      <c r="AQ200" s="1041"/>
      <c r="AR200" s="1041"/>
      <c r="AS200" s="1421"/>
      <c r="AT200" s="1195"/>
      <c r="AU200" s="1047"/>
    </row>
    <row r="201" spans="1:48" s="723" customFormat="1" ht="23.25" customHeight="1" x14ac:dyDescent="0.25">
      <c r="A201" s="1043"/>
      <c r="B201" s="733" t="s">
        <v>1111</v>
      </c>
      <c r="C201" s="734"/>
      <c r="D201" s="737"/>
      <c r="E201" s="737"/>
      <c r="F201" s="738"/>
      <c r="G201" s="738"/>
      <c r="H201" s="928">
        <v>0</v>
      </c>
      <c r="I201" s="928">
        <v>0</v>
      </c>
      <c r="J201" s="928">
        <v>0</v>
      </c>
      <c r="K201" s="928">
        <v>0</v>
      </c>
      <c r="L201" s="928">
        <v>0</v>
      </c>
      <c r="M201" s="928">
        <v>0</v>
      </c>
      <c r="N201" s="928">
        <v>0</v>
      </c>
      <c r="O201" s="928">
        <v>0</v>
      </c>
      <c r="P201" s="928">
        <v>0</v>
      </c>
      <c r="Q201" s="928">
        <v>0</v>
      </c>
      <c r="R201" s="738"/>
      <c r="S201" s="928">
        <v>0</v>
      </c>
      <c r="T201" s="740"/>
      <c r="U201" s="740"/>
      <c r="V201" s="740"/>
      <c r="W201" s="740"/>
      <c r="X201" s="737">
        <f>2299566+2148000</f>
        <v>4447566</v>
      </c>
      <c r="Y201" s="928">
        <v>0</v>
      </c>
      <c r="Z201" s="928">
        <v>0</v>
      </c>
      <c r="AA201" s="928">
        <v>0</v>
      </c>
      <c r="AB201" s="928">
        <v>0</v>
      </c>
      <c r="AC201" s="928">
        <v>0</v>
      </c>
      <c r="AD201" s="1048"/>
      <c r="AE201" s="1048">
        <f>+X201</f>
        <v>4447566</v>
      </c>
      <c r="AF201" s="1049"/>
      <c r="AG201" s="1049"/>
      <c r="AH201" s="1049"/>
      <c r="AI201" s="931">
        <f>+AE201</f>
        <v>4447566</v>
      </c>
      <c r="AJ201" s="840">
        <v>1910941.2</v>
      </c>
      <c r="AK201" s="1049"/>
      <c r="AL201" s="1049"/>
      <c r="AM201" s="931"/>
      <c r="AN201" s="931"/>
      <c r="AO201" s="1236"/>
      <c r="AP201" s="931"/>
      <c r="AQ201" s="1312"/>
      <c r="AR201" s="741"/>
      <c r="AS201" s="1312"/>
      <c r="AT201" s="931"/>
      <c r="AU201" s="1047"/>
      <c r="AV201" s="931">
        <v>1910941.2</v>
      </c>
    </row>
    <row r="202" spans="1:48" s="723" customFormat="1" ht="23.25" customHeight="1" x14ac:dyDescent="0.25">
      <c r="A202" s="1094"/>
      <c r="B202" s="745" t="s">
        <v>479</v>
      </c>
      <c r="C202" s="746"/>
      <c r="D202" s="747"/>
      <c r="E202" s="747"/>
      <c r="F202" s="749"/>
      <c r="G202" s="749"/>
      <c r="H202" s="760">
        <v>0</v>
      </c>
      <c r="I202" s="760">
        <v>0</v>
      </c>
      <c r="J202" s="760">
        <v>0</v>
      </c>
      <c r="K202" s="760">
        <v>0</v>
      </c>
      <c r="L202" s="760">
        <v>0</v>
      </c>
      <c r="M202" s="760">
        <v>0</v>
      </c>
      <c r="N202" s="760">
        <v>0</v>
      </c>
      <c r="O202" s="760">
        <v>0</v>
      </c>
      <c r="P202" s="760">
        <v>0</v>
      </c>
      <c r="Q202" s="760">
        <v>0</v>
      </c>
      <c r="R202" s="749"/>
      <c r="S202" s="760">
        <v>0</v>
      </c>
      <c r="T202" s="751"/>
      <c r="U202" s="751"/>
      <c r="V202" s="751"/>
      <c r="W202" s="751"/>
      <c r="X202" s="747">
        <v>137262.44</v>
      </c>
      <c r="Y202" s="760">
        <v>0</v>
      </c>
      <c r="Z202" s="760">
        <v>0</v>
      </c>
      <c r="AA202" s="760">
        <v>0</v>
      </c>
      <c r="AB202" s="760">
        <v>0</v>
      </c>
      <c r="AC202" s="760">
        <v>0</v>
      </c>
      <c r="AD202" s="957"/>
      <c r="AE202" s="957">
        <f>+X202</f>
        <v>137262.44</v>
      </c>
      <c r="AF202" s="1095"/>
      <c r="AG202" s="1095"/>
      <c r="AH202" s="1095"/>
      <c r="AI202" s="757">
        <f>+AE202</f>
        <v>137262.44</v>
      </c>
      <c r="AJ202" s="1095"/>
      <c r="AK202" s="1095"/>
      <c r="AL202" s="1095"/>
      <c r="AM202" s="757"/>
      <c r="AN202" s="757"/>
      <c r="AO202" s="1237"/>
      <c r="AP202" s="757"/>
      <c r="AQ202" s="1313"/>
      <c r="AR202" s="752"/>
      <c r="AS202" s="1313"/>
      <c r="AT202" s="757"/>
      <c r="AU202" s="1251"/>
    </row>
    <row r="203" spans="1:48" s="723" customFormat="1" ht="23.25" customHeight="1" x14ac:dyDescent="0.25">
      <c r="A203" s="1094"/>
      <c r="B203" s="745" t="s">
        <v>1110</v>
      </c>
      <c r="C203" s="746"/>
      <c r="D203" s="747"/>
      <c r="E203" s="747"/>
      <c r="F203" s="749"/>
      <c r="G203" s="749"/>
      <c r="H203" s="760"/>
      <c r="I203" s="760"/>
      <c r="J203" s="760"/>
      <c r="K203" s="760"/>
      <c r="L203" s="760"/>
      <c r="M203" s="760"/>
      <c r="N203" s="760"/>
      <c r="O203" s="760"/>
      <c r="P203" s="760"/>
      <c r="Q203" s="760"/>
      <c r="R203" s="749"/>
      <c r="S203" s="760"/>
      <c r="T203" s="751"/>
      <c r="U203" s="751"/>
      <c r="V203" s="751"/>
      <c r="W203" s="751"/>
      <c r="X203" s="747"/>
      <c r="Y203" s="760"/>
      <c r="Z203" s="760"/>
      <c r="AA203" s="760"/>
      <c r="AB203" s="760"/>
      <c r="AC203" s="760"/>
      <c r="AD203" s="957"/>
      <c r="AE203" s="957"/>
      <c r="AF203" s="1095"/>
      <c r="AG203" s="1095"/>
      <c r="AH203" s="1095"/>
      <c r="AI203" s="757"/>
      <c r="AJ203" s="1095"/>
      <c r="AK203" s="1095"/>
      <c r="AL203" s="1095"/>
      <c r="AM203" s="757"/>
      <c r="AN203" s="757"/>
      <c r="AO203" s="1237"/>
      <c r="AP203" s="757"/>
      <c r="AQ203" s="1313"/>
      <c r="AR203" s="752"/>
      <c r="AS203" s="1313"/>
      <c r="AT203" s="757"/>
      <c r="AU203" s="1251"/>
    </row>
    <row r="204" spans="1:48" s="723" customFormat="1" ht="23.25" customHeight="1" x14ac:dyDescent="0.25">
      <c r="A204" s="1050"/>
      <c r="B204" s="762" t="s">
        <v>1112</v>
      </c>
      <c r="C204" s="763"/>
      <c r="D204" s="764"/>
      <c r="E204" s="764"/>
      <c r="F204" s="767"/>
      <c r="G204" s="767"/>
      <c r="H204" s="821"/>
      <c r="I204" s="821"/>
      <c r="J204" s="821"/>
      <c r="K204" s="821"/>
      <c r="L204" s="821"/>
      <c r="M204" s="821"/>
      <c r="N204" s="821"/>
      <c r="O204" s="821"/>
      <c r="P204" s="821"/>
      <c r="Q204" s="821"/>
      <c r="R204" s="767"/>
      <c r="S204" s="821"/>
      <c r="T204" s="769"/>
      <c r="U204" s="769"/>
      <c r="V204" s="769"/>
      <c r="W204" s="769"/>
      <c r="X204" s="764"/>
      <c r="Y204" s="821"/>
      <c r="Z204" s="821"/>
      <c r="AA204" s="821"/>
      <c r="AB204" s="821"/>
      <c r="AC204" s="821"/>
      <c r="AD204" s="972"/>
      <c r="AE204" s="972"/>
      <c r="AF204" s="1051"/>
      <c r="AG204" s="1051"/>
      <c r="AH204" s="1051"/>
      <c r="AI204" s="868"/>
      <c r="AJ204" s="1051"/>
      <c r="AK204" s="1051"/>
      <c r="AL204" s="1051"/>
      <c r="AM204" s="868"/>
      <c r="AN204" s="868"/>
      <c r="AO204" s="1238"/>
      <c r="AP204" s="868"/>
      <c r="AQ204" s="1314"/>
      <c r="AR204" s="1208"/>
      <c r="AS204" s="1314"/>
      <c r="AT204" s="868"/>
      <c r="AU204" s="1252"/>
    </row>
    <row r="205" spans="1:48" s="723" customFormat="1" ht="23.25" customHeight="1" x14ac:dyDescent="0.25">
      <c r="A205" s="1077" t="s">
        <v>478</v>
      </c>
      <c r="B205" s="1082" t="s">
        <v>290</v>
      </c>
      <c r="C205" s="1078"/>
      <c r="D205" s="1081">
        <v>0</v>
      </c>
      <c r="E205" s="1081">
        <v>0</v>
      </c>
      <c r="F205" s="1083">
        <v>0</v>
      </c>
      <c r="G205" s="1084">
        <v>12000000</v>
      </c>
      <c r="H205" s="1085">
        <v>0</v>
      </c>
      <c r="I205" s="1086">
        <v>0</v>
      </c>
      <c r="J205" s="1087">
        <v>10000000</v>
      </c>
      <c r="K205" s="1085">
        <v>0</v>
      </c>
      <c r="L205" s="1088">
        <v>0</v>
      </c>
      <c r="M205" s="1085"/>
      <c r="N205" s="1085"/>
      <c r="O205" s="1085"/>
      <c r="P205" s="1085">
        <v>2000000</v>
      </c>
      <c r="Q205" s="1085">
        <v>0</v>
      </c>
      <c r="R205" s="1083"/>
      <c r="S205" s="825">
        <v>0</v>
      </c>
      <c r="T205" s="1089"/>
      <c r="U205" s="1089"/>
      <c r="V205" s="1089"/>
      <c r="W205" s="1089"/>
      <c r="X205" s="1083">
        <v>10000000</v>
      </c>
      <c r="Y205" s="1085">
        <v>0</v>
      </c>
      <c r="Z205" s="1085">
        <v>0</v>
      </c>
      <c r="AA205" s="1083"/>
      <c r="AB205" s="720" t="e">
        <f t="shared" si="32"/>
        <v>#DIV/0!</v>
      </c>
      <c r="AC205" s="1085">
        <v>0</v>
      </c>
      <c r="AD205" s="1085">
        <v>0</v>
      </c>
      <c r="AE205" s="1090">
        <f>+X205</f>
        <v>10000000</v>
      </c>
      <c r="AF205" s="1091">
        <v>0</v>
      </c>
      <c r="AG205" s="1091">
        <f>+AF205/AE205*100</f>
        <v>0</v>
      </c>
      <c r="AH205" s="1091"/>
      <c r="AI205" s="1092">
        <f>+AE205</f>
        <v>10000000</v>
      </c>
      <c r="AJ205" s="1092">
        <v>0</v>
      </c>
      <c r="AK205" s="1092"/>
      <c r="AL205" s="1092"/>
      <c r="AM205" s="1092"/>
      <c r="AN205" s="1092"/>
      <c r="AO205" s="1235"/>
      <c r="AP205" s="1277"/>
      <c r="AQ205" s="1041"/>
      <c r="AR205" s="1041"/>
      <c r="AS205" s="1422"/>
      <c r="AT205" s="1092"/>
      <c r="AU205" s="1093"/>
    </row>
    <row r="206" spans="1:48" s="723" customFormat="1" ht="23.25" customHeight="1" x14ac:dyDescent="0.25">
      <c r="A206" s="1585" t="s">
        <v>3</v>
      </c>
      <c r="B206" s="1585"/>
      <c r="C206" s="725"/>
      <c r="D206" s="717">
        <f>D5+D6+D17+D106+D111+D116+D159+D180+D199+D205</f>
        <v>1620514611.02</v>
      </c>
      <c r="E206" s="717">
        <f>E5+E6+E17+E106+E111+E116+E159+E180+E199+E205</f>
        <v>1562771747.21</v>
      </c>
      <c r="F206" s="717">
        <f>F5+F6+F17+F106+F111+F116+F159+F180+F199+F205</f>
        <v>1594289249.3299999</v>
      </c>
      <c r="G206" s="717">
        <f>G5+G6+G17+G106+G111+G116+G159+G176+G180+G199+G205</f>
        <v>1806382935.5</v>
      </c>
      <c r="H206" s="717">
        <f>H5+H6+H17+H106+H111+H116+H159+H180+H199+H205</f>
        <v>1808082271.22</v>
      </c>
      <c r="I206" s="717">
        <f>I5+I6+I17+I106+I111+I116+I159+I176+I180+I199+I205</f>
        <v>292356494.70000005</v>
      </c>
      <c r="J206" s="726">
        <v>2009880953.28</v>
      </c>
      <c r="K206" s="717">
        <f>+K5+K6+K17+K106+K111+K116+K159+K176+K180+K199+K205</f>
        <v>1794515619.4300001</v>
      </c>
      <c r="L206" s="717">
        <f>+L22+L23+L24+L26+L36+L39+L42+L55+L117+L118+L119+L120+L121+L122+L126+L128+L136+L138+L139+L140+L141+L144+L156+L157+L158+L160+L161+L162+L167+L169+L172</f>
        <v>284402810</v>
      </c>
      <c r="M206" s="717">
        <f>M5+M6+M17+M106+M111+M116+M159+M176+M180+M199+M205</f>
        <v>391409034.93000001</v>
      </c>
      <c r="N206" s="717">
        <f>N5+N6+N17+N106+N111+N116+N159+N176+N180+N199+N205</f>
        <v>46312759.259999998</v>
      </c>
      <c r="O206" s="717"/>
      <c r="P206" s="717">
        <f t="shared" ref="P206:U206" si="34">+P5+P6+P17+P106+P111+P116+P159+P176+P180+P199+P205</f>
        <v>1732726363.4200001</v>
      </c>
      <c r="Q206" s="717">
        <f t="shared" si="34"/>
        <v>2187701344.96</v>
      </c>
      <c r="R206" s="717">
        <f t="shared" si="34"/>
        <v>947.67222036421549</v>
      </c>
      <c r="S206" s="717">
        <f t="shared" si="34"/>
        <v>288314676.38999993</v>
      </c>
      <c r="T206" s="717" t="e">
        <f t="shared" si="34"/>
        <v>#REF!</v>
      </c>
      <c r="U206" s="717">
        <f t="shared" si="34"/>
        <v>149484820.22999999</v>
      </c>
      <c r="V206" s="730"/>
      <c r="W206" s="730"/>
      <c r="X206" s="717">
        <f>+X5+X6+X17+X106+X111+X116+X159+X176+X180+X199+X200+X205</f>
        <v>2408859887.9400001</v>
      </c>
      <c r="Y206" s="717">
        <f>+Y5+Y6+Y17+Y106+Y111+Y116+Y159+Y176+Y180+Y199+Y205</f>
        <v>289250636.10999995</v>
      </c>
      <c r="Z206" s="730">
        <f>+Z5+Z6+Z17+Z106+Z111+Z116+Z159+Z176+Z180+Z199+Z200+Z205</f>
        <v>518500282.11000001</v>
      </c>
      <c r="AA206" s="730">
        <f>+Z206/X206*100</f>
        <v>21.524717344743916</v>
      </c>
      <c r="AB206" s="720">
        <f t="shared" si="32"/>
        <v>10.109174339061518</v>
      </c>
      <c r="AC206" s="730">
        <f>+AC5+AC6+AC17+AC106+AC111+AC116+AC159+AC176+AC180+AC199+AC200+AC205</f>
        <v>1047128177.27</v>
      </c>
      <c r="AD206" s="719">
        <f>+AC206/X206*100</f>
        <v>43.4698664921304</v>
      </c>
      <c r="AE206" s="730" t="e">
        <f>+AE5+AE6+AE17+AE106+AE111+AE116+AE159+AE176+AE180+AE199+AE200+AE205</f>
        <v>#REF!</v>
      </c>
      <c r="AF206" s="730">
        <f>+AF5+AF6+AF17+AF106+AF111+AF116+AF159+AF176+AF180+AF199+AF200+AF205-AF199</f>
        <v>1582513959.8600001</v>
      </c>
      <c r="AG206" s="719" t="e">
        <f>+AF206/AE206*100</f>
        <v>#REF!</v>
      </c>
      <c r="AH206" s="730">
        <f>SUM(AH5:AH205)</f>
        <v>330840148.35000002</v>
      </c>
      <c r="AI206" s="730" t="e">
        <f>+AI5+AI6+AI17+AI106+AI111+AI116+AI159+AI176+AI180+AI199+AI200+AI205</f>
        <v>#REF!</v>
      </c>
      <c r="AJ206" s="730">
        <f>+AJ5+AJ6+AJ17+AJ106+AJ111+AJ116+AJ159+AJ176+AJ180+AJ199+AJ200+AJ205</f>
        <v>2272461201.8199997</v>
      </c>
      <c r="AK206" s="731" t="e">
        <f>+AJ206/AI206*100</f>
        <v>#REF!</v>
      </c>
      <c r="AL206" s="730">
        <f>SUM(AL159,AL157,AL158,AL144,AL143,AL141,AL137,AL136,AL128,AL122,AL117,AL118,AL119,AL120,AL121,AL55,AL42,AL39,AL26,AL20)</f>
        <v>292620258.42000008</v>
      </c>
      <c r="AM206" s="730">
        <f>+AM5+AM6+AM17+AM106+AM111+AM116+AM159+AM176+AM180+AM199+AM200+AM205-AM199</f>
        <v>0</v>
      </c>
      <c r="AN206" s="730">
        <f>+AN5+AN6+AN17+AN106+AN111+AN116+AN159+AN176+AN180+AN199+AN200+AN205-AN199</f>
        <v>0</v>
      </c>
      <c r="AO206" s="719" t="e">
        <f>+AN206/AM206*100</f>
        <v>#DIV/0!</v>
      </c>
      <c r="AP206" s="1278">
        <f>SUM(AP17,AP116,AP159)</f>
        <v>0</v>
      </c>
      <c r="AQ206" s="730">
        <f>+AQ5+AQ6+AQ17+AQ106+AQ111+AQ116+AQ159+AQ176+AQ180+AQ199+AQ200+AQ205-AQ199</f>
        <v>0</v>
      </c>
      <c r="AR206" s="719"/>
      <c r="AS206" s="1423">
        <f>SUM(AS20,AS26,AS39,AS42,AS55,AS116,AS159)</f>
        <v>0</v>
      </c>
      <c r="AT206" s="730">
        <f>+AT5+AT6+AT17+AT106+AT111+AT116+AT159+AT176+AT180+AT199+AT200+AT205-AT199</f>
        <v>0</v>
      </c>
      <c r="AU206" s="731"/>
    </row>
    <row r="207" spans="1:48" s="723" customFormat="1" ht="18.75" customHeight="1" x14ac:dyDescent="0.25">
      <c r="A207" s="712"/>
      <c r="B207" s="712"/>
      <c r="C207" s="1052"/>
      <c r="D207" s="773"/>
      <c r="E207" s="773"/>
      <c r="F207" s="773"/>
      <c r="G207" s="773"/>
      <c r="H207" s="773"/>
      <c r="I207" s="773"/>
      <c r="J207" s="773"/>
      <c r="K207" s="773"/>
      <c r="L207" s="773"/>
      <c r="M207" s="773"/>
      <c r="N207" s="773"/>
      <c r="O207" s="773"/>
      <c r="P207" s="1053"/>
      <c r="Q207" s="1053"/>
      <c r="R207" s="1053"/>
      <c r="S207" s="1053"/>
      <c r="T207" s="1053"/>
      <c r="U207" s="1053"/>
      <c r="V207" s="1053"/>
      <c r="W207" s="1053"/>
      <c r="X207" s="1053"/>
      <c r="Y207" s="1053"/>
      <c r="Z207" s="773"/>
      <c r="AA207" s="773"/>
      <c r="AB207" s="1054"/>
      <c r="AC207" s="773"/>
      <c r="AD207" s="773"/>
      <c r="AE207" s="773"/>
      <c r="AF207" s="773"/>
      <c r="AG207" s="773"/>
      <c r="AH207" s="773"/>
      <c r="AI207" s="773"/>
      <c r="AJ207" s="773"/>
      <c r="AK207" s="773"/>
      <c r="AL207" s="773"/>
      <c r="AM207" s="773"/>
      <c r="AN207" s="773"/>
      <c r="AO207" s="773"/>
      <c r="AP207" s="1279"/>
      <c r="AQ207" s="773"/>
      <c r="AR207" s="773"/>
      <c r="AS207" s="1424"/>
      <c r="AT207" s="773"/>
      <c r="AU207" s="773"/>
    </row>
    <row r="208" spans="1:48" x14ac:dyDescent="0.25">
      <c r="D208" s="1056"/>
      <c r="E208" s="1056"/>
      <c r="F208" s="1056"/>
      <c r="G208" s="1056"/>
      <c r="H208" s="1056"/>
      <c r="I208" s="1056"/>
      <c r="J208" s="1056"/>
      <c r="K208" s="1056"/>
      <c r="L208" s="1056"/>
      <c r="M208" s="1056"/>
      <c r="N208" s="1056"/>
      <c r="O208" s="1056"/>
      <c r="P208" s="1056"/>
      <c r="Q208" s="1056"/>
      <c r="R208" s="1056"/>
      <c r="S208" s="1056"/>
      <c r="T208" s="1056"/>
      <c r="U208" s="1056"/>
      <c r="V208" s="1056"/>
      <c r="W208" s="1056"/>
      <c r="X208" s="1056"/>
      <c r="Y208" s="1056"/>
      <c r="Z208" s="1056"/>
      <c r="AA208" s="1056"/>
      <c r="AB208" s="1057"/>
      <c r="AC208" s="1056"/>
      <c r="AD208" s="1056"/>
      <c r="AE208" s="1056"/>
      <c r="AF208" s="1056"/>
      <c r="AG208" s="1056"/>
      <c r="AH208" s="1056"/>
      <c r="AI208" s="1056"/>
      <c r="AJ208" s="1056"/>
      <c r="AK208" s="1056"/>
      <c r="AL208" s="1056"/>
      <c r="AM208" s="1056"/>
      <c r="AN208" s="1056"/>
      <c r="AO208" s="1056"/>
      <c r="AP208" s="1056"/>
      <c r="AQ208" s="1056"/>
      <c r="AR208" s="1056"/>
      <c r="AS208" s="1425"/>
      <c r="AT208" s="1056"/>
      <c r="AU208" s="1056"/>
    </row>
    <row r="209" spans="4:47" x14ac:dyDescent="0.25">
      <c r="D209" s="1053"/>
      <c r="E209" s="1053"/>
      <c r="F209" s="1053"/>
      <c r="G209" s="1053"/>
      <c r="H209" s="1053"/>
      <c r="I209" s="1053"/>
      <c r="J209" s="1053"/>
      <c r="K209" s="1053"/>
      <c r="L209" s="1053"/>
      <c r="M209" s="1053"/>
      <c r="N209" s="1053"/>
      <c r="O209" s="1053"/>
      <c r="Z209" s="1053"/>
      <c r="AA209" s="1053"/>
      <c r="AB209" s="1058"/>
      <c r="AC209" s="1053"/>
      <c r="AD209" s="1053"/>
      <c r="AE209" s="1053"/>
      <c r="AF209" s="1053"/>
      <c r="AG209" s="1053"/>
      <c r="AH209" s="1053"/>
      <c r="AI209" s="1053"/>
      <c r="AJ209" s="1053"/>
      <c r="AK209" s="1053"/>
      <c r="AL209" s="1053"/>
      <c r="AM209" s="1053"/>
      <c r="AN209" s="1053"/>
      <c r="AO209" s="1053"/>
      <c r="AP209" s="1053"/>
      <c r="AQ209" s="1053"/>
      <c r="AR209" s="1053"/>
      <c r="AS209" s="1426"/>
      <c r="AT209" s="1053"/>
      <c r="AU209" s="1053"/>
    </row>
    <row r="210" spans="4:47" x14ac:dyDescent="0.25">
      <c r="D210" s="1056"/>
      <c r="E210" s="1056"/>
      <c r="F210" s="1056"/>
      <c r="G210" s="1056"/>
      <c r="H210" s="1056"/>
      <c r="I210" s="1056"/>
      <c r="J210" s="1056"/>
      <c r="K210" s="1056"/>
      <c r="L210" s="1056"/>
      <c r="M210" s="1056"/>
      <c r="N210" s="1056"/>
      <c r="O210" s="1056"/>
      <c r="P210" s="1056"/>
      <c r="Q210" s="1056"/>
      <c r="R210" s="1056"/>
      <c r="S210" s="1056"/>
      <c r="T210" s="1056"/>
      <c r="U210" s="1056"/>
      <c r="V210" s="1056"/>
      <c r="W210" s="1056"/>
      <c r="X210" s="1056"/>
      <c r="Y210" s="1056"/>
      <c r="Z210" s="1056"/>
      <c r="AA210" s="1056"/>
      <c r="AB210" s="1057"/>
      <c r="AC210" s="1056"/>
      <c r="AD210" s="1056"/>
      <c r="AE210" s="1056"/>
      <c r="AF210" s="1056"/>
      <c r="AG210" s="1056"/>
      <c r="AH210" s="1056"/>
      <c r="AI210" s="1056"/>
      <c r="AJ210" s="1056"/>
      <c r="AK210" s="1056"/>
      <c r="AL210" s="1056"/>
      <c r="AM210" s="1056"/>
      <c r="AN210" s="1056"/>
      <c r="AO210" s="1056"/>
      <c r="AP210" s="1056"/>
      <c r="AQ210" s="1056"/>
      <c r="AR210" s="1056"/>
      <c r="AS210" s="1425"/>
      <c r="AT210" s="1056"/>
      <c r="AU210" s="1056"/>
    </row>
    <row r="212" spans="4:47" x14ac:dyDescent="0.25">
      <c r="J212" s="1059"/>
      <c r="K212" s="1059"/>
      <c r="L212" s="1059"/>
      <c r="M212" s="1059"/>
      <c r="N212" s="1059"/>
      <c r="O212" s="1059"/>
      <c r="P212" s="1059"/>
      <c r="Q212" s="1059"/>
      <c r="R212" s="1059"/>
      <c r="S212" s="1059"/>
      <c r="T212" s="1059"/>
      <c r="U212" s="1059"/>
      <c r="V212" s="1059"/>
      <c r="W212" s="1059"/>
      <c r="X212" s="1059"/>
      <c r="Y212" s="1059"/>
      <c r="Z212" s="1059"/>
      <c r="AA212" s="1059"/>
      <c r="AB212" s="1060"/>
      <c r="AC212" s="1059"/>
      <c r="AD212" s="1059"/>
      <c r="AE212" s="1059"/>
      <c r="AF212" s="1059"/>
      <c r="AG212" s="1059"/>
      <c r="AH212" s="1059"/>
      <c r="AI212" s="1059"/>
      <c r="AJ212" s="1059"/>
      <c r="AK212" s="1059"/>
      <c r="AL212" s="1059"/>
      <c r="AM212" s="1059"/>
      <c r="AN212" s="1059"/>
      <c r="AO212" s="1059"/>
      <c r="AP212" s="1059"/>
      <c r="AQ212" s="1059"/>
      <c r="AR212" s="1059"/>
      <c r="AS212" s="1427"/>
      <c r="AT212" s="1059"/>
      <c r="AU212" s="1059"/>
    </row>
    <row r="215" spans="4:47" x14ac:dyDescent="0.25">
      <c r="I215" s="1056"/>
    </row>
    <row r="216" spans="4:47" x14ac:dyDescent="0.25">
      <c r="I216" s="1062"/>
    </row>
  </sheetData>
  <mergeCells count="44">
    <mergeCell ref="U123:U125"/>
    <mergeCell ref="O3:O4"/>
    <mergeCell ref="P3:P4"/>
    <mergeCell ref="X3:X4"/>
    <mergeCell ref="S3:S4"/>
    <mergeCell ref="T3:W3"/>
    <mergeCell ref="K112:K114"/>
    <mergeCell ref="A206:B206"/>
    <mergeCell ref="J32:J33"/>
    <mergeCell ref="G36:G37"/>
    <mergeCell ref="T123:T125"/>
    <mergeCell ref="AC3:AD3"/>
    <mergeCell ref="AU3:AU4"/>
    <mergeCell ref="AE3:AE4"/>
    <mergeCell ref="AF3:AG3"/>
    <mergeCell ref="AN3:AO3"/>
    <mergeCell ref="AL3:AL4"/>
    <mergeCell ref="AM3:AM4"/>
    <mergeCell ref="AP3:AP4"/>
    <mergeCell ref="AQ3:AR3"/>
    <mergeCell ref="AS3:AS4"/>
    <mergeCell ref="AT3:AT4"/>
    <mergeCell ref="H3:H4"/>
    <mergeCell ref="I3:I4"/>
    <mergeCell ref="J3:J4"/>
    <mergeCell ref="K3:K4"/>
    <mergeCell ref="Y3:Y4"/>
    <mergeCell ref="V4:W4"/>
    <mergeCell ref="A1:AU1"/>
    <mergeCell ref="AJ3:AK3"/>
    <mergeCell ref="AI3:AI4"/>
    <mergeCell ref="L3:L4"/>
    <mergeCell ref="M3:M4"/>
    <mergeCell ref="Q3:Q4"/>
    <mergeCell ref="N3:N4"/>
    <mergeCell ref="R3:R4"/>
    <mergeCell ref="AH3:AH4"/>
    <mergeCell ref="Z3:AA3"/>
    <mergeCell ref="A2:Y2"/>
    <mergeCell ref="B3:B4"/>
    <mergeCell ref="D3:D4"/>
    <mergeCell ref="E3:E4"/>
    <mergeCell ref="F3:F4"/>
    <mergeCell ref="G3:G4"/>
  </mergeCells>
  <pageMargins left="0.35433070866141736" right="0.19685039370078741" top="0.51181102362204722" bottom="0.27559055118110237" header="0.35433070866141736" footer="0.11811023622047245"/>
  <pageSetup paperSize="9" scale="87" firstPageNumber="14" orientation="landscape" useFirstPageNumber="1" horizontalDpi="4294967293" r:id="rId1"/>
  <headerFooter>
    <oddFooter>&amp;C&amp;10&amp;P&amp;R&amp;8&amp;F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15</vt:i4>
      </vt:variant>
    </vt:vector>
  </HeadingPairs>
  <TitlesOfParts>
    <vt:vector size="24" baseType="lpstr">
      <vt:lpstr>แผนรายรับ-รายจ่ายเงินบำรุง 1ปี</vt:lpstr>
      <vt:lpstr>แผนรายรับ-รายจ่ายเงินบำรุง 3 ปี</vt:lpstr>
      <vt:lpstr>สรุป รับ-จ่าย</vt:lpstr>
      <vt:lpstr>ประมาณการรายรับ</vt:lpstr>
      <vt:lpstr>ประมาณการรายจ่าย</vt:lpstr>
      <vt:lpstr>ครุภัณฑ์ แผน 68</vt:lpstr>
      <vt:lpstr>รายการครุภัณฑ์ปรับ</vt:lpstr>
      <vt:lpstr>สิ่งก่อสร้าง (25.10.67)</vt:lpstr>
      <vt:lpstr>รายละเอียดรายจ่าย</vt:lpstr>
      <vt:lpstr>'ครุภัณฑ์ แผน 68'!Print_Area</vt:lpstr>
      <vt:lpstr>ประมาณการรายจ่าย!Print_Area</vt:lpstr>
      <vt:lpstr>ประมาณการรายรับ!Print_Area</vt:lpstr>
      <vt:lpstr>'แผนรายรับ-รายจ่ายเงินบำรุง 1ปี'!Print_Area</vt:lpstr>
      <vt:lpstr>'แผนรายรับ-รายจ่ายเงินบำรุง 3 ปี'!Print_Area</vt:lpstr>
      <vt:lpstr>รายการครุภัณฑ์ปรับ!Print_Area</vt:lpstr>
      <vt:lpstr>รายละเอียดรายจ่าย!Print_Area</vt:lpstr>
      <vt:lpstr>'สิ่งก่อสร้าง (25.10.67)'!Print_Area</vt:lpstr>
      <vt:lpstr>'ครุภัณฑ์ แผน 68'!Print_Titles</vt:lpstr>
      <vt:lpstr>ประมาณการรายจ่าย!Print_Titles</vt:lpstr>
      <vt:lpstr>ประมาณการรายรับ!Print_Titles</vt:lpstr>
      <vt:lpstr>'แผนรายรับ-รายจ่ายเงินบำรุง 1ปี'!Print_Titles</vt:lpstr>
      <vt:lpstr>'แผนรายรับ-รายจ่ายเงินบำรุง 3 ปี'!Print_Titles</vt:lpstr>
      <vt:lpstr>รายละเอียดรายจ่าย!Print_Titles</vt:lpstr>
      <vt:lpstr>'สิ่งก่อสร้าง (25.10.67)'!Print_Titles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Dhes.0004-59</dc:creator>
  <cp:lastModifiedBy>natcha kaojaidee</cp:lastModifiedBy>
  <cp:lastPrinted>2026-05-15T03:11:16Z</cp:lastPrinted>
  <dcterms:created xsi:type="dcterms:W3CDTF">2022-12-15T04:57:35Z</dcterms:created>
  <dcterms:modified xsi:type="dcterms:W3CDTF">2026-05-16T03:26:00Z</dcterms:modified>
</cp:coreProperties>
</file>