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P\"/>
    </mc:Choice>
  </mc:AlternateContent>
  <xr:revisionPtr revIDLastSave="0" documentId="13_ncr:1_{5B9D72E3-7BFF-473C-AA80-B19E207C4CAD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ปกและลงนาม" sheetId="1" r:id="rId1"/>
    <sheet name="สรุปประเภทข้อมูล" sheetId="2" r:id="rId2"/>
    <sheet name="ยืนยัน-แหล่งเงิน" sheetId="3" r:id="rId3"/>
    <sheet name="ยืนยัน-กลุ่มงบ" sheetId="4" r:id="rId4"/>
    <sheet name="ยืนยัน-วัสดุย่อย" sheetId="5" r:id="rId5"/>
    <sheet name="ยืนยัน-ประเภทงบ" sheetId="6" r:id="rId6"/>
    <sheet name="ยืนยัน-กลุ่มครุภัณฑ์" sheetId="7" r:id="rId7"/>
    <sheet name="ยืนยัน-แบบฟอร์ม" sheetId="8" r:id="rId8"/>
    <sheet name="ยืนยัน-หน่วยงาน" sheetId="11" r:id="rId9"/>
    <sheet name="ยืนยัน-แผนปี" sheetId="12" r:id="rId10"/>
    <sheet name="ยืนยัน-หมวดงบ" sheetId="13" r:id="rId11"/>
    <sheet name="วิธีตรวจและเกณฑ์" sheetId="14" r:id="rId12"/>
  </sheets>
  <definedNames>
    <definedName name="_xlnm._FilterDatabase" localSheetId="6" hidden="1">'ยืนยัน-กลุ่มครุภัณฑ์'!$A$1:$F$14</definedName>
    <definedName name="_xlnm._FilterDatabase" localSheetId="3" hidden="1">'ยืนยัน-กลุ่มงบ'!$A$1:$E$10</definedName>
    <definedName name="_xlnm._FilterDatabase" localSheetId="7" hidden="1">'ยืนยัน-แบบฟอร์ม'!$A$1:$E$5</definedName>
    <definedName name="_xlnm._FilterDatabase" localSheetId="5" hidden="1">'ยืนยัน-ประเภทงบ'!$A$1:$F$5</definedName>
    <definedName name="_xlnm._FilterDatabase" localSheetId="9" hidden="1">'ยืนยัน-แผนปี'!$A$1:$E$2</definedName>
    <definedName name="_xlnm._FilterDatabase" localSheetId="4" hidden="1">'ยืนยัน-วัสดุย่อย'!$A$1:$G$36</definedName>
    <definedName name="_xlnm._FilterDatabase" localSheetId="8" hidden="1">'ยืนยัน-หน่วยงาน'!$A$1:$E$45</definedName>
    <definedName name="_xlnm._FilterDatabase" localSheetId="10" hidden="1">'ยืนยัน-หมวดงบ'!$A$1:$B$45</definedName>
    <definedName name="_xlnm._FilterDatabase" localSheetId="2" hidden="1">'ยืนยัน-แหล่งเงิน'!$A$1:$E$21</definedName>
    <definedName name="_xlnm._FilterDatabase" localSheetId="1" hidden="1">สรุปประเภทข้อมูล!$A$1:$P$11</definedName>
  </definedNames>
  <calcPr calcId="191029"/>
</workbook>
</file>

<file path=xl/calcChain.xml><?xml version="1.0" encoding="utf-8"?>
<calcChain xmlns="http://schemas.openxmlformats.org/spreadsheetml/2006/main">
  <c r="G12" i="2" l="1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<sst xmlns="http://schemas.openxmlformats.org/spreadsheetml/2006/main" count="883" uniqueCount="511">
  <si>
    <t>โรงพยาบาลวชิระภูเก็ต</t>
  </si>
  <si>
    <t>ยืนยันข้อมูลนำเข้า ระบบงบประมาณ</t>
  </si>
  <si>
    <t>เอกสารสรุปประเภทข้อมูลนำเข้า · จำนวน record ในระบบ · รายการให้ผู้ใช้ยืนยันและลงนาม (Sign-off)</t>
  </si>
  <si>
    <t>ระบบ</t>
  </si>
  <si>
    <t>Odoo 18 · vpk_budget และบัญชีวิเคราะห์</t>
  </si>
  <si>
    <t>รหัสเอกสาร</t>
  </si>
  <si>
    <t>DM-SIGNOFF-BUD-001</t>
  </si>
  <si>
    <t>ฐานข้อมูล</t>
  </si>
  <si>
    <t>VPK-S1 · บริษัท โรงพยาบาลวชิระภูเก็ต</t>
  </si>
  <si>
    <t>วัน-เวลาที่ดึงข้อมูล</t>
  </si>
  <si>
    <t>25 ส.ค. 2569  10:56</t>
  </si>
  <si>
    <t>เจ้าของข้อมูล</t>
  </si>
  <si>
    <t>งานงบประมาณ</t>
  </si>
  <si>
    <t>ประเภท Master ที่เกี่ยวข้อง</t>
  </si>
  <si>
    <t>11 ประเภท</t>
  </si>
  <si>
    <t>Master ที่นำเข้าแล้ว</t>
  </si>
  <si>
    <t>11 ประเภท  รวม 186 รายการ</t>
  </si>
  <si>
    <t>Master ที่ยังไม่มีข้อมูล</t>
  </si>
  <si>
    <t>ไม่มี</t>
  </si>
  <si>
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</si>
  <si>
    <t>ลำดับ</t>
  </si>
  <si>
    <t>บทบาท</t>
  </si>
  <si>
    <t>ชื่อ-สกุล</t>
  </si>
  <si>
    <t>ผลยืนยัน</t>
  </si>
  <si>
    <t>ลงชื่อ</t>
  </si>
  <si>
    <t>วันที่</t>
  </si>
  <si>
    <t>หมายเหตุ</t>
  </si>
  <si>
    <t>งานงบประมาณ (เจ้าของข้อมูล)</t>
  </si>
  <si>
    <t>หน่วยงานผู้ใช้</t>
  </si>
  <si>
    <t>IT / ผู้ดูแลระบบ</t>
  </si>
  <si>
    <t>ผู้บริหารโครงการ</t>
  </si>
  <si>
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</si>
  <si>
    <t>ประเภทข้อมูล</t>
  </si>
  <si>
    <t>กลุ่ม</t>
  </si>
  <si>
    <t>โมดูลที่เกี่ยวข้อง</t>
  </si>
  <si>
    <t>โมเดลในระบบ</t>
  </si>
  <si>
    <t>คีย์จับคู่</t>
  </si>
  <si>
    <t>จำนวนในระบบ</t>
  </si>
  <si>
    <t>สถานะนำเข้า</t>
  </si>
  <si>
    <t>ชีตรายการยืนยัน</t>
  </si>
  <si>
    <t>จำนวนต้นทาง (กรอก)</t>
  </si>
  <si>
    <t>ผลต่าง</t>
  </si>
  <si>
    <t>ผู้ยืนยัน</t>
  </si>
  <si>
    <t>แหล่งเงิน</t>
  </si>
  <si>
    <t>Master</t>
  </si>
  <si>
    <t>งบประมาณ</t>
  </si>
  <si>
    <t>vpk.budget.fund.source</t>
  </si>
  <si>
    <t>code</t>
  </si>
  <si>
    <t>นำเข้าแล้ว</t>
  </si>
  <si>
    <t>ยืนยัน-แหล่งเงิน</t>
  </si>
  <si>
    <t>กลุ่มงบประมาณ-วัสดุ</t>
  </si>
  <si>
    <t>vpk.budget.group</t>
  </si>
  <si>
    <t>ยืนยัน-กลุ่มงบ</t>
  </si>
  <si>
    <t>ประเภทวัสดุย่อย</t>
  </si>
  <si>
    <t>vpk.budget.material.sub.type</t>
  </si>
  <si>
    <t>code + กลุ่มงบ</t>
  </si>
  <si>
    <t>ยืนยัน-วัสดุย่อย</t>
  </si>
  <si>
    <t>ประเภทงบประมาณ</t>
  </si>
  <si>
    <t>vpk.budget.type</t>
  </si>
  <si>
    <t>ยืนยัน-ประเภทงบ</t>
  </si>
  <si>
    <t>กลุ่มครุภัณฑ์</t>
  </si>
  <si>
    <t>vpk.budget.asset.category</t>
  </si>
  <si>
    <t>ยืนยัน-กลุ่มครุภัณฑ์</t>
  </si>
  <si>
    <t>แบบฟอร์มคำของบ</t>
  </si>
  <si>
    <t>vpk.budget.request.form.type</t>
  </si>
  <si>
    <t>ยืนยัน-แบบฟอร์ม</t>
  </si>
  <si>
    <t>ประเภทงบในแบบฟอร์ม</t>
  </si>
  <si>
    <t>vpk.budget.request.form.type.line</t>
  </si>
  <si>
    <t>form + ประเภทงบ</t>
  </si>
  <si>
    <t>ยืนยัน-แท็บแบบฟอร์ม</t>
  </si>
  <si>
    <t>name</t>
  </si>
  <si>
    <t>บัญชีวิเคราะห์ / หน่วยงาน</t>
  </si>
  <si>
    <t>งบประมาณ, จัดซื้อ, บัญชี</t>
  </si>
  <si>
    <t>account.analytic.account</t>
  </si>
  <si>
    <t>ยืนยัน-หน่วยงานวิเคราะห์</t>
  </si>
  <si>
    <t>แผนงบประมาณประจำปี</t>
  </si>
  <si>
    <t>budget.budget</t>
  </si>
  <si>
    <t>name + ช่วงวันที่</t>
  </si>
  <si>
    <t>ยืนยัน-แผนปี</t>
  </si>
  <si>
    <t>หมวดงบประมาณ</t>
  </si>
  <si>
    <t>งบประมาณ, จัดซื้อ</t>
  </si>
  <si>
    <t>account.budget.post</t>
  </si>
  <si>
    <t>ยืนยัน-หมวดงบ</t>
  </si>
  <si>
    <t>รวมจำนวนทุกประเภทในชีตนี้</t>
  </si>
  <si>
    <t>ข้อมูล ณ 25 ส.ค. 2569  10:56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</si>
  <si>
    <t>รหัส</t>
  </si>
  <si>
    <t>ชื่อ</t>
  </si>
  <si>
    <t>สถานะ</t>
  </si>
  <si>
    <t>STATE_BUDGET</t>
  </si>
  <si>
    <t>เงินงบประมาณ</t>
  </si>
  <si>
    <t>ใช้งาน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</si>
  <si>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</si>
  <si>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</si>
  <si>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</si>
  <si>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</si>
  <si>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</si>
  <si>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</si>
  <si>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DONATION_OBJECTIVE</t>
  </si>
  <si>
    <t>ระบุวัตถุประสงค์</t>
  </si>
  <si>
    <t>DONATION_LUANPORCHAM</t>
  </si>
  <si>
    <t>หลวงพ่อแช่ม</t>
  </si>
  <si>
    <t>DONATION_Other</t>
  </si>
  <si>
    <t>อื่นๆ ระบุ (ROTARY , LOINS ,Fund raise )</t>
  </si>
  <si>
    <t>CAPITAL</t>
  </si>
  <si>
    <t>งบลงทุน</t>
  </si>
  <si>
    <t>DEPR</t>
  </si>
  <si>
    <t>งบค่าเสื่อม</t>
  </si>
  <si>
    <t>PAO</t>
  </si>
  <si>
    <t>งบอบจ</t>
  </si>
  <si>
    <t>SSO</t>
  </si>
  <si>
    <t>งบ 2.5% ปกส.</t>
  </si>
  <si>
    <t>MIGRANT</t>
  </si>
  <si>
    <t>งบแรงงานต่างด้าว</t>
  </si>
  <si>
    <t>PROV</t>
  </si>
  <si>
    <t>งบพัฒนาจังหวัด</t>
  </si>
  <si>
    <t>ANDAMAN</t>
  </si>
  <si>
    <t>งบพัฒนากลุ่มจังหวัดภาคใต้ฝั่งอันดามัน</t>
  </si>
  <si>
    <t>LOTTERY</t>
  </si>
  <si>
    <t>งบสนับสนุนโครงการสลากการกุศล</t>
  </si>
  <si>
    <t>PAO-HF</t>
  </si>
  <si>
    <t>งบอบจ (กองทุนส่งเสริมและฟื้นฟูสุขภาพ)</t>
  </si>
  <si>
    <t>MED-EDU</t>
  </si>
  <si>
    <t>หมวดอุดหนุนศูนย์แพทยศาสตร</t>
  </si>
  <si>
    <t>LTC-LOCAL</t>
  </si>
  <si>
    <t>กองทุนหลักประกันสุขภาพเทศบาลนครภูเก็ต</t>
  </si>
  <si>
    <t>ACADEMIC</t>
  </si>
  <si>
    <t>เงินสนับสนุนประชุมวิชาการ</t>
  </si>
  <si>
    <t>WELFARE</t>
  </si>
  <si>
    <t>เงินสวัสดิการ</t>
  </si>
  <si>
    <t>รวม 20 รายการ · แหล่งเงิน · โมเดล vpk.budget.fund.source</t>
  </si>
  <si>
    <t>MEDICINE</t>
  </si>
  <si>
    <t>เวชภัณฑ์ ยา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</si>
  <si>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</si>
  <si>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</si>
  <si>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</si>
  <si>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</si>
  <si>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</si>
  <si>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</si>
  <si>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</si>
  <si>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</si>
  <si>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</si>
  <si>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</si>
  <si>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</si>
  <si>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</si>
  <si>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</si>
  <si>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</si>
  <si>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</si>
  <si>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</si>
  <si>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รวม 9 รายการ · กลุ่มงบประมาณ-วัสดุ · โมเดล vpk.budget.group</t>
  </si>
  <si>
    <t>รหัสกลุ่มงบ</t>
  </si>
  <si>
    <t>กลุ่มงบ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</si>
  <si>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</si>
  <si>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</si>
  <si>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</si>
  <si>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</si>
  <si>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</si>
  <si>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</si>
  <si>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</si>
  <si>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</si>
  <si>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</si>
  <si>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</si>
  <si>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</si>
  <si>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</si>
  <si>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</si>
  <si>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</si>
  <si>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</si>
  <si>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</si>
  <si>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</si>
  <si>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</si>
  <si>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</si>
  <si>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</si>
  <si>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</si>
  <si>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</si>
  <si>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</si>
  <si>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</si>
  <si>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</si>
  <si>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</si>
  <si>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</si>
  <si>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</si>
  <si>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</si>
  <si>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</si>
  <si>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</si>
  <si>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</si>
  <si>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</si>
  <si>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</si>
  <si>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</si>
  <si>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 35 รายการ · ประเภทวัสดุย่อย · โมเดล vpk.budget.material.sub.type</t>
  </si>
  <si>
    <t>กลุ่มแบบฟอร์ม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</si>
  <si>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</si>
  <si>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</si>
  <si>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</si>
  <si>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</si>
  <si>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</si>
  <si>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</si>
  <si>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</si>
  <si>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</si>
  <si>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</si>
  <si>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</si>
  <si>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</si>
  <si>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</si>
  <si>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รวม 4 รายการ · ประเภทงบประมาณ · โมเดล vpk.budget.type</t>
  </si>
  <si>
    <t>หมวดสินค้า</t>
  </si>
  <si>
    <t>medical</t>
  </si>
  <si>
    <t>ครุภัณฑ์การแพทย์</t>
  </si>
  <si>
    <t>ครุภัณฑ์ / 01. ครุภัณฑ์การแพทย์</t>
  </si>
  <si>
    <t>ครุภัณฑ์ยานพาหนะและขนส่ง</t>
  </si>
  <si>
    <t>EQ01</t>
  </si>
  <si>
    <t>ครุภัณฑ์ไฟฟ้าและวิทยุ</t>
  </si>
  <si>
    <t>ครุภัณฑ์ / 02. ครุภัณฑ์ไฟฟ้าและวิทยุ</t>
  </si>
  <si>
    <t>EQ02</t>
  </si>
  <si>
    <t>ครุภัณฑ์โรงงาน</t>
  </si>
  <si>
    <t>ครุภัณฑ์ / 03. ครุภัณฑ์โรงงาน</t>
  </si>
  <si>
    <t>EQ03</t>
  </si>
  <si>
    <t>ครุภัณฑ์การเกษตร</t>
  </si>
  <si>
    <t>ครุภัณฑ์ / 04. ครุภัณฑ์การเกษตร</t>
  </si>
  <si>
    <t>EQ04</t>
  </si>
  <si>
    <t>ครุภัณฑ์การศึกษา</t>
  </si>
  <si>
    <t>ครุภัณฑ์ / 05. ครุภัณฑ์การศึกษา</t>
  </si>
  <si>
    <t>computer</t>
  </si>
  <si>
    <t>ครุภัณฑ์คอมพิวเตอร์</t>
  </si>
  <si>
    <t>ครุภัณฑ์ / 06. ครุภัณฑ์คอมพิวเตอร์</t>
  </si>
  <si>
    <t>EQ05</t>
  </si>
  <si>
    <t>ครุภัณฑ์โฆษณาและเผยแพร่</t>
  </si>
  <si>
    <t>ครุภัณฑ์ / 07. ครุภัณฑ์โฆษณาและเผยแพร่</t>
  </si>
  <si>
    <t>workshop</t>
  </si>
  <si>
    <t>ครุภัณฑ์งานบ้านงานครัว</t>
  </si>
  <si>
    <t>ครุภัณฑ์ / 08. ครุภัณฑ์งานบ้านงานครัว</t>
  </si>
  <si>
    <t>EQ06</t>
  </si>
  <si>
    <t>ครุภัณฑ์ยานพาหนะ</t>
  </si>
  <si>
    <t>ครุภัณฑ์ / 09. ครุภัณฑ์ยานพาหนะ</t>
  </si>
  <si>
    <t>EQ07</t>
  </si>
  <si>
    <t>ครุภัณฑ์วิทยาศาสตร์</t>
  </si>
  <si>
    <t>ครุภัณฑ์ / 10. ครุภัณฑ์วิทยาศาสตร์</t>
  </si>
  <si>
    <t>office</t>
  </si>
  <si>
    <t>ครุภัณฑ์สำนักงาน</t>
  </si>
  <si>
    <t>ครุภัณฑ์ / 11. ครุภัณฑ์สำนักงาน</t>
  </si>
  <si>
    <t>EQ08</t>
  </si>
  <si>
    <t>ครุภัณฑ์ก่อสร้าง</t>
  </si>
  <si>
    <t>ครุภัณฑ์ / 12. ครุภัณฑ์ก่อสร้าง</t>
  </si>
  <si>
    <t>EQ09</t>
  </si>
  <si>
    <t>ครุภัณฑ์สำรวจ</t>
  </si>
  <si>
    <t>ครุภัณฑ์ / 13. ครุภัณฑ์สำรวจ</t>
  </si>
  <si>
    <t>รวม 15 รายการ · กลุ่มครุภัณฑ์ · โมเดล vpk.budget.asset.category</t>
  </si>
  <si>
    <t>material_budget</t>
  </si>
  <si>
    <t>แบบฟอร์มตั้งงบวัสดุ</t>
  </si>
  <si>
    <t>แบบฟอร์มครุภัณฑ์</t>
  </si>
  <si>
    <t>แบบฟอร์ม ก่อสร้าง</t>
  </si>
  <si>
    <t>แบบฟอร์มโครงการ</t>
  </si>
  <si>
    <t>รวม 4 รายการ · แบบฟอร์มคำของบ · โมเดล vpk.budget.request.form.type</t>
  </si>
  <si>
    <t>โปรเจกต์</t>
  </si>
  <si>
    <t>หน่วยงาน</t>
  </si>
  <si>
    <t>แผน</t>
  </si>
  <si>
    <t>กลุ่มงาน กุมารเวชกรรม</t>
  </si>
  <si>
    <t>กลุ่มงาน รังสีวิทยา</t>
  </si>
  <si>
    <t>UAT-DEPT</t>
  </si>
  <si>
    <t>หน่วยงานทดสอบ</t>
  </si>
  <si>
    <t>หน่วยงานพัสดุ</t>
  </si>
  <si>
    <t>กลุ่มงานทันตกรรม</t>
  </si>
  <si>
    <t>กลุ่มงาน โภชนศาตร์</t>
  </si>
  <si>
    <t>ตรวจสุขภาพมะฮอกกานี</t>
  </si>
  <si>
    <t>กลุ่มงานสุขศึกษา</t>
  </si>
  <si>
    <t>OPD SMC</t>
  </si>
  <si>
    <t>กลุ่มงานโครงสร้างพื้นฐานฯ</t>
  </si>
  <si>
    <t>กลุ่มงานเวชกรรมฟื้นฟู</t>
  </si>
  <si>
    <t>งานเคลื่อนย้ายผู้ป่วย</t>
  </si>
  <si>
    <t>กลุ่มงาน การพยาบาลชุมชน</t>
  </si>
  <si>
    <t>กลุ่มงานจักษุวิทยา</t>
  </si>
  <si>
    <t>งานยานพาหนะ</t>
  </si>
  <si>
    <t>งานบริหารทั่วไป</t>
  </si>
  <si>
    <t>กลุ่มงานเภสัชกรรม</t>
  </si>
  <si>
    <t>กลุ่มภารกิจสุขภาพดิจิทัล</t>
  </si>
  <si>
    <t>ศูนย์เครื่องมือแพทย์</t>
  </si>
  <si>
    <t>กลุ่มงานเทคนิคการแพทย์ฯ</t>
  </si>
  <si>
    <t>งานธนาคารเลือด</t>
  </si>
  <si>
    <t>กลุ่มงาน อาชีวเวชกรรม</t>
  </si>
  <si>
    <t>กลุ่มงานอายุรกรรม</t>
  </si>
  <si>
    <t>กลุ่มงาน ภารกิจด้านการพยาบาล  298</t>
  </si>
  <si>
    <t>OPD นรีเวช</t>
  </si>
  <si>
    <t>OPD ศัลยกรรมทั่วไป</t>
  </si>
  <si>
    <t>OPD ARI</t>
  </si>
  <si>
    <t>OPD เคมีบำบัด</t>
  </si>
  <si>
    <t>OPD หู คอ จมูก</t>
  </si>
  <si>
    <t>งานประสาทศัลยกรรม</t>
  </si>
  <si>
    <t>กลุ่มงานสูติ-นรีเวชกรรม</t>
  </si>
  <si>
    <t>กลุ่มภารกิจด้านการพยาบาล</t>
  </si>
  <si>
    <t>งานการพยาบาลวิสัญญี</t>
  </si>
  <si>
    <t>งานห้องผ่าตัด</t>
  </si>
  <si>
    <t>แผนกสูติ นรีเวชกรรม</t>
  </si>
  <si>
    <t>แผนกศัลยกรรมหัวใจ ทรวงอก และหลอดเลือด</t>
  </si>
  <si>
    <t>จ่ายกลางห้องผ่าตัด</t>
  </si>
  <si>
    <t>แผนกศัลยกรรมระบบปัสสาวะ</t>
  </si>
  <si>
    <t>แผนกศัลยกรรมทั่วไป</t>
  </si>
  <si>
    <t>แผนกศัลยกรรมกระดูก</t>
  </si>
  <si>
    <t>งานทันตกรรมหยี่เต้ง</t>
  </si>
  <si>
    <t>กลุ่มงานสังคมสงเคราะห์</t>
  </si>
  <si>
    <t>งานสิทธิประโยชน์</t>
  </si>
  <si>
    <t>คลังสินค้า</t>
  </si>
  <si>
    <t>รวม 44 รายการ · บัญชีวิเคราะห์ / หน่วยงาน · โมเดล account.analytic.account</t>
  </si>
  <si>
    <t>ชื่อแผน</t>
  </si>
  <si>
    <t>เริ่ม</t>
  </si>
  <si>
    <t>สิ้นสุด</t>
  </si>
  <si>
    <t>รวม 1 รายการ · แผนงบประมาณประจำปี · โมเดล budget.budget</t>
  </si>
  <si>
    <t>ชื่อหมวด</t>
  </si>
  <si>
    <t>ค่าจ้าง/ค่าเช่า/ค่าซ่อมบำรุง สิ่งก่อสร้างและครุภัณฑ์</t>
  </si>
  <si>
    <t>พักครุภัณฑ์ก่อสร้าง</t>
  </si>
  <si>
    <t>พักปรับปรุงอาคาร</t>
  </si>
  <si>
    <t>หมวดครุภัณฑ์วิทยาศาสตร์และการแพทย์</t>
  </si>
  <si>
    <t>หมวดค่าวัสดุ - วัสดุการแพทย์ - การแพทย์ผ่าตัด</t>
  </si>
  <si>
    <t>หมวดค่าวัสดุ - วัสดุการแพทย์ - ทันตกรรม</t>
  </si>
  <si>
    <t>หมวดค่าวัสดุ - วัสดุการแพทย์ - วัสดุการแพทย์ (ซ่อม)</t>
  </si>
  <si>
    <t>หมวดค่าวัสดุ - วัสดุการแพทย์ - เอกซเรย์ (เวชภัณฑ์+intervention)</t>
  </si>
  <si>
    <t>หมวดค่าวัสดุ - วัสดุช่าง - ค่าวัสดุไฟฟ้า</t>
  </si>
  <si>
    <t>หมวดค่าวัสดุ - วัสดุช่าง - ค่าวัสุดก่อสร้าง</t>
  </si>
  <si>
    <t>หมวดค่าวัสดุ - วัสดุช่าง - ยานพาหนะ</t>
  </si>
  <si>
    <t>หมวดค่าวัสดุ - วัสดุทั่วไป - ค่าวัสดุสำนักงาน</t>
  </si>
  <si>
    <t>หมวดค่าวัสดุ - วัสดุทั่วไป - งานบ้าน+น้ำดื่ม</t>
  </si>
  <si>
    <t>หมวดค่าวัสดุ - วัสดุทั่วไป - วัสดุคอมพิวเตอร์</t>
  </si>
  <si>
    <t>หมวดค่าวัสดุ - วัสดุทั่วไป - วัสดุโฆษณาและเผยแพร่</t>
  </si>
  <si>
    <t>หมวดค่าวัสดุ - วัสดุทั่วไป - อื่นๆ</t>
  </si>
  <si>
    <t>หมวดค่าวัสดุ - วัสุดวิทยาศาสตร์ - LAB - LAB (ทั่วไป)</t>
  </si>
  <si>
    <t>หมวดค่าวัสดุ - วัสุดวิทยาศาสตร์ - LAB - Lab (โควิด)</t>
  </si>
  <si>
    <t>หมวดค่าวัสดุ - วัสุดวิทยาศาสตร์ - ธนาคารเลือด</t>
  </si>
  <si>
    <t>หมวดค่าวัสดุ - วัสุดวิทยาศาสตร์ - พยาธิกายวิภาค</t>
  </si>
  <si>
    <t>หมวดค่าวัสดุ - วัสุดวิทยาศาสตร์ - ออกซิเจนเหลว</t>
  </si>
  <si>
    <t>หมวดค่าวัสดุ - เครื่องแต่งกาย - เครื่องแต่งกาย (ซักฟอกและตัดเย็บ)</t>
  </si>
  <si>
    <t>หมวดค่าวัสดุ - เชื้อเพลิง - ชื้อเพลิงรถยนต์</t>
  </si>
  <si>
    <t>หมวดค่าวัสดุ - เชื้อเพลิง - ออกซิเจนถัง</t>
  </si>
  <si>
    <t>หมวดค่าวัสดุ - เชื้อเพลิง - เชื้อเพลิงช่าง</t>
  </si>
  <si>
    <t>หมวดค่าวัสดุ - เชื้อเพลิง - แก๊ส LPG</t>
  </si>
  <si>
    <t>หมวดค่าวัสดุ - เวชภัณฑ์ ยา - ยา + ยาเอกซเรย์</t>
  </si>
  <si>
    <t>หมวดค่าวัสดุ - เวชภัณฑ์มิใช่ยา - จักษุ</t>
  </si>
  <si>
    <t>หมวดค่าวัสดุ - เวชภัณฑ์มิใช่ยา - ตรวจสวนหัวใจ</t>
  </si>
  <si>
    <t>หมวดค่าวัสดุ - เวชภัณฑ์มิใช่ยา - วิสัญญี</t>
  </si>
  <si>
    <t>หมวดค่าวัสดุ - เวชภัณฑ์มิใช่ยา - เฝือก</t>
  </si>
  <si>
    <t>หมวดค่าวัสดุ - เวชภัณฑ์มิใช่ยา - เวชภัณฑ์การพยาบาล</t>
  </si>
  <si>
    <t>หมวดค่าวัสดุ - เวชภัณฑ์มิใช่ยา - เวชภัณฑ์ทั่วไป</t>
  </si>
  <si>
    <t>หมวดค่าวัสดุ - เวชภัณฑ์มิใช่ยา - เวชภัณฑ์เภสัช</t>
  </si>
  <si>
    <t>หมวดค่าวัสดุ - เวชภัณฑ์มิใช่ยา - เวชศาสตร์ฟื้นฟู</t>
  </si>
  <si>
    <t>หมวดค่าวัสดุ - เวชภัณฑ์มิใช่ยา - โสต ศอ นาสิก ลาริงซ์</t>
  </si>
  <si>
    <t>หมวดค่าวัสดุ - เวชภัณฑ์มิใช่ยา - ไตเทียม</t>
  </si>
  <si>
    <t>หมวดค่าวัสดุ - โภชนาการ - โภชนศาสตร์</t>
  </si>
  <si>
    <t>โฆษณาและเผยแพร่</t>
  </si>
  <si>
    <t>รวม 44 รายการ · หมวดงบประมาณ · โมเดล account.budget.post</t>
  </si>
  <si>
    <t>วิธีตรวจก่อนลงนาม</t>
  </si>
  <si>
    <t>ขั้น</t>
  </si>
  <si>
    <t>ตรวจอะไร</t>
  </si>
  <si>
    <t>ผ่านเมื่อ</t>
  </si>
  <si>
    <t>1</t>
  </si>
  <si>
    <t>ประเภทข้อมูลครบตามโมดูล</t>
  </si>
  <si>
    <t>ในชีตสรุปมีครบ Master ที่เกี่ยวข้อง และระบุโมเดล/คีย์จับคู่</t>
  </si>
  <si>
    <t>2</t>
  </si>
  <si>
    <t>จำนวน record</t>
  </si>
  <si>
    <t>จำนวนในระบบตรงกับไฟล์ต้นทางที่หน่วยงานส่ง (กรอกคอลัมน์จำนวนต้นทาง แล้วดูผลต่าง = 0)</t>
  </si>
  <si>
    <t>3</t>
  </si>
  <si>
    <t>รายการตัวอย่าง</t>
  </si>
  <si>
    <t>สุ่มตรวจรหัสและชื่อในชีตยืนยัน ไม่สลับ ไม่ซ้ำ ไม่สะกดผิดจนใช้ไม่ได้</t>
  </si>
  <si>
    <t>4</t>
  </si>
  <si>
    <t>ความสัมพันธ์ข้ามโมดูล</t>
  </si>
  <si>
    <t>เช่น สินค้ามีหมวดและหน่วยนับ · ผู้ขายถูกใช้ตั้งเจ้าหนี้ได้ · แหล่งเงินถูกใช้ในแผนงบ</t>
  </si>
  <si>
    <t>5</t>
  </si>
  <si>
    <t>ธุรกรรมที่ยังเป็น 0</t>
  </si>
  <si>
    <t>ไม่บล็อกการรับรอง Master แต่ต้องบันทึกว่าจะนำเข้าภายหลัง (PR/PO/บิล/สต็อก)</t>
  </si>
  <si>
    <t>6</t>
  </si>
  <si>
    <t>ลงนาม</t>
  </si>
  <si>
    <t>เจ้าของข้อมูล + IT ลงนามในปก และกรอกผลยืนยันรายประเภทในสรุป</t>
  </si>
  <si>
    <t>งบประมาณรายจ่ายประจำปี พ.ศ. 2570</t>
  </si>
  <si>
    <t>2070-09-31</t>
  </si>
  <si>
    <t>ร่าง</t>
  </si>
  <si>
    <t>7</t>
  </si>
  <si>
    <t>8</t>
  </si>
  <si>
    <t>9</t>
  </si>
  <si>
    <t>10</t>
  </si>
  <si>
    <t>wellness</t>
  </si>
  <si>
    <r>
      <t xml:space="preserve">PED-001  </t>
    </r>
    <r>
      <rPr>
        <sz val="11"/>
        <color rgb="FFFF0000"/>
        <rFont val="Prompt"/>
        <charset val="222"/>
      </rPr>
      <t>A6510</t>
    </r>
  </si>
  <si>
    <r>
      <t xml:space="preserve">RAD-001  	</t>
    </r>
    <r>
      <rPr>
        <sz val="11"/>
        <color rgb="FFFF0000"/>
        <rFont val="Prompt"/>
        <charset val="222"/>
      </rPr>
      <t>C0300</t>
    </r>
  </si>
  <si>
    <t>A0200</t>
  </si>
  <si>
    <t>A6585</t>
  </si>
  <si>
    <t>C1400</t>
  </si>
  <si>
    <t>E1801</t>
  </si>
  <si>
    <t>C8201</t>
  </si>
  <si>
    <t>A0900</t>
  </si>
  <si>
    <t>C0900</t>
  </si>
  <si>
    <t>A4900</t>
  </si>
  <si>
    <t>E1107</t>
  </si>
  <si>
    <t>A6560</t>
  </si>
  <si>
    <t>A0800</t>
  </si>
  <si>
    <t>A0100</t>
  </si>
  <si>
    <t>C0700</t>
  </si>
  <si>
    <t>A1101</t>
  </si>
  <si>
    <t>C0100</t>
  </si>
  <si>
    <t>C0200</t>
  </si>
  <si>
    <t>A6595</t>
  </si>
  <si>
    <t>A6540</t>
  </si>
  <si>
    <t>C5223</t>
  </si>
  <si>
    <t>C5791</t>
  </si>
  <si>
    <t>C5510</t>
  </si>
  <si>
    <t>C5411</t>
  </si>
  <si>
    <t>C5501</t>
  </si>
  <si>
    <t>C5361</t>
  </si>
  <si>
    <t>A6555</t>
  </si>
  <si>
    <t>A6400</t>
  </si>
  <si>
    <t>C1200</t>
  </si>
  <si>
    <t>C2000</t>
  </si>
  <si>
    <t>A3600</t>
  </si>
  <si>
    <t>กลุ่มการพยาบาล</t>
  </si>
  <si>
    <t>กลุ่มงานโสต ศอ นาสิก</t>
  </si>
  <si>
    <t>กลุ่มงานศัลยกรรม</t>
  </si>
  <si>
    <t>กลุ่มงานกุมารเวชกรรม</t>
  </si>
  <si>
    <t>กลุ่มงานรังสีวิทยา</t>
  </si>
  <si>
    <t>กลุ่มงานพยาธิวิทยากายวิภาค</t>
  </si>
  <si>
    <t>กลุ่มงานเวชศาสตร์ฉุกเฉินและนิติเวชวิทยา</t>
  </si>
  <si>
    <t>กลุ่มงานเวชกรรมสังคม</t>
  </si>
  <si>
    <t>กลุ่มงานศัลยกรรมออร์โธปิดิกส์</t>
  </si>
  <si>
    <t>กลุ่มงานอาชีวเวชกรรม</t>
  </si>
  <si>
    <t>งานเวชนิทัศน์</t>
  </si>
  <si>
    <t>งานประกันสังคม</t>
  </si>
  <si>
    <t>งาน พรบ.</t>
  </si>
  <si>
    <t>ศูนย์พึ่งได้</t>
  </si>
  <si>
    <t>งานแพทย์แผนไทย</t>
  </si>
  <si>
    <t xml:space="preserve"> - หอผู้ป่วยหนักอายุกรรม ICU med </t>
  </si>
  <si>
    <t xml:space="preserve"> - หอผู้ป่วยหนักศัลยกรรม</t>
  </si>
  <si>
    <t xml:space="preserve"> - หออภิบาลทารกวิกฤต (PICU)</t>
  </si>
  <si>
    <t xml:space="preserve"> - หอผู้ป่วยหลังคลอด</t>
  </si>
  <si>
    <t xml:space="preserve"> - หอผู้ป่วยนรีเวชกรรม</t>
  </si>
  <si>
    <t xml:space="preserve"> - หอผู้ป่วยศัลยกรรมประสาท</t>
  </si>
  <si>
    <t xml:space="preserve"> - หอผู้ป่วยศัลยกรรมกระดูก</t>
  </si>
  <si>
    <t xml:space="preserve"> - หอผู้ป่วยศัลยกรรมชาย</t>
  </si>
  <si>
    <t xml:space="preserve"> - หอผู้ป่วยศัลยกรรมหญิง</t>
  </si>
  <si>
    <t xml:space="preserve"> - หอผู้ป่วยสงฆ์พิเศษ</t>
  </si>
  <si>
    <t xml:space="preserve"> - หอผู้ป่วยวิกฤตระบบทางเดินหายใจ (RCU)</t>
  </si>
  <si>
    <t xml:space="preserve"> - หอผู้ป่วย 200 ปี (บน)</t>
  </si>
  <si>
    <t xml:space="preserve"> - หอผู้ป่วย 200 ปี (ล่าง)</t>
  </si>
  <si>
    <t xml:space="preserve"> - หอผู้ป่วยพิเศษ น้อมเกล้า 2</t>
  </si>
  <si>
    <t xml:space="preserve"> - หอผู้ป่วยพิเศษ น้อมเกล้า 3</t>
  </si>
  <si>
    <t xml:space="preserve"> - หอผู้ป่วยพิเศษ น้อมเกล้า 4</t>
  </si>
  <si>
    <t xml:space="preserve"> - งานไตเทียม</t>
  </si>
  <si>
    <t xml:space="preserve"> - หออภิบาลทารกแรกเกิด (NICU)</t>
  </si>
  <si>
    <t xml:space="preserve"> - หอผู้ป่วยห้องคลอด (LR)</t>
  </si>
  <si>
    <t xml:space="preserve"> - หอผู้ป่วยกุมารเวชกรรม 1</t>
  </si>
  <si>
    <t xml:space="preserve"> - หอผู้ป่วยกุมารเวชกรรม 2</t>
  </si>
  <si>
    <t xml:space="preserve"> - หอผู้ป่วยอายุรกรรม 2</t>
  </si>
  <si>
    <t xml:space="preserve"> - หอผู้ป่วยอายุรกรรม 3</t>
  </si>
  <si>
    <t xml:space="preserve"> - หอผู้ป่วยอายุรกรรม 4</t>
  </si>
  <si>
    <t xml:space="preserve"> - หอผู้ป่วยอายุรกรรม 5</t>
  </si>
  <si>
    <t xml:space="preserve"> - หอผู้ป่วยอายุรกรรม 6</t>
  </si>
  <si>
    <t xml:space="preserve"> - หอผู้ป่วยอายุรกรรม 7</t>
  </si>
  <si>
    <t xml:space="preserve"> - หอผู้ป่วยหลวงพ่อแช่ม 2</t>
  </si>
  <si>
    <t xml:space="preserve"> - หอผู้ป่วยหลวงพ่อแช่ม 3</t>
  </si>
  <si>
    <t xml:space="preserve"> - หอผู้ป่วยหลวงพ่อแช่ม 4</t>
  </si>
  <si>
    <t xml:space="preserve"> - หอผู้ป่วยทารกแรกเกิด (Sick Newborn)</t>
  </si>
  <si>
    <t xml:space="preserve"> - งานห้องผ่าตัด (OR)</t>
  </si>
  <si>
    <t xml:space="preserve"> - หอผู้ป่วยสงฆ์อาพาธ</t>
  </si>
  <si>
    <t xml:space="preserve"> - หอผู้ป่วยรติพัฒน์</t>
  </si>
  <si>
    <t xml:space="preserve"> - งานวิสัญญี</t>
  </si>
  <si>
    <t xml:space="preserve"> - งานจ่ายกลาง  (CSSD)</t>
  </si>
  <si>
    <t xml:space="preserve"> - งานอุบัติเหตุและฉุกเฉิน (ER)</t>
  </si>
  <si>
    <t xml:space="preserve"> - งานเวชศาสตร์ใต้น้ำ</t>
  </si>
  <si>
    <t xml:space="preserve"> - หอผู้ป่วย จักษุ โสต ศอ นาสิก</t>
  </si>
  <si>
    <t xml:space="preserve"> - งานผู้ป่วยนอก </t>
  </si>
  <si>
    <t xml:space="preserve"> - หอผู้อภิบาลโรคหลอดเลือดสมอง Stroke unit</t>
  </si>
  <si>
    <t xml:space="preserve"> - หอผู้ป่วยกึ่งวิกฤตโรคระบบหัวใจและหลอดเลือด (ICCU)</t>
  </si>
  <si>
    <t xml:space="preserve"> - หอผู้ป่วยหนักโรคหัวใจ (CCU)</t>
  </si>
  <si>
    <t xml:space="preserve"> - งานตรวจสวนหัวใจ (Cath Lab)</t>
  </si>
  <si>
    <t xml:space="preserve"> - กลุ่มงานป้องกันและควบคุมการติดเชื้อ (IC)</t>
  </si>
  <si>
    <t>กลุ่มงานโภชนศาสตร์</t>
  </si>
  <si>
    <t>กลุ่มงานจิตเวช</t>
  </si>
  <si>
    <t>กลุ่มงานเทคนิคการแพทย์และพยาธิวิทยาคลินิก</t>
  </si>
  <si>
    <t>กลุ่มงานสูติ - นรีเวชกรรม</t>
  </si>
  <si>
    <t>กลุ่มงานวิสัญญีวิทยา</t>
  </si>
  <si>
    <t>กลุ่มงานบริหารทั่วไป</t>
  </si>
  <si>
    <t xml:space="preserve"> - งานธุรการ</t>
  </si>
  <si>
    <t xml:space="preserve"> - ประชาสัมพันธ์</t>
  </si>
  <si>
    <t>กลุ่มงานบัญชี</t>
  </si>
  <si>
    <t xml:space="preserve"> - งานซักฟอกและตัดเย็บเสื้อผ้า</t>
  </si>
  <si>
    <t xml:space="preserve"> - งานยานพาหนะ</t>
  </si>
  <si>
    <t>กลุ่มงานการเงิน</t>
  </si>
  <si>
    <t xml:space="preserve"> - งานสนามและสิ่งแวดล้อม</t>
  </si>
  <si>
    <t xml:space="preserve"> - งานสวน</t>
  </si>
  <si>
    <t>กลุ่มงานพัสดุ</t>
  </si>
  <si>
    <t xml:space="preserve"> - งานรักษาความปลอดภัย</t>
  </si>
  <si>
    <t xml:space="preserve"> - ศูนย์นเรนทรอันดามัน</t>
  </si>
  <si>
    <t>กลุ่มงานทรัพยากรบุคคล</t>
  </si>
  <si>
    <t>กลุ่มงานโครงสร้างพื้นฐานและวิศวกรรมทางการแพทย์</t>
  </si>
  <si>
    <t xml:space="preserve"> - อาคารบริการจอดรถ 10 ชั้น</t>
  </si>
  <si>
    <t>งานลูกค้าสัมพันธ์และศูนย์รับบริจาค</t>
  </si>
  <si>
    <t>กลุ่มงานองค์กรแพทย์</t>
  </si>
  <si>
    <t>กลุ่มงานงานประกันสุขภาพ</t>
  </si>
  <si>
    <t>กลุ่มงานสิทธิประโยชน์ลูกค้านานาชาติและประกันชีวิตผู้ป่วยต่างประเทศ</t>
  </si>
  <si>
    <t>ศูนย์รับร้องเรียน</t>
  </si>
  <si>
    <t>ศูนย์จัดเก็บรายได้</t>
  </si>
  <si>
    <t xml:space="preserve">คิลนิกพิเศษเฉพาะทาง SMC </t>
  </si>
  <si>
    <t>ศูนย์วิทยุชุมชนมะฮอกกานี เรดิโอ103</t>
  </si>
  <si>
    <t>ศูนย์ศุภนิมิต (แรงงานต่างด้าว)</t>
  </si>
  <si>
    <t>งานศูนย์ใจรักษ์</t>
  </si>
  <si>
    <t xml:space="preserve"> - งานเคมีบำบัด</t>
  </si>
  <si>
    <t xml:space="preserve"> - งานเบาหวาน 360 องศา</t>
  </si>
  <si>
    <t xml:space="preserve"> - ศูนย์ดูแลบาดแผล</t>
  </si>
  <si>
    <t xml:space="preserve"> - งานศูนย์บริจาคอวัยวะ</t>
  </si>
  <si>
    <t xml:space="preserve"> - งานเลขานุการ</t>
  </si>
  <si>
    <t>กลุ่มงานยุทธศาสตร์และแผนงานโครงการ</t>
  </si>
  <si>
    <t>กลุ่มงานพัฒนาทรัพยากรบุคคล</t>
  </si>
  <si>
    <t>กลุ่มงานพัฒนาคุณภาพบริการและมาตรฐาน</t>
  </si>
  <si>
    <t>กลุ่มงานการพยาบาลชุมชน</t>
  </si>
  <si>
    <t>ศูนย์ตรวจสุขภาพมะฮอกกานี</t>
  </si>
  <si>
    <t>กลุ่มงานเทคโนโลยีสารสนเทศ</t>
  </si>
  <si>
    <t>กลุ่มงานสุขภาพดิจิทัล</t>
  </si>
  <si>
    <t>กลุ่มงานเวชระเบียนและข้อมูลทางการแพทย์</t>
  </si>
  <si>
    <t>ศูนย์วิจัยและพัฒนา</t>
  </si>
  <si>
    <t>งานผู้มีอุปการคุณ (VIP)</t>
  </si>
  <si>
    <t>ศูนย์สุขภาพ wellness</t>
  </si>
  <si>
    <t>A3510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</si>
</sst>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0F7A72"/>
      <name val="Prompt"/>
    </font>
    <font>
      <b/>
      <sz val="18"/>
      <color rgb="FF123A56"/>
      <name val="Prompt"/>
    </font>
    <font>
      <sz val="12"/>
      <color rgb="FF5B6878"/>
      <name val="Prompt"/>
    </font>
    <font>
      <b/>
      <sz val="11"/>
      <color rgb="FFFFFFFF"/>
      <name val="Prompt"/>
    </font>
    <font>
      <sz val="11"/>
      <color rgb="FF2F3A48"/>
      <name val="Prompt"/>
    </font>
    <font>
      <b/>
      <sz val="11"/>
      <color rgb="FF2F3A48"/>
      <name val="Prompt"/>
    </font>
    <font>
      <sz val="12"/>
      <color rgb="FF2F3A48"/>
      <name val="Prompt"/>
    </font>
    <font>
      <b/>
      <sz val="12"/>
      <color rgb="FFFFFFFF"/>
      <name val="Prompt"/>
    </font>
    <font>
      <b/>
      <sz val="11"/>
      <color rgb="FF0F7A72"/>
      <name val="Prompt"/>
    </font>
    <font>
      <b/>
      <sz val="16"/>
      <color rgb="FF123A56"/>
      <name val="Prompt"/>
    </font>
    <font>
      <sz val="8"/>
      <name val="Calibri"/>
      <family val="2"/>
      <scheme val="minor"/>
    </font>
    <font>
      <sz val="11"/>
      <color rgb="FFFF0000"/>
      <name val="Prompt"/>
    </font>
    <font>
      <sz val="11"/>
      <color rgb="FFFF0000"/>
      <name val="Prompt"/>
      <charset val="22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 New"/>
      <family val="2"/>
    </font>
    <font>
      <sz val="14"/>
      <color theme="1"/>
      <name val="TH Sarabun New"/>
      <family val="2"/>
    </font>
    <font>
      <sz val="16"/>
      <color rgb="FF000000"/>
      <name val="TH SarabunPSK"/>
      <family val="2"/>
    </font>
    <font>
      <sz val="16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5F5F3"/>
      </patternFill>
    </fill>
    <fill>
      <patternFill patternType="solid">
        <fgColor rgb="FF0F7A72"/>
      </patternFill>
    </fill>
    <fill>
      <patternFill patternType="solid">
        <fgColor rgb="FFE5F5EA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0" fillId="0" borderId="0" xfId="0" applyFont="1"/>
  </cellXfs>
  <cellStyles count="1">
    <cellStyle name="ปกติ" xfId="0" builtinId="0"/>
  </cellStyles>
  <dxfs count="3">
    <dxf>
      <font>
        <b/>
        <sz val="11"/>
        <color rgb="FF8A5A00"/>
        <name val="Prompt"/>
      </font>
      <fill>
        <patternFill patternType="solid">
          <fgColor rgb="FFF4E4C8"/>
        </patternFill>
      </fill>
    </dxf>
    <dxf>
      <font>
        <b/>
        <sz val="11"/>
        <color rgb="FFB4433A"/>
        <name val="Prompt"/>
      </font>
      <fill>
        <patternFill patternType="solid">
          <fgColor rgb="FFFBECEA"/>
        </patternFill>
      </fill>
    </dxf>
    <dxf>
      <font>
        <b/>
        <sz val="11"/>
        <color rgb="FF2C7A45"/>
        <name val="Prompt"/>
      </font>
      <fill>
        <patternFill patternType="solid">
          <fgColor rgb="FFE5F5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4"/>
  <sheetViews>
    <sheetView showGridLines="0" workbookViewId="0">
      <selection activeCell="B22" sqref="B22:F24"/>
    </sheetView>
  </sheetViews>
  <sheetFormatPr defaultColWidth="8.88671875" defaultRowHeight="14.4" x14ac:dyDescent="0.3"/>
  <cols>
    <col min="1" max="1" width="4" customWidth="1"/>
    <col min="2" max="2" width="26" customWidth="1"/>
    <col min="3" max="3" width="36" customWidth="1"/>
    <col min="4" max="4" width="22" customWidth="1"/>
    <col min="5" max="6" width="18" customWidth="1"/>
    <col min="7" max="7" width="16" customWidth="1"/>
  </cols>
  <sheetData>
    <row r="2" spans="2:6" ht="22.8" x14ac:dyDescent="0.65">
      <c r="B2" s="35" t="s">
        <v>0</v>
      </c>
      <c r="C2" s="36"/>
      <c r="D2" s="36"/>
      <c r="E2" s="36"/>
      <c r="F2" s="36"/>
    </row>
    <row r="3" spans="2:6" ht="30" x14ac:dyDescent="0.85">
      <c r="B3" s="37" t="s">
        <v>1</v>
      </c>
      <c r="C3" s="36"/>
      <c r="D3" s="36"/>
      <c r="E3" s="36"/>
      <c r="F3" s="36"/>
    </row>
    <row r="4" spans="2:6" ht="19.8" x14ac:dyDescent="0.55000000000000004">
      <c r="B4" s="38" t="s">
        <v>2</v>
      </c>
      <c r="C4" s="36"/>
      <c r="D4" s="36"/>
      <c r="E4" s="36"/>
      <c r="F4" s="36"/>
    </row>
    <row r="6" spans="2:6" ht="18.600000000000001" x14ac:dyDescent="0.3">
      <c r="B6" s="1" t="s">
        <v>3</v>
      </c>
      <c r="C6" s="39" t="s">
        <v>4</v>
      </c>
      <c r="D6" s="36"/>
      <c r="E6" s="36"/>
      <c r="F6" s="36"/>
    </row>
    <row r="7" spans="2:6" ht="18.600000000000001" x14ac:dyDescent="0.3">
      <c r="B7" s="1" t="s">
        <v>5</v>
      </c>
      <c r="C7" s="39" t="s">
        <v>6</v>
      </c>
      <c r="D7" s="36"/>
      <c r="E7" s="36"/>
      <c r="F7" s="36"/>
    </row>
    <row r="8" spans="2:6" ht="18.600000000000001" x14ac:dyDescent="0.3">
      <c r="B8" s="1" t="s">
        <v>7</v>
      </c>
      <c r="C8" s="39" t="s">
        <v>8</v>
      </c>
      <c r="D8" s="36"/>
      <c r="E8" s="36"/>
      <c r="F8" s="36"/>
    </row>
    <row r="9" spans="2:6" ht="18.600000000000001" x14ac:dyDescent="0.3">
      <c r="B9" s="1" t="s">
        <v>9</v>
      </c>
      <c r="C9" s="39" t="s">
        <v>10</v>
      </c>
      <c r="D9" s="36"/>
      <c r="E9" s="36"/>
      <c r="F9" s="36"/>
    </row>
    <row r="10" spans="2:6" ht="18.600000000000001" x14ac:dyDescent="0.3">
      <c r="B10" s="1" t="s">
        <v>11</v>
      </c>
      <c r="C10" s="39" t="s">
        <v>12</v>
      </c>
      <c r="D10" s="36"/>
      <c r="E10" s="36"/>
      <c r="F10" s="36"/>
    </row>
    <row r="11" spans="2:6" ht="18.600000000000001" x14ac:dyDescent="0.3">
      <c r="B11" s="1" t="s">
        <v>13</v>
      </c>
      <c r="C11" s="39" t="s">
        <v>14</v>
      </c>
      <c r="D11" s="36"/>
      <c r="E11" s="36"/>
      <c r="F11" s="36"/>
    </row>
    <row r="12" spans="2:6" ht="18.600000000000001" x14ac:dyDescent="0.3">
      <c r="B12" s="1" t="s">
        <v>15</v>
      </c>
      <c r="C12" s="39" t="s">
        <v>16</v>
      </c>
      <c r="D12" s="36"/>
      <c r="E12" s="36"/>
      <c r="F12" s="36"/>
    </row>
    <row r="13" spans="2:6" ht="18.600000000000001" x14ac:dyDescent="0.3">
      <c r="B13" s="1" t="s">
        <v>17</v>
      </c>
      <c r="C13" s="39" t="s">
        <v>18</v>
      </c>
      <c r="D13" s="36"/>
      <c r="E13" s="36"/>
      <c r="F13" s="36"/>
    </row>
    <row r="15" spans="2:6" ht="48" customHeight="1" x14ac:dyDescent="0.3">
      <c r="B15" s="40" t="s">
        <v>19</v>
      </c>
      <c r="C15" s="36"/>
      <c r="D15" s="36"/>
      <c r="E15" s="36"/>
      <c r="F15" s="36"/>
    </row>
    <row r="17" spans="1:7" ht="27.9" customHeight="1" x14ac:dyDescent="0.3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</row>
    <row r="18" spans="1:7" ht="26.1" customHeight="1" x14ac:dyDescent="0.3">
      <c r="A18" s="4">
        <v>1</v>
      </c>
      <c r="B18" s="5" t="s">
        <v>27</v>
      </c>
      <c r="C18" s="2"/>
      <c r="D18" s="2"/>
      <c r="E18" s="2"/>
      <c r="F18" s="2"/>
      <c r="G18" s="2"/>
    </row>
    <row r="19" spans="1:7" ht="26.1" customHeight="1" x14ac:dyDescent="0.3">
      <c r="A19" s="4">
        <v>2</v>
      </c>
      <c r="B19" s="5" t="s">
        <v>28</v>
      </c>
      <c r="C19" s="2"/>
      <c r="D19" s="2"/>
      <c r="E19" s="2"/>
      <c r="F19" s="2"/>
      <c r="G19" s="2"/>
    </row>
    <row r="20" spans="1:7" ht="26.1" customHeight="1" x14ac:dyDescent="0.3">
      <c r="A20" s="4">
        <v>3</v>
      </c>
      <c r="B20" s="5" t="s">
        <v>29</v>
      </c>
      <c r="C20" s="2"/>
      <c r="D20" s="2"/>
      <c r="E20" s="2"/>
      <c r="F20" s="2"/>
      <c r="G20" s="2"/>
    </row>
    <row r="21" spans="1:7" ht="26.1" customHeight="1" x14ac:dyDescent="0.3">
      <c r="A21" s="4">
        <v>4</v>
      </c>
      <c r="B21" s="5" t="s">
        <v>30</v>
      </c>
      <c r="C21" s="2"/>
      <c r="D21" s="2"/>
      <c r="E21" s="2"/>
      <c r="F21" s="2"/>
      <c r="G21" s="2"/>
    </row>
    <row r="22" spans="1:7" x14ac:dyDescent="0.3">
      <c r="B22" s="41" t="s">
        <v>31</v>
      </c>
      <c r="C22" s="36"/>
      <c r="D22" s="36"/>
      <c r="E22" s="36"/>
      <c r="F22" s="36"/>
    </row>
    <row r="23" spans="1:7" x14ac:dyDescent="0.3">
      <c r="B23" s="36"/>
      <c r="C23" s="36"/>
      <c r="D23" s="36"/>
      <c r="E23" s="36"/>
      <c r="F23" s="36"/>
    </row>
    <row r="24" spans="1:7" x14ac:dyDescent="0.3">
      <c r="B24" s="36"/>
      <c r="C24" s="36"/>
      <c r="D24" s="36"/>
      <c r="E24" s="36"/>
      <c r="F24" s="36"/>
    </row>
  </sheetData>
  <mergeCells count="13">
    <mergeCell ref="C13:F13"/>
    <mergeCell ref="B15:F15"/>
    <mergeCell ref="B22:F24"/>
    <mergeCell ref="C8:F8"/>
    <mergeCell ref="C9:F9"/>
    <mergeCell ref="C10:F10"/>
    <mergeCell ref="C11:F11"/>
    <mergeCell ref="C12:F12"/>
    <mergeCell ref="B2:F2"/>
    <mergeCell ref="B3:F3"/>
    <mergeCell ref="B4:F4"/>
    <mergeCell ref="C6:F6"/>
    <mergeCell ref="C7:F7"/>
  </mergeCells>
  <dataValidations count="1">
    <dataValidation type="list" allowBlank="1" showInputMessage="1" showErrorMessage="1" sqref="D18 D19 D20 D21" xr:uid="{00000000-0002-0000-00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"/>
  <sheetViews>
    <sheetView workbookViewId="0">
      <pane ySplit="1" topLeftCell="A2" activePane="bottomLeft" state="frozen"/>
      <selection pane="bottomLeft" activeCell="B19" sqref="B19"/>
    </sheetView>
  </sheetViews>
  <sheetFormatPr defaultColWidth="8.88671875" defaultRowHeight="14.4" x14ac:dyDescent="0.3"/>
  <cols>
    <col min="1" max="1" width="8" customWidth="1"/>
    <col min="2" max="2" width="32" customWidth="1"/>
    <col min="3" max="3" width="12" customWidth="1"/>
    <col min="4" max="4" width="28" customWidth="1"/>
    <col min="5" max="5" width="36" customWidth="1"/>
    <col min="6" max="6" width="22" customWidth="1"/>
    <col min="7" max="7" width="14" customWidth="1"/>
    <col min="8" max="8" width="22" customWidth="1"/>
    <col min="9" max="9" width="24" customWidth="1"/>
    <col min="10" max="10" width="16" customWidth="1"/>
    <col min="11" max="11" width="12" customWidth="1"/>
    <col min="12" max="13" width="16" customWidth="1"/>
    <col min="14" max="15" width="14" customWidth="1"/>
    <col min="16" max="16" width="28" customWidth="1"/>
  </cols>
  <sheetData>
    <row r="1" spans="1:16" ht="27.9" customHeight="1" x14ac:dyDescent="0.3">
      <c r="A1" s="6" t="s">
        <v>20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23</v>
      </c>
      <c r="M1" s="6" t="s">
        <v>42</v>
      </c>
      <c r="N1" s="6" t="s">
        <v>24</v>
      </c>
      <c r="O1" s="6" t="s">
        <v>25</v>
      </c>
      <c r="P1" s="6" t="s">
        <v>26</v>
      </c>
    </row>
    <row r="2" spans="1:16" ht="32.1" customHeight="1" x14ac:dyDescent="0.3">
      <c r="A2" s="15" t="s">
        <v>347</v>
      </c>
      <c r="B2" s="2" t="s">
        <v>43</v>
      </c>
      <c r="C2" s="4" t="s">
        <v>44</v>
      </c>
      <c r="D2" s="2" t="s">
        <v>45</v>
      </c>
      <c r="E2" s="2" t="s">
        <v>46</v>
      </c>
      <c r="F2" s="2" t="s">
        <v>47</v>
      </c>
      <c r="G2" s="8">
        <v>20</v>
      </c>
      <c r="H2" s="9" t="s">
        <v>48</v>
      </c>
      <c r="I2" s="2" t="s">
        <v>49</v>
      </c>
      <c r="J2" s="8"/>
      <c r="K2" s="8" t="str">
        <f t="shared" ref="K2:K11" si="0">IF(J2="","",G2-J2)</f>
        <v/>
      </c>
      <c r="L2" s="7"/>
      <c r="M2" s="2"/>
      <c r="N2" s="2"/>
      <c r="O2" s="7"/>
      <c r="P2" s="2"/>
    </row>
    <row r="3" spans="1:16" ht="32.1" customHeight="1" x14ac:dyDescent="0.3">
      <c r="A3" s="15" t="s">
        <v>350</v>
      </c>
      <c r="B3" s="2" t="s">
        <v>50</v>
      </c>
      <c r="C3" s="4" t="s">
        <v>44</v>
      </c>
      <c r="D3" s="2" t="s">
        <v>45</v>
      </c>
      <c r="E3" s="2" t="s">
        <v>51</v>
      </c>
      <c r="F3" s="2" t="s">
        <v>47</v>
      </c>
      <c r="G3" s="8">
        <v>9</v>
      </c>
      <c r="H3" s="9" t="s">
        <v>48</v>
      </c>
      <c r="I3" s="2" t="s">
        <v>52</v>
      </c>
      <c r="J3" s="8"/>
      <c r="K3" s="8" t="str">
        <f t="shared" si="0"/>
        <v/>
      </c>
      <c r="L3" s="7"/>
      <c r="M3" s="2"/>
      <c r="N3" s="2"/>
      <c r="O3" s="7"/>
      <c r="P3" s="2"/>
    </row>
    <row r="4" spans="1:16" ht="32.1" customHeight="1" x14ac:dyDescent="0.3">
      <c r="A4" s="15" t="s">
        <v>353</v>
      </c>
      <c r="B4" s="2" t="s">
        <v>53</v>
      </c>
      <c r="C4" s="4" t="s">
        <v>44</v>
      </c>
      <c r="D4" s="2" t="s">
        <v>45</v>
      </c>
      <c r="E4" s="2" t="s">
        <v>54</v>
      </c>
      <c r="F4" s="2" t="s">
        <v>55</v>
      </c>
      <c r="G4" s="8">
        <v>35</v>
      </c>
      <c r="H4" s="9" t="s">
        <v>48</v>
      </c>
      <c r="I4" s="2" t="s">
        <v>56</v>
      </c>
      <c r="J4" s="8"/>
      <c r="K4" s="8" t="str">
        <f t="shared" si="0"/>
        <v/>
      </c>
      <c r="L4" s="7"/>
      <c r="M4" s="2"/>
      <c r="N4" s="2"/>
      <c r="O4" s="7"/>
      <c r="P4" s="2"/>
    </row>
    <row r="5" spans="1:16" ht="32.1" customHeight="1" x14ac:dyDescent="0.3">
      <c r="A5" s="15" t="s">
        <v>356</v>
      </c>
      <c r="B5" s="2" t="s">
        <v>57</v>
      </c>
      <c r="C5" s="4" t="s">
        <v>44</v>
      </c>
      <c r="D5" s="2" t="s">
        <v>45</v>
      </c>
      <c r="E5" s="2" t="s">
        <v>58</v>
      </c>
      <c r="F5" s="2" t="s">
        <v>47</v>
      </c>
      <c r="G5" s="8">
        <v>4</v>
      </c>
      <c r="H5" s="9" t="s">
        <v>48</v>
      </c>
      <c r="I5" s="2" t="s">
        <v>59</v>
      </c>
      <c r="J5" s="8"/>
      <c r="K5" s="8" t="str">
        <f t="shared" si="0"/>
        <v/>
      </c>
      <c r="L5" s="7"/>
      <c r="M5" s="2"/>
      <c r="N5" s="2"/>
      <c r="O5" s="7"/>
      <c r="P5" s="2"/>
    </row>
    <row r="6" spans="1:16" ht="32.1" customHeight="1" x14ac:dyDescent="0.3">
      <c r="A6" s="15" t="s">
        <v>359</v>
      </c>
      <c r="B6" s="2" t="s">
        <v>60</v>
      </c>
      <c r="C6" s="4" t="s">
        <v>44</v>
      </c>
      <c r="D6" s="2" t="s">
        <v>45</v>
      </c>
      <c r="E6" s="2" t="s">
        <v>61</v>
      </c>
      <c r="F6" s="2" t="s">
        <v>47</v>
      </c>
      <c r="G6" s="8">
        <v>15</v>
      </c>
      <c r="H6" s="9" t="s">
        <v>48</v>
      </c>
      <c r="I6" s="2" t="s">
        <v>62</v>
      </c>
      <c r="J6" s="8"/>
      <c r="K6" s="8" t="str">
        <f t="shared" si="0"/>
        <v/>
      </c>
      <c r="L6" s="7"/>
      <c r="M6" s="2"/>
      <c r="N6" s="2"/>
      <c r="O6" s="7"/>
      <c r="P6" s="2"/>
    </row>
    <row r="7" spans="1:16" ht="32.1" customHeight="1" x14ac:dyDescent="0.3">
      <c r="A7" s="15" t="s">
        <v>362</v>
      </c>
      <c r="B7" s="2" t="s">
        <v>63</v>
      </c>
      <c r="C7" s="4" t="s">
        <v>44</v>
      </c>
      <c r="D7" s="2" t="s">
        <v>45</v>
      </c>
      <c r="E7" s="2" t="s">
        <v>64</v>
      </c>
      <c r="F7" s="2" t="s">
        <v>47</v>
      </c>
      <c r="G7" s="8">
        <v>4</v>
      </c>
      <c r="H7" s="9" t="s">
        <v>48</v>
      </c>
      <c r="I7" s="2" t="s">
        <v>65</v>
      </c>
      <c r="J7" s="8"/>
      <c r="K7" s="8" t="str">
        <f t="shared" si="0"/>
        <v/>
      </c>
      <c r="L7" s="7"/>
      <c r="M7" s="2"/>
      <c r="N7" s="2"/>
      <c r="O7" s="7"/>
      <c r="P7" s="2"/>
    </row>
    <row r="8" spans="1:16" ht="32.1" customHeight="1" x14ac:dyDescent="0.3">
      <c r="A8" s="15" t="s">
        <v>368</v>
      </c>
      <c r="B8" s="2" t="s">
        <v>66</v>
      </c>
      <c r="C8" s="4" t="s">
        <v>44</v>
      </c>
      <c r="D8" s="2" t="s">
        <v>45</v>
      </c>
      <c r="E8" s="2" t="s">
        <v>67</v>
      </c>
      <c r="F8" s="2" t="s">
        <v>68</v>
      </c>
      <c r="G8" s="8">
        <v>4</v>
      </c>
      <c r="H8" s="9" t="s">
        <v>48</v>
      </c>
      <c r="I8" s="2" t="s">
        <v>69</v>
      </c>
      <c r="J8" s="8"/>
      <c r="K8" s="8" t="str">
        <f t="shared" si="0"/>
        <v/>
      </c>
      <c r="L8" s="7"/>
      <c r="M8" s="2"/>
      <c r="N8" s="2"/>
      <c r="O8" s="7"/>
      <c r="P8" s="2"/>
    </row>
    <row r="9" spans="1:16" ht="32.1" customHeight="1" x14ac:dyDescent="0.3">
      <c r="A9" s="15" t="s">
        <v>369</v>
      </c>
      <c r="B9" s="2" t="s">
        <v>71</v>
      </c>
      <c r="C9" s="4" t="s">
        <v>44</v>
      </c>
      <c r="D9" s="2" t="s">
        <v>72</v>
      </c>
      <c r="E9" s="2" t="s">
        <v>73</v>
      </c>
      <c r="F9" s="2" t="s">
        <v>47</v>
      </c>
      <c r="G9" s="8">
        <v>44</v>
      </c>
      <c r="H9" s="9" t="s">
        <v>48</v>
      </c>
      <c r="I9" s="2" t="s">
        <v>74</v>
      </c>
      <c r="J9" s="8"/>
      <c r="K9" s="8" t="str">
        <f t="shared" si="0"/>
        <v/>
      </c>
      <c r="L9" s="7"/>
      <c r="M9" s="2"/>
      <c r="N9" s="2"/>
      <c r="O9" s="7"/>
      <c r="P9" s="2"/>
    </row>
    <row r="10" spans="1:16" ht="32.1" customHeight="1" x14ac:dyDescent="0.3">
      <c r="A10" s="15" t="s">
        <v>370</v>
      </c>
      <c r="B10" s="2" t="s">
        <v>75</v>
      </c>
      <c r="C10" s="4" t="s">
        <v>44</v>
      </c>
      <c r="D10" s="2" t="s">
        <v>45</v>
      </c>
      <c r="E10" s="2" t="s">
        <v>76</v>
      </c>
      <c r="F10" s="2" t="s">
        <v>77</v>
      </c>
      <c r="G10" s="8">
        <v>1</v>
      </c>
      <c r="H10" s="9" t="s">
        <v>48</v>
      </c>
      <c r="I10" s="2" t="s">
        <v>78</v>
      </c>
      <c r="J10" s="8"/>
      <c r="K10" s="8" t="str">
        <f t="shared" si="0"/>
        <v/>
      </c>
      <c r="L10" s="7"/>
      <c r="M10" s="2"/>
      <c r="N10" s="2"/>
      <c r="O10" s="7"/>
      <c r="P10" s="2"/>
    </row>
    <row r="11" spans="1:16" ht="32.1" customHeight="1" x14ac:dyDescent="0.3">
      <c r="A11" s="15" t="s">
        <v>371</v>
      </c>
      <c r="B11" s="2" t="s">
        <v>79</v>
      </c>
      <c r="C11" s="4" t="s">
        <v>44</v>
      </c>
      <c r="D11" s="2" t="s">
        <v>80</v>
      </c>
      <c r="E11" s="2" t="s">
        <v>81</v>
      </c>
      <c r="F11" s="2" t="s">
        <v>70</v>
      </c>
      <c r="G11" s="8">
        <v>44</v>
      </c>
      <c r="H11" s="9" t="s">
        <v>48</v>
      </c>
      <c r="I11" s="2" t="s">
        <v>82</v>
      </c>
      <c r="J11" s="8"/>
      <c r="K11" s="8" t="str">
        <f t="shared" si="0"/>
        <v/>
      </c>
      <c r="L11" s="7"/>
      <c r="M11" s="2"/>
      <c r="N11" s="2"/>
      <c r="O11" s="7"/>
      <c r="P11" s="2"/>
    </row>
    <row r="12" spans="1:16" ht="19.8" x14ac:dyDescent="0.3">
      <c r="B12" s="10" t="s">
        <v>83</v>
      </c>
      <c r="C12" s="11"/>
      <c r="D12" s="11"/>
      <c r="E12" s="11"/>
      <c r="F12" s="11"/>
      <c r="G12" s="12">
        <f>SUM(G2:G11)</f>
        <v>180</v>
      </c>
      <c r="H12" s="11"/>
      <c r="I12" s="11"/>
      <c r="J12" s="11"/>
      <c r="K12" s="11"/>
      <c r="L12" s="11"/>
      <c r="M12" s="11"/>
      <c r="N12" s="11"/>
      <c r="O12" s="11"/>
      <c r="P12" s="11"/>
    </row>
    <row r="14" spans="1:16" x14ac:dyDescent="0.3">
      <c r="A14" s="40" t="s">
        <v>84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6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</sheetData>
  <autoFilter ref="A1:P11" xr:uid="{00000000-0009-0000-0000-000001000000}"/>
  <mergeCells count="1">
    <mergeCell ref="A14:P16"/>
  </mergeCells>
  <phoneticPr fontId="11" type="noConversion"/>
  <conditionalFormatting sqref="L2:L11">
    <cfRule type="cellIs" dxfId="2" priority="1" operator="equal">
      <formula>"ถูกต้อง"</formula>
    </cfRule>
    <cfRule type="cellIs" dxfId="1" priority="2" operator="equal">
      <formula>"ต้องแก้ไข"</formula>
    </cfRule>
    <cfRule type="cellIs" dxfId="0" priority="3" operator="equal">
      <formula>"ยังไม่ครบ"</formula>
    </cfRule>
  </conditionalFormatting>
  <dataValidations count="1">
    <dataValidation type="list" allowBlank="1" showInputMessage="1" showErrorMessage="1" sqref="L2:L11" xr:uid="{00000000-0002-0000-01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18.600000000000001" x14ac:dyDescent="0.3">
      <c r="A2" s="7">
        <v>1</v>
      </c>
      <c r="B2" s="2">
        <v>10</v>
      </c>
      <c r="C2" s="2" t="s">
        <v>88</v>
      </c>
      <c r="D2" s="2" t="s">
        <v>89</v>
      </c>
      <c r="E2" s="2" t="s">
        <v>90</v>
      </c>
    </row>
    <row r="3" spans="1:5" ht="18.600000000000001" x14ac:dyDescent="0.3">
      <c r="A3" s="7">
        <v>2</v>
      </c>
      <c r="B3" s="2">
        <v>20</v>
      </c>
      <c r="C3" s="2" t="s">
        <v>91</v>
      </c>
      <c r="D3" s="2" t="s">
        <v>92</v>
      </c>
      <c r="E3" s="2" t="s">
        <v>90</v>
      </c>
    </row>
    <row r="4" spans="1:5" ht="18.600000000000001" x14ac:dyDescent="0.3">
      <c r="A4" s="7">
        <v>3</v>
      </c>
      <c r="B4" s="2">
        <v>21</v>
      </c>
      <c r="C4" s="2" t="s">
        <v>93</v>
      </c>
      <c r="D4" s="2" t="s">
        <v>94</v>
      </c>
      <c r="E4" s="2" t="s">
        <v>90</v>
      </c>
    </row>
    <row r="5" spans="1:5" ht="18.600000000000001" x14ac:dyDescent="0.3">
      <c r="A5" s="7">
        <v>4</v>
      </c>
      <c r="B5" s="2">
        <v>22</v>
      </c>
      <c r="C5" s="2" t="s">
        <v>95</v>
      </c>
      <c r="D5" s="2" t="s">
        <v>96</v>
      </c>
      <c r="E5" s="2" t="s">
        <v>90</v>
      </c>
    </row>
    <row r="6" spans="1:5" ht="37.200000000000003" x14ac:dyDescent="0.3">
      <c r="A6" s="7">
        <v>5</v>
      </c>
      <c r="B6" s="2">
        <v>23</v>
      </c>
      <c r="C6" s="2" t="s">
        <v>97</v>
      </c>
      <c r="D6" s="2" t="s">
        <v>98</v>
      </c>
      <c r="E6" s="2" t="s">
        <v>90</v>
      </c>
    </row>
    <row r="7" spans="1:5" ht="37.200000000000003" x14ac:dyDescent="0.3">
      <c r="A7" s="7">
        <v>6</v>
      </c>
      <c r="B7" s="2">
        <v>24</v>
      </c>
      <c r="C7" s="2" t="s">
        <v>99</v>
      </c>
      <c r="D7" s="2" t="s">
        <v>100</v>
      </c>
      <c r="E7" s="2" t="s">
        <v>90</v>
      </c>
    </row>
    <row r="8" spans="1:5" ht="37.200000000000003" x14ac:dyDescent="0.3">
      <c r="A8" s="7">
        <v>7</v>
      </c>
      <c r="B8" s="2">
        <v>25</v>
      </c>
      <c r="C8" s="2" t="s">
        <v>101</v>
      </c>
      <c r="D8" s="2" t="s">
        <v>102</v>
      </c>
      <c r="E8" s="2" t="s">
        <v>90</v>
      </c>
    </row>
    <row r="9" spans="1:5" ht="18.600000000000001" x14ac:dyDescent="0.3">
      <c r="A9" s="7">
        <v>8</v>
      </c>
      <c r="B9" s="2">
        <v>26</v>
      </c>
      <c r="C9" s="2" t="s">
        <v>103</v>
      </c>
      <c r="D9" s="2" t="s">
        <v>104</v>
      </c>
      <c r="E9" s="2" t="s">
        <v>90</v>
      </c>
    </row>
    <row r="10" spans="1:5" ht="18.600000000000001" x14ac:dyDescent="0.3">
      <c r="A10" s="7">
        <v>9</v>
      </c>
      <c r="B10" s="2">
        <v>27</v>
      </c>
      <c r="C10" s="2" t="s">
        <v>105</v>
      </c>
      <c r="D10" s="2" t="s">
        <v>106</v>
      </c>
      <c r="E10" s="2" t="s">
        <v>90</v>
      </c>
    </row>
    <row r="11" spans="1:5" ht="18.600000000000001" x14ac:dyDescent="0.3">
      <c r="A11" s="7">
        <v>10</v>
      </c>
      <c r="B11" s="2">
        <v>28</v>
      </c>
      <c r="C11" s="2" t="s">
        <v>107</v>
      </c>
      <c r="D11" s="2" t="s">
        <v>108</v>
      </c>
      <c r="E11" s="2" t="s">
        <v>90</v>
      </c>
    </row>
    <row r="12" spans="1:5" ht="18.600000000000001" x14ac:dyDescent="0.3">
      <c r="A12" s="7">
        <v>11</v>
      </c>
      <c r="B12" s="2">
        <v>29</v>
      </c>
      <c r="C12" s="2" t="s">
        <v>109</v>
      </c>
      <c r="D12" s="2" t="s">
        <v>110</v>
      </c>
      <c r="E12" s="2" t="s">
        <v>90</v>
      </c>
    </row>
    <row r="13" spans="1:5" ht="18.600000000000001" x14ac:dyDescent="0.3">
      <c r="A13" s="7">
        <v>12</v>
      </c>
      <c r="B13" s="2">
        <v>30</v>
      </c>
      <c r="C13" s="2" t="s">
        <v>111</v>
      </c>
      <c r="D13" s="2" t="s">
        <v>112</v>
      </c>
      <c r="E13" s="2" t="s">
        <v>90</v>
      </c>
    </row>
    <row r="14" spans="1:5" ht="18.600000000000001" x14ac:dyDescent="0.3">
      <c r="A14" s="7">
        <v>13</v>
      </c>
      <c r="B14" s="2">
        <v>31</v>
      </c>
      <c r="C14" s="2" t="s">
        <v>113</v>
      </c>
      <c r="D14" s="2" t="s">
        <v>114</v>
      </c>
      <c r="E14" s="2" t="s">
        <v>90</v>
      </c>
    </row>
    <row r="15" spans="1:5" ht="18.600000000000001" x14ac:dyDescent="0.3">
      <c r="A15" s="7">
        <v>14</v>
      </c>
      <c r="B15" s="2">
        <v>32</v>
      </c>
      <c r="C15" s="2" t="s">
        <v>115</v>
      </c>
      <c r="D15" s="2" t="s">
        <v>116</v>
      </c>
      <c r="E15" s="2" t="s">
        <v>90</v>
      </c>
    </row>
    <row r="16" spans="1:5" ht="18.600000000000001" x14ac:dyDescent="0.3">
      <c r="A16" s="7">
        <v>15</v>
      </c>
      <c r="B16" s="2">
        <v>33</v>
      </c>
      <c r="C16" s="2" t="s">
        <v>117</v>
      </c>
      <c r="D16" s="2" t="s">
        <v>118</v>
      </c>
      <c r="E16" s="2" t="s">
        <v>90</v>
      </c>
    </row>
    <row r="17" spans="1:5" ht="18.600000000000001" x14ac:dyDescent="0.3">
      <c r="A17" s="7">
        <v>16</v>
      </c>
      <c r="B17" s="2">
        <v>34</v>
      </c>
      <c r="C17" s="2" t="s">
        <v>119</v>
      </c>
      <c r="D17" s="2" t="s">
        <v>120</v>
      </c>
      <c r="E17" s="2" t="s">
        <v>90</v>
      </c>
    </row>
    <row r="18" spans="1:5" ht="18.600000000000001" x14ac:dyDescent="0.3">
      <c r="A18" s="7">
        <v>17</v>
      </c>
      <c r="B18" s="2">
        <v>35</v>
      </c>
      <c r="C18" s="2" t="s">
        <v>121</v>
      </c>
      <c r="D18" s="2" t="s">
        <v>122</v>
      </c>
      <c r="E18" s="2" t="s">
        <v>90</v>
      </c>
    </row>
    <row r="19" spans="1:5" ht="18.600000000000001" x14ac:dyDescent="0.3">
      <c r="A19" s="7">
        <v>18</v>
      </c>
      <c r="B19" s="2">
        <v>36</v>
      </c>
      <c r="C19" s="2" t="s">
        <v>123</v>
      </c>
      <c r="D19" s="2" t="s">
        <v>124</v>
      </c>
      <c r="E19" s="2" t="s">
        <v>90</v>
      </c>
    </row>
    <row r="20" spans="1:5" ht="18.600000000000001" x14ac:dyDescent="0.3">
      <c r="A20" s="7">
        <v>19</v>
      </c>
      <c r="B20" s="2">
        <v>37</v>
      </c>
      <c r="C20" s="2" t="s">
        <v>125</v>
      </c>
      <c r="D20" s="2" t="s">
        <v>126</v>
      </c>
      <c r="E20" s="2" t="s">
        <v>90</v>
      </c>
    </row>
    <row r="21" spans="1:5" ht="18.600000000000001" x14ac:dyDescent="0.3">
      <c r="A21" s="7">
        <v>20</v>
      </c>
      <c r="B21" s="2">
        <v>38</v>
      </c>
      <c r="C21" s="2" t="s">
        <v>127</v>
      </c>
      <c r="D21" s="2" t="s">
        <v>128</v>
      </c>
      <c r="E21" s="2" t="s">
        <v>90</v>
      </c>
    </row>
    <row r="23" spans="1:5" ht="18.600000000000001" x14ac:dyDescent="0.55000000000000004">
      <c r="A23" s="13" t="s">
        <v>129</v>
      </c>
    </row>
  </sheetData>
  <autoFilter ref="A1:E21" xr:uid="{00000000-0009-0000-0000-000002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workbookViewId="0">
      <pane ySplit="1" topLeftCell="A2" activePane="bottomLeft" state="frozen"/>
      <selection pane="bottomLeft" activeCell="D8" sqref="D8"/>
    </sheetView>
  </sheetViews>
  <sheetFormatPr defaultColWidth="8.88671875" defaultRowHeight="14.4" x14ac:dyDescent="0.3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18.600000000000001" x14ac:dyDescent="0.3">
      <c r="A2" s="7">
        <v>1</v>
      </c>
      <c r="B2" s="2">
        <v>10</v>
      </c>
      <c r="C2" s="2" t="s">
        <v>130</v>
      </c>
      <c r="D2" s="2" t="s">
        <v>131</v>
      </c>
      <c r="E2" s="2" t="s">
        <v>90</v>
      </c>
    </row>
    <row r="3" spans="1:5" ht="18.600000000000001" x14ac:dyDescent="0.3">
      <c r="A3" s="7">
        <v>2</v>
      </c>
      <c r="B3" s="2">
        <v>20</v>
      </c>
      <c r="C3" s="2" t="s">
        <v>132</v>
      </c>
      <c r="D3" s="2" t="s">
        <v>133</v>
      </c>
      <c r="E3" s="2" t="s">
        <v>90</v>
      </c>
    </row>
    <row r="4" spans="1:5" ht="37.200000000000003" x14ac:dyDescent="0.3">
      <c r="A4" s="7">
        <v>3</v>
      </c>
      <c r="B4" s="2">
        <v>30</v>
      </c>
      <c r="C4" s="2" t="s">
        <v>134</v>
      </c>
      <c r="D4" s="2" t="s">
        <v>135</v>
      </c>
      <c r="E4" s="2" t="s">
        <v>90</v>
      </c>
    </row>
    <row r="5" spans="1:5" ht="37.200000000000003" x14ac:dyDescent="0.3">
      <c r="A5" s="7">
        <v>4</v>
      </c>
      <c r="B5" s="2">
        <v>40</v>
      </c>
      <c r="C5" s="2" t="s">
        <v>136</v>
      </c>
      <c r="D5" s="2" t="s">
        <v>137</v>
      </c>
      <c r="E5" s="2" t="s">
        <v>90</v>
      </c>
    </row>
    <row r="6" spans="1:5" ht="37.200000000000003" x14ac:dyDescent="0.3">
      <c r="A6" s="7">
        <v>5</v>
      </c>
      <c r="B6" s="2">
        <v>50</v>
      </c>
      <c r="C6" s="2" t="s">
        <v>138</v>
      </c>
      <c r="D6" s="2" t="s">
        <v>139</v>
      </c>
      <c r="E6" s="2" t="s">
        <v>90</v>
      </c>
    </row>
    <row r="7" spans="1:5" ht="18.600000000000001" x14ac:dyDescent="0.3">
      <c r="A7" s="7">
        <v>6</v>
      </c>
      <c r="B7" s="2">
        <v>60</v>
      </c>
      <c r="C7" s="2" t="s">
        <v>140</v>
      </c>
      <c r="D7" s="2" t="s">
        <v>141</v>
      </c>
      <c r="E7" s="2" t="s">
        <v>90</v>
      </c>
    </row>
    <row r="8" spans="1:5" ht="18.600000000000001" x14ac:dyDescent="0.3">
      <c r="A8" s="7">
        <v>7</v>
      </c>
      <c r="B8" s="2">
        <v>70</v>
      </c>
      <c r="C8" s="2" t="s">
        <v>142</v>
      </c>
      <c r="D8" s="2" t="s">
        <v>143</v>
      </c>
      <c r="E8" s="2" t="s">
        <v>90</v>
      </c>
    </row>
    <row r="9" spans="1:5" ht="18.600000000000001" x14ac:dyDescent="0.3">
      <c r="A9" s="7">
        <v>8</v>
      </c>
      <c r="B9" s="2">
        <v>80</v>
      </c>
      <c r="C9" s="2" t="s">
        <v>144</v>
      </c>
      <c r="D9" s="2" t="s">
        <v>145</v>
      </c>
      <c r="E9" s="2" t="s">
        <v>90</v>
      </c>
    </row>
    <row r="10" spans="1:5" ht="18.600000000000001" x14ac:dyDescent="0.3">
      <c r="A10" s="7">
        <v>9</v>
      </c>
      <c r="B10" s="2">
        <v>90</v>
      </c>
      <c r="C10" s="2" t="s">
        <v>146</v>
      </c>
      <c r="D10" s="2" t="s">
        <v>147</v>
      </c>
      <c r="E10" s="2" t="s">
        <v>90</v>
      </c>
    </row>
    <row r="12" spans="1:5" ht="18.600000000000001" x14ac:dyDescent="0.55000000000000004">
      <c r="A12" s="13" t="s">
        <v>148</v>
      </c>
    </row>
  </sheetData>
  <autoFilter ref="A1:E10" xr:uid="{00000000-0009-0000-0000-000003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0"/>
  <sheetViews>
    <sheetView workbookViewId="0">
      <pane ySplit="1" topLeftCell="A17" activePane="bottomLeft" state="frozen"/>
      <selection pane="bottomLeft" activeCell="I38" sqref="I38"/>
    </sheetView>
  </sheetViews>
  <sheetFormatPr defaultColWidth="8.88671875" defaultRowHeight="14.4" x14ac:dyDescent="0.3"/>
  <cols>
    <col min="1" max="1" width="8" customWidth="1"/>
    <col min="2" max="2" width="18" customWidth="1"/>
    <col min="3" max="3" width="24.33203125" customWidth="1"/>
    <col min="4" max="4" width="42" customWidth="1"/>
    <col min="5" max="5" width="25.88671875" customWidth="1"/>
    <col min="6" max="6" width="20.33203125" customWidth="1"/>
    <col min="7" max="7" width="14" customWidth="1"/>
  </cols>
  <sheetData>
    <row r="1" spans="1:7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149</v>
      </c>
      <c r="F1" s="3" t="s">
        <v>150</v>
      </c>
      <c r="G1" s="3" t="s">
        <v>87</v>
      </c>
    </row>
    <row r="2" spans="1:7" ht="18.600000000000001" x14ac:dyDescent="0.3">
      <c r="A2" s="7">
        <v>1</v>
      </c>
      <c r="B2" s="2">
        <v>10</v>
      </c>
      <c r="C2" s="2" t="s">
        <v>131</v>
      </c>
      <c r="D2" s="2" t="s">
        <v>151</v>
      </c>
      <c r="E2" s="2" t="s">
        <v>130</v>
      </c>
      <c r="F2" s="2" t="s">
        <v>131</v>
      </c>
      <c r="G2" s="2" t="s">
        <v>90</v>
      </c>
    </row>
    <row r="3" spans="1:7" ht="18.600000000000001" x14ac:dyDescent="0.3">
      <c r="A3" s="7">
        <v>2</v>
      </c>
      <c r="B3" s="2">
        <v>10</v>
      </c>
      <c r="C3" s="2" t="s">
        <v>152</v>
      </c>
      <c r="D3" s="2" t="s">
        <v>152</v>
      </c>
      <c r="E3" s="2" t="s">
        <v>132</v>
      </c>
      <c r="F3" s="2" t="s">
        <v>133</v>
      </c>
      <c r="G3" s="2" t="s">
        <v>90</v>
      </c>
    </row>
    <row r="4" spans="1:7" ht="18.600000000000001" x14ac:dyDescent="0.3">
      <c r="A4" s="7">
        <v>3</v>
      </c>
      <c r="B4" s="2">
        <v>10</v>
      </c>
      <c r="C4" s="2" t="s">
        <v>153</v>
      </c>
      <c r="D4" s="2" t="s">
        <v>153</v>
      </c>
      <c r="E4" s="2" t="s">
        <v>132</v>
      </c>
      <c r="F4" s="2" t="s">
        <v>133</v>
      </c>
      <c r="G4" s="2" t="s">
        <v>90</v>
      </c>
    </row>
    <row r="5" spans="1:7" ht="18.600000000000001" x14ac:dyDescent="0.3">
      <c r="A5" s="7">
        <v>4</v>
      </c>
      <c r="B5" s="2">
        <v>10</v>
      </c>
      <c r="C5" s="2" t="s">
        <v>154</v>
      </c>
      <c r="D5" s="2" t="s">
        <v>154</v>
      </c>
      <c r="E5" s="2" t="s">
        <v>132</v>
      </c>
      <c r="F5" s="2" t="s">
        <v>133</v>
      </c>
      <c r="G5" s="2" t="s">
        <v>90</v>
      </c>
    </row>
    <row r="6" spans="1:7" ht="18.600000000000001" x14ac:dyDescent="0.3">
      <c r="A6" s="7">
        <v>5</v>
      </c>
      <c r="B6" s="2">
        <v>10</v>
      </c>
      <c r="C6" s="2" t="s">
        <v>155</v>
      </c>
      <c r="D6" s="2" t="s">
        <v>155</v>
      </c>
      <c r="E6" s="2" t="s">
        <v>132</v>
      </c>
      <c r="F6" s="2" t="s">
        <v>133</v>
      </c>
      <c r="G6" s="2" t="s">
        <v>90</v>
      </c>
    </row>
    <row r="7" spans="1:7" ht="18.600000000000001" x14ac:dyDescent="0.3">
      <c r="A7" s="7">
        <v>6</v>
      </c>
      <c r="B7" s="2">
        <v>10</v>
      </c>
      <c r="C7" s="2" t="s">
        <v>156</v>
      </c>
      <c r="D7" s="2" t="s">
        <v>156</v>
      </c>
      <c r="E7" s="2" t="s">
        <v>132</v>
      </c>
      <c r="F7" s="2" t="s">
        <v>133</v>
      </c>
      <c r="G7" s="2" t="s">
        <v>90</v>
      </c>
    </row>
    <row r="8" spans="1:7" ht="18.600000000000001" x14ac:dyDescent="0.3">
      <c r="A8" s="7">
        <v>7</v>
      </c>
      <c r="B8" s="2">
        <v>10</v>
      </c>
      <c r="C8" s="2" t="s">
        <v>157</v>
      </c>
      <c r="D8" s="2" t="s">
        <v>157</v>
      </c>
      <c r="E8" s="2" t="s">
        <v>132</v>
      </c>
      <c r="F8" s="2" t="s">
        <v>133</v>
      </c>
      <c r="G8" s="2" t="s">
        <v>90</v>
      </c>
    </row>
    <row r="9" spans="1:7" ht="18.600000000000001" x14ac:dyDescent="0.3">
      <c r="A9" s="7">
        <v>8</v>
      </c>
      <c r="B9" s="2">
        <v>10</v>
      </c>
      <c r="C9" s="2" t="s">
        <v>158</v>
      </c>
      <c r="D9" s="2" t="s">
        <v>158</v>
      </c>
      <c r="E9" s="2" t="s">
        <v>132</v>
      </c>
      <c r="F9" s="2" t="s">
        <v>133</v>
      </c>
      <c r="G9" s="2" t="s">
        <v>90</v>
      </c>
    </row>
    <row r="10" spans="1:7" ht="18.600000000000001" x14ac:dyDescent="0.3">
      <c r="A10" s="7">
        <v>9</v>
      </c>
      <c r="B10" s="2">
        <v>10</v>
      </c>
      <c r="C10" s="2" t="s">
        <v>159</v>
      </c>
      <c r="D10" s="2" t="s">
        <v>159</v>
      </c>
      <c r="E10" s="2" t="s">
        <v>132</v>
      </c>
      <c r="F10" s="2" t="s">
        <v>133</v>
      </c>
      <c r="G10" s="2" t="s">
        <v>90</v>
      </c>
    </row>
    <row r="11" spans="1:7" ht="18.600000000000001" x14ac:dyDescent="0.3">
      <c r="A11" s="7">
        <v>10</v>
      </c>
      <c r="B11" s="2">
        <v>10</v>
      </c>
      <c r="C11" s="2" t="s">
        <v>160</v>
      </c>
      <c r="D11" s="2" t="s">
        <v>160</v>
      </c>
      <c r="E11" s="2" t="s">
        <v>132</v>
      </c>
      <c r="F11" s="2" t="s">
        <v>133</v>
      </c>
      <c r="G11" s="2" t="s">
        <v>90</v>
      </c>
    </row>
    <row r="12" spans="1:7" ht="18.600000000000001" x14ac:dyDescent="0.3">
      <c r="A12" s="7">
        <v>11</v>
      </c>
      <c r="B12" s="2">
        <v>10</v>
      </c>
      <c r="C12" s="2" t="s">
        <v>161</v>
      </c>
      <c r="D12" s="2" t="s">
        <v>161</v>
      </c>
      <c r="E12" s="2" t="s">
        <v>132</v>
      </c>
      <c r="F12" s="2" t="s">
        <v>133</v>
      </c>
      <c r="G12" s="2" t="s">
        <v>90</v>
      </c>
    </row>
    <row r="13" spans="1:7" ht="18.600000000000001" x14ac:dyDescent="0.3">
      <c r="A13" s="7">
        <v>12</v>
      </c>
      <c r="B13" s="2">
        <v>10</v>
      </c>
      <c r="C13" s="2" t="s">
        <v>162</v>
      </c>
      <c r="D13" s="2" t="s">
        <v>162</v>
      </c>
      <c r="E13" s="2" t="s">
        <v>134</v>
      </c>
      <c r="F13" s="2" t="s">
        <v>135</v>
      </c>
      <c r="G13" s="2" t="s">
        <v>90</v>
      </c>
    </row>
    <row r="14" spans="1:7" ht="18.600000000000001" x14ac:dyDescent="0.3">
      <c r="A14" s="7">
        <v>13</v>
      </c>
      <c r="B14" s="2">
        <v>10</v>
      </c>
      <c r="C14" s="2" t="s">
        <v>163</v>
      </c>
      <c r="D14" s="2" t="s">
        <v>163</v>
      </c>
      <c r="E14" s="2" t="s">
        <v>134</v>
      </c>
      <c r="F14" s="2" t="s">
        <v>135</v>
      </c>
      <c r="G14" s="2" t="s">
        <v>90</v>
      </c>
    </row>
    <row r="15" spans="1:7" s="23" customFormat="1" ht="37.200000000000003" x14ac:dyDescent="0.3">
      <c r="A15" s="21">
        <v>14</v>
      </c>
      <c r="B15" s="22">
        <v>10</v>
      </c>
      <c r="C15" s="22" t="s">
        <v>164</v>
      </c>
      <c r="D15" s="22" t="s">
        <v>164</v>
      </c>
      <c r="E15" s="22" t="s">
        <v>134</v>
      </c>
      <c r="F15" s="22" t="s">
        <v>135</v>
      </c>
      <c r="G15" s="22" t="s">
        <v>90</v>
      </c>
    </row>
    <row r="16" spans="1:7" ht="18.600000000000001" x14ac:dyDescent="0.3">
      <c r="A16" s="7">
        <v>15</v>
      </c>
      <c r="B16" s="2">
        <v>10</v>
      </c>
      <c r="C16" s="2" t="s">
        <v>165</v>
      </c>
      <c r="D16" s="2" t="s">
        <v>165</v>
      </c>
      <c r="E16" s="2" t="s">
        <v>134</v>
      </c>
      <c r="F16" s="2" t="s">
        <v>135</v>
      </c>
      <c r="G16" s="2" t="s">
        <v>90</v>
      </c>
    </row>
    <row r="17" spans="1:7" ht="18.600000000000001" x14ac:dyDescent="0.3">
      <c r="A17" s="7">
        <v>16</v>
      </c>
      <c r="B17" s="2">
        <v>10</v>
      </c>
      <c r="C17" s="2" t="s">
        <v>166</v>
      </c>
      <c r="D17" s="2" t="s">
        <v>166</v>
      </c>
      <c r="E17" s="2" t="s">
        <v>136</v>
      </c>
      <c r="F17" s="2" t="s">
        <v>137</v>
      </c>
      <c r="G17" s="2" t="s">
        <v>90</v>
      </c>
    </row>
    <row r="18" spans="1:7" ht="18.600000000000001" x14ac:dyDescent="0.3">
      <c r="A18" s="7">
        <v>17</v>
      </c>
      <c r="B18" s="2">
        <v>10</v>
      </c>
      <c r="C18" s="2" t="s">
        <v>167</v>
      </c>
      <c r="D18" s="2" t="s">
        <v>167</v>
      </c>
      <c r="E18" s="2" t="s">
        <v>136</v>
      </c>
      <c r="F18" s="2" t="s">
        <v>137</v>
      </c>
      <c r="G18" s="2" t="s">
        <v>90</v>
      </c>
    </row>
    <row r="19" spans="1:7" ht="18.600000000000001" x14ac:dyDescent="0.3">
      <c r="A19" s="7">
        <v>18</v>
      </c>
      <c r="B19" s="2">
        <v>10</v>
      </c>
      <c r="C19" s="2" t="s">
        <v>168</v>
      </c>
      <c r="D19" s="2" t="s">
        <v>168</v>
      </c>
      <c r="E19" s="2" t="s">
        <v>136</v>
      </c>
      <c r="F19" s="2" t="s">
        <v>137</v>
      </c>
      <c r="G19" s="2" t="s">
        <v>90</v>
      </c>
    </row>
    <row r="20" spans="1:7" ht="18.600000000000001" x14ac:dyDescent="0.3">
      <c r="A20" s="7">
        <v>19</v>
      </c>
      <c r="B20" s="2">
        <v>10</v>
      </c>
      <c r="C20" s="2" t="s">
        <v>169</v>
      </c>
      <c r="D20" s="2" t="s">
        <v>169</v>
      </c>
      <c r="E20" s="2" t="s">
        <v>136</v>
      </c>
      <c r="F20" s="2" t="s">
        <v>137</v>
      </c>
      <c r="G20" s="2" t="s">
        <v>90</v>
      </c>
    </row>
    <row r="21" spans="1:7" ht="18.600000000000001" x14ac:dyDescent="0.3">
      <c r="A21" s="7">
        <v>20</v>
      </c>
      <c r="B21" s="2">
        <v>10</v>
      </c>
      <c r="C21" s="2" t="s">
        <v>170</v>
      </c>
      <c r="D21" s="2" t="s">
        <v>170</v>
      </c>
      <c r="E21" s="2" t="s">
        <v>136</v>
      </c>
      <c r="F21" s="2" t="s">
        <v>137</v>
      </c>
      <c r="G21" s="2" t="s">
        <v>90</v>
      </c>
    </row>
    <row r="22" spans="1:7" ht="18.600000000000001" x14ac:dyDescent="0.3">
      <c r="A22" s="7">
        <v>21</v>
      </c>
      <c r="B22" s="2">
        <v>10</v>
      </c>
      <c r="C22" s="2" t="s">
        <v>171</v>
      </c>
      <c r="D22" s="2" t="s">
        <v>171</v>
      </c>
      <c r="E22" s="2" t="s">
        <v>138</v>
      </c>
      <c r="F22" s="2" t="s">
        <v>139</v>
      </c>
      <c r="G22" s="2" t="s">
        <v>90</v>
      </c>
    </row>
    <row r="23" spans="1:7" ht="18.600000000000001" x14ac:dyDescent="0.3">
      <c r="A23" s="7">
        <v>22</v>
      </c>
      <c r="B23" s="2">
        <v>10</v>
      </c>
      <c r="C23" s="2" t="s">
        <v>172</v>
      </c>
      <c r="D23" s="2" t="s">
        <v>172</v>
      </c>
      <c r="E23" s="2" t="s">
        <v>138</v>
      </c>
      <c r="F23" s="2" t="s">
        <v>139</v>
      </c>
      <c r="G23" s="2" t="s">
        <v>90</v>
      </c>
    </row>
    <row r="24" spans="1:7" ht="18.600000000000001" x14ac:dyDescent="0.3">
      <c r="A24" s="7">
        <v>23</v>
      </c>
      <c r="B24" s="2">
        <v>10</v>
      </c>
      <c r="C24" s="2" t="s">
        <v>173</v>
      </c>
      <c r="D24" s="2" t="s">
        <v>173</v>
      </c>
      <c r="E24" s="2" t="s">
        <v>138</v>
      </c>
      <c r="F24" s="2" t="s">
        <v>139</v>
      </c>
      <c r="G24" s="2" t="s">
        <v>90</v>
      </c>
    </row>
    <row r="25" spans="1:7" ht="18.600000000000001" x14ac:dyDescent="0.3">
      <c r="A25" s="7">
        <v>24</v>
      </c>
      <c r="B25" s="2">
        <v>10</v>
      </c>
      <c r="C25" s="2" t="s">
        <v>174</v>
      </c>
      <c r="D25" s="2" t="s">
        <v>174</v>
      </c>
      <c r="E25" s="2" t="s">
        <v>138</v>
      </c>
      <c r="F25" s="2" t="s">
        <v>139</v>
      </c>
      <c r="G25" s="2" t="s">
        <v>90</v>
      </c>
    </row>
    <row r="26" spans="1:7" ht="18.600000000000001" x14ac:dyDescent="0.3">
      <c r="A26" s="7">
        <v>25</v>
      </c>
      <c r="B26" s="2">
        <v>10</v>
      </c>
      <c r="C26" s="2" t="s">
        <v>175</v>
      </c>
      <c r="D26" s="2" t="s">
        <v>175</v>
      </c>
      <c r="E26" s="2" t="s">
        <v>138</v>
      </c>
      <c r="F26" s="2" t="s">
        <v>139</v>
      </c>
      <c r="G26" s="2" t="s">
        <v>90</v>
      </c>
    </row>
    <row r="27" spans="1:7" ht="18.600000000000001" x14ac:dyDescent="0.3">
      <c r="A27" s="7">
        <v>26</v>
      </c>
      <c r="B27" s="2">
        <v>10</v>
      </c>
      <c r="C27" s="2" t="s">
        <v>176</v>
      </c>
      <c r="D27" s="2" t="s">
        <v>176</v>
      </c>
      <c r="E27" s="2" t="s">
        <v>138</v>
      </c>
      <c r="F27" s="2" t="s">
        <v>139</v>
      </c>
      <c r="G27" s="2" t="s">
        <v>90</v>
      </c>
    </row>
    <row r="28" spans="1:7" ht="18.600000000000001" x14ac:dyDescent="0.3">
      <c r="A28" s="7">
        <v>27</v>
      </c>
      <c r="B28" s="2">
        <v>10</v>
      </c>
      <c r="C28" s="2" t="s">
        <v>177</v>
      </c>
      <c r="D28" s="2" t="s">
        <v>177</v>
      </c>
      <c r="E28" s="2" t="s">
        <v>140</v>
      </c>
      <c r="F28" s="2" t="s">
        <v>141</v>
      </c>
      <c r="G28" s="2" t="s">
        <v>90</v>
      </c>
    </row>
    <row r="29" spans="1:7" ht="18.600000000000001" x14ac:dyDescent="0.3">
      <c r="A29" s="7">
        <v>28</v>
      </c>
      <c r="B29" s="2">
        <v>10</v>
      </c>
      <c r="C29" s="2" t="s">
        <v>178</v>
      </c>
      <c r="D29" s="2" t="s">
        <v>178</v>
      </c>
      <c r="E29" s="2" t="s">
        <v>140</v>
      </c>
      <c r="F29" s="2" t="s">
        <v>141</v>
      </c>
      <c r="G29" s="2" t="s">
        <v>90</v>
      </c>
    </row>
    <row r="30" spans="1:7" ht="18.600000000000001" x14ac:dyDescent="0.3">
      <c r="A30" s="7">
        <v>29</v>
      </c>
      <c r="B30" s="2">
        <v>10</v>
      </c>
      <c r="C30" s="2" t="s">
        <v>179</v>
      </c>
      <c r="D30" s="2" t="s">
        <v>179</v>
      </c>
      <c r="E30" s="2" t="s">
        <v>140</v>
      </c>
      <c r="F30" s="2" t="s">
        <v>141</v>
      </c>
      <c r="G30" s="2" t="s">
        <v>90</v>
      </c>
    </row>
    <row r="31" spans="1:7" ht="18.600000000000001" x14ac:dyDescent="0.3">
      <c r="A31" s="7">
        <v>30</v>
      </c>
      <c r="B31" s="2">
        <v>10</v>
      </c>
      <c r="C31" s="2" t="s">
        <v>180</v>
      </c>
      <c r="D31" s="2" t="s">
        <v>180</v>
      </c>
      <c r="E31" s="2" t="s">
        <v>140</v>
      </c>
      <c r="F31" s="2" t="s">
        <v>141</v>
      </c>
      <c r="G31" s="2" t="s">
        <v>90</v>
      </c>
    </row>
    <row r="32" spans="1:7" ht="18.600000000000001" x14ac:dyDescent="0.3">
      <c r="A32" s="7">
        <v>31</v>
      </c>
      <c r="B32" s="2">
        <v>10</v>
      </c>
      <c r="C32" s="2" t="s">
        <v>181</v>
      </c>
      <c r="D32" s="2" t="s">
        <v>181</v>
      </c>
      <c r="E32" s="2" t="s">
        <v>142</v>
      </c>
      <c r="F32" s="2" t="s">
        <v>143</v>
      </c>
      <c r="G32" s="2" t="s">
        <v>90</v>
      </c>
    </row>
    <row r="33" spans="1:7" ht="18.600000000000001" x14ac:dyDescent="0.3">
      <c r="A33" s="7">
        <v>32</v>
      </c>
      <c r="B33" s="2">
        <v>10</v>
      </c>
      <c r="C33" s="2" t="s">
        <v>182</v>
      </c>
      <c r="D33" s="2" t="s">
        <v>182</v>
      </c>
      <c r="E33" s="2" t="s">
        <v>142</v>
      </c>
      <c r="F33" s="2" t="s">
        <v>143</v>
      </c>
      <c r="G33" s="2" t="s">
        <v>90</v>
      </c>
    </row>
    <row r="34" spans="1:7" ht="18.600000000000001" x14ac:dyDescent="0.3">
      <c r="A34" s="7">
        <v>33</v>
      </c>
      <c r="B34" s="2">
        <v>10</v>
      </c>
      <c r="C34" s="2" t="s">
        <v>183</v>
      </c>
      <c r="D34" s="2" t="s">
        <v>183</v>
      </c>
      <c r="E34" s="2" t="s">
        <v>142</v>
      </c>
      <c r="F34" s="2" t="s">
        <v>143</v>
      </c>
      <c r="G34" s="2" t="s">
        <v>90</v>
      </c>
    </row>
    <row r="35" spans="1:7" ht="18.600000000000001" x14ac:dyDescent="0.3">
      <c r="A35" s="7">
        <v>34</v>
      </c>
      <c r="B35" s="2">
        <v>10</v>
      </c>
      <c r="C35" s="2" t="s">
        <v>184</v>
      </c>
      <c r="D35" s="2" t="s">
        <v>184</v>
      </c>
      <c r="E35" s="2" t="s">
        <v>144</v>
      </c>
      <c r="F35" s="2" t="s">
        <v>145</v>
      </c>
      <c r="G35" s="2" t="s">
        <v>90</v>
      </c>
    </row>
    <row r="36" spans="1:7" s="23" customFormat="1" ht="37.200000000000003" x14ac:dyDescent="0.3">
      <c r="A36" s="21">
        <v>35</v>
      </c>
      <c r="B36" s="22">
        <v>10</v>
      </c>
      <c r="C36" s="22" t="s">
        <v>185</v>
      </c>
      <c r="D36" s="22" t="s">
        <v>185</v>
      </c>
      <c r="E36" s="22" t="s">
        <v>146</v>
      </c>
      <c r="F36" s="22" t="s">
        <v>147</v>
      </c>
      <c r="G36" s="22" t="s">
        <v>90</v>
      </c>
    </row>
    <row r="37" spans="1:7" ht="18.600000000000001" x14ac:dyDescent="0.3">
      <c r="A37" s="16">
        <v>36</v>
      </c>
      <c r="B37" s="17">
        <v>10</v>
      </c>
      <c r="C37" s="17" t="s">
        <v>180</v>
      </c>
      <c r="D37" s="17" t="s">
        <v>180</v>
      </c>
      <c r="E37" s="18" t="s">
        <v>136</v>
      </c>
      <c r="F37" s="18" t="s">
        <v>137</v>
      </c>
      <c r="G37" s="18" t="s">
        <v>90</v>
      </c>
    </row>
    <row r="38" spans="1:7" ht="18.600000000000001" x14ac:dyDescent="0.3">
      <c r="A38" s="16">
        <v>37</v>
      </c>
      <c r="B38" s="17">
        <v>10</v>
      </c>
      <c r="C38" s="17" t="s">
        <v>372</v>
      </c>
      <c r="D38" s="17" t="s">
        <v>372</v>
      </c>
    </row>
    <row r="39" spans="1:7" ht="18.600000000000001" x14ac:dyDescent="0.3">
      <c r="A39" s="19"/>
      <c r="B39" s="20"/>
      <c r="C39" s="20"/>
      <c r="D39" s="20"/>
    </row>
    <row r="40" spans="1:7" ht="18.600000000000001" x14ac:dyDescent="0.55000000000000004">
      <c r="A40" s="13" t="s">
        <v>186</v>
      </c>
    </row>
  </sheetData>
  <autoFilter ref="A1:G36" xr:uid="{00000000-0009-0000-0000-000004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"/>
  <sheetViews>
    <sheetView workbookViewId="0">
      <pane ySplit="1" topLeftCell="A2" activePane="bottomLeft" state="frozen"/>
      <selection pane="bottomLeft" activeCell="N12" sqref="N12"/>
    </sheetView>
  </sheetViews>
  <sheetFormatPr defaultColWidth="8.88671875" defaultRowHeight="14.4" x14ac:dyDescent="0.3"/>
  <cols>
    <col min="1" max="1" width="8" customWidth="1"/>
    <col min="2" max="3" width="18" customWidth="1"/>
    <col min="4" max="4" width="42" customWidth="1"/>
    <col min="5" max="5" width="18" customWidth="1"/>
    <col min="6" max="6" width="14" customWidth="1"/>
  </cols>
  <sheetData>
    <row r="1" spans="1:6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187</v>
      </c>
      <c r="F1" s="3" t="s">
        <v>87</v>
      </c>
    </row>
    <row r="2" spans="1:6" ht="18.600000000000001" x14ac:dyDescent="0.3">
      <c r="A2" s="7">
        <v>1</v>
      </c>
      <c r="B2" s="2">
        <v>10</v>
      </c>
      <c r="C2" s="2" t="s">
        <v>188</v>
      </c>
      <c r="D2" s="2" t="s">
        <v>189</v>
      </c>
      <c r="E2" s="2" t="s">
        <v>190</v>
      </c>
      <c r="F2" s="2" t="s">
        <v>90</v>
      </c>
    </row>
    <row r="3" spans="1:6" ht="18.600000000000001" x14ac:dyDescent="0.3">
      <c r="A3" s="7">
        <v>2</v>
      </c>
      <c r="B3" s="2">
        <v>20</v>
      </c>
      <c r="C3" s="2" t="s">
        <v>191</v>
      </c>
      <c r="D3" s="2" t="s">
        <v>192</v>
      </c>
      <c r="E3" s="2" t="s">
        <v>193</v>
      </c>
      <c r="F3" s="2" t="s">
        <v>90</v>
      </c>
    </row>
    <row r="4" spans="1:6" ht="37.200000000000003" x14ac:dyDescent="0.3">
      <c r="A4" s="7">
        <v>3</v>
      </c>
      <c r="B4" s="2">
        <v>30</v>
      </c>
      <c r="C4" s="2" t="s">
        <v>194</v>
      </c>
      <c r="D4" s="2" t="s">
        <v>195</v>
      </c>
      <c r="E4" s="2" t="s">
        <v>196</v>
      </c>
      <c r="F4" s="2" t="s">
        <v>90</v>
      </c>
    </row>
    <row r="5" spans="1:6" ht="18.600000000000001" x14ac:dyDescent="0.3">
      <c r="A5" s="7">
        <v>4</v>
      </c>
      <c r="B5" s="2">
        <v>40</v>
      </c>
      <c r="C5" s="2" t="s">
        <v>197</v>
      </c>
      <c r="D5" s="2" t="s">
        <v>198</v>
      </c>
      <c r="E5" s="2" t="s">
        <v>199</v>
      </c>
      <c r="F5" s="2" t="s">
        <v>90</v>
      </c>
    </row>
    <row r="7" spans="1:6" ht="18.600000000000001" x14ac:dyDescent="0.55000000000000004">
      <c r="A7" s="13" t="s">
        <v>200</v>
      </c>
    </row>
  </sheetData>
  <autoFilter ref="A1:F5" xr:uid="{00000000-0009-0000-0000-000005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6"/>
  <sheetViews>
    <sheetView workbookViewId="0">
      <pane ySplit="1" topLeftCell="A2" activePane="bottomLeft" state="frozen"/>
      <selection pane="bottomLeft" activeCell="C2" sqref="C2"/>
    </sheetView>
  </sheetViews>
  <sheetFormatPr defaultColWidth="8.88671875" defaultRowHeight="14.4" x14ac:dyDescent="0.3"/>
  <cols>
    <col min="1" max="1" width="8" customWidth="1"/>
    <col min="2" max="3" width="18" customWidth="1"/>
    <col min="4" max="5" width="42" customWidth="1"/>
    <col min="6" max="6" width="14" customWidth="1"/>
  </cols>
  <sheetData>
    <row r="1" spans="1:6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201</v>
      </c>
      <c r="F1" s="3" t="s">
        <v>87</v>
      </c>
    </row>
    <row r="2" spans="1:6" ht="18.600000000000001" x14ac:dyDescent="0.3">
      <c r="A2" s="7">
        <v>1</v>
      </c>
      <c r="B2" s="2">
        <v>10</v>
      </c>
      <c r="C2" s="2" t="s">
        <v>202</v>
      </c>
      <c r="D2" s="2" t="s">
        <v>203</v>
      </c>
      <c r="E2" s="2" t="s">
        <v>204</v>
      </c>
      <c r="F2" s="2" t="s">
        <v>90</v>
      </c>
    </row>
    <row r="3" spans="1:6" ht="18.600000000000001" x14ac:dyDescent="0.3">
      <c r="A3" s="7">
        <v>3</v>
      </c>
      <c r="B3" s="2">
        <v>20</v>
      </c>
      <c r="C3" s="2" t="s">
        <v>206</v>
      </c>
      <c r="D3" s="2" t="s">
        <v>207</v>
      </c>
      <c r="E3" s="2" t="s">
        <v>208</v>
      </c>
      <c r="F3" s="2" t="s">
        <v>90</v>
      </c>
    </row>
    <row r="4" spans="1:6" ht="18.600000000000001" x14ac:dyDescent="0.3">
      <c r="A4" s="7">
        <v>4</v>
      </c>
      <c r="B4" s="2">
        <v>30</v>
      </c>
      <c r="C4" s="2" t="s">
        <v>209</v>
      </c>
      <c r="D4" s="2" t="s">
        <v>210</v>
      </c>
      <c r="E4" s="2" t="s">
        <v>211</v>
      </c>
      <c r="F4" s="2" t="s">
        <v>90</v>
      </c>
    </row>
    <row r="5" spans="1:6" ht="18.600000000000001" x14ac:dyDescent="0.3">
      <c r="A5" s="7">
        <v>5</v>
      </c>
      <c r="B5" s="2">
        <v>40</v>
      </c>
      <c r="C5" s="2" t="s">
        <v>212</v>
      </c>
      <c r="D5" s="2" t="s">
        <v>213</v>
      </c>
      <c r="E5" s="2" t="s">
        <v>214</v>
      </c>
      <c r="F5" s="2" t="s">
        <v>90</v>
      </c>
    </row>
    <row r="6" spans="1:6" ht="18.600000000000001" x14ac:dyDescent="0.3">
      <c r="A6" s="7">
        <v>6</v>
      </c>
      <c r="B6" s="2">
        <v>50</v>
      </c>
      <c r="C6" s="2" t="s">
        <v>215</v>
      </c>
      <c r="D6" s="2" t="s">
        <v>216</v>
      </c>
      <c r="E6" s="2" t="s">
        <v>217</v>
      </c>
      <c r="F6" s="2" t="s">
        <v>90</v>
      </c>
    </row>
    <row r="7" spans="1:6" ht="18.600000000000001" x14ac:dyDescent="0.3">
      <c r="A7" s="7">
        <v>7</v>
      </c>
      <c r="B7" s="2">
        <v>60</v>
      </c>
      <c r="C7" s="2" t="s">
        <v>218</v>
      </c>
      <c r="D7" s="2" t="s">
        <v>219</v>
      </c>
      <c r="E7" s="2" t="s">
        <v>220</v>
      </c>
      <c r="F7" s="2" t="s">
        <v>90</v>
      </c>
    </row>
    <row r="8" spans="1:6" ht="18.600000000000001" x14ac:dyDescent="0.3">
      <c r="A8" s="7">
        <v>9</v>
      </c>
      <c r="B8" s="2">
        <v>70</v>
      </c>
      <c r="C8" s="2" t="s">
        <v>221</v>
      </c>
      <c r="D8" s="2" t="s">
        <v>222</v>
      </c>
      <c r="E8" s="2" t="s">
        <v>223</v>
      </c>
      <c r="F8" s="2" t="s">
        <v>90</v>
      </c>
    </row>
    <row r="9" spans="1:6" ht="18.600000000000001" x14ac:dyDescent="0.3">
      <c r="A9" s="7">
        <v>10</v>
      </c>
      <c r="B9" s="2">
        <v>80</v>
      </c>
      <c r="C9" s="2" t="s">
        <v>224</v>
      </c>
      <c r="D9" s="2" t="s">
        <v>225</v>
      </c>
      <c r="E9" s="2" t="s">
        <v>226</v>
      </c>
      <c r="F9" s="2" t="s">
        <v>90</v>
      </c>
    </row>
    <row r="10" spans="1:6" ht="18.600000000000001" x14ac:dyDescent="0.3">
      <c r="A10" s="7">
        <v>11</v>
      </c>
      <c r="B10" s="2">
        <v>90</v>
      </c>
      <c r="C10" s="2" t="s">
        <v>227</v>
      </c>
      <c r="D10" s="2" t="s">
        <v>228</v>
      </c>
      <c r="E10" s="2" t="s">
        <v>229</v>
      </c>
      <c r="F10" s="2" t="s">
        <v>90</v>
      </c>
    </row>
    <row r="11" spans="1:6" ht="18.600000000000001" x14ac:dyDescent="0.3">
      <c r="A11" s="7">
        <v>12</v>
      </c>
      <c r="B11" s="2">
        <v>100</v>
      </c>
      <c r="C11" s="2" t="s">
        <v>230</v>
      </c>
      <c r="D11" s="2" t="s">
        <v>231</v>
      </c>
      <c r="E11" s="2" t="s">
        <v>232</v>
      </c>
      <c r="F11" s="2" t="s">
        <v>90</v>
      </c>
    </row>
    <row r="12" spans="1:6" ht="18.600000000000001" x14ac:dyDescent="0.3">
      <c r="A12" s="7">
        <v>13</v>
      </c>
      <c r="B12" s="2">
        <v>110</v>
      </c>
      <c r="C12" s="2" t="s">
        <v>233</v>
      </c>
      <c r="D12" s="2" t="s">
        <v>234</v>
      </c>
      <c r="E12" s="2" t="s">
        <v>235</v>
      </c>
      <c r="F12" s="2" t="s">
        <v>90</v>
      </c>
    </row>
    <row r="13" spans="1:6" ht="18.600000000000001" x14ac:dyDescent="0.3">
      <c r="A13" s="7">
        <v>14</v>
      </c>
      <c r="B13" s="2">
        <v>120</v>
      </c>
      <c r="C13" s="2" t="s">
        <v>236</v>
      </c>
      <c r="D13" s="2" t="s">
        <v>237</v>
      </c>
      <c r="E13" s="2" t="s">
        <v>238</v>
      </c>
      <c r="F13" s="2" t="s">
        <v>90</v>
      </c>
    </row>
    <row r="14" spans="1:6" ht="18.600000000000001" x14ac:dyDescent="0.3">
      <c r="A14" s="7">
        <v>15</v>
      </c>
      <c r="B14" s="2">
        <v>130</v>
      </c>
      <c r="C14" s="2" t="s">
        <v>239</v>
      </c>
      <c r="D14" s="2" t="s">
        <v>240</v>
      </c>
      <c r="E14" s="2" t="s">
        <v>241</v>
      </c>
      <c r="F14" s="2" t="s">
        <v>90</v>
      </c>
    </row>
    <row r="16" spans="1:6" ht="18.600000000000001" x14ac:dyDescent="0.55000000000000004">
      <c r="A16" s="13" t="s">
        <v>242</v>
      </c>
    </row>
  </sheetData>
  <autoFilter ref="A1:F14" xr:uid="{00000000-0009-0000-0000-000006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" customHeight="1" x14ac:dyDescent="0.3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18.600000000000001" x14ac:dyDescent="0.3">
      <c r="A2" s="7">
        <v>1</v>
      </c>
      <c r="B2" s="2">
        <v>10</v>
      </c>
      <c r="C2" s="2" t="s">
        <v>243</v>
      </c>
      <c r="D2" s="2" t="s">
        <v>244</v>
      </c>
      <c r="E2" s="2" t="s">
        <v>90</v>
      </c>
    </row>
    <row r="3" spans="1:5" ht="18.600000000000001" x14ac:dyDescent="0.3">
      <c r="A3" s="7">
        <v>2</v>
      </c>
      <c r="B3" s="2">
        <v>20</v>
      </c>
      <c r="C3" s="2" t="s">
        <v>193</v>
      </c>
      <c r="D3" s="2" t="s">
        <v>245</v>
      </c>
      <c r="E3" s="2" t="s">
        <v>90</v>
      </c>
    </row>
    <row r="4" spans="1:5" ht="18.600000000000001" x14ac:dyDescent="0.3">
      <c r="A4" s="7">
        <v>3</v>
      </c>
      <c r="B4" s="2">
        <v>30</v>
      </c>
      <c r="C4" s="2" t="s">
        <v>196</v>
      </c>
      <c r="D4" s="2" t="s">
        <v>246</v>
      </c>
      <c r="E4" s="2" t="s">
        <v>90</v>
      </c>
    </row>
    <row r="5" spans="1:5" ht="18.600000000000001" x14ac:dyDescent="0.3">
      <c r="A5" s="7">
        <v>4</v>
      </c>
      <c r="B5" s="2">
        <v>40</v>
      </c>
      <c r="C5" s="2" t="s">
        <v>199</v>
      </c>
      <c r="D5" s="2" t="s">
        <v>247</v>
      </c>
      <c r="E5" s="2" t="s">
        <v>90</v>
      </c>
    </row>
    <row r="7" spans="1:5" ht="18.600000000000001" x14ac:dyDescent="0.55000000000000004">
      <c r="A7" s="13" t="s">
        <v>248</v>
      </c>
    </row>
  </sheetData>
  <autoFilter ref="A1:E5" xr:uid="{00000000-0009-0000-0000-000007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88"/>
  <sheetViews>
    <sheetView tabSelected="1" workbookViewId="0">
      <pane ySplit="1" topLeftCell="A122" activePane="bottomLeft" state="frozen"/>
      <selection pane="bottomLeft" activeCell="B136" sqref="B136"/>
    </sheetView>
  </sheetViews>
  <sheetFormatPr defaultColWidth="8.88671875" defaultRowHeight="14.4" x14ac:dyDescent="0.3"/>
  <cols>
    <col min="1" max="1" width="8" customWidth="1"/>
    <col min="2" max="2" width="27.88671875" customWidth="1"/>
    <col min="3" max="3" width="62.88671875" customWidth="1"/>
    <col min="4" max="4" width="18" customWidth="1"/>
    <col min="5" max="5" width="31.5546875" customWidth="1"/>
  </cols>
  <sheetData>
    <row r="1" spans="1:5" ht="27.9" customHeight="1" x14ac:dyDescent="0.3">
      <c r="A1" s="3" t="s">
        <v>20</v>
      </c>
      <c r="B1" s="3" t="s">
        <v>85</v>
      </c>
      <c r="C1" s="3" t="s">
        <v>86</v>
      </c>
      <c r="D1" s="3" t="s">
        <v>251</v>
      </c>
      <c r="E1" s="3" t="s">
        <v>87</v>
      </c>
    </row>
    <row r="2" spans="1:5" ht="18.600000000000001" x14ac:dyDescent="0.3">
      <c r="A2" s="7">
        <v>1</v>
      </c>
      <c r="B2" s="2" t="s">
        <v>373</v>
      </c>
      <c r="C2" s="2" t="s">
        <v>252</v>
      </c>
      <c r="D2" s="2" t="s">
        <v>250</v>
      </c>
      <c r="E2" s="2" t="s">
        <v>90</v>
      </c>
    </row>
    <row r="3" spans="1:5" ht="18.600000000000001" x14ac:dyDescent="0.3">
      <c r="A3" s="7">
        <v>2</v>
      </c>
      <c r="B3" s="2" t="s">
        <v>374</v>
      </c>
      <c r="C3" s="2" t="s">
        <v>253</v>
      </c>
      <c r="D3" s="2" t="s">
        <v>250</v>
      </c>
      <c r="E3" s="2" t="s">
        <v>90</v>
      </c>
    </row>
    <row r="4" spans="1:5" ht="18.600000000000001" x14ac:dyDescent="0.3">
      <c r="A4" s="7">
        <v>3</v>
      </c>
      <c r="B4" s="2" t="s">
        <v>254</v>
      </c>
      <c r="C4" s="2" t="s">
        <v>255</v>
      </c>
      <c r="D4" s="2" t="s">
        <v>250</v>
      </c>
      <c r="E4" s="2" t="s">
        <v>90</v>
      </c>
    </row>
    <row r="5" spans="1:5" ht="18.600000000000001" x14ac:dyDescent="0.3">
      <c r="A5" s="7">
        <v>4</v>
      </c>
      <c r="B5" s="2" t="s">
        <v>375</v>
      </c>
      <c r="C5" s="2" t="s">
        <v>256</v>
      </c>
      <c r="D5" s="2" t="s">
        <v>250</v>
      </c>
      <c r="E5" s="2" t="s">
        <v>90</v>
      </c>
    </row>
    <row r="6" spans="1:5" ht="18.600000000000001" x14ac:dyDescent="0.3">
      <c r="A6" s="7">
        <v>5</v>
      </c>
      <c r="B6" s="2" t="s">
        <v>376</v>
      </c>
      <c r="C6" s="2" t="s">
        <v>257</v>
      </c>
      <c r="D6" s="2" t="s">
        <v>250</v>
      </c>
      <c r="E6" s="2" t="s">
        <v>90</v>
      </c>
    </row>
    <row r="7" spans="1:5" ht="18.600000000000001" x14ac:dyDescent="0.3">
      <c r="A7" s="7">
        <v>6</v>
      </c>
      <c r="B7" s="2" t="s">
        <v>377</v>
      </c>
      <c r="C7" s="2" t="s">
        <v>258</v>
      </c>
      <c r="D7" s="2" t="s">
        <v>250</v>
      </c>
      <c r="E7" s="2" t="s">
        <v>90</v>
      </c>
    </row>
    <row r="8" spans="1:5" ht="18.600000000000001" x14ac:dyDescent="0.3">
      <c r="A8" s="7">
        <v>7</v>
      </c>
      <c r="B8" s="2"/>
      <c r="C8" s="2" t="s">
        <v>259</v>
      </c>
      <c r="D8" s="2" t="s">
        <v>250</v>
      </c>
      <c r="E8" s="2" t="s">
        <v>90</v>
      </c>
    </row>
    <row r="9" spans="1:5" ht="18.600000000000001" x14ac:dyDescent="0.3">
      <c r="A9" s="7">
        <v>8</v>
      </c>
      <c r="B9" s="2" t="s">
        <v>378</v>
      </c>
      <c r="C9" s="2" t="s">
        <v>260</v>
      </c>
      <c r="D9" s="2" t="s">
        <v>250</v>
      </c>
      <c r="E9" s="2" t="s">
        <v>90</v>
      </c>
    </row>
    <row r="10" spans="1:5" ht="18.600000000000001" x14ac:dyDescent="0.3">
      <c r="A10" s="7">
        <v>9</v>
      </c>
      <c r="B10" t="s">
        <v>379</v>
      </c>
      <c r="C10" s="2" t="s">
        <v>261</v>
      </c>
      <c r="D10" s="2" t="s">
        <v>250</v>
      </c>
      <c r="E10" s="2" t="s">
        <v>90</v>
      </c>
    </row>
    <row r="11" spans="1:5" ht="18.600000000000001" x14ac:dyDescent="0.3">
      <c r="A11" s="7">
        <v>10</v>
      </c>
      <c r="B11" t="s">
        <v>380</v>
      </c>
      <c r="C11" s="2" t="s">
        <v>262</v>
      </c>
      <c r="D11" s="2" t="s">
        <v>250</v>
      </c>
      <c r="E11" s="2" t="s">
        <v>90</v>
      </c>
    </row>
    <row r="12" spans="1:5" ht="18.600000000000001" x14ac:dyDescent="0.3">
      <c r="A12" s="7">
        <v>11</v>
      </c>
      <c r="B12" t="s">
        <v>381</v>
      </c>
      <c r="C12" s="2" t="s">
        <v>263</v>
      </c>
      <c r="D12" s="2" t="s">
        <v>250</v>
      </c>
      <c r="E12" s="2" t="s">
        <v>90</v>
      </c>
    </row>
    <row r="13" spans="1:5" ht="18.600000000000001" x14ac:dyDescent="0.3">
      <c r="A13" s="7">
        <v>12</v>
      </c>
      <c r="B13" t="s">
        <v>382</v>
      </c>
      <c r="C13" s="2" t="s">
        <v>264</v>
      </c>
      <c r="D13" s="2" t="s">
        <v>250</v>
      </c>
      <c r="E13" s="2" t="s">
        <v>90</v>
      </c>
    </row>
    <row r="14" spans="1:5" ht="18.600000000000001" x14ac:dyDescent="0.3">
      <c r="A14" s="7">
        <v>13</v>
      </c>
      <c r="B14" t="s">
        <v>383</v>
      </c>
      <c r="C14" s="2" t="s">
        <v>265</v>
      </c>
      <c r="D14" s="2" t="s">
        <v>250</v>
      </c>
      <c r="E14" s="2" t="s">
        <v>90</v>
      </c>
    </row>
    <row r="15" spans="1:5" ht="18.600000000000001" x14ac:dyDescent="0.3">
      <c r="A15" s="7">
        <v>14</v>
      </c>
      <c r="B15" t="s">
        <v>384</v>
      </c>
      <c r="C15" s="2" t="s">
        <v>266</v>
      </c>
      <c r="D15" s="2" t="s">
        <v>250</v>
      </c>
      <c r="E15" s="2" t="s">
        <v>90</v>
      </c>
    </row>
    <row r="16" spans="1:5" ht="18.600000000000001" x14ac:dyDescent="0.3">
      <c r="A16" s="7">
        <v>15</v>
      </c>
      <c r="B16" t="s">
        <v>385</v>
      </c>
      <c r="C16" s="2" t="s">
        <v>267</v>
      </c>
      <c r="D16" s="2" t="s">
        <v>250</v>
      </c>
      <c r="E16" s="2" t="s">
        <v>90</v>
      </c>
    </row>
    <row r="17" spans="1:5" ht="18.600000000000001" x14ac:dyDescent="0.3">
      <c r="A17" s="7">
        <v>16</v>
      </c>
      <c r="B17" t="s">
        <v>386</v>
      </c>
      <c r="C17" s="2" t="s">
        <v>268</v>
      </c>
      <c r="D17" s="2" t="s">
        <v>250</v>
      </c>
      <c r="E17" s="2" t="s">
        <v>90</v>
      </c>
    </row>
    <row r="18" spans="1:5" ht="18.600000000000001" x14ac:dyDescent="0.3">
      <c r="A18" s="7">
        <v>17</v>
      </c>
      <c r="B18" t="s">
        <v>387</v>
      </c>
      <c r="C18" s="2" t="s">
        <v>269</v>
      </c>
      <c r="D18" s="2" t="s">
        <v>250</v>
      </c>
      <c r="E18" s="2" t="s">
        <v>90</v>
      </c>
    </row>
    <row r="19" spans="1:5" ht="18.600000000000001" x14ac:dyDescent="0.3">
      <c r="A19" s="7">
        <v>18</v>
      </c>
      <c r="B19" s="2"/>
      <c r="C19" s="2" t="s">
        <v>270</v>
      </c>
      <c r="D19" s="2" t="s">
        <v>250</v>
      </c>
      <c r="E19" s="2" t="s">
        <v>90</v>
      </c>
    </row>
    <row r="20" spans="1:5" ht="18.600000000000001" x14ac:dyDescent="0.3">
      <c r="A20" s="7">
        <v>19</v>
      </c>
      <c r="B20" t="s">
        <v>388</v>
      </c>
      <c r="C20" s="2" t="s">
        <v>271</v>
      </c>
      <c r="D20" s="2" t="s">
        <v>250</v>
      </c>
      <c r="E20" s="2" t="s">
        <v>90</v>
      </c>
    </row>
    <row r="21" spans="1:5" ht="18.600000000000001" x14ac:dyDescent="0.3">
      <c r="A21" s="7">
        <v>20</v>
      </c>
      <c r="B21" t="s">
        <v>389</v>
      </c>
      <c r="C21" s="2" t="s">
        <v>272</v>
      </c>
      <c r="D21" s="2" t="s">
        <v>250</v>
      </c>
      <c r="E21" s="2" t="s">
        <v>90</v>
      </c>
    </row>
    <row r="22" spans="1:5" ht="18.600000000000001" x14ac:dyDescent="0.3">
      <c r="A22" s="7">
        <v>21</v>
      </c>
      <c r="B22" t="s">
        <v>390</v>
      </c>
      <c r="C22" s="2" t="s">
        <v>273</v>
      </c>
      <c r="D22" s="2" t="s">
        <v>250</v>
      </c>
      <c r="E22" s="2" t="s">
        <v>90</v>
      </c>
    </row>
    <row r="23" spans="1:5" ht="18.600000000000001" x14ac:dyDescent="0.3">
      <c r="A23" s="7">
        <v>22</v>
      </c>
      <c r="B23" t="s">
        <v>391</v>
      </c>
      <c r="C23" s="2" t="s">
        <v>274</v>
      </c>
      <c r="D23" s="2" t="s">
        <v>250</v>
      </c>
      <c r="E23" s="2" t="s">
        <v>90</v>
      </c>
    </row>
    <row r="24" spans="1:5" ht="18.600000000000001" x14ac:dyDescent="0.3">
      <c r="A24" s="7">
        <v>23</v>
      </c>
      <c r="B24" t="s">
        <v>392</v>
      </c>
      <c r="C24" s="2" t="s">
        <v>275</v>
      </c>
      <c r="D24" s="2" t="s">
        <v>250</v>
      </c>
      <c r="E24" s="2" t="s">
        <v>90</v>
      </c>
    </row>
    <row r="25" spans="1:5" ht="18.600000000000001" x14ac:dyDescent="0.3">
      <c r="A25" s="7">
        <v>24</v>
      </c>
      <c r="B25" s="2"/>
      <c r="C25" s="2" t="s">
        <v>276</v>
      </c>
      <c r="D25" s="2" t="s">
        <v>249</v>
      </c>
      <c r="E25" s="2" t="s">
        <v>90</v>
      </c>
    </row>
    <row r="26" spans="1:5" ht="18.600000000000001" x14ac:dyDescent="0.3">
      <c r="A26" s="7">
        <v>25</v>
      </c>
      <c r="B26" t="s">
        <v>396</v>
      </c>
      <c r="C26" s="2" t="s">
        <v>277</v>
      </c>
      <c r="D26" s="2" t="s">
        <v>250</v>
      </c>
      <c r="E26" s="2" t="s">
        <v>90</v>
      </c>
    </row>
    <row r="27" spans="1:5" ht="18.600000000000001" x14ac:dyDescent="0.3">
      <c r="A27" s="7">
        <v>26</v>
      </c>
      <c r="B27" t="s">
        <v>397</v>
      </c>
      <c r="C27" s="2" t="s">
        <v>278</v>
      </c>
      <c r="D27" s="2" t="s">
        <v>250</v>
      </c>
      <c r="E27" s="2" t="s">
        <v>90</v>
      </c>
    </row>
    <row r="28" spans="1:5" ht="18.600000000000001" x14ac:dyDescent="0.3">
      <c r="A28" s="7">
        <v>27</v>
      </c>
      <c r="B28" t="s">
        <v>393</v>
      </c>
      <c r="C28" s="2" t="s">
        <v>279</v>
      </c>
      <c r="D28" s="2" t="s">
        <v>250</v>
      </c>
      <c r="E28" s="2" t="s">
        <v>90</v>
      </c>
    </row>
    <row r="29" spans="1:5" ht="18.600000000000001" x14ac:dyDescent="0.3">
      <c r="A29" s="7">
        <v>28</v>
      </c>
      <c r="B29" t="s">
        <v>394</v>
      </c>
      <c r="C29" s="2" t="s">
        <v>280</v>
      </c>
      <c r="D29" s="2" t="s">
        <v>250</v>
      </c>
      <c r="E29" s="2" t="s">
        <v>90</v>
      </c>
    </row>
    <row r="30" spans="1:5" ht="18.600000000000001" x14ac:dyDescent="0.3">
      <c r="A30" s="7">
        <v>29</v>
      </c>
      <c r="B30" t="s">
        <v>398</v>
      </c>
      <c r="C30" s="2" t="s">
        <v>281</v>
      </c>
      <c r="D30" s="2" t="s">
        <v>250</v>
      </c>
      <c r="E30" s="2" t="s">
        <v>90</v>
      </c>
    </row>
    <row r="31" spans="1:5" ht="18.600000000000001" x14ac:dyDescent="0.3">
      <c r="A31" s="7">
        <v>30</v>
      </c>
      <c r="B31" t="s">
        <v>395</v>
      </c>
      <c r="C31" s="2" t="s">
        <v>282</v>
      </c>
      <c r="D31" s="2" t="s">
        <v>250</v>
      </c>
      <c r="E31" s="2" t="s">
        <v>90</v>
      </c>
    </row>
    <row r="32" spans="1:5" ht="18.600000000000001" x14ac:dyDescent="0.3">
      <c r="A32" s="7">
        <v>31</v>
      </c>
      <c r="B32" t="s">
        <v>399</v>
      </c>
      <c r="C32" s="2" t="s">
        <v>283</v>
      </c>
      <c r="D32" s="2" t="s">
        <v>250</v>
      </c>
      <c r="E32" s="2" t="s">
        <v>90</v>
      </c>
    </row>
    <row r="33" spans="1:5" ht="18.600000000000001" x14ac:dyDescent="0.3">
      <c r="A33" s="7">
        <v>32</v>
      </c>
      <c r="B33" t="s">
        <v>400</v>
      </c>
      <c r="C33" s="2" t="s">
        <v>284</v>
      </c>
      <c r="D33" s="2" t="s">
        <v>250</v>
      </c>
      <c r="E33" s="2" t="s">
        <v>90</v>
      </c>
    </row>
    <row r="34" spans="1:5" ht="18.600000000000001" x14ac:dyDescent="0.3">
      <c r="A34" s="7">
        <v>33</v>
      </c>
      <c r="B34" t="s">
        <v>401</v>
      </c>
      <c r="C34" s="2" t="s">
        <v>285</v>
      </c>
      <c r="D34" s="2" t="s">
        <v>250</v>
      </c>
      <c r="E34" s="2" t="s">
        <v>90</v>
      </c>
    </row>
    <row r="35" spans="1:5" ht="18.600000000000001" x14ac:dyDescent="0.3">
      <c r="A35" s="7">
        <v>34</v>
      </c>
      <c r="B35" t="s">
        <v>402</v>
      </c>
      <c r="C35" s="2" t="s">
        <v>286</v>
      </c>
      <c r="D35" s="2" t="s">
        <v>250</v>
      </c>
      <c r="E35" s="2" t="s">
        <v>90</v>
      </c>
    </row>
    <row r="36" spans="1:5" ht="18.600000000000001" x14ac:dyDescent="0.3">
      <c r="A36" s="7">
        <v>35</v>
      </c>
      <c r="B36" s="2"/>
      <c r="C36" s="2" t="s">
        <v>287</v>
      </c>
      <c r="D36" s="2" t="s">
        <v>250</v>
      </c>
      <c r="E36" s="2" t="s">
        <v>90</v>
      </c>
    </row>
    <row r="37" spans="1:5" ht="18.600000000000001" x14ac:dyDescent="0.3">
      <c r="A37" s="7">
        <v>36</v>
      </c>
      <c r="B37" s="2"/>
      <c r="C37" s="2" t="s">
        <v>288</v>
      </c>
      <c r="D37" s="2" t="s">
        <v>250</v>
      </c>
      <c r="E37" s="2" t="s">
        <v>90</v>
      </c>
    </row>
    <row r="38" spans="1:5" ht="18.600000000000001" x14ac:dyDescent="0.3">
      <c r="A38" s="7">
        <v>37</v>
      </c>
      <c r="B38" s="2"/>
      <c r="C38" s="2" t="s">
        <v>289</v>
      </c>
      <c r="D38" s="2" t="s">
        <v>250</v>
      </c>
      <c r="E38" s="2" t="s">
        <v>90</v>
      </c>
    </row>
    <row r="39" spans="1:5" ht="18.600000000000001" x14ac:dyDescent="0.3">
      <c r="A39" s="7">
        <v>38</v>
      </c>
      <c r="B39" s="2"/>
      <c r="C39" s="2" t="s">
        <v>290</v>
      </c>
      <c r="D39" s="2" t="s">
        <v>250</v>
      </c>
      <c r="E39" s="2" t="s">
        <v>90</v>
      </c>
    </row>
    <row r="40" spans="1:5" ht="18.600000000000001" x14ac:dyDescent="0.3">
      <c r="A40" s="7">
        <v>39</v>
      </c>
      <c r="B40" s="2"/>
      <c r="C40" s="2" t="s">
        <v>291</v>
      </c>
      <c r="D40" s="2" t="s">
        <v>250</v>
      </c>
      <c r="E40" s="2" t="s">
        <v>90</v>
      </c>
    </row>
    <row r="41" spans="1:5" ht="18.600000000000001" x14ac:dyDescent="0.3">
      <c r="A41" s="7">
        <v>40</v>
      </c>
      <c r="B41" s="2"/>
      <c r="C41" s="2" t="s">
        <v>292</v>
      </c>
      <c r="D41" s="2" t="s">
        <v>250</v>
      </c>
      <c r="E41" s="2" t="s">
        <v>90</v>
      </c>
    </row>
    <row r="42" spans="1:5" ht="18.600000000000001" x14ac:dyDescent="0.3">
      <c r="A42" s="7">
        <v>41</v>
      </c>
      <c r="B42" s="2"/>
      <c r="C42" s="2" t="s">
        <v>293</v>
      </c>
      <c r="D42" s="2" t="s">
        <v>250</v>
      </c>
      <c r="E42" s="2" t="s">
        <v>90</v>
      </c>
    </row>
    <row r="43" spans="1:5" ht="18.600000000000001" x14ac:dyDescent="0.3">
      <c r="A43" s="7">
        <v>42</v>
      </c>
      <c r="B43" t="s">
        <v>403</v>
      </c>
      <c r="C43" s="2" t="s">
        <v>294</v>
      </c>
      <c r="D43" s="2" t="s">
        <v>250</v>
      </c>
      <c r="E43" s="2" t="s">
        <v>90</v>
      </c>
    </row>
    <row r="44" spans="1:5" ht="18.600000000000001" x14ac:dyDescent="0.3">
      <c r="A44" s="7">
        <v>43</v>
      </c>
      <c r="B44" s="2"/>
      <c r="C44" s="2" t="s">
        <v>295</v>
      </c>
      <c r="D44" s="2" t="s">
        <v>250</v>
      </c>
      <c r="E44" s="2" t="s">
        <v>90</v>
      </c>
    </row>
    <row r="45" spans="1:5" ht="18.600000000000001" x14ac:dyDescent="0.3">
      <c r="A45" s="7">
        <v>44</v>
      </c>
      <c r="B45" s="2"/>
      <c r="C45" s="2" t="s">
        <v>296</v>
      </c>
      <c r="D45" s="2" t="s">
        <v>250</v>
      </c>
      <c r="E45" s="2" t="s">
        <v>90</v>
      </c>
    </row>
    <row r="47" spans="1:5" ht="18.600000000000001" x14ac:dyDescent="0.55000000000000004">
      <c r="A47" s="13" t="s">
        <v>297</v>
      </c>
    </row>
    <row r="49" spans="3:5" ht="21" x14ac:dyDescent="0.3">
      <c r="C49" s="31" t="s">
        <v>404</v>
      </c>
      <c r="D49" s="24"/>
    </row>
    <row r="50" spans="3:5" ht="21" x14ac:dyDescent="0.6">
      <c r="C50" s="25" t="s">
        <v>419</v>
      </c>
      <c r="D50" s="26"/>
    </row>
    <row r="51" spans="3:5" ht="21" x14ac:dyDescent="0.6">
      <c r="C51" s="25" t="s">
        <v>420</v>
      </c>
      <c r="D51" s="27"/>
    </row>
    <row r="52" spans="3:5" ht="21" x14ac:dyDescent="0.6">
      <c r="C52" s="25" t="s">
        <v>436</v>
      </c>
      <c r="D52" s="26"/>
    </row>
    <row r="53" spans="3:5" ht="21" x14ac:dyDescent="0.6">
      <c r="C53" s="25" t="s">
        <v>421</v>
      </c>
      <c r="D53" s="26"/>
    </row>
    <row r="54" spans="3:5" ht="21" x14ac:dyDescent="0.4">
      <c r="C54" s="29" t="s">
        <v>449</v>
      </c>
      <c r="D54" s="24"/>
    </row>
    <row r="55" spans="3:5" ht="21" x14ac:dyDescent="0.6">
      <c r="C55" s="25" t="s">
        <v>437</v>
      </c>
      <c r="D55" s="26"/>
    </row>
    <row r="56" spans="3:5" ht="21" x14ac:dyDescent="0.6">
      <c r="C56" s="25" t="s">
        <v>422</v>
      </c>
      <c r="D56" s="26"/>
    </row>
    <row r="57" spans="3:5" ht="21" x14ac:dyDescent="0.6">
      <c r="C57" s="25" t="s">
        <v>423</v>
      </c>
      <c r="D57" s="26"/>
    </row>
    <row r="58" spans="3:5" ht="21" x14ac:dyDescent="0.6">
      <c r="C58" s="25" t="s">
        <v>438</v>
      </c>
      <c r="D58" s="26"/>
    </row>
    <row r="59" spans="3:5" ht="21" x14ac:dyDescent="0.6">
      <c r="C59" s="25" t="s">
        <v>439</v>
      </c>
      <c r="D59" s="26"/>
      <c r="E59" s="26"/>
    </row>
    <row r="60" spans="3:5" ht="21" x14ac:dyDescent="0.6">
      <c r="C60" s="25" t="s">
        <v>424</v>
      </c>
      <c r="D60" s="26"/>
    </row>
    <row r="61" spans="3:5" ht="21" x14ac:dyDescent="0.6">
      <c r="C61" s="25" t="s">
        <v>425</v>
      </c>
      <c r="D61" s="26"/>
    </row>
    <row r="62" spans="3:5" ht="21" x14ac:dyDescent="0.6">
      <c r="C62" s="25" t="s">
        <v>426</v>
      </c>
      <c r="D62" s="27"/>
    </row>
    <row r="63" spans="3:5" ht="21" x14ac:dyDescent="0.6">
      <c r="C63" s="25" t="s">
        <v>427</v>
      </c>
      <c r="D63" s="26"/>
    </row>
    <row r="64" spans="3:5" ht="21" x14ac:dyDescent="0.6">
      <c r="C64" s="25" t="s">
        <v>440</v>
      </c>
      <c r="D64" s="26"/>
    </row>
    <row r="65" spans="3:5" ht="21" x14ac:dyDescent="0.6">
      <c r="C65" s="25" t="s">
        <v>441</v>
      </c>
      <c r="D65" s="26"/>
    </row>
    <row r="66" spans="3:5" ht="21" x14ac:dyDescent="0.6">
      <c r="C66" s="25" t="s">
        <v>442</v>
      </c>
      <c r="D66" s="26"/>
    </row>
    <row r="67" spans="3:5" ht="21" x14ac:dyDescent="0.6">
      <c r="C67" s="25" t="s">
        <v>443</v>
      </c>
      <c r="D67" s="26"/>
      <c r="E67" s="26"/>
    </row>
    <row r="68" spans="3:5" ht="21" x14ac:dyDescent="0.6">
      <c r="C68" s="25" t="s">
        <v>444</v>
      </c>
      <c r="D68" s="26"/>
      <c r="E68" s="26"/>
    </row>
    <row r="69" spans="3:5" ht="21" x14ac:dyDescent="0.6">
      <c r="C69" s="25" t="s">
        <v>445</v>
      </c>
      <c r="D69" s="26"/>
      <c r="E69" s="26"/>
    </row>
    <row r="70" spans="3:5" ht="21" x14ac:dyDescent="0.3">
      <c r="C70" s="25" t="s">
        <v>428</v>
      </c>
    </row>
    <row r="71" spans="3:5" ht="21" x14ac:dyDescent="0.6">
      <c r="C71" s="25" t="s">
        <v>429</v>
      </c>
      <c r="D71" s="26"/>
    </row>
    <row r="72" spans="3:5" ht="21" x14ac:dyDescent="0.6">
      <c r="C72" s="25" t="s">
        <v>430</v>
      </c>
      <c r="D72" s="26"/>
    </row>
    <row r="73" spans="3:5" ht="21" x14ac:dyDescent="0.6">
      <c r="C73" s="25" t="s">
        <v>431</v>
      </c>
      <c r="D73" s="26"/>
    </row>
    <row r="74" spans="3:5" ht="21" x14ac:dyDescent="0.6">
      <c r="C74" s="25" t="s">
        <v>432</v>
      </c>
      <c r="D74" s="26"/>
    </row>
    <row r="75" spans="3:5" ht="21" x14ac:dyDescent="0.6">
      <c r="C75" s="25" t="s">
        <v>433</v>
      </c>
      <c r="D75" s="26"/>
    </row>
    <row r="76" spans="3:5" ht="21" x14ac:dyDescent="0.6">
      <c r="C76" s="25" t="s">
        <v>434</v>
      </c>
      <c r="D76" s="26"/>
    </row>
    <row r="77" spans="3:5" ht="21" x14ac:dyDescent="0.6">
      <c r="C77" s="25" t="s">
        <v>450</v>
      </c>
      <c r="D77" s="26"/>
    </row>
    <row r="78" spans="3:5" ht="21" x14ac:dyDescent="0.6">
      <c r="C78" s="25" t="s">
        <v>435</v>
      </c>
      <c r="D78" s="26"/>
    </row>
    <row r="79" spans="3:5" ht="21" x14ac:dyDescent="0.4">
      <c r="C79" s="29" t="s">
        <v>446</v>
      </c>
      <c r="D79" s="24"/>
    </row>
    <row r="80" spans="3:5" ht="21" x14ac:dyDescent="0.4">
      <c r="C80" s="29" t="s">
        <v>447</v>
      </c>
      <c r="D80" s="24"/>
    </row>
    <row r="81" spans="3:5" ht="21" x14ac:dyDescent="0.4">
      <c r="C81" s="29" t="s">
        <v>448</v>
      </c>
      <c r="D81" s="24"/>
    </row>
    <row r="82" spans="3:5" ht="21" x14ac:dyDescent="0.4">
      <c r="C82" s="29" t="s">
        <v>459</v>
      </c>
      <c r="D82" s="24"/>
    </row>
    <row r="83" spans="3:5" ht="23.4" x14ac:dyDescent="0.6">
      <c r="C83" s="29" t="s">
        <v>451</v>
      </c>
      <c r="D83" s="24"/>
      <c r="E83" s="26"/>
    </row>
    <row r="84" spans="3:5" ht="23.4" x14ac:dyDescent="0.6">
      <c r="C84" s="29" t="s">
        <v>452</v>
      </c>
      <c r="D84" s="24"/>
      <c r="E84" s="26"/>
    </row>
    <row r="85" spans="3:5" ht="23.4" x14ac:dyDescent="0.6">
      <c r="C85" s="29" t="s">
        <v>453</v>
      </c>
      <c r="E85" s="26"/>
    </row>
    <row r="86" spans="3:5" ht="21" x14ac:dyDescent="0.6">
      <c r="C86" s="28" t="s">
        <v>454</v>
      </c>
      <c r="D86" s="26"/>
      <c r="E86" s="26"/>
    </row>
    <row r="87" spans="3:5" ht="21" x14ac:dyDescent="0.4">
      <c r="C87" s="29" t="s">
        <v>455</v>
      </c>
    </row>
    <row r="88" spans="3:5" ht="21" x14ac:dyDescent="0.6">
      <c r="C88" s="25" t="s">
        <v>480</v>
      </c>
      <c r="D88" s="26"/>
    </row>
    <row r="89" spans="3:5" ht="23.4" x14ac:dyDescent="0.6">
      <c r="C89" s="29" t="s">
        <v>463</v>
      </c>
      <c r="D89" s="26"/>
    </row>
    <row r="90" spans="3:5" ht="23.4" x14ac:dyDescent="0.6">
      <c r="C90" s="29" t="s">
        <v>456</v>
      </c>
      <c r="D90" s="26"/>
    </row>
    <row r="91" spans="3:5" ht="23.4" x14ac:dyDescent="0.6">
      <c r="C91" s="29" t="s">
        <v>457</v>
      </c>
      <c r="D91" s="26"/>
    </row>
    <row r="92" spans="3:5" ht="21" x14ac:dyDescent="0.4">
      <c r="C92" s="29" t="s">
        <v>458</v>
      </c>
      <c r="D92" s="24"/>
    </row>
    <row r="93" spans="3:5" ht="21" x14ac:dyDescent="0.4">
      <c r="C93" s="29" t="s">
        <v>462</v>
      </c>
      <c r="D93" s="24"/>
    </row>
    <row r="94" spans="3:5" ht="21" x14ac:dyDescent="0.4">
      <c r="C94" s="30" t="s">
        <v>461</v>
      </c>
      <c r="D94" s="24"/>
    </row>
    <row r="95" spans="3:5" ht="21" x14ac:dyDescent="0.4">
      <c r="C95" s="30" t="s">
        <v>460</v>
      </c>
      <c r="D95" s="24"/>
    </row>
    <row r="96" spans="3:5" ht="21" x14ac:dyDescent="0.3">
      <c r="C96" s="32" t="s">
        <v>494</v>
      </c>
      <c r="D96" s="24"/>
    </row>
    <row r="97" spans="3:4" ht="21" x14ac:dyDescent="0.3">
      <c r="C97" s="32" t="s">
        <v>495</v>
      </c>
      <c r="D97" s="24"/>
    </row>
    <row r="98" spans="3:4" ht="21" x14ac:dyDescent="0.3">
      <c r="C98" s="32" t="s">
        <v>496</v>
      </c>
      <c r="D98" s="24"/>
    </row>
    <row r="99" spans="3:4" ht="21" x14ac:dyDescent="0.3">
      <c r="C99" s="32" t="s">
        <v>497</v>
      </c>
      <c r="D99" s="24"/>
    </row>
    <row r="100" spans="3:4" ht="21" x14ac:dyDescent="0.3">
      <c r="C100" s="32" t="s">
        <v>266</v>
      </c>
      <c r="D100" s="24"/>
    </row>
    <row r="101" spans="3:4" ht="21" x14ac:dyDescent="0.3">
      <c r="C101" s="32" t="s">
        <v>465</v>
      </c>
      <c r="D101" s="24"/>
    </row>
    <row r="102" spans="3:4" ht="21" x14ac:dyDescent="0.3">
      <c r="C102" s="32" t="s">
        <v>405</v>
      </c>
      <c r="D102" s="24"/>
    </row>
    <row r="103" spans="3:4" ht="21" x14ac:dyDescent="0.3">
      <c r="C103" s="32" t="s">
        <v>275</v>
      </c>
      <c r="D103" s="24"/>
    </row>
    <row r="104" spans="3:4" ht="21" x14ac:dyDescent="0.3">
      <c r="C104" s="32" t="s">
        <v>406</v>
      </c>
      <c r="D104" s="24"/>
    </row>
    <row r="105" spans="3:4" ht="21" x14ac:dyDescent="0.3">
      <c r="C105" s="32" t="s">
        <v>467</v>
      </c>
      <c r="D105" s="24"/>
    </row>
    <row r="106" spans="3:4" ht="21" x14ac:dyDescent="0.3">
      <c r="C106" s="32" t="s">
        <v>407</v>
      </c>
      <c r="D106" s="24"/>
    </row>
    <row r="107" spans="3:4" ht="21" x14ac:dyDescent="0.3">
      <c r="C107" s="32" t="s">
        <v>257</v>
      </c>
      <c r="D107" s="24"/>
    </row>
    <row r="108" spans="3:4" ht="21" x14ac:dyDescent="0.3">
      <c r="C108" s="32" t="s">
        <v>269</v>
      </c>
      <c r="D108" s="24"/>
    </row>
    <row r="109" spans="3:4" ht="21" x14ac:dyDescent="0.3">
      <c r="C109" s="32" t="s">
        <v>408</v>
      </c>
      <c r="D109" s="24"/>
    </row>
    <row r="110" spans="3:4" ht="21" x14ac:dyDescent="0.3">
      <c r="C110" s="32" t="s">
        <v>466</v>
      </c>
      <c r="D110" s="24"/>
    </row>
    <row r="111" spans="3:4" ht="21" x14ac:dyDescent="0.3">
      <c r="C111" s="32" t="s">
        <v>409</v>
      </c>
      <c r="D111" s="24"/>
    </row>
    <row r="112" spans="3:4" ht="21" x14ac:dyDescent="0.3">
      <c r="C112" s="32" t="s">
        <v>263</v>
      </c>
      <c r="D112" s="24"/>
    </row>
    <row r="113" spans="3:4" ht="21" x14ac:dyDescent="0.3">
      <c r="C113" s="32" t="s">
        <v>410</v>
      </c>
      <c r="D113" s="24"/>
    </row>
    <row r="114" spans="3:4" ht="21" x14ac:dyDescent="0.3">
      <c r="C114" s="32" t="s">
        <v>412</v>
      </c>
      <c r="D114" s="24"/>
    </row>
    <row r="115" spans="3:4" ht="21" x14ac:dyDescent="0.3">
      <c r="C115" s="32" t="s">
        <v>468</v>
      </c>
      <c r="D115" s="24"/>
    </row>
    <row r="116" spans="3:4" ht="21" x14ac:dyDescent="0.3">
      <c r="C116" s="32" t="s">
        <v>464</v>
      </c>
      <c r="D116" s="24"/>
    </row>
    <row r="117" spans="3:4" ht="21" x14ac:dyDescent="0.3">
      <c r="C117" s="25" t="s">
        <v>469</v>
      </c>
      <c r="D117" s="24"/>
    </row>
    <row r="118" spans="3:4" ht="21" x14ac:dyDescent="0.3">
      <c r="C118" s="25" t="s">
        <v>470</v>
      </c>
      <c r="D118" s="24"/>
    </row>
    <row r="119" spans="3:4" ht="21" x14ac:dyDescent="0.3">
      <c r="C119" s="25" t="s">
        <v>471</v>
      </c>
      <c r="D119" s="24"/>
    </row>
    <row r="120" spans="3:4" ht="21" x14ac:dyDescent="0.3">
      <c r="C120" s="25" t="s">
        <v>473</v>
      </c>
      <c r="D120" s="24"/>
    </row>
    <row r="121" spans="3:4" ht="21" x14ac:dyDescent="0.3">
      <c r="C121" s="25" t="s">
        <v>474</v>
      </c>
      <c r="D121" s="24"/>
    </row>
    <row r="122" spans="3:4" ht="21" x14ac:dyDescent="0.3">
      <c r="C122" s="25" t="s">
        <v>476</v>
      </c>
      <c r="D122" s="24"/>
    </row>
    <row r="123" spans="3:4" ht="21" x14ac:dyDescent="0.3">
      <c r="C123" s="25" t="s">
        <v>477</v>
      </c>
      <c r="D123" s="24"/>
    </row>
    <row r="124" spans="3:4" ht="21" x14ac:dyDescent="0.3">
      <c r="C124" s="25" t="s">
        <v>479</v>
      </c>
      <c r="D124" s="24"/>
    </row>
    <row r="125" spans="3:4" ht="21" x14ac:dyDescent="0.3">
      <c r="C125" s="25" t="s">
        <v>483</v>
      </c>
      <c r="D125" s="24"/>
    </row>
    <row r="126" spans="3:4" ht="21" x14ac:dyDescent="0.3">
      <c r="C126" s="25" t="s">
        <v>498</v>
      </c>
      <c r="D126" s="24"/>
    </row>
    <row r="127" spans="3:4" ht="21" x14ac:dyDescent="0.3">
      <c r="C127" s="25" t="s">
        <v>475</v>
      </c>
      <c r="D127" s="24"/>
    </row>
    <row r="128" spans="3:4" ht="21" x14ac:dyDescent="0.3">
      <c r="C128" s="25" t="s">
        <v>472</v>
      </c>
      <c r="D128" s="24"/>
    </row>
    <row r="129" spans="2:4" ht="21" x14ac:dyDescent="0.3">
      <c r="C129" s="25" t="s">
        <v>478</v>
      </c>
      <c r="D129" s="24"/>
    </row>
    <row r="130" spans="2:4" ht="21" x14ac:dyDescent="0.3">
      <c r="C130" s="25" t="s">
        <v>481</v>
      </c>
      <c r="D130" s="24"/>
    </row>
    <row r="131" spans="2:4" ht="21" x14ac:dyDescent="0.3">
      <c r="C131" s="25" t="s">
        <v>482</v>
      </c>
      <c r="D131" s="24"/>
    </row>
    <row r="132" spans="2:4" ht="21" x14ac:dyDescent="0.3">
      <c r="C132" s="25" t="s">
        <v>484</v>
      </c>
      <c r="D132" s="24"/>
    </row>
    <row r="133" spans="2:4" ht="21" x14ac:dyDescent="0.3">
      <c r="C133" s="25" t="s">
        <v>485</v>
      </c>
      <c r="D133" s="24"/>
    </row>
    <row r="134" spans="2:4" ht="21" x14ac:dyDescent="0.3">
      <c r="C134" s="25" t="s">
        <v>486</v>
      </c>
      <c r="D134" s="24"/>
    </row>
    <row r="135" spans="2:4" ht="21" x14ac:dyDescent="0.3">
      <c r="C135" s="25" t="s">
        <v>294</v>
      </c>
      <c r="D135" s="24"/>
    </row>
    <row r="136" spans="2:4" ht="21" x14ac:dyDescent="0.3">
      <c r="B136" t="s">
        <v>510</v>
      </c>
      <c r="C136" s="25" t="s">
        <v>416</v>
      </c>
      <c r="D136" s="24"/>
    </row>
    <row r="137" spans="2:4" s="23" customFormat="1" ht="21" x14ac:dyDescent="0.3">
      <c r="C137" s="33" t="s">
        <v>487</v>
      </c>
      <c r="D137" s="34"/>
    </row>
    <row r="138" spans="2:4" ht="21" x14ac:dyDescent="0.3">
      <c r="C138" s="25" t="s">
        <v>488</v>
      </c>
      <c r="D138" s="24"/>
    </row>
    <row r="139" spans="2:4" ht="21" x14ac:dyDescent="0.3">
      <c r="C139" s="25" t="s">
        <v>417</v>
      </c>
      <c r="D139" s="24"/>
    </row>
    <row r="140" spans="2:4" ht="20.25" customHeight="1" x14ac:dyDescent="0.3">
      <c r="C140" s="25" t="s">
        <v>489</v>
      </c>
      <c r="D140" s="24"/>
    </row>
    <row r="141" spans="2:4" ht="20.25" customHeight="1" x14ac:dyDescent="0.3">
      <c r="C141" s="25" t="s">
        <v>490</v>
      </c>
      <c r="D141" s="24"/>
    </row>
    <row r="142" spans="2:4" ht="20.25" customHeight="1" x14ac:dyDescent="0.3">
      <c r="C142" s="25" t="s">
        <v>264</v>
      </c>
      <c r="D142" s="24"/>
    </row>
    <row r="143" spans="2:4" ht="20.25" customHeight="1" x14ac:dyDescent="0.3">
      <c r="C143" s="25" t="s">
        <v>491</v>
      </c>
      <c r="D143" s="24"/>
    </row>
    <row r="144" spans="2:4" ht="20.25" customHeight="1" x14ac:dyDescent="0.3">
      <c r="C144" s="25" t="s">
        <v>492</v>
      </c>
      <c r="D144" s="24"/>
    </row>
    <row r="145" spans="3:4" ht="21" x14ac:dyDescent="0.3">
      <c r="C145" s="25" t="s">
        <v>499</v>
      </c>
      <c r="D145" s="24"/>
    </row>
    <row r="146" spans="3:4" ht="21" x14ac:dyDescent="0.3">
      <c r="C146" s="25" t="s">
        <v>500</v>
      </c>
      <c r="D146" s="24"/>
    </row>
    <row r="147" spans="3:4" ht="21" x14ac:dyDescent="0.3">
      <c r="C147" s="25" t="s">
        <v>501</v>
      </c>
      <c r="D147" s="24"/>
    </row>
    <row r="148" spans="3:4" ht="21" x14ac:dyDescent="0.3">
      <c r="C148" s="25" t="s">
        <v>414</v>
      </c>
      <c r="D148" s="24"/>
    </row>
    <row r="149" spans="3:4" ht="21" x14ac:dyDescent="0.3">
      <c r="C149" s="25" t="s">
        <v>415</v>
      </c>
      <c r="D149" s="24"/>
    </row>
    <row r="150" spans="3:4" ht="21" x14ac:dyDescent="0.3">
      <c r="C150" s="25" t="s">
        <v>413</v>
      </c>
      <c r="D150" s="24"/>
    </row>
    <row r="151" spans="3:4" ht="21" x14ac:dyDescent="0.3">
      <c r="C151" s="25" t="s">
        <v>411</v>
      </c>
      <c r="D151" s="24"/>
    </row>
    <row r="152" spans="3:4" ht="21" x14ac:dyDescent="0.3">
      <c r="C152" s="25" t="s">
        <v>502</v>
      </c>
      <c r="D152" s="24"/>
    </row>
    <row r="153" spans="3:4" ht="21" x14ac:dyDescent="0.3">
      <c r="C153" s="25" t="s">
        <v>503</v>
      </c>
      <c r="D153" s="24"/>
    </row>
    <row r="154" spans="3:4" ht="21" x14ac:dyDescent="0.3">
      <c r="C154" s="25" t="s">
        <v>418</v>
      </c>
      <c r="D154" s="24"/>
    </row>
    <row r="155" spans="3:4" ht="21" x14ac:dyDescent="0.3">
      <c r="C155" s="25" t="s">
        <v>273</v>
      </c>
      <c r="D155" s="24"/>
    </row>
    <row r="156" spans="3:4" ht="21" x14ac:dyDescent="0.3">
      <c r="C156" s="25" t="s">
        <v>504</v>
      </c>
      <c r="D156" s="24"/>
    </row>
    <row r="157" spans="3:4" ht="21" x14ac:dyDescent="0.3">
      <c r="C157" s="25" t="s">
        <v>505</v>
      </c>
      <c r="D157" s="24"/>
    </row>
    <row r="158" spans="3:4" ht="21" x14ac:dyDescent="0.3">
      <c r="C158" s="25" t="s">
        <v>506</v>
      </c>
      <c r="D158" s="24"/>
    </row>
    <row r="159" spans="3:4" ht="21" x14ac:dyDescent="0.3">
      <c r="C159" s="25" t="s">
        <v>493</v>
      </c>
      <c r="D159" s="24"/>
    </row>
    <row r="160" spans="3:4" ht="21" x14ac:dyDescent="0.3">
      <c r="C160" s="25" t="s">
        <v>260</v>
      </c>
      <c r="D160" s="24"/>
    </row>
    <row r="161" spans="3:4" ht="21" x14ac:dyDescent="0.3">
      <c r="C161" s="25" t="s">
        <v>507</v>
      </c>
      <c r="D161" s="24"/>
    </row>
    <row r="162" spans="3:4" ht="21" x14ac:dyDescent="0.3">
      <c r="C162" s="25" t="s">
        <v>508</v>
      </c>
      <c r="D162" s="24"/>
    </row>
    <row r="163" spans="3:4" ht="21" x14ac:dyDescent="0.3">
      <c r="C163" s="25" t="s">
        <v>509</v>
      </c>
      <c r="D163" s="24"/>
    </row>
    <row r="164" spans="3:4" x14ac:dyDescent="0.3">
      <c r="D164" s="24"/>
    </row>
    <row r="165" spans="3:4" x14ac:dyDescent="0.3">
      <c r="D165" s="24"/>
    </row>
    <row r="166" spans="3:4" ht="21" x14ac:dyDescent="0.3">
      <c r="C166" s="25"/>
      <c r="D166" s="24"/>
    </row>
    <row r="167" spans="3:4" x14ac:dyDescent="0.3">
      <c r="D167" s="24"/>
    </row>
    <row r="168" spans="3:4" x14ac:dyDescent="0.3">
      <c r="D168" s="24"/>
    </row>
    <row r="169" spans="3:4" x14ac:dyDescent="0.3">
      <c r="D169" s="24"/>
    </row>
    <row r="170" spans="3:4" x14ac:dyDescent="0.3">
      <c r="D170" s="24"/>
    </row>
    <row r="171" spans="3:4" ht="21" x14ac:dyDescent="0.3">
      <c r="C171" s="25"/>
      <c r="D171" s="24"/>
    </row>
    <row r="172" spans="3:4" ht="21" x14ac:dyDescent="0.3">
      <c r="C172" s="25"/>
      <c r="D172" s="24"/>
    </row>
    <row r="173" spans="3:4" x14ac:dyDescent="0.3">
      <c r="D173" s="24"/>
    </row>
    <row r="174" spans="3:4" x14ac:dyDescent="0.3">
      <c r="D174" s="24"/>
    </row>
    <row r="175" spans="3:4" x14ac:dyDescent="0.3">
      <c r="D175" s="24"/>
    </row>
    <row r="176" spans="3:4" ht="21" x14ac:dyDescent="0.3">
      <c r="C176" s="25"/>
      <c r="D176" s="24"/>
    </row>
    <row r="177" spans="3:4" ht="21" x14ac:dyDescent="0.3">
      <c r="C177" s="25"/>
      <c r="D177" s="24"/>
    </row>
    <row r="178" spans="3:4" x14ac:dyDescent="0.3">
      <c r="D178" s="24"/>
    </row>
    <row r="179" spans="3:4" x14ac:dyDescent="0.3">
      <c r="D179" s="24"/>
    </row>
    <row r="180" spans="3:4" ht="21" x14ac:dyDescent="0.3">
      <c r="C180" s="25"/>
      <c r="D180" s="24"/>
    </row>
    <row r="181" spans="3:4" ht="21" x14ac:dyDescent="0.3">
      <c r="C181" s="25"/>
      <c r="D181" s="24"/>
    </row>
    <row r="182" spans="3:4" ht="21" x14ac:dyDescent="0.3">
      <c r="C182" s="25"/>
      <c r="D182" s="25"/>
    </row>
    <row r="183" spans="3:4" ht="21" x14ac:dyDescent="0.3">
      <c r="C183" s="25"/>
      <c r="D183" s="25"/>
    </row>
    <row r="184" spans="3:4" ht="21" x14ac:dyDescent="0.3">
      <c r="C184" s="25"/>
      <c r="D184" s="25"/>
    </row>
    <row r="185" spans="3:4" ht="21" x14ac:dyDescent="0.3">
      <c r="C185" s="25"/>
      <c r="D185" s="25"/>
    </row>
    <row r="186" spans="3:4" ht="21" x14ac:dyDescent="0.3">
      <c r="D186" s="25"/>
    </row>
    <row r="187" spans="3:4" ht="21" x14ac:dyDescent="0.3">
      <c r="C187" s="25"/>
    </row>
    <row r="188" spans="3:4" ht="21" x14ac:dyDescent="0.3">
      <c r="C188" s="25"/>
    </row>
  </sheetData>
  <autoFilter ref="A1:E45" xr:uid="{00000000-0009-0000-0000-00000A000000}"/>
  <phoneticPr fontId="11" type="noConversion"/>
  <pageMargins left="0.75" right="0.75" top="1" bottom="1" header="0.5" footer="0.5"/>
  <pageSetup paperSize="9" fitToHeight="0" orientation="landscape" r:id="rId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4"/>
  <sheetViews>
    <sheetView workbookViewId="0">
      <pane ySplit="1" topLeftCell="A2" activePane="bottomLeft" state="frozen"/>
      <selection pane="bottomLeft" activeCell="C9" sqref="C9"/>
    </sheetView>
  </sheetViews>
  <sheetFormatPr defaultColWidth="8.88671875" defaultRowHeight="14.4" x14ac:dyDescent="0.3"/>
  <cols>
    <col min="1" max="1" width="8" customWidth="1"/>
    <col min="2" max="2" width="42" customWidth="1"/>
    <col min="3" max="4" width="18" customWidth="1"/>
    <col min="5" max="5" width="14" customWidth="1"/>
  </cols>
  <sheetData>
    <row r="1" spans="1:5" ht="27.9" customHeight="1" x14ac:dyDescent="0.3">
      <c r="A1" s="3" t="s">
        <v>20</v>
      </c>
      <c r="B1" s="3" t="s">
        <v>298</v>
      </c>
      <c r="C1" s="3" t="s">
        <v>299</v>
      </c>
      <c r="D1" s="3" t="s">
        <v>300</v>
      </c>
      <c r="E1" s="3" t="s">
        <v>87</v>
      </c>
    </row>
    <row r="2" spans="1:5" ht="18.600000000000001" x14ac:dyDescent="0.3">
      <c r="A2" s="7">
        <v>1</v>
      </c>
      <c r="B2" s="2" t="s">
        <v>365</v>
      </c>
      <c r="C2" s="14">
        <v>62002</v>
      </c>
      <c r="D2" s="2" t="s">
        <v>366</v>
      </c>
      <c r="E2" s="2" t="s">
        <v>367</v>
      </c>
    </row>
    <row r="4" spans="1:5" ht="18.600000000000001" x14ac:dyDescent="0.55000000000000004">
      <c r="A4" s="13" t="s">
        <v>301</v>
      </c>
    </row>
  </sheetData>
  <autoFilter ref="A1:E2" xr:uid="{00000000-0009-0000-0000-00000B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47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" customWidth="1"/>
    <col min="2" max="2" width="42" customWidth="1"/>
  </cols>
  <sheetData>
    <row r="1" spans="1:2" ht="27.9" customHeight="1" x14ac:dyDescent="0.3">
      <c r="A1" s="3" t="s">
        <v>20</v>
      </c>
      <c r="B1" s="3" t="s">
        <v>302</v>
      </c>
    </row>
    <row r="2" spans="1:2" ht="18.600000000000001" x14ac:dyDescent="0.3">
      <c r="A2" s="7">
        <v>1</v>
      </c>
      <c r="B2" s="2" t="s">
        <v>219</v>
      </c>
    </row>
    <row r="3" spans="1:2" ht="18.600000000000001" x14ac:dyDescent="0.3">
      <c r="A3" s="7">
        <v>2</v>
      </c>
      <c r="B3" s="2" t="s">
        <v>225</v>
      </c>
    </row>
    <row r="4" spans="1:2" ht="18.600000000000001" x14ac:dyDescent="0.3">
      <c r="A4" s="7">
        <v>3</v>
      </c>
      <c r="B4" s="2" t="s">
        <v>205</v>
      </c>
    </row>
    <row r="5" spans="1:2" ht="18.600000000000001" x14ac:dyDescent="0.3">
      <c r="A5" s="7">
        <v>4</v>
      </c>
      <c r="B5" s="2" t="s">
        <v>234</v>
      </c>
    </row>
    <row r="6" spans="1:2" ht="18.600000000000001" x14ac:dyDescent="0.3">
      <c r="A6" s="7">
        <v>5</v>
      </c>
      <c r="B6" s="2" t="s">
        <v>207</v>
      </c>
    </row>
    <row r="7" spans="1:2" ht="37.200000000000003" x14ac:dyDescent="0.3">
      <c r="A7" s="7">
        <v>6</v>
      </c>
      <c r="B7" s="2" t="s">
        <v>303</v>
      </c>
    </row>
    <row r="8" spans="1:2" ht="18.600000000000001" x14ac:dyDescent="0.3">
      <c r="A8" s="7">
        <v>7</v>
      </c>
      <c r="B8" s="2" t="s">
        <v>304</v>
      </c>
    </row>
    <row r="9" spans="1:2" ht="18.600000000000001" x14ac:dyDescent="0.3">
      <c r="A9" s="7">
        <v>8</v>
      </c>
      <c r="B9" s="2" t="s">
        <v>305</v>
      </c>
    </row>
    <row r="10" spans="1:2" ht="18.600000000000001" x14ac:dyDescent="0.3">
      <c r="A10" s="7">
        <v>9</v>
      </c>
      <c r="B10" s="2" t="s">
        <v>306</v>
      </c>
    </row>
    <row r="11" spans="1:2" ht="37.200000000000003" x14ac:dyDescent="0.3">
      <c r="A11" s="7">
        <v>10</v>
      </c>
      <c r="B11" s="2" t="s">
        <v>307</v>
      </c>
    </row>
    <row r="12" spans="1:2" ht="18.600000000000001" x14ac:dyDescent="0.3">
      <c r="A12" s="7">
        <v>11</v>
      </c>
      <c r="B12" s="2" t="s">
        <v>308</v>
      </c>
    </row>
    <row r="13" spans="1:2" ht="37.200000000000003" x14ac:dyDescent="0.3">
      <c r="A13" s="7">
        <v>12</v>
      </c>
      <c r="B13" s="2" t="s">
        <v>309</v>
      </c>
    </row>
    <row r="14" spans="1:2" ht="37.200000000000003" x14ac:dyDescent="0.3">
      <c r="A14" s="7">
        <v>13</v>
      </c>
      <c r="B14" s="2" t="s">
        <v>310</v>
      </c>
    </row>
    <row r="15" spans="1:2" ht="18.600000000000001" x14ac:dyDescent="0.3">
      <c r="A15" s="7">
        <v>14</v>
      </c>
      <c r="B15" s="2" t="s">
        <v>311</v>
      </c>
    </row>
    <row r="16" spans="1:2" ht="18.600000000000001" x14ac:dyDescent="0.3">
      <c r="A16" s="7">
        <v>15</v>
      </c>
      <c r="B16" s="2" t="s">
        <v>312</v>
      </c>
    </row>
    <row r="17" spans="1:2" ht="18.600000000000001" x14ac:dyDescent="0.3">
      <c r="A17" s="7">
        <v>16</v>
      </c>
      <c r="B17" s="2" t="s">
        <v>313</v>
      </c>
    </row>
    <row r="18" spans="1:2" ht="18.600000000000001" x14ac:dyDescent="0.3">
      <c r="A18" s="7">
        <v>17</v>
      </c>
      <c r="B18" s="2" t="s">
        <v>314</v>
      </c>
    </row>
    <row r="19" spans="1:2" ht="18.600000000000001" x14ac:dyDescent="0.3">
      <c r="A19" s="7">
        <v>18</v>
      </c>
      <c r="B19" s="2" t="s">
        <v>315</v>
      </c>
    </row>
    <row r="20" spans="1:2" ht="18.600000000000001" x14ac:dyDescent="0.3">
      <c r="A20" s="7">
        <v>19</v>
      </c>
      <c r="B20" s="2" t="s">
        <v>316</v>
      </c>
    </row>
    <row r="21" spans="1:2" ht="37.200000000000003" x14ac:dyDescent="0.3">
      <c r="A21" s="7">
        <v>20</v>
      </c>
      <c r="B21" s="2" t="s">
        <v>317</v>
      </c>
    </row>
    <row r="22" spans="1:2" ht="18.600000000000001" x14ac:dyDescent="0.3">
      <c r="A22" s="7">
        <v>21</v>
      </c>
      <c r="B22" s="2" t="s">
        <v>318</v>
      </c>
    </row>
    <row r="23" spans="1:2" ht="37.200000000000003" x14ac:dyDescent="0.3">
      <c r="A23" s="7">
        <v>22</v>
      </c>
      <c r="B23" s="2" t="s">
        <v>319</v>
      </c>
    </row>
    <row r="24" spans="1:2" ht="37.200000000000003" x14ac:dyDescent="0.3">
      <c r="A24" s="7">
        <v>23</v>
      </c>
      <c r="B24" s="2" t="s">
        <v>320</v>
      </c>
    </row>
    <row r="25" spans="1:2" ht="18.600000000000001" x14ac:dyDescent="0.3">
      <c r="A25" s="7">
        <v>24</v>
      </c>
      <c r="B25" s="2" t="s">
        <v>321</v>
      </c>
    </row>
    <row r="26" spans="1:2" ht="37.200000000000003" x14ac:dyDescent="0.3">
      <c r="A26" s="7">
        <v>25</v>
      </c>
      <c r="B26" s="2" t="s">
        <v>322</v>
      </c>
    </row>
    <row r="27" spans="1:2" ht="37.200000000000003" x14ac:dyDescent="0.3">
      <c r="A27" s="7">
        <v>26</v>
      </c>
      <c r="B27" s="2" t="s">
        <v>323</v>
      </c>
    </row>
    <row r="28" spans="1:2" ht="37.200000000000003" x14ac:dyDescent="0.3">
      <c r="A28" s="7">
        <v>27</v>
      </c>
      <c r="B28" s="2" t="s">
        <v>324</v>
      </c>
    </row>
    <row r="29" spans="1:2" ht="18.600000000000001" x14ac:dyDescent="0.3">
      <c r="A29" s="7">
        <v>28</v>
      </c>
      <c r="B29" s="2" t="s">
        <v>325</v>
      </c>
    </row>
    <row r="30" spans="1:2" ht="18.600000000000001" x14ac:dyDescent="0.3">
      <c r="A30" s="7">
        <v>29</v>
      </c>
      <c r="B30" s="2" t="s">
        <v>326</v>
      </c>
    </row>
    <row r="31" spans="1:2" ht="18.600000000000001" x14ac:dyDescent="0.3">
      <c r="A31" s="7">
        <v>30</v>
      </c>
      <c r="B31" s="2" t="s">
        <v>327</v>
      </c>
    </row>
    <row r="32" spans="1:2" ht="18.600000000000001" x14ac:dyDescent="0.3">
      <c r="A32" s="7">
        <v>31</v>
      </c>
      <c r="B32" s="2" t="s">
        <v>328</v>
      </c>
    </row>
    <row r="33" spans="1:2" ht="18.600000000000001" x14ac:dyDescent="0.3">
      <c r="A33" s="7">
        <v>32</v>
      </c>
      <c r="B33" s="2" t="s">
        <v>329</v>
      </c>
    </row>
    <row r="34" spans="1:2" ht="18.600000000000001" x14ac:dyDescent="0.3">
      <c r="A34" s="7">
        <v>33</v>
      </c>
      <c r="B34" s="2" t="s">
        <v>330</v>
      </c>
    </row>
    <row r="35" spans="1:2" ht="37.200000000000003" x14ac:dyDescent="0.3">
      <c r="A35" s="7">
        <v>34</v>
      </c>
      <c r="B35" s="2" t="s">
        <v>331</v>
      </c>
    </row>
    <row r="36" spans="1:2" ht="18.600000000000001" x14ac:dyDescent="0.3">
      <c r="A36" s="7">
        <v>35</v>
      </c>
      <c r="B36" s="2" t="s">
        <v>332</v>
      </c>
    </row>
    <row r="37" spans="1:2" ht="18.600000000000001" x14ac:dyDescent="0.3">
      <c r="A37" s="7">
        <v>36</v>
      </c>
      <c r="B37" s="2" t="s">
        <v>333</v>
      </c>
    </row>
    <row r="38" spans="1:2" ht="37.200000000000003" x14ac:dyDescent="0.3">
      <c r="A38" s="7">
        <v>37</v>
      </c>
      <c r="B38" s="2" t="s">
        <v>334</v>
      </c>
    </row>
    <row r="39" spans="1:2" ht="18.600000000000001" x14ac:dyDescent="0.3">
      <c r="A39" s="7">
        <v>38</v>
      </c>
      <c r="B39" s="2" t="s">
        <v>335</v>
      </c>
    </row>
    <row r="40" spans="1:2" ht="18.600000000000001" x14ac:dyDescent="0.3">
      <c r="A40" s="7">
        <v>39</v>
      </c>
      <c r="B40" s="2" t="s">
        <v>336</v>
      </c>
    </row>
    <row r="41" spans="1:2" ht="37.200000000000003" x14ac:dyDescent="0.3">
      <c r="A41" s="7">
        <v>40</v>
      </c>
      <c r="B41" s="2" t="s">
        <v>337</v>
      </c>
    </row>
    <row r="42" spans="1:2" ht="37.200000000000003" x14ac:dyDescent="0.3">
      <c r="A42" s="7">
        <v>41</v>
      </c>
      <c r="B42" s="2" t="s">
        <v>338</v>
      </c>
    </row>
    <row r="43" spans="1:2" ht="18.600000000000001" x14ac:dyDescent="0.3">
      <c r="A43" s="7">
        <v>42</v>
      </c>
      <c r="B43" s="2" t="s">
        <v>339</v>
      </c>
    </row>
    <row r="44" spans="1:2" ht="18.600000000000001" x14ac:dyDescent="0.3">
      <c r="A44" s="7">
        <v>43</v>
      </c>
      <c r="B44" s="2" t="s">
        <v>340</v>
      </c>
    </row>
    <row r="45" spans="1:2" ht="18.600000000000001" x14ac:dyDescent="0.3">
      <c r="A45" s="7">
        <v>44</v>
      </c>
      <c r="B45" s="2" t="s">
        <v>341</v>
      </c>
    </row>
    <row r="47" spans="1:2" ht="18.600000000000001" x14ac:dyDescent="0.55000000000000004">
      <c r="A47" s="13" t="s">
        <v>342</v>
      </c>
    </row>
  </sheetData>
  <autoFilter ref="A1:B45" xr:uid="{00000000-0009-0000-0000-00000C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C10"/>
  <sheetViews>
    <sheetView workbookViewId="0"/>
  </sheetViews>
  <sheetFormatPr defaultColWidth="8.88671875" defaultRowHeight="14.4" x14ac:dyDescent="0.3"/>
  <cols>
    <col min="1" max="1" width="6" customWidth="1"/>
    <col min="2" max="2" width="28" customWidth="1"/>
    <col min="3" max="3" width="70" customWidth="1"/>
  </cols>
  <sheetData>
    <row r="2" spans="1:3" ht="25.8" x14ac:dyDescent="0.7">
      <c r="B2" s="42" t="s">
        <v>343</v>
      </c>
      <c r="C2" s="36"/>
    </row>
    <row r="4" spans="1:3" ht="27.9" customHeight="1" x14ac:dyDescent="0.3">
      <c r="A4" s="6" t="s">
        <v>344</v>
      </c>
      <c r="B4" s="6" t="s">
        <v>345</v>
      </c>
      <c r="C4" s="6" t="s">
        <v>346</v>
      </c>
    </row>
    <row r="5" spans="1:3" ht="36" customHeight="1" x14ac:dyDescent="0.3">
      <c r="A5" s="7" t="s">
        <v>347</v>
      </c>
      <c r="B5" s="2" t="s">
        <v>348</v>
      </c>
      <c r="C5" s="2" t="s">
        <v>349</v>
      </c>
    </row>
    <row r="6" spans="1:3" ht="36" customHeight="1" x14ac:dyDescent="0.3">
      <c r="A6" s="7" t="s">
        <v>350</v>
      </c>
      <c r="B6" s="2" t="s">
        <v>351</v>
      </c>
      <c r="C6" s="2" t="s">
        <v>352</v>
      </c>
    </row>
    <row r="7" spans="1:3" ht="36" customHeight="1" x14ac:dyDescent="0.3">
      <c r="A7" s="7" t="s">
        <v>353</v>
      </c>
      <c r="B7" s="2" t="s">
        <v>354</v>
      </c>
      <c r="C7" s="2" t="s">
        <v>355</v>
      </c>
    </row>
    <row r="8" spans="1:3" ht="36" customHeight="1" x14ac:dyDescent="0.3">
      <c r="A8" s="7" t="s">
        <v>356</v>
      </c>
      <c r="B8" s="2" t="s">
        <v>357</v>
      </c>
      <c r="C8" s="2" t="s">
        <v>358</v>
      </c>
    </row>
    <row r="9" spans="1:3" ht="36" customHeight="1" x14ac:dyDescent="0.3">
      <c r="A9" s="7" t="s">
        <v>359</v>
      </c>
      <c r="B9" s="2" t="s">
        <v>360</v>
      </c>
      <c r="C9" s="2" t="s">
        <v>361</v>
      </c>
    </row>
    <row r="10" spans="1:3" ht="36" customHeight="1" x14ac:dyDescent="0.3">
      <c r="A10" s="7" t="s">
        <v>362</v>
      </c>
      <c r="B10" s="2" t="s">
        <v>363</v>
      </c>
      <c r="C10" s="2" t="s">
        <v>364</v>
      </c>
    </row>
  </sheetData>
  <mergeCells count="1">
    <mergeCell ref="B2:C2"/>
  </mergeCell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ปกและลงนาม</vt:lpstr>
      <vt:lpstr>สรุปประเภทข้อมูล</vt:lpstr>
      <vt:lpstr>ยืนยัน-แหล่งเงิน</vt:lpstr>
      <vt:lpstr>ยืนยัน-กลุ่มงบ</vt:lpstr>
      <vt:lpstr>ยืนยัน-วัสดุย่อย</vt:lpstr>
      <vt:lpstr>ยืนยัน-ประเภทงบ</vt:lpstr>
      <vt:lpstr>ยืนยัน-กลุ่มครุภัณฑ์</vt:lpstr>
      <vt:lpstr>ยืนยัน-แบบฟอร์ม</vt:lpstr>
      <vt:lpstr>ยืนยัน-หน่วยงาน</vt:lpstr>
      <vt:lpstr>ยืนยัน-แผนปี</vt:lpstr>
      <vt:lpstr>ยืนยัน-หมวดงบ</vt:lpstr>
      <vt:lpstr>วิธีตรวจและเกณฑ์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sorawunsongla@gmail.com</cp:lastModifiedBy>
  <dcterms:created xsi:type="dcterms:W3CDTF">2026-08-25T03:56:21Z</dcterms:created>
  <dcterms:modified xsi:type="dcterms:W3CDTF">2026-10-06T02:22:21Z</dcterms:modified>
</cp:coreProperties>
</file>