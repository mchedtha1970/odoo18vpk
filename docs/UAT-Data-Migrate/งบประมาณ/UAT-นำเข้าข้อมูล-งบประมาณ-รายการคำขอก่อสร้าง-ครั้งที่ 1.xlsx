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เพื่อยืนยัน" sheetId="1" state="visible" r:id="rId1"/>
    <sheet xmlns:r="http://schemas.openxmlformats.org/officeDocument/2006/relationships" name="โครงสร้างพื้นฐาน" sheetId="2" state="visible" r:id="rId2"/>
  </sheets>
  <definedNames>
    <definedName name="_xlnm._FilterDatabase" localSheetId="0" hidden="1">'สรุปเพื่อยืนยัน'!$A$5:$J$6</definedName>
    <definedName name="_xlnm.Print_Titles" localSheetId="0">'สรุปเพื่อยืนยัน'!$1:$4</definedName>
    <definedName name="_xlnm._FilterDatabase" localSheetId="1" hidden="1">'โครงสร้างพื้นฐาน'!$A$4:$N$31</definedName>
    <definedName name="_xlnm.Print_Titles" localSheetId="1">'โครงสร้างพื้นฐาน'!$1:$4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ompt"/>
      <b val="1"/>
      <color rgb="00123A56"/>
      <sz val="16"/>
    </font>
    <font>
      <name val="Prompt"/>
      <color rgb="002F3A48"/>
      <sz val="11"/>
    </font>
    <font>
      <name val="Prompt"/>
      <b val="1"/>
      <color rgb="002F3A48"/>
      <sz val="11"/>
    </font>
    <font>
      <name val="Prompt"/>
      <b val="1"/>
      <color rgb="00FFFFFF"/>
      <sz val="11"/>
    </font>
    <font>
      <name val="Prompt"/>
      <color rgb="005C6B7A"/>
      <sz val="10"/>
    </font>
    <font>
      <name val="Prompt"/>
      <b val="1"/>
      <color rgb="000F7A72"/>
      <sz val="14"/>
    </font>
  </fonts>
  <fills count="5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EA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3" borderId="0" pivotButton="0" quotePrefix="0" xfId="0"/>
    <xf numFmtId="0" fontId="2" fillId="4" borderId="1" applyAlignment="1" pivotButton="0" quotePrefix="0" xfId="0">
      <alignment horizontal="left" vertical="center" wrapText="1"/>
    </xf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VPK</author>
  </authors>
  <commentList>
    <comment ref="B3" authorId="0" shapeId="0">
      <text>
        <t>ยอดเอกสารในฐาน VPK-S1 วันที่ 12 ต.ค. 2569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F7A72"/>
    <outlinePr summaryBelow="1" summaryRight="1"/>
    <pageSetUpPr fitToPage="1"/>
  </sheetPr>
  <dimension ref="A1:J7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64" customWidth="1" min="4" max="4"/>
    <col width="16" customWidth="1" min="5" max="5"/>
    <col width="18" customWidth="1" min="6" max="6"/>
    <col width="18" customWidth="1" min="7" max="7"/>
    <col width="14" customWidth="1" min="8" max="8"/>
    <col width="16" customWidth="1" min="9" max="9"/>
    <col width="40" customWidth="1" min="10" max="10"/>
  </cols>
  <sheetData>
    <row r="1" ht="26" customHeight="1">
      <c r="A1" s="1" t="inlineStr">
        <is>
          <t>โรงพยาบาลวชิระภูเก็ต</t>
        </is>
      </c>
    </row>
    <row r="2">
      <c r="A2" s="2" t="inlineStr">
        <is>
          <t>ยืนยันรายการคำของบก่อสร้าง ปีงบประมาณ 2570</t>
        </is>
      </c>
    </row>
    <row r="3" ht="34" customHeight="1">
      <c r="A3" s="3" t="inlineStr">
        <is>
          <t>ช่องสีเหลืองให้ผู้ใช้กรอกผลยืนยัน    ช่องสีเขียวเป็นสูตร    จำนวนรายการและยอดจากรายการดึงจากชีตของแต่ละคำขอ    ยอดในระบบคือยอดเอกสารในฐาน VPK-S1 วันที่ 12 ต.ค. 2569</t>
        </is>
      </c>
    </row>
    <row r="5" ht="30" customHeight="1">
      <c r="A5" s="4" t="inlineStr">
        <is>
          <t>ลำดับ</t>
        </is>
      </c>
      <c r="B5" s="4" t="inlineStr">
        <is>
          <t>เลขที่เอกสาร</t>
        </is>
      </c>
      <c r="C5" s="4" t="inlineStr">
        <is>
          <t>หน่วยงาน</t>
        </is>
      </c>
      <c r="D5" s="4" t="inlineStr">
        <is>
          <t>แหล่งข้อมูล</t>
        </is>
      </c>
      <c r="E5" s="4" t="inlineStr">
        <is>
          <t>จำนวนรายการ</t>
        </is>
      </c>
      <c r="F5" s="4" t="inlineStr">
        <is>
          <t>ยอดจากรายการ</t>
        </is>
      </c>
      <c r="G5" s="4" t="inlineStr">
        <is>
          <t>ยอดในระบบ</t>
        </is>
      </c>
      <c r="H5" s="4" t="inlineStr">
        <is>
          <t>ผลต่าง</t>
        </is>
      </c>
      <c r="I5" s="4" t="inlineStr">
        <is>
          <t>ผลยืนยัน</t>
        </is>
      </c>
      <c r="J5" s="4" t="inlineStr">
        <is>
          <t>หมายเหตุ</t>
        </is>
      </c>
    </row>
    <row r="6" ht="32" customHeight="1">
      <c r="A6" s="5" t="n">
        <v>1</v>
      </c>
      <c r="B6" s="6" t="inlineStr">
        <is>
          <t>DBR/2570/0032</t>
        </is>
      </c>
      <c r="C6" s="6" t="inlineStr">
        <is>
          <t>กลุ่มงานโครงสร้างพื้นฐานฯ</t>
        </is>
      </c>
      <c r="D6" s="6" t="inlineStr">
        <is>
          <t>15.กลุ่มงานโครงสร้าง.xls · แบบฟอร์ม ก่อสร้าง</t>
        </is>
      </c>
      <c r="E6" s="7">
        <f>COUNTA('โครงสร้างพื้นฐาน'!C5:C31)</f>
        <v/>
      </c>
      <c r="F6" s="8">
        <f>SUM('โครงสร้างพื้นฐาน'!I5:I31)</f>
        <v/>
      </c>
      <c r="G6" s="9" t="n">
        <v>51682986.12</v>
      </c>
      <c r="H6" s="8">
        <f>F6-G6</f>
        <v/>
      </c>
      <c r="I6" s="10" t="n"/>
      <c r="J6" s="6" t="n"/>
    </row>
    <row r="7">
      <c r="A7" s="11" t="inlineStr">
        <is>
          <t>รวม</t>
        </is>
      </c>
      <c r="B7" s="11" t="n"/>
      <c r="C7" s="11" t="n"/>
      <c r="D7" s="11" t="n"/>
      <c r="E7" s="8">
        <f>SUM(E6:E6)</f>
        <v/>
      </c>
      <c r="F7" s="8">
        <f>SUM(F6:F6)</f>
        <v/>
      </c>
      <c r="G7" s="8">
        <f>SUM(G6:G6)</f>
        <v/>
      </c>
      <c r="H7" s="8">
        <f>F7-G7</f>
        <v/>
      </c>
      <c r="I7" s="11" t="n"/>
      <c r="J7" s="11" t="n"/>
    </row>
  </sheetData>
  <autoFilter ref="A5:J6"/>
  <mergeCells count="4">
    <mergeCell ref="A1:J1"/>
    <mergeCell ref="A7:D7"/>
    <mergeCell ref="A3:J3"/>
    <mergeCell ref="A2:J2"/>
  </mergeCells>
  <dataValidations count="1">
    <dataValidation sqref="I6" showDropDown="0" showInputMessage="0" showErrorMessage="1" allowBlank="1" errorTitle="ผลยืนยัน" error="เลือก ถูกต้อง, ต้องแก้ไข, ยังไม่ครบ หรือ ข้าม" type="list">
      <formula1>"ถูกต้อง,ต้องแก้ไข,ยังไม่ครบ,ข้าม"</formula1>
    </dataValidation>
  </dataValidations>
  <pageMargins left="0.4" right="0.4" top="0.6" bottom="0.5" header="0.5" footer="0.5"/>
  <pageSetup orientation="landscape" paperSize="9" fitToHeight="0" fitToWidth="1"/>
  <headerFooter>
    <oddHeader>&amp;Lโรงพยาบาลวชิระภูเก็ต&amp;Cยืนยันรายการคำของบก่อสร้าง ปีงบประมาณ 2570</oddHeader>
    <oddFooter>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7A72"/>
    <outlinePr summaryBelow="1" summaryRight="1"/>
    <pageSetUpPr fitToPage="1"/>
  </sheetPr>
  <dimension ref="A1:N3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4" customWidth="1" min="3" max="3"/>
    <col width="18" customWidth="1" min="4" max="4"/>
    <col width="36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  <col width="36" customWidth="1" min="12" max="12"/>
    <col width="28" customWidth="1" min="13" max="13"/>
    <col width="16" customWidth="1" min="14" max="14"/>
  </cols>
  <sheetData>
    <row r="1" ht="26" customHeight="1">
      <c r="A1" s="1" t="inlineStr">
        <is>
          <t>โรงพยาบาลวชิระภูเก็ต · คำของบก่อสร้าง ปี 2570 · กลุ่มงานโครงสร้างพื้นฐานฯ</t>
        </is>
      </c>
    </row>
    <row r="2" ht="22" customHeight="1">
      <c r="A2" s="12" t="inlineStr">
        <is>
          <t>เลขที่เอกสาร  DBR/2570/0032    หน่วยงาน  กลุ่มงานโครงสร้างพื้นฐานฯ    แหล่งเงิน  เงินบำรุง    ปีงบประมาณ  2570    สถานะ  ฉบับร่าง</t>
        </is>
      </c>
    </row>
    <row r="3">
      <c r="A3" s="13" t="inlineStr">
        <is>
          <t>ยอดในระบบ</t>
        </is>
      </c>
      <c r="B3" s="14" t="n">
        <v>51682986.12</v>
      </c>
      <c r="C3" s="13" t="inlineStr">
        <is>
          <t>ผลต่างจากรายการ</t>
        </is>
      </c>
      <c r="D3" s="15">
        <f>I32-B3</f>
        <v/>
      </c>
    </row>
    <row r="4" ht="34" customHeight="1">
      <c r="A4" s="4" t="inlineStr">
        <is>
          <t>ลำดับ</t>
        </is>
      </c>
      <c r="B4" s="4" t="inlineStr">
        <is>
          <t>หมวดงบประมาณ</t>
        </is>
      </c>
      <c r="C4" s="4" t="inlineStr">
        <is>
          <t>รายการ</t>
        </is>
      </c>
      <c r="D4" s="4" t="inlineStr">
        <is>
          <t>พื้นที่ใช้งาน (ตร.ม.)</t>
        </is>
      </c>
      <c r="E4" s="4" t="inlineStr">
        <is>
          <t>สถานที่ก่อสร้าง</t>
        </is>
      </c>
      <c r="F4" s="4" t="inlineStr">
        <is>
          <t>หน่วย</t>
        </is>
      </c>
      <c r="G4" s="4" t="inlineStr">
        <is>
          <t>จำนวนที่ขอตั้ง</t>
        </is>
      </c>
      <c r="H4" s="4" t="inlineStr">
        <is>
          <t>ราคาต่อหน่วย</t>
        </is>
      </c>
      <c r="I4" s="4" t="inlineStr">
        <is>
          <t>งบประมาณที่ขอ</t>
        </is>
      </c>
      <c r="J4" s="4" t="inlineStr">
        <is>
          <t>งบประมาณที่ได้รับ</t>
        </is>
      </c>
      <c r="K4" s="4" t="inlineStr">
        <is>
          <t>ขอปรับปรุง</t>
        </is>
      </c>
      <c r="L4" s="4" t="inlineStr">
        <is>
          <t>ขอขยาย/ต่อเติม</t>
        </is>
      </c>
      <c r="M4" s="4" t="inlineStr">
        <is>
          <t>เหตุผลคำชี้แจง</t>
        </is>
      </c>
      <c r="N4" s="4" t="inlineStr">
        <is>
          <t>ผลยืนยัน</t>
        </is>
      </c>
    </row>
    <row r="5" ht="48" customHeight="1">
      <c r="A5" s="5" t="n">
        <v>1</v>
      </c>
      <c r="B5" s="6" t="inlineStr">
        <is>
          <t>หมวดสิ่งก่อสร้าง</t>
        </is>
      </c>
      <c r="C5" s="6" t="inlineStr">
        <is>
          <t>ปรับปรุงเสถียรภาพและเพิ่มประสิทธิภาพระบบไฟฟ้า อาคารสนับสนุนบริการ และที่จอดรถ 10 ชั้น อาคารอันดามัน และอาคารสูติกรรม พร้อมติดตั้ง</t>
        </is>
      </c>
      <c r="D5" s="6" t="n"/>
      <c r="E5" s="6" t="inlineStr">
        <is>
          <t>อาคารสนับสนุนบริการ และที่จอดรถ 10 ชั้น อาคารอันดามัน  และอาคารสูติกรรม</t>
        </is>
      </c>
      <c r="F5" s="16" t="n"/>
      <c r="G5" s="9" t="n">
        <v>1</v>
      </c>
      <c r="H5" s="9" t="n">
        <v>19202986.12</v>
      </c>
      <c r="I5" s="8">
        <f>IF(OR(G5="",H5=""),"",G5*H5)</f>
        <v/>
      </c>
      <c r="J5" s="16" t="n"/>
      <c r="K5" s="5" t="inlineStr">
        <is>
          <t>ใช่</t>
        </is>
      </c>
      <c r="L5" s="5" t="inlineStr">
        <is>
          <t>ไม่ใช่</t>
        </is>
      </c>
      <c r="M5" s="6" t="inlineStr">
        <is>
          <t>เพื่อให้ระบบไฟฟ้ามีความปลอดภัยเพิ่มขึ้น มีความเชื่อถือได้สูงขึ้น และให้ระบบการบริการผู้ป่วยของโรงพยาบาลสามารถดำเนินการไปได้อย่างมีประสิทธิภาพ ปลอดภัย สะดวกในการบำรุงรักษา (อยู่ในปีงบ 69)</t>
        </is>
      </c>
      <c r="N5" s="10" t="n"/>
    </row>
    <row r="6" ht="48" customHeight="1">
      <c r="A6" s="5" t="n">
        <v>2</v>
      </c>
      <c r="B6" s="6" t="inlineStr">
        <is>
          <t>หมวดสิ่งก่อสร้าง</t>
        </is>
      </c>
      <c r="C6" s="6" t="inlineStr">
        <is>
          <t>ซ่อมแซมโครงสร้าง ฐานราก อาคารสงฆ์อาพาธ</t>
        </is>
      </c>
      <c r="D6" s="6" t="inlineStr">
        <is>
          <t>318</t>
        </is>
      </c>
      <c r="E6" s="6" t="inlineStr">
        <is>
          <t>อาคารสงฆ์อาพาธ</t>
        </is>
      </c>
      <c r="F6" s="16" t="n"/>
      <c r="G6" s="9" t="n">
        <v>1</v>
      </c>
      <c r="H6" s="9" t="n">
        <v>4500000</v>
      </c>
      <c r="I6" s="8">
        <f>IF(OR(G6="",H6=""),"",G6*H6)</f>
        <v/>
      </c>
      <c r="J6" s="16" t="n"/>
      <c r="K6" s="5" t="inlineStr">
        <is>
          <t>ใช่</t>
        </is>
      </c>
      <c r="L6" s="5" t="inlineStr">
        <is>
          <t>ไม่ใช่</t>
        </is>
      </c>
      <c r="M6" s="6" t="inlineStr">
        <is>
          <t>เพื่อความมั่นคง แข็งแรงของอาคาร และความปลอดภัยของผู้ป่วย เจ้าหน้าที่ที่ปฏิบัติงาน (อยู่ในงบปี69)</t>
        </is>
      </c>
      <c r="N6" s="10" t="n"/>
    </row>
    <row r="7" ht="48" customHeight="1">
      <c r="A7" s="5" t="n">
        <v>3</v>
      </c>
      <c r="B7" s="6" t="inlineStr">
        <is>
          <t>หมวดสิ่งก่อสร้าง</t>
        </is>
      </c>
      <c r="C7" s="6" t="inlineStr">
        <is>
          <t>ปรับปรุงระบบโทรศัพท์ภายในอาคารอำนวยการ ให้เป็นระบบ Analog</t>
        </is>
      </c>
      <c r="D7" s="6" t="n"/>
      <c r="E7" s="6" t="inlineStr">
        <is>
          <t>อาคารอำนวยการเก่า</t>
        </is>
      </c>
      <c r="F7" s="16" t="n"/>
      <c r="G7" s="9" t="n">
        <v>1</v>
      </c>
      <c r="H7" s="9" t="n">
        <v>1500000</v>
      </c>
      <c r="I7" s="8">
        <f>IF(OR(G7="",H7=""),"",G7*H7)</f>
        <v/>
      </c>
      <c r="J7" s="16" t="n"/>
      <c r="K7" s="5" t="inlineStr">
        <is>
          <t>ใช่</t>
        </is>
      </c>
      <c r="L7" s="5" t="inlineStr">
        <is>
          <t>ไม่ใช่</t>
        </is>
      </c>
      <c r="M7" s="6" t="inlineStr">
        <is>
          <t>เพื่อความสเถียรภาพของระบบโทรศัพท์</t>
        </is>
      </c>
      <c r="N7" s="10" t="n"/>
    </row>
    <row r="8" ht="48" customHeight="1">
      <c r="A8" s="5" t="n">
        <v>4</v>
      </c>
      <c r="B8" s="6" t="inlineStr">
        <is>
          <t>หมวดสิ่งก่อสร้าง</t>
        </is>
      </c>
      <c r="C8" s="6" t="inlineStr">
        <is>
          <t>ปรับปรุงระบบโทรศัพท์ภายในอาคารหลวงพ่อแช่ม ให้เป็นระบบ Analog</t>
        </is>
      </c>
      <c r="D8" s="6" t="n"/>
      <c r="E8" s="6" t="inlineStr">
        <is>
          <t>อาคารหลวงพ่อแช่ม</t>
        </is>
      </c>
      <c r="F8" s="16" t="n"/>
      <c r="G8" s="9" t="n">
        <v>1</v>
      </c>
      <c r="H8" s="9" t="n">
        <v>350000</v>
      </c>
      <c r="I8" s="8">
        <f>IF(OR(G8="",H8=""),"",G8*H8)</f>
        <v/>
      </c>
      <c r="J8" s="16" t="n"/>
      <c r="K8" s="5" t="inlineStr">
        <is>
          <t>ใช่</t>
        </is>
      </c>
      <c r="L8" s="5" t="inlineStr">
        <is>
          <t>ไม่ใช่</t>
        </is>
      </c>
      <c r="M8" s="6" t="inlineStr">
        <is>
          <t>เพื่อความสเถียรภาพของระบบโทรศัพท์</t>
        </is>
      </c>
      <c r="N8" s="10" t="n"/>
    </row>
    <row r="9" ht="48" customHeight="1">
      <c r="A9" s="5" t="n">
        <v>5</v>
      </c>
      <c r="B9" s="6" t="inlineStr">
        <is>
          <t>หมวดสิ่งก่อสร้าง</t>
        </is>
      </c>
      <c r="C9" s="6" t="inlineStr">
        <is>
          <t>ปรับปรุงระบบโทรศัพท์ภายในอาคารจอดรถ 10 ชั้น ให้เป็นระบบ Analog</t>
        </is>
      </c>
      <c r="D9" s="6" t="n"/>
      <c r="E9" s="6" t="inlineStr">
        <is>
          <t>อาคารจอดรถ 10 ชั้น</t>
        </is>
      </c>
      <c r="F9" s="16" t="n"/>
      <c r="G9" s="9" t="n">
        <v>1</v>
      </c>
      <c r="H9" s="9" t="n">
        <v>250000</v>
      </c>
      <c r="I9" s="8">
        <f>IF(OR(G9="",H9=""),"",G9*H9)</f>
        <v/>
      </c>
      <c r="J9" s="16" t="n"/>
      <c r="K9" s="5" t="inlineStr">
        <is>
          <t>ใช่</t>
        </is>
      </c>
      <c r="L9" s="5" t="inlineStr">
        <is>
          <t>ไม่ใช่</t>
        </is>
      </c>
      <c r="M9" s="6" t="inlineStr">
        <is>
          <t>เพื่อความสเถียรภาพของระบบโทรศัพท์</t>
        </is>
      </c>
      <c r="N9" s="10" t="n"/>
    </row>
    <row r="10" ht="48" customHeight="1">
      <c r="A10" s="5" t="n">
        <v>6</v>
      </c>
      <c r="B10" s="6" t="inlineStr">
        <is>
          <t>หมวดสิ่งก่อสร้าง</t>
        </is>
      </c>
      <c r="C10" s="6" t="inlineStr">
        <is>
          <t>ปรับปรุงระบบโทรศัพท์ภายในอาคารศูนย์แพทย์ให้เป็นระบบ Analog</t>
        </is>
      </c>
      <c r="D10" s="6" t="n"/>
      <c r="E10" s="6" t="inlineStr">
        <is>
          <t>อาคารศูนย์แพทศาสตร์</t>
        </is>
      </c>
      <c r="F10" s="16" t="n"/>
      <c r="G10" s="9" t="n">
        <v>1</v>
      </c>
      <c r="H10" s="9" t="n">
        <v>550000</v>
      </c>
      <c r="I10" s="8">
        <f>IF(OR(G10="",H10=""),"",G10*H10)</f>
        <v/>
      </c>
      <c r="J10" s="16" t="n"/>
      <c r="K10" s="5" t="inlineStr">
        <is>
          <t>ใช่</t>
        </is>
      </c>
      <c r="L10" s="5" t="inlineStr">
        <is>
          <t>ไม่ใช่</t>
        </is>
      </c>
      <c r="M10" s="6" t="inlineStr">
        <is>
          <t>เพื่อความสเถียรภาพของระบบโทรศัพท์</t>
        </is>
      </c>
      <c r="N10" s="10" t="n"/>
    </row>
    <row r="11" ht="48" customHeight="1">
      <c r="A11" s="5" t="n">
        <v>7</v>
      </c>
      <c r="B11" s="6" t="inlineStr">
        <is>
          <t>หมวดสิ่งก่อสร้าง</t>
        </is>
      </c>
      <c r="C11" s="6" t="inlineStr">
        <is>
          <t>ปรับปรุงระบบระบายอากาศห้องควบคุมไฟฟ้า ชั้น1-10 อาคารอุบัติเหตุและโรคหัวใจ 10ชั้น</t>
        </is>
      </c>
      <c r="D11" s="6" t="n"/>
      <c r="E11" s="6" t="inlineStr">
        <is>
          <t>อาคารอุบัติเหตุและโรคหัวใจ 10ชั้น</t>
        </is>
      </c>
      <c r="F11" s="16" t="n"/>
      <c r="G11" s="9" t="n">
        <v>1</v>
      </c>
      <c r="H11" s="9" t="n">
        <v>3000000</v>
      </c>
      <c r="I11" s="8">
        <f>IF(OR(G11="",H11=""),"",G11*H11)</f>
        <v/>
      </c>
      <c r="J11" s="16" t="n"/>
      <c r="K11" s="5" t="inlineStr">
        <is>
          <t>ใช่</t>
        </is>
      </c>
      <c r="L11" s="5" t="inlineStr">
        <is>
          <t>ไม่ใช่</t>
        </is>
      </c>
      <c r="M11" s="6" t="inlineStr">
        <is>
          <t>เพื่อลดความเสี่ยงความร้อนภายในห้องควบคุมไฟฟ้าย่อย และเฝ้าระวังความร้อนหรือสภาวะเสี่ยงต่อการเกิดอัคคีภัยภายในห้องควบคุมไฟฟ้าย่อย</t>
        </is>
      </c>
      <c r="N11" s="10" t="n"/>
    </row>
    <row r="12" ht="48" customHeight="1">
      <c r="A12" s="5" t="n">
        <v>8</v>
      </c>
      <c r="B12" s="6" t="inlineStr">
        <is>
          <t>หมวดสิ่งก่อสร้าง</t>
        </is>
      </c>
      <c r="C12" s="6" t="inlineStr">
        <is>
          <t>ปรับปรุงท่อไอเสียเครื่องกำเนิดไฟฟ้า</t>
        </is>
      </c>
      <c r="D12" s="6" t="n"/>
      <c r="E12" s="6" t="inlineStr">
        <is>
          <t>อาคารอุบัติเหตุและโรคหัวใจ 10ชั้น</t>
        </is>
      </c>
      <c r="F12" s="16" t="n"/>
      <c r="G12" s="9" t="n">
        <v>1</v>
      </c>
      <c r="H12" s="9" t="n">
        <v>400000</v>
      </c>
      <c r="I12" s="8">
        <f>IF(OR(G12="",H12=""),"",G12*H12)</f>
        <v/>
      </c>
      <c r="J12" s="16" t="n"/>
      <c r="K12" s="5" t="inlineStr">
        <is>
          <t>ใช่</t>
        </is>
      </c>
      <c r="L12" s="5" t="inlineStr">
        <is>
          <t>ไม่ใช่</t>
        </is>
      </c>
      <c r="M12" s="6" t="inlineStr">
        <is>
          <t>ด้วยท่อเดิมมีระยะความสูงที่ต่ำเกินไปส่งผลให้เมื่อเครื่องทำงานทำให้มีควันลอยเข้าไปยังอาคารใกล้เคียง ส่งกลิ่นเหม็นทำให้เกิดข้อร้องเรียน</t>
        </is>
      </c>
      <c r="N12" s="10" t="n"/>
    </row>
    <row r="13" ht="48" customHeight="1">
      <c r="A13" s="5" t="n">
        <v>9</v>
      </c>
      <c r="B13" s="6" t="inlineStr">
        <is>
          <t>หมวดสิ่งก่อสร้าง</t>
        </is>
      </c>
      <c r="C13" s="6" t="inlineStr">
        <is>
          <t>เปลี่ยนอะไหล่เครื่องชิลเลอร์ จำนวน 27 รายการ อาคาร OPD 6ชั้น</t>
        </is>
      </c>
      <c r="D13" s="6" t="n"/>
      <c r="E13" s="6" t="inlineStr">
        <is>
          <t>อาคาร OPD 6ชั้น</t>
        </is>
      </c>
      <c r="F13" s="16" t="n"/>
      <c r="G13" s="9" t="n">
        <v>2</v>
      </c>
      <c r="H13" s="9" t="n">
        <v>1600000</v>
      </c>
      <c r="I13" s="8">
        <f>IF(OR(G13="",H13=""),"",G13*H13)</f>
        <v/>
      </c>
      <c r="J13" s="16" t="n"/>
      <c r="K13" s="5" t="inlineStr">
        <is>
          <t>ใช่</t>
        </is>
      </c>
      <c r="L13" s="5" t="inlineStr">
        <is>
          <t>ไม่ใช่</t>
        </is>
      </c>
      <c r="M13" s="6" t="inlineStr">
        <is>
          <t>เพื่อประสิทธิภาพในการทำงานของเครื่อง (เครื่องไม่เคยเปลี่ยนอะไหล่ตั้งแต่ติดตั้งมา ระยะเวลา 6 ปี)</t>
        </is>
      </c>
      <c r="N13" s="10" t="n"/>
    </row>
    <row r="14" ht="48" customHeight="1">
      <c r="A14" s="5" t="n">
        <v>10</v>
      </c>
      <c r="B14" s="6" t="inlineStr">
        <is>
          <t>หมวดสิ่งก่อสร้าง</t>
        </is>
      </c>
      <c r="C14" s="6" t="inlineStr">
        <is>
          <t>เปลี่ยนชุดสำรองก๊าซออกซิเจน รพ. (Manifold) ฝั่งแรงดันด้านLow</t>
        </is>
      </c>
      <c r="D14" s="6" t="n"/>
      <c r="E14" s="6" t="inlineStr">
        <is>
          <t>อาคารน้อมเกล้า</t>
        </is>
      </c>
      <c r="F14" s="16" t="n"/>
      <c r="G14" s="9" t="n">
        <v>1</v>
      </c>
      <c r="H14" s="9" t="n">
        <v>600000</v>
      </c>
      <c r="I14" s="8">
        <f>IF(OR(G14="",H14=""),"",G14*H14)</f>
        <v/>
      </c>
      <c r="J14" s="16" t="n"/>
      <c r="K14" s="5" t="inlineStr">
        <is>
          <t>ใช่</t>
        </is>
      </c>
      <c r="L14" s="5" t="inlineStr">
        <is>
          <t>ไม่ใช่</t>
        </is>
      </c>
      <c r="M14" s="6" t="inlineStr">
        <is>
          <t>ชุดอุปกรณ์ลดแรงดันมีการเสื่อมสภาพ มีการรั่วซึมของท่อออกซิเจน</t>
        </is>
      </c>
      <c r="N14" s="10" t="n"/>
    </row>
    <row r="15" ht="48" customHeight="1">
      <c r="A15" s="5" t="n">
        <v>11</v>
      </c>
      <c r="B15" s="6" t="inlineStr">
        <is>
          <t>หมวดสิ่งก่อสร้าง</t>
        </is>
      </c>
      <c r="C15" s="6" t="inlineStr">
        <is>
          <t>ปรับปรุงหลังคาอาคารรัตนโกสินทร์ 200ปี</t>
        </is>
      </c>
      <c r="D15" s="6" t="inlineStr">
        <is>
          <t>380</t>
        </is>
      </c>
      <c r="E15" s="6" t="inlineStr">
        <is>
          <t>อาคาร รส.200ปี</t>
        </is>
      </c>
      <c r="F15" s="16" t="n"/>
      <c r="G15" s="9" t="n">
        <v>1</v>
      </c>
      <c r="H15" s="9" t="n">
        <v>400000</v>
      </c>
      <c r="I15" s="8">
        <f>IF(OR(G15="",H15=""),"",G15*H15)</f>
        <v/>
      </c>
      <c r="J15" s="16" t="n"/>
      <c r="K15" s="5" t="inlineStr">
        <is>
          <t>ใช่</t>
        </is>
      </c>
      <c r="L15" s="5" t="inlineStr">
        <is>
          <t>ไม่ใช่</t>
        </is>
      </c>
      <c r="M15" s="6" t="inlineStr">
        <is>
          <t>มุงหลังคาเมทัลชีสใหม่คลุมหลังคากระเบื้องเดิม</t>
        </is>
      </c>
      <c r="N15" s="10" t="n"/>
    </row>
    <row r="16" ht="48" customHeight="1">
      <c r="A16" s="5" t="n">
        <v>12</v>
      </c>
      <c r="B16" s="6" t="inlineStr">
        <is>
          <t>หมวดสิ่งก่อสร้าง</t>
        </is>
      </c>
      <c r="C16" s="6" t="inlineStr">
        <is>
          <t>เปลี่ยนสารกรอง เครื่องกรองน้ำระบบสำรองน้ำใช้ของ รพ.</t>
        </is>
      </c>
      <c r="D16" s="6" t="n"/>
      <c r="E16" s="6" t="inlineStr">
        <is>
          <t>ห้องเวรช่าง</t>
        </is>
      </c>
      <c r="F16" s="16" t="n"/>
      <c r="G16" s="9" t="n">
        <v>1</v>
      </c>
      <c r="H16" s="9" t="n">
        <v>3000000</v>
      </c>
      <c r="I16" s="8">
        <f>IF(OR(G16="",H16=""),"",G16*H16)</f>
        <v/>
      </c>
      <c r="J16" s="16" t="n"/>
      <c r="K16" s="5" t="inlineStr">
        <is>
          <t>ใช่</t>
        </is>
      </c>
      <c r="L16" s="5" t="inlineStr">
        <is>
          <t>ไม่ใช่</t>
        </is>
      </c>
      <c r="M16" s="6" t="inlineStr">
        <is>
          <t>ตั้งแต่ติดตั้งยังไม่ได้ทำการเปลี่ยนสารกรอง (อายุสารเกิน 5ปี) และเพื่อความปลอดภัยของผู้รับบริการและคุณภาพน้ำใช้ในที่ดีของ รพ.</t>
        </is>
      </c>
      <c r="N16" s="10" t="n"/>
    </row>
    <row r="17" ht="48" customHeight="1">
      <c r="A17" s="5" t="n">
        <v>13</v>
      </c>
      <c r="B17" s="6" t="inlineStr">
        <is>
          <t>หมวดสิ่งก่อสร้าง</t>
        </is>
      </c>
      <c r="C17" s="6" t="inlineStr">
        <is>
          <t>ปรับปรุงระบบห้องปรับอากาศและระบายอากาศห้องทันตกรรม</t>
        </is>
      </c>
      <c r="D17" s="6" t="n"/>
      <c r="E17" s="6" t="inlineStr">
        <is>
          <t>OPD ทันตกรรม</t>
        </is>
      </c>
      <c r="F17" s="16" t="n"/>
      <c r="G17" s="9" t="n">
        <v>1</v>
      </c>
      <c r="H17" s="9" t="n">
        <v>1000000</v>
      </c>
      <c r="I17" s="8">
        <f>IF(OR(G17="",H17=""),"",G17*H17)</f>
        <v/>
      </c>
      <c r="J17" s="16" t="n"/>
      <c r="K17" s="5" t="inlineStr">
        <is>
          <t>ใช่</t>
        </is>
      </c>
      <c r="L17" s="5" t="inlineStr">
        <is>
          <t>ไม่ใช่</t>
        </is>
      </c>
      <c r="M17" s="6" t="inlineStr">
        <is>
          <t>เนื่องจากระบบปรับอากาศและระบายอากาศ เสื่อมสภาพจากการใช้งาน ค่า Air Change ไม่ได้ตามมาตรฐาน</t>
        </is>
      </c>
      <c r="N17" s="10" t="n"/>
    </row>
    <row r="18" ht="48" customHeight="1">
      <c r="A18" s="5" t="n">
        <v>14</v>
      </c>
      <c r="B18" s="6" t="inlineStr">
        <is>
          <t>หมวดสิ่งก่อสร้าง</t>
        </is>
      </c>
      <c r="C18" s="6" t="inlineStr">
        <is>
          <t>เพิ่มชุดระบายอากาศคลูลิ่งทาวเวอร์ Ser.175 พร้อมเปลี่ยนระบบท่อของคลูลิ่งทาวเวอร์เป็นท่อ PE</t>
        </is>
      </c>
      <c r="D18" s="6" t="n"/>
      <c r="E18" s="6" t="inlineStr">
        <is>
          <t>OPD</t>
        </is>
      </c>
      <c r="F18" s="16" t="n"/>
      <c r="G18" s="9" t="n">
        <v>1</v>
      </c>
      <c r="H18" s="9" t="n">
        <v>2200000</v>
      </c>
      <c r="I18" s="8">
        <f>IF(OR(G18="",H18=""),"",G18*H18)</f>
        <v/>
      </c>
      <c r="J18" s="16" t="n"/>
      <c r="K18" s="5" t="inlineStr">
        <is>
          <t>ไม่ใช่</t>
        </is>
      </c>
      <c r="L18" s="5" t="inlineStr">
        <is>
          <t>ใช่</t>
        </is>
      </c>
      <c r="M18" s="6" t="inlineStr">
        <is>
          <t>เพิ่มประสิทธิภาพการใช้งานได้ดียิ่งขึ้น</t>
        </is>
      </c>
      <c r="N18" s="10" t="n"/>
    </row>
    <row r="19" ht="48" customHeight="1">
      <c r="A19" s="5" t="n">
        <v>15</v>
      </c>
      <c r="B19" s="6" t="inlineStr">
        <is>
          <t>หมวดสิ่งก่อสร้าง</t>
        </is>
      </c>
      <c r="C19" s="6" t="inlineStr">
        <is>
          <t>ปรับปรุงหลังคา กั้นขอบบ่อน้ำตื้นและกั้นพื้นที่โซนเก็บถังคลอรีน</t>
        </is>
      </c>
      <c r="D19" s="6" t="n"/>
      <c r="E19" s="6" t="inlineStr">
        <is>
          <t>ห้องช่าง</t>
        </is>
      </c>
      <c r="F19" s="16" t="n"/>
      <c r="G19" s="9" t="n">
        <v>1</v>
      </c>
      <c r="H19" s="9" t="n">
        <v>100000</v>
      </c>
      <c r="I19" s="8">
        <f>IF(OR(G19="",H19=""),"",G19*H19)</f>
        <v/>
      </c>
      <c r="J19" s="16" t="n"/>
      <c r="K19" s="5" t="inlineStr">
        <is>
          <t>ใช่</t>
        </is>
      </c>
      <c r="L19" s="5" t="inlineStr">
        <is>
          <t>ไม่ใช่</t>
        </is>
      </c>
      <c r="M19" s="6" t="inlineStr">
        <is>
          <t>หลังคาและขอบบ่อมีการชำรุดจากอายุการใช้งานที่ยาวนาน เสี่ยงต่อการพลัดตกของสัตว์ได้ และพื้นที่ตั้งถังคลอรีนโดนแสงแดด (ตามมาตรฐาน HA)</t>
        </is>
      </c>
      <c r="N19" s="10" t="n"/>
    </row>
    <row r="20" ht="48" customHeight="1">
      <c r="A20" s="5" t="n">
        <v>16</v>
      </c>
      <c r="B20" s="6" t="inlineStr">
        <is>
          <t>หมวดสิ่งก่อสร้าง</t>
        </is>
      </c>
      <c r="C20" s="6" t="inlineStr">
        <is>
          <t>ปรับปรุงห้องบ่อบำบัดน้ำเสีย</t>
        </is>
      </c>
      <c r="D20" s="6" t="inlineStr">
        <is>
          <t>50</t>
        </is>
      </c>
      <c r="E20" s="6" t="inlineStr">
        <is>
          <t>บ่อบำบัดน้ำเสีย รพ.</t>
        </is>
      </c>
      <c r="F20" s="16" t="n"/>
      <c r="G20" s="9" t="n">
        <v>1</v>
      </c>
      <c r="H20" s="9" t="n">
        <v>300000</v>
      </c>
      <c r="I20" s="8">
        <f>IF(OR(G20="",H20=""),"",G20*H20)</f>
        <v/>
      </c>
      <c r="J20" s="16" t="n"/>
      <c r="K20" s="5" t="inlineStr">
        <is>
          <t>ใช่</t>
        </is>
      </c>
      <c r="L20" s="5" t="inlineStr">
        <is>
          <t>ไม่ใช่</t>
        </is>
      </c>
      <c r="M20" s="6" t="inlineStr">
        <is>
          <t>เดิมหลังคารั่วและมีสภาพทรุดโทรม</t>
        </is>
      </c>
      <c r="N20" s="10" t="n"/>
    </row>
    <row r="21" ht="48" customHeight="1">
      <c r="A21" s="5" t="n">
        <v>17</v>
      </c>
      <c r="B21" s="6" t="inlineStr">
        <is>
          <t>หมวดสิ่งก่อสร้าง</t>
        </is>
      </c>
      <c r="C21" s="6" t="inlineStr">
        <is>
          <t>ทาสีอาคารบ้านพัก ซี</t>
        </is>
      </c>
      <c r="D21" s="6" t="inlineStr">
        <is>
          <t>3000</t>
        </is>
      </c>
      <c r="E21" s="6" t="inlineStr">
        <is>
          <t>อาคารบ้านพัก ซี</t>
        </is>
      </c>
      <c r="F21" s="16" t="n"/>
      <c r="G21" s="9" t="n">
        <v>1</v>
      </c>
      <c r="H21" s="9" t="n">
        <v>500000</v>
      </c>
      <c r="I21" s="8">
        <f>IF(OR(G21="",H21=""),"",G21*H21)</f>
        <v/>
      </c>
      <c r="J21" s="16" t="n"/>
      <c r="K21" s="5" t="inlineStr">
        <is>
          <t>ใช่</t>
        </is>
      </c>
      <c r="L21" s="5" t="inlineStr">
        <is>
          <t>ไม่ใช่</t>
        </is>
      </c>
      <c r="M21" s="6" t="inlineStr">
        <is>
          <t>สีเดิมเสื่อมสภาพ หลุดลอก ปรับปรุงเพื่อให้ดูใหม่</t>
        </is>
      </c>
      <c r="N21" s="10" t="n"/>
    </row>
    <row r="22" ht="48" customHeight="1">
      <c r="A22" s="5" t="n">
        <v>18</v>
      </c>
      <c r="B22" s="6" t="inlineStr">
        <is>
          <t>หมวดสิ่งก่อสร้าง</t>
        </is>
      </c>
      <c r="C22" s="6" t="inlineStr">
        <is>
          <t>ปรับปรุงลานจอดรถใต้ถุน แฟลตดี</t>
        </is>
      </c>
      <c r="D22" s="6" t="inlineStr">
        <is>
          <t>560</t>
        </is>
      </c>
      <c r="E22" s="6" t="inlineStr">
        <is>
          <t>แฟลต ดี</t>
        </is>
      </c>
      <c r="F22" s="16" t="n"/>
      <c r="G22" s="9" t="n">
        <v>1</v>
      </c>
      <c r="H22" s="9" t="n">
        <v>500000</v>
      </c>
      <c r="I22" s="8">
        <f>IF(OR(G22="",H22=""),"",G22*H22)</f>
        <v/>
      </c>
      <c r="J22" s="16" t="n"/>
      <c r="K22" s="5" t="inlineStr">
        <is>
          <t>ใช่</t>
        </is>
      </c>
      <c r="L22" s="5" t="inlineStr">
        <is>
          <t>ไม่ใช่</t>
        </is>
      </c>
      <c r="M22" s="6" t="inlineStr">
        <is>
          <t>พื้นคอนกรีตเดิมชำรุด</t>
        </is>
      </c>
      <c r="N22" s="10" t="n"/>
    </row>
    <row r="23" ht="48" customHeight="1">
      <c r="A23" s="5" t="n">
        <v>19</v>
      </c>
      <c r="B23" s="6" t="inlineStr">
        <is>
          <t>หมวดสิ่งก่อสร้าง</t>
        </is>
      </c>
      <c r="C23" s="6" t="inlineStr">
        <is>
          <t>จ้างปรับปรุงระบบปรับอากาศ หุ้มฉนวนกันชื้น อาคารบ้านคุณพุ่มชั้น 1</t>
        </is>
      </c>
      <c r="D23" s="6" t="n"/>
      <c r="E23" s="6" t="inlineStr">
        <is>
          <t>อาคารบ้านคุณพุ่มชั้น 1</t>
        </is>
      </c>
      <c r="F23" s="16" t="n"/>
      <c r="G23" s="9" t="n">
        <v>1</v>
      </c>
      <c r="H23" s="9" t="n">
        <v>1000000</v>
      </c>
      <c r="I23" s="8">
        <f>IF(OR(G23="",H23=""),"",G23*H23)</f>
        <v/>
      </c>
      <c r="J23" s="16" t="n"/>
      <c r="K23" s="5" t="inlineStr">
        <is>
          <t>ใช่</t>
        </is>
      </c>
      <c r="L23" s="5" t="inlineStr">
        <is>
          <t>ไม่ใช่</t>
        </is>
      </c>
      <c r="M23" s="6" t="inlineStr">
        <is>
          <t>เพื่อความพร้อมใช้ในการใช้งานและแก้ไขปัญหาฝ้าผุผังขึ้นเชื้อราเนื่องจากท่อหุ้มฉนวนเดิมมีการเสื่อมสภาพจากอายุการใช้งาน</t>
        </is>
      </c>
      <c r="N23" s="10" t="n"/>
    </row>
    <row r="24" ht="48" customHeight="1">
      <c r="A24" s="5" t="n">
        <v>20</v>
      </c>
      <c r="B24" s="6" t="inlineStr">
        <is>
          <t>หมวดสิ่งก่อสร้าง</t>
        </is>
      </c>
      <c r="C24" s="6" t="inlineStr">
        <is>
          <t>จ้างปรับปรุงระบบปรับอากาศ หุ้มฉนวนกันชื้น อาคารบ้านคุณพุ่มชั้น 2</t>
        </is>
      </c>
      <c r="D24" s="6" t="n"/>
      <c r="E24" s="6" t="inlineStr">
        <is>
          <t>อาคารบ้านคุณพุ่มชั้น 2</t>
        </is>
      </c>
      <c r="F24" s="16" t="n"/>
      <c r="G24" s="9" t="n">
        <v>1</v>
      </c>
      <c r="H24" s="9" t="n">
        <v>1000000</v>
      </c>
      <c r="I24" s="8">
        <f>IF(OR(G24="",H24=""),"",G24*H24)</f>
        <v/>
      </c>
      <c r="J24" s="16" t="n"/>
      <c r="K24" s="5" t="inlineStr">
        <is>
          <t>ใช่</t>
        </is>
      </c>
      <c r="L24" s="5" t="inlineStr">
        <is>
          <t>ไม่ใช่</t>
        </is>
      </c>
      <c r="M24" s="6" t="inlineStr">
        <is>
          <t>เพื่อความพร้อมใช้ในการใช้งานและแก้ไขปัญหาฝ้าผุผังขึ้นเชื้อราเนื่องจากท่อหุ้มฉนวนเดิมมีการเสื่อมสภาพจากอายุการใช้งาน</t>
        </is>
      </c>
      <c r="N24" s="10" t="n"/>
    </row>
    <row r="25" ht="48" customHeight="1">
      <c r="A25" s="5" t="n">
        <v>21</v>
      </c>
      <c r="B25" s="6" t="inlineStr">
        <is>
          <t>หมวดสิ่งก่อสร้าง</t>
        </is>
      </c>
      <c r="C25" s="6" t="inlineStr">
        <is>
          <t>จ้างปรับปรุงระบบปรับอากาศ หุ้มฉนวนกันชื้น อาคารบ้านคุณพุ่มชั้น 3</t>
        </is>
      </c>
      <c r="D25" s="6" t="n"/>
      <c r="E25" s="6" t="inlineStr">
        <is>
          <t>อาคารบ้านคุณพุ่มชั้น 3</t>
        </is>
      </c>
      <c r="F25" s="16" t="n"/>
      <c r="G25" s="9" t="n">
        <v>1</v>
      </c>
      <c r="H25" s="9" t="n">
        <v>1000000</v>
      </c>
      <c r="I25" s="8">
        <f>IF(OR(G25="",H25=""),"",G25*H25)</f>
        <v/>
      </c>
      <c r="J25" s="16" t="n"/>
      <c r="K25" s="5" t="inlineStr">
        <is>
          <t>ใช่</t>
        </is>
      </c>
      <c r="L25" s="5" t="inlineStr">
        <is>
          <t>ไม่ใช่</t>
        </is>
      </c>
      <c r="M25" s="6" t="inlineStr">
        <is>
          <t>เพื่อความพร้อมใช้ในการใช้งานและแก้ไขปัญหาฝ้าผุผังขึ้นเชื้อราเนื่องจากท่อหุ้มฉนวนเดิมมีการเสื่อมสภาพจากอายุการใช้งาน</t>
        </is>
      </c>
      <c r="N25" s="10" t="n"/>
    </row>
    <row r="26" ht="48" customHeight="1">
      <c r="A26" s="5" t="n">
        <v>22</v>
      </c>
      <c r="B26" s="6" t="inlineStr">
        <is>
          <t>หมวดสิ่งก่อสร้าง</t>
        </is>
      </c>
      <c r="C26" s="6" t="inlineStr">
        <is>
          <t>จ้างปรับปรุงระบบปรับอากาศ หุ้มฉนวนกันชื้น อาคารบ้านคุณพุ่มชั้น 4</t>
        </is>
      </c>
      <c r="D26" s="6" t="n"/>
      <c r="E26" s="6" t="inlineStr">
        <is>
          <t>อาคารบ้านคุณพุ่มชั้น 4</t>
        </is>
      </c>
      <c r="F26" s="16" t="n"/>
      <c r="G26" s="9" t="n">
        <v>1</v>
      </c>
      <c r="H26" s="9" t="n">
        <v>1000000</v>
      </c>
      <c r="I26" s="8">
        <f>IF(OR(G26="",H26=""),"",G26*H26)</f>
        <v/>
      </c>
      <c r="J26" s="16" t="n"/>
      <c r="K26" s="5" t="inlineStr">
        <is>
          <t>ใช่</t>
        </is>
      </c>
      <c r="L26" s="5" t="inlineStr">
        <is>
          <t>ไม่ใช่</t>
        </is>
      </c>
      <c r="M26" s="6" t="inlineStr">
        <is>
          <t>เพื่อความพร้อมใช้ในการใช้งานและแก้ไขปัญหาฝ้าผุผังขึ้นเชื้อราเนื่องจากท่อหุ้มฉนวนเดิมมีการเสื่อมสภาพจากอายุการใช้งาน</t>
        </is>
      </c>
      <c r="N26" s="10" t="n"/>
    </row>
    <row r="27" ht="48" customHeight="1">
      <c r="A27" s="5" t="n">
        <v>23</v>
      </c>
      <c r="B27" s="6" t="inlineStr">
        <is>
          <t>หมวดสิ่งก่อสร้าง</t>
        </is>
      </c>
      <c r="C27" s="6" t="inlineStr">
        <is>
          <t>ซ่อมแซมอาคารบ้านพัก</t>
        </is>
      </c>
      <c r="D27" s="6" t="n"/>
      <c r="E27" s="6" t="inlineStr">
        <is>
          <t>อาคารบ้านพัก</t>
        </is>
      </c>
      <c r="F27" s="16" t="n"/>
      <c r="G27" s="9" t="n">
        <v>1</v>
      </c>
      <c r="H27" s="9" t="n">
        <v>3000000</v>
      </c>
      <c r="I27" s="8">
        <f>IF(OR(G27="",H27=""),"",G27*H27)</f>
        <v/>
      </c>
      <c r="J27" s="16" t="n"/>
      <c r="K27" s="5" t="inlineStr">
        <is>
          <t>ใช่</t>
        </is>
      </c>
      <c r="L27" s="5" t="inlineStr">
        <is>
          <t>ไม่ใช่</t>
        </is>
      </c>
      <c r="M27" s="6" t="inlineStr">
        <is>
          <t>สำหรับซ่อมแซม ห้องพักที่ชำรุด ทรุดโทรม ให้สำหรับเจ้าหน้าที่</t>
        </is>
      </c>
      <c r="N27" s="10" t="n"/>
    </row>
    <row r="28" ht="48" customHeight="1">
      <c r="A28" s="5" t="n">
        <v>24</v>
      </c>
      <c r="B28" s="6" t="inlineStr">
        <is>
          <t>หมวดสิ่งก่อสร้าง</t>
        </is>
      </c>
      <c r="C28" s="6" t="inlineStr">
        <is>
          <t>ปรับปรุงพื้นที่ใต้ถุนอาคาร แฟลตซี</t>
        </is>
      </c>
      <c r="D28" s="6" t="n"/>
      <c r="E28" s="6" t="inlineStr">
        <is>
          <t>แฟลตซี</t>
        </is>
      </c>
      <c r="F28" s="16" t="n"/>
      <c r="G28" s="9" t="n">
        <v>1</v>
      </c>
      <c r="H28" s="9" t="n">
        <v>350000</v>
      </c>
      <c r="I28" s="8">
        <f>IF(OR(G28="",H28=""),"",G28*H28)</f>
        <v/>
      </c>
      <c r="J28" s="16" t="n"/>
      <c r="K28" s="5" t="inlineStr">
        <is>
          <t>ใช่</t>
        </is>
      </c>
      <c r="L28" s="5" t="inlineStr">
        <is>
          <t>ไม่ใช่</t>
        </is>
      </c>
      <c r="M28" s="6" t="inlineStr">
        <is>
          <t>พื้นคอนกรีตเดิมชำรุด</t>
        </is>
      </c>
      <c r="N28" s="10" t="n"/>
    </row>
    <row r="29" ht="48" customHeight="1">
      <c r="A29" s="5" t="n">
        <v>25</v>
      </c>
      <c r="B29" s="6" t="inlineStr">
        <is>
          <t>หมวดสิ่งก่อสร้าง</t>
        </is>
      </c>
      <c r="C29" s="6" t="inlineStr">
        <is>
          <t>เปลี่ยนอะไหล่ลิฟต์ ตัวที่3 อาคารจอดรถ 10ชั้น (สลิง/สะพานชุดประตู/แบตเตอรี่)</t>
        </is>
      </c>
      <c r="D29" s="6" t="n"/>
      <c r="E29" s="6" t="inlineStr">
        <is>
          <t>อาคารจอดรถ 10 ชั้น</t>
        </is>
      </c>
      <c r="F29" s="16" t="n"/>
      <c r="G29" s="9" t="n">
        <v>1</v>
      </c>
      <c r="H29" s="9" t="n">
        <v>340000</v>
      </c>
      <c r="I29" s="8">
        <f>IF(OR(G29="",H29=""),"",G29*H29)</f>
        <v/>
      </c>
      <c r="J29" s="16" t="n"/>
      <c r="K29" s="5" t="inlineStr">
        <is>
          <t>ใช่</t>
        </is>
      </c>
      <c r="L29" s="5" t="inlineStr">
        <is>
          <t>ไม่ใช่</t>
        </is>
      </c>
      <c r="M29" s="6" t="inlineStr">
        <is>
          <t>อะไหล่เสื่อมสภาพ /ตามรายงานการตรวจสอบคุณภาพ QA</t>
        </is>
      </c>
      <c r="N29" s="10" t="n"/>
    </row>
    <row r="30" ht="48" customHeight="1">
      <c r="A30" s="5" t="n">
        <v>26</v>
      </c>
      <c r="B30" s="6" t="inlineStr">
        <is>
          <t>หมวดสิ่งก่อสร้าง</t>
        </is>
      </c>
      <c r="C30" s="6" t="inlineStr">
        <is>
          <t>เปลี่ยนอะไหล่ลิฟต์ ตัวที่3 อาคารจอดรถ 10ชั้น (สลิง/สะพานชุดประตู/แบตเตอรี่)</t>
        </is>
      </c>
      <c r="D30" s="6" t="n"/>
      <c r="E30" s="6" t="inlineStr">
        <is>
          <t>อาคารจอดรถ 10 ชั้น</t>
        </is>
      </c>
      <c r="F30" s="16" t="n"/>
      <c r="G30" s="9" t="n">
        <v>1</v>
      </c>
      <c r="H30" s="9" t="n">
        <v>340000</v>
      </c>
      <c r="I30" s="8">
        <f>IF(OR(G30="",H30=""),"",G30*H30)</f>
        <v/>
      </c>
      <c r="J30" s="16" t="n"/>
      <c r="K30" s="5" t="inlineStr">
        <is>
          <t>ใช่</t>
        </is>
      </c>
      <c r="L30" s="5" t="inlineStr">
        <is>
          <t>ไม่ใช่</t>
        </is>
      </c>
      <c r="M30" s="6" t="inlineStr">
        <is>
          <t>อะไหล่เสื่อมสภาพ /ตามรายงานการตรวจสอบคุณภาพ QA</t>
        </is>
      </c>
      <c r="N30" s="10" t="n"/>
    </row>
    <row r="31" ht="48" customHeight="1">
      <c r="A31" s="5" t="n">
        <v>27</v>
      </c>
      <c r="B31" s="6" t="inlineStr">
        <is>
          <t>หมวดสิ่งก่อสร้าง</t>
        </is>
      </c>
      <c r="C31" s="6" t="inlineStr">
        <is>
          <t>ทาสีอาคารบ้านคุณพุ่ม พร้อมซ่อมรอยร้าวผนัง</t>
        </is>
      </c>
      <c r="D31" s="6" t="inlineStr">
        <is>
          <t>5750</t>
        </is>
      </c>
      <c r="E31" s="6" t="inlineStr">
        <is>
          <t>อาคารบ้านคุณพุ่ม</t>
        </is>
      </c>
      <c r="F31" s="16" t="n"/>
      <c r="G31" s="9" t="n">
        <v>1</v>
      </c>
      <c r="H31" s="9" t="n">
        <v>2100000</v>
      </c>
      <c r="I31" s="8">
        <f>IF(OR(G31="",H31=""),"",G31*H31)</f>
        <v/>
      </c>
      <c r="J31" s="16" t="n"/>
      <c r="K31" s="5" t="inlineStr">
        <is>
          <t>ใช่</t>
        </is>
      </c>
      <c r="L31" s="5" t="inlineStr">
        <is>
          <t>ไม่ใช่</t>
        </is>
      </c>
      <c r="M31" s="6" t="inlineStr">
        <is>
          <t>ผนังอาคารมีรอยแตกร้าว สีเสื่อมสภาพ</t>
        </is>
      </c>
      <c r="N31" s="10" t="n"/>
    </row>
    <row r="32">
      <c r="A32" s="11" t="inlineStr">
        <is>
          <t>รวม</t>
        </is>
      </c>
      <c r="B32" s="11" t="n"/>
      <c r="C32" s="11" t="n"/>
      <c r="D32" s="11" t="n"/>
      <c r="E32" s="11" t="n"/>
      <c r="F32" s="11" t="n"/>
      <c r="G32" s="11" t="n"/>
      <c r="H32" s="11" t="n"/>
      <c r="I32" s="17">
        <f>SUM(I5:I31)</f>
        <v/>
      </c>
      <c r="J32" s="11" t="n"/>
      <c r="K32" s="11" t="n"/>
      <c r="L32" s="11" t="n"/>
      <c r="M32" s="11" t="n"/>
      <c r="N32" s="11" t="n"/>
    </row>
    <row r="33" ht="36" customHeight="1">
      <c r="A33" s="3" t="inlineStr">
        <is>
          <t>ส่งออกจากฐาน VPK-S1 วันที่ 12 ต.ค. 2569 · 15.กลุ่มงานโครงสร้าง.xls · แบบฟอร์ม ก่อสร้าง · ช่องเหลืองกรอกหรือแก้ได้ ช่องเขียวเป็นสูตร งบประมาณที่ขอ = จำนวนที่ขอตั้ง × ราคาต่อหน่วย ผลยืนยันเลือก ถูกต้อง / ต้องแก้ไข / ยังไม่ครบ / ข้าม</t>
        </is>
      </c>
    </row>
  </sheetData>
  <autoFilter ref="A4:N31"/>
  <mergeCells count="4">
    <mergeCell ref="A33:N33"/>
    <mergeCell ref="A2:N2"/>
    <mergeCell ref="A32:F32"/>
    <mergeCell ref="A1:N1"/>
  </mergeCells>
  <dataValidations count="1">
    <dataValidation sqref="N5:N31" showDropDown="0" showInputMessage="0" showErrorMessage="1" allowBlank="1" errorTitle="ผลยืนยัน" error="เลือก ถูกต้อง, ต้องแก้ไข, ยังไม่ครบ หรือ ข้าม" type="list">
      <formula1>"ถูกต้อง,ต้องแก้ไข,ยังไม่ครบ,ข้าม"</formula1>
    </dataValidation>
  </dataValidations>
  <pageMargins left="0.4" right="0.4" top="0.6" bottom="0.5" header="0.5" footer="0.5"/>
  <pageSetup orientation="landscape" paperSize="9" fitToHeight="0" fitToWidth="1"/>
  <headerFooter>
    <oddHeader>&amp;Lโรงพยาบาลวชิระภูเก็ต</oddHeader>
    <oddFooter>&amp;Rหน้า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2026-10-12T14:10:47Z</dcterms:created>
  <dcterms:modified xmlns:dcterms="http://purl.org/dc/terms/" xmlns:xsi="http://www.w3.org/2001/XMLSchema-instance" xsi:type="dcterms:W3CDTF">2026-10-12T14:10:47Z</dcterms:modified>
</cp:coreProperties>
</file>