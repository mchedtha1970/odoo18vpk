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เพื่อยืนยัน" sheetId="1" state="visible" r:id="rId1"/>
    <sheet xmlns:r="http://schemas.openxmlformats.org/officeDocument/2006/relationships" name="โครงสร้างพื้นฐาน" sheetId="2" state="visible" r:id="rId2"/>
    <sheet xmlns:r="http://schemas.openxmlformats.org/officeDocument/2006/relationships" name="กุมารเวชกรรม" sheetId="3" state="visible" r:id="rId3"/>
  </sheets>
  <definedNames>
    <definedName name="_xlnm._FilterDatabase" localSheetId="0" hidden="1">'สรุปเพื่อยืนยัน'!$A$5:$J$7</definedName>
    <definedName name="_xlnm.Print_Titles" localSheetId="0">'สรุปเพื่อยืนยัน'!$1:$4</definedName>
    <definedName name="_xlnm._FilterDatabase" localSheetId="1" hidden="1">'โครงสร้างพื้นฐาน'!$A$4:$R$29</definedName>
    <definedName name="_xlnm.Print_Titles" localSheetId="1">'โครงสร้างพื้นฐาน'!$1:$4</definedName>
    <definedName name="_xlnm._FilterDatabase" localSheetId="2" hidden="1">'กุมารเวชกรรม'!$A$4:$R$26</definedName>
    <definedName name="_xlnm.Print_Titles" localSheetId="2">'กุมารเวชกรรม'!$1:$4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7">
    <font>
      <name val="Calibri"/>
      <family val="2"/>
      <color theme="1"/>
      <sz val="11"/>
      <scheme val="minor"/>
    </font>
    <font>
      <name val="Prompt"/>
      <b val="1"/>
      <color rgb="00123A56"/>
      <sz val="16"/>
    </font>
    <font>
      <name val="Prompt"/>
      <color rgb="002F3A48"/>
      <sz val="11"/>
    </font>
    <font>
      <name val="Prompt"/>
      <b val="1"/>
      <color rgb="002F3A48"/>
      <sz val="11"/>
    </font>
    <font>
      <name val="Prompt"/>
      <b val="1"/>
      <color rgb="00FFFFFF"/>
      <sz val="11"/>
    </font>
    <font>
      <name val="Prompt"/>
      <color rgb="005C6B7A"/>
      <sz val="10"/>
    </font>
    <font>
      <name val="Prompt"/>
      <b val="1"/>
      <color rgb="000F7A72"/>
      <sz val="14"/>
    </font>
  </fonts>
  <fills count="5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EA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3" borderId="0" pivotButton="0" quotePrefix="0" xfId="0"/>
    <xf numFmtId="16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VPK</author>
  </authors>
  <commentList>
    <comment ref="B3" authorId="0" shapeId="0">
      <text>
        <t>ยอดเอกสารในฐาน VPK-S1 วันที่ 12 ต.ค. 2569 คำนวณจาก (ขอซื้อใหม่ + ขอทดแทน + ขอเพิ่ม) × ราคาต่อหน่วย</t>
      </text>
    </comment>
  </commentList>
</comments>
</file>

<file path=xl/comments/comment2.xml><?xml version="1.0" encoding="utf-8"?>
<comments xmlns="http://schemas.openxmlformats.org/spreadsheetml/2006/main">
  <authors>
    <author>VPK</author>
  </authors>
  <commentList>
    <comment ref="B3" authorId="0" shapeId="0">
      <text>
        <t>ยอดเอกสารในฐาน VPK-S1 วันที่ 12 ต.ค. 2569 คำนวณจาก (ขอซื้อใหม่ + ขอทดแทน + ขอเพิ่ม) × ราคาต่อหน่วย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F7A72"/>
    <outlinePr summaryBelow="1" summaryRight="1"/>
    <pageSetUpPr fitToPage="1"/>
  </sheetPr>
  <dimension ref="A1:J8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64" customWidth="1" min="4" max="4"/>
    <col width="16" customWidth="1" min="5" max="5"/>
    <col width="18" customWidth="1" min="6" max="6"/>
    <col width="18" customWidth="1" min="7" max="7"/>
    <col width="14" customWidth="1" min="8" max="8"/>
    <col width="16" customWidth="1" min="9" max="9"/>
    <col width="40" customWidth="1" min="10" max="10"/>
  </cols>
  <sheetData>
    <row r="1" ht="26" customHeight="1">
      <c r="A1" s="1" t="inlineStr">
        <is>
          <t>โรงพยาบาลวชิระภูเก็ต</t>
        </is>
      </c>
    </row>
    <row r="2">
      <c r="A2" s="2" t="inlineStr">
        <is>
          <t>ยืนยันรายการคำของบครุภัณฑ์ ปีงบประมาณ 2570</t>
        </is>
      </c>
    </row>
    <row r="3" ht="34" customHeight="1">
      <c r="A3" s="3" t="inlineStr">
        <is>
          <t>ช่องสีเหลืองให้ผู้ใช้กรอกผลยืนยัน    ช่องสีเขียวเป็นสูตร    จำนวนรายการและยอดจากรายการดึงจากชีตของแต่ละคำขอ    ยอดในระบบคือยอดเอกสารในฐาน VPK-S1 วันที่ 12 ต.ค. 2569</t>
        </is>
      </c>
    </row>
    <row r="5" ht="30" customHeight="1">
      <c r="A5" s="4" t="inlineStr">
        <is>
          <t>ลำดับ</t>
        </is>
      </c>
      <c r="B5" s="4" t="inlineStr">
        <is>
          <t>เลขที่เอกสาร</t>
        </is>
      </c>
      <c r="C5" s="4" t="inlineStr">
        <is>
          <t>หน่วยงาน</t>
        </is>
      </c>
      <c r="D5" s="4" t="inlineStr">
        <is>
          <t>แหล่งข้อมูล</t>
        </is>
      </c>
      <c r="E5" s="4" t="inlineStr">
        <is>
          <t>จำนวนรายการ</t>
        </is>
      </c>
      <c r="F5" s="4" t="inlineStr">
        <is>
          <t>ยอดจากรายการ</t>
        </is>
      </c>
      <c r="G5" s="4" t="inlineStr">
        <is>
          <t>ยอดในระบบ</t>
        </is>
      </c>
      <c r="H5" s="4" t="inlineStr">
        <is>
          <t>ผลต่าง</t>
        </is>
      </c>
      <c r="I5" s="4" t="inlineStr">
        <is>
          <t>ผลยืนยัน</t>
        </is>
      </c>
      <c r="J5" s="4" t="inlineStr">
        <is>
          <t>หมายเหตุ</t>
        </is>
      </c>
    </row>
    <row r="6" ht="32" customHeight="1">
      <c r="A6" s="5" t="n">
        <v>1</v>
      </c>
      <c r="B6" s="6" t="inlineStr">
        <is>
          <t>DBR/2570/0003</t>
        </is>
      </c>
      <c r="C6" s="6" t="inlineStr">
        <is>
          <t>กลุ่มงานโครงสร้างพื้นฐานฯ</t>
        </is>
      </c>
      <c r="D6" s="6" t="inlineStr">
        <is>
          <t>15.กลุ่มงานโครงสร้าง.xls · แบบฟอร์มครุภัณฑ์ และต่ำกว่าแสน</t>
        </is>
      </c>
      <c r="E6" s="7">
        <f>COUNTA('โครงสร้างพื้นฐาน'!F5:F29)</f>
        <v/>
      </c>
      <c r="F6" s="8">
        <f>SUM('โครงสร้างพื้นฐาน'!O5:O29)</f>
        <v/>
      </c>
      <c r="G6" s="9" t="n">
        <v>35534350</v>
      </c>
      <c r="H6" s="8">
        <f>F6-G6</f>
        <v/>
      </c>
      <c r="I6" s="10" t="n"/>
      <c r="J6" s="6" t="n"/>
    </row>
    <row r="7" ht="32" customHeight="1">
      <c r="A7" s="5" t="n">
        <v>2</v>
      </c>
      <c r="B7" s="6" t="inlineStr">
        <is>
          <t>DBR/2570/0033</t>
        </is>
      </c>
      <c r="C7" s="6" t="inlineStr">
        <is>
          <t>กลุ่มงาน กุมารเวชกรรม</t>
        </is>
      </c>
      <c r="D7" s="6" t="inlineStr">
        <is>
          <t>14.กลุ่มงานกุมารเวชกรรม.xls · แบบฟอร์มครุภัณฑ์ และต่ำกว่าแสน</t>
        </is>
      </c>
      <c r="E7" s="7">
        <f>COUNTA('กุมารเวชกรรม'!F5:F26)</f>
        <v/>
      </c>
      <c r="F7" s="8">
        <f>SUM('กุมารเวชกรรม'!O5:O26)</f>
        <v/>
      </c>
      <c r="G7" s="9" t="n">
        <v>14162390</v>
      </c>
      <c r="H7" s="8">
        <f>F7-G7</f>
        <v/>
      </c>
      <c r="I7" s="10" t="n"/>
      <c r="J7" s="6" t="inlineStr">
        <is>
          <t>3 รายการไม่มีราคาในไฟล์ต้นทาง จึงมียอด 0</t>
        </is>
      </c>
    </row>
    <row r="8">
      <c r="A8" s="11" t="inlineStr">
        <is>
          <t>รวม</t>
        </is>
      </c>
      <c r="B8" s="11" t="n"/>
      <c r="C8" s="11" t="n"/>
      <c r="D8" s="11" t="n"/>
      <c r="E8" s="8">
        <f>SUM(E6:E7)</f>
        <v/>
      </c>
      <c r="F8" s="8">
        <f>SUM(F6:F7)</f>
        <v/>
      </c>
      <c r="G8" s="8">
        <f>SUM(G6:G7)</f>
        <v/>
      </c>
      <c r="H8" s="8">
        <f>F8-G8</f>
        <v/>
      </c>
      <c r="I8" s="11" t="n"/>
      <c r="J8" s="11" t="n"/>
    </row>
  </sheetData>
  <autoFilter ref="A5:J7"/>
  <mergeCells count="4">
    <mergeCell ref="A1:J1"/>
    <mergeCell ref="A8:D8"/>
    <mergeCell ref="A3:J3"/>
    <mergeCell ref="A2:J2"/>
  </mergeCells>
  <dataValidations count="1">
    <dataValidation sqref="I6:I7" showDropDown="0" showInputMessage="0" showErrorMessage="1" allowBlank="1" errorTitle="ผลยืนยัน" error="เลือก ถูกต้อง, ต้องแก้ไข, ยังไม่ครบ หรือ ข้าม" type="list">
      <formula1>"ถูกต้อง,ต้องแก้ไข,ยังไม่ครบ,ข้าม"</formula1>
    </dataValidation>
  </dataValidations>
  <pageMargins left="0.4" right="0.4" top="0.6" bottom="0.5" header="0.5" footer="0.5"/>
  <pageSetup orientation="landscape" paperSize="9" fitToHeight="0" fitToWidth="1"/>
  <headerFooter>
    <oddHeader>&amp;Lโรงพยาบาลวชิระภูเก็ต&amp;Cยืนยันรายการคำของบครุภัณฑ์ ปีงบประมาณ 2570</oddHeader>
    <oddFooter>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7A72"/>
    <outlinePr summaryBelow="1" summaryRight="1"/>
    <pageSetUpPr fitToPage="1"/>
  </sheetPr>
  <dimension ref="A1:R31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18" customWidth="1" min="4" max="4"/>
    <col width="14" customWidth="1" min="5" max="5"/>
    <col width="46" customWidth="1" min="6" max="6"/>
    <col width="46" customWidth="1" min="7" max="7"/>
    <col width="16" customWidth="1" min="8" max="8"/>
    <col width="14" customWidth="1" min="9" max="9"/>
    <col width="13" customWidth="1" min="10" max="10"/>
    <col width="12" customWidth="1" min="11" max="11"/>
    <col width="12" customWidth="1" min="12" max="12"/>
    <col width="16" customWidth="1" min="13" max="13"/>
    <col width="16" customWidth="1" min="14" max="14"/>
    <col width="18" customWidth="1" min="15" max="15"/>
    <col width="18" customWidth="1" min="16" max="16"/>
    <col width="42" customWidth="1" min="17" max="17"/>
    <col width="16" customWidth="1" min="18" max="18"/>
  </cols>
  <sheetData>
    <row r="1" ht="26" customHeight="1">
      <c r="A1" s="1" t="inlineStr">
        <is>
          <t>โรงพยาบาลวชิระภูเก็ต · คำของบครุภัณฑ์ ปี 2570 · กลุ่มงานโครงสร้างพื้นฐานฯ</t>
        </is>
      </c>
    </row>
    <row r="2" ht="22" customHeight="1">
      <c r="A2" s="12" t="inlineStr">
        <is>
          <t>เลขที่เอกสาร  DBR/2570/0003    หน่วยงาน  กลุ่มงานโครงสร้างพื้นฐานฯ    แหล่งเงิน  เงินบำรุง    ปีงบประมาณ  2570    สถานะ  ฉบับร่าง</t>
        </is>
      </c>
    </row>
    <row r="3">
      <c r="A3" s="13" t="inlineStr">
        <is>
          <t>ยอดในระบบ</t>
        </is>
      </c>
      <c r="B3" s="14" t="n">
        <v>35534350</v>
      </c>
      <c r="C3" s="13" t="inlineStr">
        <is>
          <t>ผลต่างจากรายการ</t>
        </is>
      </c>
      <c r="D3" s="15">
        <f>O30-B3</f>
        <v/>
      </c>
    </row>
    <row r="4" ht="34" customHeight="1">
      <c r="A4" s="4" t="inlineStr">
        <is>
          <t>ลำดับ</t>
        </is>
      </c>
      <c r="B4" s="4" t="inlineStr">
        <is>
          <t>หมวดงบประมาณ</t>
        </is>
      </c>
      <c r="C4" s="4" t="inlineStr">
        <is>
          <t>กลุ่มครุภัณฑ์</t>
        </is>
      </c>
      <c r="D4" s="4" t="inlineStr">
        <is>
          <t>ประเภทครุภัณฑ์</t>
        </is>
      </c>
      <c r="E4" s="4" t="inlineStr">
        <is>
          <t>รหัสรายการ</t>
        </is>
      </c>
      <c r="F4" s="4" t="inlineStr">
        <is>
          <t>รายการในระบบ</t>
        </is>
      </c>
      <c r="G4" s="4" t="inlineStr">
        <is>
          <t>ชื่อในไฟล์ต้นทาง</t>
        </is>
      </c>
      <c r="H4" s="4" t="inlineStr">
        <is>
          <t>จำนวนปัจจุบัน (เครื่อง)</t>
        </is>
      </c>
      <c r="I4" s="4" t="inlineStr">
        <is>
          <t>อายุการใช้งาน (ปี)</t>
        </is>
      </c>
      <c r="J4" s="4" t="inlineStr">
        <is>
          <t>ขอซื้อใหม่</t>
        </is>
      </c>
      <c r="K4" s="4" t="inlineStr">
        <is>
          <t>ขอทดแทน</t>
        </is>
      </c>
      <c r="L4" s="4" t="inlineStr">
        <is>
          <t>ขอเพิ่ม</t>
        </is>
      </c>
      <c r="M4" s="4" t="inlineStr">
        <is>
          <t>จำนวนที่ขอตั้ง</t>
        </is>
      </c>
      <c r="N4" s="4" t="inlineStr">
        <is>
          <t>ราคาต่อหน่วย</t>
        </is>
      </c>
      <c r="O4" s="4" t="inlineStr">
        <is>
          <t>งบประมาณที่ขอ</t>
        </is>
      </c>
      <c r="P4" s="4" t="inlineStr">
        <is>
          <t>งบประมาณที่ได้รับ</t>
        </is>
      </c>
      <c r="Q4" s="4" t="inlineStr">
        <is>
          <t>เหตุผลคำชี้แจง</t>
        </is>
      </c>
      <c r="R4" s="4" t="inlineStr">
        <is>
          <t>ผลยืนยัน</t>
        </is>
      </c>
    </row>
    <row r="5" ht="36" customHeight="1">
      <c r="A5" s="5" t="n">
        <v>1</v>
      </c>
      <c r="B5" s="6" t="inlineStr">
        <is>
          <t>หมวดครุภัณฑ์ - ครุภัณฑ์ไฟฟ้าและวิทยุ</t>
        </is>
      </c>
      <c r="C5" s="6" t="inlineStr">
        <is>
          <t>ครุภัณฑ์ไฟฟ้าและวิทยุ</t>
        </is>
      </c>
      <c r="D5" s="5" t="inlineStr">
        <is>
          <t>เพื่อสนับสนุน</t>
        </is>
      </c>
      <c r="E5" s="10" t="inlineStr">
        <is>
          <t>EE-19</t>
        </is>
      </c>
      <c r="F5" s="6" t="inlineStr">
        <is>
          <t>เครื่องกำเนิดไฟฟ้า ขนาดไม่น้อยกว่า 1,000 กิโลวัตต์</t>
        </is>
      </c>
      <c r="G5" s="6" t="inlineStr">
        <is>
          <t>เครื่องกำเนิดไฟฟ้าสำรองอัตโนมัติ ขนาด 1,000kW พร้อมติดตั้ง ณโรงเรือนหลังอาคารอายุรกรรม298</t>
        </is>
      </c>
      <c r="H5" s="16" t="n">
        <v>1</v>
      </c>
      <c r="I5" s="6" t="n"/>
      <c r="J5" s="9" t="n">
        <v>0</v>
      </c>
      <c r="K5" s="9" t="n">
        <v>1</v>
      </c>
      <c r="L5" s="9" t="n">
        <v>0</v>
      </c>
      <c r="M5" s="8">
        <f>IF(AND(J5="",K5="",L5=""),"",N(J5)+N(K5)+N(L5))</f>
        <v/>
      </c>
      <c r="N5" s="9" t="n">
        <v>11877000</v>
      </c>
      <c r="O5" s="8">
        <f>IF(OR(M5="",N5=""),"",M5*N5)</f>
        <v/>
      </c>
      <c r="P5" s="17" t="n"/>
      <c r="Q5" s="6" t="inlineStr">
        <is>
          <t>เพื่อทดแทนเครื่องเก่าที่มีอายุการใช้งานมากกว่า 30ปี เพื่อเพิ่มประสิทธิภาพในการสำรองไฟเมื่อเกิดเหตุไฟฟ้าดับ (ทดแทนครุภัณฑ์ 6115-005-0001/3(68)ส) (มีในแผนปีงบ 69)</t>
        </is>
      </c>
      <c r="R5" s="10" t="n"/>
    </row>
    <row r="6" ht="36" customHeight="1">
      <c r="A6" s="5" t="n">
        <v>2</v>
      </c>
      <c r="B6" s="6" t="inlineStr">
        <is>
          <t>หมวดครุภัณฑ์ - ครุภัณฑ์ไฟฟ้าและวิทยุ</t>
        </is>
      </c>
      <c r="C6" s="6" t="inlineStr">
        <is>
          <t>ครุภัณฑ์ไฟฟ้าและวิทยุ</t>
        </is>
      </c>
      <c r="D6" s="5" t="inlineStr">
        <is>
          <t>เพื่อสนับสนุน</t>
        </is>
      </c>
      <c r="E6" s="10" t="inlineStr">
        <is>
          <t>EE-3</t>
        </is>
      </c>
      <c r="F6" s="6" t="inlineStr">
        <is>
          <t>หม้อแปลงไฟฟ้าขนาดไม่น้อยกว่า 1,000 kVA</t>
        </is>
      </c>
      <c r="G6" s="6" t="inlineStr">
        <is>
          <t>หม้อแปลงขนาด 1,000 kVA พร้อมติดตั้ง อาคารOPD</t>
        </is>
      </c>
      <c r="H6" s="16" t="n">
        <v>1</v>
      </c>
      <c r="I6" s="6" t="inlineStr">
        <is>
          <t>29</t>
        </is>
      </c>
      <c r="J6" s="9" t="n">
        <v>0</v>
      </c>
      <c r="K6" s="9" t="n">
        <v>1</v>
      </c>
      <c r="L6" s="9" t="n">
        <v>0</v>
      </c>
      <c r="M6" s="8">
        <f>IF(AND(J6="",K6="",L6=""),"",N(J6)+N(K6)+N(L6))</f>
        <v/>
      </c>
      <c r="N6" s="9" t="n">
        <v>2000000</v>
      </c>
      <c r="O6" s="8">
        <f>IF(OR(M6="",N6=""),"",M6*N6)</f>
        <v/>
      </c>
      <c r="P6" s="17" t="n"/>
      <c r="Q6" s="6" t="inlineStr">
        <is>
          <t>เพื่อทดแทนเครื่องเดิมที่มีอายุการใช้งาน มากกว่า 30ปี  (หมายเลขครุภัณ์ 3431-002-0004/3(68)ส ปัจจุบันยังใช้งานอยู่)  (อยู่ในงบปี69)</t>
        </is>
      </c>
      <c r="R6" s="10" t="n"/>
    </row>
    <row r="7" ht="36" customHeight="1">
      <c r="A7" s="5" t="n">
        <v>3</v>
      </c>
      <c r="B7" s="6" t="inlineStr">
        <is>
          <t>หมวดครุภัณฑ์ - ครุภัณฑ์ไฟฟ้าและวิทยุ</t>
        </is>
      </c>
      <c r="C7" s="6" t="inlineStr">
        <is>
          <t>ครุภัณฑ์ไฟฟ้าและวิทยุ</t>
        </is>
      </c>
      <c r="D7" s="5" t="inlineStr">
        <is>
          <t>เพื่อสนับสนุน</t>
        </is>
      </c>
      <c r="E7" s="10" t="inlineStr"/>
      <c r="F7" s="6" t="inlineStr">
        <is>
          <t>พัดลมระบายอากาศ ขนาดไม่น้อยกว่า 9,000 CMH พร้อมติดตั้ง</t>
        </is>
      </c>
      <c r="G7" s="6" t="inlineStr">
        <is>
          <t>พัดลมระบายอากาศ ขนาดไม่น้อยกว่า 9,000 CMH พร้อมติดตั้ง</t>
        </is>
      </c>
      <c r="H7" s="16" t="n">
        <v>0</v>
      </c>
      <c r="I7" s="6" t="n"/>
      <c r="J7" s="9" t="n">
        <v>2</v>
      </c>
      <c r="K7" s="9" t="n">
        <v>0</v>
      </c>
      <c r="L7" s="9" t="n">
        <v>0</v>
      </c>
      <c r="M7" s="8">
        <f>IF(AND(J7="",K7="",L7=""),"",N(J7)+N(K7)+N(L7))</f>
        <v/>
      </c>
      <c r="N7" s="9" t="n">
        <v>200000</v>
      </c>
      <c r="O7" s="8">
        <f>IF(OR(M7="",N7=""),"",M7*N7)</f>
        <v/>
      </c>
      <c r="P7" s="17" t="n"/>
      <c r="Q7" s="6" t="inlineStr">
        <is>
          <t>เพื่อรักษาประสิทธิภาพการทำงานของเครื่องปั่นไฟ ไม่ให้มีอากาศภายในร้อนเกินไปจนทำให้เครื่องเกิดความเสียหาย</t>
        </is>
      </c>
      <c r="R7" s="10" t="n"/>
    </row>
    <row r="8" ht="36" customHeight="1">
      <c r="A8" s="5" t="n">
        <v>4</v>
      </c>
      <c r="B8" s="6" t="inlineStr">
        <is>
          <t>หมวดครุภัณฑ์ - ครุภัณฑ์สำนักงาน</t>
        </is>
      </c>
      <c r="C8" s="6" t="inlineStr">
        <is>
          <t>ครุภัณฑ์สำนักงาน</t>
        </is>
      </c>
      <c r="D8" s="5" t="inlineStr">
        <is>
          <t>เพื่อสนับสนุน</t>
        </is>
      </c>
      <c r="E8" s="10" t="inlineStr"/>
      <c r="F8" s="6" t="inlineStr">
        <is>
          <t>เครื่องปรับอากาศ ระบบคอยล์น้ำเย็น ห้องโถงฝั่งห้องตรวจเด็ก ชั้น1 อาคารบ้านคุณพุ่ม</t>
        </is>
      </c>
      <c r="G8" s="6" t="inlineStr">
        <is>
          <t>เครื่องปรับอากาศ ระบบคอยล์น้ำเย็น ห้องโถงฝั่งห้องตรวจเด็ก ชั้น1 อาคารบ้านคุณพุ่ม</t>
        </is>
      </c>
      <c r="H8" s="16" t="n">
        <v>9</v>
      </c>
      <c r="I8" s="6" t="inlineStr">
        <is>
          <t>14</t>
        </is>
      </c>
      <c r="J8" s="9" t="n">
        <v>0</v>
      </c>
      <c r="K8" s="9" t="n">
        <v>9</v>
      </c>
      <c r="L8" s="9" t="n">
        <v>0</v>
      </c>
      <c r="M8" s="8">
        <f>IF(AND(J8="",K8="",L8=""),"",N(J8)+N(K8)+N(L8))</f>
        <v/>
      </c>
      <c r="N8" s="9" t="n">
        <v>55500</v>
      </c>
      <c r="O8" s="8">
        <f>IF(OR(M8="",N8=""),"",M8*N8)</f>
        <v/>
      </c>
      <c r="P8" s="17" t="n"/>
      <c r="Q8" s="6" t="inlineStr">
        <is>
          <t>เนื่องจากเครื่องปรับอากาศมีอายุการใช้งานที่ยาวนาน ทำให้เครื่องทำงานได้ไม่เต็มประสิทธิภาพ ท่อเสื่อมสภาพ ทำให้เกิดปัญหาบ่อย ส่งผลต่อภาพลักษณ์ของโรงพยาบาล</t>
        </is>
      </c>
      <c r="R8" s="10" t="n"/>
    </row>
    <row r="9" ht="36" customHeight="1">
      <c r="A9" s="5" t="n">
        <v>5</v>
      </c>
      <c r="B9" s="6" t="inlineStr">
        <is>
          <t>หมวดครุภัณฑ์ - ครุภัณฑ์สำนักงาน</t>
        </is>
      </c>
      <c r="C9" s="6" t="inlineStr">
        <is>
          <t>ครุภัณฑ์สำนักงาน</t>
        </is>
      </c>
      <c r="D9" s="5" t="inlineStr">
        <is>
          <t>เพื่อสนับสนุน</t>
        </is>
      </c>
      <c r="E9" s="10" t="inlineStr"/>
      <c r="F9" s="6" t="inlineStr">
        <is>
          <t>เครื่องปรับอากาศ ระบบคอยล์น้ำยา ห้องตรวจตา ชั้น4 อาคาร OPD</t>
        </is>
      </c>
      <c r="G9" s="6" t="inlineStr">
        <is>
          <t>เครื่องปรับอากาศ ระบบคอยล์น้ำยา ห้องตรวจตา ชั้น4 อาคาร OPD</t>
        </is>
      </c>
      <c r="H9" s="16" t="n">
        <v>5</v>
      </c>
      <c r="I9" s="6" t="inlineStr">
        <is>
          <t>13</t>
        </is>
      </c>
      <c r="J9" s="9" t="n">
        <v>0</v>
      </c>
      <c r="K9" s="9" t="n">
        <v>5</v>
      </c>
      <c r="L9" s="9" t="n">
        <v>0</v>
      </c>
      <c r="M9" s="8">
        <f>IF(AND(J9="",K9="",L9=""),"",N(J9)+N(K9)+N(L9))</f>
        <v/>
      </c>
      <c r="N9" s="9" t="n">
        <v>70000</v>
      </c>
      <c r="O9" s="8">
        <f>IF(OR(M9="",N9=""),"",M9*N9)</f>
        <v/>
      </c>
      <c r="P9" s="17" t="n"/>
      <c r="Q9" s="6" t="inlineStr">
        <is>
          <t>เนื่องจากเครื่องปรับอากาศมีอายุการใช้งานที่ยาวนาน ทำให้เครื่องทำงานได้ไม่เต็มประสิทธิภาพทำให้เกิดปัญหาบ่อย ส่งผลต่อผู้รับบริการ ส่งผลต่อภาพลักษณ์ของโรงพยาบาล</t>
        </is>
      </c>
      <c r="R9" s="10" t="n"/>
    </row>
    <row r="10" ht="36" customHeight="1">
      <c r="A10" s="5" t="n">
        <v>6</v>
      </c>
      <c r="B10" s="6" t="inlineStr">
        <is>
          <t>หมวดครุภัณฑ์ - ครุภัณฑ์สำนักงาน</t>
        </is>
      </c>
      <c r="C10" s="6" t="inlineStr">
        <is>
          <t>ครุภัณฑ์สำนักงาน</t>
        </is>
      </c>
      <c r="D10" s="5" t="inlineStr">
        <is>
          <t>เพื่อสนับสนุน</t>
        </is>
      </c>
      <c r="E10" s="10" t="inlineStr"/>
      <c r="F10" s="6" t="inlineStr">
        <is>
          <t>เครื่องปรับอากาศ ชนิดคอยล์เปลือย พร้อมติดตั้ง ชั้น2 อาคารหลวงพ่อแช่ม</t>
        </is>
      </c>
      <c r="G10" s="6" t="inlineStr">
        <is>
          <t>เครื่องปรับอากาศ ชนิดคอยล์เปลือย พร้อมติดตั้ง ชั้น2 อาคารหลวงพ่อแช่ม</t>
        </is>
      </c>
      <c r="H10" s="16" t="n">
        <v>18</v>
      </c>
      <c r="I10" s="6" t="inlineStr">
        <is>
          <t>10</t>
        </is>
      </c>
      <c r="J10" s="9" t="n">
        <v>0</v>
      </c>
      <c r="K10" s="9" t="n">
        <v>18</v>
      </c>
      <c r="L10" s="9" t="n">
        <v>0</v>
      </c>
      <c r="M10" s="8">
        <f>IF(AND(J10="",K10="",L10=""),"",N(J10)+N(K10)+N(L10))</f>
        <v/>
      </c>
      <c r="N10" s="9" t="n">
        <v>36500</v>
      </c>
      <c r="O10" s="8">
        <f>IF(OR(M10="",N10=""),"",M10*N10)</f>
        <v/>
      </c>
      <c r="P10" s="17" t="n"/>
      <c r="Q10" s="6" t="inlineStr">
        <is>
          <t>เนื่องจากเครื่องปรับอากาศมีอายุการใช้งานที่ยาวนาน ทำให้เครื่องทำงานได้ไม่เต็มประสิทธิภาพทำให้เกิดปัญหาบ่อย ส่งผลต่อผู้รับบริการ ส่งผลต่อภาพลักษณ์ของโรงพยาบาล</t>
        </is>
      </c>
      <c r="R10" s="10" t="n"/>
    </row>
    <row r="11" ht="36" customHeight="1">
      <c r="A11" s="5" t="n">
        <v>7</v>
      </c>
      <c r="B11" s="6" t="inlineStr">
        <is>
          <t>หมวดครุภัณฑ์ - ครุภัณฑ์สำนักงาน</t>
        </is>
      </c>
      <c r="C11" s="6" t="inlineStr">
        <is>
          <t>ครุภัณฑ์สำนักงาน</t>
        </is>
      </c>
      <c r="D11" s="5" t="inlineStr">
        <is>
          <t>เพื่อสนับสนุน</t>
        </is>
      </c>
      <c r="E11" s="10" t="inlineStr"/>
      <c r="F11" s="6" t="inlineStr">
        <is>
          <t>เครื่องปรับอากาศ ชนิดคอยล์เปลือย พร้อมติดตั้ง ชั้น3 อาคารหลวงพ่อแช่ม</t>
        </is>
      </c>
      <c r="G11" s="6" t="inlineStr">
        <is>
          <t>เครื่องปรับอากาศ ชนิดคอยล์เปลือย พร้อมติดตั้ง ชั้น3 อาคารหลวงพ่อแช่ม</t>
        </is>
      </c>
      <c r="H11" s="16" t="n">
        <v>18</v>
      </c>
      <c r="I11" s="6" t="inlineStr">
        <is>
          <t>10</t>
        </is>
      </c>
      <c r="J11" s="9" t="n">
        <v>0</v>
      </c>
      <c r="K11" s="9" t="n">
        <v>18</v>
      </c>
      <c r="L11" s="9" t="n">
        <v>0</v>
      </c>
      <c r="M11" s="8">
        <f>IF(AND(J11="",K11="",L11=""),"",N(J11)+N(K11)+N(L11))</f>
        <v/>
      </c>
      <c r="N11" s="9" t="n">
        <v>36500</v>
      </c>
      <c r="O11" s="8">
        <f>IF(OR(M11="",N11=""),"",M11*N11)</f>
        <v/>
      </c>
      <c r="P11" s="17" t="n"/>
      <c r="Q11" s="6" t="inlineStr">
        <is>
          <t>เนื่องจากเครื่องปรับอากาศมีอายุการใช้งานที่ยาวนาน ทำให้เครื่องทำงานได้ไม่เต็มประสิทธิภาพทำให้เกิดปัญหาบ่อย ส่งผลต่อผู้รับบริการ ส่งผลต่อภาพลักษณ์ของโรงพยาบาล</t>
        </is>
      </c>
      <c r="R11" s="10" t="n"/>
    </row>
    <row r="12" ht="36" customHeight="1">
      <c r="A12" s="5" t="n">
        <v>8</v>
      </c>
      <c r="B12" s="6" t="inlineStr">
        <is>
          <t>หมวดครุภัณฑ์ - ครุภัณฑ์สำนักงาน</t>
        </is>
      </c>
      <c r="C12" s="6" t="inlineStr">
        <is>
          <t>ครุภัณฑ์สำนักงาน</t>
        </is>
      </c>
      <c r="D12" s="5" t="inlineStr">
        <is>
          <t>เพื่อสนับสนุน</t>
        </is>
      </c>
      <c r="E12" s="10" t="inlineStr"/>
      <c r="F12" s="6" t="inlineStr">
        <is>
          <t>เครื่องปรับอากาศ ชนิดคอยล์เปลือย พร้อมติดตั้ง ชั้น4 อาคารหลวงพ่อแช่ม</t>
        </is>
      </c>
      <c r="G12" s="6" t="inlineStr">
        <is>
          <t>เครื่องปรับอากาศ ชนิดคอยล์เปลือย พร้อมติดตั้ง ชั้น4 อาคารหลวงพ่อแช่ม</t>
        </is>
      </c>
      <c r="H12" s="16" t="n">
        <v>18</v>
      </c>
      <c r="I12" s="6" t="inlineStr">
        <is>
          <t>10</t>
        </is>
      </c>
      <c r="J12" s="9" t="n">
        <v>0</v>
      </c>
      <c r="K12" s="9" t="n">
        <v>18</v>
      </c>
      <c r="L12" s="9" t="n">
        <v>0</v>
      </c>
      <c r="M12" s="8">
        <f>IF(AND(J12="",K12="",L12=""),"",N(J12)+N(K12)+N(L12))</f>
        <v/>
      </c>
      <c r="N12" s="9" t="n">
        <v>36500</v>
      </c>
      <c r="O12" s="8">
        <f>IF(OR(M12="",N12=""),"",M12*N12)</f>
        <v/>
      </c>
      <c r="P12" s="17" t="n"/>
      <c r="Q12" s="6" t="inlineStr">
        <is>
          <t>เนื่องจากเครื่องปรับอากาศมีอายุการใช้งานที่ยาวนาน ทำให้เครื่องทำงานได้ไม่เต็มประสิทธิภาพทำให้เกิดปัญหาบ่อย ส่งผลต่อผู้รับบริการ ส่งผลต่อภาพลักษณ์ของโรงพยาบาล</t>
        </is>
      </c>
      <c r="R12" s="10" t="n"/>
    </row>
    <row r="13" ht="36" customHeight="1">
      <c r="A13" s="5" t="n">
        <v>9</v>
      </c>
      <c r="B13" s="6" t="inlineStr">
        <is>
          <t>หมวดครุภัณฑ์ - ครุภัณฑ์สำนักงาน</t>
        </is>
      </c>
      <c r="C13" s="6" t="inlineStr">
        <is>
          <t>ครุภัณฑ์สำนักงาน</t>
        </is>
      </c>
      <c r="D13" s="5" t="inlineStr">
        <is>
          <t>เพื่อสนับสนุน</t>
        </is>
      </c>
      <c r="E13" s="10" t="inlineStr"/>
      <c r="F13" s="6" t="inlineStr">
        <is>
          <t>เครื่องปรับอากาศ ชนิดคอยล์เปลือย พร้อมติดตั้ง ชั้น5 อาคารหลวงพ่อแช่ม</t>
        </is>
      </c>
      <c r="G13" s="6" t="inlineStr">
        <is>
          <t>เครื่องปรับอากาศ ชนิดคอยล์เปลือย พร้อมติดตั้ง ชั้น5 อาคารหลวงพ่อแช่ม</t>
        </is>
      </c>
      <c r="H13" s="16" t="n">
        <v>18</v>
      </c>
      <c r="I13" s="6" t="inlineStr">
        <is>
          <t>10</t>
        </is>
      </c>
      <c r="J13" s="9" t="n">
        <v>0</v>
      </c>
      <c r="K13" s="9" t="n">
        <v>18</v>
      </c>
      <c r="L13" s="9" t="n">
        <v>0</v>
      </c>
      <c r="M13" s="8">
        <f>IF(AND(J13="",K13="",L13=""),"",N(J13)+N(K13)+N(L13))</f>
        <v/>
      </c>
      <c r="N13" s="9" t="n">
        <v>36500</v>
      </c>
      <c r="O13" s="8">
        <f>IF(OR(M13="",N13=""),"",M13*N13)</f>
        <v/>
      </c>
      <c r="P13" s="17" t="n"/>
      <c r="Q13" s="6" t="inlineStr">
        <is>
          <t>เนื่องจากเครื่องปรับอากาศมีอายุการใช้งานที่ยาวนาน ทำให้เครื่องทำงานได้ไม่เต็มประสิทธิภาพทำให้เกิดปัญหาบ่อย ส่งผลต่อผู้รับบริการ ส่งผลต่อภาพลักษณ์ของโรงพยาบาล</t>
        </is>
      </c>
      <c r="R13" s="10" t="n"/>
    </row>
    <row r="14" ht="36" customHeight="1">
      <c r="A14" s="5" t="n">
        <v>10</v>
      </c>
      <c r="B14" s="6" t="inlineStr">
        <is>
          <t>หมวดครุภัณฑ์ - ครุภัณฑ์สำนักงาน</t>
        </is>
      </c>
      <c r="C14" s="6" t="inlineStr">
        <is>
          <t>ครุภัณฑ์สำนักงาน</t>
        </is>
      </c>
      <c r="D14" s="5" t="inlineStr">
        <is>
          <t>เพื่อสนับสนุน</t>
        </is>
      </c>
      <c r="E14" s="10" t="inlineStr"/>
      <c r="F14" s="6" t="inlineStr">
        <is>
          <t>เครื่องปรับอากาศ ระบบเติมน้ำยา ห้องพักผู้ป่วยสามัญ ชั้น 2-7 +เมนไฟฟ้า อาคารอายุรกรรม (298เตียง) ขนาด 60,000 BTU</t>
        </is>
      </c>
      <c r="G14" s="6" t="inlineStr">
        <is>
          <t>เครื่องปรับอากาศ ระบบเติมน้ำยา ห้องพักผู้ป่วยสามัญ ชั้น 2-7 +เมนไฟฟ้า อาคารอายุรกรรม (298เตียง) ขนาด 60,000 BTU</t>
        </is>
      </c>
      <c r="H14" s="16" t="n">
        <v>0</v>
      </c>
      <c r="I14" s="6" t="n"/>
      <c r="J14" s="9" t="n">
        <v>24</v>
      </c>
      <c r="K14" s="9" t="n">
        <v>0</v>
      </c>
      <c r="L14" s="9" t="n">
        <v>0</v>
      </c>
      <c r="M14" s="8">
        <f>IF(AND(J14="",K14="",L14=""),"",N(J14)+N(K14)+N(L14))</f>
        <v/>
      </c>
      <c r="N14" s="9" t="n">
        <v>110000</v>
      </c>
      <c r="O14" s="8">
        <f>IF(OR(M14="",N14=""),"",M14*N14)</f>
        <v/>
      </c>
      <c r="P14" s="17" t="n"/>
      <c r="Q14" s="6" t="inlineStr">
        <is>
          <t>เพื่อเพิ่มประสิทธิภาพในการให้บริการ</t>
        </is>
      </c>
      <c r="R14" s="10" t="n"/>
    </row>
    <row r="15" ht="36" customHeight="1">
      <c r="A15" s="5" t="n">
        <v>11</v>
      </c>
      <c r="B15" s="6" t="inlineStr">
        <is>
          <t>หมวดครุภัณฑ์ - หมวดครุภัณฑ์วิทยาศาสตร์และการแพทย์</t>
        </is>
      </c>
      <c r="C15" s="6" t="inlineStr">
        <is>
          <t>ครุภัณฑ์การแพทย์</t>
        </is>
      </c>
      <c r="D15" s="5" t="inlineStr">
        <is>
          <t>เพื่อสนับสนุน</t>
        </is>
      </c>
      <c r="E15" s="10" t="inlineStr"/>
      <c r="F15" s="6" t="inlineStr">
        <is>
          <t>เครื่องผลิตอากาศอัดทางการแพทย์ (Air Pump) ขนาด 7.5 kW พร้อมตู้ควบคุม</t>
        </is>
      </c>
      <c r="G15" s="6" t="inlineStr">
        <is>
          <t>เครื่องผลิตอากาศอัดทางการแพทย์ (Air Pump) ขนาด 7.5 kW พร้อมตู้ควบคุม</t>
        </is>
      </c>
      <c r="H15" s="16" t="n">
        <v>3</v>
      </c>
      <c r="I15" s="6" t="inlineStr">
        <is>
          <t>7</t>
        </is>
      </c>
      <c r="J15" s="9" t="n">
        <v>0</v>
      </c>
      <c r="K15" s="9" t="n">
        <v>3</v>
      </c>
      <c r="L15" s="9" t="n">
        <v>0</v>
      </c>
      <c r="M15" s="8">
        <f>IF(AND(J15="",K15="",L15=""),"",N(J15)+N(K15)+N(L15))</f>
        <v/>
      </c>
      <c r="N15" s="9" t="n">
        <v>4000000</v>
      </c>
      <c r="O15" s="8">
        <f>IF(OR(M15="",N15=""),"",M15*N15)</f>
        <v/>
      </c>
      <c r="P15" s="17" t="n"/>
      <c r="Q15" s="6" t="inlineStr">
        <is>
          <t>เครื่องเดิมทำงานได้ไม่เต็มประสิทธิภาพ เครื่องกำลังวัตต์น้อย เมื่อทำการผลิตก๊าซทำให้ปั๊มทำงานหนัก มีความร้อน เกิดเสียงดัง ส่งผลให้ปั๊มเสื่อมประสิทธิภาพเร็ว (เดิม 5kW)</t>
        </is>
      </c>
      <c r="R15" s="10" t="n"/>
    </row>
    <row r="16" ht="36" customHeight="1">
      <c r="A16" s="5" t="n">
        <v>12</v>
      </c>
      <c r="B16" s="6" t="inlineStr">
        <is>
          <t>หมวดครุภัณฑ์ - พักครุภัณฑ์ก่อสร้าง</t>
        </is>
      </c>
      <c r="C16" s="6" t="inlineStr">
        <is>
          <t>ครุภัณฑ์ก่อสร้าง</t>
        </is>
      </c>
      <c r="D16" s="5" t="inlineStr">
        <is>
          <t>เพื่อสนับสนุน</t>
        </is>
      </c>
      <c r="E16" s="10" t="inlineStr"/>
      <c r="F16" s="6" t="inlineStr">
        <is>
          <t>ถังสำรองน้ำบนดิน ขนาด 60,000 ลิตร พร้อมติดตั้ง</t>
        </is>
      </c>
      <c r="G16" s="6" t="inlineStr">
        <is>
          <t>ถังสำรองน้ำบนดิน ขนาด 60,000 ลิตร พร้อมติดตั้ง</t>
        </is>
      </c>
      <c r="H16" s="16" t="n">
        <v>0</v>
      </c>
      <c r="I16" s="6" t="n"/>
      <c r="J16" s="9" t="n">
        <v>0</v>
      </c>
      <c r="K16" s="9" t="n">
        <v>0</v>
      </c>
      <c r="L16" s="9" t="n">
        <v>2</v>
      </c>
      <c r="M16" s="8">
        <f>IF(AND(J16="",K16="",L16=""),"",N(J16)+N(K16)+N(L16))</f>
        <v/>
      </c>
      <c r="N16" s="9" t="n">
        <v>500000</v>
      </c>
      <c r="O16" s="8">
        <f>IF(OR(M16="",N16=""),"",M16*N16)</f>
        <v/>
      </c>
      <c r="P16" s="17" t="n"/>
      <c r="Q16" s="6" t="inlineStr">
        <is>
          <t>เพื่อไว้สำหรับกักเก็บน้ำเพิ่มขึ้น ด้วยปริมาณอาคารที่เพิ่มมากขึ้น และรพ.มีความจำกัดเรื่องพื้นที่</t>
        </is>
      </c>
      <c r="R16" s="10" t="n"/>
    </row>
    <row r="17" ht="36" customHeight="1">
      <c r="A17" s="5" t="n">
        <v>13</v>
      </c>
      <c r="B17" s="6" t="inlineStr">
        <is>
          <t>หมวดครุภัณฑ์ - ครุภัณฑ์สำนักงาน</t>
        </is>
      </c>
      <c r="C17" s="6" t="inlineStr">
        <is>
          <t>ครุภัณฑ์สำนักงาน</t>
        </is>
      </c>
      <c r="D17" s="5" t="inlineStr">
        <is>
          <t>เพื่อสนับสนุน</t>
        </is>
      </c>
      <c r="E17" s="10" t="inlineStr"/>
      <c r="F17" s="6" t="inlineStr">
        <is>
          <t>เครื่องปรับอากาศ ชนิดติดฝาผนัง ขนาด 18000BTU (ชั้น2/6เครื่อง, ชั้น3/5เครื่อง) พร้อมติดตั้ง</t>
        </is>
      </c>
      <c r="G17" s="6" t="inlineStr">
        <is>
          <t>เครื่องปรับอากาศ ชนิดติดฝาผนัง ขนาด 18000BTU (ชั้น2/6เครื่อง, ชั้น3/5เครื่อง) พร้อมติดตั้ง</t>
        </is>
      </c>
      <c r="H17" s="16" t="n">
        <v>11</v>
      </c>
      <c r="I17" s="6" t="inlineStr">
        <is>
          <t>10</t>
        </is>
      </c>
      <c r="J17" s="9" t="n">
        <v>0</v>
      </c>
      <c r="K17" s="9" t="n">
        <v>11</v>
      </c>
      <c r="L17" s="9" t="n">
        <v>0</v>
      </c>
      <c r="M17" s="8">
        <f>IF(AND(J17="",K17="",L17=""),"",N(J17)+N(K17)+N(L17))</f>
        <v/>
      </c>
      <c r="N17" s="9" t="n">
        <v>23000</v>
      </c>
      <c r="O17" s="8">
        <f>IF(OR(M17="",N17=""),"",M17*N17)</f>
        <v/>
      </c>
      <c r="P17" s="17" t="n"/>
      <c r="Q17" s="6" t="inlineStr">
        <is>
          <t>เนื่องจากเครื่องปรับอากาศมีอายุการใช้งานที่ยาวนาน ทำให้เครื่องทำงานได้ไม่เต็มประสิทธิภาพทำให้เกิดปัญหาบ่อย ส่งผลต่อผู้รับบริการ ส่งผลต่อภาพลักษณ์ของโรงพยาบาล</t>
        </is>
      </c>
      <c r="R17" s="10" t="n"/>
    </row>
    <row r="18" ht="36" customHeight="1">
      <c r="A18" s="5" t="n">
        <v>14</v>
      </c>
      <c r="B18" s="6" t="inlineStr">
        <is>
          <t>หมวดครุภัณฑ์ - พักครุภัณฑ์ก่อสร้าง</t>
        </is>
      </c>
      <c r="C18" s="6" t="inlineStr">
        <is>
          <t>ครุภัณฑ์ก่อสร้าง</t>
        </is>
      </c>
      <c r="D18" s="5" t="inlineStr">
        <is>
          <t>เพื่อสนับสนุน</t>
        </is>
      </c>
      <c r="E18" s="10" t="inlineStr"/>
      <c r="F18" s="6" t="inlineStr">
        <is>
          <t>ลิฟต์เตียงคนไข้ขนาด 1,000 กก. พร้อมติดตั้ง บริเวณทางเดินเชื่อมศูนย์แพทย์</t>
        </is>
      </c>
      <c r="G18" s="6" t="inlineStr">
        <is>
          <t>ลิฟต์เตียงคนไข้ขนาด 1,000 กก. พร้อมติดตั้ง บริเวณทางเดินเชื่อมศูนย์แพทย์</t>
        </is>
      </c>
      <c r="H18" s="16" t="n">
        <v>3</v>
      </c>
      <c r="I18" s="6" t="inlineStr">
        <is>
          <t>13</t>
        </is>
      </c>
      <c r="J18" s="9" t="n">
        <v>0</v>
      </c>
      <c r="K18" s="9" t="n">
        <v>1</v>
      </c>
      <c r="L18" s="9" t="n">
        <v>0</v>
      </c>
      <c r="M18" s="8">
        <f>IF(AND(J18="",K18="",L18=""),"",N(J18)+N(K18)+N(L18))</f>
        <v/>
      </c>
      <c r="N18" s="9" t="n">
        <v>1600000</v>
      </c>
      <c r="O18" s="8">
        <f>IF(OR(M18="",N18=""),"",M18*N18)</f>
        <v/>
      </c>
      <c r="P18" s="17" t="n"/>
      <c r="Q18" s="6" t="inlineStr">
        <is>
          <t>ทดแทนลิฟต์หมายเลข 1 ที่แทงจำหน่าย</t>
        </is>
      </c>
      <c r="R18" s="10" t="n"/>
    </row>
    <row r="19" ht="36" customHeight="1">
      <c r="A19" s="5" t="n">
        <v>15</v>
      </c>
      <c r="B19" s="6" t="inlineStr">
        <is>
          <t>หมวดครุภัณฑ์ - ครุภัณฑ์คอมพิวเตอร์</t>
        </is>
      </c>
      <c r="C19" s="6" t="inlineStr">
        <is>
          <t>ครุภัณฑ์คอมพิวเตอร์</t>
        </is>
      </c>
      <c r="D19" s="5" t="inlineStr">
        <is>
          <t>เพื่อสนับสนุน</t>
        </is>
      </c>
      <c r="E19" s="10" t="inlineStr"/>
      <c r="F19" s="6" t="inlineStr">
        <is>
          <t>เครื่องคอมพิวเตอร์ตั้งโต๊ะ ขนาด 29 นิ้ว</t>
        </is>
      </c>
      <c r="G19" s="6" t="inlineStr">
        <is>
          <t>เครื่องคอมพิวเตอร์ตั้งโต๊ะ ขนาด 29 นิ้ว</t>
        </is>
      </c>
      <c r="H19" s="16" t="n">
        <v>0</v>
      </c>
      <c r="I19" s="6" t="n"/>
      <c r="J19" s="9" t="n">
        <v>1</v>
      </c>
      <c r="K19" s="9" t="n">
        <v>0</v>
      </c>
      <c r="L19" s="9" t="n">
        <v>0</v>
      </c>
      <c r="M19" s="8">
        <f>IF(AND(J19="",K19="",L19=""),"",N(J19)+N(K19)+N(L19))</f>
        <v/>
      </c>
      <c r="N19" s="9" t="n">
        <v>25000</v>
      </c>
      <c r="O19" s="8">
        <f>IF(OR(M19="",N19=""),"",M19*N19)</f>
        <v/>
      </c>
      <c r="P19" s="17" t="n"/>
      <c r="Q19" s="6" t="inlineStr">
        <is>
          <t>ใช้สำหรับดูแบบ จัดทำเอกสารเกี่ยวกับงานช่าง และจัดเก็บเอกสารงานโครงสร้าง</t>
        </is>
      </c>
      <c r="R19" s="10" t="n"/>
    </row>
    <row r="20" ht="36" customHeight="1">
      <c r="A20" s="5" t="n">
        <v>16</v>
      </c>
      <c r="B20" s="6" t="inlineStr">
        <is>
          <t>หมวดครุภัณฑ์ - พักครุภัณฑ์ก่อสร้าง</t>
        </is>
      </c>
      <c r="C20" s="6" t="inlineStr">
        <is>
          <t>ครุภัณฑ์ก่อสร้าง</t>
        </is>
      </c>
      <c r="D20" s="5" t="inlineStr">
        <is>
          <t>เพื่อสนับสนุน</t>
        </is>
      </c>
      <c r="E20" s="10" t="inlineStr"/>
      <c r="F20" s="6" t="inlineStr">
        <is>
          <t>เครื่องทะลวงท่อแรงดันลม (ปืนยิงโถชักโครก/ท่อน้ำทิ้ง)</t>
        </is>
      </c>
      <c r="G20" s="6" t="inlineStr">
        <is>
          <t>เครื่องทะลวงท่อแรงดันลม (ปืนยิงโถชักโครก/ท่อน้ำทิ้ง)</t>
        </is>
      </c>
      <c r="H20" s="16" t="n">
        <v>2</v>
      </c>
      <c r="I20" s="6" t="inlineStr">
        <is>
          <t>8</t>
        </is>
      </c>
      <c r="J20" s="9" t="n">
        <v>2</v>
      </c>
      <c r="K20" s="9" t="n">
        <v>0</v>
      </c>
      <c r="L20" s="9" t="n">
        <v>0</v>
      </c>
      <c r="M20" s="8">
        <f>IF(AND(J20="",K20="",L20=""),"",N(J20)+N(K20)+N(L20))</f>
        <v/>
      </c>
      <c r="N20" s="9" t="n">
        <v>50000</v>
      </c>
      <c r="O20" s="8">
        <f>IF(OR(M20="",N20=""),"",M20*N20)</f>
        <v/>
      </c>
      <c r="P20" s="17" t="n"/>
      <c r="Q20" s="6" t="inlineStr">
        <is>
          <t>ไม่เพียงพอในการใช้งาน เครื่องเก่าแรงอัดไม่ดี เสื่อมสภาพ</t>
        </is>
      </c>
      <c r="R20" s="10" t="n"/>
    </row>
    <row r="21" ht="36" customHeight="1">
      <c r="A21" s="5" t="n">
        <v>17</v>
      </c>
      <c r="B21" s="6" t="inlineStr">
        <is>
          <t>หมวดครุภัณฑ์ - พักครุภัณฑ์ก่อสร้าง</t>
        </is>
      </c>
      <c r="C21" s="6" t="inlineStr">
        <is>
          <t>ครุภัณฑ์ก่อสร้าง</t>
        </is>
      </c>
      <c r="D21" s="5" t="inlineStr">
        <is>
          <t>เพื่อสนับสนุน</t>
        </is>
      </c>
      <c r="E21" s="10" t="inlineStr"/>
      <c r="F21" s="6" t="inlineStr">
        <is>
          <t>ปั้มเติมคลอรีน ขนาด 10Bar</t>
        </is>
      </c>
      <c r="G21" s="6" t="inlineStr">
        <is>
          <t>ปั้มเติมคลอรีน ขนาด 10Bar</t>
        </is>
      </c>
      <c r="H21" s="16" t="n">
        <v>1</v>
      </c>
      <c r="I21" s="6" t="inlineStr">
        <is>
          <t>4</t>
        </is>
      </c>
      <c r="J21" s="9" t="n">
        <v>0</v>
      </c>
      <c r="K21" s="9" t="n">
        <v>0</v>
      </c>
      <c r="L21" s="9" t="n">
        <v>2</v>
      </c>
      <c r="M21" s="8">
        <f>IF(AND(J21="",K21="",L21=""),"",N(J21)+N(K21)+N(L21))</f>
        <v/>
      </c>
      <c r="N21" s="9" t="n">
        <v>25000</v>
      </c>
      <c r="O21" s="8">
        <f>IF(OR(M21="",N21=""),"",M21*N21)</f>
        <v/>
      </c>
      <c r="P21" s="17" t="n"/>
      <c r="Q21" s="6" t="inlineStr">
        <is>
          <t>เพื่อทดแทนเครื่องเก่าที่แทนจำหน่าย1 เครื่องและสำรอง 1 เครื่อง</t>
        </is>
      </c>
      <c r="R21" s="10" t="n"/>
    </row>
    <row r="22" ht="36" customHeight="1">
      <c r="A22" s="5" t="n">
        <v>18</v>
      </c>
      <c r="B22" s="6" t="inlineStr">
        <is>
          <t>หมวดครุภัณฑ์ - พักครุภัณฑ์ก่อสร้าง</t>
        </is>
      </c>
      <c r="C22" s="6" t="inlineStr">
        <is>
          <t>ครุภัณฑ์ก่อสร้าง</t>
        </is>
      </c>
      <c r="D22" s="5" t="inlineStr">
        <is>
          <t>เพื่อสนับสนุน</t>
        </is>
      </c>
      <c r="E22" s="10" t="inlineStr"/>
      <c r="F22" s="6" t="inlineStr">
        <is>
          <t>ปั้มไดโว่สูบน้ำ ขนาด 2นิ้ว (แบบไม่ลูกลอย)</t>
        </is>
      </c>
      <c r="G22" s="6" t="inlineStr">
        <is>
          <t>ปั้มไดโว่สูบน้ำ ขนาด 2นิ้ว (แบบไม่ลูกลอย)</t>
        </is>
      </c>
      <c r="H22" s="16" t="n">
        <v>2</v>
      </c>
      <c r="I22" s="6" t="inlineStr">
        <is>
          <t>5</t>
        </is>
      </c>
      <c r="J22" s="9" t="n">
        <v>0</v>
      </c>
      <c r="K22" s="9" t="n">
        <v>0</v>
      </c>
      <c r="L22" s="9" t="n">
        <v>1</v>
      </c>
      <c r="M22" s="8">
        <f>IF(AND(J22="",K22="",L22=""),"",N(J22)+N(K22)+N(L22))</f>
        <v/>
      </c>
      <c r="N22" s="9" t="n">
        <v>14000</v>
      </c>
      <c r="O22" s="8">
        <f>IF(OR(M22="",N22=""),"",M22*N22)</f>
        <v/>
      </c>
      <c r="P22" s="17" t="n"/>
      <c r="Q22" s="6" t="inlineStr">
        <is>
          <t>เพื่อสำรองใช้ในกรณีฉุกเฉิน (ใช้ในบริเวณน้ำตื้น)</t>
        </is>
      </c>
      <c r="R22" s="10" t="n"/>
    </row>
    <row r="23" ht="36" customHeight="1">
      <c r="A23" s="5" t="n">
        <v>19</v>
      </c>
      <c r="B23" s="6" t="inlineStr">
        <is>
          <t>หมวดครุภัณฑ์ - พักครุภัณฑ์ก่อสร้าง</t>
        </is>
      </c>
      <c r="C23" s="6" t="inlineStr">
        <is>
          <t>ครุภัณฑ์ก่อสร้าง</t>
        </is>
      </c>
      <c r="D23" s="5" t="inlineStr">
        <is>
          <t>เพื่อสนับสนุน</t>
        </is>
      </c>
      <c r="E23" s="10" t="inlineStr"/>
      <c r="F23" s="6" t="inlineStr">
        <is>
          <t>ปั้มไดโว่สูบน้ำ ขนาด 2นิ้ว (แบบมีลูกลอย)</t>
        </is>
      </c>
      <c r="G23" s="6" t="inlineStr">
        <is>
          <t>ปั้มไดโว่สูบน้ำ ขนาด 2นิ้ว (แบบมีลูกลอย)</t>
        </is>
      </c>
      <c r="H23" s="16" t="n">
        <v>0</v>
      </c>
      <c r="I23" s="6" t="n"/>
      <c r="J23" s="9" t="n">
        <v>1</v>
      </c>
      <c r="K23" s="9" t="n">
        <v>0</v>
      </c>
      <c r="L23" s="9" t="n">
        <v>0</v>
      </c>
      <c r="M23" s="8">
        <f>IF(AND(J23="",K23="",L23=""),"",N(J23)+N(K23)+N(L23))</f>
        <v/>
      </c>
      <c r="N23" s="9" t="n">
        <v>11000</v>
      </c>
      <c r="O23" s="8">
        <f>IF(OR(M23="",N23=""),"",M23*N23)</f>
        <v/>
      </c>
      <c r="P23" s="17" t="n"/>
      <c r="Q23" s="6" t="inlineStr">
        <is>
          <t>เพื่อสำรองใช้ในกรณีฉุกเฉิน (ใช้ในบริเวณน้ำลึก)</t>
        </is>
      </c>
      <c r="R23" s="10" t="n"/>
    </row>
    <row r="24" ht="36" customHeight="1">
      <c r="A24" s="5" t="n">
        <v>20</v>
      </c>
      <c r="B24" s="6" t="inlineStr">
        <is>
          <t>หมวดครุภัณฑ์ - พักครุภัณฑ์ก่อสร้าง</t>
        </is>
      </c>
      <c r="C24" s="6" t="inlineStr">
        <is>
          <t>ครุภัณฑ์ก่อสร้าง</t>
        </is>
      </c>
      <c r="D24" s="5" t="inlineStr">
        <is>
          <t>เพื่อสนับสนุน</t>
        </is>
      </c>
      <c r="E24" s="10" t="inlineStr"/>
      <c r="F24" s="6" t="inlineStr">
        <is>
          <t>เครื่องเลื่อยวงเดือนไร้สาย ขนาด 6 นิ้ว พร้อมแบตเตอรี่</t>
        </is>
      </c>
      <c r="G24" s="6" t="inlineStr">
        <is>
          <t>เครื่องเลื่อยวงเดือนไร้สาย ขนาด 6 นิ้ว พร้อมแบตเตอรี่</t>
        </is>
      </c>
      <c r="H24" s="16" t="n">
        <v>0</v>
      </c>
      <c r="I24" s="6" t="n"/>
      <c r="J24" s="9" t="n">
        <v>1</v>
      </c>
      <c r="K24" s="9" t="n">
        <v>0</v>
      </c>
      <c r="L24" s="9" t="n">
        <v>0</v>
      </c>
      <c r="M24" s="8">
        <f>IF(AND(J24="",K24="",L24=""),"",N(J24)+N(K24)+N(L24))</f>
        <v/>
      </c>
      <c r="N24" s="9" t="n">
        <v>25000</v>
      </c>
      <c r="O24" s="8">
        <f>IF(OR(M24="",N24=""),"",M24*N24)</f>
        <v/>
      </c>
      <c r="P24" s="17" t="n"/>
      <c r="Q24" s="6" t="inlineStr">
        <is>
          <t>เพื่อสะดวกแก่การใช้งาน และใช้ในพื้นที่บริเวณที่จำกัด (ปัจจุบันมีแบบมีสาย 2 ตัว) อายุการใช้งานมากกว่า10ปี</t>
        </is>
      </c>
      <c r="R24" s="10" t="n"/>
    </row>
    <row r="25" ht="36" customHeight="1">
      <c r="A25" s="5" t="n">
        <v>21</v>
      </c>
      <c r="B25" s="6" t="inlineStr">
        <is>
          <t>หมวดครุภัณฑ์ - พักครุภัณฑ์ก่อสร้าง</t>
        </is>
      </c>
      <c r="C25" s="6" t="inlineStr">
        <is>
          <t>ครุภัณฑ์ก่อสร้าง</t>
        </is>
      </c>
      <c r="D25" s="5" t="inlineStr">
        <is>
          <t>เพื่อสนับสนุน</t>
        </is>
      </c>
      <c r="E25" s="10" t="inlineStr"/>
      <c r="F25" s="6" t="inlineStr">
        <is>
          <t>เครื่องเจียรไร้สาย</t>
        </is>
      </c>
      <c r="G25" s="6" t="inlineStr">
        <is>
          <t>เครื่องเจียรไร้สาย</t>
        </is>
      </c>
      <c r="H25" s="16" t="n">
        <v>0</v>
      </c>
      <c r="I25" s="6" t="n"/>
      <c r="J25" s="9" t="n">
        <v>1</v>
      </c>
      <c r="K25" s="9" t="n">
        <v>0</v>
      </c>
      <c r="L25" s="9" t="n">
        <v>0</v>
      </c>
      <c r="M25" s="8">
        <f>IF(AND(J25="",K25="",L25=""),"",N(J25)+N(K25)+N(L25))</f>
        <v/>
      </c>
      <c r="N25" s="9" t="n">
        <v>14000</v>
      </c>
      <c r="O25" s="8">
        <f>IF(OR(M25="",N25=""),"",M25*N25)</f>
        <v/>
      </c>
      <c r="P25" s="17" t="n"/>
      <c r="Q25" s="6" t="inlineStr">
        <is>
          <t>เพื่อสะดวกแก่การใช้งาน และใช้ในพื้นที่บริเวณที่จำกัด (ปัจจุบันมีแบบมีสาย 2 ตัว) อายุการใช้งานมากกว่า10ปี</t>
        </is>
      </c>
      <c r="R25" s="10" t="n"/>
    </row>
    <row r="26" ht="36" customHeight="1">
      <c r="A26" s="5" t="n">
        <v>22</v>
      </c>
      <c r="B26" s="6" t="inlineStr">
        <is>
          <t>หมวดครุภัณฑ์ - พักครุภัณฑ์ก่อสร้าง</t>
        </is>
      </c>
      <c r="C26" s="6" t="inlineStr">
        <is>
          <t>ครุภัณฑ์ก่อสร้าง</t>
        </is>
      </c>
      <c r="D26" s="5" t="inlineStr">
        <is>
          <t>เพื่อสนับสนุน</t>
        </is>
      </c>
      <c r="E26" s="10" t="inlineStr"/>
      <c r="F26" s="6" t="inlineStr">
        <is>
          <t>กบไสไม้ไร้สาย</t>
        </is>
      </c>
      <c r="G26" s="6" t="inlineStr">
        <is>
          <t>กบไสไม้ไร้สาย</t>
        </is>
      </c>
      <c r="H26" s="16" t="n">
        <v>0</v>
      </c>
      <c r="I26" s="6" t="n"/>
      <c r="J26" s="9" t="n">
        <v>1</v>
      </c>
      <c r="K26" s="9" t="n">
        <v>0</v>
      </c>
      <c r="L26" s="9" t="n">
        <v>0</v>
      </c>
      <c r="M26" s="8">
        <f>IF(AND(J26="",K26="",L26=""),"",N(J26)+N(K26)+N(L26))</f>
        <v/>
      </c>
      <c r="N26" s="9" t="n">
        <v>15550</v>
      </c>
      <c r="O26" s="8">
        <f>IF(OR(M26="",N26=""),"",M26*N26)</f>
        <v/>
      </c>
      <c r="P26" s="17" t="n"/>
      <c r="Q26" s="6" t="inlineStr">
        <is>
          <t>เพื่อสะดวกแก่การใช้งาน และใช้ในพื้นที่บริเวณที่จำกัด (ปัจจุบันมีแบบมีสาย 1 ตัว) อายุการใช้งานมากกว่า10ปี</t>
        </is>
      </c>
      <c r="R26" s="10" t="n"/>
    </row>
    <row r="27" ht="36" customHeight="1">
      <c r="A27" s="5" t="n">
        <v>23</v>
      </c>
      <c r="B27" s="6" t="inlineStr">
        <is>
          <t>หมวดครุภัณฑ์ - พักครุภัณฑ์ก่อสร้าง</t>
        </is>
      </c>
      <c r="C27" s="6" t="inlineStr">
        <is>
          <t>ครุภัณฑ์ก่อสร้าง</t>
        </is>
      </c>
      <c r="D27" s="5" t="inlineStr">
        <is>
          <t>เพื่อสนับสนุน</t>
        </is>
      </c>
      <c r="E27" s="10" t="inlineStr"/>
      <c r="F27" s="6" t="inlineStr">
        <is>
          <t>เครื่องยิงตะปูลม แบบขาคู่</t>
        </is>
      </c>
      <c r="G27" s="6" t="inlineStr">
        <is>
          <t>เครื่องยิงตะปูลม แบบขาคู่</t>
        </is>
      </c>
      <c r="H27" s="16" t="n">
        <v>0</v>
      </c>
      <c r="I27" s="6" t="n"/>
      <c r="J27" s="9" t="n">
        <v>1</v>
      </c>
      <c r="K27" s="9" t="n">
        <v>0</v>
      </c>
      <c r="L27" s="9" t="n">
        <v>0</v>
      </c>
      <c r="M27" s="8">
        <f>IF(AND(J27="",K27="",L27=""),"",N(J27)+N(K27)+N(L27))</f>
        <v/>
      </c>
      <c r="N27" s="9" t="n">
        <v>1300</v>
      </c>
      <c r="O27" s="8">
        <f>IF(OR(M27="",N27=""),"",M27*N27)</f>
        <v/>
      </c>
      <c r="P27" s="17" t="n"/>
      <c r="Q27" s="6" t="inlineStr">
        <is>
          <t>เพื่อสะดวกแก่การใช้งาน และใช้ในพื้นที่บริเวณที่จำกัด (ปัจจุบันมีแบบขาเดี่ยว 1 ตัว) อายุการใช้งานมากกว่า5ปี</t>
        </is>
      </c>
      <c r="R27" s="10" t="n"/>
    </row>
    <row r="28" ht="36" customHeight="1">
      <c r="A28" s="5" t="n">
        <v>24</v>
      </c>
      <c r="B28" s="6" t="inlineStr">
        <is>
          <t>หมวดครุภัณฑ์ - พักครุภัณฑ์ก่อสร้าง</t>
        </is>
      </c>
      <c r="C28" s="6" t="inlineStr">
        <is>
          <t>ครุภัณฑ์ก่อสร้าง</t>
        </is>
      </c>
      <c r="D28" s="5" t="inlineStr">
        <is>
          <t>เพื่อสนับสนุน</t>
        </is>
      </c>
      <c r="E28" s="10" t="inlineStr"/>
      <c r="F28" s="6" t="inlineStr">
        <is>
          <t>สว่านโรตารี่ไร้สาย 18V พร้อมแบตเตอรี่</t>
        </is>
      </c>
      <c r="G28" s="6" t="inlineStr">
        <is>
          <t>สว่านโรตารี่ไร้สาย 18V พร้อมแบตเตอรี่</t>
        </is>
      </c>
      <c r="H28" s="16" t="n">
        <v>0</v>
      </c>
      <c r="I28" s="6" t="n"/>
      <c r="J28" s="9" t="n">
        <v>0</v>
      </c>
      <c r="K28" s="9" t="n">
        <v>0</v>
      </c>
      <c r="L28" s="9" t="n">
        <v>1</v>
      </c>
      <c r="M28" s="8">
        <f>IF(AND(J28="",K28="",L28=""),"",N(J28)+N(K28)+N(L28))</f>
        <v/>
      </c>
      <c r="N28" s="9" t="n">
        <v>17500</v>
      </c>
      <c r="O28" s="8">
        <f>IF(OR(M28="",N28=""),"",M28*N28)</f>
        <v/>
      </c>
      <c r="P28" s="17" t="n"/>
      <c r="Q28" s="6" t="inlineStr">
        <is>
          <t>เพื่อสะดวกแก่การใช้งาน ปัจจุบันมีไม่เพียงพอและปริมาณงานเยอะขึ้น</t>
        </is>
      </c>
      <c r="R28" s="10" t="n"/>
    </row>
    <row r="29" ht="36" customHeight="1">
      <c r="A29" s="5" t="n">
        <v>25</v>
      </c>
      <c r="B29" s="6" t="inlineStr">
        <is>
          <t>หมวดครุภัณฑ์ - พักครุภัณฑ์ก่อสร้าง</t>
        </is>
      </c>
      <c r="C29" s="6" t="inlineStr">
        <is>
          <t>ครุภัณฑ์ก่อสร้าง</t>
        </is>
      </c>
      <c r="D29" s="5" t="inlineStr">
        <is>
          <t>เพื่อสนับสนุน</t>
        </is>
      </c>
      <c r="E29" s="10" t="inlineStr"/>
      <c r="F29" s="6" t="inlineStr">
        <is>
          <t>สว่านกระแทกไร้สาย 18V พร้อมแบตเตอรี่</t>
        </is>
      </c>
      <c r="G29" s="6" t="inlineStr">
        <is>
          <t>สว่านกระแทกไร้สาย 18V พร้อมแบตเตอรี่</t>
        </is>
      </c>
      <c r="H29" s="16" t="n">
        <v>0</v>
      </c>
      <c r="I29" s="6" t="n"/>
      <c r="J29" s="9" t="n">
        <v>0</v>
      </c>
      <c r="K29" s="9" t="n">
        <v>0</v>
      </c>
      <c r="L29" s="9" t="n">
        <v>1</v>
      </c>
      <c r="M29" s="8">
        <f>IF(AND(J29="",K29="",L29=""),"",N(J29)+N(K29)+N(L29))</f>
        <v/>
      </c>
      <c r="N29" s="9" t="n">
        <v>13500</v>
      </c>
      <c r="O29" s="8">
        <f>IF(OR(M29="",N29=""),"",M29*N29)</f>
        <v/>
      </c>
      <c r="P29" s="17" t="n"/>
      <c r="Q29" s="6" t="inlineStr">
        <is>
          <t>เพื่อสะดวกแก่การใช้งาน ปัจจุบันมีไม่เพียงพอและปริมาณงานเยอะขึ้น</t>
        </is>
      </c>
      <c r="R29" s="10" t="n"/>
    </row>
    <row r="30">
      <c r="A30" s="11" t="inlineStr">
        <is>
          <t>รวม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8">
        <f>SUM(O5:O29)</f>
        <v/>
      </c>
      <c r="P30" s="11" t="n"/>
      <c r="Q30" s="11" t="n"/>
      <c r="R30" s="11" t="n"/>
    </row>
    <row r="31" ht="48" customHeight="1">
      <c r="A31" s="3" t="inlineStr">
        <is>
          <t>ส่งออกจากฐาน VPK-S1 วันที่ 12 ต.ค. 2569 · 15.กลุ่มงานโครงสร้าง.xls · แบบฟอร์มครุภัณฑ์ และต่ำกว่าแสน · ช่องเหลืองกรอกหรือแก้ได้ ช่องเขียวเป็นสูตร จำนวนที่ขอตั้ง = ขอซื้อใหม่ + ขอทดแทน + ขอเพิ่ม งบประมาณที่ขอ = จำนวนที่ขอตั้ง × ราคาต่อหน่วย ผลยืนยันเลือก ถูกต้อง / ต้องแก้ไข / ยังไม่ครบ / ข้าม</t>
        </is>
      </c>
    </row>
  </sheetData>
  <autoFilter ref="A4:R29"/>
  <mergeCells count="4">
    <mergeCell ref="A30:L30"/>
    <mergeCell ref="A2:R2"/>
    <mergeCell ref="A31:R31"/>
    <mergeCell ref="A1:R1"/>
  </mergeCells>
  <dataValidations count="1">
    <dataValidation sqref="R5:R29" showDropDown="0" showInputMessage="0" showErrorMessage="1" allowBlank="1" errorTitle="ผลยืนยัน" error="เลือก ถูกต้อง, ต้องแก้ไข, ยังไม่ครบ หรือ ข้าม" type="list">
      <formula1>"ถูกต้อง,ต้องแก้ไข,ยังไม่ครบ,ข้าม"</formula1>
    </dataValidation>
  </dataValidations>
  <pageMargins left="0.4" right="0.4" top="0.6" bottom="0.5" header="0.5" footer="0.5"/>
  <pageSetup orientation="landscape" paperSize="9" fitToHeight="0" fitToWidth="1"/>
  <headerFooter>
    <oddHeader>&amp;Lโรงพยาบาลวชิระภูเก็ต</oddHeader>
    <oddFooter>&amp;Rหน้า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F7A72"/>
    <outlinePr summaryBelow="1" summaryRight="1"/>
    <pageSetUpPr fitToPage="1"/>
  </sheetPr>
  <dimension ref="A1:R2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18" customWidth="1" min="4" max="4"/>
    <col width="14" customWidth="1" min="5" max="5"/>
    <col width="46" customWidth="1" min="6" max="6"/>
    <col width="46" customWidth="1" min="7" max="7"/>
    <col width="16" customWidth="1" min="8" max="8"/>
    <col width="14" customWidth="1" min="9" max="9"/>
    <col width="13" customWidth="1" min="10" max="10"/>
    <col width="12" customWidth="1" min="11" max="11"/>
    <col width="12" customWidth="1" min="12" max="12"/>
    <col width="16" customWidth="1" min="13" max="13"/>
    <col width="16" customWidth="1" min="14" max="14"/>
    <col width="18" customWidth="1" min="15" max="15"/>
    <col width="18" customWidth="1" min="16" max="16"/>
    <col width="42" customWidth="1" min="17" max="17"/>
    <col width="16" customWidth="1" min="18" max="18"/>
  </cols>
  <sheetData>
    <row r="1" ht="26" customHeight="1">
      <c r="A1" s="1" t="inlineStr">
        <is>
          <t>โรงพยาบาลวชิระภูเก็ต · คำของบครุภัณฑ์ ปี 2570 · กลุ่มงาน กุมารเวชกรรม</t>
        </is>
      </c>
    </row>
    <row r="2" ht="22" customHeight="1">
      <c r="A2" s="12" t="inlineStr">
        <is>
          <t>เลขที่เอกสาร  DBR/2570/0033    หน่วยงาน  กลุ่มงาน กุมารเวชกรรม    แหล่งเงิน  เงินบำรุง    ปีงบประมาณ  2570    สถานะ  ฉบับร่าง</t>
        </is>
      </c>
    </row>
    <row r="3">
      <c r="A3" s="13" t="inlineStr">
        <is>
          <t>ยอดในระบบ</t>
        </is>
      </c>
      <c r="B3" s="14" t="n">
        <v>14162390</v>
      </c>
      <c r="C3" s="13" t="inlineStr">
        <is>
          <t>ผลต่างจากรายการ</t>
        </is>
      </c>
      <c r="D3" s="15">
        <f>O27-B3</f>
        <v/>
      </c>
    </row>
    <row r="4" ht="34" customHeight="1">
      <c r="A4" s="4" t="inlineStr">
        <is>
          <t>ลำดับ</t>
        </is>
      </c>
      <c r="B4" s="4" t="inlineStr">
        <is>
          <t>หมวดงบประมาณ</t>
        </is>
      </c>
      <c r="C4" s="4" t="inlineStr">
        <is>
          <t>กลุ่มครุภัณฑ์</t>
        </is>
      </c>
      <c r="D4" s="4" t="inlineStr">
        <is>
          <t>ประเภทครุภัณฑ์</t>
        </is>
      </c>
      <c r="E4" s="4" t="inlineStr">
        <is>
          <t>รหัสรายการ</t>
        </is>
      </c>
      <c r="F4" s="4" t="inlineStr">
        <is>
          <t>รายการในระบบ</t>
        </is>
      </c>
      <c r="G4" s="4" t="inlineStr">
        <is>
          <t>ชื่อในไฟล์ต้นทาง</t>
        </is>
      </c>
      <c r="H4" s="4" t="inlineStr">
        <is>
          <t>จำนวนปัจจุบัน (เครื่อง)</t>
        </is>
      </c>
      <c r="I4" s="4" t="inlineStr">
        <is>
          <t>อายุการใช้งาน (ปี)</t>
        </is>
      </c>
      <c r="J4" s="4" t="inlineStr">
        <is>
          <t>ขอซื้อใหม่</t>
        </is>
      </c>
      <c r="K4" s="4" t="inlineStr">
        <is>
          <t>ขอทดแทน</t>
        </is>
      </c>
      <c r="L4" s="4" t="inlineStr">
        <is>
          <t>ขอเพิ่ม</t>
        </is>
      </c>
      <c r="M4" s="4" t="inlineStr">
        <is>
          <t>จำนวนที่ขอตั้ง</t>
        </is>
      </c>
      <c r="N4" s="4" t="inlineStr">
        <is>
          <t>ราคาต่อหน่วย</t>
        </is>
      </c>
      <c r="O4" s="4" t="inlineStr">
        <is>
          <t>งบประมาณที่ขอ</t>
        </is>
      </c>
      <c r="P4" s="4" t="inlineStr">
        <is>
          <t>งบประมาณที่ได้รับ</t>
        </is>
      </c>
      <c r="Q4" s="4" t="inlineStr">
        <is>
          <t>เหตุผลคำชี้แจง</t>
        </is>
      </c>
      <c r="R4" s="4" t="inlineStr">
        <is>
          <t>ผลยืนยัน</t>
        </is>
      </c>
    </row>
    <row r="5" ht="36" customHeight="1">
      <c r="A5" s="5" t="n">
        <v>1</v>
      </c>
      <c r="B5" s="6" t="inlineStr">
        <is>
          <t>หมวดครุภัณฑ์ - หมวดครุภัณฑ์วิทยาศาสตร์และการแพทย์</t>
        </is>
      </c>
      <c r="C5" s="6" t="inlineStr">
        <is>
          <t>ครุภัณฑ์การแพทย์</t>
        </is>
      </c>
      <c r="D5" s="5" t="inlineStr">
        <is>
          <t>เพื่อการรักษา</t>
        </is>
      </c>
      <c r="E5" s="10" t="inlineStr"/>
      <c r="F5" s="6" t="inlineStr">
        <is>
          <t>HFVO mode ventilator</t>
        </is>
      </c>
      <c r="G5" s="6" t="inlineStr">
        <is>
          <t>HFVO mode ventilator</t>
        </is>
      </c>
      <c r="H5" s="16" t="n">
        <v>10</v>
      </c>
      <c r="I5" s="6" t="n"/>
      <c r="J5" s="9" t="n">
        <v>0</v>
      </c>
      <c r="K5" s="9" t="n">
        <v>1</v>
      </c>
      <c r="L5" s="9" t="n">
        <v>0</v>
      </c>
      <c r="M5" s="8">
        <f>IF(AND(J5="",K5="",L5=""),"",N(J5)+N(K5)+N(L5))</f>
        <v/>
      </c>
      <c r="N5" s="9" t="n">
        <v>1600000</v>
      </c>
      <c r="O5" s="8">
        <f>IF(OR(M5="",N5=""),"",M5*N5)</f>
        <v/>
      </c>
      <c r="P5" s="17" t="n"/>
      <c r="Q5" s="6" t="inlineStr">
        <is>
          <t>เนื่องจากมี NICU 16 เตียงแต่มีเครื่องช่วยหายใจชนิด conventional และ HFVO เพียง 13 เครื่อง และเครื่องเสีย 1 เครื่อง จึงไม่เพียงพอต่อการใช้งาน</t>
        </is>
      </c>
      <c r="R5" s="10" t="n"/>
    </row>
    <row r="6" ht="36" customHeight="1">
      <c r="A6" s="5" t="n">
        <v>2</v>
      </c>
      <c r="B6" s="6" t="inlineStr">
        <is>
          <t>หมวดครุภัณฑ์ - หมวดครุภัณฑ์วิทยาศาสตร์และการแพทย์</t>
        </is>
      </c>
      <c r="C6" s="6" t="inlineStr">
        <is>
          <t>ครุภัณฑ์การแพทย์</t>
        </is>
      </c>
      <c r="D6" s="5" t="inlineStr">
        <is>
          <t>เพื่อการรักษา</t>
        </is>
      </c>
      <c r="E6" s="10" t="inlineStr"/>
      <c r="F6" s="6" t="inlineStr">
        <is>
          <t>Noninvasive vespirator (NIV)</t>
        </is>
      </c>
      <c r="G6" s="6" t="inlineStr">
        <is>
          <t>Noninvasive vespirator (NIV)</t>
        </is>
      </c>
      <c r="H6" s="16" t="n">
        <v>2</v>
      </c>
      <c r="I6" s="6" t="inlineStr">
        <is>
          <t>3</t>
        </is>
      </c>
      <c r="J6" s="9" t="n">
        <v>0</v>
      </c>
      <c r="K6" s="9" t="n">
        <v>1</v>
      </c>
      <c r="L6" s="9" t="n">
        <v>0</v>
      </c>
      <c r="M6" s="8">
        <f>IF(AND(J6="",K6="",L6=""),"",N(J6)+N(K6)+N(L6))</f>
        <v/>
      </c>
      <c r="N6" s="9" t="n">
        <v>650000</v>
      </c>
      <c r="O6" s="8">
        <f>IF(OR(M6="",N6=""),"",M6*N6)</f>
        <v/>
      </c>
      <c r="P6" s="17" t="n"/>
      <c r="Q6" s="6" t="inlineStr">
        <is>
          <t>เนื่องจากมี NICU 16 เตียงแต่มีเครื่องช่วยหายใจชนิด non invasive 2 เครื่อง จึงไม่เพียงพอต่อการใช้งาน และเครื่องเสีย 1 เครื่อง</t>
        </is>
      </c>
      <c r="R6" s="10" t="n"/>
    </row>
    <row r="7" ht="36" customHeight="1">
      <c r="A7" s="5" t="n">
        <v>3</v>
      </c>
      <c r="B7" s="6" t="inlineStr">
        <is>
          <t>หมวดครุภัณฑ์ - หมวดครุภัณฑ์วิทยาศาสตร์และการแพทย์</t>
        </is>
      </c>
      <c r="C7" s="6" t="inlineStr">
        <is>
          <t>ครุภัณฑ์การแพทย์</t>
        </is>
      </c>
      <c r="D7" s="5" t="inlineStr">
        <is>
          <t>เพื่อการรักษา</t>
        </is>
      </c>
      <c r="E7" s="10" t="inlineStr"/>
      <c r="F7" s="6" t="inlineStr">
        <is>
          <t>High flow nasal cannula (Sick newborn)</t>
        </is>
      </c>
      <c r="G7" s="6" t="inlineStr">
        <is>
          <t>High flow nasal cannula (Sick newborn)</t>
        </is>
      </c>
      <c r="H7" s="16" t="n">
        <v>5</v>
      </c>
      <c r="I7" s="6" t="n"/>
      <c r="J7" s="9" t="n">
        <v>0</v>
      </c>
      <c r="K7" s="9" t="n">
        <v>0</v>
      </c>
      <c r="L7" s="9" t="n">
        <v>3</v>
      </c>
      <c r="M7" s="8">
        <f>IF(AND(J7="",K7="",L7=""),"",N(J7)+N(K7)+N(L7))</f>
        <v/>
      </c>
      <c r="N7" s="9" t="n">
        <v>350000</v>
      </c>
      <c r="O7" s="8">
        <f>IF(OR(M7="",N7=""),"",M7*N7)</f>
        <v/>
      </c>
      <c r="P7" s="17" t="n"/>
      <c r="Q7" s="6" t="inlineStr">
        <is>
          <t>จำนวนเตียง Sick newborn 20-25 เตียง</t>
        </is>
      </c>
      <c r="R7" s="10" t="n"/>
    </row>
    <row r="8" ht="36" customHeight="1">
      <c r="A8" s="5" t="n">
        <v>4</v>
      </c>
      <c r="B8" s="6" t="inlineStr">
        <is>
          <t>หมวดครุภัณฑ์ - หมวดครุภัณฑ์วิทยาศาสตร์และการแพทย์</t>
        </is>
      </c>
      <c r="C8" s="6" t="inlineStr">
        <is>
          <t>ครุภัณฑ์การแพทย์</t>
        </is>
      </c>
      <c r="D8" s="5" t="inlineStr">
        <is>
          <t>เพื่อการรักษา</t>
        </is>
      </c>
      <c r="E8" s="10" t="inlineStr"/>
      <c r="F8" s="6" t="inlineStr">
        <is>
          <t>Syring pump (NICU)</t>
        </is>
      </c>
      <c r="G8" s="6" t="inlineStr">
        <is>
          <t>Syring pump (NICU)</t>
        </is>
      </c>
      <c r="H8" s="16" t="n">
        <v>34</v>
      </c>
      <c r="I8" s="6" t="n"/>
      <c r="J8" s="9" t="n">
        <v>0</v>
      </c>
      <c r="K8" s="9" t="n">
        <v>0</v>
      </c>
      <c r="L8" s="9" t="n">
        <v>6</v>
      </c>
      <c r="M8" s="8">
        <f>IF(AND(J8="",K8="",L8=""),"",N(J8)+N(K8)+N(L8))</f>
        <v/>
      </c>
      <c r="N8" s="9" t="n">
        <v>55000</v>
      </c>
      <c r="O8" s="8">
        <f>IF(OR(M8="",N8=""),"",M8*N8)</f>
        <v/>
      </c>
      <c r="P8" s="17" t="n"/>
      <c r="Q8" s="6" t="inlineStr">
        <is>
          <t>มี Syring pump 2-4 เครื่อง/เตียง NICU</t>
        </is>
      </c>
      <c r="R8" s="10" t="n"/>
    </row>
    <row r="9" ht="36" customHeight="1">
      <c r="A9" s="5" t="n">
        <v>5</v>
      </c>
      <c r="B9" s="6" t="inlineStr">
        <is>
          <t>หมวดครุภัณฑ์ - หมวดครุภัณฑ์วิทยาศาสตร์และการแพทย์</t>
        </is>
      </c>
      <c r="C9" s="6" t="inlineStr">
        <is>
          <t>ครุภัณฑ์การแพทย์</t>
        </is>
      </c>
      <c r="D9" s="5" t="inlineStr">
        <is>
          <t>เพื่อการรักษา</t>
        </is>
      </c>
      <c r="E9" s="10" t="inlineStr"/>
      <c r="F9" s="6" t="inlineStr">
        <is>
          <t>Syring pump (Sick newborn)</t>
        </is>
      </c>
      <c r="G9" s="6" t="inlineStr">
        <is>
          <t>Syring pump (Sick newborn)</t>
        </is>
      </c>
      <c r="H9" s="16" t="n">
        <v>15</v>
      </c>
      <c r="I9" s="6" t="n"/>
      <c r="J9" s="9" t="n">
        <v>0</v>
      </c>
      <c r="K9" s="9" t="n">
        <v>0</v>
      </c>
      <c r="L9" s="9" t="n">
        <v>5</v>
      </c>
      <c r="M9" s="8">
        <f>IF(AND(J9="",K9="",L9=""),"",N(J9)+N(K9)+N(L9))</f>
        <v/>
      </c>
      <c r="N9" s="9" t="n">
        <v>55000</v>
      </c>
      <c r="O9" s="8">
        <f>IF(OR(M9="",N9=""),"",M9*N9)</f>
        <v/>
      </c>
      <c r="P9" s="17" t="n"/>
      <c r="Q9" s="6" t="inlineStr">
        <is>
          <t>มี Syring pump 1 เครื่อง/เตียง Sick newborn</t>
        </is>
      </c>
      <c r="R9" s="10" t="n"/>
    </row>
    <row r="10" ht="36" customHeight="1">
      <c r="A10" s="5" t="n">
        <v>6</v>
      </c>
      <c r="B10" s="6" t="inlineStr">
        <is>
          <t>หมวดครุภัณฑ์ - หมวดครุภัณฑ์วิทยาศาสตร์และการแพทย์</t>
        </is>
      </c>
      <c r="C10" s="6" t="inlineStr">
        <is>
          <t>ครุภัณฑ์การแพทย์</t>
        </is>
      </c>
      <c r="D10" s="5" t="inlineStr">
        <is>
          <t>เพื่อการรักษา</t>
        </is>
      </c>
      <c r="E10" s="10" t="inlineStr"/>
      <c r="F10" s="6" t="inlineStr">
        <is>
          <t>Incubator (NICU)</t>
        </is>
      </c>
      <c r="G10" s="6" t="inlineStr">
        <is>
          <t>Incubator (NICU)</t>
        </is>
      </c>
      <c r="H10" s="16" t="n">
        <v>8</v>
      </c>
      <c r="I10" s="6" t="n"/>
      <c r="J10" s="9" t="n">
        <v>0</v>
      </c>
      <c r="K10" s="9" t="n">
        <v>4</v>
      </c>
      <c r="L10" s="9" t="n">
        <v>0</v>
      </c>
      <c r="M10" s="8">
        <f>IF(AND(J10="",K10="",L10=""),"",N(J10)+N(K10)+N(L10))</f>
        <v/>
      </c>
      <c r="N10" s="9" t="n">
        <v>550000</v>
      </c>
      <c r="O10" s="8">
        <f>IF(OR(M10="",N10=""),"",M10*N10)</f>
        <v/>
      </c>
      <c r="P10" s="17" t="n"/>
      <c r="Q10" s="6" t="inlineStr">
        <is>
          <t>เครื่องเสีย 4 เครื่องและจำนวน NICU 16 เตียง</t>
        </is>
      </c>
      <c r="R10" s="10" t="n"/>
    </row>
    <row r="11" ht="36" customHeight="1">
      <c r="A11" s="5" t="n">
        <v>7</v>
      </c>
      <c r="B11" s="6" t="inlineStr">
        <is>
          <t>หมวดครุภัณฑ์ - หมวดครุภัณฑ์วิทยาศาสตร์และการแพทย์</t>
        </is>
      </c>
      <c r="C11" s="6" t="inlineStr">
        <is>
          <t>ครุภัณฑ์การแพทย์</t>
        </is>
      </c>
      <c r="D11" s="5" t="inlineStr">
        <is>
          <t>เพื่อการรักษา</t>
        </is>
      </c>
      <c r="E11" s="10" t="inlineStr"/>
      <c r="F11" s="6" t="inlineStr">
        <is>
          <t>Incubator (Sick newborn)</t>
        </is>
      </c>
      <c r="G11" s="6" t="inlineStr">
        <is>
          <t>Incubator (Sick newborn)</t>
        </is>
      </c>
      <c r="H11" s="16" t="n">
        <v>7</v>
      </c>
      <c r="I11" s="6" t="n"/>
      <c r="J11" s="9" t="n">
        <v>0</v>
      </c>
      <c r="K11" s="9" t="n">
        <v>0</v>
      </c>
      <c r="L11" s="9" t="n">
        <v>3</v>
      </c>
      <c r="M11" s="8">
        <f>IF(AND(J11="",K11="",L11=""),"",N(J11)+N(K11)+N(L11))</f>
        <v/>
      </c>
      <c r="N11" s="9" t="n">
        <v>550000</v>
      </c>
      <c r="O11" s="8">
        <f>IF(OR(M11="",N11=""),"",M11*N11)</f>
        <v/>
      </c>
      <c r="P11" s="17" t="n"/>
      <c r="Q11" s="6" t="inlineStr">
        <is>
          <t>ไม่เพียงพอต่อการใช้งาน เนื่องจาก Sick newborn มี 20 เตียง</t>
        </is>
      </c>
      <c r="R11" s="10" t="n"/>
    </row>
    <row r="12" ht="36" customHeight="1">
      <c r="A12" s="5" t="n">
        <v>8</v>
      </c>
      <c r="B12" s="6" t="inlineStr">
        <is>
          <t>หมวดครุภัณฑ์ - หมวดครุภัณฑ์วิทยาศาสตร์และการแพทย์</t>
        </is>
      </c>
      <c r="C12" s="6" t="inlineStr">
        <is>
          <t>ครุภัณฑ์การแพทย์</t>
        </is>
      </c>
      <c r="D12" s="5" t="inlineStr">
        <is>
          <t>เพื่อการรักษา</t>
        </is>
      </c>
      <c r="E12" s="10" t="inlineStr"/>
      <c r="F12" s="6" t="inlineStr">
        <is>
          <t>Radiant warmer (Sick newborn)</t>
        </is>
      </c>
      <c r="G12" s="6" t="inlineStr">
        <is>
          <t>Radiant warmer (Sick newborn)</t>
        </is>
      </c>
      <c r="H12" s="16" t="n">
        <v>6</v>
      </c>
      <c r="I12" s="6" t="n"/>
      <c r="J12" s="9" t="n">
        <v>0</v>
      </c>
      <c r="K12" s="9" t="n">
        <v>0</v>
      </c>
      <c r="L12" s="9" t="n">
        <v>2</v>
      </c>
      <c r="M12" s="8">
        <f>IF(AND(J12="",K12="",L12=""),"",N(J12)+N(K12)+N(L12))</f>
        <v/>
      </c>
      <c r="N12" s="9" t="n">
        <v>350000</v>
      </c>
      <c r="O12" s="8">
        <f>IF(OR(M12="",N12=""),"",M12*N12)</f>
        <v/>
      </c>
      <c r="P12" s="17" t="n"/>
      <c r="Q12" s="6" t="inlineStr">
        <is>
          <t>ไม่เพียงพอต่อการใช้งาน</t>
        </is>
      </c>
      <c r="R12" s="10" t="n"/>
    </row>
    <row r="13" ht="36" customHeight="1">
      <c r="A13" s="5" t="n">
        <v>9</v>
      </c>
      <c r="B13" s="6" t="inlineStr">
        <is>
          <t>หมวดครุภัณฑ์ - หมวดครุภัณฑ์วิทยาศาสตร์และการแพทย์</t>
        </is>
      </c>
      <c r="C13" s="6" t="inlineStr">
        <is>
          <t>ครุภัณฑ์การแพทย์</t>
        </is>
      </c>
      <c r="D13" s="5" t="inlineStr">
        <is>
          <t>เพื่อการรักษา</t>
        </is>
      </c>
      <c r="E13" s="10" t="inlineStr"/>
      <c r="F13" s="6" t="inlineStr">
        <is>
          <t>Photo (NICU)</t>
        </is>
      </c>
      <c r="G13" s="6" t="inlineStr">
        <is>
          <t>Photo (NICU)</t>
        </is>
      </c>
      <c r="H13" s="16" t="n">
        <v>3</v>
      </c>
      <c r="I13" s="6" t="n"/>
      <c r="J13" s="9" t="n">
        <v>0</v>
      </c>
      <c r="K13" s="9" t="n">
        <v>0</v>
      </c>
      <c r="L13" s="9" t="n">
        <v>1</v>
      </c>
      <c r="M13" s="8">
        <f>IF(AND(J13="",K13="",L13=""),"",N(J13)+N(K13)+N(L13))</f>
        <v/>
      </c>
      <c r="N13" s="9" t="n">
        <v>200000</v>
      </c>
      <c r="O13" s="8">
        <f>IF(OR(M13="",N13=""),"",M13*N13)</f>
        <v/>
      </c>
      <c r="P13" s="17" t="n"/>
      <c r="Q13" s="6" t="inlineStr">
        <is>
          <t>ไม่เพียงพอต่อการใช้งาน</t>
        </is>
      </c>
      <c r="R13" s="10" t="n"/>
    </row>
    <row r="14" ht="36" customHeight="1">
      <c r="A14" s="5" t="n">
        <v>10</v>
      </c>
      <c r="B14" s="6" t="inlineStr">
        <is>
          <t>หมวดครุภัณฑ์ - หมวดครุภัณฑ์วิทยาศาสตร์และการแพทย์</t>
        </is>
      </c>
      <c r="C14" s="6" t="inlineStr">
        <is>
          <t>ครุภัณฑ์การแพทย์</t>
        </is>
      </c>
      <c r="D14" s="5" t="inlineStr">
        <is>
          <t>เพื่อการรักษา</t>
        </is>
      </c>
      <c r="E14" s="10" t="inlineStr"/>
      <c r="F14" s="6" t="inlineStr">
        <is>
          <t>Photo (Sick newborn)</t>
        </is>
      </c>
      <c r="G14" s="6" t="inlineStr">
        <is>
          <t>Photo (Sick newborn)</t>
        </is>
      </c>
      <c r="H14" s="16" t="n">
        <v>7</v>
      </c>
      <c r="I14" s="6" t="n"/>
      <c r="J14" s="9" t="n">
        <v>0</v>
      </c>
      <c r="K14" s="9" t="n">
        <v>0</v>
      </c>
      <c r="L14" s="9" t="n">
        <v>1</v>
      </c>
      <c r="M14" s="8">
        <f>IF(AND(J14="",K14="",L14=""),"",N(J14)+N(K14)+N(L14))</f>
        <v/>
      </c>
      <c r="N14" s="9" t="n">
        <v>200000</v>
      </c>
      <c r="O14" s="8">
        <f>IF(OR(M14="",N14=""),"",M14*N14)</f>
        <v/>
      </c>
      <c r="P14" s="17" t="n"/>
      <c r="Q14" s="6" t="inlineStr">
        <is>
          <t>เนื่องจากเครื่องเดิมอายุการใช้งานมากกว่า &gt;10 ปี มีโอกาสเกิดความเสี่ยงในการใช้งานสูง</t>
        </is>
      </c>
      <c r="R14" s="10" t="n"/>
    </row>
    <row r="15" ht="36" customHeight="1">
      <c r="A15" s="5" t="n">
        <v>11</v>
      </c>
      <c r="B15" s="6" t="inlineStr">
        <is>
          <t>หมวดครุภัณฑ์ - หมวดครุภัณฑ์วิทยาศาสตร์และการแพทย์</t>
        </is>
      </c>
      <c r="C15" s="6" t="inlineStr">
        <is>
          <t>ครุภัณฑ์การแพทย์</t>
        </is>
      </c>
      <c r="D15" s="5" t="inlineStr">
        <is>
          <t>เพื่อการรักษา</t>
        </is>
      </c>
      <c r="E15" s="10" t="inlineStr"/>
      <c r="F15" s="6" t="inlineStr">
        <is>
          <t>oxygen  low flow (Sick newborn)</t>
        </is>
      </c>
      <c r="G15" s="6" t="inlineStr">
        <is>
          <t>oxygen  low flow (Sick newborn)</t>
        </is>
      </c>
      <c r="H15" s="16" t="n">
        <v>7</v>
      </c>
      <c r="I15" s="6" t="n"/>
      <c r="J15" s="9" t="n">
        <v>0</v>
      </c>
      <c r="K15" s="9" t="n">
        <v>0</v>
      </c>
      <c r="L15" s="9" t="n">
        <v>3</v>
      </c>
      <c r="M15" s="8">
        <f>IF(AND(J15="",K15="",L15=""),"",N(J15)+N(K15)+N(L15))</f>
        <v/>
      </c>
      <c r="N15" s="9" t="n">
        <v>0</v>
      </c>
      <c r="O15" s="8">
        <f>IF(OR(M15="",N15=""),"",M15*N15)</f>
        <v/>
      </c>
      <c r="P15" s="17" t="n"/>
      <c r="Q15" s="6" t="inlineStr">
        <is>
          <t>ไม่เพียงพอต่อการใช้งาน</t>
        </is>
      </c>
      <c r="R15" s="10" t="n"/>
    </row>
    <row r="16" ht="36" customHeight="1">
      <c r="A16" s="5" t="n">
        <v>12</v>
      </c>
      <c r="B16" s="6" t="inlineStr">
        <is>
          <t>หมวดครุภัณฑ์ - หมวดครุภัณฑ์วิทยาศาสตร์และการแพทย์</t>
        </is>
      </c>
      <c r="C16" s="6" t="inlineStr">
        <is>
          <t>ครุภัณฑ์การแพทย์</t>
        </is>
      </c>
      <c r="D16" s="5" t="inlineStr">
        <is>
          <t>เพื่อสนับสนุน</t>
        </is>
      </c>
      <c r="E16" s="10" t="inlineStr"/>
      <c r="F16" s="6" t="inlineStr">
        <is>
          <t>ระบบ Negative Pressure (NICU)</t>
        </is>
      </c>
      <c r="G16" s="6" t="inlineStr">
        <is>
          <t>ระบบ Negative Pressure (NICU)</t>
        </is>
      </c>
      <c r="H16" s="16" t="n">
        <v>0</v>
      </c>
      <c r="I16" s="6" t="n"/>
      <c r="J16" s="9" t="n">
        <v>1</v>
      </c>
      <c r="K16" s="9" t="n">
        <v>0</v>
      </c>
      <c r="L16" s="9" t="n">
        <v>0</v>
      </c>
      <c r="M16" s="8">
        <f>IF(AND(J16="",K16="",L16=""),"",N(J16)+N(K16)+N(L16))</f>
        <v/>
      </c>
      <c r="N16" s="9" t="n">
        <v>0</v>
      </c>
      <c r="O16" s="8">
        <f>IF(OR(M16="",N16=""),"",M16*N16)</f>
        <v/>
      </c>
      <c r="P16" s="17" t="n"/>
      <c r="Q16" s="6" t="inlineStr">
        <is>
          <t>เพื่อใช้ในการแยกโรค</t>
        </is>
      </c>
      <c r="R16" s="10" t="n"/>
    </row>
    <row r="17" ht="36" customHeight="1">
      <c r="A17" s="5" t="n">
        <v>13</v>
      </c>
      <c r="B17" s="6" t="inlineStr">
        <is>
          <t>หมวดครุภัณฑ์ - พักปรับปรุงอาคาร</t>
        </is>
      </c>
      <c r="C17" s="6" t="inlineStr">
        <is>
          <t>ครุภัณฑ์ก่อสร้าง</t>
        </is>
      </c>
      <c r="D17" s="5" t="inlineStr">
        <is>
          <t>เพื่อสนับสนุน</t>
        </is>
      </c>
      <c r="E17" s="10" t="inlineStr"/>
      <c r="F17" s="6" t="inlineStr">
        <is>
          <t>ปรับปรุงห้องแยก/พิเศษ เด็ก 1</t>
        </is>
      </c>
      <c r="G17" s="6" t="inlineStr">
        <is>
          <t>ปรับปรุงห้องแยก/พิเศษ เด็ก 1</t>
        </is>
      </c>
      <c r="H17" s="16" t="n">
        <v>0</v>
      </c>
      <c r="I17" s="6" t="n"/>
      <c r="J17" s="9" t="n">
        <v>0</v>
      </c>
      <c r="K17" s="9" t="n">
        <v>0</v>
      </c>
      <c r="L17" s="9" t="n">
        <v>0</v>
      </c>
      <c r="M17" s="8">
        <f>IF(AND(J17="",K17="",L17=""),"",N(J17)+N(K17)+N(L17))</f>
        <v/>
      </c>
      <c r="N17" s="9" t="n">
        <v>0</v>
      </c>
      <c r="O17" s="8">
        <f>IF(OR(M17="",N17=""),"",M17*N17)</f>
        <v/>
      </c>
      <c r="P17" s="17" t="n"/>
      <c r="Q17" s="6" t="inlineStr">
        <is>
          <t>เนื่องจากขณะนี้ห้องแยก,ห้องพิเศษ ใช้ได้เพียง 4 ห้อง, ฝ้า เพดานชำรุดมีเชื้อรา</t>
        </is>
      </c>
      <c r="R17" s="10" t="n"/>
    </row>
    <row r="18" ht="36" customHeight="1">
      <c r="A18" s="5" t="n">
        <v>14</v>
      </c>
      <c r="B18" s="6" t="inlineStr">
        <is>
          <t>หมวดครุภัณฑ์ - หมวดครุภัณฑ์วิทยาศาสตร์และการแพทย์</t>
        </is>
      </c>
      <c r="C18" s="6" t="inlineStr">
        <is>
          <t>ครุภัณฑ์การแพทย์</t>
        </is>
      </c>
      <c r="D18" s="5" t="inlineStr">
        <is>
          <t>เพื่อการรักษา</t>
        </is>
      </c>
      <c r="E18" s="10" t="inlineStr"/>
      <c r="F18" s="6" t="inlineStr">
        <is>
          <t>bedside mornitor (Ped 2)</t>
        </is>
      </c>
      <c r="G18" s="6" t="inlineStr">
        <is>
          <t>bedside mornitor (Ped 2)</t>
        </is>
      </c>
      <c r="H18" s="16" t="n">
        <v>2</v>
      </c>
      <c r="I18" s="6" t="n"/>
      <c r="J18" s="9" t="n">
        <v>0</v>
      </c>
      <c r="K18" s="9" t="n">
        <v>0</v>
      </c>
      <c r="L18" s="9" t="n">
        <v>3</v>
      </c>
      <c r="M18" s="8">
        <f>IF(AND(J18="",K18="",L18=""),"",N(J18)+N(K18)+N(L18))</f>
        <v/>
      </c>
      <c r="N18" s="9" t="n">
        <v>200000</v>
      </c>
      <c r="O18" s="8">
        <f>IF(OR(M18="",N18=""),"",M18*N18)</f>
        <v/>
      </c>
      <c r="P18" s="17" t="n"/>
      <c r="Q18" s="6" t="inlineStr">
        <is>
          <t>เนื่องจากมีผู้ป่วยกึ่งวิกฤตมากขึ้น, มีห้องแยกเคมีบำบัด</t>
        </is>
      </c>
      <c r="R18" s="10" t="n"/>
    </row>
    <row r="19" ht="36" customHeight="1">
      <c r="A19" s="5" t="n">
        <v>15</v>
      </c>
      <c r="B19" s="6" t="inlineStr">
        <is>
          <t>หมวดครุภัณฑ์ - หมวดครุภัณฑ์วิทยาศาสตร์และการแพทย์</t>
        </is>
      </c>
      <c r="C19" s="6" t="inlineStr">
        <is>
          <t>ครุภัณฑ์การแพทย์</t>
        </is>
      </c>
      <c r="D19" s="5" t="inlineStr">
        <is>
          <t>เพื่อการรักษา</t>
        </is>
      </c>
      <c r="E19" s="10" t="inlineStr"/>
      <c r="F19" s="6" t="inlineStr">
        <is>
          <t>bedside mornitor  (Ped 1)</t>
        </is>
      </c>
      <c r="G19" s="6" t="inlineStr">
        <is>
          <t>bedside mornitor  (Ped 1)</t>
        </is>
      </c>
      <c r="H19" s="16" t="n">
        <v>3</v>
      </c>
      <c r="I19" s="6" t="n"/>
      <c r="J19" s="9" t="n">
        <v>0</v>
      </c>
      <c r="K19" s="9" t="n">
        <v>0</v>
      </c>
      <c r="L19" s="9" t="n">
        <v>2</v>
      </c>
      <c r="M19" s="8">
        <f>IF(AND(J19="",K19="",L19=""),"",N(J19)+N(K19)+N(L19))</f>
        <v/>
      </c>
      <c r="N19" s="9" t="n">
        <v>200000</v>
      </c>
      <c r="O19" s="8">
        <f>IF(OR(M19="",N19=""),"",M19*N19)</f>
        <v/>
      </c>
      <c r="P19" s="17" t="n"/>
      <c r="Q19" s="6" t="inlineStr">
        <is>
          <t>เนื่องจากมีผู้ป่วยกึ่งวิกฤตมากขึ้น</t>
        </is>
      </c>
      <c r="R19" s="10" t="n"/>
    </row>
    <row r="20" ht="36" customHeight="1">
      <c r="A20" s="5" t="n">
        <v>16</v>
      </c>
      <c r="B20" s="6" t="inlineStr">
        <is>
          <t>หมวดครุภัณฑ์ - หมวดครุภัณฑ์วิทยาศาสตร์และการแพทย์</t>
        </is>
      </c>
      <c r="C20" s="6" t="inlineStr">
        <is>
          <t>ครุภัณฑ์การแพทย์</t>
        </is>
      </c>
      <c r="D20" s="5" t="inlineStr">
        <is>
          <t>เพื่อการรักษา</t>
        </is>
      </c>
      <c r="E20" s="10" t="inlineStr"/>
      <c r="F20" s="6" t="inlineStr">
        <is>
          <t>Infusion pump (sick newborn)</t>
        </is>
      </c>
      <c r="G20" s="6" t="inlineStr">
        <is>
          <t>Infusion pump (sick newborn)</t>
        </is>
      </c>
      <c r="H20" s="16" t="n">
        <v>16</v>
      </c>
      <c r="I20" s="6" t="n"/>
      <c r="J20" s="9" t="n">
        <v>0</v>
      </c>
      <c r="K20" s="9" t="n">
        <v>0</v>
      </c>
      <c r="L20" s="9" t="n">
        <v>4</v>
      </c>
      <c r="M20" s="8">
        <f>IF(AND(J20="",K20="",L20=""),"",N(J20)+N(K20)+N(L20))</f>
        <v/>
      </c>
      <c r="N20" s="9" t="n">
        <v>55000</v>
      </c>
      <c r="O20" s="8">
        <f>IF(OR(M20="",N20=""),"",M20*N20)</f>
        <v/>
      </c>
      <c r="P20" s="17" t="n"/>
      <c r="Q20" s="6" t="inlineStr">
        <is>
          <t>มีจำนวนเตียงเด็ก 2 จำนวน 30 เตียง</t>
        </is>
      </c>
      <c r="R20" s="10" t="n"/>
    </row>
    <row r="21" ht="36" customHeight="1">
      <c r="A21" s="5" t="n">
        <v>17</v>
      </c>
      <c r="B21" s="6" t="inlineStr">
        <is>
          <t>หมวดครุภัณฑ์ - หมวดครุภัณฑ์วิทยาศาสตร์และการแพทย์</t>
        </is>
      </c>
      <c r="C21" s="6" t="inlineStr">
        <is>
          <t>ครุภัณฑ์การแพทย์</t>
        </is>
      </c>
      <c r="D21" s="5" t="inlineStr">
        <is>
          <t>เพื่อการรักษา</t>
        </is>
      </c>
      <c r="E21" s="10" t="inlineStr"/>
      <c r="F21" s="6" t="inlineStr">
        <is>
          <t>Infusion pump  (NICU)</t>
        </is>
      </c>
      <c r="G21" s="6" t="inlineStr">
        <is>
          <t>Infusion pump  (NICU)</t>
        </is>
      </c>
      <c r="H21" s="16" t="n">
        <v>20</v>
      </c>
      <c r="I21" s="6" t="n"/>
      <c r="J21" s="9" t="n">
        <v>0</v>
      </c>
      <c r="K21" s="9" t="n">
        <v>0</v>
      </c>
      <c r="L21" s="9" t="n">
        <v>8</v>
      </c>
      <c r="M21" s="8">
        <f>IF(AND(J21="",K21="",L21=""),"",N(J21)+N(K21)+N(L21))</f>
        <v/>
      </c>
      <c r="N21" s="9" t="n">
        <v>55000</v>
      </c>
      <c r="O21" s="8">
        <f>IF(OR(M21="",N21=""),"",M21*N21)</f>
        <v/>
      </c>
      <c r="P21" s="17" t="n"/>
      <c r="Q21" s="6" t="inlineStr">
        <is>
          <t>ควรมี Infusion pump 2เครื่อง/เตียง</t>
        </is>
      </c>
      <c r="R21" s="10" t="n"/>
    </row>
    <row r="22" ht="36" customHeight="1">
      <c r="A22" s="5" t="n">
        <v>18</v>
      </c>
      <c r="B22" s="6" t="inlineStr">
        <is>
          <t>หมวดครุภัณฑ์ - หมวดครุภัณฑ์วิทยาศาสตร์และการแพทย์</t>
        </is>
      </c>
      <c r="C22" s="6" t="inlineStr">
        <is>
          <t>ครุภัณฑ์การแพทย์</t>
        </is>
      </c>
      <c r="D22" s="5" t="inlineStr">
        <is>
          <t>เพื่อวินิจฉัยโรค</t>
        </is>
      </c>
      <c r="E22" s="10" t="inlineStr"/>
      <c r="F22" s="6" t="inlineStr">
        <is>
          <t>เครื่องตรวจติดตามความดันโลหิตอัตโนมัติแบบต่อเนื่อง 24 ชั่วโมง (Ambulatory Blood Pressure Monitoring)</t>
        </is>
      </c>
      <c r="G22" s="6" t="inlineStr">
        <is>
          <t>เครื่องตรวจติดตามความดันโลหิตอัตโนมัติแบบต่อเนื่อง 24 ชั่วโมง (Ambulatory Blood Pressure Monitoring)</t>
        </is>
      </c>
      <c r="H22" s="16" t="n">
        <v>0</v>
      </c>
      <c r="I22" s="6" t="n"/>
      <c r="J22" s="9" t="n">
        <v>1</v>
      </c>
      <c r="K22" s="9" t="n">
        <v>0</v>
      </c>
      <c r="L22" s="9" t="n">
        <v>0</v>
      </c>
      <c r="M22" s="8">
        <f>IF(AND(J22="",K22="",L22=""),"",N(J22)+N(K22)+N(L22))</f>
        <v/>
      </c>
      <c r="N22" s="9" t="n">
        <v>150000</v>
      </c>
      <c r="O22" s="8">
        <f>IF(OR(M22="",N22=""),"",M22*N22)</f>
        <v/>
      </c>
      <c r="P22" s="17" t="n"/>
      <c r="Q22" s="6" t="inlineStr">
        <is>
          <t>เพื่อวินิจฉัย masked และ white coat hypertension ลดค่าใช้จ่ายในการส่งตรวจเพิ่มเติม</t>
        </is>
      </c>
      <c r="R22" s="10" t="n"/>
    </row>
    <row r="23" ht="36" customHeight="1">
      <c r="A23" s="5" t="n">
        <v>19</v>
      </c>
      <c r="B23" s="6" t="inlineStr">
        <is>
          <t>หมวดครุภัณฑ์ - หมวดครุภัณฑ์วิทยาศาสตร์และการแพทย์</t>
        </is>
      </c>
      <c r="C23" s="6" t="inlineStr">
        <is>
          <t>ครุภัณฑ์การแพทย์</t>
        </is>
      </c>
      <c r="D23" s="5" t="inlineStr">
        <is>
          <t>เพื่อการรักษา</t>
        </is>
      </c>
      <c r="E23" s="10" t="inlineStr"/>
      <c r="F23" s="6" t="inlineStr">
        <is>
          <t>Bronchoscope ในเด็ก (กล้องส่องตรวจหลอดลมชนิดอ่อน)</t>
        </is>
      </c>
      <c r="G23" s="6" t="inlineStr">
        <is>
          <t>Bronchoscope ในเด็ก (กล้องส่องตรวจหลอดลมชนิดอ่อน)</t>
        </is>
      </c>
      <c r="H23" s="16" t="n">
        <v>0</v>
      </c>
      <c r="I23" s="6" t="n"/>
      <c r="J23" s="9" t="n">
        <v>1</v>
      </c>
      <c r="K23" s="9" t="n">
        <v>0</v>
      </c>
      <c r="L23" s="9" t="n">
        <v>0</v>
      </c>
      <c r="M23" s="8">
        <f>IF(AND(J23="",K23="",L23=""),"",N(J23)+N(K23)+N(L23))</f>
        <v/>
      </c>
      <c r="N23" s="9" t="n">
        <v>3000000</v>
      </c>
      <c r="O23" s="8">
        <f>IF(OR(M23="",N23=""),"",M23*N23)</f>
        <v/>
      </c>
      <c r="P23" s="17" t="n"/>
      <c r="Q23" s="6" t="inlineStr">
        <is>
          <t>เพื่อเพิ่มศักยภาพในการวินิจฉัยและลดการส่งต่อออกนอกเขต</t>
        </is>
      </c>
      <c r="R23" s="10" t="n"/>
    </row>
    <row r="24" ht="36" customHeight="1">
      <c r="A24" s="5" t="n">
        <v>20</v>
      </c>
      <c r="B24" s="6" t="inlineStr">
        <is>
          <t>หมวดครุภัณฑ์ - หมวดครุภัณฑ์วิทยาศาสตร์และการแพทย์</t>
        </is>
      </c>
      <c r="C24" s="6" t="inlineStr">
        <is>
          <t>ครุภัณฑ์การแพทย์</t>
        </is>
      </c>
      <c r="D24" s="5" t="inlineStr">
        <is>
          <t>เพื่อการรักษา</t>
        </is>
      </c>
      <c r="E24" s="10" t="inlineStr"/>
      <c r="F24" s="6" t="inlineStr">
        <is>
          <t>เครื่องพ่นยาผ่าน high flow ในเด้ก</t>
        </is>
      </c>
      <c r="G24" s="6" t="inlineStr">
        <is>
          <t>เครื่องพ่นยาผ่าน high flow ในเด้ก</t>
        </is>
      </c>
      <c r="H24" s="16" t="n">
        <v>0</v>
      </c>
      <c r="I24" s="6" t="n"/>
      <c r="J24" s="9" t="n">
        <v>3</v>
      </c>
      <c r="K24" s="9" t="n">
        <v>0</v>
      </c>
      <c r="L24" s="9" t="n">
        <v>0</v>
      </c>
      <c r="M24" s="8">
        <f>IF(AND(J24="",K24="",L24=""),"",N(J24)+N(K24)+N(L24))</f>
        <v/>
      </c>
      <c r="N24" s="9" t="n">
        <v>150000</v>
      </c>
      <c r="O24" s="8">
        <f>IF(OR(M24="",N24=""),"",M24*N24)</f>
        <v/>
      </c>
      <c r="P24" s="17" t="n"/>
      <c r="Q24" s="6" t="inlineStr">
        <is>
          <t>เพิ่มประสิทธิภาพในการรักษาและลดอัตราการใส่ท่อเครื่องช่วยหายใจ</t>
        </is>
      </c>
      <c r="R24" s="10" t="n"/>
    </row>
    <row r="25" ht="36" customHeight="1">
      <c r="A25" s="5" t="n">
        <v>21</v>
      </c>
      <c r="B25" s="6" t="inlineStr">
        <is>
          <t>หมวดครุภัณฑ์ - ครุภัณฑ์สำนักงาน</t>
        </is>
      </c>
      <c r="C25" s="6" t="inlineStr">
        <is>
          <t>ครุภัณฑ์สำนักงาน</t>
        </is>
      </c>
      <c r="D25" s="5" t="inlineStr">
        <is>
          <t>เพื่อสนับสนุน</t>
        </is>
      </c>
      <c r="E25" s="10" t="inlineStr"/>
      <c r="F25" s="6" t="inlineStr">
        <is>
          <t>เก้าอี้สำนักงาน</t>
        </is>
      </c>
      <c r="G25" s="6" t="inlineStr">
        <is>
          <t>เก้าอี้สำนักงาน</t>
        </is>
      </c>
      <c r="H25" s="16" t="n">
        <v>15</v>
      </c>
      <c r="I25" s="6" t="n"/>
      <c r="J25" s="9" t="n">
        <v>0</v>
      </c>
      <c r="K25" s="9" t="n">
        <v>0</v>
      </c>
      <c r="L25" s="9" t="n">
        <v>10</v>
      </c>
      <c r="M25" s="8">
        <f>IF(AND(J25="",K25="",L25=""),"",N(J25)+N(K25)+N(L25))</f>
        <v/>
      </c>
      <c r="N25" s="9" t="n">
        <v>3990</v>
      </c>
      <c r="O25" s="8">
        <f>IF(OR(M25="",N25=""),"",M25*N25)</f>
        <v/>
      </c>
      <c r="P25" s="17" t="n"/>
      <c r="Q25" s="6" t="inlineStr">
        <is>
          <t>เนื่องจากมีปริมาณที่ไม่เพียงพอต่อการใช้งาน</t>
        </is>
      </c>
      <c r="R25" s="10" t="n"/>
    </row>
    <row r="26" ht="36" customHeight="1">
      <c r="A26" s="5" t="n">
        <v>22</v>
      </c>
      <c r="B26" s="6" t="inlineStr">
        <is>
          <t>หมวดครุภัณฑ์ - ครุภัณฑ์คอมพิวเตอร์</t>
        </is>
      </c>
      <c r="C26" s="6" t="inlineStr">
        <is>
          <t>ครุภัณฑ์คอมพิวเตอร์</t>
        </is>
      </c>
      <c r="D26" s="5" t="inlineStr">
        <is>
          <t>เพื่อสนับสนุน</t>
        </is>
      </c>
      <c r="E26" s="10" t="inlineStr"/>
      <c r="F26" s="6" t="inlineStr">
        <is>
          <t>เครื่องพิมพ์มัลติฟังชั่นแบบฉีดหมึกขาวดำ</t>
        </is>
      </c>
      <c r="G26" s="6" t="inlineStr">
        <is>
          <t>เครื่องพิมพ์มัลติฟังชั่นแบบฉีดหมึกขาวดำ</t>
        </is>
      </c>
      <c r="H26" s="16" t="n">
        <v>1</v>
      </c>
      <c r="I26" s="6" t="n"/>
      <c r="J26" s="9" t="n">
        <v>0</v>
      </c>
      <c r="K26" s="9" t="n">
        <v>0</v>
      </c>
      <c r="L26" s="9" t="n">
        <v>1</v>
      </c>
      <c r="M26" s="8">
        <f>IF(AND(J26="",K26="",L26=""),"",N(J26)+N(K26)+N(L26))</f>
        <v/>
      </c>
      <c r="N26" s="9" t="n">
        <v>7490</v>
      </c>
      <c r="O26" s="8">
        <f>IF(OR(M26="",N26=""),"",M26*N26)</f>
        <v/>
      </c>
      <c r="P26" s="17" t="n"/>
      <c r="Q26" s="6" t="inlineStr">
        <is>
          <t>เนื่องจากเครื่องเก่ามีอายุการใช้งานนาน</t>
        </is>
      </c>
      <c r="R26" s="10" t="n"/>
    </row>
    <row r="27">
      <c r="A27" s="11" t="inlineStr">
        <is>
          <t>รวม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8">
        <f>SUM(O5:O26)</f>
        <v/>
      </c>
      <c r="P27" s="11" t="n"/>
      <c r="Q27" s="11" t="n"/>
      <c r="R27" s="11" t="n"/>
    </row>
    <row r="28" ht="48" customHeight="1">
      <c r="A28" s="3" t="inlineStr">
        <is>
          <t>ส่งออกจากฐาน VPK-S1 วันที่ 12 ต.ค. 2569 · 14.กลุ่มงานกุมารเวชกรรม.xls · แบบฟอร์มครุภัณฑ์ และต่ำกว่าแสน · ช่องเหลืองกรอกหรือแก้ได้ ช่องเขียวเป็นสูตร จำนวนที่ขอตั้ง = ขอซื้อใหม่ + ขอทดแทน + ขอเพิ่ม งบประมาณที่ขอ = จำนวนที่ขอตั้ง × ราคาต่อหน่วย ผลยืนยันเลือก ถูกต้อง / ต้องแก้ไข / ยังไม่ครบ / ข้าม · 3 รายการไม่มีราคาในไฟล์ต้นทาง (oxygen low flow, ระบบ Negative Pressure, ปรับปรุงห้องแยก/พิเศษ เด็ก 1) จึงมียอด 0</t>
        </is>
      </c>
    </row>
  </sheetData>
  <autoFilter ref="A4:R26"/>
  <mergeCells count="4">
    <mergeCell ref="A2:R2"/>
    <mergeCell ref="A1:R1"/>
    <mergeCell ref="A28:R28"/>
    <mergeCell ref="A27:L27"/>
  </mergeCells>
  <dataValidations count="1">
    <dataValidation sqref="R5:R26" showDropDown="0" showInputMessage="0" showErrorMessage="1" allowBlank="1" errorTitle="ผลยืนยัน" error="เลือก ถูกต้อง, ต้องแก้ไข, ยังไม่ครบ หรือ ข้าม" type="list">
      <formula1>"ถูกต้อง,ต้องแก้ไข,ยังไม่ครบ,ข้าม"</formula1>
    </dataValidation>
  </dataValidations>
  <pageMargins left="0.4" right="0.4" top="0.6" bottom="0.5" header="0.5" footer="0.5"/>
  <pageSetup orientation="landscape" paperSize="9" fitToHeight="0" fitToWidth="1"/>
  <headerFooter>
    <oddHeader>&amp;Lโรงพยาบาลวชิระภูเก็ต</oddHeader>
    <oddFooter>&amp;Rหน้า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2026-10-12T14:10:47Z</dcterms:created>
  <dcterms:modified xmlns:dcterms="http://purl.org/dc/terms/" xmlns:xsi="http://www.w3.org/2001/XMLSchema-instance" xsi:type="dcterms:W3CDTF">2026-10-12T14:10:47Z</dcterms:modified>
</cp:coreProperties>
</file>